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volatileDependencies.xml" ContentType="application/vnd.openxmlformats-officedocument.spreadsheetml.volatileDependenc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ointstate-my.sharepoint.com/personal/mbra_psclp_net/Documents/Cowork (MB)/5. Performance v. BETA/"/>
    </mc:Choice>
  </mc:AlternateContent>
  <xr:revisionPtr revIDLastSave="705" documentId="13_ncr:1_{756EC400-35F1-42B7-BBC2-12AF89925D49}" xr6:coauthVersionLast="47" xr6:coauthVersionMax="47" xr10:uidLastSave="{5B358325-A2CF-4D33-8D7E-F8D23167BA1C}"/>
  <bookViews>
    <workbookView xWindow="28680" yWindow="-2220" windowWidth="51840" windowHeight="21240" firstSheet="1" activeTab="1" xr2:uid="{9A0942F6-C04D-4674-9FBA-C89527D61DC2}"/>
  </bookViews>
  <sheets>
    <sheet name="__FDSCACHE__" sheetId="2" state="veryHidden" r:id="rId1"/>
    <sheet name="CRH" sheetId="5" r:id="rId2"/>
  </sheets>
  <definedNames>
    <definedName name="MLNK076abed6b3c84f7ebf219ca7aa29e159" hidden="1">#REF!</definedName>
    <definedName name="MLNK0b58962b1b7a4328827df906c4feb14e" hidden="1">#REF!</definedName>
    <definedName name="MLNK129f0b34cdce462787151a8b4ea161fb" hidden="1">#REF!</definedName>
    <definedName name="MLNK1562f22242a34c68a8690b8ee9818b23" hidden="1">#REF!</definedName>
    <definedName name="MLNK15e782c34dbe490ea7cdfd5fd01b7495" localSheetId="1" hidden="1">CRH!$1:$1048576</definedName>
    <definedName name="MLNK15e782c34dbe490ea7cdfd5fd01b7495" hidden="1">#REF!</definedName>
    <definedName name="MLNK15e9fccb2bc64971975ac24cc7d5e44b" hidden="1">#REF!</definedName>
    <definedName name="MLNK1b92abcb2f2e4dbe9e8d5435b1f1dda2" hidden="1">#REF!</definedName>
    <definedName name="MLNK1c00db5337f54d0ca5a02a9a38c1f430" hidden="1">#REF!</definedName>
    <definedName name="MLNK23bbfdf4d35f4533968274fabae368fb" hidden="1">#REF!</definedName>
    <definedName name="MLNK28e38757d3034778a80097e5817dd1b5" hidden="1">#REF!</definedName>
    <definedName name="MLNK2a52885e55c64702b1f9564c2f4e3c01" hidden="1">CRH!$1:$1048576</definedName>
    <definedName name="MLNK2a75b0b0871e49daaf1018e06eaea303" hidden="1">#REF!</definedName>
    <definedName name="MLNK3167323d7675441cbbab83ac34741bf9" hidden="1">#REF!</definedName>
    <definedName name="MLNK342c84e1893c4f8697351836e590dcd0" hidden="1">#REF!</definedName>
    <definedName name="MLNK3674dd0aaf5a425cbfca781cf1804b3f" hidden="1">#REF!</definedName>
    <definedName name="MLNK380aa2041e3641d48299435ea2d68ed0" hidden="1">#REF!</definedName>
    <definedName name="MLNK3a5adf0d1f3b44c38c84eba8a913c5a6" hidden="1">#REF!</definedName>
    <definedName name="MLNK3d308ddb7e6b42f7bdab8dc4f88de342" hidden="1">#REF!</definedName>
    <definedName name="MLNK4312b527fd344e2a9c1301065160a207" hidden="1">#REF!</definedName>
    <definedName name="MLNK51cae6022e4044bb8d6939833111631e" hidden="1">#REF!</definedName>
    <definedName name="MLNK5940666281b645139cf26524a3392f19" hidden="1">#REF!</definedName>
    <definedName name="MLNK5dffe15beb6f4c74b9b8c4f7673cda64" hidden="1">#REF!</definedName>
    <definedName name="MLNK6435f12d0ca648239304c4d2cc05ab33" hidden="1">#REF!</definedName>
    <definedName name="MLNK77267f7695814ad480aa2e726b2f1810" localSheetId="1" hidden="1">CRH!$1:$1048576</definedName>
    <definedName name="MLNK77267f7695814ad480aa2e726b2f1810" hidden="1">#REF!</definedName>
    <definedName name="MLNK7784286fc37a4b9193772dc0e20db9ae" hidden="1">#REF!</definedName>
    <definedName name="MLNK7a5c2c0c5e4840fe8f5f59a85d26a165" hidden="1">CRH!$AS$4:$BK$35</definedName>
    <definedName name="MLNK829be5316a4b431ab754db614c828bc3" hidden="1">#REF!</definedName>
    <definedName name="MLNK829da9d90de848e5a71a4af599af75bc" hidden="1">#REF!</definedName>
    <definedName name="MLNK83e6e8dbc88e4a1db5cb80a8c686296a" hidden="1">CRH!$1:$1048576</definedName>
    <definedName name="MLNK866d37bd8f1d4a91a0a4014268b4d3e4" hidden="1">#REF!</definedName>
    <definedName name="MLNK8751ab6945c741cfbd3fc57cd2bd14f9" hidden="1">#REF!</definedName>
    <definedName name="MLNK8d7045e4c2fa48f0a8207b8d1c5050fd" hidden="1">#REF!</definedName>
    <definedName name="MLNK9421988591694927b749f3fc8a70a54e" localSheetId="1" hidden="1">CRH!$AS$4:$BK$35</definedName>
    <definedName name="MLNK9421988591694927b749f3fc8a70a54e" hidden="1">#REF!</definedName>
    <definedName name="MLNK9be86e77cf0742e399d55705ef8e0101" hidden="1">#REF!</definedName>
    <definedName name="MLNK9d963ffc6e4645ef9e5349891494e65c" hidden="1">#REF!</definedName>
    <definedName name="MLNK9e45aac24d5b491b8efc3ee1fa6fad97" hidden="1">#REF!</definedName>
    <definedName name="MLNKa1d3b26f708241328c448f10add0d601" hidden="1">#REF!</definedName>
    <definedName name="MLNKaed7c9b60bea43b9b9181c4a8feafe6e" hidden="1">#REF!</definedName>
    <definedName name="MLNKafe9de0063094b2e86dcc6b81ea6df08" hidden="1">#REF!</definedName>
    <definedName name="MLNKb2050519741d465e9d8d191ff2e8eb5f" hidden="1">#REF!</definedName>
    <definedName name="MLNKb881917ff9dd411ca2185c57fa2f3470" hidden="1">#REF!</definedName>
    <definedName name="MLNKb9a702cd1de048b6b3c18fe046b5ae2e" hidden="1">#REF!</definedName>
    <definedName name="MLNKbed25160da8d47f39ed3f3277888481f" hidden="1">#REF!</definedName>
    <definedName name="MLNKc5af124033ef49c192c18fbd82ea94bb" hidden="1">#REF!</definedName>
    <definedName name="MLNKc61d80b7af8d4dcaad38f7ab0163e82c" hidden="1">#REF!</definedName>
    <definedName name="MLNKc74888a40481468a8d5e1b980e8bc4c0" hidden="1">#REF!</definedName>
    <definedName name="MLNKc9d5aed13609407d8c35de66a849920b" hidden="1">#REF!</definedName>
    <definedName name="MLNKccafee14796f4a4f9e207d71f816360e" hidden="1">#REF!</definedName>
    <definedName name="MLNKd351de3e0f0d4afea615c9f93156935d" hidden="1">#REF!</definedName>
    <definedName name="MLNKd53c69d91fe447198106f80070ab74c2" hidden="1">#REF!</definedName>
    <definedName name="MLNKdbee2c67aab842c8a460fca5721cf40d" hidden="1">#REF!</definedName>
    <definedName name="MLNKeec4ca156cce4a0a95da7bf5b4dd4bf4" hidden="1">#REF!</definedName>
    <definedName name="MLNKfa54ff28316042e59f497f5072165d7f" hidden="1">#REF!</definedName>
    <definedName name="MLNKfa6f46c341de413f93a52995b51e743d" hidden="1">#REF!</definedName>
    <definedName name="Tegus_functions_Workbook_ID">"c56816c8-4f30-4347-aafa-e68b59574d35"</definedName>
  </definedNames>
  <calcPr calcId="191029" calcMode="autoNoTable" iterate="1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Matthew Branman</author>
  </authors>
  <commentList>
    <comment ref="A1" authorId="0" shapeId="0" xr:uid="{A5287DD0-60C7-41FB-9760-BEED983765B6}">
      <text>
        <r>
          <rPr>
            <b/>
            <sz val="9"/>
            <color indexed="81"/>
            <rFont val="Tahoma"/>
            <family val="2"/>
          </rPr>
          <t>&lt;?xml version="1.0" encoding="utf-8"?&gt;&lt;Schema xmlns:xsd="http://www.w3.org/2001/XMLSchema" xmlns:xsi="http://www.w3.org/2001/XMLSchema-instance" Version="2" Timestamp="1771902872"&gt;&lt;FQL&gt;&lt;Q&gt;CRS-US^P_BETA_LOCIDX(45485,45310,,"SPX")&lt;/Q&gt;&lt;R&gt;1&lt;/R&gt;&lt;C&gt;1&lt;/C&gt;&lt;D xsi:type="xsd:double"&gt;0.88270247&lt;/D&gt;&lt;/FQL&gt;&lt;FQL&gt;&lt;Q&gt;CRS-US^P_BETA_LOCIDX(45419,45243,,"SPX")&lt;/Q&gt;&lt;R&gt;1&lt;/R&gt;&lt;C&gt;1&lt;/C&gt;&lt;D xsi:type="xsd:double"&gt;0.91173804&lt;/D&gt;&lt;/FQL&gt;&lt;FQL&gt;&lt;Q&gt;CRS-US^P_BETA_LOCIDX(45387,45211,,"SPX")&lt;/Q&gt;&lt;R&gt;1&lt;/R&gt;&lt;C&gt;1&lt;/C&gt;&lt;D xsi:type="xsd:double"&gt;1.1094607&lt;/D&gt;&lt;/FQL&gt;&lt;FQL&gt;&lt;Q&gt;CRS-US^P_BETA_LOCIDX(45327,45152,,"SPX")&lt;/Q&gt;&lt;R&gt;1&lt;/R&gt;&lt;C&gt;1&lt;/C&gt;&lt;D xsi:type="xsd:double"&gt;1.2340397&lt;/D&gt;&lt;/FQL&gt;&lt;FQL&gt;&lt;Q&gt;CRS-US^P_BETA_LOCIDX(45267,45093,,"SPX")&lt;/Q&gt;&lt;R&gt;1&lt;/R&gt;&lt;C&gt;1&lt;/C&gt;&lt;D xsi:type="xsd:double"&gt;1.2211705&lt;/D&gt;&lt;/FQL&gt;&lt;FQL&gt;&lt;Q&gt;CRS-US^P_BETA_LOCIDX(45211,45037,,"SPX")&lt;/Q&gt;&lt;R&gt;1&lt;/R&gt;&lt;C&gt;1&lt;/C&gt;&lt;D xsi:type="xsd:double"&gt;1.6485926&lt;/D&gt;&lt;/FQL&gt;&lt;FQL&gt;&lt;Q&gt;CRS-US^P_BETA_LOCIDX(45156,44984,,"SPX")&lt;/Q&gt;&lt;R&gt;1&lt;/R&gt;&lt;C&gt;1&lt;/C&gt;&lt;D xsi:type="xsd:double"&gt;1.8497506&lt;/D&gt;&lt;/FQL&gt;&lt;FQL&gt;&lt;Q&gt;CRS-US^P_BETA_LOCIDX(45072,44897,,"SPX")&lt;/Q&gt;&lt;R&gt;1&lt;/R&gt;&lt;C&gt;1&lt;/C&gt;&lt;D xsi:type="xsd:double"&gt;1.7965279&lt;/D&gt;&lt;/FQL&gt;&lt;FQL&gt;&lt;Q&gt;CRS-US^P_BETA_LOCIDX(45019,44844,,"SPX")&lt;/Q&gt;&lt;R&gt;1&lt;/R&gt;&lt;C&gt;1&lt;/C&gt;&lt;D xsi:type="xsd:double"&gt;1.3420951&lt;/D&gt;&lt;/FQL&gt;&lt;FQL&gt;&lt;Q&gt;CRS-US^P_BETA_LOCIDX(44964,44789,,"SPX")&lt;/Q&gt;&lt;R&gt;1&lt;/R&gt;&lt;C&gt;1&lt;/C&gt;&lt;D xsi:type="xsd:double"&gt;1.4463162&lt;/D&gt;&lt;/FQL&gt;&lt;FQL&gt;&lt;Q&gt;CRS-US^P_BETA_LOCIDX(45449,45273,,"SPX")&lt;/Q&gt;&lt;R&gt;1&lt;/R&gt;&lt;C&gt;1&lt;/C&gt;&lt;D xsi:type="xsd:double"&gt;1.0712123&lt;/D&gt;&lt;/FQL&gt;&lt;FQL&gt;&lt;Q&gt;CRS-US^P_BETA_LOCIDX(45237,45063,,"SPX")&lt;/Q&gt;&lt;R&gt;1&lt;/R&gt;&lt;C&gt;1&lt;/C&gt;&lt;D xsi:type="xsd:double"&gt;1.3985825&lt;/D&gt;&lt;/FQL&gt;&lt;FQL&gt;&lt;Q&gt;CRS-US^P_BETA_LOCIDX(45210,45036,,"SPX")&lt;/Q&gt;&lt;R&gt;1&lt;/R&gt;&lt;C&gt;1&lt;/C&gt;&lt;D xsi:type="xsd:double"&gt;1.6045811&lt;/D&gt;&lt;/FQL&gt;&lt;FQL&gt;&lt;Q&gt;CRS-US^P_BETA_LOCIDX(45131,44956,,"SPX")&lt;/Q&gt;&lt;R&gt;1&lt;/R&gt;&lt;C&gt;1&lt;/C&gt;&lt;D xsi:type="xsd:double"&gt;1.7988378&lt;/D&gt;&lt;/FQL&gt;&lt;FQL&gt;&lt;Q&gt;CRS-US^P_BETA_LOCIDX(44992,44817,,"SPX")&lt;/Q&gt;&lt;R&gt;1&lt;/R&gt;&lt;C&gt;1&lt;/C&gt;&lt;D xsi:type="xsd:double"&gt;1.3559314&lt;/D&gt;&lt;/FQL&gt;&lt;FQL&gt;&lt;Q&gt;CRS-US^P_BETA_LOCIDX(45917,45742,,"SPX")&lt;/Q&gt;&lt;R&gt;1&lt;/R&gt;&lt;C&gt;1&lt;/C&gt;&lt;D xsi:type="xsd:double"&gt;1.4948987&lt;/D&gt;&lt;/FQL&gt;&lt;FQL&gt;&lt;Q&gt;CRS-US^P_BETA_LOCIDX(45814,45637,,"SPX")&lt;/Q&gt;&lt;R&gt;1&lt;/R&gt;&lt;C&gt;1&lt;/C&gt;&lt;D xsi:type="xsd:double"&gt;1.6225122&lt;/D&gt;&lt;/FQL&gt;&lt;FQL&gt;&lt;Q&gt;CRS-US^P_BETA_LOCIDX(45747,45569,,"SPX")&lt;/Q&gt;&lt;R&gt;1&lt;/R&gt;&lt;C&gt;1&lt;/C&gt;&lt;D xsi:type="xsd:double"&gt;1.8142716&lt;/D&gt;&lt;/FQL&gt;&lt;FQL&gt;&lt;Q&gt;CRS-US^P_BETA_LOCIDX(45643,45470,,"SPX")&lt;/Q&gt;&lt;R&gt;1&lt;/R&gt;&lt;C&gt;1&lt;/C&gt;&lt;D xsi:type="xsd:double"&gt;1.7329247&lt;/D&gt;&lt;/FQL&gt;&lt;FQL&gt;&lt;Q&gt;CRS-US^P_BETA_LOCIDX(45580,45406,,"SPX")&lt;/Q&gt;&lt;R&gt;1&lt;/R&gt;&lt;C&gt;1&lt;/C&gt;&lt;D xsi:type="xsd:double"&gt;1.305869&lt;/D&gt;&lt;/FQL&gt;&lt;FQL&gt;&lt;Q&gt;CRS-US^P_BETA_LOCIDX(45548,45373,,"SPX")&lt;/Q&gt;&lt;R&gt;1&lt;/R&gt;&lt;C&gt;1&lt;/C&gt;&lt;D xsi:type="xsd:double"&gt;1.296745&lt;/D&gt;&lt;/FQL&gt;&lt;FQL&gt;&lt;Q&gt;CRS-US^P_BETA_LOCIDX(45484,45309,,"SPX")&lt;/Q&gt;&lt;R&gt;1&lt;/R&gt;&lt;C&gt;1&lt;/C&gt;&lt;D xsi:type="xsd:double"&gt;0.90704924&lt;/D&gt;&lt;/FQL&gt;&lt;FQL&gt;&lt;Q&gt;CRS-US^P_BETA_LOCIDX(45296,45124,,"SPX")&lt;/Q&gt;&lt;R&gt;1&lt;/R&gt;&lt;C&gt;1&lt;/C&gt;&lt;D xsi:type="xsd:double"&gt;1.2657089&lt;/D&gt;&lt;/FQL&gt;&lt;FQL&gt;&lt;Q&gt;CRS-US^P_BETA_LOCIDX(45183,45008,,"SPX")&lt;/Q&gt;&lt;R&gt;1&lt;/R&gt;&lt;C&gt;1&lt;/C&gt;&lt;D xsi:type="xsd:double"&gt;1.7160647&lt;/D&gt;&lt;/FQL&gt;&lt;FQL&gt;&lt;Q&gt;CRS-US^P_BETA_LOCIDX(45044,44868,,"SPX")&lt;/Q&gt;&lt;R&gt;1&lt;/R&gt;&lt;C&gt;1&lt;/C&gt;&lt;D xsi:type="xsd:double"&gt;1.4935801&lt;/D&gt;&lt;/FQL&gt;&lt;FQL&gt;&lt;Q&gt;CRS-US^P_BETA_LOCIDX(44963,44788,,"SPX")&lt;/Q&gt;&lt;R&gt;1&lt;/R&gt;&lt;C&gt;1&lt;/C&gt;&lt;D xsi:type="xsd:double"&gt;1.4429153&lt;/D&gt;&lt;/FQL&gt;&lt;FQL&gt;&lt;Q&gt;CRS-US^P_BETA_LOCIDX(46038,45868,,"SPX")&lt;/Q&gt;&lt;R&gt;1&lt;/R&gt;&lt;C&gt;1&lt;/C&gt;&lt;D xsi:type="xsd:double"&gt;1.2899231&lt;/D&gt;&lt;/FQL&gt;&lt;FQL&gt;&lt;Q&gt;CRS-US^P_BETA_LOCIDX(45992,45818,,"SPX")&lt;/Q&gt;&lt;R&gt;1&lt;/R&gt;&lt;C&gt;1&lt;/C&gt;&lt;D xsi:type="xsd:double"&gt;1.1895055&lt;/D&gt;&lt;/FQL&gt;&lt;FQL&gt;&lt;Q&gt;CRS-US^P_BETA_LOCIDX(45951,45777,,"SPX")&lt;/Q&gt;&lt;R&gt;1&lt;/R&gt;&lt;C&gt;1&lt;/C&gt;&lt;D xsi:type="xsd:double"&gt;0.98604786&lt;/D&gt;&lt;/FQL&gt;&lt;FQL&gt;&lt;Q&gt;CRS-US^P_BETA_LOCIDX(45882,45708,,"SPX")&lt;/Q&gt;&lt;R&gt;1&lt;/R&gt;&lt;C&gt;1&lt;/C&gt;&lt;D xsi:type="xsd:double"&gt;1.5797071&lt;/D&gt;&lt;/FQL&gt;&lt;FQL&gt;&lt;Q&gt;CRS-US^P_BETA_LOCIDX(45848,45672,,"SPX")&lt;/Q&gt;&lt;R&gt;1&lt;/R&gt;&lt;C&gt;1&lt;/C&gt;&lt;D xsi:type="xsd:double"&gt;1.6225814&lt;/D&gt;&lt;/FQL&gt;&lt;FQL&gt;&lt;Q&gt;CRS-US^P_BETA_LOCIDX(45813,45636,,"SPX")&lt;/Q&gt;&lt;R&gt;1&lt;/R&gt;&lt;C&gt;1&lt;/C&gt;&lt;D xsi:type="xsd:double"&gt;1.6281577&lt;/D&gt;&lt;/FQL&gt;&lt;FQL&gt;&lt;Q&gt;CRS-US^P_BETA_LOCIDX(45779,45602,,"SPX")&lt;/Q&gt;&lt;R&gt;1&lt;/R&gt;&lt;C&gt;1&lt;/C&gt;&lt;D xsi:type="xsd:double"&gt;1.7185415&lt;/D&gt;&lt;/FQL&gt;&lt;FQL&gt;&lt;Q&gt;CRS-US^P_BETA_LOCIDX(45714,45538,,"SPX")&lt;/Q&gt;&lt;R&gt;1&lt;/R&gt;&lt;C&gt;1&lt;/C&gt;&lt;D xsi:type="xsd:double"&gt;1.8868916&lt;/D&gt;&lt;/FQL&gt;&lt;FQL&gt;&lt;Q&gt;CRS-US^P_BETA_LOCIDX(45680,45504,,"SPX")&lt;/Q&gt;&lt;R&gt;1&lt;/R&gt;&lt;C&gt;1&lt;/C&gt;&lt;D xsi:type="xsd:double"&gt;1.743933&lt;/D&gt;&lt;/FQL&gt;&lt;FQL&gt;&lt;Q&gt;CRS-US^P_BETA_LOCIDX(45609,45435,,"SPX")&lt;/Q&gt;&lt;R&gt;1&lt;/R&gt;&lt;C&gt;1&lt;/C&gt;&lt;D xsi:type="xsd:double"&gt;1.7399372&lt;/D&gt;&lt;/FQL&gt;&lt;FQL&gt;&lt;Q&gt;CRS-US^P_BETA_LOCIDX(45579,45405,,"SPX")&lt;/Q&gt;&lt;R&gt;1&lt;/R&gt;&lt;C&gt;1&lt;/C&gt;&lt;D xsi:type="xsd:double"&gt;1.304739&lt;/D&gt;&lt;/FQL&gt;&lt;FQL&gt;&lt;Q&gt;CRS-US^P_BETA_LOCIDX(45516,45342,,"SPX")&lt;/Q&gt;&lt;R&gt;1&lt;/R&gt;&lt;C&gt;1&lt;/C&gt;&lt;D xsi:type="xsd:double"&gt;1.0806584&lt;/D&gt;&lt;/FQL&gt;&lt;FQL&gt;&lt;Q&gt;CRS-US^P_BETA_LOCIDX(45483,45308,,"SPX")&lt;/Q&gt;&lt;R&gt;1&lt;/R&gt;&lt;C&gt;1&lt;/C&gt;&lt;D xsi:type="xsd:double"&gt;0.96535&lt;/D&gt;&lt;/FQL&gt;&lt;FQL&gt;&lt;Q&gt;CRS-US^P_BETA_LOCIDX(45418,45240,,"SPX")&lt;/Q&gt;&lt;R&gt;1&lt;/R&gt;&lt;C&gt;1&lt;/C&gt;&lt;D xsi:type="xsd:double"&gt;0.8913951&lt;/D&gt;&lt;/FQL&gt;&lt;FQL&gt;&lt;Q&gt;CRS-US^P_BETA_LOCIDX(45386,45210,,"SPX")&lt;/Q&gt;&lt;R&gt;1&lt;/R&gt;&lt;C&gt;1&lt;/C&gt;&lt;D xsi:type="xsd:double"&gt;1.1038448&lt;/D&gt;&lt;/FQL&gt;&lt;FQL&gt;&lt;Q&gt;CRS-US^P_BETA_LOCIDX(45324,45149,,"SPX")&lt;/Q&gt;&lt;R&gt;1&lt;/R&gt;&lt;C&gt;1&lt;/C&gt;&lt;D xsi:type="xsd:double"&gt;1.2179258&lt;/D&gt;&lt;/FQL&gt;&lt;FQL&gt;&lt;Q&gt;CRS-US^P_BETA_LOCIDX(45295,45121,,"SPX")&lt;/Q&gt;&lt;R&gt;1&lt;/R&gt;&lt;C&gt;1&lt;/C&gt;&lt;D xsi:type="xsd:double"&gt;1.2753205&lt;/D&gt;&lt;/FQL&gt;&lt;FQL&gt;&lt;Q&gt;CRS-US^P_BETA_LOCIDX(45265,45091,,"SPX")&lt;/Q&gt;&lt;R&gt;1&lt;/R&gt;&lt;C&gt;1&lt;/C&gt;&lt;D xsi:type="xsd:double"&gt;1.2853988&lt;/D&gt;&lt;/FQL&gt;&lt;FQL&gt;&lt;Q&gt;CRS-US^P_BETA_LOCIDX(45209,45035,,"SPX")&lt;/Q&gt;&lt;R&gt;1&lt;/R&gt;&lt;C&gt;1&lt;/C&gt;&lt;D xsi:type="xsd:double"&gt;1.6118574&lt;/D&gt;&lt;/FQL&gt;&lt;FQL&gt;&lt;Q&gt;CRS-US^P_BETA_LOCIDX(45155,44981,,"SPX")&lt;/Q&gt;&lt;R&gt;1&lt;/R&gt;&lt;C&gt;1&lt;/C&gt;&lt;D xsi:type="xsd:double"&gt;1.8345479&lt;/D&gt;&lt;/FQL&gt;&lt;FQL&gt;&lt;Q&gt;CRS-US^P_BETA_LOCIDX(45071,44896,,"SPX")&lt;/Q&gt;&lt;R&gt;1&lt;/R&gt;&lt;C&gt;1&lt;/C&gt;&lt;D xsi:type="xsd:double"&gt;1.8230662&lt;/D&gt;&lt;/FQL&gt;&lt;FQL&gt;&lt;Q&gt;CRS-US^P_BETA_LOCIDX(45016,44841,,"SPX")&lt;/Q&gt;&lt;R&gt;1&lt;/R&gt;&lt;C&gt;1&lt;/C&gt;&lt;D xsi:type="xsd:double"&gt;1.3142524&lt;/D&gt;&lt;/FQL&gt;&lt;FQL&gt;&lt;Q&gt;CRS-US^P_BETA_LOCIDX(45950,45776,,"SPX")&lt;/Q&gt;&lt;R&gt;1&lt;/R&gt;&lt;C&gt;1&lt;/C&gt;&lt;D xsi:type="xsd:double"&gt;0.9842675&lt;/D&gt;&lt;/FQL&gt;&lt;FQL&gt;&lt;Q&gt;CRS-US^P_BETA_LOCIDX(45916,45741,,"SPX")&lt;/Q&gt;&lt;R&gt;1&lt;/R&gt;&lt;C&gt;1&lt;/C&gt;&lt;D xsi:type="xsd:double"&gt;1.4959383&lt;/D&gt;&lt;/FQL&gt;&lt;FQL&gt;&lt;Q&gt;CRS-US^P_BETA_LOCIDX(45881,45707,,"SPX")&lt;/Q&gt;&lt;R&gt;1&lt;/R&gt;&lt;C&gt;1&lt;/C&gt;&lt;D xsi:type="xsd:double"&gt;1.5841347&lt;/D&gt;&lt;/FQL&gt;&lt;FQL&gt;&lt;Q&gt;CRS-US^P_BETA_LOCIDX(45744,45568,,"SPX")&lt;/Q&gt;&lt;R&gt;1&lt;/R&gt;&lt;C&gt;1&lt;/C&gt;&lt;D xsi:type="xsd:double"&gt;1.8247637&lt;/D&gt;&lt;/FQL&gt;&lt;FQL&gt;&lt;Q&gt;CRS-US^P_BETA_LOCIDX(45678,45502,,"SPX")&lt;/Q&gt;&lt;R&gt;1&lt;/R&gt;&lt;C&gt;1&lt;/C&gt;&lt;D xsi:type="xsd:double"&gt;1.747447&lt;/D&gt;&lt;/FQL&gt;&lt;FQL&gt;&lt;Q&gt;CRS-US^P_BETA_LOCIDX(45642,45469,,"SPX")&lt;/Q&gt;&lt;R&gt;1&lt;/R&gt;&lt;C&gt;1&lt;/C&gt;&lt;D xsi:type="xsd:double"&gt;1.728593&lt;/D&gt;&lt;/FQL&gt;&lt;FQL&gt;&lt;Q&gt;CRS-US^P_BETA_LOCIDX(45546,45371,,"SPX")&lt;/Q&gt;&lt;R&gt;1&lt;/R&gt;&lt;C&gt;1&lt;/C&gt;&lt;D xsi:type="xsd:double"&gt;1.251138&lt;/D&gt;&lt;/FQL&gt;&lt;FQL&gt;&lt;Q&gt;CRS-US^P_BETA_LOCIDX(45513,45338,,"SPX")&lt;/Q&gt;&lt;R&gt;1&lt;/R&gt;&lt;C&gt;1&lt;/C&gt;&lt;D xsi:type="xsd:double"&gt;1.0849206&lt;/D&gt;&lt;/FQL&gt;&lt;FQL&gt;&lt;Q&gt;CRS-US^P_BETA_LOCIDX(45448,45272,,"SPX")&lt;/Q&gt;&lt;R&gt;1&lt;/R&gt;&lt;C&gt;1&lt;/C&gt;&lt;D xsi:type="xsd:double"&gt;1.0592605&lt;/D&gt;&lt;/FQL&gt;&lt;FQL&gt;&lt;Q&gt;CRS-US^P_BETA_LOCIDX(45415,45239,,"SPX")&lt;/Q&gt;&lt;R&gt;1&lt;/R&gt;&lt;C&gt;1&lt;/C&gt;&lt;D xsi:type="xsd:double"&gt;0.9242916&lt;/D&gt;&lt;/FQL&gt;&lt;FQL&gt;&lt;Q&gt;CRS-US^P_BETA_LOCIDX(45355,45180,,"SPX")&lt;/Q&gt;&lt;R&gt;1&lt;/R&gt;&lt;C&gt;1&lt;/C&gt;&lt;D xsi:type="xsd:double"&gt;1.2975892&lt;/D&gt;&lt;/FQL&gt;&lt;FQL&gt;&lt;Q&gt;CRS-US^P_BETA_LOCIDX(45323,45148,,"SPX")&lt;/Q&gt;&lt;R&gt;1&lt;/R&gt;&lt;C&gt;1&lt;/C&gt;&lt;D xsi:type="xsd:double"&gt;1.230343&lt;/D&gt;&lt;/FQL&gt;&lt;FQL&gt;&lt;Q&gt;CRS-US^P_BETA_LOCIDX(45264,45090,,"SPX")&lt;/Q&gt;&lt;R&gt;1&lt;/R&gt;&lt;C&gt;1&lt;/C&gt;&lt;D xsi:type="xsd:double"&gt;1.2887752&lt;/D&gt;&lt;/FQL&gt;&lt;FQL&gt;&lt;Q&gt;CRS-US^P_BETA_LOCIDX(45236,45062,,"SPX")&lt;/Q&gt;&lt;R&gt;1&lt;/R&gt;&lt;C&gt;1&lt;/C&gt;&lt;D xsi:type="xsd:double"&gt;1.4826431&lt;/D&gt;&lt;/FQL&gt;&lt;FQL&gt;&lt;Q&gt;CRS-US^P_BETA_LOCIDX(45182,45007,,"SPX")&lt;/Q&gt;&lt;R&gt;1&lt;/R&gt;&lt;C&gt;1&lt;/C&gt;&lt;D xsi:type="xsd:double"&gt;1.7075022&lt;/D&gt;&lt;/FQL&gt;&lt;FQL&gt;&lt;Q&gt;CRS-US^P_BETA_LOCIDX(45127,44952,,"SPX")&lt;/Q&gt;&lt;R&gt;1&lt;/R&gt;&lt;C&gt;1&lt;/C&gt;&lt;D xsi:type="xsd:double"&gt;1.8493282&lt;/D&gt;&lt;/FQL&gt;&lt;FQL&gt;&lt;Q&gt;CRS-US^P_BETA_LOCIDX(45099,44923,,"SPX")&lt;/Q&gt;&lt;R&gt;1&lt;/R&gt;&lt;C&gt;1&lt;/C&gt;&lt;D xsi:type="xsd:double"&gt;1.8093216&lt;/D&gt;&lt;/FQL&gt;&lt;FQL&gt;&lt;Q&gt;CRS-US^P_BETA_LOCIDX(45070,44895,,"SPX")&lt;/Q&gt;&lt;R&gt;1&lt;/R&gt;&lt;C&gt;1&lt;/C&gt;&lt;D xsi:type="xsd:double"&gt;1.751003&lt;/D&gt;&lt;/FQL&gt;&lt;FQL&gt;&lt;Q&gt;CRS-US^P_BETA_LOCIDX(45043,44867,,"SPX")&lt;/Q&gt;&lt;R&gt;1&lt;/R&gt;&lt;C&gt;1&lt;/C&gt;&lt;D xsi:type="xsd:double"&gt;1.562882&lt;/D&gt;&lt;/FQL&gt;&lt;FQL&gt;&lt;Q&gt;CRS-US^P_BETA_LOCIDX(44991,44816,,"SPX")&lt;/Q&gt;&lt;R&gt;1&lt;/R&gt;&lt;C&gt;1&lt;/C&gt;&lt;D xsi:type="xsd:double"&gt;1.3885988&lt;/D&gt;&lt;/FQL&gt;&lt;FQL&gt;&lt;Q&gt;CRS-US^P_BETA_LOCIDX(44960,44785,,"SPX")&lt;/Q&gt;&lt;R&gt;1&lt;/R&gt;&lt;C&gt;1&lt;/C&gt;&lt;D xsi:type="xsd:double"&gt;1.4341686&lt;/D&gt;&lt;/FQL&gt;&lt;FQL&gt;&lt;Q&gt;CRS-US^P_BETA_LOCIDX(46036,45866,,"SPX")&lt;/Q&gt;&lt;R&gt;1&lt;/R&gt;&lt;C&gt;1&lt;/C&gt;&lt;D xsi:type="xsd:double"&gt;1.2717056&lt;/D&gt;&lt;/FQL&gt;&lt;FQL&gt;&lt;Q&gt;CRS-US^P_BETA_LOCIDX(45987,45814,,"SPX")&lt;/Q&gt;&lt;R&gt;1&lt;/R&gt;&lt;C&gt;1&lt;/C&gt;&lt;D xsi:type="xsd:double"&gt;1.1840852&lt;/D&gt;&lt;/FQL&gt;&lt;FQL&gt;&lt;Q&gt;CRS-US^P_BETA_LOCIDX(45947,45775,,"SPX")&lt;/Q&gt;&lt;R&gt;1&lt;/R&gt;&lt;C&gt;1&lt;/C&gt;&lt;D xsi:type="xsd:double"&gt;0.9782314&lt;/D&gt;&lt;/FQL&gt;&lt;FQL&gt;&lt;Q&gt;CRS-US^P_BETA_LOCIDX(45880,45706,,"SPX")&lt;/Q&gt;&lt;R&gt;1&lt;/R&gt;&lt;C&gt;1&lt;/C&gt;&lt;D xsi:type="xsd:double"&gt;1.5838603&lt;/D&gt;&lt;/FQL&gt;&lt;FQL&gt;&lt;Q&gt;CRS-US^P_BETA_LOCIDX(45847,45671,,"SPX")&lt;/Q&gt;&lt;R&gt;1&lt;/R&gt;&lt;C&gt;1&lt;/C&gt;&lt;D xsi:type="xsd:double"&gt;1.6232488&lt;/D&gt;&lt;/FQL&gt;&lt;FQL&gt;&lt;Q&gt;CRS-US^P_BETA_LOCIDX(45812,45635,,"SPX")&lt;/Q&gt;&lt;R&gt;1&lt;/R&gt;&lt;C&gt;1&lt;/C&gt;&lt;D xsi:type="xsd:double"&gt;1.6379489&lt;/D&gt;&lt;/FQL&gt;&lt;FQL&gt;&lt;Q&gt;CRS-US^P_BETA_LOCIDX(45777,45600,,"SPX")&lt;/Q&gt;&lt;R&gt;1&lt;/R&gt;&lt;C&gt;1&lt;/C&gt;&lt;D xsi:type="xsd:double"&gt;1.71063&lt;/D&gt;&lt;/FQL&gt;&lt;FQL&gt;&lt;Q&gt;CRS-US^P_BETA_LOCIDX(45743,45567,,"SPX")&lt;/Q&gt;&lt;R&gt;1&lt;/R&gt;&lt;C&gt;1&lt;/C&gt;&lt;D xsi:type="xsd:double"&gt;1.8446376&lt;/D&gt;&lt;/FQL&gt;&lt;FQL&gt;&lt;Q&gt;CRS-US^P_BETA_LOCIDX(45712,45533,,"SPX")&lt;/Q&gt;&lt;R&gt;1&lt;/R&gt;&lt;C&gt;1&lt;/C&gt;&lt;D xsi:type="xsd:double"&gt;1.8807851&lt;/D&gt;&lt;/FQL&gt;&lt;FQL&gt;&lt;Q&gt;CRS-US^P_BETA_LOCIDX(45608,45434,,"SPX")&lt;/Q&gt;&lt;R&gt;1&lt;/R&gt;&lt;C&gt;1&lt;/C&gt;&lt;D xsi:type="xsd:double"&gt;1.7551062&lt;/D&gt;&lt;/FQL&gt;&lt;FQL&gt;&lt;Q&gt;CRS-US^P_BETA_LOCIDX(45576,45404,,"SPX")&lt;/Q&gt;&lt;R&gt;1&lt;/R&gt;&lt;C&gt;1&lt;/C&gt;&lt;D xsi:type="xsd:double"&gt;1.3336117&lt;/D&gt;&lt;/FQL&gt;&lt;FQL&gt;&lt;Q&gt;CRS-US^P_BETA_LOCIDX(45512,45337,,"SPX")&lt;/Q&gt;&lt;R&gt;1&lt;/R&gt;&lt;C&gt;1&lt;/C&gt;&lt;D xsi:type="xsd:double"&gt;1.1096523&lt;/D&gt;&lt;/FQL&gt;&lt;FQL&gt;&lt;Q&gt;CRS-US^P_BETA_LOCIDX(45482,45307,,"SPX")&lt;/Q&gt;&lt;R&gt;1&lt;/R&gt;&lt;C&gt;1&lt;/C&gt;&lt;D xsi:type="xsd:double"&gt;0.9912615&lt;/D&gt;&lt;/FQL&gt;&lt;FQL&gt;&lt;Q&gt;CRS-US^P_BETA_LOCIDX(45384,45208,,"SPX")&lt;/Q&gt;&lt;R&gt;1&lt;/R&gt;&lt;C&gt;1&lt;/C&gt;&lt;D xsi:type="xsd:double"&gt;1.2677792&lt;/D&gt;&lt;/FQL&gt;&lt;FQL&gt;&lt;Q&gt;CRS-US^P_BETA_LOCIDX(45294,45120,,"SPX")&lt;/Q&gt;&lt;R&gt;1&lt;/R&gt;&lt;C&gt;1&lt;/C&gt;&lt;D xsi:type="xsd:double"&gt;1.281784&lt;/D&gt;&lt;/FQL&gt;&lt;FQL&gt;&lt;Q&gt;CRS-US^P_BETA_LOCIDX(45208,45034,,"SPX")&lt;/Q&gt;&lt;R&gt;1&lt;/R&gt;&lt;C&gt;1&lt;/C&gt;&lt;D xsi:type="xsd:double"&gt;1.5924009&lt;/D&gt;&lt;/FQL&gt;&lt;FQL&gt;&lt;Q&gt;CRS-US^P_BETA_LOCIDX(45154,44980,,"SPX")&lt;/Q&gt;&lt;R&gt;1&lt;/R&gt;&lt;C&gt;1&lt;/C&gt;&lt;D xsi:type="xsd:double"&gt;1.8187938&lt;/D&gt;&lt;/FQL&gt;&lt;FQL&gt;&lt;Q&gt;CRS-US^P_BETA_LOCIDX(45126,44951,,"SPX")&lt;/Q&gt;&lt;R&gt;1&lt;/R&gt;&lt;C&gt;1&lt;/C&gt;&lt;D xsi:type="xsd:double"&gt;1.8635751&lt;/D&gt;&lt;/FQL&gt;&lt;FQL&gt;&lt;Q&gt;CRS-US^P_BETA_LOCIDX(45069,44894,,"SPX")&lt;/Q&gt;&lt;R&gt;1&lt;/R&gt;&lt;C&gt;1&lt;/C&gt;&lt;D xsi:type="xsd:double"&gt;1.737567&lt;/D&gt;&lt;/FQL&gt;&lt;FQL&gt;&lt;Q&gt;CRS-US^P_BETA_LOCIDX(45015,44840,,"SPX")&lt;/Q&gt;&lt;R&gt;1&lt;/R&gt;&lt;C&gt;1&lt;/C&gt;&lt;D xsi:type="xsd:double"&gt;1.3089473&lt;/D&gt;&lt;/FQL&gt;&lt;FQL&gt;&lt;Q&gt;CRS-US^P_BETA_LOCIDX(45915,45740,,"SPX")&lt;/Q&gt;&lt;R&gt;1&lt;/R&gt;&lt;C&gt;1&lt;/C&gt;&lt;D xsi:type="xsd:double"&gt;1.5190334&lt;/D&gt;&lt;/FQL&gt;&lt;FQL&gt;&lt;Q&gt;CRS-US^P_BETA_LOCIDX(45811,45632,,"SPX")&lt;/Q&gt;&lt;R&gt;1&lt;/R&gt;&lt;C&gt;1&lt;/C&gt;&lt;D xsi:type="xsd:double"&gt;1.6367997&lt;/D&gt;&lt;/FQL&gt;&lt;FQL&gt;&lt;Q&gt;CRS-US^P_BETA_LOCIDX(45674,45499,,"SPX")&lt;/Q&gt;&lt;R&gt;1&lt;/R&gt;&lt;C&gt;1&lt;/C&gt;&lt;D xsi:type="xsd:double"&gt;1.7674884&lt;/D&gt;&lt;/FQL&gt;&lt;FQL&gt;&lt;Q&gt;CRS-US^P_BETA_LOCIDX(45639,45468,,"SPX")&lt;/Q&gt;&lt;R&gt;1&lt;/R&gt;&lt;C&gt;1&lt;/C&gt;&lt;D xsi:type="xsd:double"&gt;1.7384707&lt;/D&gt;&lt;/FQL&gt;&lt;FQL&gt;&lt;Q&gt;CRS-US^P_BETA_LOCIDX(45575,45401,,"SPX")&lt;/Q&gt;&lt;R&gt;1&lt;/R&gt;&lt;C&gt;1&lt;/C&gt;&lt;D xsi:type="xsd:double"&gt;1.3548812&lt;/D&gt;&lt;/FQL&gt;&lt;FQL&gt;&lt;Q&gt;CRS-US^P_BETA_LOCIDX(45544,45369,,"SPX")&lt;/Q&gt;&lt;R&gt;1&lt;/R&gt;&lt;C&gt;1&lt;/C&gt;&lt;D xsi:type="xsd:double"&gt;1.2914481&lt;/D&gt;&lt;/FQL&gt;&lt;FQL&gt;&lt;Q&gt;CRS-US^P_BETA_LOCIDX(45447,45271,,"SPX")&lt;/Q&gt;&lt;R&gt;1&lt;/R&gt;&lt;C&gt;1&lt;/C&gt;&lt;D xsi:type="xsd:double"&gt;1.0472026&lt;/D&gt;&lt;/FQL&gt;&lt;FQL&gt;&lt;Q&gt;CRS-US^P_BETA_LOCIDX(45414,45238,,"SPX")&lt;/Q&gt;&lt;R&gt;1&lt;/R&gt;&lt;C&gt;1&lt;/C&gt;&lt;D xsi:type="xsd:double"&gt;0.88154554&lt;/D&gt;&lt;/FQL&gt;&lt;FQL&gt;&lt;Q&gt;CRS-US^P_BETA_LOCIDX(45383,45205,,"SPX")&lt;/Q&gt;&lt;R&gt;1&lt;/R&gt;&lt;C&gt;1&lt;/C&gt;&lt;D xsi:type="xsd:double"&gt;1.2844932&lt;/D&gt;&lt;/FQL&gt;&lt;FQL&gt;&lt;Q&gt;CRS-US^P_BETA_LOCIDX(45352,45177,,"SPX")&lt;/Q&gt;&lt;R&gt;1&lt;/R&gt;&lt;C&gt;1&lt;/C&gt;&lt;D xsi:type="xsd:double"&gt;1.2939615&lt;/D&gt;&lt;/FQL&gt;&lt;FQL&gt;&lt;Q&gt;CRS-US^P_BETA_LOCIDX(45322,45147,,"SPX")&lt;/Q&gt;&lt;R&gt;1&lt;/R&gt;&lt;C&gt;1&lt;/C&gt;&lt;D xsi:type="xsd:double"&gt;1.3007956&lt;/D&gt;&lt;/FQL&gt;&lt;FQL&gt;&lt;Q&gt;CRS-US^P_BETA_LOCIDX(45261,45089,,"SPX")&lt;/Q&gt;&lt;R&gt;1&lt;/R&gt;&lt;C&gt;1&lt;/C&gt;&lt;D xsi:type="xsd:double"&gt;1.298153&lt;/D&gt;&lt;/FQL&gt;&lt;FQL&gt;&lt;Q&gt;CRS-US^P_BETA_LOCIDX(45233,45061,,"SPX")&lt;/Q&gt;&lt;R&gt;1&lt;/R&gt;&lt;C&gt;1&lt;/C&gt;&lt;D xsi:type="xsd:double"&gt;1.4899577&lt;/D&gt;&lt;/FQL&gt;&lt;FQL&gt;&lt;Q&gt;CRS-US^P_BETA_LOCIDX(45181,45006,,"SPX")&lt;/Q&gt;&lt;R&gt;1&lt;/R&gt;&lt;C&gt;1&lt;/C&gt;&lt;D xsi:type="xsd:double"&gt;1.6791232&lt;/D&gt;&lt;/FQL&gt;&lt;FQL&gt;&lt;Q&gt;CRS-US^P_BETA_LOCIDX(45098,44922,,"SPX")&lt;/Q&gt;&lt;R&gt;1&lt;/R&gt;&lt;C&gt;1&lt;/C&gt;&lt;D xsi:type="xsd:double"&gt;1.8113581&lt;/D&gt;&lt;/FQL&gt;&lt;FQL&gt;&lt;Q&gt;CRS-US^P_BETA_LOCIDX(45042,44866,,"SPX")&lt;/Q&gt;&lt;R&gt;1&lt;/R&gt;&lt;C&gt;1&lt;/C&gt;&lt;D xsi:type="xsd:double"&gt;1.4585063&lt;/D&gt;&lt;/FQL&gt;&lt;FQL&gt;&lt;Q&gt;CRS-US^P_BETA_LOCIDX(44987,44812,,"SPX")&lt;/Q&gt;&lt;R&gt;1&lt;/R&gt;&lt;C&gt;1&lt;/C&gt;&lt;D xsi:type="xsd:double"&gt;1.4119179&lt;/D&gt;&lt;/FQL&gt;&lt;FQL&gt;&lt;Q&gt;CRS-US^P_BETA_LOCIDX(44959,44784,,"SPX")&lt;/Q&gt;&lt;R&gt;1&lt;/R&gt;&lt;C&gt;1&lt;/C&gt;&lt;D xsi:type="xsd:double"&gt;1.4391068&lt;/D&gt;&lt;/FQL&gt;&lt;FQL&gt;&lt;Q&gt;CRS-US^P_BETA_LOCIDX(46034,45862,,"SPX")&lt;/Q&gt;&lt;R&gt;1&lt;/R&gt;&lt;C&gt;1&lt;/C&gt;&lt;D xsi:type="xsd:double"&gt;1.2882165&lt;/D&gt;&lt;/FQL&gt;&lt;FQL&gt;&lt;Q&gt;CRS-US^P_BETA_LOCIDX(45985,45812,,"SPX")&lt;/Q&gt;&lt;R&gt;1&lt;/R&gt;&lt;C&gt;1&lt;/C&gt;&lt;D xsi:type="xsd:double"&gt;1.182609&lt;/D&gt;&lt;/FQL&gt;&lt;FQL&gt;&lt;Q&gt;CRS-US^P_BETA_LOCIDX(45946,45772,,"SPX")&lt;/Q&gt;&lt;R&gt;1&lt;/R&gt;&lt;C&gt;1&lt;/C&gt;&lt;D xsi:type="xsd:double"&gt;0.97227335&lt;/D&gt;&lt;/FQL&gt;&lt;FQL&gt;&lt;Q&gt;CRS-US^P_BETA_LOCIDX(45877,45702,,"SPX")&lt;/Q&gt;&lt;R&gt;1&lt;/R&gt;&lt;C&gt;1&lt;/C&gt;&lt;D xsi:type="xsd:double"&gt;1.5833638&lt;/D&gt;&lt;/FQL&gt;&lt;FQL&gt;&lt;Q&gt;CRS-US^P_BETA_LOCIDX(45846,45670,,"SPX")&lt;/Q&gt;&lt;R&gt;1&lt;/R&gt;&lt;C&gt;1&lt;/C&gt;&lt;D xsi:type="xsd:double"&gt;1.6257596&lt;/D&gt;&lt;/FQL&gt;&lt;FQL&gt;&lt;Q&gt;CRS-US^P_BETA_LOCIDX(45810,45631,,"SPX")&lt;/Q&gt;&lt;R&gt;1&lt;/R&gt;&lt;C&gt;1&lt;/C&gt;&lt;D xsi:type="xsd:double"&gt;1.633742&lt;/D&gt;&lt;/FQL&gt;&lt;FQL&gt;&lt;Q&gt;CRS-US^P_BETA_LOCIDX(45776,45597,,"SPX")&lt;/Q&gt;&lt;R&gt;1&lt;/R&gt;&lt;C&gt;1&lt;/C&gt;&lt;D xsi:type="xsd:double"&gt;1.715754&lt;/D&gt;&lt;/FQL&gt;&lt;FQL&gt;&lt;Q&gt;CRS-US^P_BETA_LOCIDX(45742,45566,,"SPX")&lt;/Q&gt;&lt;R&gt;1&lt;/R&gt;&lt;C&gt;1&lt;/C&gt;&lt;D xsi:type="xsd:double"&gt;1.8350651&lt;/D&gt;&lt;/FQL&gt;&lt;FQL&gt;&lt;Q&gt;CRS-US^P_BETA_LOCIDX(45708,45531,,"SPX")&lt;/Q&gt;&lt;R&gt;1&lt;/R&gt;&lt;C&gt;1&lt;/C&gt;&lt;D xsi:type="xsd:double"&gt;1.8393569&lt;/D&gt;&lt;/FQL&gt;&lt;FQL&gt;&lt;Q&gt;CRS-US^P_BETA_LOCIDX(45673,45498,,"SPX")&lt;/Q&gt;&lt;R&gt;1&lt;/R&gt;&lt;C&gt;1&lt;/C&gt;&lt;D xsi:type="xsd:double"&gt;1.6892397&lt;/D&gt;&lt;/FQL&gt;&lt;FQL&gt;&lt;Q&gt;CRS-US^P_BETA_LOCIDX(45607,45433,,"SPX")&lt;/Q&gt;&lt;R&gt;1&lt;/R&gt;&lt;C&gt;1&lt;/C&gt;&lt;D xsi:type="xsd:double"&gt;1.7535471&lt;/D&gt;&lt;/FQL&gt;&lt;FQL&gt;&lt;Q&gt;CRS-US^P_BETA_LOCIDX(45574,45400,,"SPX")&lt;/Q&gt;&lt;R&gt;1&lt;/R&gt;&lt;C&gt;1&lt;/C&gt;&lt;D xsi:type="xsd:double"&gt;1.3475144&lt;/D&gt;&lt;/FQL&gt;&lt;FQL&gt;&lt;Q&gt;CRS-US^P_BETA_LOCIDX(45511,45336,,"SPX")&lt;/Q&gt;&lt;R&gt;1&lt;/R&gt;&lt;C&gt;1&lt;/C&gt;&lt;D xsi:type="xsd:double"&gt;1.1018758&lt;/D&gt;&lt;/FQL&gt;&lt;FQL&gt;&lt;Q&gt;CRS-US^P_BETA_LOCIDX(45481,45303,,"SPX")&lt;/Q&gt;&lt;R&gt;1&lt;/R&gt;&lt;C&gt;1&lt;/C&gt;&lt;D xsi:type="xsd:double"&gt;0.9910235&lt;/D&gt;&lt;/FQL&gt;&lt;FQL&gt;&lt;Q&gt;CRS-US^P_BETA_LOCIDX(45413,45237,,"SPX")&lt;/Q&gt;&lt;R&gt;1&lt;/R&gt;&lt;C&gt;1&lt;/C&gt;&lt;D xsi:type="xsd:double"&gt;0.868905&lt;/D&gt;&lt;/FQL&gt;&lt;FQL&gt;&lt;Q&gt;CRS-US^P_BETA_LOCIDX(45351,45176,,"SPX")&lt;/Q&gt;&lt;R&gt;1&lt;/R&gt;&lt;C&gt;1&lt;/C&gt;&lt;D xsi:type="xsd:double"&gt;1.2829251&lt;/D&gt;&lt;/FQL&gt;&lt;FQL&gt;&lt;Q&gt;CRS-US^P_BETA_LOCIDX(45293,45119,,"SPX")&lt;/Q&gt;&lt;R&gt;1&lt;/R&gt;&lt;C&gt;1&lt;/C&gt;&lt;D xsi:type="xsd:double"&gt;1.2754154&lt;/D&gt;&lt;/FQL&gt;&lt;FQL&gt;&lt;Q&gt;CRS-US^P_BETA_LOCIDX(45232,45058,,"SPX")&lt;/Q&gt;&lt;R&gt;1&lt;/R&gt;&lt;C&gt;1&lt;/C&gt;&lt;D xsi:type="xsd:double"&gt;1.5276934&lt;/D&gt;&lt;/FQL&gt;&lt;FQL&gt;&lt;Q&gt;CRS-US^P_BETA_LOCIDX(45205,45033,,"SPX")&lt;/Q&gt;&lt;R&gt;1&lt;/R&gt;&lt;C&gt;1&lt;/C&gt;&lt;D xsi:type="xsd:double"&gt;1.5999067&lt;/D&gt;&lt;/FQL&gt;&lt;FQL&gt;&lt;Q&gt;CRS-US^P_BETA_LOCIDX(45153,44979,,"SPX")&lt;/Q&gt;&lt;R&gt;1&lt;/R&gt;&lt;C&gt;1&lt;/C&gt;&lt;D xsi:type="xsd:double"&gt;1.836253&lt;/D&gt;&lt;/FQL&gt;&lt;FQL&gt;&lt;Q&gt;CRS-US^P_BETA_LOCIDX(45125,44950,,"SPX")&lt;/Q&gt;&lt;R&gt;1&lt;/R&gt;&lt;C&gt;1&lt;/C&gt;&lt;D xsi:type="xsd:double"&gt;1.8719158&lt;/D&gt;&lt;/FQL&gt;&lt;FQL&gt;&lt;Q&gt;CRS-US^P_BETA_LOCIDX(45068,44893,,"SPX")&lt;/Q&gt;&lt;R&gt;1&lt;/R&gt;&lt;C&gt;1&lt;/C&gt;&lt;D xsi:type="xsd:double"&gt;1.7398938&lt;/D&gt;&lt;/FQL&gt;&lt;FQL&gt;&lt;Q&gt;CRS-US^P_BETA_LOCIDX(45014,44839,,"SPX")&lt;/Q&gt;&lt;R&gt;1&lt;/R&gt;&lt;C&gt;1&lt;/C&gt;&lt;D xsi:type="xsd:double"&gt;1.3122293&lt;/D&gt;&lt;/FQL&gt;&lt;FQL&gt;&lt;Q&gt;CRS-US^P_BETA_LOCIDX(44986,44811,,"SPX")&lt;/Q&gt;&lt;R&gt;1&lt;/R&gt;&lt;C&gt;1&lt;/C&gt;&lt;D xsi:type="xsd:double"&gt;1.418577&lt;/D&gt;&lt;/FQL&gt;&lt;FQL&gt;&lt;Q&gt;CRS-US^P_BETA_LOCIDX(45912,45737,,"SPX")&lt;/Q&gt;&lt;R&gt;1&lt;/R&gt;&lt;C&gt;1&lt;/C&gt;&lt;D xsi:type="xsd:double"&gt;1.519626&lt;/D&gt;&lt;/FQL&gt;&lt;FQL&gt;&lt;Q&gt;CRS-US^P_BETA_LOCIDX(45741,45565,,"SPX")&lt;/Q&gt;&lt;R&gt;1&lt;/R&gt;&lt;C&gt;1&lt;/C&gt;&lt;D xsi:type="xsd:double"&gt;1.8164437&lt;/D&gt;&lt;/FQL&gt;&lt;FQL&gt;&lt;Q&gt;CRS-US^P_BETA_LOCIDX(46031,45861,,"SPX")&lt;/Q&gt;&lt;R&gt;1&lt;/R&gt;&lt;C&gt;1&lt;/C&gt;&lt;D xsi:type="xsd:double"&gt;1.2749883&lt;/D&gt;&lt;/FQL&gt;&lt;FQL&gt;&lt;Q&gt;CRS-US^P_BETA_LOCIDX(45982,45811,,"SPX")&lt;/Q&gt;&lt;R&gt;1&lt;/R&gt;&lt;C&gt;1&lt;/C&gt;&lt;D xsi:type="xsd:double"&gt;1.1984875&lt;/D&gt;&lt;/FQL&gt;&lt;FQL&gt;&lt;Q&gt;CRS-US^P_BETA_LOCIDX(45945,45771,,"SPX")&lt;/Q&gt;&lt;R&gt;1&lt;/R&gt;&lt;C&gt;1&lt;/C&gt;&lt;D xsi:type="xsd:double"&gt;1.0324086&lt;/D&gt;&lt;/FQL&gt;&lt;FQL&gt;&lt;Q&gt;CRS-US^P_BETA_LOCIDX(45910,45735,,"SPX")&lt;/Q&gt;&lt;R&gt;1&lt;/R&gt;&lt;C&gt;1&lt;/C&gt;&lt;D xsi:type="xsd:double"&gt;1.5423902&lt;/D&gt;&lt;/FQL&gt;&lt;FQL&gt;&lt;Q&gt;CRS-US^P_BETA_LOCIDX(45876,45701,,"SPX")&lt;/Q&gt;&lt;R&gt;1&lt;/R&gt;&lt;C&gt;1&lt;/C&gt;&lt;D xsi:type="xsd:double"&gt;1.5800014&lt;/D&gt;&lt;/FQL&gt;&lt;FQL&gt;&lt;Q&gt;CRS-US^P_BETA_LOCIDX(45845,45667,,"SPX")&lt;/Q&gt;&lt;R&gt;1&lt;/R&gt;&lt;C&gt;1&lt;/C&gt;&lt;D xsi:type="xsd:double"&gt;1.606068&lt;/D&gt;&lt;/FQL&gt;&lt;FQL&gt;&lt;Q&gt;CRS-US^P_BETA_LOCIDX(45807,45630,,"SPX")&lt;/Q&gt;&lt;R&gt;1&lt;/R&gt;&lt;C&gt;1&lt;/C&gt;&lt;D xsi:type="xsd:double"&gt;1.6313435&lt;/D&gt;&lt;/FQL&gt;&lt;FQL&gt;&lt;Q&gt;CRS-US^P_BETA_LOCIDX(45909,45734,,"SPX")&lt;/Q&gt;&lt;R&gt;1&lt;/R&gt;&lt;C&gt;1&lt;/C&gt;&lt;D xsi:type="xsd:double"&gt;1.541297&lt;/D&gt;&lt;/FQL&gt;&lt;FQL&gt;&lt;Q&gt;CRS-US^P_BETA_LOCIDX(45840,45664,,"SPX")&lt;/Q&gt;&lt;R&gt;1&lt;/R&gt;&lt;C&gt;1&lt;/C&gt;&lt;D xsi:type="xsd:double"&gt;1.6124175&lt;/D&gt;&lt;/FQL&gt;&lt;FQL&gt;&lt;Q&gt;CRS-US^P_BETA_LOCIDX(45671,45496,,"SPX")&lt;/Q&gt;&lt;R&gt;1&lt;/R&gt;&lt;C&gt;1&lt;/C&gt;&lt;D xsi:type="xsd:double"&gt;1.704684&lt;/D&gt;&lt;/FQL&gt;&lt;FQL&gt;&lt;Q&gt;CRS-US^P_BETA_LOCIDX(45635,45461,,"SPX")&lt;/Q&gt;&lt;R&gt;1&lt;/R&gt;&lt;C&gt;1&lt;/C&gt;&lt;D xsi:type="xsd:double"&gt;1.7434899&lt;/D&gt;&lt;/FQL&gt;&lt;FQL&gt;&lt;Q&gt;CRS-US^P_BETA_LOCIDX(45540,45365,,"SPX")&lt;/Q&gt;&lt;R&gt;1&lt;/R&gt;&lt;C&gt;1&lt;/C&gt;&lt;D xsi:type="xsd:double"&gt;1.2362996&lt;/D&gt;&lt;/FQL&gt;&lt;FQL&gt;&lt;Q&gt;CRS-US^P_BETA_LOCIDX(45509,45334,,"SPX")&lt;/Q&gt;&lt;R&gt;1&lt;/R&gt;&lt;C&gt;1&lt;/C&gt;&lt;D xsi:type="xsd:double"&gt;1.1029358&lt;/D&gt;&lt;/FQL&gt;&lt;FQL&gt;&lt;Q&gt;CRS-US^P_BETA_LOCIDX(45442,45266,,"SPX")&lt;/Q&gt;&lt;R&gt;1&lt;/R&gt;&lt;C&gt;1&lt;/C&gt;&lt;D xsi:type="xsd:double"&gt;0.9976355&lt;/D&gt;&lt;/FQL&gt;&lt;FQL&gt;&lt;Q&gt;CRS-US^P_BETA_LOCIDX(45411,45233,,"SPX")&lt;/Q&gt;&lt;R&gt;1&lt;/R&gt;&lt;C&gt;1&lt;/C&gt;&lt;D xsi:type="xsd:double"&gt;1.0707024&lt;/D&gt;&lt;/FQL&gt;&lt;FQL&gt;&lt;Q&gt;CRS-US^P_BETA_LOCIDX(45378,45203,,"SPX")&lt;/Q&gt;&lt;R&gt;1&lt;/R&gt;&lt;C&gt;1&lt;/C&gt;&lt;D xsi:type="xsd:double"&gt;1.2950618&lt;/D&gt;&lt;/FQL&gt;&lt;FQL&gt;&lt;Q&gt;CRS-US^P_BETA_LOCIDX(45349,45174,,"SPX")&lt;/Q&gt;&lt;R&gt;1&lt;/R&gt;&lt;C&gt;1&lt;/C&gt;&lt;D xsi:type="xsd:double"&gt;1.2970456&lt;/D&gt;&lt;/FQL&gt;&lt;FQL&gt;&lt;Q&gt;CRS-US^P_BETA_LOCIDX(45287,45114,,"SPX")&lt;/Q&gt;&lt;R&gt;1&lt;/R&gt;&lt;C&gt;1&lt;/C&gt;&lt;D xsi:type="xsd:double"&gt;1.263472&lt;/D&gt;&lt;/FQL&gt;&lt;FQL&gt;&lt;Q&gt;CRS-US^P_BETA_LOCIDX(45259,45085,,"SPX")&lt;/Q&gt;&lt;R&gt;1&lt;/R&gt;&lt;C&gt;1&lt;/C&gt;&lt;D xsi:type="xsd:double"&gt;1.2566105&lt;/D&gt;&lt;/FQL&gt;&lt;FQL&gt;&lt;Q&gt;CRS-US^P_BETA_LOCIDX(45230,45056,,"SPX")&lt;/Q&gt;&lt;R&gt;1&lt;/R&gt;&lt;C&gt;1&lt;/C&gt;&lt;D xsi:type="xsd:double"&gt;1.4660134&lt;/D&gt;&lt;/FQL&gt;&lt;FQL&gt;&lt;Q&gt;CRS-US^P_BETA_LOCIDX(46030,45860,,"SPX")&lt;/Q&gt;&lt;R&gt;1&lt;/R&gt;&lt;C&gt;1&lt;/C&gt;&lt;D xsi:type="xsd:double"&gt;1.2620306&lt;/D&gt;&lt;/FQL&gt;&lt;FQL&gt;&lt;Q&gt;CRS-US^P_BETA_LOCIDX(45981,45810,,"SPX")&lt;/Q&gt;&lt;R&gt;1&lt;/R&gt;&lt;C&gt;1&lt;/C&gt;&lt;D xsi:type="xsd:double"&gt;1.2070225&lt;/D&gt;&lt;/FQL&gt;&lt;FQL&gt;&lt;Q&gt;CRS-US^P_BETA_LOCIDX(45943,45769,,"SPX")&lt;/Q&gt;&lt;R&gt;1&lt;/R&gt;&lt;C&gt;1&lt;/C&gt;&lt;D xsi:type="xsd:double"&gt;1.2555578&lt;/D&gt;&lt;/FQL&gt;&lt;FQL&gt;&lt;Q&gt;CRS-US^P_BETA_LOCIDX(45908,45733,,"SPX")&lt;/Q&gt;&lt;R&gt;1&lt;/R&gt;&lt;C&gt;1&lt;/C&gt;&lt;D xsi:type="xsd:double"&gt;1.5416157&lt;/D&gt;&lt;/FQL&gt;&lt;FQL&gt;&lt;Q&gt;CRS-US^P_BETA_LOCIDX(45874,45699,,"SPX")&lt;/Q&gt;&lt;R&gt;1&lt;/R&gt;&lt;C&gt;1&lt;/C&gt;&lt;D xsi:type="xsd:double"&gt;1.5863634&lt;/D&gt;&lt;/FQL&gt;&lt;FQL&gt;&lt;Q&gt;CRS-US^P_BETA_LOCIDX(45806,45629,,"SPX")&lt;/Q&gt;&lt;R&gt;1&lt;/R&gt;&lt;C&gt;1&lt;/C&gt;&lt;D xsi:type="xsd:double"&gt;1.6311078&lt;/D&gt;&lt;/FQL&gt;&lt;FQL&gt;&lt;Q&gt;CRS-US^P_BETA_LOCIDX(45772,45595,,"SPX")&lt;/Q&gt;&lt;R&gt;1&lt;/R&gt;&lt;C&gt;1&lt;/C&gt;&lt;D xsi:type="xsd:double"&gt;1.74376&lt;/D&gt;&lt;/FQL&gt;&lt;FQL&gt;&lt;Q&gt;CRS-US^P_BETA_LOCIDX(45737,45561,,"SPX")&lt;/Q&gt;&lt;R&gt;1&lt;/R&gt;&lt;C&gt;1&lt;/C&gt;&lt;D xsi:type="xsd:double"&gt;1.7428818&lt;/D&gt;&lt;/FQL&gt;&lt;FQL&gt;&lt;Q&gt;CRS-US^P_BETA_LOCIDX(45706,45527,,"SPX")&lt;/Q&gt;&lt;R&gt;1&lt;/R&gt;&lt;C&gt;1&lt;/C&gt;&lt;D xsi:type="xsd:double"&gt;1.8289188&lt;/D&gt;&lt;/FQL&gt;&lt;FQL&gt;&lt;Q&gt;CRS-US^P_BETA_LOCIDX(45670,45495,,"SPX")&lt;/Q&gt;&lt;R&gt;1&lt;/R&gt;&lt;C&gt;1&lt;/C&gt;&lt;D xsi:type="xsd:double"&gt;1.692902&lt;/D&gt;&lt;/FQL&gt;&lt;FQL&gt;&lt;Q&gt;CRS-US^P_BETA_LOCIDX(45602,45428,,"SPX")&lt;/Q&gt;&lt;R&gt;1&lt;/R&gt;&lt;C&gt;1&lt;/C&gt;&lt;D xsi:type="xsd:double"&gt;1.7754596&lt;/D&gt;&lt;/FQL&gt;&lt;FQL&gt;&lt;Q&gt;CRS-US^P_BETA_LOCIDX(45572,45398,,"SPX")&lt;/Q&gt;&lt;R&gt;1&lt;/R&gt;&lt;C&gt;1&lt;/C&gt;&lt;D xsi:type="xsd:double"&gt;1.3511766&lt;/D&gt;&lt;/FQL&gt;&lt;FQL&gt;&lt;Q&gt;CRS-US^P_BETA_LOCIDX(45506,45331,,"SPX")&lt;/Q&gt;&lt;R&gt;1&lt;/R&gt;&lt;C&gt;1&lt;/C&gt;&lt;D xsi:type="xsd:double"&gt;1.1188244&lt;/D&gt;&lt;/FQL&gt;&lt;FQL&gt;&lt;Q&gt;CRS-US^P_BETA_LOCIDX(45474,45299,,"SPX")&lt;/Q&gt;&lt;R&gt;1&lt;/R&gt;&lt;C&gt;1&lt;/C&gt;&lt;D xsi:type="xsd:double"&gt;1.0330683&lt;/D&gt;&lt;/FQL&gt;&lt;FQL&gt;&lt;Q&gt;CRS-US^P_BETA_LOCIDX(45348,45170,,"SPX")&lt;/Q&gt;&lt;R&gt;1&lt;/R&gt;&lt;C&gt;1&lt;/C&gt;&lt;D xsi:type="xsd:double"&gt;1.2987969&lt;/D&gt;&lt;/FQL&gt;&lt;FQL&gt;&lt;Q&gt;CRS-US^P_BETA_LOCIDX(45317,45142,,"SPX")&lt;/Q&gt;&lt;R&gt;1&lt;/R&gt;&lt;C&gt;1&lt;/C&gt;&lt;D xsi:type="xsd:double"&gt;1.2920817&lt;/D&gt;&lt;/FQL&gt;&lt;FQL&gt;&lt;Q&gt;CRS-US^P_BETA_LOCIDX(45203,45029,,"SPX")&lt;/Q&gt;&lt;R&gt;1&lt;/R&gt;&lt;C&gt;1&lt;/C&gt;&lt;D xsi:type="xsd:double"&gt;1.618578&lt;/D&gt;&lt;/FQL&gt;&lt;FQL&gt;&lt;Q&gt;CRS-US^P_BETA_LOCIDX(45121,44946,,"SPX")&lt;/Q&gt;&lt;R&gt;1&lt;/R&gt;&lt;C&gt;1&lt;/C&gt;&lt;D xsi:type="xsd:double"&gt;1.8113225&lt;/D&gt;&lt;/FQL&gt;&lt;FQL&gt;&lt;Q&gt;CRS-US^P_BETA_LOCIDX(45064,44888,,"SPX")&lt;/Q&gt;&lt;R&gt;1&lt;/R&gt;&lt;C&gt;1&lt;/C&gt;&lt;D xsi:type="xsd:double"&gt;1.7317908&lt;/D&gt;&lt;/FQL&gt;&lt;FQL&gt;&lt;Q&gt;CRS-US^P_BETA_LOCIDX(45009,44834,,"SPX")&lt;/Q&gt;&lt;R&gt;1&lt;/R&gt;&lt;C&gt;1&lt;/C&gt;&lt;D xsi:type="xsd:double"&gt;1.4121609&lt;/D&gt;&lt;/FQL&gt;&lt;FQL&gt;&lt;Q&gt;CRS-US^P_BETA_LOCIDX(44984,44806,,"SPX")&lt;/Q&gt;&lt;R&gt;1&lt;/R&gt;&lt;C&gt;1&lt;/C&gt;&lt;D xsi:type="xsd:double"&gt;1.426849&lt;/D&gt;&lt;/FQL&gt;&lt;FQL&gt;&lt;Q&gt;CRS-US^P_BETA_LOCIDX(45839,45663,,"SPX")&lt;/Q&gt;&lt;R&gt;1&lt;/R&gt;&lt;C&gt;1&lt;/C&gt;&lt;D xsi:type="xsd:double"&gt;1.6146363&lt;/D&gt;&lt;/FQL&gt;&lt;FQL&gt;&lt;Q&gt;CRS-US^P_BETA_LOCIDX(45770,45593,,"SPX")&lt;/Q&gt;&lt;R&gt;1&lt;/R&gt;&lt;C&gt;1&lt;/C&gt;&lt;D xsi:type="xsd:double"&gt;1.7482201&lt;/D&gt;&lt;/FQL&gt;&lt;FQL&gt;&lt;Q&gt;CRS-US^P_BETA_LOCIDX(45632,45460,,"SPX")&lt;/Q&gt;&lt;R&gt;1&lt;/R&gt;&lt;C&gt;1&lt;/C&gt;&lt;D xsi:type="xsd:double"&gt;1.7312434&lt;/D&gt;&lt;/FQL&gt;&lt;FQL&gt;&lt;Q&gt;CRS-US^P_BETA_LOCIDX(45601,45427,,"SPX")&lt;/Q&gt;&lt;R&gt;1&lt;/R&gt;&lt;C&gt;1&lt;/C&gt;&lt;D xsi:type="xsd:double"&gt;1.620283&lt;/D&gt;&lt;/FQL&gt;&lt;FQL&gt;&lt;Q&gt;CRS-US^P_BETA_LOCIDX(45539,45364,,"SPX")&lt;/Q&gt;&lt;R&gt;1&lt;/R&gt;&lt;C&gt;1&lt;/C&gt;&lt;D xsi:type="xsd:double"&gt;1.2316861&lt;/D&gt;&lt;/FQL&gt;&lt;FQL&gt;&lt;Q&gt;CRS-US^P_BETA_LOCIDX(45505,45330,,"SPX")&lt;/Q&gt;&lt;R&gt;1&lt;/R&gt;&lt;C&gt;1&lt;/C&gt;&lt;D xsi:type="xsd:double"&gt;0.99750984&lt;/D&gt;&lt;/FQL&gt;&lt;FQL&gt;&lt;Q&gt;CRS-US^P_BETA_LOCIDX(45441,45265,,"SPX")&lt;/Q&gt;&lt;R&gt;1&lt;/R&gt;&lt;C&gt;1&lt;/C&gt;&lt;D xsi:type="xsd:double"&gt;1.0078479&lt;/D&gt;&lt;/FQL&gt;&lt;FQL&gt;&lt;Q&gt;CRS-US^P_BETA_LOCIDX(45408,45232,,"SPX")&lt;/Q&gt;&lt;R&gt;1&lt;/R&gt;&lt;C&gt;1&lt;/C&gt;&lt;D xsi:type="xsd:double"&gt;1.1352081&lt;/D&gt;&lt;/FQL&gt;&lt;FQL&gt;&lt;Q&gt;CRS-US^P_BETA_LOCIDX(45377,45202,,"SPX")&lt;/Q&gt;&lt;R&gt;1&lt;/R&gt;&lt;C&gt;1&lt;/C&gt;&lt;D xsi:type="xsd:double"&gt;1.3078355&lt;/D&gt;&lt;/FQL&gt;&lt;FQL&gt;&lt;Q&gt;CRS-US^P_BETA_LOCIDX(45286,45113,,"SPX")&lt;/Q&gt;&lt;R&gt;1&lt;/R&gt;&lt;C&gt;1&lt;/C&gt;&lt;D xsi:type="xsd:double"&gt;1.2918525&lt;/D&gt;&lt;/FQL&gt;&lt;FQL&gt;&lt;Q&gt;CRS-US^P_BETA_LOCIDX(45258,45084,,"SPX")&lt;/Q&gt;&lt;R&gt;1&lt;/R&gt;&lt;C&gt;1&lt;/C&gt;&lt;D xsi:type="xsd:double"&gt;1.2248919&lt;/D&gt;&lt;/FQL&gt;&lt;FQL&gt;&lt;Q&gt;CRS-US^P_BETA_LOCIDX(45229,45055,,"SPX")&lt;/Q&gt;&lt;R&gt;1&lt;/R&gt;&lt;C&gt;1&lt;/C&gt;&lt;D xsi:type="xsd:double"&gt;1.4753778&lt;/D&gt;&lt;/FQL&gt;&lt;FQL&gt;&lt;Q&gt;CRS-US^P_BETA_LOCIDX(45176,45001,,"SPX")&lt;/Q&gt;&lt;R&gt;1&lt;/R&gt;&lt;C&gt;1&lt;/C&gt;&lt;D xsi:type="xsd:double"&gt;1.7963526&lt;/D&gt;&lt;/FQL&gt;&lt;FQL&gt;&lt;Q&gt;CRS-US^P_BETA_LOCIDX(45147,44972,,"SPX")&lt;/Q&gt;&lt;R&gt;1&lt;/R&gt;&lt;C&gt;1&lt;/C&gt;&lt;D xsi:type="xsd:double"&gt;1.8543698&lt;/D&gt;&lt;/FQL&gt;&lt;FQL&gt;&lt;Q&gt;CRS-US^P_BETA_LOCIDX(45091,44915,,"SPX")&lt;/Q&gt;&lt;R&gt;1&lt;/R&gt;&lt;C&gt;1&lt;/C&gt;&lt;D xsi:type="xsd:double"&gt;1.818925&lt;/D&gt;&lt;/FQL&gt;&lt;FQL&gt;&lt;Q&gt;CRS-US^P_BETA_LOCIDX(45037,44861,,"SPX")&lt;/Q&gt;&lt;R&gt;1&lt;/R&gt;&lt;C&gt;1&lt;/C&gt;&lt;D xsi:type="xsd:double"&gt;1.4104092&lt;/D&gt;&lt;/FQL&gt;&lt;FQL&gt;&lt;Q&gt;CRS-US^P_BETA_LOCIDX(45008,44833,,"SPX")&lt;/Q&gt;&lt;R&gt;1&lt;/R&gt;&lt;C&gt;1&lt;/C&gt;&lt;D xsi:type="xsd:double"&gt;1.4276776&lt;/D&gt;&lt;/FQL&gt;&lt;FQL&gt;&lt;Q&gt;CRS-US^P_BETA_LOCIDX(46029,45859,,"SPX")&lt;/Q&gt;&lt;R&gt;1&lt;/R&gt;&lt;C&gt;1&lt;/C&gt;&lt;D xsi:type="xsd:double"&gt;1.2521685&lt;/D&gt;&lt;/FQL&gt;&lt;FQL&gt;&lt;Q&gt;CRS-US^P_BETA_LOCIDX(45980,45807,,"SPX")&lt;/Q&gt;&lt;R&gt;1&lt;/R&gt;&lt;C&gt;1&lt;/C&gt;&lt;D xsi:type="xsd:double"&gt;1.0795859&lt;/D&gt;&lt;/FQL&gt;&lt;FQL&gt;&lt;Q&gt;CRS-US^P_BETA_LOCIDX(45939,45764,,"SPX")&lt;/Q&gt;&lt;R&gt;1&lt;/R&gt;&lt;C&gt;1&lt;/C&gt;&lt;D xsi:type="xsd:double"&gt;1.2157722&lt;/D&gt;&lt;/FQL&gt;&lt;FQL&gt;&lt;Q&gt;CRS-US^P_BETA_LOCIDX(45905,45730,,"SPX")&lt;/Q&gt;&lt;R&gt;1&lt;/R&gt;&lt;C&gt;1&lt;/C&gt;&lt;D xsi:type="xsd:double"&gt;1.5462217&lt;/D&gt;&lt;/FQL&gt;&lt;FQL&gt;&lt;Q&gt;CRS-US^P_BETA_LOCIDX(45870,45695,,"SPX")&lt;/Q&gt;&lt;R&gt;1&lt;/R&gt;&lt;C&gt;1&lt;/C&gt;&lt;D xsi:type="xsd:double"&gt;1.6134219&lt;/D&gt;&lt;/FQL&gt;&lt;FQL&gt;&lt;Q&gt;CRS-US^P_BETA_LOCIDX(45838,45660,,"SPX")&lt;/Q&gt;&lt;R&gt;1&lt;/R&gt;&lt;C&gt;1&lt;/C&gt;&lt;D xsi:type="xsd:double"&gt;1.6147556&lt;/D&gt;&lt;/FQL&gt;&lt;FQL&gt;&lt;Q&gt;CRS-US^P_BETA_LOCIDX(45804,45625,,"SPX")&lt;/Q&gt;&lt;R&gt;1&lt;/R&gt;&lt;C&gt;1&lt;/C&gt;&lt;D xsi:type="xsd:double"&gt;1.6306812&lt;/D&gt;&lt;/FQL&gt;&lt;FQL&gt;&lt;Q&gt;CRS-US^P_BETA_LOCIDX(45736,45560,,"SPX")&lt;/Q&gt;&lt;R&gt;1&lt;/R&gt;&lt;C&gt;1&lt;/C&gt;&lt;D xsi:type="xsd:double"&gt;1.7418172&lt;/D&gt;&lt;/FQL&gt;&lt;FQL&gt;&lt;Q&gt;CRS-US^P_BETA_LOCIDX(45702,45526,,"SPX")&lt;/Q&gt;&lt;R&gt;1&lt;/R&gt;&lt;C&gt;1&lt;/C&gt;&lt;D xsi:type="xsd:double"&gt;1.8043526&lt;/D&gt;&lt;/FQL&gt;&lt;FQL&gt;&lt;Q&gt;CRS-US^P_BETA_LOCIDX(45667,45492,,"SPX")&lt;/Q&gt;&lt;R&gt;1&lt;/R&gt;&lt;C&gt;1&lt;/C&gt;&lt;D xsi:type="xsd:double"&gt;1.674623&lt;/D&gt;&lt;/FQL&gt;&lt;FQL&gt;&lt;Q&gt;CRS-US^P_BETA_LOCIDX(45568,45394,,"SPX")&lt;/Q&gt;&lt;R&gt;1&lt;/R&gt;&lt;C&gt;1&lt;/C&gt;&lt;D xsi:type="xsd:double"&gt;1.3616898&lt;/D&gt;&lt;/FQL&gt;&lt;FQL&gt;&lt;Q&gt;CRS-US^P_BETA_LOCIDX(45538,45363,,"SPX")&lt;/Q&gt;&lt;R&gt;1&lt;/R&gt;&lt;C&gt;1&lt;/C&gt;&lt;D xsi:type="xsd:double"&gt;1.1617147&lt;/D&gt;&lt;/FQL&gt;&lt;FQL&gt;&lt;Q&gt;CRS-US^P_BETA_LOCIDX(45471,45296,,"SPX")&lt;/Q&gt;&lt;R&gt;1&lt;/R&gt;&lt;C&gt;1&lt;/C&gt;&lt;D xsi:type="xsd:double"&gt;1.0385562&lt;/D&gt;&lt;/FQL&gt;&lt;FQL&gt;&lt;Q&gt;CRS-US^P_BETA_LOCIDX(45440,45264,,"SPX")&lt;/Q&gt;&lt;R&gt;1&lt;/R&gt;&lt;C&gt;1&lt;/C&gt;&lt;D xsi:type="xsd:double"&gt;0.9877362&lt;/D&gt;&lt;/FQL&gt;&lt;FQL&gt;&lt;Q&gt;CRS-US^P_BETA_LOCIDX(45345,45169,,"SPX")&lt;/Q&gt;&lt;R&gt;1&lt;/R&gt;&lt;C&gt;1&lt;/C&gt;&lt;D xsi:type="xsd:double"&gt;1.29893&lt;/D&gt;&lt;/FQL&gt;&lt;FQL&gt;&lt;Q&gt;CRS-US^P_BETA_LOCIDX(45316,45141,,"SPX")&lt;/Q&gt;&lt;R&gt;1&lt;/R&gt;&lt;C&gt;1&lt;/C&gt;&lt;D xsi:type="xsd:double"&gt;1.3027048&lt;/D&gt;&lt;/FQL&gt;&lt;FQL&gt;&lt;Q&gt;CRS-US^P_BETA_LOCIDX(45257,45083,,"SPX")&lt;/Q&gt;&lt;R&gt;1&lt;/R&gt;&lt;C&gt;1&lt;/C&gt;&lt;D xsi:type="xsd:double"&gt;1.2375053&lt;/D&gt;&lt;/FQL&gt;&lt;FQL&gt;&lt;Q&gt;CRS-US^P_BETA_LOCIDX(45202,45028,,"SPX")&lt;/Q&gt;&lt;R&gt;1&lt;/R&gt;&lt;C&gt;1&lt;/C&gt;&lt;D xsi:type="xsd:double"&gt;1.6213728&lt;/D&gt;&lt;/FQL&gt;&lt;FQL&gt;&lt;Q&gt;CRS-US^P_BETA_LOCIDX(45120,44945,,"SPX")&lt;/Q&gt;&lt;R&gt;1&lt;/R&gt;&lt;C&gt;1&lt;/C&gt;&lt;D xsi:type="xsd:double"&gt;1.7975116&lt;/D&gt;&lt;/FQL&gt;&lt;FQL&gt;&lt;Q&gt;CRS-US^P_BETA_LOCIDX(45063,44887,,"SPX")&lt;/Q&gt;&lt;R&gt;1&lt;/R&gt;&lt;C&gt;1&lt;/C&gt;&lt;D xsi:type="xsd:double"&gt;1.7188951&lt;/D&gt;&lt;/FQL&gt;&lt;FQL&gt;&lt;Q&gt;CRS-US^P_BETA_LOCIDX(44981,44805,,"SPX")&lt;/Q&gt;&lt;R&gt;1&lt;/R&gt;&lt;C&gt;1&lt;/C&gt;&lt;D xsi:type="xsd:double"&gt;1.4209955&lt;/D&gt;&lt;/FQL&gt;&lt;FQL&gt;&lt;Q&gt;CRS-US^P_BETA_LOCIDX(46022,45852,,"SPX")&lt;/Q&gt;&lt;R&gt;1&lt;/R&gt;&lt;C&gt;1&lt;/C&gt;&lt;D xsi:type="xsd:double"&gt;1.2852781&lt;/D&gt;&lt;/FQL&gt;&lt;FQL&gt;&lt;Q&gt;CRS-US^P_BETA_LOCIDX(45975,45804,,"SPX")&lt;/Q&gt;&lt;R&gt;1&lt;/R&gt;&lt;C&gt;1&lt;/C&gt;&lt;D xsi:type="xsd:double"&gt;1.1034014&lt;/D&gt;&lt;/FQL&gt;&lt;FQL&gt;&lt;Q&gt;CRS-US^P_BETA_LOCIDX(45904,45729,,"SPX")&lt;/Q&gt;&lt;R&gt;1&lt;/R&gt;&lt;C&gt;1&lt;/C&gt;&lt;D xsi:type="xsd:double"&gt;1.5570118&lt;/D&gt;&lt;/FQL&gt;&lt;FQL&gt;&lt;Q&gt;CRS-US^P_BETA_LOCIDX(45769,45590,,"SPX")&lt;/Q&gt;&lt;R&gt;1&lt;/R&gt;&lt;C&gt;1&lt;/C&gt;&lt;D xsi:type="xsd:double"&gt;1.7218344&lt;/D&gt;&lt;/FQL&gt;&lt;FQL&gt;&lt;Q&gt;CRS-US^P_BETA_LOCIDX(45700,45524,,"SPX")&lt;/Q&gt;&lt;R&gt;1&lt;/R&gt;&lt;C&gt;1&lt;/C&gt;&lt;D xsi:type="xsd:double"&gt;1.8705443&lt;/D&gt;&lt;/FQL&gt;&lt;FQL&gt;&lt;Q&gt;CRS-US^P_BETA_LOCIDX(45631,45457,,"SPX")&lt;/Q&gt;&lt;R&gt;1&lt;/R&gt;&lt;C&gt;1&lt;/C&gt;&lt;D xsi:type="xsd:double"&gt;1.7457126&lt;/D&gt;&lt;/FQL&gt;&lt;FQL&gt;&lt;Q&gt;CRS-US^P_BETA_LOCIDX(45600,45426,,"SPX")&lt;/Q&gt;&lt;R&gt;1&lt;/R&gt;&lt;C&gt;1&lt;/C&gt;&lt;D xsi:type="xsd:double"&gt;1.5967718&lt;/D&gt;&lt;/FQL&gt;&lt;FQL&gt;&lt;Q&gt;CRS-US^P_BETA_LOCIDX(45534,45362,,"SPX")&lt;/Q&gt;&lt;R&gt;1&lt;/R&gt;&lt;C&gt;1&lt;/C&gt;&lt;D xsi:type="xsd:double"&gt;1.0158887&lt;/D&gt;&lt;/FQL&gt;&lt;FQL&gt;&lt;Q&gt;CRS-US^P_BETA_LOCIDX(45504,45329,,"SPX")&lt;/Q&gt;&lt;R&gt;1&lt;/R&gt;&lt;C&gt;1&lt;/C&gt;&lt;D xsi:type="xsd:double"&gt;1.0042819&lt;/D&gt;&lt;/FQL&gt;&lt;FQL&gt;&lt;Q&gt;CRS-US^P_BETA_LOCIDX(45406,45230,,"SPX")&lt;/Q&gt;&lt;R&gt;1&lt;/R&gt;&lt;C&gt;1&lt;/C&gt;&lt;D xsi:type="xsd:double"&gt;1.148308&lt;/D&gt;&lt;/FQL&gt;&lt;FQL&gt;&lt;Q&gt;CRS-US^P_BETA_LOCIDX(45376,45201,,"SPX")&lt;/Q&gt;&lt;R&gt;1&lt;/R&gt;&lt;C&gt;1&lt;/C&gt;&lt;D xsi:type="xsd:double"&gt;1.3164569&lt;/D&gt;&lt;/FQL&gt;&lt;FQL&gt;&lt;Q&gt;CRS-US^P_BETA_LOCIDX(45282,45112,,"SPX")&lt;/Q&gt;&lt;R&gt;1&lt;/R&gt;&lt;C&gt;1&lt;/C&gt;&lt;D xsi:type="xsd:double"&gt;1.3002591&lt;/D&gt;&lt;/FQL&gt;&lt;FQL&gt;&lt;Q&gt;CRS-US^P_BETA_LOCIDX(45974,45800,,"SPX")&lt;/Q&gt;&lt;R&gt;1&lt;/R&gt;&lt;C&gt;1&lt;/C&gt;&lt;D xsi:type="xsd:double"&gt;1.0748804&lt;/D&gt;&lt;/FQL&gt;&lt;FQL&gt;&lt;Q&gt;CRS-US^P_BETA_LOCIDX(45938,45763,,"SPX")&lt;/Q&gt;&lt;R&gt;1&lt;/R&gt;&lt;C&gt;1&lt;/C&gt;&lt;D xsi:type="xsd:double"&gt;1.1583471&lt;/D&gt;&lt;/FQL&gt;&lt;FQL&gt;&lt;Q&gt;CRS-US^P_BETA_LOCIDX(45903,45728,,"SPX")&lt;/Q&gt;&lt;R&gt;1&lt;/R&gt;&lt;C&gt;1&lt;/C&gt;&lt;D xsi:type="xsd:double"&gt;1.5552619&lt;/D&gt;&lt;/FQL&gt;&lt;FQL&gt;&lt;Q&gt;CRS-US^P_BETA_LOCIDX(45869,45694,,"SPX")&lt;/Q&gt;&lt;R&gt;1&lt;/R&gt;&lt;C&gt;1&lt;/C&gt;&lt;D xsi:type="xsd:double"&gt;1.6448652&lt;/D&gt;&lt;/FQL&gt;&lt;FQL&gt;&lt;Q&gt;CRS-US^P_BETA_LOCIDX(45835,45659,,"SPX")&lt;/Q&gt;&lt;R&gt;1&lt;/R&gt;&lt;C&gt;1&lt;/C&gt;&lt;D xsi:type="xsd:double"&gt;1.6130501&lt;/D&gt;&lt;/FQL&gt;&lt;FQL&gt;&lt;Q&gt;CRS-US^P_BETA_LOCIDX(45799,45622,,"SPX")&lt;/Q&gt;&lt;R&gt;1&lt;/R&gt;&lt;C&gt;1&lt;/C&gt;&lt;D xsi:type="xsd:double"&gt;1.6361248&lt;/D&gt;&lt;/FQL&gt;&lt;FQL&gt;&lt;Q&gt;CRS-US^P_BETA_LOCIDX(45768,45589,,"SPX")&lt;/Q&gt;&lt;R&gt;1&lt;/R&gt;&lt;C&gt;1&lt;/C&gt;&lt;D xsi:type="xsd:double"&gt;1.7079042&lt;/D&gt;&lt;/FQL&gt;&lt;FQL&gt;&lt;Q&gt;CRS-US^P_BETA_LOCIDX(45734,45558,,"SPX")&lt;/Q&gt;&lt;R&gt;1&lt;/R&gt;&lt;C&gt;1&lt;/C&gt;&lt;D xsi:type="xsd:double"&gt;1.7050859&lt;/D&gt;&lt;/FQL&gt;&lt;FQL&gt;&lt;Q&gt;CRS-US^P_BETA_LOCIDX(45665,45491,,"SPX")&lt;/Q&gt;&lt;R&gt;1&lt;/R&gt;&lt;C&gt;1&lt;/C&gt;&lt;D xsi:type="xsd:double"&gt;1.7214243&lt;/D&gt;&lt;/FQL&gt;&lt;FQL&gt;&lt;Q&gt;CRS-US^P_BETA_LOCIDX(45597,45425,,"SPX")&lt;/Q&gt;&lt;R&gt;1&lt;/R&gt;&lt;C&gt;1&lt;/C&gt;&lt;D xsi:type="xsd:double"&gt;1.5965154&lt;/D&gt;&lt;/FQL&gt;&lt;FQL&gt;&lt;Q&gt;CRS-US^P_BETA_LOCIDX(45566,45392,,"SPX")&lt;/Q&gt;&lt;R&gt;1&lt;/R&gt;&lt;C&gt;1&lt;/C&gt;&lt;D xsi:type="xsd:double"&gt;1.392005&lt;/D&gt;&lt;/FQL&gt;&lt;FQL&gt;&lt;Q&gt;CRS-US^P_BETA_LOCIDX(45470,45295,,"SPX")&lt;/Q&gt;&lt;R&gt;1&lt;/R&gt;&lt;C&gt;1&lt;/C&gt;&lt;D xsi:type="xsd:double"&gt;1.0632856&lt;/D&gt;&lt;/FQL&gt;&lt;FQL&gt;&lt;Q&gt;CRS-US^P_BETA_LOCIDX(45436,45261,,"SPX")&lt;/Q&gt;&lt;R&gt;1&lt;/R&gt;&lt;C&gt;1&lt;/C&gt;&lt;D xsi:type="xsd:double"&gt;1.0096078&lt;/D&gt;&lt;/FQL&gt;&lt;FQL&gt;&lt;Q&gt;CRS-US^P_BETA_LOCIDX(45373,45198,,"SPX")&lt;/Q&gt;&lt;R&gt;1&lt;/R&gt;&lt;C&gt;1&lt;/C&gt;&lt;D xsi:type="xsd:double"&gt;1.3293219&lt;/D&gt;&lt;/FQL&gt;&lt;FQL&gt;&lt;Q&gt;CRS-US^P_BETA_LOCIDX(45344,45168,,"SPX")&lt;/Q&gt;&lt;R&gt;1&lt;/R&gt;&lt;C&gt;1&lt;/C&gt;&lt;D xsi:type="xsd:double"&gt;1.3047944&lt;/D&gt;&lt;/FQL&gt;&lt;FQL&gt;&lt;Q&gt;CRS-US^P_BETA_LOCIDX(45314,45139,,"SPX")&lt;/Q&gt;&lt;R&gt;1&lt;/R&gt;&lt;C&gt;1&lt;/C&gt;&lt;D xsi:type="xsd:double"&gt;1.3723061&lt;/D&gt;&lt;/FQL&gt;&lt;FQL&gt;&lt;Q&gt;CRS-US^P_BETA_LOCIDX(45201,45027,,"SPX")&lt;/Q&gt;&lt;R&gt;1&lt;/R&gt;&lt;C&gt;1&lt;/C&gt;&lt;D xsi:type="xsd:double"&gt;1.5921292&lt;/D&gt;&lt;/FQL&gt;&lt;FQL&gt;&lt;Q&gt;CRS-US^P_BETA_LOCIDX(45170,44998,,"SPX")&lt;/Q&gt;&lt;R&gt;1&lt;/R&gt;&lt;C&gt;1&lt;/C&gt;&lt;D xsi:type="xsd:double"&gt;1.8600855&lt;/D&gt;&lt;/FQL&gt;&lt;FQL&gt;&lt;Q&gt;CRS-US^P_BETA_LOCIDX(45118,44943,,"SPX")&lt;/Q&gt;&lt;R&gt;1&lt;/R&gt;&lt;C&gt;1&lt;/C&gt;&lt;D xsi:type="xsd:double"&gt;1.7630477&lt;/D&gt;&lt;/FQL&gt;&lt;FQL&gt;&lt;Q&gt;CRS-US^P_BETA_LOCIDX(45062,44886,,"SPX")&lt;/Q&gt;&lt;R&gt;1&lt;/R&gt;&lt;C&gt;1&lt;/C&gt;&lt;D xsi:type="xsd:double"&gt;1.7153379&lt;/D&gt;&lt;/FQL&gt;&lt;FQL&gt;&lt;Q&gt;CRS-US^P_BETA_LOCIDX(44980,44804,,"SPX")&lt;/Q&gt;&lt;R&gt;1&lt;/R&gt;&lt;C&gt;1&lt;/C&gt;&lt;D xsi:type="xsd:double"&gt;1.4312353&lt;/D&gt;&lt;/FQL&gt;&lt;FQL&gt;&lt;Q&gt;CRS-US^P_BETA_LOCIDX(45834,45657,,"SPX")&lt;/Q&gt;&lt;R&gt;1&lt;/R&gt;&lt;C&gt;1&lt;/C&gt;&lt;D xsi:type="xsd:double"&gt;1.6107057&lt;/D&gt;&lt;/FQL&gt;&lt;FQL&gt;&lt;Q&gt;CRS-US^P_BETA_LOCIDX(45699,45523,,"SPX")&lt;/Q&gt;&lt;R&gt;1&lt;/R&gt;&lt;C&gt;1&lt;/C&gt;&lt;D xsi:type="xsd:double"&gt;1.8580881&lt;/D&gt;&lt;/FQL&gt;&lt;FQL&gt;&lt;Q&gt;CRS-US^P_BETA_LOCIDX(45630,45456,,"SPX")&lt;/Q&gt;&lt;R&gt;1&lt;/R&gt;&lt;C&gt;1&lt;/C&gt;&lt;D xsi:type="xsd:double"&gt;1.7433499&lt;/D&gt;&lt;/FQL&gt;&lt;FQL&gt;&lt;Q&gt;CRS-US^P_BETA_LOCIDX(45596,45422,,"SPX")&lt;/Q&gt;&lt;R&gt;1&lt;/R&gt;&lt;C&gt;1&lt;/C&gt;&lt;D xsi:type="xsd:double"&gt;1.5822643&lt;/D&gt;&lt;/FQL&gt;&lt;FQL&gt;&lt;Q&gt;CRS-US^P_BETA_LOCIDX(45533,45359,,"SPX")&lt;/Q&gt;&lt;R&gt;1&lt;/R&gt;&lt;C&gt;1&lt;/C&gt;&lt;D xsi:type="xsd:double"&gt;1.0229923&lt;/D&gt;&lt;/FQL&gt;&lt;FQL&gt;&lt;Q&gt;CRS-US^P_BETA_LOCIDX(45503,45328,,"SPX")&lt;/Q&gt;&lt;R&gt;1&lt;/R&gt;&lt;C&gt;1&lt;/C&gt;&lt;D xsi:type="xsd:double"&gt;0.98742366&lt;/D&gt;&lt;/FQL&gt;&lt;FQL&gt;&lt;Q&gt;CRS-US^P_BETA_LOCIDX(45435,45260,,"SPX")&lt;/Q&gt;&lt;R&gt;1&lt;/R&gt;&lt;C&gt;1&lt;/C&gt;&lt;D xsi:type="xsd:double"&gt;1.0176941&lt;/D&gt;&lt;/FQL&gt;&lt;FQL&gt;&lt;Q&gt;CRS-US^P_BETA_LOCIDX(45404,45226,,"SPX")&lt;/Q&gt;&lt;R&gt;1&lt;/R&gt;&lt;C&gt;1&lt;/C&gt;&lt;D xsi:type="xsd:double"&gt;1.1561465&lt;/D&gt;&lt;/FQL&gt;&lt;FQL&gt;&lt;Q&gt;CRS-US^P_BETA_LOCIDX(45372,45197,,"SPX")&lt;/Q&gt;&lt;R&gt;1&lt;/R&gt;&lt;C&gt;1&lt;/C&gt;&lt;D xsi:type="xsd:double"&gt;1.3205172&lt;/D&gt;&lt;/FQL&gt;&lt;FQL&gt;&lt;Q&gt;CRS-US^P_BETA_LOCIDX(45343,45167,,"SPX")&lt;/Q&gt;&lt;R&gt;1&lt;/R&gt;&lt;C&gt;1&lt;/C&gt;&lt;D xsi:type="xsd:double"&gt;1.3860765&lt;/D&gt;&lt;/FQL&gt;&lt;FQL&gt;&lt;Q&gt;CRS-US^P_BETA_LOCIDX(45313,45138,,"SPX")&lt;/Q&gt;&lt;R&gt;1&lt;/R&gt;&lt;C&gt;1&lt;/C&gt;&lt;D xsi:type="xsd:double"&gt;1.3759708&lt;/D&gt;&lt;/FQL&gt;&lt;FQL&gt;&lt;Q&gt;CRS-US^P_BETA_LOCIDX(45281,45110,,"SPX")&lt;/Q&gt;&lt;R&gt;1&lt;/R&gt;&lt;C&gt;1&lt;/C&gt;&lt;D xsi:type="xsd:double"&gt;1.2986912&lt;/D&gt;&lt;/FQL&gt;&lt;FQL&gt;&lt;Q&gt;CRS-US^P_BETA_LOCIDX(45252,45079,,"SPX")&lt;/Q&gt;&lt;R&gt;1&lt;/R&gt;&lt;C&gt;1&lt;/C&gt;&lt;D xsi:type="xsd:double"&gt;1.3506907&lt;/D&gt;&lt;/FQL&gt;&lt;FQL&gt;&lt;Q&gt;CRS-US^P_BETA_LOCIDX(45225,45051,,"SPX")&lt;/Q&gt;&lt;R&gt;1&lt;/R&gt;&lt;C&gt;1&lt;/C&gt;&lt;D xsi:type="xsd:double"&gt;1.4251746&lt;/D&gt;&lt;/FQL&gt;&lt;FQL&gt;&lt;Q&gt;CRS-US^P_BETA_LOCIDX(45145,44970,,"SPX")&lt;/Q&gt;&lt;R&gt;1&lt;/R&gt;&lt;C&gt;1&lt;/C&gt;&lt;D xsi:type="xsd:double"&gt;1.8303564&lt;/D&gt;&lt;/FQL&gt;&lt;FQL&gt;&lt;Q&gt;CRS-US^P_BETA_LOCIDX(45089,44911,,"SPX")&lt;/Q&gt;&lt;R&gt;1&lt;/R&gt;&lt;C&gt;1&lt;/C&gt;&lt;D xsi:type="xsd:double"&gt;1.7995901&lt;/D&gt;&lt;/FQL&gt;&lt;FQL&gt;&lt;Q&gt;CRS-US^P_BETA_LOCIDX(45034,44858,,"SPX")&lt;/Q&gt;&lt;R&gt;1&lt;/R&gt;&lt;C&gt;1&lt;/C&gt;&lt;D xsi:type="xsd:double"&gt;1.3897185&lt;/D&gt;&lt;/FQL&gt;&lt;FQL&gt;&lt;Q&gt;CRS-US^P_BETA_LOCIDX(45006,44831,,"SPX")&lt;/Q&gt;&lt;R&gt;1&lt;/R&gt;&lt;C&gt;1&lt;/C&gt;&lt;D xsi:type="xsd:double"&gt;1.4324795&lt;/D&gt;&lt;/FQL&gt;&lt;FQL&gt;&lt;Q&gt;CRS-US^P_BETA_LOCIDX(44979,44803,,"SPX")&lt;/Q&gt;&lt;R&gt;1&lt;/R&gt;&lt;C&gt;1&lt;/C&gt;&lt;D xsi:type="xsd:double"&gt;1.4470053&lt;/D&gt;&lt;/FQL&gt;&lt;FQL&gt;&lt;Q&gt;CRS-US^P_BETA_LOCIDX(45968,45796,,"SPX")&lt;/Q&gt;&lt;R&gt;1&lt;/R&gt;&lt;C&gt;1&lt;/C&gt;&lt;D xsi:type="xsd:double"&gt;1.1373426&lt;/D&gt;&lt;/FQL&gt;&lt;FQL&gt;&lt;Q&gt;CRS-US^P_BETA_LOCIDX(45763,45587,,"SPX")&lt;/Q&gt;&lt;R&gt;1&lt;/R&gt;&lt;C&gt;1&lt;/C&gt;&lt;D xsi:type="xsd:double"&gt;1.7220286&lt;/D&gt;&lt;/FQL&gt;&lt;FQL&gt;&lt;Q&gt;CRS-US^P_BETA_LOCIDX(45628,45454,,"SPX")&lt;/Q&gt;&lt;R&gt;1&lt;/R&gt;&lt;C&gt;1&lt;/C&gt;&lt;D xsi:type="xsd:double"&gt;1.7410011&lt;/D&gt;&lt;/FQL&gt;&lt;FQL&gt;&lt;Q&gt;CRS-US^P_BETA_LOCIDX(45595,45421,,"SPX")&lt;/Q&gt;&lt;R&gt;1&lt;/R&gt;&lt;C&gt;1&lt;/C&gt;&lt;D xsi:type="xsd:double"&gt;1.5008429&lt;/D&gt;&lt;/FQL&gt;&lt;FQL&gt;&lt;Q&gt;CRS-US^P_BETA_LOCIDX(45499,45324,,"SPX")&lt;/Q&gt;&lt;R&gt;1&lt;/R&gt;&lt;C&gt;1&lt;/C&gt;&lt;D xsi:type="xsd:double"&gt;0.99143106&lt;/D&gt;&lt;/FQL&gt;&lt;FQL&gt;&lt;Q&gt;CRS-US^P_BETA_LOCIDX(45468,45293,,"SPX")&lt;/Q&gt;&lt;R&gt;1&lt;/R&gt;&lt;C&gt;1&lt;/C&gt;&lt;D xsi:type="xsd:double"&gt;1.1051952&lt;/D&gt;&lt;/FQL&gt;&lt;FQL&gt;&lt;Q&gt;CRS-US^P_BETA_LOCIDX(45401,45225,,"SPX")&lt;/Q&gt;&lt;R&gt;1&lt;/R&gt;&lt;C&gt;1&lt;/C&gt;&lt;D xsi:type="xsd:double"&gt;0.98321587&lt;/D&gt;&lt;/FQL&gt;&lt;FQL&gt;&lt;Q&gt;CRS-US^P_BETA_LOCIDX(45371,45196,,"SPX")&lt;/Q&gt;&lt;R&gt;1&lt;/R&gt;&lt;C&gt;1&lt;/C&gt;&lt;D xsi:type="xsd:double"&gt;1.316849&lt;/D&gt;&lt;/FQL&gt;&lt;FQL&gt;&lt;Q&gt;CRS-US^P_BETA_LOCIDX(45342,45166,,"SPX")&lt;/Q&gt;&lt;R&gt;1&lt;/R&gt;&lt;C&gt;1&lt;/C&gt;&lt;D xsi:type="xsd:double"&gt;1.3945386&lt;/D&gt;&lt;/FQL&gt;&lt;FQL&gt;&lt;Q&gt;CRS-US^P_BETA_LOCIDX(45310,45135,,"SPX")&lt;/Q&gt;&lt;R&gt;1&lt;/R&gt;&lt;C&gt;1&lt;/C&gt;&lt;D xsi:type="xsd:double"&gt;1.3496565&lt;/D&gt;&lt;/FQL&gt;&lt;FQL&gt;&lt;Q&gt;CRS-US^P_BETA_LOCIDX(45280,45107,,"SPX")&lt;/Q&gt;&lt;R&gt;1&lt;/R&gt;&lt;C&gt;1&lt;/C&gt;&lt;D xsi:type="xsd:double"&gt;1.269022&lt;/D&gt;&lt;/FQL&gt;&lt;FQL&gt;&lt;Q&gt;CRS-US^P_BETA_LOCIDX(45251,45078,,"SPX")&lt;/Q&gt;&lt;R&gt;1&lt;/R&gt;&lt;C&gt;1&lt;/C&gt;&lt;D xsi:type="xsd:double"&gt;1.3475848&lt;/D&gt;&lt;/FQL&gt;&lt;FQL&gt;&lt;Q&gt;CRS-US^P_BETA_LOCIDX(45224,45050,,"SPX")&lt;/Q&gt;&lt;R&gt;1&lt;/R&gt;&lt;C&gt;1&lt;/C&gt;&lt;D xsi:type="xsd:double"&gt;1.619236&lt;/D&gt;&lt;/FQL&gt;&lt;FQL&gt;&lt;Q&gt;CRS-US^P_BETA_LOCIDX(45142,44967,,"SPX")&lt;/Q&gt;&lt;R&gt;1&lt;/R&gt;&lt;C&gt;1&lt;/C&gt;&lt;D xsi:type="xsd:double"&gt;1.8130406&lt;/D&gt;&lt;/FQL&gt;&lt;FQL&gt;&lt;Q&gt;CRS-US^P_BETA_LOCIDX(45086,44910,,"SPX")&lt;/Q&gt;&lt;R&gt;1&lt;/R&gt;&lt;C&gt;1&lt;/C&gt;&lt;D xsi:type="xsd:double"&gt;1.8406937&lt;/D&gt;&lt;/FQL&gt;&lt;FQL&gt;&lt;Q&gt;CRS-US^P_BETA_LOCIDX(45005,44830,,"SPX")&lt;/Q&gt;&lt;R&gt;1&lt;/R&gt;&lt;C&gt;1&lt;/C&gt;&lt;D xsi:type="xsd:double"&gt;1.436353&lt;/D&gt;&lt;/FQL&gt;&lt;FQL&gt;&lt;Q&gt;CRS-US^P_BETA_LOCIDX(46014,45841,,"SPX")&lt;/Q&gt;&lt;R&gt;1&lt;/R&gt;&lt;C&gt;1&lt;/C&gt;&lt;D xsi:type="xsd:double"&gt;1.237258&lt;/D&gt;&lt;/FQL&gt;&lt;FQL&gt;&lt;Q&gt;CRS-US^P_BETA_LOCIDX(45936,45761,,"SPX")&lt;/Q&gt;&lt;R&gt;1&lt;/R&gt;&lt;C&gt;1&lt;/C&gt;&lt;D xsi:type="xsd:double"&gt;1.1666903&lt;/D&gt;&lt;/FQL&gt;&lt;FQL&gt;&lt;Q&gt;CRS-US^P_BETA_LOCIDX(45898,45726,,"SPX")&lt;/Q&gt;&lt;R&gt;1&lt;/R&gt;&lt;C&gt;1&lt;/C&gt;&lt;D xsi:type="xsd:double"&gt;1.5447892&lt;/D&gt;&lt;/FQL&gt;&lt;FQL&gt;&lt;Q&gt;CRS-US^P_BETA_LOCIDX(45867,45692,,"SPX")&lt;/Q&gt;&lt;R&gt;1&lt;/R&gt;&lt;C&gt;1&lt;/C&gt;&lt;D xsi:type="xsd:double"&gt;1.626004&lt;/D&gt;&lt;/FQL&gt;&lt;FQL&gt;&lt;Q&gt;CRS-US^P_BETA_LOCIDX(45832,45653,,"SPX")&lt;/Q&gt;&lt;R&gt;1&lt;/R&gt;&lt;C&gt;1&lt;/C&gt;&lt;D xsi:type="xsd:double"&gt;1.6135682&lt;/D&gt;&lt;/FQL&gt;&lt;FQL&gt;&lt;Q&gt;CRS-US^P_BETA_LOCIDX(45965,45791,,"SPX")&lt;/Q&gt;&lt;R&gt;1&lt;/R&gt;&lt;C&gt;1&lt;/C&gt;&lt;D xsi:type="xsd:double"&gt;1.1439629&lt;/D&gt;&lt;/FQL&gt;&lt;FQL&gt;&lt;Q&gt;CRS-US^P_BETA_LOCIDX(45930,45755,,"SPX")&lt;/Q&gt;&lt;R&gt;1&lt;/R&gt;&lt;C&gt;1&lt;/C&gt;&lt;D xsi:type="xsd:double"&gt;1.3909446&lt;/D&gt;&lt;/FQL&gt;&lt;FQL&gt;&lt;Q&gt;CRS-US^P_BETA_LOCIDX(45862,45687,,"SPX")&lt;/Q&gt;&lt;R&gt;1&lt;/R&gt;&lt;C&gt;1&lt;/C&gt;&lt;D xsi:type="xsd:double"&gt;1.6102732&lt;/D&gt;&lt;/FQL&gt;&lt;FQL&gt;&lt;Q&gt;CRS-US^P_BETA_LOCIDX(45792,45615,,"SPX")&lt;/Q&gt;&lt;R&gt;1&lt;/R&gt;&lt;C&gt;1&lt;/C&gt;&lt;D xsi:type="xsd:double"&gt;1.6475755&lt;/D&gt;&lt;/FQL&gt;&lt;FQL&gt;&lt;Q&gt;CRS-US^P_BETA_LOCIDX(45590,45418,,"SPX")&lt;/Q&gt;&lt;R&gt;1&lt;/R&gt;&lt;C&gt;1&lt;/C&gt;&lt;D xsi:type="xsd:double"&gt;1.4391323&lt;/D&gt;&lt;/FQL&gt;&lt;FQL&gt;&lt;Q&gt;CRS-US^P_BETA_LOCIDX(45560,45386,,"SPX")&lt;/Q&gt;&lt;R&gt;1&lt;/R&gt;&lt;C&gt;1&lt;/C&gt;&lt;D xsi:type="xsd:double"&gt;1.31499&lt;/D&gt;&lt;/FQL&gt;&lt;FQL&gt;&lt;Q&gt;CRS-US^P_BETA_LOCIDX(454</t>
        </r>
      </text>
    </comment>
    <comment ref="A2" authorId="0" shapeId="0" xr:uid="{93C6B908-2323-4636-8EC3-CACC100F0278}">
      <text>
        <r>
          <rPr>
            <b/>
            <sz val="9"/>
            <color indexed="81"/>
            <rFont val="Tahoma"/>
            <family val="2"/>
          </rPr>
          <t>96,45321,,"SPX")&lt;/Q&gt;&lt;R&gt;1&lt;/R&gt;&lt;C&gt;1&lt;/C&gt;&lt;D xsi:type="xsd:double"&gt;1.0114565&lt;/D&gt;&lt;/FQL&gt;&lt;FQL&gt;&lt;Q&gt;CRS-US^P_BETA_LOCIDX(45463,45287,,"SPX")&lt;/Q&gt;&lt;R&gt;1&lt;/R&gt;&lt;C&gt;1&lt;/C&gt;&lt;D xsi:type="xsd:double"&gt;1.0961822&lt;/D&gt;&lt;/FQL&gt;&lt;FQL&gt;&lt;Q&gt;CRS-US^P_BETA_LOCIDX(45399,45223,,"SPX")&lt;/Q&gt;&lt;R&gt;1&lt;/R&gt;&lt;C&gt;1&lt;/C&gt;&lt;D xsi:type="xsd:double"&gt;1.0027089&lt;/D&gt;&lt;/FQL&gt;&lt;FQL&gt;&lt;Q&gt;CRS-US^P_BETA_LOCIDX(45366,45191,,"SPX")&lt;/Q&gt;&lt;R&gt;1&lt;/R&gt;&lt;C&gt;1&lt;/C&gt;&lt;D xsi:type="xsd:double"&gt;1.3275336&lt;/D&gt;&lt;/FQL&gt;&lt;FQL&gt;&lt;Q&gt;CRS-US^P_BETA_LOCIDX(45336,45161,,"SPX")&lt;/Q&gt;&lt;R&gt;1&lt;/R&gt;&lt;C&gt;1&lt;/C&gt;&lt;D xsi:type="xsd:double"&gt;1.358429&lt;/D&gt;&lt;/FQL&gt;&lt;FQL&gt;&lt;Q&gt;CRS-US^P_BETA_LOCIDX(45308,45133,,"SPX")&lt;/Q&gt;&lt;R&gt;1&lt;/R&gt;&lt;C&gt;1&lt;/C&gt;&lt;D xsi:type="xsd:double"&gt;1.3041518&lt;/D&gt;&lt;/FQL&gt;&lt;FQL&gt;&lt;Q&gt;CRS-US^P_BETA_LOCIDX(45275,45104,,"SPX")&lt;/Q&gt;&lt;R&gt;1&lt;/R&gt;&lt;C&gt;1&lt;/C&gt;&lt;D xsi:type="xsd:double"&gt;1.2892338&lt;/D&gt;&lt;/FQL&gt;&lt;FQL&gt;&lt;Q&gt;CRS-US^P_BETA_LOCIDX(45247,45076,,"SPX")&lt;/Q&gt;&lt;R&gt;1&lt;/R&gt;&lt;C&gt;1&lt;/C&gt;&lt;D xsi:type="xsd:double"&gt;1.3396453&lt;/D&gt;&lt;/FQL&gt;&lt;FQL&gt;&lt;Q&gt;CRS-US^P_BETA_LOCIDX(45222,45048,,"SPX")&lt;/Q&gt;&lt;R&gt;1&lt;/R&gt;&lt;C&gt;1&lt;/C&gt;&lt;D xsi:type="xsd:double"&gt;1.5277923&lt;/D&gt;&lt;/FQL&gt;&lt;FQL&gt;&lt;Q&gt;CRS-US^P_BETA_LOCIDX(45194,45019,,"SPX")&lt;/Q&gt;&lt;R&gt;1&lt;/R&gt;&lt;C&gt;1&lt;/C&gt;&lt;D xsi:type="xsd:double"&gt;1.6333549&lt;/D&gt;&lt;/FQL&gt;&lt;FQL&gt;&lt;Q&gt;CRS-US^P_BETA_LOCIDX(45139,44964,,"SPX")&lt;/Q&gt;&lt;R&gt;1&lt;/R&gt;&lt;C&gt;1&lt;/C&gt;&lt;D xsi:type="xsd:double"&gt;1.8097197&lt;/D&gt;&lt;/FQL&gt;&lt;FQL&gt;&lt;Q&gt;CRS-US^P_BETA_LOCIDX(45084,44908,,"SPX")&lt;/Q&gt;&lt;R&gt;1&lt;/R&gt;&lt;C&gt;1&lt;/C&gt;&lt;D xsi:type="xsd:double"&gt;1.8459302&lt;/D&gt;&lt;/FQL&gt;&lt;FQL&gt;&lt;Q&gt;CRS-US^P_BETA_LOCIDX(45055,44879,,"SPX")&lt;/Q&gt;&lt;R&gt;1&lt;/R&gt;&lt;C&gt;1&lt;/C&gt;&lt;D xsi:type="xsd:double"&gt;1.6581123&lt;/D&gt;&lt;/FQL&gt;&lt;FQL&gt;&lt;Q&gt;CRS-US^P_BETA_LOCIDX(45000,44825,,"SPX")&lt;/Q&gt;&lt;R&gt;1&lt;/R&gt;&lt;C&gt;1&lt;/C&gt;&lt;D xsi:type="xsd:double"&gt;1.426865&lt;/D&gt;&lt;/FQL&gt;&lt;FQL&gt;&lt;Q&gt;CRS-US^P_BETA_LOCIDX(46007,45834,,"SPX")&lt;/Q&gt;&lt;R&gt;1&lt;/R&gt;&lt;C&gt;1&lt;/C&gt;&lt;D xsi:type="xsd:double"&gt;1.2508652&lt;/D&gt;&lt;/FQL&gt;&lt;FQL&gt;&lt;Q&gt;CRS-US^P_BETA_LOCIDX(45926,45751,,"SPX")&lt;/Q&gt;&lt;R&gt;1&lt;/R&gt;&lt;C&gt;1&lt;/C&gt;&lt;D xsi:type="xsd:double"&gt;1.4094857&lt;/D&gt;&lt;/FQL&gt;&lt;FQL&gt;&lt;Q&gt;CRS-US^P_BETA_LOCIDX(45891,45719,,"SPX")&lt;/Q&gt;&lt;R&gt;1&lt;/R&gt;&lt;C&gt;1&lt;/C&gt;&lt;D xsi:type="xsd:double"&gt;1.5609905&lt;/D&gt;&lt;/FQL&gt;&lt;FQL&gt;&lt;Q&gt;CRS-US^P_BETA_LOCIDX(45860,45685,,"SPX")&lt;/Q&gt;&lt;R&gt;1&lt;/R&gt;&lt;C&gt;1&lt;/C&gt;&lt;D xsi:type="xsd:double"&gt;1.6164507&lt;/D&gt;&lt;/FQL&gt;&lt;FQL&gt;&lt;Q&gt;CRS-US^P_BETA_LOCIDX(45824,45645,,"SPX")&lt;/Q&gt;&lt;R&gt;1&lt;/R&gt;&lt;C&gt;1&lt;/C&gt;&lt;D xsi:type="xsd:double"&gt;1.608207&lt;/D&gt;&lt;/FQL&gt;&lt;FQL&gt;&lt;Q&gt;CRS-US^P_BETA_LOCIDX(45790,45611,,"SPX")&lt;/Q&gt;&lt;R&gt;1&lt;/R&gt;&lt;C&gt;1&lt;/C&gt;&lt;D xsi:type="xsd:double"&gt;1.6314982&lt;/D&gt;&lt;/FQL&gt;&lt;FQL&gt;&lt;Q&gt;CRS-US^P_BETA_LOCIDX(45756,45580,,"SPX")&lt;/Q&gt;&lt;R&gt;1&lt;/R&gt;&lt;C&gt;1&lt;/C&gt;&lt;D xsi:type="xsd:double"&gt;1.772857&lt;/D&gt;&lt;/FQL&gt;&lt;FQL&gt;&lt;Q&gt;CRS-US^P_BETA_LOCIDX(45691,45513,,"SPX")&lt;/Q&gt;&lt;R&gt;1&lt;/R&gt;&lt;C&gt;1&lt;/C&gt;&lt;D xsi:type="xsd:double"&gt;1.7823575&lt;/D&gt;&lt;/FQL&gt;&lt;FQL&gt;&lt;Q&gt;CRS-US^P_BETA_LOCIDX(45653,45482,,"SPX")&lt;/Q&gt;&lt;R&gt;1&lt;/R&gt;&lt;C&gt;1&lt;/C&gt;&lt;D xsi:type="xsd:double"&gt;1.7425699&lt;/D&gt;&lt;/FQL&gt;&lt;FQL&gt;&lt;Q&gt;CRS-US^P_BETA_LOCIDX(45618,45447,,"SPX")&lt;/Q&gt;&lt;R&gt;1&lt;/R&gt;&lt;C&gt;1&lt;/C&gt;&lt;D xsi:type="xsd:double"&gt;1.7467681&lt;/D&gt;&lt;/FQL&gt;&lt;FQL&gt;&lt;Q&gt;CRS-US^P_BETA_LOCIDX(45558,45384,,"SPX")&lt;/Q&gt;&lt;R&gt;1&lt;/R&gt;&lt;C&gt;1&lt;/C&gt;&lt;D xsi:type="xsd:double"&gt;1.3245267&lt;/D&gt;&lt;/FQL&gt;&lt;FQL&gt;&lt;Q&gt;CRS-US^P_BETA_LOCIDX(45525,45351,,"SPX")&lt;/Q&gt;&lt;R&gt;1&lt;/R&gt;&lt;C&gt;1&lt;/C&gt;&lt;D xsi:type="xsd:double"&gt;1.0614914&lt;/D&gt;&lt;/FQL&gt;&lt;FQL&gt;&lt;Q&gt;CRS-US^P_BETA_LOCIDX(45460,45282,,"SPX")&lt;/Q&gt;&lt;R&gt;1&lt;/R&gt;&lt;C&gt;1&lt;/C&gt;&lt;D xsi:type="xsd:double"&gt;1.0863134&lt;/D&gt;&lt;/FQL&gt;&lt;FQL&gt;&lt;Q&gt;CRS-US^P_BETA_LOCIDX(45426,45250,,"SPX")&lt;/Q&gt;&lt;R&gt;1&lt;/R&gt;&lt;C&gt;1&lt;/C&gt;&lt;D xsi:type="xsd:double"&gt;0.9309482&lt;/D&gt;&lt;/FQL&gt;&lt;FQL&gt;&lt;Q&gt;CRS-US^P_BETA_LOCIDX(45364,45189,,"SPX")&lt;/Q&gt;&lt;R&gt;1&lt;/R&gt;&lt;C&gt;1&lt;/C&gt;&lt;D xsi:type="xsd:double"&gt;1.2530093&lt;/D&gt;&lt;/FQL&gt;&lt;FQL&gt;&lt;Q&gt;CRS-US^P_BETA_LOCIDX(45334,45159,,"SPX")&lt;/Q&gt;&lt;R&gt;1&lt;/R&gt;&lt;C&gt;1&lt;/C&gt;&lt;D xsi:type="xsd:double"&gt;1.2744812&lt;/D&gt;&lt;/FQL&gt;&lt;FQL&gt;&lt;Q&gt;CRS-US^P_BETA_LOCIDX(45303,45131,,"SPX")&lt;/Q&gt;&lt;R&gt;1&lt;/R&gt;&lt;C&gt;1&lt;/C&gt;&lt;D xsi:type="xsd:double"&gt;1.2694811&lt;/D&gt;&lt;/FQL&gt;&lt;FQL&gt;&lt;Q&gt;CRS-US^P_BETA_LOCIDX(45245,45071,,"SPX")&lt;/Q&gt;&lt;R&gt;1&lt;/R&gt;&lt;C&gt;1&lt;/C&gt;&lt;D xsi:type="xsd:double"&gt;1.2959455&lt;/D&gt;&lt;/FQL&gt;&lt;FQL&gt;&lt;Q&gt;CRS-US^P_BETA_LOCIDX(45217,45043,,"SPX")&lt;/Q&gt;&lt;R&gt;1&lt;/R&gt;&lt;C&gt;1&lt;/C&gt;&lt;D xsi:type="xsd:double"&gt;1.7214121&lt;/D&gt;&lt;/FQL&gt;&lt;FQL&gt;&lt;Q&gt;CRS-US^P_BETA_LOCIDX(45162,44988,,"SPX")&lt;/Q&gt;&lt;R&gt;1&lt;/R&gt;&lt;C&gt;1&lt;/C&gt;&lt;D xsi:type="xsd:double"&gt;1.8483855&lt;/D&gt;&lt;/FQL&gt;&lt;FQL&gt;&lt;Q&gt;CRS-US^P_BETA_LOCIDX(45110,44935,,"SPX")&lt;/Q&gt;&lt;R&gt;1&lt;/R&gt;&lt;C&gt;1&lt;/C&gt;&lt;D xsi:type="xsd:double"&gt;1.7754862&lt;/D&gt;&lt;/FQL&gt;&lt;FQL&gt;&lt;Q&gt;CRS-US^P_BETA_LOCIDX(45027,44851,,"SPX")&lt;/Q&gt;&lt;R&gt;1&lt;/R&gt;&lt;C&gt;1&lt;/C&gt;&lt;D xsi:type="xsd:double"&gt;1.3708022&lt;/D&gt;&lt;/FQL&gt;&lt;FQL&gt;&lt;Q&gt;CRS-US^P_BETA_LOCIDX(44971,44796,,"SPX")&lt;/Q&gt;&lt;R&gt;1&lt;/R&gt;&lt;C&gt;1&lt;/C&gt;&lt;D xsi:type="xsd:double"&gt;1.4238926&lt;/D&gt;&lt;/FQL&gt;&lt;FQL&gt;&lt;Q&gt;CRS-US^P_BETA_LOCIDX(46015,45845,,"SPX")&lt;/Q&gt;&lt;R&gt;1&lt;/R&gt;&lt;C&gt;1&lt;/C&gt;&lt;D xsi:type="xsd:double"&gt;1.2296665&lt;/D&gt;&lt;/FQL&gt;&lt;FQL&gt;&lt;Q&gt;CRS-US^P_BETA_LOCIDX(45727,45551,,"SPX")&lt;/Q&gt;&lt;R&gt;1&lt;/R&gt;&lt;C&gt;1&lt;/C&gt;&lt;D xsi:type="xsd:double"&gt;1.7333994&lt;/D&gt;&lt;/FQL&gt;&lt;FQL&gt;&lt;Q&gt;CRS-US^P_BETA_LOCIDX(45497,45322,,"SPX")&lt;/Q&gt;&lt;R&gt;1&lt;/R&gt;&lt;C&gt;1&lt;/C&gt;&lt;D xsi:type="xsd:double"&gt;1.0365711&lt;/D&gt;&lt;/FQL&gt;&lt;FQL&gt;&lt;Q&gt;CRS-US^P_BETA_LOCIDX(45358,45183,,"SPX")&lt;/Q&gt;&lt;R&gt;1&lt;/R&gt;&lt;C&gt;1&lt;/C&gt;&lt;D xsi:type="xsd:double"&gt;1.3650775&lt;/D&gt;&lt;/FQL&gt;&lt;FQL&gt;&lt;Q&gt;CRS-US^P_BETA_LOCIDX(45223,45049,,"SPX")&lt;/Q&gt;&lt;R&gt;1&lt;/R&gt;&lt;C&gt;1&lt;/C&gt;&lt;D xsi:type="xsd:double"&gt;1.6620175&lt;/D&gt;&lt;/FQL&gt;&lt;FQL&gt;&lt;Q&gt;CRS-US^P_BETA_LOCIDX(45002,44827,,"SPX")&lt;/Q&gt;&lt;R&gt;1&lt;/R&gt;&lt;C&gt;1&lt;/C&gt;&lt;D xsi:type="xsd:double"&gt;1.4394643&lt;/D&gt;&lt;/FQL&gt;&lt;FQL&gt;&lt;Q&gt;CRS-US^P_BETA_LOCIDX(46008,45835,,"SPX")&lt;/Q&gt;&lt;R&gt;1&lt;/R&gt;&lt;C&gt;1&lt;/C&gt;&lt;D xsi:type="xsd:double"&gt;1.2241703&lt;/D&gt;&lt;/FQL&gt;&lt;FQL&gt;&lt;Q&gt;CRS-US^P_BETA_LOCIDX(45721,45545,,"SPX")&lt;/Q&gt;&lt;R&gt;1&lt;/R&gt;&lt;C&gt;1&lt;/C&gt;&lt;D xsi:type="xsd:double"&gt;1.6688427&lt;/D&gt;&lt;/FQL&gt;&lt;FQL&gt;&lt;Q&gt;CRS-US^P_BETA_LOCIDX(45422,45246,,"SPX")&lt;/Q&gt;&lt;R&gt;1&lt;/R&gt;&lt;C&gt;1&lt;/C&gt;&lt;D xsi:type="xsd:double"&gt;0.91507655&lt;/D&gt;&lt;/FQL&gt;&lt;FQL&gt;&lt;Q&gt;CRS-US^P_BETA_LOCIDX(44999,44824,,"SPX")&lt;/Q&gt;&lt;R&gt;1&lt;/R&gt;&lt;C&gt;1&lt;/C&gt;&lt;D xsi:type="xsd:double"&gt;1.4080899&lt;/D&gt;&lt;/FQL&gt;&lt;FQL&gt;&lt;Q&gt;CRS-US^P_BETA_LOCIDX(45492,45317,,"SPX")&lt;/Q&gt;&lt;R&gt;1&lt;/R&gt;&lt;C&gt;1&lt;/C&gt;&lt;D xsi:type="xsd:double"&gt;1.0423424&lt;/D&gt;&lt;/FQL&gt;&lt;FQL&gt;&lt;Q&gt;CRS-US^P_BETA_LOCIDX(45051,44875,,"SPX")&lt;/Q&gt;&lt;R&gt;1&lt;/R&gt;&lt;C&gt;1&lt;/C&gt;&lt;D xsi:type="xsd:double"&gt;1.4815913&lt;/D&gt;&lt;/FQL&gt;&lt;FQL&gt;&lt;Q&gt;CRS-US^P_BETA_LOCIDX(45050,44874,,"SPX")&lt;/Q&gt;&lt;R&gt;1&lt;/R&gt;&lt;C&gt;1&lt;/C&gt;&lt;D xsi:type="xsd:double"&gt;1.468394&lt;/D&gt;&lt;/FQL&gt;&lt;FQL&gt;&lt;Q&gt;CRS-US^P_BETA_LOCIDX(45902,45727,,"SPX")&lt;/Q&gt;&lt;R&gt;1&lt;/R&gt;&lt;C&gt;1&lt;/C&gt;&lt;D xsi:type="xsd:double"&gt;1.5395398&lt;/D&gt;&lt;/FQL&gt;&lt;FQL&gt;&lt;Q&gt;CRS-US^P_BETA_LOCIDX(45819,45642,,"SPX")&lt;/Q&gt;&lt;R&gt;1&lt;/R&gt;&lt;C&gt;1&lt;/C&gt;&lt;D xsi:type="xsd:double"&gt;1.6182904&lt;/D&gt;&lt;/FQL&gt;&lt;FQL&gt;&lt;Q&gt;CRS-US^P_BETA_LOCIDX(45723,45547,,"SPX")&lt;/Q&gt;&lt;R&gt;1&lt;/R&gt;&lt;C&gt;1&lt;/C&gt;&lt;D xsi:type="xsd:double"&gt;1.8129066&lt;/D&gt;&lt;/FQL&gt;&lt;FQL&gt;&lt;Q&gt;CRS-US^P_BETA_LOCIDX(45649,45476,,"SPX")&lt;/Q&gt;&lt;R&gt;1&lt;/R&gt;&lt;C&gt;1&lt;/C&gt;&lt;D xsi:type="xsd:double"&gt;1.7269086&lt;/D&gt;&lt;/FQL&gt;&lt;FQL&gt;&lt;Q&gt;CRS-US^P_BETA_LOCIDX(45573,45399,,"SPX")&lt;/Q&gt;&lt;R&gt;1&lt;/R&gt;&lt;C&gt;1&lt;/C&gt;&lt;D xsi:type="xsd:double"&gt;1.3490527&lt;/D&gt;&lt;/FQL&gt;&lt;FQL&gt;&lt;Q&gt;CRS-US^P_BETA_LOCIDX(45425,45247,,"SPX")&lt;/Q&gt;&lt;R&gt;1&lt;/R&gt;&lt;C&gt;1&lt;/C&gt;&lt;D xsi:type="xsd:double"&gt;0.91923887&lt;/D&gt;&lt;/FQL&gt;&lt;FQL&gt;&lt;Q&gt;CRS-US^P_BETA_LOCIDX(45279,45106,,"SPX")&lt;/Q&gt;&lt;R&gt;1&lt;/R&gt;&lt;C&gt;1&lt;/C&gt;&lt;D xsi:type="xsd:double"&gt;1.3105012&lt;/D&gt;&lt;/FQL&gt;&lt;FQL&gt;&lt;Q&gt;CRS-US^P_BETA_LOCIDX(45167,44993,,"SPX")&lt;/Q&gt;&lt;R&gt;1&lt;/R&gt;&lt;C&gt;1&lt;/C&gt;&lt;D xsi:type="xsd:double"&gt;1.890445&lt;/D&gt;&lt;/FQL&gt;&lt;FQL&gt;&lt;Q&gt;CRS-US^P_BETA_LOCIDX(45113,44937,,"SPX")&lt;/Q&gt;&lt;R&gt;1&lt;/R&gt;&lt;C&gt;1&lt;/C&gt;&lt;D xsi:type="xsd:double"&gt;1.7732419&lt;/D&gt;&lt;/FQL&gt;&lt;FQL&gt;&lt;Q&gt;CRS-US^P_BETA_LOCIDX(45056,44880,,"SPX")&lt;/Q&gt;&lt;R&gt;1&lt;/R&gt;&lt;C&gt;1&lt;/C&gt;&lt;D xsi:type="xsd:double"&gt;1.668146&lt;/D&gt;&lt;/FQL&gt;&lt;FQL&gt;&lt;Q&gt;CRS-US^P_BETA_LOCIDX(45001,44826,,"SPX")&lt;/Q&gt;&lt;R&gt;1&lt;/R&gt;&lt;C&gt;1&lt;/C&gt;&lt;D xsi:type="xsd:double"&gt;1.4049438&lt;/D&gt;&lt;/FQL&gt;&lt;FQL&gt;&lt;Q&gt;CRS-US^P_BETA_LOCIDX(45896,45722,,"SPX")&lt;/Q&gt;&lt;R&gt;1&lt;/R&gt;&lt;C&gt;1&lt;/C&gt;&lt;D xsi:type="xsd:double"&gt;1.5789018&lt;/D&gt;&lt;/FQL&gt;&lt;FQL&gt;&lt;Q&gt;CRS-US^P_BETA_LOCIDX(45495,45320,,"SPX")&lt;/Q&gt;&lt;R&gt;1&lt;/R&gt;&lt;C&gt;1&lt;/C&gt;&lt;D xsi:type="xsd:double"&gt;1.0402148&lt;/D&gt;&lt;/FQL&gt;&lt;FQL&gt;&lt;Q&gt;CRS-US^P_BETA_LOCIDX(45163,44991,,"SPX")&lt;/Q&gt;&lt;R&gt;1&lt;/R&gt;&lt;C&gt;1&lt;/C&gt;&lt;D xsi:type="xsd:double"&gt;1.8638539&lt;/D&gt;&lt;/FQL&gt;&lt;FQL&gt;&lt;Q&gt;CRS-US^P_BETA_LOCIDX(45894,45720,,"SPX")&lt;/Q&gt;&lt;R&gt;1&lt;/R&gt;&lt;C&gt;1&lt;/C&gt;&lt;D xsi:type="xsd:double"&gt;1.5780606&lt;/D&gt;&lt;/FQL&gt;&lt;FQL&gt;&lt;Q&gt;CRS-US^P_BETA_LOCIDX(45041,44865,,"SPX")&lt;/Q&gt;&lt;R&gt;1&lt;/R&gt;&lt;C&gt;1&lt;/C&gt;&lt;D xsi:type="xsd:double"&gt;1.4388927&lt;/D&gt;&lt;/FQL&gt;&lt;FQL&gt;&lt;Q&gt;CRS-US^P_BETA_LOCIDX(45093,44917,,"SPX")&lt;/Q&gt;&lt;R&gt;1&lt;/R&gt;&lt;C&gt;1&lt;/C&gt;&lt;D xsi:type="xsd:double"&gt;1.8230524&lt;/D&gt;&lt;/FQL&gt;&lt;FQL&gt;&lt;Q&gt;CRS-US^P_BETA_LOCIDX(45594,45420,,"SPX")&lt;/Q&gt;&lt;R&gt;1&lt;/R&gt;&lt;C&gt;1&lt;/C&gt;&lt;D xsi:type="xsd:double"&gt;1.4904983&lt;/D&gt;&lt;/FQL&gt;&lt;FQL&gt;&lt;Q&gt;CRS-US^P_BETA_LOCIDX(45134,44959,,"SPX")&lt;/Q&gt;&lt;R&gt;1&lt;/R&gt;&lt;C&gt;1&lt;/C&gt;&lt;D xsi:type="xsd:double"&gt;1.8073114&lt;/D&gt;&lt;/FQL&gt;&lt;FQL&gt;&lt;Q&gt;CRS-US^P_BETA_LOCIDX(45021,44846,,"SPX")&lt;/Q&gt;&lt;R&gt;1&lt;/R&gt;&lt;C&gt;1&lt;/C&gt;&lt;D xsi:type="xsd:double"&gt;1.370999&lt;/D&gt;&lt;/FQL&gt;&lt;FQL&gt;&lt;Q&gt;CRS-US^P_BETA_LOCIDX(45931,45756,,"SPX")&lt;/Q&gt;&lt;R&gt;1&lt;/R&gt;&lt;C&gt;1&lt;/C&gt;&lt;D xsi:type="xsd:double"&gt;1.400716&lt;/D&gt;&lt;/FQL&gt;&lt;FQL&gt;&lt;Q&gt;CRS-US^P_BETA_LOCIDX(45187,45012,,"SPX")&lt;/Q&gt;&lt;R&gt;1&lt;/R&gt;&lt;C&gt;1&lt;/C&gt;&lt;D xsi:type="xsd:double"&gt;1.744487&lt;/D&gt;&lt;/FQL&gt;&lt;FQL&gt;&lt;Q&gt;CRS-US^P_BETA_LOCIDX(46010,45839,,"SPX")&lt;/Q&gt;&lt;R&gt;1&lt;/R&gt;&lt;C&gt;1&lt;/C&gt;&lt;D xsi:type="xsd:double"&gt;1.2417305&lt;/D&gt;&lt;/FQL&gt;&lt;FQL&gt;&lt;Q&gt;CRS-US^P_BETA_LOCIDX(45798,45621,,"SPX")&lt;/Q&gt;&lt;R&gt;1&lt;/R&gt;&lt;C&gt;1&lt;/C&gt;&lt;D xsi:type="xsd:double"&gt;1.6374083&lt;/D&gt;&lt;/FQL&gt;&lt;FQL&gt;&lt;Q&gt;CRS-US^P_BETA_LOCIDX(45722,45546,,"SPX")&lt;/Q&gt;&lt;R&gt;1&lt;/R&gt;&lt;C&gt;1&lt;/C&gt;&lt;D xsi:type="xsd:double"&gt;1.8097535&lt;/D&gt;&lt;/FQL&gt;&lt;FQL&gt;&lt;Q&gt;CRS-US^P_BETA_LOCIDX(45646,45475,,"SPX")&lt;/Q&gt;&lt;R&gt;1&lt;/R&gt;&lt;C&gt;1&lt;/C&gt;&lt;D xsi:type="xsd:double"&gt;1.7102932&lt;/D&gt;&lt;/FQL&gt;&lt;FQL&gt;&lt;Q&gt;CRS-US^P_BETA_LOCIDX(45565,45391,,"SPX")&lt;/Q&gt;&lt;R&gt;1&lt;/R&gt;&lt;C&gt;1&lt;/C&gt;&lt;D xsi:type="xsd:double"&gt;1.3891114&lt;/D&gt;&lt;/FQL&gt;&lt;FQL&gt;&lt;Q&gt;CRS-US^P_BETA_LOCIDX(45350,45175,,"SPX")&lt;/Q&gt;&lt;R&gt;1&lt;/R&gt;&lt;C&gt;1&lt;/C&gt;&lt;D xsi:type="xsd:double"&gt;1.2744616&lt;/D&gt;&lt;/FQL&gt;&lt;FQL&gt;&lt;Q&gt;CRS-US^P_BETA_LOCIDX(45278,45105,,"SPX")&lt;/Q&gt;&lt;R&gt;1&lt;/R&gt;&lt;C&gt;1&lt;/C&gt;&lt;D xsi:type="xsd:double"&gt;1.2970992&lt;/D&gt;&lt;/FQL&gt;&lt;FQL&gt;&lt;Q&gt;CRS-US^P_BETA_LOCIDX(45166,44992,,"SPX")&lt;/Q&gt;&lt;R&gt;1&lt;/R&gt;&lt;C&gt;1&lt;/C&gt;&lt;D xsi:type="xsd:double"&gt;1.8686386&lt;/D&gt;&lt;/FQL&gt;&lt;FQL&gt;&lt;Q&gt;CRS-US^P_BETA_LOCIDX(45112,44936,,"SPX")&lt;/Q&gt;&lt;R&gt;1&lt;/R&gt;&lt;C&gt;1&lt;/C&gt;&lt;D xsi:type="xsd:double"&gt;1.7841904&lt;/D&gt;&lt;/FQL&gt;&lt;FQL&gt;&lt;Q&gt;CRS-US^P_BETA_LOCIDX(45797,45618,,"SPX")&lt;/Q&gt;&lt;R&gt;1&lt;/R&gt;&lt;C&gt;1&lt;/C&gt;&lt;D xsi:type="xsd:double"&gt;1.6450657&lt;/D&gt;&lt;/FQL&gt;&lt;FQL&gt;&lt;Q&gt;CRS-US^P_BETA_LOCIDX(45562,45390,,"SPX")&lt;/Q&gt;&lt;R&gt;1&lt;/R&gt;&lt;C&gt;1&lt;/C&gt;&lt;D xsi:type="xsd:double"&gt;1.3879223&lt;/D&gt;&lt;/FQL&gt;&lt;FQL&gt;&lt;Q&gt;CRS-US^P_BETA_LOCIDX(45218,45044,,"SPX")&lt;/Q&gt;&lt;R&gt;1&lt;/R&gt;&lt;C&gt;1&lt;/C&gt;&lt;D xsi:type="xsd:double"&gt;1.4795843&lt;/D&gt;&lt;/FQL&gt;&lt;FQL&gt;&lt;Q&gt;CRS-US^P_BETA_LOCIDX(45054,44876,,"SPX")&lt;/Q&gt;&lt;R&gt;1&lt;/R&gt;&lt;C&gt;1&lt;/C&gt;&lt;D xsi:type="xsd:double"&gt;1.6360183&lt;/D&gt;&lt;/FQL&gt;&lt;FQL&gt;&lt;Q&gt;CRS-US^P_BETA_LOCIDX(45204,45030,,"SPX")&lt;/Q&gt;&lt;R&gt;1&lt;/R&gt;&lt;C&gt;1&lt;/C&gt;&lt;D xsi:type="xsd:double"&gt;1.5955955&lt;/D&gt;&lt;/FQL&gt;&lt;FQL&gt;&lt;Q&gt;CRS-US^P_BETA_LOCIDX(45077,44901,,"SPX")&lt;/Q&gt;&lt;R&gt;1&lt;/R&gt;&lt;C&gt;1&lt;/C&gt;&lt;D xsi:type="xsd:double"&gt;1.7869773&lt;/D&gt;&lt;/FQL&gt;&lt;FQL&gt;&lt;Q&gt;CRS-US^P_BETA_LOCIDX(45273,45100,,"SPX")&lt;/Q&gt;&lt;R&gt;1&lt;/R&gt;&lt;C&gt;1&lt;/C&gt;&lt;D xsi:type="xsd:double"&gt;1.2852415&lt;/D&gt;&lt;/FQL&gt;&lt;FQL&gt;&lt;Q&gt;CRS-US^P_BETA_LOCIDX(45622,45449,,"SPX")&lt;/Q&gt;&lt;R&gt;1&lt;/R&gt;&lt;C&gt;1&lt;/C&gt;&lt;D xsi:type="xsd:double"&gt;1.751364&lt;/D&gt;&lt;/FQL&gt;&lt;FQL&gt;&lt;Q&gt;CRS-US^P_BETA_LOCIDX(45637,45464,,"SPX")&lt;/Q&gt;&lt;R&gt;1&lt;/R&gt;&lt;C&gt;1&lt;/C&gt;&lt;D xsi:type="xsd:double"&gt;1.7262969&lt;/D&gt;&lt;/FQL&gt;&lt;FQL&gt;&lt;Q&gt;CRS-US^P_BETA_LOCIDX(44998,44823,,"SPX")&lt;/Q&gt;&lt;R&gt;1&lt;/R&gt;&lt;C&gt;1&lt;/C&gt;&lt;D xsi:type="xsd:double"&gt;1.4216126&lt;/D&gt;&lt;/FQL&gt;&lt;FQL&gt;&lt;Q&gt;CRS-US^P_BETA_LOCIDX(45854,45679,,"SPX")&lt;/Q&gt;&lt;R&gt;1&lt;/R&gt;&lt;C&gt;1&lt;/C&gt;&lt;D xsi:type="xsd:double"&gt;1.6290953&lt;/D&gt;&lt;/FQL&gt;&lt;FQL&gt;&lt;Q&gt;CRS-US^P_BETA_LOCIDX(45796,45617,,"SPX")&lt;/Q&gt;&lt;R&gt;1&lt;/R&gt;&lt;C&gt;1&lt;/C&gt;&lt;D xsi:type="xsd:double"&gt;1.6432581&lt;/D&gt;&lt;/FQL&gt;&lt;FQL&gt;&lt;Q&gt;CRS-US^P_BETA_LOCIDX(45720,45544,,"SPX")&lt;/Q&gt;&lt;R&gt;1&lt;/R&gt;&lt;C&gt;1&lt;/C&gt;&lt;D xsi:type="xsd:double"&gt;1.7068889&lt;/D&gt;&lt;/FQL&gt;&lt;FQL&gt;&lt;Q&gt;CRS-US^P_BETA_LOCIDX(45561,45387,,"SPX")&lt;/Q&gt;&lt;R&gt;1&lt;/R&gt;&lt;C&gt;1&lt;/C&gt;&lt;D xsi:type="xsd:double"&gt;1.3840675&lt;/D&gt;&lt;/FQL&gt;&lt;FQL&gt;&lt;Q&gt;CRS-US^P_BETA_LOCIDX(45491,45316,,"SPX")&lt;/Q&gt;&lt;R&gt;1&lt;/R&gt;&lt;C&gt;1&lt;/C&gt;&lt;D xsi:type="xsd:double"&gt;1.008361&lt;/D&gt;&lt;/FQL&gt;&lt;FQL&gt;&lt;Q&gt;CRS-US^P_BETA_LOCIDX(45421,45245,,"SPX")&lt;/Q&gt;&lt;R&gt;1&lt;/R&gt;&lt;C&gt;1&lt;/C&gt;&lt;D xsi:type="xsd:double"&gt;0.9141965&lt;/D&gt;&lt;/FQL&gt;&lt;FQL&gt;&lt;Q&gt;CRS-US^P_BETA_LOCIDX(45274,45103,,"SPX")&lt;/Q&gt;&lt;R&gt;1&lt;/R&gt;&lt;C&gt;1&lt;/C&gt;&lt;D xsi:type="xsd:double"&gt;1.2768995&lt;/D&gt;&lt;/FQL&gt;&lt;FQL&gt;&lt;Q&gt;CRS-US^P_BETA_LOCIDX(45216,45042,,"SPX")&lt;/Q&gt;&lt;R&gt;1&lt;/R&gt;&lt;C&gt;1&lt;/C&gt;&lt;D xsi:type="xsd:double"&gt;1.6965879&lt;/D&gt;&lt;/FQL&gt;&lt;FQL&gt;&lt;Q&gt;CRS-US^P_BETA_LOCIDX(45161,44987,,"SPX")&lt;/Q&gt;&lt;R&gt;1&lt;/R&gt;&lt;C&gt;1&lt;/C&gt;&lt;D xsi:type="xsd:double"&gt;1.8651935&lt;/D&gt;&lt;/FQL&gt;&lt;FQL&gt;&lt;Q&gt;CRS-US^P_BETA_LOCIDX(45107,44932,,"SPX")&lt;/Q&gt;&lt;R&gt;1&lt;/R&gt;&lt;C&gt;1&lt;/C&gt;&lt;D xsi:type="xsd:double"&gt;1.7905129&lt;/D&gt;&lt;/FQL&gt;&lt;FQL&gt;&lt;Q&gt;CRS-US^P_BETA_LOCIDX(45754,45576,,"SPX")&lt;/Q&gt;&lt;R&gt;1&lt;/R&gt;&lt;C&gt;1&lt;/C&gt;&lt;D xsi:type="xsd:double"&gt;1.8391054&lt;/D&gt;&lt;/FQL&gt;&lt;FQL&gt;&lt;Q&gt;CRS-US^P_BETA_LOCIDX(46006,45833,,"SPX")&lt;/Q&gt;&lt;R&gt;1&lt;/R&gt;&lt;C&gt;1&lt;/C&gt;&lt;D xsi:type="xsd:double"&gt;1.2492905&lt;/D&gt;&lt;/FQL&gt;&lt;FQL&gt;&lt;Q&gt;CRS-US^P_BETA_LOCIDX(45719,45541,,"SPX")&lt;/Q&gt;&lt;R&gt;1&lt;/R&gt;&lt;C&gt;1&lt;/C&gt;&lt;D xsi:type="xsd:double"&gt;1.7022421&lt;/D&gt;&lt;/FQL&gt;&lt;FQL&gt;&lt;Q&gt;CRS-US^P_BETA_LOCIDX(45629,45455,,"SPX")&lt;/Q&gt;&lt;R&gt;1&lt;/R&gt;&lt;C&gt;1&lt;/C&gt;&lt;D xsi:type="xsd:double"&gt;1.7428716&lt;/D&gt;&lt;/FQL&gt;&lt;FQL&gt;&lt;Q&gt;CRS-US^P_BETA_LOCIDX(45559,45385,,"SPX")&lt;/Q&gt;&lt;R&gt;1&lt;/R&gt;&lt;C&gt;1&lt;/C&gt;&lt;D xsi:type="xsd:double"&gt;1.3182226&lt;/D&gt;&lt;/FQL&gt;&lt;FQL&gt;&lt;Q&gt;CRS-US^P_BETA_LOCIDX(45490,45315,,"SPX")&lt;/Q&gt;&lt;R&gt;1&lt;/R&gt;&lt;C&gt;1&lt;/C&gt;&lt;D xsi:type="xsd:double"&gt;1.013585&lt;/D&gt;&lt;/FQL&gt;&lt;FQL&gt;&lt;Q&gt;CRS-US^P_BETA_LOCIDX(45412,45236,,"SPX")&lt;/Q&gt;&lt;R&gt;1&lt;/R&gt;&lt;C&gt;1&lt;/C&gt;&lt;D xsi:type="xsd:double"&gt;0.9845293&lt;/D&gt;&lt;/FQL&gt;&lt;FQL&gt;&lt;Q&gt;CRS-US^P_BETA_LOCIDX(45338,45163,,"SPX")&lt;/Q&gt;&lt;R&gt;1&lt;/R&gt;&lt;C&gt;1&lt;/C&gt;&lt;D xsi:type="xsd:double"&gt;1.3929898&lt;/D&gt;&lt;/FQL&gt;&lt;FQL&gt;&lt;Q&gt;CRS-US^P_BETA_LOCIDX(44995,44820,,"SPX")&lt;/Q&gt;&lt;R&gt;1&lt;/R&gt;&lt;C&gt;1&lt;/C&gt;&lt;D xsi:type="xsd:double"&gt;1.4250728&lt;/D&gt;&lt;/FQL&gt;&lt;FQL&gt;&lt;Q&gt;CRS-US^P_BETA_LOCIDX(45400,45224,,"SPX")&lt;/Q&gt;&lt;R&gt;1&lt;/R&gt;&lt;C&gt;1&lt;/C&gt;&lt;D xsi:type="xsd:double"&gt;0.9821409&lt;/D&gt;&lt;/FQL&gt;&lt;FQL&gt;&lt;Q&gt;CRS-US^P_BETA_LOCIDX(45890,45716,,"SPX")&lt;/Q&gt;&lt;R&gt;1&lt;/R&gt;&lt;C&gt;1&lt;/C&gt;&lt;D xsi:type="xsd:double"&gt;1.5779008&lt;/D&gt;&lt;/FQL&gt;&lt;FQL&gt;&lt;Q&gt;CRS-US^P_BETA_LOCIDX(45791,45614,,"SPX")&lt;/Q&gt;&lt;R&gt;1&lt;/R&gt;&lt;C&gt;1&lt;/C&gt;&lt;D xsi:type="xsd:double"&gt;1.6501757&lt;/D&gt;&lt;/FQL&gt;&lt;FQL&gt;&lt;Q&gt;CRS-US^P_BETA_LOCIDX(45716,45540,,"SPX")&lt;/Q&gt;&lt;R&gt;1&lt;/R&gt;&lt;C&gt;1&lt;/C&gt;&lt;D xsi:type="xsd:double"&gt;1.7580471&lt;/D&gt;&lt;/FQL&gt;&lt;FQL&gt;&lt;Q&gt;CRS-US^P_BETA_LOCIDX(45215,45041,,"SPX")&lt;/Q&gt;&lt;R&gt;1&lt;/R&gt;&lt;C&gt;1&lt;/C&gt;&lt;D xsi:type="xsd:double"&gt;1.6703423&lt;/D&gt;&lt;/FQL&gt;&lt;FQL&gt;&lt;Q&gt;CRS-US^P_BETA_LOCIDX(45160,44986,,"SPX")&lt;/Q&gt;&lt;R&gt;1&lt;/R&gt;&lt;C&gt;1&lt;/C&gt;&lt;D xsi:type="xsd:double"&gt;1.8337473&lt;/D&gt;&lt;/FQL&gt;&lt;FQL&gt;&lt;Q&gt;CRS-US^P_BETA_LOCIDX(45106,44931,,"SPX")&lt;/Q&gt;&lt;R&gt;1&lt;/R&gt;&lt;C&gt;1&lt;/C&gt;&lt;D xsi:type="xsd:double"&gt;1.7735937&lt;/D&gt;&lt;/FQL&gt;&lt;FQL&gt;&lt;Q&gt;CRS-US^P_BETA_LOCIDX(45554,45379,,"SPX")&lt;/Q&gt;&lt;R&gt;1&lt;/R&gt;&lt;C&gt;1&lt;/C&gt;&lt;D xsi:type="xsd:double"&gt;1.3260429&lt;/D&gt;&lt;/FQL&gt;&lt;FQL&gt;&lt;Q&gt;CRS-US^P_BETA_LOCIDX(45244,45070,,"SPX")&lt;/Q&gt;&lt;R&gt;1&lt;/R&gt;&lt;C&gt;1&lt;/C&gt;&lt;D xsi:type="xsd:double"&gt;1.3271589&lt;/D&gt;&lt;/FQL&gt;&lt;FQL&gt;&lt;Q&gt;CRS-US^P_BETA_LOCIDX(45370,45195,,"SPX")&lt;/Q&gt;&lt;R&gt;1&lt;/R&gt;&lt;C&gt;1&lt;/C&gt;&lt;D xsi:type="xsd:double"&gt;1.344879&lt;/D&gt;&lt;/FQL&gt;&lt;FQL&gt;&lt;Q&gt;CRS-US^P_BETA_LOCIDX(46003,45832,,"SPX")&lt;/Q&gt;&lt;R&gt;1&lt;/R&gt;&lt;C&gt;1&lt;/C&gt;&lt;D xsi:type="xsd:double"&gt;1.2546177&lt;/D&gt;&lt;/FQL&gt;&lt;FQL&gt;&lt;Q&gt;CRS-US^P_BETA_LOCIDX(45625,45453,,"SPX")&lt;/Q&gt;&lt;R&gt;1&lt;/R&gt;&lt;C&gt;1&lt;/C&gt;&lt;D xsi:type="xsd:double"&gt;1.7398641&lt;/D&gt;&lt;/FQL&gt;&lt;FQL&gt;&lt;Q&gt;CRS-US^P_BETA_LOCIDX(45555,45383,,"SPX")&lt;/Q&gt;&lt;R&gt;1&lt;/R&gt;&lt;C&gt;1&lt;/C&gt;&lt;D xsi:type="xsd:double"&gt;1.3234675&lt;/D&gt;&lt;/FQL&gt;&lt;FQL&gt;&lt;Q&gt;CRS-US^P_BETA_LOCIDX(45489,45314,,"SPX")&lt;/Q&gt;&lt;R&gt;1&lt;/R&gt;&lt;C&gt;1&lt;/C&gt;&lt;D xsi:type="xsd:double"&gt;0.94591594&lt;/D&gt;&lt;/FQL&gt;&lt;FQL&gt;&lt;Q&gt;CRS-US^P_BETA_LOCIDX(45335,45160,,"SPX")&lt;/Q&gt;&lt;R&gt;1&lt;/R&gt;&lt;C&gt;1&lt;/C&gt;&lt;D xsi:type="xsd:double"&gt;1.3228558&lt;/D&gt;&lt;/FQL&gt;&lt;FQL&gt;&lt;Q&gt;CRS-US^P_BETA_LOCIDX(45272,45099,,"SPX")&lt;/Q&gt;&lt;R&gt;1&lt;/R&gt;&lt;C&gt;1&lt;/C&gt;&lt;D xsi:type="xsd:double"&gt;1.2458763&lt;/D&gt;&lt;/FQL&gt;&lt;FQL&gt;&lt;Q&gt;CRS-US^P_BETA_LOCIDX(45049,44873,,"SPX")&lt;/Q&gt;&lt;R&gt;1&lt;/R&gt;&lt;C&gt;1&lt;/C&gt;&lt;D xsi:type="xsd:double"&gt;1.4450582&lt;/D&gt;&lt;/FQL&gt;&lt;FQL&gt;&lt;Q&gt;CRS-US^P_BETA_LOCIDX(44994,44819,,"SPX")&lt;/Q&gt;&lt;R&gt;1&lt;/R&gt;&lt;C&gt;1&lt;/C&gt;&lt;D xsi:type="xsd:double"&gt;1.3987714&lt;/D&gt;&lt;/FQL&gt;&lt;FQL&gt;&lt;Q&gt;CRS-US^P_BETA_LOCIDX(45097,44918,,"SPX")&lt;/Q&gt;&lt;R&gt;1&lt;/R&gt;&lt;C&gt;1&lt;/C&gt;&lt;D xsi:type="xsd:double"&gt;1.8212348&lt;/D&gt;&lt;/FQL&gt;&lt;FQL&gt;&lt;Q&gt;CRS-US^P_BETA_LOCIDX(45149,44974,,"SPX")&lt;/Q&gt;&lt;R&gt;1&lt;/R&gt;&lt;C&gt;1&lt;/C&gt;&lt;D xsi:type="xsd:double"&gt;1.8645467&lt;/D&gt;&lt;/FQL&gt;&lt;FQL&gt;&lt;Q&gt;CRS-US^P_BETA_LOCIDX(44985,44810,,"SPX")&lt;/Q&gt;&lt;R&gt;1&lt;/R&gt;&lt;C&gt;1&lt;/C&gt;&lt;D xsi:type="xsd:double"&gt;1.4290302&lt;/D&gt;&lt;/FQL&gt;&lt;FQL&gt;&lt;Q&gt;CRS-US^P_BETA_LOCIDX(45833,45656,,"SPX")&lt;/Q&gt;&lt;R&gt;1&lt;/R&gt;&lt;C&gt;1&lt;/C&gt;&lt;D xsi:type="xsd:double"&gt;1.6080997&lt;/D&gt;&lt;/FQL&gt;&lt;FQL&gt;&lt;Q&gt;CRS-US^P_BETA_LOCIDX(45999,45825,,"SPX")&lt;/Q&gt;&lt;R&gt;1&lt;/R&gt;&lt;C&gt;1&lt;/C&gt;&lt;D xsi:type="xsd:double"&gt;1.237555&lt;/D&gt;&lt;/FQL&gt;&lt;FQL&gt;&lt;Q&gt;CRS-US^P_BETA_LOCIDX(45889,45715,,"SPX")&lt;/Q&gt;&lt;R&gt;1&lt;/R&gt;&lt;C&gt;1&lt;/C&gt;&lt;D xsi:type="xsd:double"&gt;1.5672768&lt;/D&gt;&lt;/FQL&gt;&lt;FQL&gt;&lt;Q&gt;CRS-US^P_BETA_LOCIDX(45789,45610,,"SPX")&lt;/Q&gt;&lt;R&gt;1&lt;/R&gt;&lt;C&gt;1&lt;/C&gt;&lt;D xsi:type="xsd:double"&gt;1.6303203&lt;/D&gt;&lt;/FQL&gt;&lt;FQL&gt;&lt;Q&gt;CRS-US^P_BETA_LOCIDX(45707,45530,,"SPX")&lt;/Q&gt;&lt;R&gt;1&lt;/R&gt;&lt;C&gt;1&lt;/C&gt;&lt;D xsi:type="xsd:double"&gt;1.8385531&lt;/D&gt;&lt;/FQL&gt;&lt;FQL&gt;&lt;Q&gt;CRS-US^P_BETA_LOCIDX(45623,45450,,"SPX")&lt;/Q&gt;&lt;R&gt;1&lt;/R&gt;&lt;C&gt;1&lt;/C&gt;&lt;D xsi:type="xsd:double"&gt;1.7537518&lt;/D&gt;&lt;/FQL&gt;&lt;FQL&gt;&lt;Q&gt;CRS-US^P_BETA_LOCIDX(45488,45313,,"SPX")&lt;/Q&gt;&lt;R&gt;1&lt;/R&gt;&lt;C&gt;1&lt;/C&gt;&lt;D xsi:type="xsd:double"&gt;0.9114538&lt;/D&gt;&lt;/FQL&gt;&lt;FQL&gt;&lt;Q&gt;CRS-US^P_BETA_LOCIDX(45271,45098,,"SPX")&lt;/Q&gt;&lt;R&gt;1&lt;/R&gt;&lt;C&gt;1&lt;/C&gt;&lt;D xsi:type="xsd:double"&gt;1.2364477&lt;/D&gt;&lt;/FQL&gt;&lt;FQL&gt;&lt;Q&gt;CRS-US^P_BETA_LOCIDX(45212,45040,,"SPX")&lt;/Q&gt;&lt;R&gt;1&lt;/R&gt;&lt;C&gt;1&lt;/C&gt;&lt;D xsi:type="xsd:double"&gt;1.6847742&lt;/D&gt;&lt;/FQL&gt;&lt;FQL&gt;&lt;Q&gt;CRS-US^P_BETA_LOCIDX(45159,44985,,"SPX")&lt;/Q&gt;&lt;R&gt;1&lt;/R&gt;&lt;C&gt;1&lt;/C&gt;&lt;D xsi:type="xsd:double"&gt;1.8309382&lt;/D&gt;&lt;/FQL&gt;&lt;FQL&gt;&lt;Q&gt;CRS-US^P_BETA_LOCIDX(45104,44929,,"SPX")&lt;/Q&gt;&lt;R&gt;1&lt;/R&gt;&lt;C&gt;1&lt;/C&gt;&lt;D xsi:type="xsd:double"&gt;1.7917135&lt;/D&gt;&lt;/FQL&gt;&lt;FQL&gt;&lt;Q&gt;CRS-US^P_BETA_LOCIDX(45048,44872,,"SPX")&lt;/Q&gt;&lt;R&gt;1&lt;/R&gt;&lt;C&gt;1&lt;/C&gt;&lt;D xsi:type="xsd:double"&gt;1.4304389&lt;/D&gt;&lt;/FQL&gt;&lt;FQL&gt;&lt;Q&gt;CRS-US^P_BETA_LOCIDX(45188,45013,,"SPX")&lt;/Q&gt;&lt;R&gt;1&lt;/R&gt;&lt;C&gt;1&lt;/C&gt;&lt;D xsi:type="xsd:double"&gt;1.7408746&lt;/D&gt;&lt;/FQL&gt;&lt;FQL&gt;&lt;Q&gt;CRS-US^P_BETA_LOCIDX(45887,45713,,"SPX")&lt;/Q&gt;&lt;R&gt;1&lt;/R&gt;&lt;C&gt;1&lt;/C&gt;&lt;D xsi:type="xsd:double"&gt;1.5634414&lt;/D&gt;&lt;/FQL&gt;&lt;FQL&gt;&lt;Q&gt;CRS-US^P_BETA_LOCIDX(45786,45609,,"SPX")&lt;/Q&gt;&lt;R&gt;1&lt;/R&gt;&lt;C&gt;1&lt;/C&gt;&lt;D xsi:type="xsd:double"&gt;1.6711257&lt;/D&gt;&lt;/FQL&gt;&lt;FQL&gt;&lt;Q&gt;CRS-US^P_BETA_LOCIDX(45698,45520,,"SPX")&lt;/Q&gt;&lt;R&gt;1&lt;/R&gt;&lt;C&gt;1&lt;/C&gt;&lt;D xsi:type="xsd:double"&gt;1.858542&lt;/D&gt;&lt;/FQL&gt;&lt;FQL&gt;&lt;Q&gt;CRS-US^P_BETA_LOCIDX(45937,45762,,"SPX")&lt;/Q&gt;&lt;R&gt;1&lt;/R&gt;&lt;C&gt;1&lt;/C&gt;&lt;D xsi:type="xsd:double"&gt;1.1495438&lt;/D&gt;&lt;/FQL&gt;&lt;FQL&gt;&lt;Q&gt;CRS-US^P_BETA_LOCIDX(45785,45608,,"SPX")&lt;/Q&gt;&lt;R&gt;1&lt;/R&gt;&lt;C&gt;1&lt;/C&gt;&lt;D xsi:type="xsd:double"&gt;1.6721623&lt;/D&gt;&lt;/FQL&gt;&lt;FQL&gt;&lt;Q&gt;CRS-US^P_BETA_LOCIDX(45695,45519,,"SPX")&lt;/Q&gt;&lt;R&gt;1&lt;/R&gt;&lt;C&gt;1&lt;/C&gt;&lt;D xsi:type="xsd:double"&gt;1.8026348&lt;/D&gt;&lt;/FQL&gt;&lt;FQL&gt;&lt;Q&gt;CRS-US^P_BETA_LOCIDX(45621,45448,,"SPX")&lt;/Q&gt;&lt;R&gt;1&lt;/R&gt;&lt;C&gt;1&lt;/C&gt;&lt;D xsi:type="xsd:double"&gt;1.7522341&lt;/D&gt;&lt;/FQL&gt;&lt;FQL&gt;&lt;Q&gt;CRS-US^P_BETA_LOCIDX(45553,45378,,"SPX")&lt;/Q&gt;&lt;R&gt;1&lt;/R&gt;&lt;C&gt;1&lt;/C&gt;&lt;D xsi:type="xsd:double"&gt;1.2849042&lt;/D&gt;&lt;/FQL&gt;&lt;FQL&gt;&lt;Q&gt;CRS-US^P_BETA_LOCIDX(45476,45301,,"SPX")&lt;/Q&gt;&lt;R&gt;1&lt;/R&gt;&lt;C&gt;1&lt;/C&gt;&lt;D xsi:type="xsd:double"&gt;1.0352004&lt;/D&gt;&lt;/FQL&gt;&lt;FQL&gt;&lt;Q&gt;CRS-US^P_BETA_LOCIDX(45331,45156,,"SPX")&lt;/Q&gt;&lt;R&gt;1&lt;/R&gt;&lt;C&gt;1&lt;/C&gt;&lt;D xsi:type="xsd:double"&gt;1.2745268&lt;/D&gt;&lt;/FQL&gt;&lt;FQL&gt;&lt;Q&gt;CRS-US^P_BETA_LOCIDX(45268,45097,,"SPX")&lt;/Q&gt;&lt;R&gt;1&lt;/R&gt;&lt;C&gt;1&lt;/C&gt;&lt;D xsi:type="xsd:double"&gt;1.2318269&lt;/D&gt;&lt;/FQL&gt;&lt;FQL&gt;&lt;Q&gt;CRS-US^P_BETA_LOCIDX(44970,44795,,"SPX")&lt;/Q&gt;&lt;R&gt;1&lt;/R&gt;&lt;C&gt;1&lt;/C&gt;&lt;D xsi:type="xsd:double"&gt;1.4401625&lt;/D&gt;&lt;/FQL&gt;&lt;FQL&gt;&lt;Q&gt;CRS-US^P_BETA_LOCIDX(45672,45497,,"SPX")&lt;/Q&gt;&lt;R&gt;1&lt;/R&gt;&lt;C&gt;1&lt;/C&gt;&lt;D xsi:type="xsd:double"&gt;1.6722943&lt;/D&gt;&lt;/FQL&gt;&lt;FQL&gt;&lt;Q&gt;CRS-US^P_BETA_LOCIDX(45967,45793,,"SPX")&lt;/Q&gt;&lt;R&gt;1&lt;/R&gt;&lt;C&gt;1&lt;/C&gt;&lt;D xsi:type="xsd:double"&gt;1.1319523&lt;/D&gt;&lt;/FQL&gt;&lt;FQL&gt;&lt;Q&gt;CRS-US^P_BETA_LOCIDX(45868,45693,,"SPX")&lt;/Q&gt;&lt;R&gt;1&lt;/R&gt;&lt;C&gt;1&lt;/C&gt;&lt;D xsi:type="xsd:double"&gt;1.6263286&lt;/D&gt;&lt;/FQL&gt;&lt;FQL&gt;&lt;Q&gt;CRS-US^P_BETA_LOCIDX(45694,45518,,"SPX")&lt;/Q&gt;&lt;R&gt;1&lt;/R&gt;&lt;C&gt;1&lt;/C&gt;&lt;D xsi:type="xsd:double"&gt;1.8122447&lt;/D&gt;&lt;/FQL&gt;&lt;FQL&gt;&lt;Q&gt;CRS-US^P_BETA_LOCIDX(45552,45377,,"SPX")&lt;/Q&gt;&lt;R&gt;1&lt;/R&gt;&lt;C&gt;1&lt;/C&gt;&lt;D xsi:type="xsd:double"&gt;1.2936176&lt;/D&gt;&lt;/FQL&gt;&lt;FQL&gt;&lt;Q&gt;CRS-US^P_BETA_LOCIDX(45469,45294,,"SPX")&lt;/Q&gt;&lt;R&gt;1&lt;/R&gt;&lt;C&gt;1&lt;/C&gt;&lt;D xsi:type="xsd:double"&gt;1.087366&lt;/D&gt;&lt;/FQL&gt;&lt;FQL&gt;&lt;Q&gt;CRS-US^P_BETA_LOCIDX(45398,45222,,"SPX")&lt;/Q&gt;&lt;R&gt;1&lt;/R&gt;&lt;C&gt;1&lt;/C&gt;&lt;D xsi:type="xsd:double"&gt;1.0145782&lt;/D&gt;&lt;/FQL&gt;&lt;FQL&gt;&lt;Q&gt;CRS-US^P_BETA_LOCIDX(45260,45086,,"SPX")&lt;/Q&gt;&lt;R&gt;1&lt;/R&gt;&lt;C&gt;1&lt;/C&gt;&lt;D xsi:type="xsd:double"&gt;1.279066&lt;/D&gt;&lt;/FQL&gt;&lt;FQL&gt;&lt;Q&gt;CRS-US^P_BETA_LOCIDX(45148,44973,,"SPX")&lt;/Q&gt;&lt;R&gt;1&lt;/R&gt;&lt;C&gt;1&lt;/C&gt;&lt;D xsi:type="xsd:double"&gt;1.8502047&lt;/D&gt;&lt;/FQL&gt;&lt;FQL&gt;&lt;Q&gt;CRS-US^P_BETA_LOCIDX(45092,44916,,"SPX")&lt;/Q&gt;&lt;R&gt;1&lt;/R&gt;&lt;C&gt;1&lt;/C&gt;&lt;D xsi:type="xsd:double"&gt;1.8047857&lt;/D&gt;&lt;/FQL&gt;&lt;FQL&gt;&lt;Q&gt;CRS-US^P_BETA_LOCIDX(45040,44862,,"SPX")&lt;/Q&gt;&lt;R&gt;1&lt;/R&gt;&lt;C&gt;1&lt;/C&gt;&lt;D xsi:type="xsd:double"&gt;1.4004995&lt;/D&gt;&lt;/FQL&gt;&lt;FQL&gt;&lt;Q&gt;CRS-US^P_BETA_LOCIDX(45863,45688,,"SPX")&lt;/Q&gt;&lt;R&gt;1&lt;/R&gt;&lt;C&gt;1&lt;/C&gt;&lt;D xsi:type="xsd:double"&gt;1.625247&lt;/D&gt;&lt;/FQL&gt;&lt;FQL&gt;&lt;Q&gt;CRS-US^P_BETA_LOCIDX(45784,45607,,"SPX")&lt;/Q&gt;&lt;R&gt;1&lt;/R&gt;&lt;C&gt;1&lt;/C&gt;&lt;D xsi:type="xsd:double"&gt;1.6749948&lt;/D&gt;&lt;/FQL&gt;&lt;FQL&gt;&lt;Q&gt;CRS-US^P_BETA_LOCIDX(45693,45517,,"SPX")&lt;/Q&gt;&lt;R&gt;1&lt;/R&gt;&lt;C&gt;1&lt;/C&gt;&lt;D xsi:type="xsd:double"&gt;1.7792487&lt;/D&gt;&lt;/FQL&gt;&lt;FQL&gt;&lt;Q&gt;CRS-US^P_BETA_LOCIDX(45617,45446,,"SPX")&lt;/Q&gt;&lt;R&gt;1&lt;/R&gt;&lt;C&gt;1&lt;/C&gt;&lt;D xsi:type="xsd:double"&gt;1.7334747&lt;/D&gt;&lt;/FQL&gt;&lt;FQL&gt;&lt;Q&gt;CRS-US^P_BETA_LOCIDX(45467,45289,,"SPX")&lt;/Q&gt;&lt;R&gt;1&lt;/R&gt;&lt;C&gt;1&lt;/C&gt;&lt;D xsi:type="xsd:double"&gt;1.0962924&lt;/D&gt;&lt;/FQL&gt;&lt;FQL&gt;&lt;Q&gt;CRS-US^P_BETA_LOCIDX(45397,45219,,"SPX")&lt;/Q&gt;&lt;R&gt;1&lt;/R&gt;&lt;C&gt;1&lt;/C&gt;&lt;D xsi:type="xsd:double"&gt;1.0435297&lt;/D&gt;&lt;/FQL&gt;&lt;FQL&gt;&lt;Q&gt;CRS-US^P_BETA_LOCIDX(45330,45155,,"SPX")&lt;/Q&gt;&lt;R&gt;1&lt;/R&gt;&lt;C&gt;1&lt;/C&gt;&lt;D xsi:type="xsd:double"&gt;1.2791909&lt;/D&gt;&lt;/FQL&gt;&lt;FQL&gt;&lt;Q&gt;CRS-US^P_BETA_LOCIDX(45146,44971,,"SPX")&lt;/Q&gt;&lt;R&gt;1&lt;/R&gt;&lt;C&gt;1&lt;/C&gt;&lt;D xsi:type="xsd:double"&gt;1.8407964&lt;/D&gt;&lt;/FQL&gt;&lt;FQL&gt;&lt;Q&gt;CRS-US^P_BETA_LOCIDX(45090,44914,,"SPX")&lt;/Q&gt;&lt;R&gt;1&lt;/R&gt;&lt;C&gt;1&lt;/C&gt;&lt;D xsi:type="xsd:double"&gt;1.8252091&lt;/D&gt;&lt;/FQL&gt;&lt;FQL&gt;&lt;Q&gt;CRS-US^P_BETA_LOCIDX(45036,44860,,"SPX")&lt;/Q&gt;&lt;R&gt;1&lt;/R&gt;&lt;C&gt;1&lt;/C&gt;&lt;D xsi:type="xsd:double"&gt;1.4048098&lt;/D&gt;&lt;/FQL&gt;&lt;FQL&gt;&lt;Q&gt;CRS-US^P_BETA_LOCIDX(45523,45349,,"SPX")&lt;/Q&gt;&lt;R&gt;1&lt;/R&gt;&lt;C&gt;1&lt;/C&gt;&lt;D xsi:type="xsd:double"&gt;1.0481464&lt;/D&gt;&lt;/FQL&gt;&lt;FQL&gt;&lt;Q&gt;CRS-US^P_BETA_LOCIDX(45775,45596,,"SPX")&lt;/Q&gt;&lt;R&gt;1&lt;/R&gt;&lt;C&gt;1&lt;/C&gt;&lt;D xsi:type="xsd:double"&gt;1.7418977&lt;/D&gt;&lt;/FQL&gt;&lt;FQL&gt;&lt;Q&gt;CRS-US^P_BETA_LOCIDX(45692,45516,,"SPX")&lt;/Q&gt;&lt;R&gt;1&lt;/R&gt;&lt;C&gt;1&lt;/C&gt;&lt;D xsi:type="xsd:double"&gt;1.7812134&lt;/D&gt;&lt;/FQL&gt;&lt;FQL&gt;&lt;Q&gt;CRS-US^P_BETA_LOCIDX(45541,45366,,"SPX")&lt;/Q&gt;&lt;R&gt;1&lt;/R&gt;&lt;C&gt;1&lt;/C&gt;&lt;D xsi:type="xsd:double"&gt;1.2540246&lt;/D&gt;&lt;/FQL&gt;&lt;FQL&gt;&lt;Q&gt;CRS-US^P_BETA_LOCIDX(45394,45218,,"SPX")&lt;/Q&gt;&lt;R&gt;1&lt;/R&gt;&lt;C&gt;1&lt;/C&gt;&lt;D xsi:type="xsd:double"&gt;1.0417594&lt;/D&gt;&lt;/FQL&gt;&lt;FQL&gt;&lt;Q&gt;CRS-US^P_BETA_LOCIDX(45254,45082,,"SPX")&lt;/Q&gt;&lt;R&gt;1&lt;/R&gt;&lt;C&gt;1&lt;/C&gt;&lt;D xsi:type="xsd:double"&gt;1.270049&lt;/D&gt;&lt;/FQL&gt;&lt;FQL&gt;&lt;Q&gt;CRS-US^P_BETA_LOCIDX(45198,45026,,"SPX")&lt;/Q&gt;&lt;R&gt;1&lt;/R&gt;&lt;C&gt;1&lt;/C&gt;&lt;D xsi:type="xsd:double"&gt;1.5924488&lt;/D&gt;&lt;/FQL&gt;&lt;FQL&gt;&lt;Q&gt;CRS-US^P_BETA_LOCIDX(45033,44855,,"SPX")&lt;/Q&gt;&lt;R&gt;1&lt;/R&gt;&lt;C&gt;1&lt;/C&gt;&lt;D xsi:type="xsd:double"&gt;1.3986359&lt;/D&gt;&lt;/FQL&gt;&lt;FQL&gt;&lt;Q&gt;CRS-US^P_BETA_LOCIDX(44978,44802,,"SPX")&lt;/Q&gt;&lt;R&gt;1&lt;/R&gt;&lt;C&gt;1&lt;/C&gt;&lt;D xsi:type="xsd:double"&gt;1.4517646&lt;/D&gt;&lt;/FQL&gt;&lt;FQL&gt;&lt;Q&gt;CRS-US^P_BETA_LOCIDX(45022,44847,,"SPX")&lt;/Q&gt;&lt;R&gt;1&lt;/R&gt;&lt;C&gt;1&lt;/C&gt;&lt;D xsi:type="xsd:double"&gt;1.3719712&lt;/D&gt;&lt;/FQL&gt;&lt;FQL&gt;&lt;Q&gt;CRS-US^P_BETA_LOCIDX(45932,45757,,"SPX")&lt;/Q&gt;&lt;R&gt;1&lt;/R&gt;&lt;C&gt;1&lt;/C&gt;&lt;D xsi:type="xsd:double"&gt;1.1671274&lt;/D&gt;&lt;/FQL&gt;&lt;FQL&gt;&lt;Q&gt;CRS-US^P_BETA_LOCIDX(45961,45789,,"SPX")&lt;/Q&gt;&lt;R&gt;1&lt;/R&gt;&lt;C&gt;1&lt;/C&gt;&lt;D xsi:type="xsd:double"&gt;1.0721475&lt;/D&gt;&lt;/FQL&gt;&lt;FQL&gt;&lt;Q&gt;CRS-US^P_BETA_LOCIDX(45861,45686,,"SPX")&lt;/Q&gt;&lt;R&gt;1&lt;/R&gt;&lt;C&gt;1&lt;/C&gt;&lt;D xsi:type="xsd:double"&gt;1.6065916&lt;/D&gt;&lt;/FQL&gt;&lt;FQL&gt;&lt;Q&gt;CRS-US^P_BETA_LOCIDX(45764,45588,,"SPX")&lt;/Q&gt;&lt;R&gt;1&lt;/R&gt;&lt;C&gt;1&lt;/C&gt;&lt;D xsi:type="xsd:double"&gt;1.7209628&lt;/D&gt;&lt;/FQL&gt;&lt;FQL&gt;&lt;Q&gt;CRS-US^P_BETA_LOCIDX(45616,45443,,"SPX")&lt;/Q&gt;&lt;R&gt;1&lt;/R&gt;&lt;C&gt;1&lt;/C&gt;&lt;D xsi:type="xsd:double"&gt;1.7257577&lt;/D&gt;&lt;/FQL&gt;&lt;FQL&gt;&lt;Q&gt;CRS-US^P_BETA_LOCIDX(45464,45288,,"SPX")&lt;/Q&gt;&lt;R&gt;1&lt;/R&gt;&lt;C&gt;1&lt;/C&gt;&lt;D xsi:type="xsd:double"&gt;1.0912503&lt;/D&gt;&lt;/FQL&gt;&lt;FQL&gt;&lt;Q&gt;CRS-US^P_BETA_LOCIDX(45393,45217,,"SPX")&lt;/Q&gt;&lt;R&gt;1&lt;/R&gt;&lt;C&gt;1&lt;/C&gt;&lt;D xsi:type="xsd:double"&gt;1.0712556&lt;/D&gt;&lt;/FQL&gt;&lt;FQL&gt;&lt;Q&gt;CRS-US^P_BETA_LOCIDX(45329,45154,,"SPX")&lt;/Q&gt;&lt;R&gt;1&lt;/R&gt;&lt;C&gt;1&lt;/C&gt;&lt;D xsi:type="xsd:double"&gt;1.2599244&lt;/D&gt;&lt;/FQL&gt;&lt;FQL&gt;&lt;Q&gt;CRS-US^P_BETA_LOCIDX(45196,45021,,"SPX")&lt;/Q&gt;&lt;R&gt;1&lt;/R&gt;&lt;C&gt;1&lt;/C&gt;&lt;D xsi:type="xsd:double"&gt;1.6108434&lt;/D&gt;&lt;/FQL&gt;&lt;FQL&gt;&lt;Q&gt;CRS-US^P_BETA_LOCIDX(45141,44966,,"SPX")&lt;/Q&gt;&lt;R&gt;1&lt;/R&gt;&lt;C&gt;1&lt;/C&gt;&lt;D xsi:type="xsd:double"&gt;1.8282424&lt;/D&gt;&lt;/FQL&gt;&lt;FQL&gt;&lt;Q&gt;CRS-US^P_BETA_LOCIDX(45030,44854,,"SPX")&lt;/Q&gt;&lt;R&gt;1&lt;/R&gt;&lt;C&gt;1&lt;/C&gt;&lt;D xsi:type="xsd:double"&gt;1.3904465&lt;/D&gt;&lt;/FQL&gt;&lt;FQL&gt;&lt;Q&gt;CRS-US^P_BETA_LOCIDX(44974,44799,,"SPX")&lt;/Q&gt;&lt;R&gt;1&lt;/R&gt;&lt;C&gt;1&lt;/C&gt;&lt;D xsi:type="xsd:double"&gt;1.4274516&lt;/D&gt;&lt;/FQL&gt;&lt;FQL&gt;&lt;Q&gt;CRS-US^P_BETA_LOCIDX(45455,45279,,"SPX")&lt;/Q&gt;&lt;R&gt;1&lt;/R&gt;&lt;C&gt;1&lt;/C&gt;&lt;D xsi:type="xsd:double"&gt;1.0368633&lt;/D&gt;&lt;/FQL&gt;&lt;FQL&gt;&lt;Q&gt;CRS-US^P_BETA_LOCIDX(45960,45786,,"SPX")&lt;/Q&gt;&lt;R&gt;1&lt;/R&gt;&lt;C&gt;1&lt;/C&gt;&lt;D xsi:type="xsd:double"&gt;1.0694578&lt;/D&gt;&lt;/FQL&gt;&lt;FQL&gt;&lt;Q&gt;CRS-US^P_BETA_LOCIDX(45762,45586,,"SPX")&lt;/Q&gt;&lt;R&gt;1&lt;/R&gt;&lt;C&gt;1&lt;/C&gt;&lt;D xsi:type="xsd:double"&gt;1.7390577&lt;/D&gt;&lt;/FQL&gt;&lt;FQL&gt;&lt;Q&gt;CRS-US^P_BETA_LOCIDX(45532,45358,,"SPX")&lt;/Q&gt;&lt;R&gt;1&lt;/R&gt;&lt;C&gt;1&lt;/C&gt;&lt;D xsi:type="xsd:double"&gt;1.0614066&lt;/D&gt;&lt;/FQL&gt;&lt;FQL&gt;&lt;Q&gt;CRS-US^P_BETA_LOCIDX(45321,45146,,"SPX")&lt;/Q&gt;&lt;R&gt;1&lt;/R&gt;&lt;C&gt;1&lt;/C&gt;&lt;D xsi:type="xsd:double"&gt;1.2976992&lt;/D&gt;&lt;/FQL&gt;&lt;FQL&gt;&lt;Q&gt;CRS-US^P_BETA_LOCIDX(45195,45020,,"SPX")&lt;/Q&gt;&lt;R&gt;1&lt;/R&gt;&lt;C&gt;1&lt;/C&gt;&lt;D xsi:type="xsd:double"&gt;1.645097&lt;/D&gt;&lt;/FQL&gt;&lt;FQL&gt;&lt;Q&gt;CRS-US^P_BETA_LOCIDX(45140,44965,,"SPX")&lt;/Q&gt;&lt;R&gt;1&lt;/R&gt;&lt;C&gt;1&lt;/C&gt;&lt;D xsi:type="xsd:double"&gt;1.8156362&lt;/D&gt;&lt;/FQL&gt;&lt;FQL&gt;&lt;Q&gt;CRS-US^P_BETA_LOCIDX(45085,44909,,"SPX")&lt;/Q&gt;&lt;R&gt;1&lt;/R&gt;&lt;C&gt;1&lt;/C&gt;&lt;D xsi:type="xsd:double"&gt;1.8441939&lt;/D&gt;&lt;/FQL&gt;&lt;FQL&gt;&lt;Q&gt;CRS-US^P_BETA_LOCIDX(45663,45489,,"SPX")&lt;/Q&gt;&lt;R&gt;1&lt;/R&gt;&lt;C&gt;1&lt;/C&gt;&lt;D xsi:type="xsd:double"&gt;1.7525542&lt;/D&gt;&lt;/FQL&gt;&lt;FQL&gt;&lt;Q&gt;CRS-US^P_BETA_LOCIDX(45859,45684,,"SPX")&lt;/Q&gt;&lt;R&gt;1&lt;/R&gt;&lt;C&gt;1&lt;/C&gt;&lt;D xsi:type="xsd:double"&gt;1.6338533&lt;/D&gt;&lt;/FQL&gt;&lt;FQL&gt;&lt;Q&gt;CRS-US^P_BETA_LOCIDX(45687,45511,,"SPX")&lt;/Q&gt;&lt;R&gt;1&lt;/R&gt;&lt;C&gt;1&lt;/C&gt;&lt;D xsi:type="xsd:double"&gt;1.8052101&lt;/D&gt;&lt;/FQL&gt;&lt;FQL&gt;&lt;Q&gt;CRS-US^P_BETA_LOCIDX(45614,45441,,"SPX")&lt;/Q&gt;&lt;R&gt;1&lt;/R&gt;&lt;C&gt;1&lt;/C&gt;&lt;D xsi:type="xsd:double"&gt;1.7122743&lt;/D&gt;&lt;/FQL&gt;&lt;FQL&gt;&lt;Q&gt;CRS-US^P_BETA_LOCIDX(45531,45357,,"SPX")&lt;/Q&gt;&lt;R&gt;1&lt;/R&gt;&lt;C&gt;1&lt;/C&gt;&lt;D xsi:type="xsd:double"&gt;1.0524929&lt;/D&gt;&lt;/FQL&gt;&lt;FQL&gt;&lt;Q&gt;CRS-US^P_BETA_LOCIDX(45461,45286,,"SPX")&lt;/Q&gt;&lt;R&gt;1&lt;/R&gt;&lt;C&gt;1&lt;/C&gt;&lt;D xsi:type="xsd:double"&gt;1.0822216&lt;/D&gt;&lt;/FQL&gt;&lt;FQL&gt;&lt;Q&gt;CRS-US^P_BETA_LOCIDX(45392,45216,,"SPX")&lt;/Q&gt;&lt;R&gt;1&lt;/R&gt;&lt;C&gt;1&lt;/C&gt;&lt;D xsi:type="xsd:double"&gt;1.0582987&lt;/D&gt;&lt;/FQL&gt;&lt;FQL&gt;&lt;Q&gt;CRS-US^P_BETA_LOCIDX(45320,45145,,"SPX")&lt;/Q&gt;&lt;R&gt;1&lt;/R&gt;&lt;C&gt;1&lt;/C&gt;&lt;D xsi:type="xsd:double"&gt;1.3194741&lt;/D&gt;&lt;/FQL&gt;&lt;FQL&gt;&lt;Q&gt;CRS-US^P_BETA_LOCIDX(45250,45077,,"SPX")&lt;/Q&gt;&lt;R&gt;1&lt;/R&gt;&lt;C&gt;1&lt;/C&gt;&lt;D xsi:type="xsd:double"&gt;1.323027&lt;/D&gt;&lt;/FQL&gt;&lt;FQL&gt;&lt;Q&gt;CRS-US^P_BETA_LOCIDX(45029,44853,,"SPX")&lt;/Q&gt;&lt;R&gt;1&lt;/R&gt;&lt;C&gt;1&lt;/C&gt;&lt;D xsi:type="xsd:double"&gt;1.390318&lt;/D&gt;&lt;/FQL&gt;&lt;FQL&gt;&lt;Q&gt;CRS-US^P_BETA_LOCIDX(44973,44798,,"SPX")&lt;/Q&gt;&lt;R&gt;1&lt;/R&gt;&lt;C&gt;1&lt;/C&gt;&lt;D xsi:type="xsd:double"&gt;1.4238088&lt;/D&gt;&lt;/FQL&gt;&lt;FQL&gt;&lt;Q&gt;CRS-US^P_BETA_LOCIDX(45307,45132,,"SPX")&lt;/Q&gt;&lt;R&gt;1&lt;/R&gt;&lt;C&gt;1&lt;/C&gt;&lt;D xsi:type="xsd:double"&gt;1.2850666&lt;/D&gt;&lt;/FQL&gt;&lt;FQL&gt;&lt;Q&gt;CRS-US^P_BETA_LOCIDX(45959,45785,,"SPX")&lt;/Q&gt;&lt;R&gt;1&lt;/R&gt;&lt;C&gt;1&lt;/C&gt;&lt;D xsi:type="xsd:double"&gt;1.0526973&lt;/D&gt;&lt;/FQL&gt;&lt;FQL&gt;&lt;Q&gt;CRS-US^P_BETA_LOCIDX(45856,45681,,"SPX")&lt;/Q&gt;&lt;R&gt;1&lt;/R&gt;&lt;C&gt;1&lt;/C&gt;&lt;D xsi:type="xsd:double"&gt;1.6356448&lt;/D&gt;&lt;/FQL&gt;&lt;FQL&gt;&lt;Q&gt;CRS-US^P_BETA_LOCIDX(45761,45583,,"SPX")&lt;/Q&gt;&lt;R&gt;1&lt;/R&gt;&lt;C&gt;1&lt;/C&gt;&lt;D xsi:type="xsd:double"&gt;1.73686&lt;/D&gt;&lt;/FQL&gt;&lt;FQL&gt;&lt;Q&gt;CRS-US^P_BETA_LOCIDX(45604,45432,,"SPX")&lt;/Q&gt;&lt;R&gt;1&lt;/R&gt;&lt;C&gt;1&lt;/C&gt;&lt;D xsi:type="xsd:double"&gt;1.7536659&lt;/D&gt;&lt;/FQL&gt;&lt;FQL&gt;&lt;Q&gt;CRS-US^P_BETA_LOCIDX(45530,45356,,"SPX")&lt;/Q&gt;&lt;R&gt;1&lt;/R&gt;&lt;C&gt;1&lt;/C&gt;&lt;D xsi:type="xsd:double"&gt;1.0761731&lt;/D&gt;&lt;/FQL&gt;&lt;FQL&gt;&lt;Q&gt;CRS-US^P_BETA_LOCIDX(45457,45281,,"SPX")&lt;/Q&gt;&lt;R&gt;1&lt;/R&gt;&lt;C&gt;1&lt;/C&gt;&lt;D xsi:type="xsd:double"&gt;1.0656332&lt;/D&gt;&lt;/FQL&gt;&lt;FQL&gt;&lt;Q&gt;CRS-US^P_BETA_LOCIDX(45391,45215,,"SPX")&lt;/Q&gt;&lt;R&gt;1&lt;/R&gt;&lt;C&gt;1&lt;/C&gt;&lt;D xsi:type="xsd:double"&gt;1.0103153&lt;/D&gt;&lt;/FQL&gt;&lt;FQL&gt;&lt;Q&gt;CRS-US^P_BETA_LOCIDX(45028,44852,,"SPX")&lt;/Q&gt;&lt;R&gt;1&lt;/R&gt;&lt;C&gt;1&lt;/C&gt;&lt;D xsi:type="xsd:double"&gt;1.3799256&lt;/D&gt;&lt;/FQL&gt;&lt;FQL&gt;&lt;Q&gt;CRS-US^P_BETA_LOCIDX(44972,44797,,"SPX")&lt;/Q&gt;&lt;R&gt;1&lt;/R&gt;&lt;C&gt;1&lt;/C&gt;&lt;D xsi:type="xsd:double"&gt;1.4266304&lt;/D&gt;&lt;/FQL&gt;&lt;FQL&gt;&lt;Q&gt;CRS-US^P_BETA_LOCIDX(45189,45014,,"SPX")&lt;/Q&gt;&lt;R&gt;1&lt;/R&gt;&lt;C&gt;1&lt;/C&gt;&lt;D xsi:type="xsd:double"&gt;1.7150825&lt;/D&gt;&lt;/FQL&gt;&lt;FQL&gt;&lt;Q&gt;CRS-US^P_BETA_LOCIDX(44967,44792,,"SPX")&lt;/Q&gt;&lt;R&gt;1&lt;/R&gt;&lt;C&gt;1&lt;/C&gt;&lt;D xsi:type="xsd:double"&gt;1.4358592&lt;/D&gt;&lt;/FQL&gt;&lt;FQL&gt;&lt;Q&gt;CRS-US^P_BETA_LOCIDX(45751,45575,,"SPX")&lt;/Q&gt;&lt;R&gt;1&lt;/R&gt;&lt;C&gt;1&lt;/C&gt;&lt;D xsi:type="xsd:double"&gt;1.8398297&lt;/D&gt;&lt;/FQL&gt;&lt;FQL&gt;&lt;Q&gt;CRS-US^P_BETA_LOCIDX(45758,45582,,"SPX")&lt;/Q&gt;&lt;R&gt;1&lt;/R&gt;&lt;C&gt;1&lt;/C&gt;&lt;D xsi:type="xsd:double"&gt;1.7379372&lt;/D&gt;&lt;/FQL&gt;&lt;FQL&gt;&lt;Q&gt;CRS-US^P_BETA_LOCIDX(45685,45509,,"SPX")&lt;/Q&gt;&lt;R&gt;1&lt;/R&gt;&lt;C&gt;1&lt;/C&gt;&lt;D xsi:type="xsd:double"&gt;1.7700412&lt;/D&gt;&lt;/FQL&gt;&lt;FQL&gt;&lt;Q&gt;CRS-US^P_BETA_LOCIDX(45603,45429,,"SPX")&lt;/Q&gt;&lt;R&gt;1&lt;/R&gt;&lt;C&gt;1&lt;/C&gt;&lt;D xsi:type="xsd:double"&gt;1.7522151&lt;/D&gt;&lt;/FQL&gt;&lt;FQL&gt;&lt;Q&gt;CRS-US^P_BETA_LOCIDX(45527,45355,,"SPX")&lt;/Q&gt;&lt;R&gt;1&lt;/R&gt;&lt;C&gt;1&lt;/C&gt;&lt;D xsi:type="xsd:double"&gt;1.0745091&lt;/D&gt;&lt;/FQL&gt;&lt;FQL&gt;&lt;Q&gt;CRS-US^P_BETA_LOCIDX(45390,45212,,"SPX")&lt;/Q&gt;&lt;R&gt;1&lt;/R&gt;&lt;C&gt;1&lt;/C&gt;&lt;D xsi:type="xsd:double"&gt;1.0554383&lt;/D&gt;&lt;/FQL&gt;&lt;FQL&gt;&lt;Q&gt;CRS-US^P_BETA_LOCIDX(45246,45072,,"SPX")&lt;/Q&gt;&lt;R&gt;1&lt;/R&gt;&lt;C&gt;1&lt;/C&gt;&lt;D xsi:type="xsd:double"&gt;1.3018855&lt;/D&gt;&lt;/FQL&gt;&lt;FQL&gt;&lt;Q&gt;CRS-US^P_BETA_LOCIDX(45191,45016,,"SPX")&lt;/Q&gt;&lt;R&gt;1&lt;/R&gt;&lt;C&gt;1&lt;/C&gt;&lt;D xsi:type="xsd:double"&gt;1.6389233&lt;/D&gt;&lt;/FQL&gt;&lt;FQL&gt;&lt;Q&gt;CRS-US^P_BETA_LOCIDX(45138,44963,,"SPX")&lt;/Q&gt;&lt;R&gt;1&lt;/R&gt;&lt;C&gt;1&lt;/C&gt;&lt;D xsi:type="xsd:double"&gt;1.8276963&lt;/D&gt;&lt;/FQL&gt;&lt;FQL&gt;&lt;Q&gt;CRS-US^P_BETA_LOCIDX(45083,44907,,"SPX")&lt;/Q&gt;&lt;R&gt;1&lt;/R&gt;&lt;C&gt;1&lt;/C&gt;&lt;D xsi:type="xsd:double"&gt;1.8557185&lt;/D&gt;&lt;/FQL&gt;&lt;FQL&gt;&lt;Q&gt;CRS-US^P_BETA_LOCIDX(45958,45784,,"SPX")&lt;/Q&gt;&lt;R&gt;1&lt;/R&gt;&lt;C&gt;1&lt;/C&gt;&lt;D xsi:type="xsd:double"&gt;1.0650686&lt;/D&gt;&lt;/FQL&gt;&lt;FQL&gt;&lt;Q&gt;CRS-US^P_BETA_LOCIDX(45855,45680,,"SPX")&lt;/Q&gt;&lt;R&gt;1&lt;/R&gt;&lt;C&gt;1&lt;/C&gt;&lt;D xsi:type="xsd:double"&gt;1.6381181&lt;/D&gt;&lt;/FQL&gt;&lt;FQL&gt;&lt;Q&gt;CRS-US^P_BETA_LOCIDX(45526,45352,,"SPX")&lt;/Q&gt;&lt;R&gt;1&lt;/R&gt;&lt;C&gt;1&lt;/C&gt;&lt;D xsi:type="xsd:double"&gt;1.078671&lt;/D&gt;&lt;/FQL&gt;&lt;FQL&gt;&lt;Q&gt;CRS-US^P_BETA_LOCIDX(45456,45280,,"SPX")&lt;/Q&gt;&lt;R&gt;1&lt;/R&gt;&lt;C&gt;1&lt;/C&gt;&lt;D xsi:type="xsd:double"&gt;1.0239122&lt;/D&gt;&lt;/FQL&gt;&lt;FQL&gt;&lt;Q&gt;CRS-US^P_BETA_LOCIDX(45379,45204,,"SPX")&lt;/Q&gt;&lt;R&gt;1&lt;/R&gt;&lt;C&gt;1&lt;/C&gt;&lt;D xsi:type="xsd:double"&gt;1.2897894&lt;/D&gt;&lt;/FQL&gt;&lt;FQL&gt;&lt;Q&gt;CRS-US^P_BETA_LOCIDX(45309,45134,,"SPX")&lt;/Q&gt;&lt;R&gt;1&lt;/R&gt;&lt;C&gt;1&lt;/C&gt;&lt;D xsi:type="xsd:double"&gt;1.3289737&lt;/D&gt;&lt;/FQL&gt;&lt;FQL&gt;&lt;Q&gt;CRS-US^P_BETA_LOCIDX(45190,45015,,"SPX")&lt;/Q&gt;&lt;R&gt;1&lt;/R&gt;&lt;C&gt;1&lt;/C&gt;&lt;D xsi:type="xsd:double"&gt;1.6368679&lt;/D&gt;&lt;/FQL&gt;&lt;FQL&gt;&lt;Q&gt;CRS-US^P_BETA_LOCIDX(45135,44960,,"SPX")&lt;/Q&gt;&lt;R&gt;1&lt;/R&gt;&lt;C&gt;1&lt;/C&gt;&lt;D xsi:type="xsd:double"&gt;1.7964025&lt;/D&gt;&lt;/FQL&gt;&lt;FQL&gt;&lt;Q&gt;CRS-US^P_BETA_LOCIDX(45079,44903,,"SPX")&lt;/Q&gt;&lt;R&gt;1&lt;/R&gt;&lt;C&gt;1&lt;/C&gt;&lt;D xsi:type="xsd:double"&gt;1.8660996&lt;/D&gt;&lt;/FQL&gt;&lt;FQL&gt;&lt;Q&gt;CRS-US^P_BETA_LOCIDX(45026,44848,,"SPX")&lt;/Q&gt;&lt;R&gt;1&lt;/R&gt;&lt;C&gt;1&lt;/C&gt;&lt;D xsi:type="xsd:double"&gt;1.3915224&lt;/D&gt;&lt;/FQL&gt;&lt;FQL&gt;&lt;Q&gt;CRS-US^P_BETA_LOCIDX(45954,45782,,"SPX")&lt;/Q&gt;&lt;R&gt;1&lt;/R&gt;&lt;C&gt;1&lt;/C&gt;&lt;D xsi:type="xsd:double"&gt;1.0932714&lt;/D&gt;&lt;/FQL&gt;&lt;FQL&gt;&lt;Q&gt;CRS-US^P_BETA_LOCIDX(45684,45506,,"SPX")&lt;/Q&gt;&lt;R&gt;1&lt;/R&gt;&lt;C&gt;1&lt;/C&gt;&lt;D xsi:type="xsd:double"&gt;1.8032584&lt;/D&gt;&lt;/FQL&gt;&lt;FQL&gt;&lt;Q&gt;CRS-US^P_BETA_LOCIDX(45078,44902,,"SPX")&lt;/Q&gt;&lt;R&gt;1&lt;/R&gt;&lt;C&gt;1&lt;/C&gt;&lt;D xsi:type="xsd:double"&gt;1.82823&lt;/D&gt;&lt;/FQL&gt;&lt;FQL&gt;&lt;Q&gt;CRS-US^P_BETA_LOCIDX(45058,44882,,"SPX")&lt;/Q&gt;&lt;R&gt;1&lt;/R&gt;&lt;C&gt;1&lt;/C&gt;&lt;D xsi:type="xsd:double"&gt;1.6694431&lt;/D&gt;&lt;/FQL&gt;&lt;FQL&gt;&lt;Q&gt;CRS-US^P_BETA_LOCIDX(45519,45345,,"SPX")&lt;/Q&gt;&lt;R&gt;1&lt;/R&gt;&lt;C&gt;1&lt;/C&gt;&lt;D xsi:type="xsd:double"&gt;1.0654113&lt;/D&gt;&lt;/FQL&gt;&lt;FQL&gt;&lt;Q&gt;CRS-US^P_BETA_LOCIDX(45013,44838,,"SPX")&lt;/Q&gt;&lt;R&gt;1&lt;/R&gt;&lt;C&gt;1&lt;/C&gt;&lt;D xsi:type="xsd:double"&gt;1.3601117&lt;/D&gt;&lt;/FQL&gt;&lt;FQL&gt;&lt;Q&gt;CRS-US^P_BETA_LOCIDX(45518,45344,,"SPX")&lt;/Q&gt;&lt;R&gt;1&lt;/R&gt;&lt;C&gt;1&lt;/C&gt;&lt;D xsi:type="xsd:double"&gt;1.0444074&lt;/D&gt;&lt;/FQL&gt;&lt;FQL&gt;&lt;Q&gt;CRS-US^P_BETA_LOCIDX(45510,45335,,"SPX")&lt;/Q&gt;&lt;R&gt;1&lt;/R&gt;&lt;C&gt;1&lt;/C&gt;&lt;D xsi:type="xsd:double"&gt;1.124268&lt;/D&gt;&lt;/FQL&gt;&lt;FQL&gt;&lt;Q&gt;CRS-US^P_BETA_LOCIDX(45826,45649,,"SPX")&lt;/Q&gt;&lt;R&gt;1&lt;/R&gt;&lt;C&gt;1&lt;/C&gt;&lt;D xsi:type="xsd:double"&gt;1.609098&lt;/D&gt;&lt;/FQL&gt;&lt;FQL&gt;&lt;Q&gt;CRS-US^P_BETA_LOCIDX(44966,44791,,"SPX")&lt;/Q&gt;&lt;R&gt;1&lt;/R&gt;&lt;C&gt;1&lt;/C&gt;&lt;D xsi:type="xsd:double"&gt;1.4380776&lt;/D&gt;&lt;/FQL&gt;&lt;FQL&gt;&lt;Q&gt;CRS-US^P_BETA_LOCIDX(45446,45268,,"SPX")&lt;/Q&gt;&lt;R&gt;1&lt;/R&gt;&lt;C&gt;1&lt;/C&gt;&lt;D xsi:type="xsd:double"&gt;1.0580419&lt;/D&gt;&lt;/FQL&gt;&lt;FQL&gt;&lt;Q&gt;CRS-US^P_BETA_LOCIDX(45180,45005,,"SPX")&lt;/Q&gt;&lt;R&gt;1&lt;/R&gt;&lt;C&gt;1&lt;/C&gt;&lt;D xsi:type="xsd:double"&gt;1.7331421&lt;/D&gt;&lt;/FQL&gt;&lt;FQL&gt;&lt;Q&gt;CRS-US^P_BETA_LOCIDX(45434,45259,,"SPX")&lt;/Q&gt;&lt;R&gt;1&lt;/R&gt;&lt;C&gt;1&lt;/C&gt;&lt;D xsi:type="xsd:double"&gt;1.041263&lt;/D&gt;&lt;/FQL&gt;&lt;FQL&gt;&lt;Q&gt;CRS-US^P_BETA_LOCIDX(45174,44999,,"SPX")&lt;/Q&gt;&lt;R&gt;1&lt;/R&gt;&lt;C&gt;1&lt;/C&gt;&lt;D xsi:type="xsd:double"&gt;1.8784295&lt;/D&gt;&lt;/FQL&gt;&lt;FQL&gt;&lt;Q&gt;CRS-US^P_BETA_LOCIDX(45432,45257,,"SPX")&lt;/Q&gt;&lt;R&gt;1&lt;/R&gt;&lt;C&gt;1&lt;/C&gt;&lt;D xsi:type="xsd:double"&gt;0.9746633&lt;/D&gt;&lt;/FQL&gt;&lt;FQL&gt;&lt;Q&gt;CRS-US^P_BETA_LOCIDX(45169,44995,,"SPX")&lt;/Q&gt;&lt;R&gt;1&lt;/R&gt;&lt;C&gt;1&lt;/C&gt;&lt;D xsi:type="xsd:double"&gt;1.9013149&lt;/D&gt;&lt;/FQL&gt;&lt;FQL&gt;&lt;Q&gt;CRS-US^P_BETA_LOCIDX(45133,44958,,"SPX")&lt;/Q&gt;&lt;R&gt;1&lt;/R&gt;&lt;C&gt;1&lt;/C&gt;&lt;D xsi:type="xsd:double"&gt;1.8574868&lt;/D&gt;&lt;/FQL&gt;&lt;FQL&gt;&lt;Q&gt;CRS-US^P_BETA_LOCIDX(45365,45190,,"SPX")&lt;/Q&gt;&lt;R&gt;1&lt;/R&gt;&lt;C&gt;1&lt;/C&gt;&lt;D xsi:type="xsd:double"&gt;1.288236&lt;/D&gt;&lt;/FQL&gt;&lt;FQL&gt;&lt;Q&gt;CRS-US^P_BETA_LOCIDX(45929,45754,,"SPX")&lt;/Q&gt;&lt;R&gt;1&lt;/R&gt;&lt;C&gt;1&lt;/C&gt;&lt;D xsi:type="xsd:double"&gt;1.38665&lt;/D&gt;&lt;/FQL&gt;&lt;FQL&gt;&lt;Q&gt;CRS-US^P_BETA_LOCIDX(45583,45411,,"SPX")&lt;/Q&gt;&lt;R&gt;1&lt;/R&gt;&lt;C&gt;1&lt;/C&gt;&lt;D xsi:type="xsd:double"&gt;1.3077915&lt;/D&gt;&lt;/FQL&gt;&lt;FQL&gt;&lt;Q&gt;CRS-US^P_BETA_LOCIDX(45924,45749,,"SPX")&lt;/Q&gt;&lt;R&gt;1&lt;/R&gt;&lt;C&gt;1&lt;/C&gt;&lt;D xsi:type="xsd:double"&gt;1.4911664&lt;/D&gt;&lt;/FQL&gt;&lt;FQL&gt;&lt;Q&gt;CRS-US^P_BETA_LOCIDX(45239,45065,,"SPX")&lt;/Q&gt;&lt;R&gt;1&lt;/R&gt;&lt;C&gt;1&lt;/C&gt;&lt;D xsi:type="xsd:double"&gt;1.3878021&lt;/D&gt;&lt;/FQL&gt;&lt;FQL&gt;&lt;Q&gt;CRS-US^P_BETA_LOCIDX(45231,45057,,"SPX")&lt;/Q&gt;&lt;R&gt;1&lt;/R&gt;&lt;C&gt;1&lt;/C&gt;&lt;D xsi:type="xsd:double"&gt;1.4989303&lt;/D&gt;&lt;/FQL&gt;&lt;FQL&gt;&lt;Q&gt;CRS-US^P_BETA_LOCIDX(45831,45652,,"SPX")&lt;/Q&gt;&lt;R&gt;1&lt;/R&gt;&lt;C&gt;1&lt;/C&gt;&lt;D xsi:type="xsd:double"&gt;1.6156926&lt;/D&gt;&lt;/FQL&gt;&lt;FQL&gt;&lt;Q&gt;CRS-US^P_BETA_LOCIDX(45226,45054,,"SPX")&lt;/Q&gt;&lt;R&gt;1&lt;/R&gt;&lt;C&gt;1&lt;/C&gt;&lt;D xsi:type="xsd:double"&gt;1.4970396&lt;/D&gt;&lt;/FQL&gt;&lt;FQL&gt;&lt;Q&gt;CRS-US^P_BETA_LOCIDX(45820,45643,,"SPX")&lt;/Q&gt;&lt;R&gt;1&lt;/R&gt;&lt;C&gt;1&lt;/C&gt;&lt;D xsi:type="xsd:double"&gt;1.619025&lt;/D&gt;&lt;/FQL&gt;&lt;FQL&gt;&lt;Q&gt;CRS-US^P_BETA_LOCIDX(44957,44782,,"SPX")&lt;/Q&gt;&lt;R&gt;1&lt;/R&gt;&lt;C&gt;1&lt;/C&gt;&lt;D xsi:type="xsd:double"&gt;1.4419619&lt;/D&gt;&lt;/FQL&gt;&lt;FQL&gt;&lt;Q&gt;CRS-US^P_BETA_LOCIDX(45433,45258,,"SPX")&lt;/Q&gt;&lt;R&gt;1&lt;/R&gt;&lt;C&gt;1&lt;/C&gt;&lt;D xsi:type="xsd:double"&gt;1.0168737&lt;/D&gt;&lt;/FQL&gt;&lt;FQL&gt;&lt;Q&gt;CRS-US^P_BETA_LOCIDX(45750,45574,,"SPX")&lt;/Q&gt;&lt;R&gt;1&lt;/R&gt;&lt;C&gt;1&lt;/C&gt;&lt;D xsi:type="xsd:double"&gt;1.9241667&lt;/D&gt;&lt;/FQL&gt;&lt;FQL&gt;&lt;Q&gt;CRS-US^P_BETA_LOCIDX(45925,45750,,"SPX")&lt;/Q&gt;&lt;R&gt;1&lt;/R&gt;&lt;C&gt;1&lt;/C&gt;&lt;D xsi:type="xsd:double"&gt;1.4870255&lt;/D&gt;&lt;/FQL&gt;&lt;FQL&gt;&lt;Q&gt;CRS-US^P_BETA_LOCIDX(45582,45408,,"SPX")&lt;/Q&gt;&lt;R&gt;1&lt;/R&gt;&lt;C&gt;1&lt;/C&gt;&lt;D xsi:type="xsd:double"&gt;1.3238126&lt;/D&gt;&lt;/FQL&gt;&lt;FQL&gt;&lt;Q&gt;CRS-US^P_BETA_LOCIDX(45288,45117,,"SPX")&lt;/Q&gt;&lt;R&gt;1&lt;/R&gt;&lt;C&gt;1&lt;/C&gt;&lt;D xsi:type="xsd:double"&gt;1.2711635&lt;/D&gt;&lt;/FQL&gt;&lt;FQL&gt;&lt;Q&gt;CRS-US^P_BETA_LOCIDX(45020,44845,,"SPX")&lt;/Q&gt;&lt;R&gt;1&lt;/R&gt;&lt;C&gt;1&lt;/C&gt;&lt;D xsi:type="xsd:double"&gt;1.3655039&lt;/D&gt;&lt;/FQL&gt;&lt;FQL&gt;&lt;Q&gt;CRS-US^P_BETA_LOCIDX(45240,45068,,"SPX")&lt;/Q&gt;&lt;R&gt;1&lt;/R&gt;&lt;C&gt;1&lt;/C&gt;&lt;D xsi:type="xsd:double"&gt;1.3547449&lt;/D&gt;&lt;/FQL&gt;&lt;FQL&gt;&lt;Q&gt;CRS-US^P_BETA_LOCIDX(45923,45748,,"SPX")&lt;/Q&gt;&lt;R&gt;1&lt;/R&gt;&lt;C&gt;1&lt;/C&gt;&lt;D xsi:type="xsd:double"&gt;1.4878826&lt;/D&gt;&lt;/FQL&gt;&lt;FQL&gt;&lt;Q&gt;CRS-US^P_BETA_LOCIDX(45007,44832,,"SPX")&lt;/Q&gt;&lt;R&gt;1&lt;/R&gt;&lt;C&gt;1&lt;/C&gt;&lt;D xsi:type="xsd:double"&gt;1.4311&lt;/D&gt;&lt;/FQL&gt;&lt;FQL&gt;&lt;Q&gt;CRS-US^P_BETA_LOCIDX(45821,45644,,"SPX")&lt;/Q&gt;&lt;R&gt;1&lt;/R&gt;&lt;C&gt;1&lt;/C&gt;&lt;D xsi:type="xsd:double"&gt;1.6111706&lt;/D&gt;&lt;/FQL&gt;&lt;FQL&gt;&lt;Q&gt;CRS-US^P_BETA_LOCIDX(44958,44783,,"SPX")&lt;/Q&gt;&lt;R&gt;1&lt;/R&gt;&lt;C&gt;1&lt;/C&gt;&lt;D xsi:type="xsd:double"&gt;1.448481&lt;/D&gt;&lt;/FQL&gt;&lt;FQL&gt;&lt;Q&gt;CRS-US^P_BETA_LOCIDX(45443,45267,,"SPX")&lt;/Q&gt;&lt;R&gt;1&lt;/R&gt;&lt;C&gt;1&lt;/C&gt;&lt;D xsi:type="xsd:double"&gt;0.96695495&lt;/D&gt;&lt;/FQL&gt;&lt;FQL&gt;&lt;Q&gt;CRS-US^P_BETA_LOCIDX(45177,45002,,"SPX")&lt;/Q&gt;&lt;R&gt;1&lt;/R&gt;&lt;C&gt;1&lt;/C&gt;&lt;D xsi:type="xsd:double"&gt;1.8571181&lt;/D&gt;&lt;/FQL&gt;&lt;FQL&gt;&lt;Q&gt;CRS-US^P_BETA_LOCIDX(45740,45562,,"SPX")&lt;/Q&gt;&lt;R&gt;1&lt;/R&gt;&lt;C&gt;1&lt;/C&gt;&lt;D xsi:type="xsd:double"&gt;1.8144255&lt;/D&gt;&lt;/FQL&gt;&lt;FQL&gt;&lt;Q&gt;CRS-US^P_BETA_LOCIDX(45730,45554,,"SPX")&lt;/Q&gt;&lt;R&gt;1&lt;/R&gt;&lt;C&gt;1&lt;/C&gt;&lt;D xsi:type="xsd:double"&gt;1.7540774&lt;/D&gt;&lt;/FQL&gt;&lt;FQL&gt;&lt;Q&gt;CRS-US^P_BETA_LOCIDX(45168,44994,,"SPX")&lt;/Q&gt;&lt;R&gt;1&lt;/R&gt;&lt;C&gt;1&lt;/C&gt;&lt;D xsi:type="xsd:double"&gt;1.8957868&lt;/D&gt;&lt;/FQL&gt;&lt;FQL&gt;&lt;Q&gt;CRS-US^P_</t>
        </r>
      </text>
    </comment>
    <comment ref="A3" authorId="0" shapeId="0" xr:uid="{D152D1D6-E350-426A-B3B1-A7978E2AB21C}">
      <text>
        <r>
          <rPr>
            <b/>
            <sz val="9"/>
            <color indexed="81"/>
            <rFont val="Tahoma"/>
            <family val="2"/>
          </rPr>
          <t>BETA_LOCIDX(45124,44949,,"SPX")&lt;/Q&gt;&lt;R&gt;1&lt;/R&gt;&lt;C&gt;1&lt;/C&gt;&lt;D xsi:type="xsd:double"&gt;1.8267986&lt;/D&gt;&lt;/FQL&gt;&lt;FQL&gt;&lt;Q&gt;CRS-US^P_BETA_LOCIDX(45728,45552,,"SPX")&lt;/Q&gt;&lt;R&gt;1&lt;/R&gt;&lt;C&gt;1&lt;/C&gt;&lt;D xsi:type="xsd:double"&gt;1.7327542&lt;/D&gt;&lt;/FQL&gt;&lt;FQL&gt;&lt;Q&gt;CRS-US^P_BETA_LOCIDX(45300,45126,,"SPX")&lt;/Q&gt;&lt;R&gt;1&lt;/R&gt;&lt;C&gt;1&lt;/C&gt;&lt;D xsi:type="xsd:double"&gt;1.2235332&lt;/D&gt;&lt;/FQL&gt;&lt;FQL&gt;&lt;Q&gt;CRS-US^P_BETA_LOCIDX(45119,44944,,"SPX")&lt;/Q&gt;&lt;R&gt;1&lt;/R&gt;&lt;C&gt;1&lt;/C&gt;&lt;D xsi:type="xsd:double"&gt;1.7607992&lt;/D&gt;&lt;/FQL&gt;&lt;FQL&gt;&lt;Q&gt;CRS-US^P_BETA_LOCIDX(45656,45483,,"SPX")&lt;/Q&gt;&lt;R&gt;1&lt;/R&gt;&lt;C&gt;1&lt;/C&gt;&lt;D xsi:type="xsd:double"&gt;1.7470835&lt;/D&gt;&lt;/FQL&gt;&lt;FQL&gt;&lt;Q&gt;CRS-US^P_BETA_LOCIDX(45369,45194,,"SPX")&lt;/Q&gt;&lt;R&gt;1&lt;/R&gt;&lt;C&gt;1&lt;/C&gt;&lt;D xsi:type="xsd:double"&gt;1.3246837&lt;/D&gt;&lt;/FQL&gt;&lt;FQL&gt;&lt;Q&gt;CRS-US^P_BETA_LOCIDX(45117,44939,,"SPX")&lt;/Q&gt;&lt;R&gt;1&lt;/R&gt;&lt;C&gt;1&lt;/C&gt;&lt;D xsi:type="xsd:double"&gt;1.7618057&lt;/D&gt;&lt;/FQL&gt;&lt;FQL&gt;&lt;Q&gt;CRS-US^P_BETA_LOCIDX(45363,45188,,"SPX")&lt;/Q&gt;&lt;R&gt;1&lt;/R&gt;&lt;C&gt;1&lt;/C&gt;&lt;D xsi:type="xsd:double"&gt;1.2584455&lt;/D&gt;&lt;/FQL&gt;&lt;FQL&gt;&lt;Q&gt;CRS-US^P_BETA_LOCIDX(45657,45484,,"SPX")&lt;/Q&gt;&lt;R&gt;1&lt;/R&gt;&lt;C&gt;1&lt;/C&gt;&lt;D xsi:type="xsd:double"&gt;1.7463398&lt;/D&gt;&lt;/FQL&gt;&lt;FQL&gt;&lt;Q&gt;CRS-US^P_BETA_LOCIDX(45428,45252,,"SPX")&lt;/Q&gt;&lt;R&gt;1&lt;/R&gt;&lt;C&gt;1&lt;/C&gt;&lt;D xsi:type="xsd:double"&gt;0.97339594&lt;/D&gt;&lt;/FQL&gt;&lt;FQL&gt;&lt;Q&gt;CRS-US^P_BETA_LOCIDX(45659,45485,,"SPX")&lt;/Q&gt;&lt;R&gt;1&lt;/R&gt;&lt;C&gt;1&lt;/C&gt;&lt;D xsi:type="xsd:double"&gt;1.7555598&lt;/D&gt;&lt;/FQL&gt;&lt;FQL&gt;&lt;Q&gt;CRS-US^P_BETA_LOCIDX(45061,44883,,"SPX")&lt;/Q&gt;&lt;R&gt;1&lt;/R&gt;&lt;C&gt;1&lt;/C&gt;&lt;D xsi:type="xsd:double"&gt;1.6728939&lt;/D&gt;&lt;/FQL&gt;&lt;FQL&gt;&lt;Q&gt;CRS-US^P_BETA_LOCIDX(45729,45553,,"SPX")&lt;/Q&gt;&lt;R&gt;1&lt;/R&gt;&lt;C&gt;1&lt;/C&gt;&lt;D xsi:type="xsd:double"&gt;1.7431973&lt;/D&gt;&lt;/FQL&gt;&lt;FQL&gt;&lt;Q&gt;CRS-US^P_BETA_LOCIDX(45586,45412,,"SPX")&lt;/Q&gt;&lt;R&gt;1&lt;/R&gt;&lt;C&gt;1&lt;/C&gt;&lt;D xsi:type="xsd:double"&gt;1.3110605&lt;/D&gt;&lt;/FQL&gt;&lt;FQL&gt;&lt;Q&gt;CRS-US^P_BETA_LOCIDX(45114,44938,,"SPX")&lt;/Q&gt;&lt;R&gt;1&lt;/R&gt;&lt;C&gt;1&lt;/C&gt;&lt;D xsi:type="xsd:double"&gt;1.7624435&lt;/D&gt;&lt;/FQL&gt;&lt;FQL&gt;&lt;Q&gt;CRS-US^P_BETA_LOCIDX(45652,45481,,"SPX")&lt;/Q&gt;&lt;R&gt;1&lt;/R&gt;&lt;C&gt;1&lt;/C&gt;&lt;D xsi:type="xsd:double"&gt;1.728452&lt;/D&gt;&lt;/FQL&gt;&lt;FQL&gt;&lt;Q&gt;CRS-US^P_BETA_LOCIDX(45359,45184,,"SPX")&lt;/Q&gt;&lt;R&gt;1&lt;/R&gt;&lt;C&gt;1&lt;/C&gt;&lt;D xsi:type="xsd:double"&gt;1.3588685&lt;/D&gt;&lt;/FQL&gt;&lt;FQL&gt;&lt;Q&gt;CRS-US^P_BETA_LOCIDX(45076,44900,,"SPX")&lt;/Q&gt;&lt;R&gt;1&lt;/R&gt;&lt;C&gt;1&lt;/C&gt;&lt;D xsi:type="xsd:double"&gt;1.8020452&lt;/D&gt;&lt;/FQL&gt;&lt;FQL&gt;&lt;Q&gt;CRS-US^P_BETA_LOCIDX(45650,45478,,"SPX")&lt;/Q&gt;&lt;R&gt;1&lt;/R&gt;&lt;C&gt;1&lt;/C&gt;&lt;D xsi:type="xsd:double"&gt;1.7151276&lt;/D&gt;&lt;/FQL&gt;&lt;FQL&gt;&lt;Q&gt;CRS-US^P_BETA_LOCIDX(45302,45128,,"SPX")&lt;/Q&gt;&lt;R&gt;1&lt;/R&gt;&lt;C&gt;1&lt;/C&gt;&lt;D xsi:type="xsd:double"&gt;1.2697042&lt;/D&gt;&lt;/FQL&gt;&lt;FQL&gt;&lt;Q&gt;CRS-US^P_BETA_LOCIDX(45588,45414,,"SPX")&lt;/Q&gt;&lt;R&gt;1&lt;/R&gt;&lt;C&gt;1&lt;/C&gt;&lt;D xsi:type="xsd:double"&gt;1.4673249&lt;/D&gt;&lt;/FQL&gt;&lt;FQL&gt;&lt;Q&gt;CRS-US^P_BETA_LOCIDX(45065,44890,,"SPX")&lt;/Q&gt;&lt;R&gt;1&lt;/R&gt;&lt;C&gt;1&lt;/C&gt;&lt;D xsi:type="xsd:double"&gt;1.7401888&lt;/D&gt;&lt;/FQL&gt;&lt;FQL&gt;&lt;Q&gt;CRS-US^P_BETA_LOCIDX(45587,45413,,"SPX")&lt;/Q&gt;&lt;R&gt;1&lt;/R&gt;&lt;C&gt;1&lt;/C&gt;&lt;D xsi:type="xsd:double"&gt;1.4005934&lt;/D&gt;&lt;/FQL&gt;&lt;FQL&gt;&lt;Q&gt;CRS-US^P_BETA_LOCIDX(45301,45127,,"SPX")&lt;/Q&gt;&lt;R&gt;1&lt;/R&gt;&lt;C&gt;1&lt;/C&gt;&lt;D xsi:type="xsd:double"&gt;1.2540375&lt;/D&gt;&lt;/FQL&gt;&lt;FQL&gt;&lt;Q&gt;CRS-US^P_BETA_LOCIDX(44956,44781,,"SPX")&lt;/Q&gt;&lt;R&gt;1&lt;/R&gt;&lt;C&gt;1&lt;/C&gt;&lt;D xsi:type="xsd:double"&gt;1.4581655&lt;/D&gt;&lt;/FQL&gt;&lt;FQL&gt;&lt;Q&gt;CRS-US^P_BETA_LOCIDX(44953,44778,,"SPX")&lt;/Q&gt;&lt;R&gt;1&lt;/R&gt;&lt;C&gt;1&lt;/C&gt;&lt;D xsi:type="xsd:double"&gt;1.457646&lt;/D&gt;&lt;/FQL&gt;&lt;FQL&gt;&lt;Q&gt;CRS-US^P_BETA_LOCIDX(44952,44777,,"SPX")&lt;/Q&gt;&lt;R&gt;1&lt;/R&gt;&lt;C&gt;1&lt;/C&gt;&lt;D xsi:type="xsd:double"&gt;1.4521563&lt;/D&gt;&lt;/FQL&gt;&lt;FQL&gt;&lt;Q&gt;CRS-US^P_BETA_LOCIDX(44951,44776,,"SPX")&lt;/Q&gt;&lt;R&gt;1&lt;/R&gt;&lt;C&gt;1&lt;/C&gt;&lt;D xsi:type="xsd:double"&gt;1.4258773&lt;/D&gt;&lt;/FQL&gt;&lt;FQL&gt;&lt;Q&gt;CRS-US^P_BETA_LOCIDX(44950,44775,,"SPX")&lt;/Q&gt;&lt;R&gt;1&lt;/R&gt;&lt;C&gt;1&lt;/C&gt;&lt;D xsi:type="xsd:double"&gt;1.4260479&lt;/D&gt;&lt;/FQL&gt;&lt;FQL&gt;&lt;Q&gt;CRS-US^P_BETA_LOCIDX(44949,44774,,"SPX")&lt;/Q&gt;&lt;R&gt;1&lt;/R&gt;&lt;C&gt;1&lt;/C&gt;&lt;D xsi:type="xsd:double"&gt;1.4223742&lt;/D&gt;&lt;/FQL&gt;&lt;FQL&gt;&lt;Q&gt;CRS-US^P_BETA_LOCIDX(44946,44771,,"SPX")&lt;/Q&gt;&lt;R&gt;1&lt;/R&gt;&lt;C&gt;1&lt;/C&gt;&lt;D xsi:type="xsd:double"&gt;1.4385567&lt;/D&gt;&lt;/FQL&gt;&lt;FQL&gt;&lt;Q&gt;CRS-US^P_BETA_LOCIDX(44945,44770,,"SPX")&lt;/Q&gt;&lt;R&gt;1&lt;/R&gt;&lt;C&gt;1&lt;/C&gt;&lt;D xsi:type="xsd:double"&gt;1.4575614&lt;/D&gt;&lt;/FQL&gt;&lt;FQL&gt;&lt;Q&gt;CRS-US^P_BETA_LOCIDX(44944,44769,,"SPX")&lt;/Q&gt;&lt;R&gt;1&lt;/R&gt;&lt;C&gt;1&lt;/C&gt;&lt;D xsi:type="xsd:double"&gt;1.4444733&lt;/D&gt;&lt;/FQL&gt;&lt;FQL&gt;&lt;Q&gt;CRS-US^P_BETA_LOCIDX(44943,44768,,"SPX")&lt;/Q&gt;&lt;R&gt;1&lt;/R&gt;&lt;C&gt;1&lt;/C&gt;&lt;D xsi:type="xsd:double"&gt;1.4478207&lt;/D&gt;&lt;/FQL&gt;&lt;FQL&gt;&lt;Q&gt;CRS-US^P_BETA_LOCIDX(44939,44767,,"SPX")&lt;/Q&gt;&lt;R&gt;1&lt;/R&gt;&lt;C&gt;1&lt;/C&gt;&lt;D xsi:type="xsd:double"&gt;1.4470509&lt;/D&gt;&lt;/FQL&gt;&lt;FQL&gt;&lt;Q&gt;CRS-US^P_BETA_LOCIDX(44938,44764,,"SPX")&lt;/Q&gt;&lt;R&gt;1&lt;/R&gt;&lt;C&gt;1&lt;/C&gt;&lt;D xsi:type="xsd:double"&gt;1.4513875&lt;/D&gt;&lt;/FQL&gt;&lt;FQL&gt;&lt;Q&gt;CRS-US^P_BETA_LOCIDX(44937,44763,,"SPX")&lt;/Q&gt;&lt;R&gt;1&lt;/R&gt;&lt;C&gt;1&lt;/C&gt;&lt;D xsi:type="xsd:double"&gt;1.4397705&lt;/D&gt;&lt;/FQL&gt;&lt;FQL&gt;&lt;Q&gt;CRS-US^P_BETA_LOCIDX(44936,44762,,"SPX")&lt;/Q&gt;&lt;R&gt;1&lt;/R&gt;&lt;C&gt;1&lt;/C&gt;&lt;D xsi:type="xsd:double"&gt;1.4352261&lt;/D&gt;&lt;/FQL&gt;&lt;FQL&gt;&lt;Q&gt;CRS-US^P_BETA_LOCIDX(44935,44761,,"SPX")&lt;/Q&gt;&lt;R&gt;1&lt;/R&gt;&lt;C&gt;1&lt;/C&gt;&lt;D xsi:type="xsd:double"&gt;1.4264135&lt;/D&gt;&lt;/FQL&gt;&lt;FQL&gt;&lt;Q&gt;CRS-US^P_BETA_LOCIDX(44932,44760,,"SPX")&lt;/Q&gt;&lt;R&gt;1&lt;/R&gt;&lt;C&gt;1&lt;/C&gt;&lt;D xsi:type="xsd:double"&gt;1.4207981&lt;/D&gt;&lt;/FQL&gt;&lt;FQL&gt;&lt;Q&gt;CRS-US^P_BETA_LOCIDX(44931,44757,,"SPX")&lt;/Q&gt;&lt;R&gt;1&lt;/R&gt;&lt;C&gt;1&lt;/C&gt;&lt;D xsi:type="xsd:double"&gt;1.3912655&lt;/D&gt;&lt;/FQL&gt;&lt;FQL&gt;&lt;Q&gt;CRS-US^P_BETA_LOCIDX(44930,44756,,"SPX")&lt;/Q&gt;&lt;R&gt;1&lt;/R&gt;&lt;C&gt;1&lt;/C&gt;&lt;D xsi:type="xsd:double"&gt;1.4003413&lt;/D&gt;&lt;/FQL&gt;&lt;FQL&gt;&lt;Q&gt;CRS-US^P_BETA_LOCIDX(44929,44755,,"SPX")&lt;/Q&gt;&lt;R&gt;1&lt;/R&gt;&lt;C&gt;1&lt;/C&gt;&lt;D xsi:type="xsd:double"&gt;1.3920443&lt;/D&gt;&lt;/FQL&gt;&lt;FQL&gt;&lt;Q&gt;CRS-US^P_BETA_LOCIDX(44925,44754,,"SPX")&lt;/Q&gt;&lt;R&gt;1&lt;/R&gt;&lt;C&gt;1&lt;/C&gt;&lt;D xsi:type="xsd:double"&gt;1.3708642&lt;/D&gt;&lt;/FQL&gt;&lt;FQL&gt;&lt;Q&gt;CRS-US^P_BETA_LOCIDX(44924,44753,,"SPX")&lt;/Q&gt;&lt;R&gt;1&lt;/R&gt;&lt;C&gt;1&lt;/C&gt;&lt;D xsi:type="xsd:double"&gt;1.3651152&lt;/D&gt;&lt;/FQL&gt;&lt;FQL&gt;&lt;Q&gt;CRS-US^P_BETA_LOCIDX(44923,44750,,"SPX")&lt;/Q&gt;&lt;R&gt;1&lt;/R&gt;&lt;C&gt;1&lt;/C&gt;&lt;D xsi:type="xsd:double"&gt;1.3686997&lt;/D&gt;&lt;/FQL&gt;&lt;FQL&gt;&lt;Q&gt;CRS-US^P_BETA_LOCIDX(44922,44749,,"SPX")&lt;/Q&gt;&lt;R&gt;1&lt;/R&gt;&lt;C&gt;1&lt;/C&gt;&lt;D xsi:type="xsd:double"&gt;1.3604283&lt;/D&gt;&lt;/FQL&gt;&lt;FQL&gt;&lt;Q&gt;CRS-US^P_BETA_LOCIDX(44918,44748,,"SPX")&lt;/Q&gt;&lt;R&gt;1&lt;/R&gt;&lt;C&gt;1&lt;/C&gt;&lt;D xsi:type="xsd:double"&gt;1.3561667&lt;/D&gt;&lt;/FQL&gt;&lt;FQL&gt;&lt;Q&gt;CRS-US^P_BETA_LOCIDX(44917,44747,,"SPX")&lt;/Q&gt;&lt;R&gt;1&lt;/R&gt;&lt;C&gt;1&lt;/C&gt;&lt;D xsi:type="xsd:double"&gt;1.356485&lt;/D&gt;&lt;/FQL&gt;&lt;FQL&gt;&lt;Q&gt;CRS-US^P_BETA_LOCIDX(44916,44743,,"SPX")&lt;/Q&gt;&lt;R&gt;1&lt;/R&gt;&lt;C&gt;1&lt;/C&gt;&lt;D xsi:type="xsd:double"&gt;1.3392099&lt;/D&gt;&lt;/FQL&gt;&lt;FQL&gt;&lt;Q&gt;CRS-US^P_BETA_LOCIDX(44915,44742,,"SPX")&lt;/Q&gt;&lt;R&gt;1&lt;/R&gt;&lt;C&gt;1&lt;/C&gt;&lt;D xsi:type="xsd:double"&gt;1.339746&lt;/D&gt;&lt;/FQL&gt;&lt;FQL&gt;&lt;Q&gt;CRS-US^P_BETA_LOCIDX(44914,44741,,"SPX")&lt;/Q&gt;&lt;R&gt;1&lt;/R&gt;&lt;C&gt;1&lt;/C&gt;&lt;D xsi:type="xsd:double"&gt;1.3395079&lt;/D&gt;&lt;/FQL&gt;&lt;FQL&gt;&lt;Q&gt;CRS-US^P_BETA_LOCIDX(44911,44740,,"SPX")&lt;/Q&gt;&lt;R&gt;1&lt;/R&gt;&lt;C&gt;1&lt;/C&gt;&lt;D xsi:type="xsd:double"&gt;1.3323789&lt;/D&gt;&lt;/FQL&gt;&lt;FQL&gt;&lt;Q&gt;CRS-US^P_BETA_LOCIDX(44910,44739,,"SPX")&lt;/Q&gt;&lt;R&gt;1&lt;/R&gt;&lt;C&gt;1&lt;/C&gt;&lt;D xsi:type="xsd:double"&gt;1.3376838&lt;/D&gt;&lt;/FQL&gt;&lt;FQL&gt;&lt;Q&gt;CRS-US^P_BETA_LOCIDX(44909,44736,,"SPX")&lt;/Q&gt;&lt;R&gt;1&lt;/R&gt;&lt;C&gt;1&lt;/C&gt;&lt;D xsi:type="xsd:double"&gt;1.3029127&lt;/D&gt;&lt;/FQL&gt;&lt;FQL&gt;&lt;Q&gt;CRS-US^P_BETA_LOCIDX(44908,44735,,"SPX")&lt;/Q&gt;&lt;R&gt;1&lt;/R&gt;&lt;C&gt;1&lt;/C&gt;&lt;D xsi:type="xsd:double"&gt;1.2865858&lt;/D&gt;&lt;/FQL&gt;&lt;FQL&gt;&lt;Q&gt;CRS-US^P_BETA_LOCIDX(44907,44734,,"SPX")&lt;/Q&gt;&lt;R&gt;1&lt;/R&gt;&lt;C&gt;1&lt;/C&gt;&lt;D xsi:type="xsd:double"&gt;1.2907043&lt;/D&gt;&lt;/FQL&gt;&lt;FQL&gt;&lt;Q&gt;CRS-US^P_BETA_LOCIDX(44904,44733,,"SPX")&lt;/Q&gt;&lt;R&gt;1&lt;/R&gt;&lt;C&gt;1&lt;/C&gt;&lt;D xsi:type="xsd:double"&gt;1.2815192&lt;/D&gt;&lt;/FQL&gt;&lt;FQL&gt;&lt;Q&gt;CRS-US^P_BETA_LOCIDX(44903,44729,,"SPX")&lt;/Q&gt;&lt;R&gt;1&lt;/R&gt;&lt;C&gt;1&lt;/C&gt;&lt;D xsi:type="xsd:double"&gt;1.2700838&lt;/D&gt;&lt;/FQL&gt;&lt;FQL&gt;&lt;Q&gt;CRS-US^P_BETA_LOCIDX(44902,44728,,"SPX")&lt;/Q&gt;&lt;R&gt;1&lt;/R&gt;&lt;C&gt;1&lt;/C&gt;&lt;D xsi:type="xsd:double"&gt;1.3108257&lt;/D&gt;&lt;/FQL&gt;&lt;FQL&gt;&lt;Q&gt;CRS-US^P_BETA_LOCIDX(44901,44727,,"SPX")&lt;/Q&gt;&lt;R&gt;1&lt;/R&gt;&lt;C&gt;1&lt;/C&gt;&lt;D xsi:type="xsd:double"&gt;1.2917744&lt;/D&gt;&lt;/FQL&gt;&lt;FQL&gt;&lt;Q&gt;CRS-US^P_BETA_LOCIDX(44900,44726,,"SPX")&lt;/Q&gt;&lt;R&gt;1&lt;/R&gt;&lt;C&gt;1&lt;/C&gt;&lt;D xsi:type="xsd:double"&gt;1.3038352&lt;/D&gt;&lt;/FQL&gt;&lt;FQL&gt;&lt;Q&gt;CRS-US^P_BETA_LOCIDX(44897,44725,,"SPX")&lt;/Q&gt;&lt;R&gt;1&lt;/R&gt;&lt;C&gt;1&lt;/C&gt;&lt;D xsi:type="xsd:double"&gt;1.2867681&lt;/D&gt;&lt;/FQL&gt;&lt;FQL&gt;&lt;Q&gt;CRS-US^P_BETA_LOCIDX(44896,44722,,"SPX")&lt;/Q&gt;&lt;R&gt;1&lt;/R&gt;&lt;C&gt;1&lt;/C&gt;&lt;D xsi:type="xsd:double"&gt;1.2860417&lt;/D&gt;&lt;/FQL&gt;&lt;FQL&gt;&lt;Q&gt;CRS-US^P_BETA_LOCIDX(44895,44721,,"SPX")&lt;/Q&gt;&lt;R&gt;1&lt;/R&gt;&lt;C&gt;1&lt;/C&gt;&lt;D xsi:type="xsd:double"&gt;1.2945588&lt;/D&gt;&lt;/FQL&gt;&lt;FQL&gt;&lt;Q&gt;CRS-US^P_BETA_LOCIDX(44894,44720,,"SPX")&lt;/Q&gt;&lt;R&gt;1&lt;/R&gt;&lt;C&gt;1&lt;/C&gt;&lt;D xsi:type="xsd:double"&gt;1.3189868&lt;/D&gt;&lt;/FQL&gt;&lt;FQL&gt;&lt;Q&gt;CRS-US^P_BETA_LOCIDX(44893,44719,,"SPX")&lt;/Q&gt;&lt;R&gt;1&lt;/R&gt;&lt;C&gt;1&lt;/C&gt;&lt;D xsi:type="xsd:double"&gt;1.3152037&lt;/D&gt;&lt;/FQL&gt;&lt;FQL&gt;&lt;Q&gt;CRS-US^P_BETA_LOCIDX(44890,44718,,"SPX")&lt;/Q&gt;&lt;R&gt;1&lt;/R&gt;&lt;C&gt;1&lt;/C&gt;&lt;D xsi:type="xsd:double"&gt;1.3109794&lt;/D&gt;&lt;/FQL&gt;&lt;FQL&gt;&lt;Q&gt;CRS-US^P_BETA_LOCIDX(44888,44715,,"SPX")&lt;/Q&gt;&lt;R&gt;1&lt;/R&gt;&lt;C&gt;1&lt;/C&gt;&lt;D xsi:type="xsd:double"&gt;1.3159556&lt;/D&gt;&lt;/FQL&gt;&lt;FQL&gt;&lt;Q&gt;CRS-US^P_BETA_LOCIDX(44887,44714,,"SPX")&lt;/Q&gt;&lt;R&gt;1&lt;/R&gt;&lt;C&gt;1&lt;/C&gt;&lt;D xsi:type="xsd:double"&gt;1.3294833&lt;/D&gt;&lt;/FQL&gt;&lt;FQL&gt;&lt;Q&gt;CRS-US^P_BETA_LOCIDX(44886,44713,,"SPX")&lt;/Q&gt;&lt;R&gt;1&lt;/R&gt;&lt;C&gt;1&lt;/C&gt;&lt;D xsi:type="xsd:double"&gt;1.3372228&lt;/D&gt;&lt;/FQL&gt;&lt;FQL&gt;&lt;Q&gt;CRS-US^P_BETA_LOCIDX(44883,44712,,"SPX")&lt;/Q&gt;&lt;R&gt;1&lt;/R&gt;&lt;C&gt;1&lt;/C&gt;&lt;D xsi:type="xsd:double"&gt;1.3419033&lt;/D&gt;&lt;/FQL&gt;&lt;FQL&gt;&lt;Q&gt;CRS-US^P_BETA_LOCIDX(44882,44708,,"SPX")&lt;/Q&gt;&lt;R&gt;1&lt;/R&gt;&lt;C&gt;1&lt;/C&gt;&lt;D xsi:type="xsd:double"&gt;1.3367659&lt;/D&gt;&lt;/FQL&gt;&lt;FQL&gt;&lt;Q&gt;CRS-US^P_BETA_LOCIDX(44881,44707,,"SPX")&lt;/Q&gt;&lt;R&gt;1&lt;/R&gt;&lt;C&gt;1&lt;/C&gt;&lt;D xsi:type="xsd:double"&gt;1.3378286&lt;/D&gt;&lt;/FQL&gt;&lt;FQL&gt;&lt;Q&gt;CRS-US^P_BETA_LOCIDX(44880,44706,,"SPX")&lt;/Q&gt;&lt;R&gt;1&lt;/R&gt;&lt;C&gt;1&lt;/C&gt;&lt;D xsi:type="xsd:double"&gt;1.3445238&lt;/D&gt;&lt;/FQL&gt;&lt;FQL&gt;&lt;Q&gt;CRS-US^P_BETA_LOCIDX(44879,44705,,"SPX")&lt;/Q&gt;&lt;R&gt;1&lt;/R&gt;&lt;C&gt;1&lt;/C&gt;&lt;D xsi:type="xsd:double"&gt;1.341591&lt;/D&gt;&lt;/FQL&gt;&lt;FQL&gt;&lt;Q&gt;CRS-US^P_BETA_LOCIDX(44876,44704,,"SPX")&lt;/Q&gt;&lt;R&gt;1&lt;/R&gt;&lt;C&gt;1&lt;/C&gt;&lt;D xsi:type="xsd:double"&gt;1.3484613&lt;/D&gt;&lt;/FQL&gt;&lt;FQL&gt;&lt;Q&gt;CRS-US^P_BETA_LOCIDX(44875,44701,,"SPX")&lt;/Q&gt;&lt;R&gt;1&lt;/R&gt;&lt;C&gt;1&lt;/C&gt;&lt;D xsi:type="xsd:double"&gt;1.3587289&lt;/D&gt;&lt;/FQL&gt;&lt;FQL&gt;&lt;Q&gt;CRS-US^P_BETA_LOCIDX(44874,44700,,"SPX")&lt;/Q&gt;&lt;R&gt;1&lt;/R&gt;&lt;C&gt;1&lt;/C&gt;&lt;D xsi:type="xsd:double"&gt;1.4195677&lt;/D&gt;&lt;/FQL&gt;&lt;FQL&gt;&lt;Q&gt;CRS-US^P_BETA_LOCIDX(44873,44699,,"SPX")&lt;/Q&gt;&lt;R&gt;1&lt;/R&gt;&lt;C&gt;1&lt;/C&gt;&lt;D xsi:type="xsd:double"&gt;1.3653365&lt;/D&gt;&lt;/FQL&gt;&lt;FQL&gt;&lt;Q&gt;CRS-US^P_BETA_LOCIDX(44872,44698,,"SPX")&lt;/Q&gt;&lt;R&gt;1&lt;/R&gt;&lt;C&gt;1&lt;/C&gt;&lt;D xsi:type="xsd:double"&gt;1.3996636&lt;/D&gt;&lt;/FQL&gt;&lt;FQL&gt;&lt;Q&gt;CRS-US^P_BETA_LOCIDX(44869,44697,,"SPX")&lt;/Q&gt;&lt;R&gt;1&lt;/R&gt;&lt;C&gt;1&lt;/C&gt;&lt;D xsi:type="xsd:double"&gt;1.4008147&lt;/D&gt;&lt;/FQL&gt;&lt;FQL&gt;&lt;Q&gt;CRS-US^P_BETA_LOCIDX(44868,44694,,"SPX")&lt;/Q&gt;&lt;R&gt;1&lt;/R&gt;&lt;C&gt;1&lt;/C&gt;&lt;D xsi:type="xsd:double"&gt;1.3468282&lt;/D&gt;&lt;/FQL&gt;&lt;FQL&gt;&lt;Q&gt;CRS-US^P_BETA_LOCIDX(44867,44693,,"SPX")&lt;/Q&gt;&lt;R&gt;1&lt;/R&gt;&lt;C&gt;1&lt;/C&gt;&lt;D xsi:type="xsd:double"&gt;1.358815&lt;/D&gt;&lt;/FQL&gt;&lt;FQL&gt;&lt;Q&gt;CRS-US^P_BETA_LOCIDX(44866,44692,,"SPX")&lt;/Q&gt;&lt;R&gt;1&lt;/R&gt;&lt;C&gt;1&lt;/C&gt;&lt;D xsi:type="xsd:double"&gt;1.3189337&lt;/D&gt;&lt;/FQL&gt;&lt;FQL&gt;&lt;Q&gt;CRS-US^P_BETA_LOCIDX(44865,44691,,"SPX")&lt;/Q&gt;&lt;R&gt;1&lt;/R&gt;&lt;C&gt;1&lt;/C&gt;&lt;D xsi:type="xsd:double"&gt;1.3198798&lt;/D&gt;&lt;/FQL&gt;&lt;FQL&gt;&lt;Q&gt;CRS-US^P_BETA_LOCIDX(44862,44690,,"SPX")&lt;/Q&gt;&lt;R&gt;1&lt;/R&gt;&lt;C&gt;1&lt;/C&gt;&lt;D xsi:type="xsd:double"&gt;1.3178276&lt;/D&gt;&lt;/FQL&gt;&lt;FQL&gt;&lt;Q&gt;CRS-US^P_BETA_LOCIDX(44861,44687,,"SPX")&lt;/Q&gt;&lt;R&gt;1&lt;/R&gt;&lt;C&gt;1&lt;/C&gt;&lt;D xsi:type="xsd:double"&gt;1.3457648&lt;/D&gt;&lt;/FQL&gt;&lt;FQL&gt;&lt;Q&gt;CRS-US^P_BETA_LOCIDX(44860,44686,,"SPX")&lt;/Q&gt;&lt;R&gt;1&lt;/R&gt;&lt;C&gt;1&lt;/C&gt;&lt;D xsi:type="xsd:double"&gt;1.390848&lt;/D&gt;&lt;/FQL&gt;&lt;FQL&gt;&lt;Q&gt;CRS-US^P_BETA_LOCIDX(44859,44685,,"SPX")&lt;/Q&gt;&lt;R&gt;1&lt;/R&gt;&lt;C&gt;1&lt;/C&gt;&lt;D xsi:type="xsd:double"&gt;1.4043173&lt;/D&gt;&lt;/FQL&gt;&lt;FQL&gt;&lt;Q&gt;CRS-US^P_BETA_LOCIDX(44858,44684,,"SPX")&lt;/Q&gt;&lt;R&gt;1&lt;/R&gt;&lt;C&gt;1&lt;/C&gt;&lt;D xsi:type="xsd:double"&gt;1.4036804&lt;/D&gt;&lt;/FQL&gt;&lt;FQL&gt;&lt;Q&gt;CRS-US^P_BETA_LOCIDX(44855,44683,,"SPX")&lt;/Q&gt;&lt;R&gt;1&lt;/R&gt;&lt;C&gt;1&lt;/C&gt;&lt;D xsi:type="xsd:double"&gt;1.4083103&lt;/D&gt;&lt;/FQL&gt;&lt;FQL&gt;&lt;Q&gt;CRS-US^P_BETA_LOCIDX(44854,44680,,"SPX")&lt;/Q&gt;&lt;R&gt;1&lt;/R&gt;&lt;C&gt;1&lt;/C&gt;&lt;D xsi:type="xsd:double"&gt;1.4168676&lt;/D&gt;&lt;/FQL&gt;&lt;FQL&gt;&lt;Q&gt;CRS-US^P_BETA_LOCIDX(44853,44679,,"SPX")&lt;/Q&gt;&lt;R&gt;1&lt;/R&gt;&lt;C&gt;1&lt;/C&gt;&lt;D xsi:type="xsd:double"&gt;1.4654967&lt;/D&gt;&lt;/FQL&gt;&lt;FQL&gt;&lt;Q&gt;CRS-US^P_BETA_LOCIDX(44852,44678,,"SPX")&lt;/Q&gt;&lt;R&gt;1&lt;/R&gt;&lt;C&gt;1&lt;/C&gt;&lt;D xsi:type="xsd:double"&gt;1.4636608&lt;/D&gt;&lt;/FQL&gt;&lt;FQL&gt;&lt;Q&gt;CRS-US^P_BETA_LOCIDX(44851,44677,,"SPX")&lt;/Q&gt;&lt;R&gt;1&lt;/R&gt;&lt;C&gt;1&lt;/C&gt;&lt;D xsi:type="xsd:double"&gt;1.458857&lt;/D&gt;&lt;/FQL&gt;&lt;FQL&gt;&lt;Q&gt;CRS-US^P_BETA_LOCIDX(44848,44676,,"SPX")&lt;/Q&gt;&lt;R&gt;1&lt;/R&gt;&lt;C&gt;1&lt;/C&gt;&lt;D xsi:type="xsd:double"&gt;1.4581251&lt;/D&gt;&lt;/FQL&gt;&lt;FQL&gt;&lt;Q&gt;CRS-US^P_BETA_LOCIDX(44847,44673,,"SPX")&lt;/Q&gt;&lt;R&gt;1&lt;/R&gt;&lt;C&gt;1&lt;/C&gt;&lt;D xsi:type="xsd:double"&gt;1.4254777&lt;/D&gt;&lt;/FQL&gt;&lt;FQL&gt;&lt;Q&gt;CRS-US^P_BETA_LOCIDX(44846,44672,,"SPX")&lt;/Q&gt;&lt;R&gt;1&lt;/R&gt;&lt;C&gt;1&lt;/C&gt;&lt;D xsi:type="xsd:double"&gt;1.4542792&lt;/D&gt;&lt;/FQL&gt;&lt;FQL&gt;&lt;Q&gt;CRS-US^P_BETA_LOCIDX(44845,44671,,"SPX")&lt;/Q&gt;&lt;R&gt;1&lt;/R&gt;&lt;C&gt;1&lt;/C&gt;&lt;D xsi:type="xsd:double"&gt;1.4540639&lt;/D&gt;&lt;/FQL&gt;&lt;FQL&gt;&lt;Q&gt;CRS-US^P_BETA_LOCIDX(44844,44670,,"SPX")&lt;/Q&gt;&lt;R&gt;1&lt;/R&gt;&lt;C&gt;1&lt;/C&gt;&lt;D xsi:type="xsd:double"&gt;1.4578722&lt;/D&gt;&lt;/FQL&gt;&lt;FQL&gt;&lt;Q&gt;CRS-US^P_BETA_LOCIDX(44841,44669,,"SPX")&lt;/Q&gt;&lt;R&gt;1&lt;/R&gt;&lt;C&gt;1&lt;/C&gt;&lt;D xsi:type="xsd:double"&gt;1.4629164&lt;/D&gt;&lt;/FQL&gt;&lt;FQL&gt;&lt;Q&gt;CRS-US^P_BETA_LOCIDX(44840,44665,,"SPX")&lt;/Q&gt;&lt;R&gt;1&lt;/R&gt;&lt;C&gt;1&lt;/C&gt;&lt;D xsi:type="xsd:double"&gt;1.4632071&lt;/D&gt;&lt;/FQL&gt;&lt;FQL&gt;&lt;Q&gt;CRS-US^P_BETA_LOCIDX(44839,44664,,"SPX")&lt;/Q&gt;&lt;R&gt;1&lt;/R&gt;&lt;C&gt;1&lt;/C&gt;&lt;D xsi:type="xsd:double"&gt;1.4681693&lt;/D&gt;&lt;/FQL&gt;&lt;FQL&gt;&lt;Q&gt;CRS-US^P_BETA_LOCIDX(44838,44663,,"SPX")&lt;/Q&gt;&lt;R&gt;1&lt;/R&gt;&lt;C&gt;1&lt;/C&gt;&lt;D xsi:type="xsd:double"&gt;1.4677755&lt;/D&gt;&lt;/FQL&gt;&lt;FQL&gt;&lt;Q&gt;CRS-US^P_BETA_LOCIDX(44837,44662,,"SPX")&lt;/Q&gt;&lt;R&gt;1&lt;/R&gt;&lt;C&gt;1&lt;/C&gt;&lt;D xsi:type="xsd:double"&gt;1.4310648&lt;/D&gt;&lt;/FQL&gt;&lt;FQL&gt;&lt;Q&gt;CRS-US^P_BETA_LOCIDX(44834,44659,,"SPX")&lt;/Q&gt;&lt;R&gt;1&lt;/R&gt;&lt;C&gt;1&lt;/C&gt;&lt;D xsi:type="xsd:double"&gt;1.4040616&lt;/D&gt;&lt;/FQL&gt;&lt;FQL&gt;&lt;Q&gt;CRS-US^P_BETA_LOCIDX(44833,44658,,"SPX")&lt;/Q&gt;&lt;R&gt;1&lt;/R&gt;&lt;C&gt;1&lt;/C&gt;&lt;D xsi:type="xsd:double"&gt;1.3936048&lt;/D&gt;&lt;/FQL&gt;&lt;FQL&gt;&lt;Q&gt;CRS-US^P_BETA_LOCIDX(44832,44657,,"SPX")&lt;/Q&gt;&lt;R&gt;1&lt;/R&gt;&lt;C&gt;1&lt;/C&gt;&lt;D xsi:type="xsd:double"&gt;1.3805419&lt;/D&gt;&lt;/FQL&gt;&lt;FQL&gt;&lt;Q&gt;CRS-US^P_BETA_LOCIDX(44831,44656,,"SPX")&lt;/Q&gt;&lt;R&gt;1&lt;/R&gt;&lt;C&gt;1&lt;/C&gt;&lt;D xsi:type="xsd:double"&gt;1.3897202&lt;/D&gt;&lt;/FQL&gt;&lt;FQL&gt;&lt;Q&gt;CRS-US^P_BETA_LOCIDX(44830,44655,,"SPX")&lt;/Q&gt;&lt;R&gt;1&lt;/R&gt;&lt;C&gt;1&lt;/C&gt;&lt;D xsi:type="xsd:double"&gt;1.385252&lt;/D&gt;&lt;/FQL&gt;&lt;FQL&gt;&lt;Q&gt;CRS-US^P_BETA_LOCIDX(44827,44652,,"SPX")&lt;/Q&gt;&lt;R&gt;1&lt;/R&gt;&lt;C&gt;1&lt;/C&gt;&lt;D xsi:type="xsd:double"&gt;1.3902221&lt;/D&gt;&lt;/FQL&gt;&lt;FQL&gt;&lt;Q&gt;CRS-US^P_BETA_LOCIDX(44826,44651,,"SPX")&lt;/Q&gt;&lt;R&gt;1&lt;/R&gt;&lt;C&gt;1&lt;/C&gt;&lt;D xsi:type="xsd:double"&gt;1.3745613&lt;/D&gt;&lt;/FQL&gt;&lt;FQL&gt;&lt;Q&gt;CRS-US^P_BETA_LOCIDX(44825,44650,,"SPX")&lt;/Q&gt;&lt;R&gt;1&lt;/R&gt;&lt;C&gt;1&lt;/C&gt;&lt;D xsi:type="xsd:double"&gt;1.3695956&lt;/D&gt;&lt;/FQL&gt;&lt;FQL&gt;&lt;Q&gt;CRS-US^P_BETA_LOCIDX(44824,44649,,"SPX")&lt;/Q&gt;&lt;R&gt;1&lt;/R&gt;&lt;C&gt;1&lt;/C&gt;&lt;D xsi:type="xsd:double"&gt;1.3549834&lt;/D&gt;&lt;/FQL&gt;&lt;FQL&gt;&lt;Q&gt;CRS-US^P_BETA_LOCIDX(44823,44648,,"SPX")&lt;/Q&gt;&lt;R&gt;1&lt;/R&gt;&lt;C&gt;1&lt;/C&gt;&lt;D xsi:type="xsd:double"&gt;1.3447251&lt;/D&gt;&lt;/FQL&gt;&lt;FQL&gt;&lt;Q&gt;CRS-US^P_BETA_LOCIDX(44820,44645,,"SPX")&lt;/Q&gt;&lt;R&gt;1&lt;/R&gt;&lt;C&gt;1&lt;/C&gt;&lt;D xsi:type="xsd:double"&gt;1.3386906&lt;/D&gt;&lt;/FQL&gt;&lt;FQL&gt;&lt;Q&gt;CRS-US^P_BETA_LOCIDX(44819,44644,,"SPX")&lt;/Q&gt;&lt;R&gt;1&lt;/R&gt;&lt;C&gt;1&lt;/C&gt;&lt;D xsi:type="xsd:double"&gt;1.3321307&lt;/D&gt;&lt;/FQL&gt;&lt;FQL&gt;&lt;Q&gt;CRS-US^P_BETA_LOCIDX(44818,44643,,"SPX")&lt;/Q&gt;&lt;R&gt;1&lt;/R&gt;&lt;C&gt;1&lt;/C&gt;&lt;D xsi:type="xsd:double"&gt;1.3343502&lt;/D&gt;&lt;/FQL&gt;&lt;FQL&gt;&lt;Q&gt;CRS-US^P_BETA_LOCIDX(44817,44642,,"SPX")&lt;/Q&gt;&lt;R&gt;1&lt;/R&gt;&lt;C&gt;1&lt;/C&gt;&lt;D xsi:type="xsd:double"&gt;1.3485447&lt;/D&gt;&lt;/FQL&gt;&lt;FQL&gt;&lt;Q&gt;CRS-US^P_BETA_LOCIDX(44816,44641,,"SPX")&lt;/Q&gt;&lt;R&gt;1&lt;/R&gt;&lt;C&gt;1&lt;/C&gt;&lt;D xsi:type="xsd:double"&gt;1.3748392&lt;/D&gt;&lt;/FQL&gt;&lt;FQL&gt;&lt;Q&gt;CRS-US^P_BETA_LOCIDX(44813,44638,,"SPX")&lt;/Q&gt;&lt;R&gt;1&lt;/R&gt;&lt;C&gt;1&lt;/C&gt;&lt;D xsi:type="xsd:double"&gt;1.3403902&lt;/D&gt;&lt;/FQL&gt;&lt;FQL&gt;&lt;Q&gt;CRS-US^P_BETA_LOCIDX(44812,44637,,"SPX")&lt;/Q&gt;&lt;R&gt;1&lt;/R&gt;&lt;C&gt;1&lt;/C&gt;&lt;D xsi:type="xsd:double"&gt;1.3225253&lt;/D&gt;&lt;/FQL&gt;&lt;FQL&gt;&lt;Q&gt;CRS-US^P_BETA_LOCIDX(44811,44636,,"SPX")&lt;/Q&gt;&lt;R&gt;1&lt;/R&gt;&lt;C&gt;1&lt;/C&gt;&lt;D xsi:type="xsd:double"&gt;1.2970986&lt;/D&gt;&lt;/FQL&gt;&lt;FQL&gt;&lt;Q&gt;CRS-US^P_BETA_LOCIDX(44810,44635,,"SPX")&lt;/Q&gt;&lt;R&gt;1&lt;/R&gt;&lt;C&gt;1&lt;/C&gt;&lt;D xsi:type="xsd:double"&gt;1.2937808&lt;/D&gt;&lt;/FQL&gt;&lt;FQL&gt;&lt;Q&gt;CRS-US^P_BETA_LOCIDX(44806,44634,,"SPX")&lt;/Q&gt;&lt;R&gt;1&lt;/R&gt;&lt;C&gt;1&lt;/C&gt;&lt;D xsi:type="xsd:double"&gt;1.2845284&lt;/D&gt;&lt;/FQL&gt;&lt;FQL&gt;&lt;Q&gt;CRS-US^P_BETA_LOCIDX(44805,44631,,"SPX")&lt;/Q&gt;&lt;R&gt;1&lt;/R&gt;&lt;C&gt;1&lt;/C&gt;&lt;D xsi:type="xsd:double"&gt;1.2931876&lt;/D&gt;&lt;/FQL&gt;&lt;FQL&gt;&lt;Q&gt;CRS-US^P_BETA_LOCIDX(44804,44630,,"SPX")&lt;/Q&gt;&lt;R&gt;1&lt;/R&gt;&lt;C&gt;1&lt;/C&gt;&lt;D xsi:type="xsd:double"&gt;1.2927557&lt;/D&gt;&lt;/FQL&gt;&lt;FQL&gt;&lt;Q&gt;CRS-US^P_BETA_LOCIDX(44803,44629,,"SPX")&lt;/Q&gt;&lt;R&gt;1&lt;/R&gt;&lt;C&gt;1&lt;/C&gt;&lt;D xsi:type="xsd:double"&gt;1.225672&lt;/D&gt;&lt;/FQL&gt;&lt;FQL&gt;&lt;Q&gt;CRS-US^P_BETA_LOCIDX(44802,44628,,"SPX")&lt;/Q&gt;&lt;R&gt;1&lt;/R&gt;&lt;C&gt;1&lt;/C&gt;&lt;D xsi:type="xsd:double"&gt;1.2139999&lt;/D&gt;&lt;/FQL&gt;&lt;FQL&gt;&lt;Q&gt;CRS-US^P_BETA_LOCIDX(44799,44627,,"SPX")&lt;/Q&gt;&lt;R&gt;1&lt;/R&gt;&lt;C&gt;1&lt;/C&gt;&lt;D xsi:type="xsd:double"&gt;1.1989224&lt;/D&gt;&lt;/FQL&gt;&lt;FQL&gt;&lt;Q&gt;CRS-US^P_BETA_LOCIDX(44798,44624,,"SPX")&lt;/Q&gt;&lt;R&gt;1&lt;/R&gt;&lt;C&gt;1&lt;/C&gt;&lt;D xsi:type="xsd:double"&gt;1.2096766&lt;/D&gt;&lt;/FQL&gt;&lt;FQL&gt;&lt;Q&gt;CRS-US^P_BETA_LOCIDX(44797,44623,,"SPX")&lt;/Q&gt;&lt;R&gt;1&lt;/R&gt;&lt;C&gt;1&lt;/C&gt;&lt;D xsi:type="xsd:double"&gt;1.212829&lt;/D&gt;&lt;/FQL&gt;&lt;FQL&gt;&lt;Q&gt;CRS-US^P_BETA_LOCIDX(44796,44622,,"SPX")&lt;/Q&gt;&lt;R&gt;1&lt;/R&gt;&lt;C&gt;1&lt;/C&gt;&lt;D xsi:type="xsd:double"&gt;1.242569&lt;/D&gt;&lt;/FQL&gt;&lt;FQL&gt;&lt;Q&gt;CRS-US^P_BETA_LOCIDX(44795,44621,,"SPX")&lt;/Q&gt;&lt;R&gt;1&lt;/R&gt;&lt;C&gt;1&lt;/C&gt;&lt;D xsi:type="xsd:double"&gt;1.2597116&lt;/D&gt;&lt;/FQL&gt;&lt;FQL&gt;&lt;Q&gt;CRS-US^P_BETA_LOCIDX(44792,44620,,"SPX")&lt;/Q&gt;&lt;R&gt;1&lt;/R&gt;&lt;C&gt;1&lt;/C&gt;&lt;D xsi:type="xsd:double"&gt;1.2449657&lt;/D&gt;&lt;/FQL&gt;&lt;FQL&gt;&lt;Q&gt;CRS-US^P_BETA_LOCIDX(44791,44617,,"SPX")&lt;/Q&gt;&lt;R&gt;1&lt;/R&gt;&lt;C&gt;1&lt;/C&gt;&lt;D xsi:type="xsd:double"&gt;1.2700113&lt;/D&gt;&lt;/FQL&gt;&lt;FQL&gt;&lt;Q&gt;CRS-US^P_BETA_LOCIDX(44790,44616,,"SPX")&lt;/Q&gt;&lt;R&gt;1&lt;/R&gt;&lt;C&gt;1&lt;/C&gt;&lt;D xsi:type="xsd:double"&gt;1.2634501&lt;/D&gt;&lt;/FQL&gt;&lt;FQL&gt;&lt;Q&gt;CRS-US^P_BETA_LOCIDX(44789,44615,,"SPX")&lt;/Q&gt;&lt;R&gt;1&lt;/R&gt;&lt;C&gt;1&lt;/C&gt;&lt;D xsi:type="xsd:double"&gt;1.2559925&lt;/D&gt;&lt;/FQL&gt;&lt;FQL&gt;&lt;Q&gt;CRS-US^P_BETA_LOCIDX(44788,44614,,"SPX")&lt;/Q&gt;&lt;R&gt;1&lt;/R&gt;&lt;C&gt;1&lt;/C&gt;&lt;D xsi:type="xsd:double"&gt;1.258349&lt;/D&gt;&lt;/FQL&gt;&lt;FQL&gt;&lt;Q&gt;CRS-US^P_BETA_LOCIDX(44785,44610,,"SPX")&lt;/Q&gt;&lt;R&gt;1&lt;/R&gt;&lt;C&gt;1&lt;/C&gt;&lt;D xsi:type="xsd:double"&gt;1.2598065&lt;/D&gt;&lt;/FQL&gt;&lt;FQL&gt;&lt;Q&gt;CRS-US^P_BETA_LOCIDX(44784,44609,,"SPX")&lt;/Q&gt;&lt;R&gt;1&lt;/R&gt;&lt;C&gt;1&lt;/C&gt;&lt;D xsi:type="xsd:double"&gt;1.2414746&lt;/D&gt;&lt;/FQL&gt;&lt;FQL&gt;&lt;Q&gt;CRS-US^P_BETA_LOCIDX(44783,44608,,"SPX")&lt;/Q&gt;&lt;R&gt;1&lt;/R&gt;&lt;C&gt;1&lt;/C&gt;&lt;D xsi:type="xsd:double"&gt;1.2407268&lt;/D&gt;&lt;/FQL&gt;&lt;FQL&gt;&lt;Q&gt;CRS-US^P_BETA_LOCIDX(44782,44607,,"SPX")&lt;/Q&gt;&lt;R&gt;1&lt;/R&gt;&lt;C&gt;1&lt;/C&gt;&lt;D xsi:type="xsd:double"&gt;1.2388917&lt;/D&gt;&lt;/FQL&gt;&lt;FQL&gt;&lt;Q&gt;CRS-US^P_BETA_LOCIDX(44781,44606,,"SPX")&lt;/Q&gt;&lt;R&gt;1&lt;/R&gt;&lt;C&gt;1&lt;/C&gt;&lt;D xsi:type="xsd:double"&gt;1.2412304&lt;/D&gt;&lt;/FQL&gt;&lt;FQL&gt;&lt;Q&gt;CRS-US^P_BETA_LOCIDX(44778,44603,,"SPX")&lt;/Q&gt;&lt;R&gt;1&lt;/R&gt;&lt;C&gt;1&lt;/C&gt;&lt;D xsi:type="xsd:double"&gt;1.1253786&lt;/D&gt;&lt;/FQL&gt;&lt;FQL&gt;&lt;Q&gt;CRS-US^P_BETA_LOCIDX(44777,44602,,"SPX")&lt;/Q&gt;&lt;R&gt;1&lt;/R&gt;&lt;C&gt;1&lt;/C&gt;&lt;D xsi:type="xsd:double"&gt;1.0818154&lt;/D&gt;&lt;/FQL&gt;&lt;FQL&gt;&lt;Q&gt;CRS-US^P_BETA_LOCIDX(44776,44601,,"SPX")&lt;/Q&gt;&lt;R&gt;1&lt;/R&gt;&lt;C&gt;1&lt;/C&gt;&lt;D xsi:type="xsd:double"&gt;1.1049577&lt;/D&gt;&lt;/FQL&gt;&lt;FQL&gt;&lt;Q&gt;CRS-US^P_BETA_LOCIDX(44775,44600,,"SPX")&lt;/Q&gt;&lt;R&gt;1&lt;/R&gt;&lt;C&gt;1&lt;/C&gt;&lt;D xsi:type="xsd:double"&gt;1.1078135&lt;/D&gt;&lt;/FQL&gt;&lt;FQL&gt;&lt;Q&gt;CRS-US^P_BETA_LOCIDX(44774,44599,,"SPX")&lt;/Q&gt;&lt;R&gt;1&lt;/R&gt;&lt;C&gt;1&lt;/C&gt;&lt;D xsi:type="xsd:double"&gt;1.105905&lt;/D&gt;&lt;/FQL&gt;&lt;FQL&gt;&lt;Q&gt;CX-US^P_BETA_LOCIDX(45841,45665,,"SPX")&lt;/Q&gt;&lt;R&gt;1&lt;/R&gt;&lt;C&gt;1&lt;/C&gt;&lt;D xsi:type="xsd:double"&gt;0.88546216&lt;/D&gt;&lt;/FQL&gt;&lt;FQL&gt;&lt;Q&gt;CX-US^P_BETA_LOCIDX(45840,45664,,"SPX")&lt;/Q&gt;&lt;R&gt;1&lt;/R&gt;&lt;C&gt;1&lt;/C&gt;&lt;D xsi:type="xsd:double"&gt;0.88381106&lt;/D&gt;&lt;/FQL&gt;&lt;FQL&gt;&lt;Q&gt;CX-US^P_BETA_LOCIDX(45839,45663,,"SPX")&lt;/Q&gt;&lt;R&gt;1&lt;/R&gt;&lt;C&gt;1&lt;/C&gt;&lt;D xsi:type="xsd:double"&gt;0.8842378&lt;/D&gt;&lt;/FQL&gt;&lt;FQL&gt;&lt;Q&gt;CX-US^P_BETA_LOCIDX(45838,45660,,"SPX")&lt;/Q&gt;&lt;R&gt;1&lt;/R&gt;&lt;C&gt;1&lt;/C&gt;&lt;D xsi:type="xsd:double"&gt;0.87805086&lt;/D&gt;&lt;/FQL&gt;&lt;FQL&gt;&lt;Q&gt;CX-US^P_BETA_LOCIDX(45835,45659,,"SPX")&lt;/Q&gt;&lt;R&gt;1&lt;/R&gt;&lt;C&gt;1&lt;/C&gt;&lt;D xsi:type="xsd:double"&gt;0.87528497&lt;/D&gt;&lt;/FQL&gt;&lt;FQL&gt;&lt;Q&gt;CX-US^P_BETA_LOCIDX(45834,45657,,"SPX")&lt;/Q&gt;&lt;R&gt;1&lt;/R&gt;&lt;C&gt;1&lt;/C&gt;&lt;D xsi:type="xsd:double"&gt;0.8743265&lt;/D&gt;&lt;/FQL&gt;&lt;FQL&gt;&lt;Q&gt;CX-US^P_BETA_LOCIDX(45833,45656,,"SPX")&lt;/Q&gt;&lt;R&gt;1&lt;/R&gt;&lt;C&gt;1&lt;/C&gt;&lt;D xsi:type="xsd:double"&gt;0.8774905&lt;/D&gt;&lt;/FQL&gt;&lt;FQL&gt;&lt;Q&gt;CX-US^P_BETA_LOCIDX(45832,45653,,"SPX")&lt;/Q&gt;&lt;R&gt;1&lt;/R&gt;&lt;C&gt;1&lt;/C&gt;&lt;D xsi:type="xsd:double"&gt;0.8754645&lt;/D&gt;&lt;/FQL&gt;&lt;FQL&gt;&lt;Q&gt;CX-US^P_BETA_LOCIDX(45831,45652,,"SPX")&lt;/Q&gt;&lt;R&gt;1&lt;/R&gt;&lt;C&gt;1&lt;/C&gt;&lt;D xsi:type="xsd:double"&gt;0.87133485&lt;/D&gt;&lt;/FQL&gt;&lt;FQL&gt;&lt;Q&gt;CX-US^P_BETA_LOCIDX(45828,45650,,"SPX")&lt;/Q&gt;&lt;R&gt;1&lt;/R&gt;&lt;C&gt;1&lt;/C&gt;&lt;D xsi:type="xsd:double"&gt;0.87667173&lt;/D&gt;&lt;/FQL&gt;&lt;FQL&gt;&lt;Q&gt;CX-US^P_BETA_LOCIDX(45826,45649,,"SPX")&lt;/Q&gt;&lt;R&gt;1&lt;/R&gt;&lt;C&gt;1&lt;/C&gt;&lt;D xsi:type="xsd:double"&gt;0.8697977&lt;/D&gt;&lt;/FQL&gt;&lt;FQL&gt;&lt;Q&gt;CX-US^P_BETA_LOCIDX(45825,45646,,"SPX")&lt;/Q&gt;&lt;R&gt;1&lt;/R&gt;&lt;C&gt;1&lt;/C&gt;&lt;D xsi:type="xsd:double"&gt;0.86777526&lt;/D&gt;&lt;/FQL&gt;&lt;FQL&gt;&lt;Q&gt;CX-US^P_BETA_LOCIDX(45824,45645,,"SPX")&lt;/Q&gt;&lt;R&gt;1&lt;/R&gt;&lt;C&gt;1&lt;/C&gt;&lt;D xsi:type="xsd:double"&gt;0.8649759&lt;/D&gt;&lt;/FQL&gt;&lt;FQL&gt;&lt;Q&gt;CX-US^P_BETA_LOCIDX(45821,45644,,"SPX")&lt;/Q&gt;&lt;R&gt;1&lt;/R&gt;&lt;C&gt;1&lt;/C&gt;&lt;D xsi:type="xsd:double"&gt;0.8527377&lt;/D&gt;&lt;/FQL&gt;&lt;FQL&gt;&lt;Q&gt;CX-US^P_BETA_LOCIDX(45820,45643,,"SPX")&lt;/Q&gt;&lt;R&gt;1&lt;/R&gt;&lt;C&gt;1&lt;/C&gt;&lt;D xsi:type="xsd:double"&gt;0.8429963&lt;/D&gt;&lt;/FQL&gt;&lt;FQL&gt;&lt;Q&gt;CX-US^P_BETA_LOCIDX(45819,45642,,"SPX")&lt;/Q&gt;&lt;R&gt;1&lt;/R&gt;&lt;C&gt;1&lt;/C&gt;&lt;D xsi:type="xsd:double"&gt;0.8424601&lt;/D&gt;&lt;/FQL&gt;&lt;FQL&gt;&lt;Q&gt;CX-US^P_BETA_LOCIDX(45818,45639,,"SPX")&lt;/Q&gt;&lt;R&gt;1&lt;/R&gt;&lt;C&gt;1&lt;/C&gt;&lt;D xsi:type="xsd:double"&gt;0.84317255&lt;/D&gt;&lt;/FQL&gt;&lt;FQL&gt;&lt;Q&gt;CX-US^P_BETA_LOCIDX(45817,45638,,"SPX")&lt;/Q&gt;&lt;R&gt;1&lt;/R&gt;&lt;C&gt;1&lt;/C&gt;&lt;D xsi:type="xsd:double"&gt;0.8391268&lt;/D&gt;&lt;/FQL&gt;&lt;FQL&gt;&lt;Q&gt;CX-US^P_BETA_LOCIDX(45814,45637,,"SPX")&lt;/Q&gt;&lt;R&gt;1&lt;/R&gt;&lt;C&gt;1&lt;/C&gt;&lt;D xsi:type="xsd:double"&gt;0.8281009&lt;/D&gt;&lt;/FQL&gt;&lt;FQL&gt;&lt;Q&gt;CX-US^P_BETA_LOCIDX(45813,45636,,"SPX")&lt;/Q&gt;&lt;R&gt;1&lt;/R&gt;&lt;C&gt;1&lt;/C&gt;&lt;D xsi:type="xsd:double"&gt;0.83747494&lt;/D&gt;&lt;/FQL&gt;&lt;FQL&gt;&lt;Q&gt;CX-US^P_BETA_LOCIDX(45812,45635,,"SPX")&lt;/Q&gt;&lt;R&gt;1&lt;/R&gt;&lt;C&gt;1&lt;/C&gt;&lt;D xsi:type="xsd:double"&gt;0.83696276&lt;/D&gt;&lt;/FQL&gt;&lt;FQL&gt;&lt;Q&gt;CX-US^P_BETA_LOCIDX(45811,45632,,"SPX")&lt;/Q&gt;&lt;R&gt;1&lt;/R&gt;&lt;C&gt;1&lt;/C&gt;&lt;D xsi:type="xsd:double"&gt;0.83638024&lt;/D&gt;&lt;/FQL&gt;&lt;FQL&gt;&lt;Q&gt;CX-US^P_BETA_LOCIDX(45810,45631,,"SPX")&lt;/Q&gt;&lt;R&gt;1&lt;/R&gt;&lt;C&gt;1&lt;/C&gt;&lt;D xsi:type="xsd:double"&gt;0.836942&lt;/D&gt;&lt;/FQL&gt;&lt;FQL&gt;&lt;Q&gt;CX-US^P_BETA_LOCIDX(45807,45630,,"SPX")&lt;/Q&gt;&lt;R&gt;1&lt;/R&gt;&lt;C&gt;1&lt;/C&gt;&lt;D xsi:type="xsd:double"&gt;0.8386844&lt;/D&gt;&lt;/FQL&gt;&lt;FQL&gt;&lt;Q&gt;CX-US^P_BETA_LOCIDX(45806,45629,,"SPX")&lt;/Q&gt;&lt;R&gt;1&lt;/R&gt;&lt;C&gt;1&lt;/C&gt;&lt;D xsi:type="xsd:double"&gt;0.8386599&lt;/D&gt;&lt;/FQL&gt;&lt;FQL&gt;&lt;Q&gt;CX-US^P_BETA_LOCIDX(45805,45628,,"SPX")&lt;/Q&gt;&lt;R&gt;1&lt;/R&gt;&lt;C&gt;1&lt;/C&gt;&lt;D xsi:type="xsd:double"&gt;0.8414393&lt;/D&gt;&lt;/FQL&gt;&lt;FQL&gt;&lt;Q&gt;CX-US^P_BETA_LOCIDX(45804,45625,,"SPX")&lt;/Q&gt;&lt;R&gt;1&lt;/R&gt;&lt;C&gt;1&lt;/C&gt;&lt;D xsi:type="xsd:double"&gt;0.8420042&lt;/D&gt;&lt;/FQL&gt;&lt;FQL&gt;&lt;Q&gt;CX-US^P_BETA_LOCIDX(45800,45623,,"SPX")&lt;/Q&gt;&lt;R&gt;1&lt;/R&gt;&lt;C&gt;1&lt;/C&gt;&lt;D xsi:type="xsd:double"&gt;0.85023934&lt;/D&gt;&lt;/FQL&gt;&lt;FQL&gt;&lt;Q&gt;CX-US^P_BETA_LOCIDX(45799,45622,,"SPX")&lt;/Q&gt;&lt;R&gt;1&lt;/R&gt;&lt;C&gt;1&lt;/C&gt;&lt;D xsi:type="xsd:double"&gt;0.84291375&lt;/D&gt;&lt;/FQL&gt;&lt;FQL&gt;&lt;Q&gt;CX-US^P_BETA_LOCIDX(45798,45621,,"SPX")&lt;/Q&gt;&lt;R&gt;1&lt;/R&gt;&lt;C&gt;1&lt;/C&gt;&lt;D xsi:type="xsd:double"&gt;0.8471698&lt;/D&gt;&lt;/FQL&gt;&lt;FQL&gt;&lt;Q&gt;CX-US^P_BETA_LOCIDX(45797,45618,,"SPX")&lt;/Q&gt;&lt;R&gt;1&lt;/R&gt;&lt;C&gt;1&lt;/C&gt;&lt;D xsi:type="xsd:double"&gt;0.8523349&lt;/D&gt;&lt;/FQL&gt;&lt;FQL&gt;&lt;Q&gt;CX-US^P_BETA_LOCIDX(45796,45617,,"SPX")&lt;/Q&gt;&lt;R&gt;1&lt;/R&gt;&lt;C&gt;1&lt;/C&gt;&lt;D xsi:type="xsd:double"&gt;0.8545334&lt;/D&gt;&lt;/FQL&gt;&lt;FQL&gt;&lt;Q&gt;CX-US^P_BETA_LOCIDX(45793,45616,,"SPX")&lt;/Q&gt;&lt;R&gt;1&lt;/R&gt;&lt;C&gt;1&lt;/C&gt;&lt;D xsi:type="xsd:double"&gt;0.85444903&lt;/D&gt;&lt;/FQL&gt;&lt;FQL&gt;&lt;Q&gt;CX-US^P_BETA_LOCIDX(45792,45615,,"SPX")&lt;/Q&gt;&lt;R&gt;1&lt;/R&gt;&lt;C&gt;1&lt;/C&gt;&lt;D xsi:type="xsd:double"&gt;0.85467917&lt;/D&gt;&lt;/FQL&gt;&lt;FQL&gt;&lt;Q&gt;CX-US^P_BETA_LOCIDX(45791,45614,,"SPX")&lt;/Q&gt;&lt;R&gt;1&lt;/R&gt;&lt;C&gt;1&lt;/C&gt;&lt;D xsi:type="xsd:double"&gt;0.8543775&lt;/D&gt;&lt;/FQL&gt;&lt;FQL&gt;&lt;Q&gt;CX-US^P_BETA_LOCIDX(45790,45611,,"SPX")&lt;/Q&gt;&lt;R&gt;1&lt;/R&gt;&lt;C&gt;1&lt;/C&gt;&lt;D xsi:type="xsd:double"&gt;0.83835685&lt;/D&gt;&lt;/FQL&gt;&lt;FQL&gt;&lt;Q&gt;CX-US^P_BETA_LOCIDX(45789,45610,,"SPX")&lt;/Q&gt;&lt;R&gt;1&lt;/R&gt;&lt;C&gt;1&lt;/C&gt;&lt;D xsi:type="xsd:double"&gt;0.8295704&lt;/D&gt;&lt;/FQL&gt;&lt;FQL&gt;&lt;Q&gt;CX-US^P_BETA_LOCIDX(45786,45609,,"SPX")&lt;/Q&gt;&lt;R&gt;1&lt;/R&gt;&lt;C&gt;1&lt;/C&gt;&lt;D xsi:type="xsd:double"&gt;0.8357678&lt;/D&gt;&lt;/FQL&gt;&lt;FQL&gt;&lt;Q&gt;CX-US^P_BETA_LOCIDX(45785,45608,,"SPX")&lt;/Q&gt;&lt;R&gt;1&lt;/R&gt;&lt;C&gt;1&lt;/C&gt;&lt;D xsi:type="xsd:double"&gt;0.8388041&lt;/D&gt;&lt;/FQL&gt;&lt;FQL&gt;&lt;Q&gt;CX-US^P_BETA_LOCIDX(45784,45607,,"SPX")&lt;/Q&gt;&lt;R&gt;1&lt;/R&gt;&lt;C&gt;1&lt;/C&gt;&lt;D xsi:type="xsd:double"&gt;0.8367706&lt;/D&gt;&lt;/FQL&gt;&lt;FQL&gt;&lt;Q&gt;CX-US^P_BETA_LOCIDX(45783,45604,,"SPX")&lt;/Q&gt;&lt;R&gt;1&lt;/R&gt;&lt;C&gt;1&lt;/C&gt;&lt;D xsi:type="xsd:double"&gt;0.82600373&lt;/D&gt;&lt;/FQL&gt;&lt;FQL&gt;&lt;Q&gt;CX-US^P_BETA_LOCIDX(45782,45603,,"SPX")&lt;/Q&gt;&lt;R&gt;1&lt;/R&gt;&lt;C&gt;1&lt;/C&gt;&lt;D xsi:type="xsd:double"&gt;0.84479594&lt;/D&gt;&lt;/FQL&gt;&lt;FQL&gt;&lt;Q&gt;CX-US^P_BETA_LOCIDX(45779,45602,,"SPX")&lt;/Q&gt;&lt;R&gt;1&lt;/R&gt;&lt;C&gt;1&lt;/C&gt;&lt;D xsi:type="xsd:double"&gt;0.9049422&lt;/D&gt;&lt;/FQL&gt;&lt;FQL&gt;&lt;Q&gt;CX-US^P_BETA_LOCIDX(45778,45601,,"SPX")&lt;/Q&gt;&lt;R&gt;1&lt;/R&gt;&lt;C&gt;1&lt;/C&gt;&lt;D xsi:type="xsd:double"&gt;0.9112886&lt;/D&gt;&lt;/FQL&gt;&lt;FQL&gt;&lt;Q&gt;CX-US^P_BETA_LOCIDX(45777,45600,,"SPX")&lt;/Q&gt;&lt;R&gt;1&lt;/R&gt;&lt;C&gt;1&lt;/C&gt;&lt;D xsi:type="xsd:double"&gt;0.9156443&lt;/D&gt;&lt;/FQL&gt;&lt;FQL&gt;&lt;Q&gt;CX-US^P_BETA_LOCIDX(45776,45597,,"SPX")&lt;/Q&gt;&lt;R&gt;1&lt;/R&gt;&lt;C&gt;1&lt;/C&gt;&lt;D xsi:type="xsd:double"&gt;0.91314316&lt;/D&gt;&lt;/FQL&gt;&lt;FQL&gt;&lt;Q&gt;CX-US^P_BETA_LOCIDX(45775,45596,,"SPX")&lt;/Q&gt;&lt;R&gt;1&lt;/R&gt;&lt;C&gt;1&lt;/C&gt;&lt;D xsi:type="xsd:double"&gt;0.9107974&lt;/D&gt;&lt;/FQL&gt;&lt;FQL&gt;&lt;Q&gt;CX-US^P_BETA_LOCIDX(45772,45595,,"SPX")&lt;/Q&gt;&lt;R&gt;1&lt;/R&gt;&lt;C&gt;1&lt;/C&gt;&lt;D xsi:type="xsd:double"&gt;0.9094497&lt;/D&gt;&lt;/FQL&gt;&lt;FQL&gt;&lt;Q&gt;CX-US^P_BETA_LOCIDX(45771,45594,,"SPX")&lt;/Q&gt;&lt;R&gt;1&lt;/R&gt;&lt;C&gt;1&lt;/C&gt;&lt;D xsi:type="xsd:double"&gt;0.8979571&lt;/D&gt;&lt;/FQL&gt;&lt;FQL&gt;&lt;Q&gt;CX-US^P_BETA_LOCIDX(45770,45593,,"SPX")&lt;/Q&gt;&lt;R&gt;1&lt;/R&gt;&lt;C&gt;1&lt;/C&gt;&lt;D xsi:type="xsd:double"&gt;0.89150876&lt;/D&gt;&lt;/FQL&gt;&lt;FQL&gt;&lt;Q&gt;CX-US^P_BETA_LOCIDX(45769,45590,,"SPX")&lt;/Q&gt;&lt;R&gt;1&lt;/R&gt;&lt;C&gt;1&lt;/C&gt;&lt;D xsi:type="xsd:double"&gt;0.88386124&lt;/D&gt;&lt;/FQL&gt;&lt;FQL&gt;&lt;Q&gt;CX-US^P_BETA_LOCIDX(45768,45589,,"SPX")&lt;/Q&gt;&lt;R&gt;1&lt;/R&gt;&lt;C&gt;1&lt;/C&gt;&lt;D xsi:type="xsd:double"&gt;0.8766349&lt;/D&gt;&lt;/FQL&gt;&lt;FQL&gt;&lt;Q&gt;CX-US^P_BETA_LOCIDX(45764,45588,,"SPX")&lt;/Q&gt;&lt;R&gt;1&lt;/R&gt;&lt;C&gt;1&lt;/C&gt;&lt;D xsi:type="xsd:double"&gt;0.87099785&lt;/D&gt;&lt;/FQL&gt;&lt;FQL&gt;&lt;Q&gt;CX-US^P_BETA_LOCIDX(45763,45587,,"SPX")&lt;/Q&gt;&lt;R&gt;1&lt;/R&gt;&lt;C&gt;1&lt;/C&gt;&lt;D xsi:type="xsd:double"&gt;0.8680904&lt;/D&gt;&lt;/FQL&gt;&lt;FQL&gt;&lt;Q&gt;CX-US^P_BETA_LOCIDX(45762,45586,,"SPX")&lt;/Q&gt;&lt;R&gt;1&lt;/R&gt;&lt;C&gt;1&lt;/C&gt;&lt;D xsi:type="xsd:double"&gt;0.8799857&lt;/D&gt;&lt;/FQL&gt;&lt;FQL&gt;&lt;Q&gt;CX-US^P_BETA_LOCIDX(45761,45583,,"SPX")&lt;/Q&gt;&lt;R&gt;1&lt;/R&gt;&lt;C&gt;1&lt;/C&gt;&lt;D xsi:type="xsd:double"&gt;0.8795106&lt;/D&gt;&lt;/FQL&gt;&lt;FQL&gt;&lt;Q&gt;CX-US^P_BETA_LOCIDX(45758,45582,,"SPX")&lt;/Q&gt;&lt;R&gt;1&lt;/R&gt;&lt;C&gt;1&lt;/C&gt;&lt;D xsi:type="xsd:double"&gt;0.8724397&lt;/D&gt;&lt;/FQL&gt;&lt;FQL&gt;&lt;Q&gt;CX-US^P_BETA_LOCIDX(45757,45581,,"SPX")&lt;/Q&gt;&lt;R&gt;1&lt;/R&gt;&lt;C&gt;1&lt;/C&gt;&lt;D xsi:type="xsd:double"&gt;0.86027414&lt;/D&gt;&lt;/FQL&gt;&lt;FQL&gt;&lt;Q&gt;CX-US^P_BETA_LOCIDX(45756,45580,,"SPX")&lt;/Q&gt;&lt;R&gt;1&lt;/R&gt;&lt;C&gt;1&lt;/C&gt;&lt;D xsi:type="xsd:double"&gt;0.8248197&lt;/D&gt;&lt;/FQL&gt;&lt;FQL&gt;&lt;Q&gt;CX-US^P_BETA_LOCIDX(45755,45579,,"SPX")&lt;/Q&gt;&lt;R&gt;1&lt;/R&gt;&lt;C&gt;1&lt;/C&gt;&lt;D xsi:type="xsd:double"&gt;0.98662615&lt;/D&gt;&lt;/FQL&gt;&lt;FQL&gt;&lt;Q&gt;CX-US^P_BETA_LOCIDX(45754,45576,,"SPX")&lt;/Q&gt;&lt;R&gt;1&lt;/R&gt;&lt;C&gt;1&lt;/C&gt;&lt;D xsi:type="xsd:double"&gt;0.9914461&lt;/D&gt;&lt;/FQL&gt;&lt;FQL&gt;&lt;Q&gt;CX-US^P_BETA_LOCIDX(45751,45575,,"SPX")&lt;/Q&gt;&lt;R&gt;1&lt;/R&gt;&lt;C&gt;1&lt;/C&gt;&lt;D xsi:type="xsd:double"&gt;0.9898141&lt;/D&gt;&lt;/FQL&gt;&lt;FQL&gt;&lt;Q&gt;CX-US^P_BETA_LOCIDX(45750,45574,,"SPX")&lt;/Q&gt;&lt;R&gt;1&lt;/R&gt;&lt;C&gt;1&lt;/C&gt;&lt;D xsi:type="xsd:double"&gt;0.90318406&lt;/D&gt;&lt;/FQL&gt;&lt;FQL&gt;&lt;Q&gt;CX-US^P_BETA_LOCIDX(45749,45573,,"SPX")&lt;/Q&gt;&lt;R&gt;1&lt;/R&gt;&lt;C&gt;1&lt;/C&gt;&lt;D xsi:type="xsd:double"&gt;1.0273299&lt;/D&gt;&lt;/FQL&gt;&lt;FQL&gt;&lt;Q&gt;CX-US^P_BETA_LOCIDX(45748,45572,,"SPX")&lt;/Q&gt;&lt;R&gt;1&lt;/R&gt;&lt;C&gt;1&lt;/C&gt;&lt;D xsi:type="xsd:double"&gt;1.0304368&lt;/D&gt;&lt;/FQL&gt;&lt;FQL&gt;&lt;Q&gt;CX-US^P_BETA_LOCIDX(45747,45569,,"SPX")&lt;/Q&gt;&lt;R&gt;1&lt;/R&gt;&lt;C&gt;1&lt;/C&gt;&lt;D xsi:type="xsd:double"&gt;1.010091&lt;/D&gt;&lt;/FQL&gt;&lt;FQL&gt;&lt;Q&gt;CX-US^P_BETA_LOCIDX(45744,45568,,"SPX")&lt;/Q&gt;&lt;R&gt;1&lt;/R&gt;&lt;C&gt;1&lt;/C&gt;&lt;D xsi:type="xsd:double"&gt;1.0163175&lt;/D&gt;&lt;/FQL&gt;&lt;FQL&gt;&lt;Q&gt;CX-US^P_BETA_LOCIDX(45743,45567,,"SPX")&lt;/Q&gt;&lt;R&gt;1&lt;/R&gt;&lt;C&gt;1&lt;/C&gt;&lt;D xsi:type="xsd:double"&gt;0.9357423&lt;/D&gt;&lt;/FQL&gt;&lt;FQL&gt;&lt;Q&gt;CX-US^P_BETA_LOCIDX(45742,45566,,"SPX")&lt;/Q&gt;&lt;R&gt;1&lt;/R&gt;&lt;C&gt;1&lt;/C&gt;&lt;D xsi:type="xsd:double"&gt;0.95986575&lt;/D&gt;&lt;/FQL&gt;&lt;FQL&gt;&lt;Q&gt;CX-US^P_BETA_LOCIDX(45741,45565,,"SPX")&lt;/Q&gt;&lt;R&gt;1&lt;/R&gt;&lt;C&gt;1&lt;/C&gt;&lt;D xsi:type="xsd:double"&gt;0.90864855&lt;/D&gt;&lt;/FQL&gt;&lt;FQL&gt;&lt;Q&gt;CX-US^P_BETA_LOCIDX(45740,45562,,"SPX")&lt;/Q&gt;&lt;R&gt;1&lt;/R&gt;&lt;C&gt;1&lt;/C&gt;&lt;D xsi:type="xsd:double"&gt;0.9072457&lt;/D&gt;&lt;/FQL&gt;&lt;FQL&gt;&lt;Q&gt;CX-US^P_BETA_LOCIDX(45737,45561,,"SPX")&lt;/Q&gt;&lt;R&gt;1&lt;/R&gt;&lt;C&gt;1&lt;/C&gt;&lt;D xsi:type="xsd:double"&gt;0.8919273&lt;/D&gt;&lt;/FQL&gt;&lt;FQL&gt;&lt;Q&gt;CX-US^P_BETA_LOCIDX(45736,45560,,"SPX")&lt;/Q&gt;&lt;R&gt;1&lt;/R&gt;&lt;C&gt;1&lt;/C&gt;&lt;D xsi:type="xsd:double"&gt;0.8970115&lt;/D&gt;&lt;/FQL&gt;&lt;FQL&gt;&lt;Q&gt;CX-US^P_BETA_LOCIDX(45735,45559,,"SPX")&lt;/Q&gt;&lt;R&gt;1&lt;/R&gt;&lt;C&gt;1&lt;/C&gt;&lt;D xsi:type="xsd:double"&gt;0.8964171&lt;/D&gt;&lt;/FQL&gt;&lt;FQL&gt;&lt;Q&gt;CX-US^P_BETA_LOCIDX(45734,45558,,"SPX")&lt;/Q&gt;&lt;R&gt;1&lt;/R&gt;&lt;C&gt;1&lt;/C&gt;&lt;D xsi:type="xsd:double"&gt;0.90013146&lt;/D&gt;&lt;/FQL&gt;&lt;FQL&gt;&lt;Q&gt;CX-US^P_BETA_LOCIDX(45733,45555,,"SPX")&lt;/Q&gt;&lt;R&gt;1&lt;/R&gt;&lt;C&gt;1&lt;/C&gt;&lt;D xsi:type="xsd:double"&gt;0.9082609&lt;/D&gt;&lt;/FQL&gt;&lt;FQL&gt;&lt;Q&gt;CX-US^P_BETA_LOCIDX(45730,45554,,"SPX")&lt;/Q&gt;&lt;R&gt;1&lt;/R&gt;&lt;C&gt;1&lt;/C&gt;&lt;D xsi:type="xsd:double"&gt;0.9310754&lt;/D&gt;&lt;/FQL&gt;&lt;FQL&gt;&lt;Q&gt;CX-US^P_BETA_LOCIDX(45729,45553,,"SPX")&lt;/Q&gt;&lt;R&gt;1&lt;/R&gt;&lt;C&gt;1&lt;/C&gt;&lt;D xsi:type="xsd:double"&gt;0.91428065&lt;/D&gt;&lt;/FQL&gt;&lt;FQL&gt;&lt;Q&gt;CX-US^P_BETA_LOCIDX(45728,45552,,"SPX")&lt;/Q&gt;&lt;R&gt;1&lt;/R&gt;&lt;C&gt;1&lt;/C&gt;&lt;D xsi:type="xsd:double"&gt;0.9004247&lt;/D&gt;&lt;/FQL&gt;&lt;FQL&gt;&lt;Q&gt;CX-US^P_BETA_LOCIDX(45727,45551,,"SPX")&lt;/Q&gt;&lt;R&gt;1&lt;/R&gt;&lt;C&gt;1&lt;/C&gt;&lt;D xsi:type="xsd:double"&gt;0.90311545&lt;/D&gt;&lt;/FQL&gt;&lt;FQL&gt;&lt;Q&gt;CX-US^P_BETA_LOCIDX(45726,45548,,"SPX")&lt;/Q&gt;&lt;R&gt;1&lt;/R&gt;&lt;C&gt;1&lt;/C&gt;&lt;D xsi:type="xsd:double"&gt;0.92389804&lt;/D&gt;&lt;/FQL&gt;&lt;FQL&gt;&lt;Q&gt;CX-US^P_BETA_LOCIDX(45723,45547,,"SPX")&lt;/Q&gt;&lt;R&gt;1&lt;/R&gt;&lt;C&gt;1&lt;/C&gt;&lt;D xsi:type="xsd:double"&gt;0.94101226&lt;/D&gt;&lt;/FQL&gt;&lt;FQL&gt;&lt;Q&gt;CX-US^P_BETA_LOCIDX(45722,45546,,"SPX")&lt;/Q&gt;&lt;R&gt;1&lt;/R&gt;&lt;C&gt;1&lt;/C&gt;&lt;D xsi:type="xsd:double"&gt;0.9990203&lt;/D&gt;&lt;/FQL&gt;&lt;FQL&gt;&lt;Q&gt;CX-US^P_BETA_LOCIDX(45721,45545,,"SPX")&lt;/Q&gt;&lt;R&gt;1&lt;/R&gt;&lt;C&gt;1&lt;/C&gt;&lt;D xsi:type="xsd:double"&gt;1.066813&lt;/D&gt;&lt;/FQL&gt;&lt;FQL&gt;&lt;Q&gt;CX-US^P_BETA_LOCIDX(45720,45544,,"SPX")&lt;/Q&gt;&lt;R&gt;1&lt;/R&gt;&lt;C&gt;1&lt;/C&gt;&lt;D xsi:type="xsd:double"&gt;0.9883747&lt;/D&gt;&lt;/FQL&gt;&lt;FQL&gt;&lt;Q&gt;CX-US^P_BETA_LOCIDX(45719,45541,,"SPX")&lt;/Q&gt;&lt;R&gt;1&lt;/R&gt;&lt;C&gt;1&lt;/C&gt;&lt;D xsi:type="xsd:double"&gt;1.0305486&lt;/D&gt;&lt;/FQL&gt;&lt;FQL&gt;&lt;Q&gt;CX-US^P_BETA_LOCIDX(45716,45540,,"SPX")&lt;/Q&gt;&lt;R&gt;1&lt;/R&gt;&lt;C&gt;1&lt;/C&gt;&lt;D xsi:type="xsd:double"&gt;0.9633919&lt;/D&gt;&lt;/FQL&gt;&lt;FQL&gt;&lt;Q&gt;CX-US^P_BETA_LOCIDX(45715,45539,,"SPX")&lt;/Q&gt;&lt;R&gt;1&lt;/R&gt;&lt;C&gt;1&lt;/C&gt;&lt;D xsi:type="xsd:double"&gt;1.0327164&lt;/D&gt;&lt;/FQL&gt;&lt;FQL&gt;&lt;Q&gt;CX-US^P_BETA_LOCIDX(45714,45538,,"SPX")&lt;/Q&gt;&lt;R&gt;1&lt;/R&gt;&lt;C&gt;1&lt;/C&gt;&lt;D xsi:type="xsd:double"&gt;1.0329298&lt;/D&gt;&lt;/FQL&gt;&lt;FQL&gt;&lt;Q&gt;CX-US^P_BETA_LOCIDX(45713,45534,,"SPX")&lt;/Q&gt;&lt;R&gt;1&lt;/R&gt;&lt;C&gt;1&lt;/C&gt;&lt;D xsi:type="xsd:double"&gt;1.0361843&lt;/D&gt;&lt;/FQL&gt;&lt;FQL&gt;&lt;Q&gt;CX-US^P_BETA_LOCIDX(45712,45533,,"SPX")&lt;/Q&gt;&lt;R&gt;1&lt;/R&gt;&lt;C&gt;1&lt;/C&gt;&lt;D xsi:type="xsd:double"&gt;1.0439626&lt;/D&gt;&lt;/FQL&gt;&lt;FQL&gt;&lt;Q&gt;CX-US^P_BETA_LOCIDX(45709,45532,,"SPX")&lt;/Q&gt;&lt;R&gt;1&lt;/R&gt;&lt;C&gt;1&lt;/C&gt;&lt;D xsi:type="xsd:double"&gt;1.0271078&lt;/D&gt;&lt;/FQL&gt;&lt;FQL&gt;&lt;Q&gt;CX-US^P_BETA_LOCIDX(45708,45531,,"SPX")&lt;/Q&gt;&lt;R&gt;1&lt;/R&gt;&lt;C&gt;1&lt;/C&gt;&lt;D xsi:type="xsd:double"&gt;0.99784905&lt;/D&gt;&lt;/FQL&gt;&lt;FQL&gt;&lt;Q&gt;CX-US^P_BETA_LOCIDX(45707,45530,,"SPX")&lt;/Q&gt;&lt;R&gt;1&lt;/R&gt;&lt;C&gt;1&lt;/C&gt;&lt;D xsi:type="xsd:double"&gt;1.0249668&lt;/D&gt;&lt;/FQL&gt;&lt;FQL&gt;&lt;Q&gt;CX-US^P_BETA_LOCIDX(45706,45527,,"SPX")&lt;/Q&gt;&lt;R&gt;1&lt;/R&gt;&lt;C&gt;1&lt;/C&gt;&lt;D xsi:type="xsd:double"&gt;1.057624&lt;/D&gt;&lt;/FQL&gt;&lt;FQL&gt;&lt;Q&gt;CX-US^P_BETA_LOCIDX(45702,45526,,"SPX")&lt;/Q&gt;&lt;R&gt;1&lt;/R&gt;&lt;C&gt;1&lt;/C&gt;&lt;D xsi:type="xsd:double"&gt;1.0614598&lt;/D&gt;&lt;/FQL&gt;&lt;FQL&gt;&lt;Q&gt;CX-US^P_BETA_LOCIDX(45701,45525,,"SPX")&lt;/Q&gt;&lt;R&gt;1&lt;/R&gt;&lt;C&gt;1&lt;/C&gt;&lt;D xsi:type="xsd:double"&gt;1.0533794&lt;/D&gt;&lt;/FQL&gt;&lt;FQL&gt;&lt;Q&gt;CX-US^P_BETA_LOCIDX(45700,45524,,"SPX")&lt;/Q&gt;&lt;R&gt;1&lt;/R&gt;&lt;C&gt;1&lt;/C&gt;&lt;D xsi:type="xsd:double"&gt;1.0583364&lt;/D&gt;&lt;/FQL&gt;&lt;FQL&gt;&lt;Q&gt;CX-US^P_BETA_LOCIDX(45699,45523,,"SPX")&lt;/Q&gt;&lt;R&gt;1&lt;/R&gt;&lt;C&gt;1&lt;/C&gt;&lt;D xsi:type="xsd:double"&gt;1.0427499&lt;/D&gt;&lt;/FQL&gt;&lt;FQL&gt;&lt;Q&gt;CX-US^P_BETA_LOCIDX(45698,45520,,"SPX")&lt;/Q&gt;&lt;R&gt;1&lt;/R&gt;&lt;C&gt;1&lt;/C&gt;&lt;D xsi:type="xsd:double"&gt;1.0386331&lt;/D&gt;&lt;/FQL&gt;&lt;FQL&gt;&lt;Q&gt;CX-US^P_BETA_LOCIDX(45695,45519,,"SPX")&lt;/Q&gt;&lt;R&gt;1&lt;/R&gt;&lt;C&gt;1&lt;/C&gt;&lt;D xsi:type="xsd:double"&gt;1.1548343&lt;/D&gt;&lt;/FQL&gt;&lt;FQL&gt;&lt;Q&gt;CX-US^P_BETA_LOCIDX(45694,45518,,"SPX")&lt;/Q&gt;&lt;R&gt;1&lt;/R&gt;&lt;C&gt;1&lt;/C&gt;&lt;D xsi:type="xsd:double"&gt;1.1539825&lt;/D&gt;&lt;/FQL&gt;&lt;FQL&gt;&lt;Q&gt;CX-US^P_BETA_LOCIDX(45693,45517,,"SPX")&lt;/Q&gt;&lt;R&gt;1&lt;/R&gt;&lt;C&gt;1&lt;/C&gt;&lt;D xsi:type="xsd:double"&gt;1.0931059&lt;/D&gt;&lt;/FQL&gt;&lt;FQL&gt;&lt;Q&gt;CX-US^P_BETA_LOCIDX(45692,45516,,"SPX")&lt;/Q&gt;&lt;R&gt;1&lt;/R&gt;&lt;C&gt;1&lt;/C&gt;&lt;D xsi:type="xsd:double"&gt;1.1019007&lt;/D&gt;&lt;/FQL&gt;&lt;FQL&gt;&lt;Q&gt;CX-US^P_BETA_LOCIDX(45691,45513,,"SPX")&lt;/Q&gt;&lt;R&gt;1&lt;/R&gt;&lt;C&gt;1&lt;/C&gt;&lt;D xsi:type="xsd:double"&gt;1.0988799&lt;/D&gt;&lt;/FQL&gt;&lt;FQL&gt;&lt;Q&gt;CX-US^P_BETA_LOCIDX(45688,45512,,"SPX")&lt;/Q&gt;&lt;R&gt;1&lt;/R&gt;&lt;C&gt;1&lt;/C&gt;&lt;D xsi:type="xsd:double"&gt;1.1402093&lt;/D&gt;&lt;/FQL&gt;&lt;FQL&gt;&lt;Q&gt;CX-US^P_BETA_LOCIDX(45687,45511,,"SPX")&lt;/Q&gt;&lt;R&gt;1&lt;/R&gt;&lt;C&gt;1&lt;/C&gt;&lt;D xsi:type="xsd:double"&gt;1.1056242&lt;/D&gt;&lt;/FQL&gt;&lt;FQL&gt;&lt;Q&gt;CX-US^P_BETA_LOCIDX(45686,45510,,"SPX")&lt;/Q&gt;&lt;R&gt;1&lt;/R&gt;&lt;C&gt;1&lt;/C&gt;&lt;D xsi:type="xsd:double"&gt;1.1048326&lt;/D&gt;&lt;/FQL&gt;&lt;FQL&gt;&lt;Q&gt;CX-US^P_BETA_LOCIDX(45685,45509,,"SPX")&lt;/Q&gt;&lt;R&gt;1&lt;/R&gt;&lt;C&gt;1&lt;/C&gt;&lt;D xsi:type="xsd:double"&gt;1.0222625&lt;/D&gt;&lt;/FQL&gt;&lt;FQL&gt;&lt;Q&gt;CX-US^P_BETA_LOCIDX(45684,45506,,"SPX")&lt;/Q&gt;&lt;R&gt;1&lt;/R&gt;&lt;C&gt;1&lt;/C&gt;&lt;D xsi:type="xsd:double"&gt;1.0653454&lt;/D&gt;&lt;/FQL&gt;&lt;FQL&gt;&lt;Q&gt;CX-US^P_BETA_LOCIDX(45681,45505,,"SPX")&lt;/Q&gt;&lt;R&gt;1&lt;/R&gt;&lt;C&gt;1&lt;/C&gt;&lt;D xsi:type="xsd:double"&gt;1.0867667&lt;/D&gt;&lt;/FQL&gt;&lt;FQL&gt;&lt;Q&gt;CX-US^P_BETA_LOCIDX(45680,45504,,"SPX")&lt;/Q&gt;&lt;R&gt;1&lt;/R&gt;&lt;C&gt;1&lt;/C&gt;&lt;D xsi:type="xsd:double"&gt;1.1122375&lt;/D&gt;&lt;/FQL&gt;&lt;FQL&gt;&lt;Q&gt;CX-US^P_BETA_LOCIDX(45679,45503,,"SPX")&lt;/Q&gt;&lt;R&gt;1&lt;/R&gt;&lt;C&gt;1&lt;/C&gt;&lt;D xsi:type="xsd:double"&gt;1.1087881&lt;/D&gt;&lt;/FQL&gt;&lt;FQL&gt;&lt;Q&gt;CX-US^P_BETA_LOCIDX(45678,45502,,"SPX")&lt;/Q&gt;&lt;R&gt;1&lt;/R&gt;&lt;C&gt;1&lt;/C&gt;&lt;D xsi:type="xsd:double"&gt;1.1046121&lt;/D&gt;&lt;/FQL&gt;&lt;FQL&gt;&lt;Q&gt;CX-US^P_BETA_LOCIDX(45674,45499,,"SPX")&lt;/Q&gt;&lt;R&gt;1&lt;/R&gt;&lt;C&gt;1&lt;/C&gt;&lt;D xsi:type="xsd:double"&gt;1.0860528&lt;/D&gt;&lt;/FQL&gt;&lt;FQL&gt;&lt;Q&gt;CX-US^P_BETA_LOCIDX(45673,45498,,"SPX")&lt;/Q&gt;&lt;R&gt;1&lt;/R&gt;&lt;C&gt;1&lt;/C&gt;&lt;D xsi:type="xsd:double"&gt;1.089485&lt;/D&gt;&lt;/FQL&gt;&lt;FQL&gt;&lt;Q&gt;CX-US^P_BETA_LOCIDX(45672,45497,,"SPX")&lt;/Q&gt;&lt;R&gt;1&lt;/R&gt;&lt;C&gt;1&lt;/C&gt;&lt;D xsi:type="xsd:double"&gt;1.1224152&lt;/D&gt;&lt;/FQL&gt;&lt;FQL&gt;&lt;Q&gt;CX-US^P_BETA_LOCIDX(45671,45496,,"SPX")&lt;/Q&gt;&lt;R&gt;1&lt;/R&gt;&lt;C&gt;1&lt;/C&gt;&lt;D xsi:type="xsd:double"&gt;1.101221&lt;/D&gt;&lt;/FQL&gt;&lt;FQL&gt;&lt;Q&gt;CX-US^P_BETA_LOCIDX(45670,45495,,"SPX")&lt;/Q&gt;&lt;R&gt;1&lt;/R&gt;&lt;C&gt;1&lt;/C&gt;&lt;D xsi:type="xsd:double"&gt;1.1380516&lt;/D&gt;&lt;/FQL&gt;&lt;FQL&gt;&lt;Q&gt;CX-US^P_BETA_LOCIDX(45667,45492,,"SPX")&lt;/Q&gt;&lt;R&gt;1&lt;/R&gt;&lt;C&gt;1&lt;/C&gt;&lt;D xsi:type="xsd:double"&gt;1.1569061&lt;/D&gt;&lt;/FQL&gt;&lt;FQL&gt;&lt;Q&gt;CX-US^P_BETA_LOCIDX(45665,45491,,"SPX")&lt;/Q&gt;&lt;R&gt;1&lt;/R&gt;&lt;C&gt;1&lt;/C&gt;&lt;D xsi:type="xsd:double"&gt;1.1618611&lt;/D&gt;&lt;/FQL&gt;&lt;FQL&gt;&lt;Q&gt;CX-US^P_BETA_LOCIDX(45664,45490,,"SPX")&lt;/Q&gt;&lt;R&gt;1&lt;/R&gt;&lt;C&gt;1&lt;/C&gt;&lt;D xsi:type="xsd:double"&gt;1.2169118&lt;/D&gt;&lt;/FQL&gt;&lt;FQL&gt;&lt;Q&gt;CX-US^P_BETA_LOCIDX(45663,45489,,"SPX")&lt;/Q&gt;&lt;R&gt;1&lt;/R&gt;&lt;C&gt;1&lt;/C&gt;&lt;D xsi:type="xsd:double"&gt;1.2369779&lt;/D&gt;&lt;/FQL&gt;&lt;FQL&gt;&lt;Q&gt;CX-US^P_BETA_LOCIDX(45660,45488,,"SPX")&lt;/Q&gt;&lt;R&gt;1&lt;/R&gt;&lt;C&gt;1&lt;/C&gt;&lt;D xsi:type="xsd:double"&gt;1.2283823&lt;/D&gt;&lt;/FQL&gt;&lt;FQL&gt;&lt;Q&gt;CX-US^P_BETA_LOCIDX(45659,45485,,"SPX")&lt;/Q&gt;&lt;R&gt;1&lt;/R&gt;&lt;C&gt;1&lt;/C&gt;&lt;D xsi:type="xsd:double"&gt;1.251589&lt;/D&gt;&lt;/FQL&gt;&lt;FQL&gt;&lt;Q&gt;CX-US^P_BETA_LOCIDX(45657,45484,,"SPX")&lt;/Q&gt;&lt;R&gt;1&lt;/R&gt;&lt;C&gt;1&lt;/C&gt;&lt;D xsi:type="xsd:double"&gt;1.2219114&lt;/D&gt;&lt;/FQL&gt;&lt;FQL&gt;&lt;Q&gt;CX-US^P_BETA_LOCIDX(45656,45483,,"SPX")&lt;/Q&gt;&lt;R&gt;1&lt;/R&gt;&lt;C&gt;1&lt;/C&gt;&lt;D xsi:type="xsd:double"&gt;1.2827188&lt;/D&gt;&lt;/FQL&gt;&lt;FQL&gt;&lt;Q&gt;CX-US^P_BETA_LOCIDX(45653,45482,,"SPX")&lt;/Q&gt;&lt;R&gt;1&lt;/R&gt;&lt;C&gt;1&lt;/C&gt;&lt;D xsi:type="xsd:double"&gt;1.2778333&lt;/D&gt;&lt;/FQL&gt;&lt;FQL&gt;&lt;Q&gt;CX-US^P_BETA_LOCIDX(45652,45481,,"SPX")&lt;/Q&gt;&lt;R&gt;1&lt;/R&gt;&lt;C&gt;1&lt;/C&gt;&lt;D xsi:type="xsd:double"&gt;1.2924735999999999&lt;/D&gt;&lt;/FQL&gt;&lt;FQL&gt;&lt;Q&gt;CX-US^P_BETA_LOCIDX(45650,45478,,"SPX")&lt;/Q&gt;&lt;R&gt;1&lt;/R&gt;&lt;C&gt;1&lt;/C&gt;&lt;D xsi:type="xsd:double"&gt;1.2907902&lt;/D&gt;&lt;/FQL&gt;&lt;FQL&gt;&lt;Q&gt;CX-US^P_BETA_LOCIDX(45649,45476,,"SPX")&lt;/Q&gt;&lt;R&gt;1&lt;/R&gt;&lt;C&gt;1&lt;/C&gt;&lt;D xsi:type="xsd:double"&gt;1.2860355&lt;/D&gt;&lt;/FQL&gt;&lt;FQL&gt;&lt;Q&gt;CX-US^P_BETA_LOCIDX(45646,45475,,"SPX")&lt;/Q&gt;&lt;R&gt;1&lt;/R&gt;&lt;C&gt;1&lt;/C&gt;&lt;D xsi:type="xsd:double"&gt;1.2859186&lt;/D&gt;&lt;/FQL&gt;&lt;FQL&gt;&lt;Q&gt;CX-US^P_BETA_LOCIDX(45645,45474,,"SPX")&lt;/Q&gt;&lt;R&gt;1&lt;/R&gt;&lt;C&gt;1&lt;/C&gt;&lt;D xsi:type="xsd:double"&gt;1.2894369&lt;/D&gt;&lt;/FQL&gt;&lt;FQL&gt;&lt;Q&gt;CX-US^P_BETA_LOCIDX(45644,45471,,"SPX")&lt;/Q&gt;&lt;R&gt;1&lt;/R&gt;&lt;C&gt;1&lt;/C&gt;&lt;D xsi:type="xsd:double"&gt;1.2849649&lt;/D&gt;&lt;/FQL&gt;&lt;FQL&gt;&lt;Q&gt;CX-US^P_BETA_LOCIDX(45643,45470,,"SPX")&lt;/Q&gt;&lt;R&gt;1&lt;/R&gt;&lt;C&gt;1&lt;/C&gt;&lt;D xsi:type="xsd:double"&gt;1.3712541&lt;/D&gt;&lt;/FQL&gt;&lt;FQL&gt;&lt;Q&gt;CX-US^P_BETA_LOCIDX(45642,45469,,"SPX")&lt;/Q&gt;&lt;R&gt;1&lt;/R&gt;&lt;C&gt;1&lt;/C&gt;&lt;D xsi:type="xsd:double"&gt;1.3767474&lt;/D&gt;&lt;/FQL&gt;&lt;FQL&gt;&lt;Q&gt;CX-US^P_BETA_LOCIDX(45639,45468,,"SPX")&lt;/Q&gt;&lt;R&gt;1&lt;/R&gt;&lt;C&gt;1&lt;/C&gt;&lt;D xsi:type="xsd:double"&gt;1.3755587&lt;/D&gt;&lt;/FQL&gt;&lt;FQL&gt;&lt;Q&gt;CX-US^P_BETA_LOCIDX(45638,45467,,"SPX")&lt;/Q&gt;&lt;R&gt;1&lt;/R&gt;&lt;C&gt;1&lt;/C&gt;&lt;D xsi:type="xsd:double"&gt;1.3684292&lt;/D&gt;&lt;/FQL&gt;&lt;FQL&gt;&lt;Q&gt;CX-US^P_BETA_LOCIDX(45637,45464,,"SPX")&lt;/Q&gt;&lt;R&gt;1&lt;/R&gt;&lt;C&gt;1&lt;/C&gt;&lt;D xsi:type="xsd:double"&gt;1.3821985&lt;/D&gt;&lt;/FQL&gt;&lt;FQL&gt;&lt;Q&gt;CX-US^P_BETA_LOCIDX(45636,45463,,"SPX")&lt;/Q&gt;&lt;R&gt;1&lt;/R&gt;&lt;C&gt;1&lt;/C&gt;&lt;D xsi:type="xsd:double"&gt;1.4192579&lt;/D&gt;&lt;/FQL&gt;&lt;FQL&gt;&lt;Q&gt;CX-US^P_BETA_LOCIDX(45635,45461,,"SPX")&lt;/Q&gt;&lt;R&gt;1&lt;/R&gt;&lt;C&gt;1&lt;/C&gt;&lt;D xsi:type="xsd:double"&gt;1.412784&lt;/D&gt;&lt;/FQL&gt;&lt;FQL&gt;&lt;Q&gt;CX-US^P_BETA_LOCIDX(45632,45460,,"SPX")&lt;/Q&gt;&lt;R&gt;1&lt;/R&gt;&lt;C&gt;1&lt;/C&gt;&lt;D xsi:type="xsd:double"&gt;1.426882&lt;/D&gt;&lt;/FQL&gt;&lt;FQL&gt;&lt;Q&gt;CX-US^P_BETA_LOCIDX(45631,45457,,"SPX")&lt;/Q&gt;&lt;R&gt;1&lt;/R&gt;&lt;C&gt;1&lt;/C&gt;&lt;D xsi:type="xsd:double"&gt;1.4320369&lt;/D&gt;&lt;/FQL&gt;&lt;FQL&gt;&lt;Q&gt;CX-US^P_BETA_LOCIDX(45630,45456,,"SPX")&lt;/Q&gt;&lt;R&gt;1&lt;/R&gt;&lt;C&gt;1&lt;/C&gt;&lt;D xsi:type="xsd:double</t>
        </r>
      </text>
    </comment>
    <comment ref="A4" authorId="0" shapeId="0" xr:uid="{81D8AF4C-F63E-46C5-A99A-37B45003C2AB}">
      <text>
        <r>
          <rPr>
            <b/>
            <sz val="9"/>
            <color indexed="81"/>
            <rFont val="Tahoma"/>
            <family val="2"/>
          </rPr>
          <t>"&gt;1.4376065&lt;/D&gt;&lt;/FQL&gt;&lt;FQL&gt;&lt;Q&gt;CX-US^P_BETA_LOCIDX(45629,45455,,"SPX")&lt;/Q&gt;&lt;R&gt;1&lt;/R&gt;&lt;C&gt;1&lt;/C&gt;&lt;D xsi:type="xsd:double"&gt;1.450225&lt;/D&gt;&lt;/FQL&gt;&lt;FQL&gt;&lt;Q&gt;CX-US^P_BETA_LOCIDX(45628,45454,,"SPX")&lt;/Q&gt;&lt;R&gt;1&lt;/R&gt;&lt;C&gt;1&lt;/C&gt;&lt;D xsi:type="xsd:double"&gt;1.4435391&lt;/D&gt;&lt;/FQL&gt;&lt;FQL&gt;&lt;Q&gt;CX-US^P_BETA_LOCIDX(45625,45453,,"SPX")&lt;/Q&gt;&lt;R&gt;1&lt;/R&gt;&lt;C&gt;1&lt;/C&gt;&lt;D xsi:type="xsd:double"&gt;1.4416004&lt;/D&gt;&lt;/FQL&gt;&lt;FQL&gt;&lt;Q&gt;CX-US^P_BETA_LOCIDX(45623,45450,,"SPX")&lt;/Q&gt;&lt;R&gt;1&lt;/R&gt;&lt;C&gt;1&lt;/C&gt;&lt;D xsi:type="xsd:double"&gt;1.4409252&lt;/D&gt;&lt;/FQL&gt;&lt;FQL&gt;&lt;Q&gt;CX-US^P_BETA_LOCIDX(45622,45449,,"SPX")&lt;/Q&gt;&lt;R&gt;1&lt;/R&gt;&lt;C&gt;1&lt;/C&gt;&lt;D xsi:type="xsd:double"&gt;1.4466864&lt;/D&gt;&lt;/FQL&gt;&lt;FQL&gt;&lt;Q&gt;CX-US^P_BETA_LOCIDX(45621,45448,,"SPX")&lt;/Q&gt;&lt;R&gt;1&lt;/R&gt;&lt;C&gt;1&lt;/C&gt;&lt;D xsi:type="xsd:double"&gt;1.4890378&lt;/D&gt;&lt;/FQL&gt;&lt;FQL&gt;&lt;Q&gt;CX-US^P_BETA_LOCIDX(45618,45447,,"SPX")&lt;/Q&gt;&lt;R&gt;1&lt;/R&gt;&lt;C&gt;1&lt;/C&gt;&lt;D xsi:type="xsd:double"&gt;1.4793969&lt;/D&gt;&lt;/FQL&gt;&lt;FQL&gt;&lt;Q&gt;CX-US^P_BETA_LOCIDX(45617,45446,,"SPX")&lt;/Q&gt;&lt;R&gt;1&lt;/R&gt;&lt;C&gt;1&lt;/C&gt;&lt;D xsi:type="xsd:double"&gt;1.4765855&lt;/D&gt;&lt;/FQL&gt;&lt;FQL&gt;&lt;Q&gt;CX-US^P_BETA_LOCIDX(45616,45443,,"SPX")&lt;/Q&gt;&lt;R&gt;1&lt;/R&gt;&lt;C&gt;1&lt;/C&gt;&lt;D xsi:type="xsd:double"&gt;1.4611833&lt;/D&gt;&lt;/FQL&gt;&lt;FQL&gt;&lt;Q&gt;CX-US^P_BETA_LOCIDX(45615,45442,,"SPX")&lt;/Q&gt;&lt;R&gt;1&lt;/R&gt;&lt;C&gt;1&lt;/C&gt;&lt;D xsi:type="xsd:double"&gt;1.4400511&lt;/D&gt;&lt;/FQL&gt;&lt;FQL&gt;&lt;Q&gt;CX-US^P_BETA_LOCIDX(45614,45441,,"SPX")&lt;/Q&gt;&lt;R&gt;1&lt;/R&gt;&lt;C&gt;1&lt;/C&gt;&lt;D xsi:type="xsd:double"&gt;1.4384854&lt;/D&gt;&lt;/FQL&gt;&lt;FQL&gt;&lt;Q&gt;CX-US^P_BETA_LOCIDX(45611,45440,,"SPX")&lt;/Q&gt;&lt;R&gt;1&lt;/R&gt;&lt;C&gt;1&lt;/C&gt;&lt;D xsi:type="xsd:double"&gt;1.4385926&lt;/D&gt;&lt;/FQL&gt;&lt;FQL&gt;&lt;Q&gt;CX-US^P_BETA_LOCIDX(45610,45436,,"SPX")&lt;/Q&gt;&lt;R&gt;1&lt;/R&gt;&lt;C&gt;1&lt;/C&gt;&lt;D xsi:type="xsd:double"&gt;1.5150095&lt;/D&gt;&lt;/FQL&gt;&lt;FQL&gt;&lt;Q&gt;CX-US^P_BETA_LOCIDX(45609,45435,,"SPX")&lt;/Q&gt;&lt;R&gt;1&lt;/R&gt;&lt;C&gt;1&lt;/C&gt;&lt;D xsi:type="xsd:double"&gt;1.5150925&lt;/D&gt;&lt;/FQL&gt;&lt;FQL&gt;&lt;Q&gt;CX-US^P_BETA_LOCIDX(45608,45434,,"SPX")&lt;/Q&gt;&lt;R&gt;1&lt;/R&gt;&lt;C&gt;1&lt;/C&gt;&lt;D xsi:type="xsd:double"&gt;1.5174476&lt;/D&gt;&lt;/FQL&gt;&lt;FQL&gt;&lt;Q&gt;CX-US^P_BETA_LOCIDX(45607,45433,,"SPX")&lt;/Q&gt;&lt;R&gt;1&lt;/R&gt;&lt;C&gt;1&lt;/C&gt;&lt;D xsi:type="xsd:double"&gt;1.5031859&lt;/D&gt;&lt;/FQL&gt;&lt;FQL&gt;&lt;Q&gt;CX-US^P_BETA_LOCIDX(45604,45432,,"SPX")&lt;/Q&gt;&lt;R&gt;1&lt;/R&gt;&lt;C&gt;1&lt;/C&gt;&lt;D xsi:type="xsd:double"&gt;1.5026547&lt;/D&gt;&lt;/FQL&gt;&lt;FQL&gt;&lt;Q&gt;CX-US^P_BETA_LOCIDX(45603,45429,,"SPX")&lt;/Q&gt;&lt;R&gt;1&lt;/R&gt;&lt;C&gt;1&lt;/C&gt;&lt;D xsi:type="xsd:double"&gt;1.5128812&lt;/D&gt;&lt;/FQL&gt;&lt;FQL&gt;&lt;Q&gt;CX-US^P_BETA_LOCIDX(45602,45428,,"SPX")&lt;/Q&gt;&lt;R&gt;1&lt;/R&gt;&lt;C&gt;1&lt;/C&gt;&lt;D xsi:type="xsd:double"&gt;1.4772686&lt;/D&gt;&lt;/FQL&gt;&lt;FQL&gt;&lt;Q&gt;CX-US^P_BETA_LOCIDX(45601,45427,,"SPX")&lt;/Q&gt;&lt;R&gt;1&lt;/R&gt;&lt;C&gt;1&lt;/C&gt;&lt;D xsi:type="xsd:double"&gt;1.2907118&lt;/D&gt;&lt;/FQL&gt;&lt;FQL&gt;&lt;Q&gt;CX-US^P_BETA_LOCIDX(45600,45426,,"SPX")&lt;/Q&gt;&lt;R&gt;1&lt;/R&gt;&lt;C&gt;1&lt;/C&gt;&lt;D xsi:type="xsd:double"&gt;1.2764629&lt;/D&gt;&lt;/FQL&gt;&lt;FQL&gt;&lt;Q&gt;CX-US^P_BETA_LOCIDX(45597,45425,,"SPX")&lt;/Q&gt;&lt;R&gt;1&lt;/R&gt;&lt;C&gt;1&lt;/C&gt;&lt;D xsi:type="xsd:double"&gt;1.2784913&lt;/D&gt;&lt;/FQL&gt;&lt;FQL&gt;&lt;Q&gt;CX-US^P_BETA_LOCIDX(45596,45422,,"SPX")&lt;/Q&gt;&lt;R&gt;1&lt;/R&gt;&lt;C&gt;1&lt;/C&gt;&lt;D xsi:type="xsd:double"&gt;1.2830224&lt;/D&gt;&lt;/FQL&gt;&lt;FQL&gt;&lt;Q&gt;CX-US^P_BETA_LOCIDX(45595,45421,,"SPX")&lt;/Q&gt;&lt;R&gt;1&lt;/R&gt;&lt;C&gt;1&lt;/C&gt;&lt;D xsi:type="xsd:double"&gt;1.3511521&lt;/D&gt;&lt;/FQL&gt;&lt;FQL&gt;&lt;Q&gt;CX-US^P_BETA_LOCIDX(45594,45420,,"SPX")&lt;/Q&gt;&lt;R&gt;1&lt;/R&gt;&lt;C&gt;1&lt;/C&gt;&lt;D xsi:type="xsd:double"&gt;1.3551885&lt;/D&gt;&lt;/FQL&gt;&lt;FQL&gt;&lt;Q&gt;CX-US^P_BETA_LOCIDX(45593,45419,,"SPX")&lt;/Q&gt;&lt;R&gt;1&lt;/R&gt;&lt;C&gt;1&lt;/C&gt;&lt;D xsi:type="xsd:double"&gt;1.35722&lt;/D&gt;&lt;/FQL&gt;&lt;FQL&gt;&lt;Q&gt;CX-US^P_BETA_LOCIDX(45590,45418,,"SPX")&lt;/Q&gt;&lt;R&gt;1&lt;/R&gt;&lt;C&gt;1&lt;/C&gt;&lt;D xsi:type="xsd:double"&gt;1.3601567&lt;/D&gt;&lt;/FQL&gt;&lt;FQL&gt;&lt;Q&gt;CX-US^P_BETA_LOCIDX(45589,45415,,"SPX")&lt;/Q&gt;&lt;R&gt;1&lt;/R&gt;&lt;C&gt;1&lt;/C&gt;&lt;D xsi:type="xsd:double"&gt;1.3732195&lt;/D&gt;&lt;/FQL&gt;&lt;FQL&gt;&lt;Q&gt;CX-US^P_BETA_LOCIDX(45588,45414,,"SPX")&lt;/Q&gt;&lt;R&gt;1&lt;/R&gt;&lt;C&gt;1&lt;/C&gt;&lt;D xsi:type="xsd:double"&gt;1.3545702&lt;/D&gt;&lt;/FQL&gt;&lt;FQL&gt;&lt;Q&gt;CX-US^P_BETA_LOCIDX(45587,45413,,"SPX")&lt;/Q&gt;&lt;R&gt;1&lt;/R&gt;&lt;C&gt;1&lt;/C&gt;&lt;D xsi:type="xsd:double"&gt;1.3865571&lt;/D&gt;&lt;/FQL&gt;&lt;FQL&gt;&lt;Q&gt;CX-US^P_BETA_LOCIDX(45586,45412,,"SPX")&lt;/Q&gt;&lt;R&gt;1&lt;/R&gt;&lt;C&gt;1&lt;/C&gt;&lt;D xsi:type="xsd:double"&gt;1.3837508&lt;/D&gt;&lt;/FQL&gt;&lt;FQL&gt;&lt;Q&gt;CX-US^P_BETA_LOCIDX(45583,45411,,"SPX")&lt;/Q&gt;&lt;R&gt;1&lt;/R&gt;&lt;C&gt;1&lt;/C&gt;&lt;D xsi:type="xsd:double"&gt;1.3758825&lt;/D&gt;&lt;/FQL&gt;&lt;FQL&gt;&lt;Q&gt;CX-US^P_BETA_LOCIDX(45582,45408,,"SPX")&lt;/Q&gt;&lt;R&gt;1&lt;/R&gt;&lt;C&gt;1&lt;/C&gt;&lt;D xsi:type="xsd:double"&gt;1.3757919&lt;/D&gt;&lt;/FQL&gt;&lt;FQL&gt;&lt;Q&gt;CX-US^P_BETA_LOCIDX(45581,45407,,"SPX")&lt;/Q&gt;&lt;R&gt;1&lt;/R&gt;&lt;C&gt;1&lt;/C&gt;&lt;D xsi:type="xsd:double"&gt;1.364508&lt;/D&gt;&lt;/FQL&gt;&lt;FQL&gt;&lt;Q&gt;CX-US^P_BETA_LOCIDX(45580,45406,,"SPX")&lt;/Q&gt;&lt;R&gt;1&lt;/R&gt;&lt;C&gt;1&lt;/C&gt;&lt;D xsi:type="xsd:double"&gt;1.3664548&lt;/D&gt;&lt;/FQL&gt;&lt;FQL&gt;&lt;Q&gt;CX-US^P_BETA_LOCIDX(45579,45405,,"SPX")&lt;/Q&gt;&lt;R&gt;1&lt;/R&gt;&lt;C&gt;1&lt;/C&gt;&lt;D xsi:type="xsd:double"&gt;1.36263&lt;/D&gt;&lt;/FQL&gt;&lt;FQL&gt;&lt;Q&gt;CX-US^P_BETA_LOCIDX(45576,45404,,"SPX")&lt;/Q&gt;&lt;R&gt;1&lt;/R&gt;&lt;C&gt;1&lt;/C&gt;&lt;D xsi:type="xsd:double"&gt;1.396308&lt;/D&gt;&lt;/FQL&gt;&lt;FQL&gt;&lt;Q&gt;CX-US^P_BETA_LOCIDX(45575,45401,,"SPX")&lt;/Q&gt;&lt;R&gt;1&lt;/R&gt;&lt;C&gt;1&lt;/C&gt;&lt;D xsi:type="xsd:double"&gt;1.3950833&lt;/D&gt;&lt;/FQL&gt;&lt;FQL&gt;&lt;Q&gt;CX-US^P_BETA_LOCIDX(45574,45400,,"SPX")&lt;/Q&gt;&lt;R&gt;1&lt;/R&gt;&lt;C&gt;1&lt;/C&gt;&lt;D xsi:type="xsd:double"&gt;1.4068555&lt;/D&gt;&lt;/FQL&gt;&lt;FQL&gt;&lt;Q&gt;CX-US^P_BETA_LOCIDX(45573,45399,,"SPX")&lt;/Q&gt;&lt;R&gt;1&lt;/R&gt;&lt;C&gt;1&lt;/C&gt;&lt;D xsi:type="xsd:double"&gt;1.4260479&lt;/D&gt;&lt;/FQL&gt;&lt;FQL&gt;&lt;Q&gt;CX-US^P_BETA_LOCIDX(45572,45398,,"SPX")&lt;/Q&gt;&lt;R&gt;1&lt;/R&gt;&lt;C&gt;1&lt;/C&gt;&lt;D xsi:type="xsd:double"&gt;1.3986685&lt;/D&gt;&lt;/FQL&gt;&lt;FQL&gt;&lt;Q&gt;CX-US^P_BETA_LOCIDX(45569,45397,,"SPX")&lt;/Q&gt;&lt;R&gt;1&lt;/R&gt;&lt;C&gt;1&lt;/C&gt;&lt;D xsi:type="xsd:double"&gt;1.408643&lt;/D&gt;&lt;/FQL&gt;&lt;FQL&gt;&lt;Q&gt;CX-US^P_BETA_LOCIDX(45568,45394,,"SPX")&lt;/Q&gt;&lt;R&gt;1&lt;/R&gt;&lt;C&gt;1&lt;/C&gt;&lt;D xsi:type="xsd:double"&gt;1.4172654&lt;/D&gt;&lt;/FQL&gt;&lt;FQL&gt;&lt;Q&gt;CX-US^P_BETA_LOCIDX(45567,45393,,"SPX")&lt;/Q&gt;&lt;R&gt;1&lt;/R&gt;&lt;C&gt;1&lt;/C&gt;&lt;D xsi:type="xsd:double"&gt;1.4312618&lt;/D&gt;&lt;/FQL&gt;&lt;FQL&gt;&lt;Q&gt;CX-US^P_BETA_LOCIDX(45566,45392,,"SPX")&lt;/Q&gt;&lt;R&gt;1&lt;/R&gt;&lt;C&gt;1&lt;/C&gt;&lt;D xsi:type="xsd:double"&gt;1.434971&lt;/D&gt;&lt;/FQL&gt;&lt;FQL&gt;&lt;Q&gt;CX-US^P_BETA_LOCIDX(45565,45391,,"SPX")&lt;/Q&gt;&lt;R&gt;1&lt;/R&gt;&lt;C&gt;1&lt;/C&gt;&lt;D xsi:type="xsd:double"&gt;1.4183254&lt;/D&gt;&lt;/FQL&gt;&lt;FQL&gt;&lt;Q&gt;CX-US^P_BETA_LOCIDX(45562,45390,,"SPX")&lt;/Q&gt;&lt;R&gt;1&lt;/R&gt;&lt;C&gt;1&lt;/C&gt;&lt;D xsi:type="xsd:double"&gt;1.424837&lt;/D&gt;&lt;/FQL&gt;&lt;FQL&gt;&lt;Q&gt;CX-US^P_BETA_LOCIDX(45561,45387,,"SPX")&lt;/Q&gt;&lt;R&gt;1&lt;/R&gt;&lt;C&gt;1&lt;/C&gt;&lt;D xsi:type="xsd:double"&gt;1.401069&lt;/D&gt;&lt;/FQL&gt;&lt;FQL&gt;&lt;Q&gt;CX-US^P_BETA_LOCIDX(45560,45386,,"SPX")&lt;/Q&gt;&lt;R&gt;1&lt;/R&gt;&lt;C&gt;1&lt;/C&gt;&lt;D xsi:type="xsd:double"&gt;1.4188468&lt;/D&gt;&lt;/FQL&gt;&lt;FQL&gt;&lt;Q&gt;CX-US^P_BETA_LOCIDX(45559,45385,,"SPX")&lt;/Q&gt;&lt;R&gt;1&lt;/R&gt;&lt;C&gt;1&lt;/C&gt;&lt;D xsi:type="xsd:double"&gt;1.4157181&lt;/D&gt;&lt;/FQL&gt;&lt;FQL&gt;&lt;Q&gt;CX-US^P_BETA_LOCIDX(45558,45384,,"SPX")&lt;/Q&gt;&lt;R&gt;1&lt;/R&gt;&lt;C&gt;1&lt;/C&gt;&lt;D xsi:type="xsd:double"&gt;1.4067308&lt;/D&gt;&lt;/FQL&gt;&lt;FQL&gt;&lt;Q&gt;CX-US^P_BETA_LOCIDX(45555,45383,,"SPX")&lt;/Q&gt;&lt;R&gt;1&lt;/R&gt;&lt;C&gt;1&lt;/C&gt;&lt;D xsi:type="xsd:double"&gt;1.4035448&lt;/D&gt;&lt;/FQL&gt;&lt;FQL&gt;&lt;Q&gt;CX-US^P_BETA_LOCIDX(45554,45379,,"SPX")&lt;/Q&gt;&lt;R&gt;1&lt;/R&gt;&lt;C&gt;1&lt;/C&gt;&lt;D xsi:type="xsd:double"&gt;1.4099773&lt;/D&gt;&lt;/FQL&gt;&lt;FQL&gt;&lt;Q&gt;CX-US^P_BETA_LOCIDX(45553,45378,,"SPX")&lt;/Q&gt;&lt;R&gt;1&lt;/R&gt;&lt;C&gt;1&lt;/C&gt;&lt;D xsi:type="xsd:double"&gt;1.3911935&lt;/D&gt;&lt;/FQL&gt;&lt;FQL&gt;&lt;Q&gt;CX-US^P_BETA_LOCIDX(45552,45377,,"SPX")&lt;/Q&gt;&lt;R&gt;1&lt;/R&gt;&lt;C&gt;1&lt;/C&gt;&lt;D xsi:type="xsd:double"&gt;1.3850049&lt;/D&gt;&lt;/FQL&gt;&lt;FQL&gt;&lt;Q&gt;CX-US^P_BETA_LOCIDX(45551,45376,,"SPX")&lt;/Q&gt;&lt;R&gt;1&lt;/R&gt;&lt;C&gt;1&lt;/C&gt;&lt;D xsi:type="xsd:double"&gt;1.3824115&lt;/D&gt;&lt;/FQL&gt;&lt;FQL&gt;&lt;Q&gt;CX-US^P_BETA_LOCIDX(45548,45373,,"SPX")&lt;/Q&gt;&lt;R&gt;1&lt;/R&gt;&lt;C&gt;1&lt;/C&gt;&lt;D xsi:type="xsd:double"&gt;1.376914&lt;/D&gt;&lt;/FQL&gt;&lt;FQL&gt;&lt;Q&gt;CX-US^P_BETA_LOCIDX(45547,45372,,"SPX")&lt;/Q&gt;&lt;R&gt;1&lt;/R&gt;&lt;C&gt;1&lt;/C&gt;&lt;D xsi:type="xsd:double"&gt;1.3752884&lt;/D&gt;&lt;/FQL&gt;&lt;FQL&gt;&lt;Q&gt;CX-US^P_BETA_LOCIDX(45546,45371,,"SPX")&lt;/Q&gt;&lt;R&gt;1&lt;/R&gt;&lt;C&gt;1&lt;/C&gt;&lt;D xsi:type="xsd:double"&gt;1.3660451&lt;/D&gt;&lt;/FQL&gt;&lt;FQL&gt;&lt;Q&gt;CX-US^P_BETA_LOCIDX(45545,45370,,"SPX")&lt;/Q&gt;&lt;R&gt;1&lt;/R&gt;&lt;C&gt;1&lt;/C&gt;&lt;D xsi:type="xsd:double"&gt;1.3378743&lt;/D&gt;&lt;/FQL&gt;&lt;FQL&gt;&lt;Q&gt;CX-US^P_BETA_LOCIDX(45544,45369,,"SPX")&lt;/Q&gt;&lt;R&gt;1&lt;/R&gt;&lt;C&gt;1&lt;/C&gt;&lt;D xsi:type="xsd:double"&gt;1.3365833&lt;/D&gt;&lt;/FQL&gt;&lt;FQL&gt;&lt;Q&gt;CX-US^P_BETA_LOCIDX(45541,45366,,"SPX")&lt;/Q&gt;&lt;R&gt;1&lt;/R&gt;&lt;C&gt;1&lt;/C&gt;&lt;D xsi:type="xsd:double"&gt;1.3524157&lt;/D&gt;&lt;/FQL&gt;&lt;FQL&gt;&lt;Q&gt;CX-US^P_BETA_LOCIDX(45540,45365,,"SPX")&lt;/Q&gt;&lt;R&gt;1&lt;/R&gt;&lt;C&gt;1&lt;/C&gt;&lt;D xsi:type="xsd:double"&gt;1.3334532&lt;/D&gt;&lt;/FQL&gt;&lt;FQL&gt;&lt;Q&gt;CX-US^P_BETA_LOCIDX(45539,45364,,"SPX")&lt;/Q&gt;&lt;R&gt;1&lt;/R&gt;&lt;C&gt;1&lt;/C&gt;&lt;D xsi:type="xsd:double"&gt;1.337077&lt;/D&gt;&lt;/FQL&gt;&lt;FQL&gt;&lt;Q&gt;CX-US^P_BETA_LOCIDX(45538,45363,,"SPX")&lt;/Q&gt;&lt;R&gt;1&lt;/R&gt;&lt;C&gt;1&lt;/C&gt;&lt;D xsi:type="xsd:double"&gt;1.3098614&lt;/D&gt;&lt;/FQL&gt;&lt;FQL&gt;&lt;Q&gt;CX-US^P_BETA_LOCIDX(45534,45362,,"SPX")&lt;/Q&gt;&lt;R&gt;1&lt;/R&gt;&lt;C&gt;1&lt;/C&gt;&lt;D xsi:type="xsd:double"&gt;1.3064638&lt;/D&gt;&lt;/FQL&gt;&lt;FQL&gt;&lt;Q&gt;CX-US^P_BETA_LOCIDX(45533,45359,,"SPX")&lt;/Q&gt;&lt;R&gt;1&lt;/R&gt;&lt;C&gt;1&lt;/C&gt;&lt;D xsi:type="xsd:double"&gt;1.291413&lt;/D&gt;&lt;/FQL&gt;&lt;FQL&gt;&lt;Q&gt;CX-US^P_BETA_LOCIDX(45532,45358,,"SPX")&lt;/Q&gt;&lt;R&gt;1&lt;/R&gt;&lt;C&gt;1&lt;/C&gt;&lt;D xsi:type="xsd:double"&gt;1.2862608&lt;/D&gt;&lt;/FQL&gt;&lt;FQL&gt;&lt;Q&gt;CX-US^P_BETA_LOCIDX(45531,45357,,"SPX")&lt;/Q&gt;&lt;R&gt;1&lt;/R&gt;&lt;C&gt;1&lt;/C&gt;&lt;D xsi:type="xsd:double"&gt;1.305136&lt;/D&gt;&lt;/FQL&gt;&lt;FQL&gt;&lt;Q&gt;CX-US^P_BETA_LOCIDX(45530,45356,,"SPX")&lt;/Q&gt;&lt;R&gt;1&lt;/R&gt;&lt;C&gt;1&lt;/C&gt;&lt;D xsi:type="xsd:double"&gt;1.2986622&lt;/D&gt;&lt;/FQL&gt;&lt;FQL&gt;&lt;Q&gt;CX-US^P_BETA_LOCIDX(45527,45355,,"SPX")&lt;/Q&gt;&lt;R&gt;1&lt;/R&gt;&lt;C&gt;1&lt;/C&gt;&lt;D xsi:type="xsd:double"&gt;1.2845331&lt;/D&gt;&lt;/FQL&gt;&lt;FQL&gt;&lt;Q&gt;CX-US^P_BETA_LOCIDX(45526,45352,,"SPX")&lt;/Q&gt;&lt;R&gt;1&lt;/R&gt;&lt;C&gt;1&lt;/C&gt;&lt;D xsi:type="xsd:double"&gt;1.2736814&lt;/D&gt;&lt;/FQL&gt;&lt;FQL&gt;&lt;Q&gt;CX-US^P_BETA_LOCIDX(45525,45351,,"SPX")&lt;/Q&gt;&lt;R&gt;1&lt;/R&gt;&lt;C&gt;1&lt;/C&gt;&lt;D xsi:type="xsd:double"&gt;1.269979&lt;/D&gt;&lt;/FQL&gt;&lt;FQL&gt;&lt;Q&gt;CX-US^P_BETA_LOCIDX(45524,45350,,"SPX")&lt;/Q&gt;&lt;R&gt;1&lt;/R&gt;&lt;C&gt;1&lt;/C&gt;&lt;D xsi:type="xsd:double"&gt;1.2873071&lt;/D&gt;&lt;/FQL&gt;&lt;FQL&gt;&lt;Q&gt;CX-US^P_BETA_LOCIDX(45523,45349,,"SPX")&lt;/Q&gt;&lt;R&gt;1&lt;/R&gt;&lt;C&gt;1&lt;/C&gt;&lt;D xsi:type="xsd:double"&gt;1.2816854&lt;/D&gt;&lt;/FQL&gt;&lt;FQL&gt;&lt;Q&gt;CX-US^P_BETA_LOCIDX(45520,45348,,"SPX")&lt;/Q&gt;&lt;R&gt;1&lt;/R&gt;&lt;C&gt;1&lt;/C&gt;&lt;D xsi:type="xsd:double"&gt;1.2970306&lt;/D&gt;&lt;/FQL&gt;&lt;FQL&gt;&lt;Q&gt;CX-US^P_BETA_LOCIDX(45519,45345,,"SPX")&lt;/Q&gt;&lt;R&gt;1&lt;/R&gt;&lt;C&gt;1&lt;/C&gt;&lt;D xsi:type="xsd:double"&gt;1.2997626&lt;/D&gt;&lt;/FQL&gt;&lt;FQL&gt;&lt;Q&gt;CX-US^P_BETA_LOCIDX(45518,45344,,"SPX")&lt;/Q&gt;&lt;R&gt;1&lt;/R&gt;&lt;C&gt;1&lt;/C&gt;&lt;D xsi:type="xsd:double"&gt;1.1578988&lt;/D&gt;&lt;/FQL&gt;&lt;FQL&gt;&lt;Q&gt;CX-US^P_BETA_LOCIDX(45517,45343,,"SPX")&lt;/Q&gt;&lt;R&gt;1&lt;/R&gt;&lt;C&gt;1&lt;/C&gt;&lt;D xsi:type="xsd:double"&gt;1.1560634&lt;/D&gt;&lt;/FQL&gt;&lt;FQL&gt;&lt;Q&gt;CX-US^P_BETA_LOCIDX(45516,45342,,"SPX")&lt;/Q&gt;&lt;R&gt;1&lt;/R&gt;&lt;C&gt;1&lt;/C&gt;&lt;D xsi:type="xsd:double"&gt;1.163668&lt;/D&gt;&lt;/FQL&gt;&lt;FQL&gt;&lt;Q&gt;CX-US^P_BETA_LOCIDX(45513,45338,,"SPX")&lt;/Q&gt;&lt;R&gt;1&lt;/R&gt;&lt;C&gt;1&lt;/C&gt;&lt;D xsi:type="xsd:double"&gt;1.1443971&lt;/D&gt;&lt;/FQL&gt;&lt;FQL&gt;&lt;Q&gt;CX-US^P_BETA_LOCIDX(45512,45337,,"SPX")&lt;/Q&gt;&lt;R&gt;1&lt;/R&gt;&lt;C&gt;1&lt;/C&gt;&lt;D xsi:type="xsd:double"&gt;1.1526822&lt;/D&gt;&lt;/FQL&gt;&lt;FQL&gt;&lt;Q&gt;CX-US^P_BETA_LOCIDX(45511,45336,,"SPX")&lt;/Q&gt;&lt;R&gt;1&lt;/R&gt;&lt;C&gt;1&lt;/C&gt;&lt;D xsi:type="xsd:double"&gt;1.1235873&lt;/D&gt;&lt;/FQL&gt;&lt;FQL&gt;&lt;Q&gt;CX-US^P_BETA_LOCIDX(45510,45335,,"SPX")&lt;/Q&gt;&lt;R&gt;1&lt;/R&gt;&lt;C&gt;1&lt;/C&gt;&lt;D xsi:type="xsd:double"&gt;1.158244&lt;/D&gt;&lt;/FQL&gt;&lt;FQL&gt;&lt;Q&gt;CX-US^P_BETA_LOCIDX(45509,45334,,"SPX")&lt;/Q&gt;&lt;R&gt;1&lt;/R&gt;&lt;C&gt;1&lt;/C&gt;&lt;D xsi:type="xsd:double"&gt;1.1390828&lt;/D&gt;&lt;/FQL&gt;&lt;FQL&gt;&lt;Q&gt;CX-US^P_BETA_LOCIDX(45506,45331,,"SPX")&lt;/Q&gt;&lt;R&gt;1&lt;/R&gt;&lt;C&gt;1&lt;/C&gt;&lt;D xsi:type="xsd:double"&gt;1.2406883&lt;/D&gt;&lt;/FQL&gt;&lt;FQL&gt;&lt;Q&gt;CX-US^P_BETA_LOCIDX(45505,45330,,"SPX")&lt;/Q&gt;&lt;R&gt;1&lt;/R&gt;&lt;C&gt;1&lt;/C&gt;&lt;D xsi:type="xsd:double"&gt;1.2187299&lt;/D&gt;&lt;/FQL&gt;&lt;FQL&gt;&lt;Q&gt;CX-US^P_BETA_LOCIDX(45504,45329,,"SPX")&lt;/Q&gt;&lt;R&gt;1&lt;/R&gt;&lt;C&gt;1&lt;/C&gt;&lt;D xsi:type="xsd:double"&gt;1.2039258&lt;/D&gt;&lt;/FQL&gt;&lt;FQL&gt;&lt;Q&gt;CX-US^P_BETA_LOCIDX(45503,45328,,"SPX")&lt;/Q&gt;&lt;R&gt;1&lt;/R&gt;&lt;C&gt;1&lt;/C&gt;&lt;D xsi:type="xsd:double"&gt;1.1938559&lt;/D&gt;&lt;/FQL&gt;&lt;FQL&gt;&lt;Q&gt;CX-US^P_BETA_LOCIDX(45502,45327,,"SPX")&lt;/Q&gt;&lt;R&gt;1&lt;/R&gt;&lt;C&gt;1&lt;/C&gt;&lt;D xsi:type="xsd:double"&gt;1.1838846&lt;/D&gt;&lt;/FQL&gt;&lt;FQL&gt;&lt;Q&gt;CX-US^P_BETA_LOCIDX(45499,45324,,"SPX")&lt;/Q&gt;&lt;R&gt;1&lt;/R&gt;&lt;C&gt;1&lt;/C&gt;&lt;D xsi:type="xsd:double"&gt;1.1974313&lt;/D&gt;&lt;/FQL&gt;&lt;FQL&gt;&lt;Q&gt;CX-US^P_BETA_LOCIDX(45498,45323,,"SPX")&lt;/Q&gt;&lt;R&gt;1&lt;/R&gt;&lt;C&gt;1&lt;/C&gt;&lt;D xsi:type="xsd:double"&gt;1.2110549&lt;/D&gt;&lt;/FQL&gt;&lt;FQL&gt;&lt;Q&gt;CX-US^P_BETA_LOCIDX(45497,45322,,"SPX")&lt;/Q&gt;&lt;R&gt;1&lt;/R&gt;&lt;C&gt;1&lt;/C&gt;&lt;D xsi:type="xsd:double"&gt;1.2061895&lt;/D&gt;&lt;/FQL&gt;&lt;FQL&gt;&lt;Q&gt;CX-US^P_BETA_LOCIDX(45496,45321,,"SPX")&lt;/Q&gt;&lt;R&gt;1&lt;/R&gt;&lt;C&gt;1&lt;/C&gt;&lt;D xsi:type="xsd:double"&gt;1.1531192&lt;/D&gt;&lt;/FQL&gt;&lt;FQL&gt;&lt;Q&gt;CX-US^P_BETA_LOCIDX(45495,45320,,"SPX")&lt;/Q&gt;&lt;R&gt;1&lt;/R&gt;&lt;C&gt;1&lt;/C&gt;&lt;D xsi:type="xsd:double"&gt;1.1633985&lt;/D&gt;&lt;/FQL&gt;&lt;FQL&gt;&lt;Q&gt;CX-US^P_BETA_LOCIDX(45492,45317,,"SPX")&lt;/Q&gt;&lt;R&gt;1&lt;/R&gt;&lt;C&gt;1&lt;/C&gt;&lt;D xsi:type="xsd:double"&gt;1.092604&lt;/D&gt;&lt;/FQL&gt;&lt;FQL&gt;&lt;Q&gt;CX-US^P_BETA_LOCIDX(45491,45316,,"SPX")&lt;/Q&gt;&lt;R&gt;1&lt;/R&gt;&lt;C&gt;1&lt;/C&gt;&lt;D xsi:type="xsd:double"&gt;1.0992019&lt;/D&gt;&lt;/FQL&gt;&lt;FQL&gt;&lt;Q&gt;CX-US^P_BETA_LOCIDX(45490,45315,,"SPX")&lt;/Q&gt;&lt;R&gt;1&lt;/R&gt;&lt;C&gt;1&lt;/C&gt;&lt;D xsi:type="xsd:double"&gt;1.0826386&lt;/D&gt;&lt;/FQL&gt;&lt;FQL&gt;&lt;Q&gt;CX-US^P_BETA_LOCIDX(45489,45314,,"SPX")&lt;/Q&gt;&lt;R&gt;1&lt;/R&gt;&lt;C&gt;1&lt;/C&gt;&lt;D xsi:type="xsd:double"&gt;0.97181755&lt;/D&gt;&lt;/FQL&gt;&lt;FQL&gt;&lt;Q&gt;CX-US^P_BETA_LOCIDX(45488,45313,,"SPX")&lt;/Q&gt;&lt;R&gt;1&lt;/R&gt;&lt;C&gt;1&lt;/C&gt;&lt;D xsi:type="xsd:double"&gt;0.9581124&lt;/D&gt;&lt;/FQL&gt;&lt;FQL&gt;&lt;Q&gt;CX-US^P_BETA_LOCIDX(45485,45310,,"SPX")&lt;/Q&gt;&lt;R&gt;1&lt;/R&gt;&lt;C&gt;1&lt;/C&gt;&lt;D xsi:type="xsd:double"&gt;0.9573794&lt;/D&gt;&lt;/FQL&gt;&lt;FQL&gt;&lt;Q&gt;CX-US^P_BETA_LOCIDX(45484,45309,,"SPX")&lt;/Q&gt;&lt;R&gt;1&lt;/R&gt;&lt;C&gt;1&lt;/C&gt;&lt;D xsi:type="xsd:double"&gt;0.9427352&lt;/D&gt;&lt;/FQL&gt;&lt;FQL&gt;&lt;Q&gt;CX-US^P_BETA_LOCIDX(45483,45308,,"SPX")&lt;/Q&gt;&lt;R&gt;1&lt;/R&gt;&lt;C&gt;1&lt;/C&gt;&lt;D xsi:type="xsd:double"&gt;0.9943485&lt;/D&gt;&lt;/FQL&gt;&lt;FQL&gt;&lt;Q&gt;CX-US^P_BETA_LOCIDX(45482,45307,,"SPX")&lt;/Q&gt;&lt;R&gt;1&lt;/R&gt;&lt;C&gt;1&lt;/C&gt;&lt;D xsi:type="xsd:double"&gt;0.94576794&lt;/D&gt;&lt;/FQL&gt;&lt;FQL&gt;&lt;Q&gt;CX-US^P_BETA_LOCIDX(45481,45303,,"SPX")&lt;/Q&gt;&lt;R&gt;1&lt;/R&gt;&lt;C&gt;1&lt;/C&gt;&lt;D xsi:type="xsd:double"&gt;0.9451847&lt;/D&gt;&lt;/FQL&gt;&lt;FQL&gt;&lt;Q&gt;CX-US^P_BETA_LOCIDX(45478,45302,,"SPX")&lt;/Q&gt;&lt;R&gt;1&lt;/R&gt;&lt;C&gt;1&lt;/C&gt;&lt;D xsi:type="xsd:double"&gt;0.9467441&lt;/D&gt;&lt;/FQL&gt;&lt;FQL&gt;&lt;Q&gt;CX-US^P_BETA_LOCIDX(45476,45301,,"SPX")&lt;/Q&gt;&lt;R&gt;1&lt;/R&gt;&lt;C&gt;1&lt;/C&gt;&lt;D xsi:type="xsd:double"&gt;0.95388824&lt;/D&gt;&lt;/FQL&gt;&lt;FQL&gt;&lt;Q&gt;CX-US^P_BETA_LOCIDX(45475,45300,,"SPX")&lt;/Q&gt;&lt;R&gt;1&lt;/R&gt;&lt;C&gt;1&lt;/C&gt;&lt;D xsi:type="xsd:double"&gt;0.9443992&lt;/D&gt;&lt;/FQL&gt;&lt;FQL&gt;&lt;Q&gt;CX-US^P_BETA_LOCIDX(45474,45299,,"SPX")&lt;/Q&gt;&lt;R&gt;1&lt;/R&gt;&lt;C&gt;1&lt;/C&gt;&lt;D xsi:type="xsd:double"&gt;0.96088916&lt;/D&gt;&lt;/FQL&gt;&lt;FQL&gt;&lt;Q&gt;CX-US^P_BETA_LOCIDX(45471,45296,,"SPX")&lt;/Q&gt;&lt;R&gt;1&lt;/R&gt;&lt;C&gt;1&lt;/C&gt;&lt;D xsi:type="xsd:double"&gt;0.9687019&lt;/D&gt;&lt;/FQL&gt;&lt;FQL&gt;&lt;Q&gt;CX-US^P_BETA_LOCIDX(45470,45295,,"SPX")&lt;/Q&gt;&lt;R&gt;1&lt;/R&gt;&lt;C&gt;1&lt;/C&gt;&lt;D xsi:type="xsd:double"&gt;0.97661453&lt;/D&gt;&lt;/FQL&gt;&lt;FQL&gt;&lt;Q&gt;CX-US^P_BETA_LOCIDX(45469,45294,,"SPX")&lt;/Q&gt;&lt;R&gt;1&lt;/R&gt;&lt;C&gt;1&lt;/C&gt;&lt;D xsi:type="xsd:double"&gt;1.0015657&lt;/D&gt;&lt;/FQL&gt;&lt;FQL&gt;&lt;Q&gt;CX-US^P_BETA_LOCIDX(45468,45293,,"SPX")&lt;/Q&gt;&lt;R&gt;1&lt;/R&gt;&lt;C&gt;1&lt;/C&gt;&lt;D xsi:type="xsd:double"&gt;1.0137808&lt;/D&gt;&lt;/FQL&gt;&lt;FQL&gt;&lt;Q&gt;CX-US^P_BETA_LOCIDX(45467,45289,,"SPX")&lt;/Q&gt;&lt;R&gt;1&lt;/R&gt;&lt;C&gt;1&lt;/C&gt;&lt;D xsi:type="xsd:double"&gt;1.0246979&lt;/D&gt;&lt;/FQL&gt;&lt;FQL&gt;&lt;Q&gt;CX-US^P_BETA_LOCIDX(45464,45288,,"SPX")&lt;/Q&gt;&lt;R&gt;1&lt;/R&gt;&lt;C&gt;1&lt;/C&gt;&lt;D xsi:type="xsd:double"&gt;1.0406754&lt;/D&gt;&lt;/FQL&gt;&lt;FQL&gt;&lt;Q&gt;CX-US^P_BETA_LOCIDX(45463,45287,,"SPX")&lt;/Q&gt;&lt;R&gt;1&lt;/R&gt;&lt;C&gt;1&lt;/C&gt;&lt;D xsi:type="xsd:double"&gt;1.0352076&lt;/D&gt;&lt;/FQL&gt;&lt;FQL&gt;&lt;Q&gt;CX-US^P_BETA_LOCIDX(45461,45286,,"SPX")&lt;/Q&gt;&lt;R&gt;1&lt;/R&gt;&lt;C&gt;1&lt;/C&gt;&lt;D xsi:type="xsd:double"&gt;1.0235457&lt;/D&gt;&lt;/FQL&gt;&lt;FQL&gt;&lt;Q&gt;CX-US^P_BETA_LOCIDX(45460,45282,,"SPX")&lt;/Q&gt;&lt;R&gt;1&lt;/R&gt;&lt;C&gt;1&lt;/C&gt;&lt;D xsi:type="xsd:double"&gt;1.025517&lt;/D&gt;&lt;/FQL&gt;&lt;FQL&gt;&lt;Q&gt;CX-US^P_BETA_LOCIDX(45457,45281,,"SPX")&lt;/Q&gt;&lt;R&gt;1&lt;/R&gt;&lt;C&gt;1&lt;/C&gt;&lt;D xsi:type="xsd:double"&gt;1.060095&lt;/D&gt;&lt;/FQL&gt;&lt;FQL&gt;&lt;Q&gt;CX-US^P_BETA_LOCIDX(45456,45280,,"SPX")&lt;/Q&gt;&lt;R&gt;1&lt;/R&gt;&lt;C&gt;1&lt;/C&gt;&lt;D xsi:type="xsd:double"&gt;1.057918&lt;/D&gt;&lt;/FQL&gt;&lt;FQL&gt;&lt;Q&gt;CX-US^P_BETA_LOCIDX(45455,45279,,"SPX")&lt;/Q&gt;&lt;R&gt;1&lt;/R&gt;&lt;C&gt;1&lt;/C&gt;&lt;D xsi:type="xsd:double"&gt;1.0669066&lt;/D&gt;&lt;/FQL&gt;&lt;FQL&gt;&lt;Q&gt;CX-US^P_BETA_LOCIDX(45454,45278,,"SPX")&lt;/Q&gt;&lt;R&gt;1&lt;/R&gt;&lt;C&gt;1&lt;/C&gt;&lt;D xsi:type="xsd:double"&gt;1.0449619&lt;/D&gt;&lt;/FQL&gt;&lt;FQL&gt;&lt;Q&gt;CX-US^P_BETA_LOCIDX(45453,45275,,"SPX")&lt;/Q&gt;&lt;R&gt;1&lt;/R&gt;&lt;C&gt;1&lt;/C&gt;&lt;D xsi:type="xsd:double"&gt;1.0552077&lt;/D&gt;&lt;/FQL&gt;&lt;FQL&gt;&lt;Q&gt;CX-US^P_BETA_LOCIDX(45450,45274,,"SPX")&lt;/Q&gt;&lt;R&gt;1&lt;/R&gt;&lt;C&gt;1&lt;/C&gt;&lt;D xsi:type="xsd:double"&gt;1.0665399&lt;/D&gt;&lt;/FQL&gt;&lt;FQL&gt;&lt;Q&gt;CX-US^P_BETA_LOCIDX(45449,45273,,"SPX")&lt;/Q&gt;&lt;R&gt;1&lt;/R&gt;&lt;C&gt;1&lt;/C&gt;&lt;D xsi:type="xsd:double"&gt;1.1230428&lt;/D&gt;&lt;/FQL&gt;&lt;FQL&gt;&lt;Q&gt;CX-US^P_BETA_LOCIDX(45448,45272,,"SPX")&lt;/Q&gt;&lt;R&gt;1&lt;/R&gt;&lt;C&gt;1&lt;/C&gt;&lt;D xsi:type="xsd:double"&gt;1.1176326&lt;/D&gt;&lt;/FQL&gt;&lt;FQL&gt;&lt;Q&gt;CX-US^P_BETA_LOCIDX(45447,45271,,"SPX")&lt;/Q&gt;&lt;R&gt;1&lt;/R&gt;&lt;C&gt;1&lt;/C&gt;&lt;D xsi:type="xsd:double"&gt;1.097193&lt;/D&gt;&lt;/FQL&gt;&lt;FQL&gt;&lt;Q&gt;CX-US^P_BETA_LOCIDX(45446,45268,,"SPX")&lt;/Q&gt;&lt;R&gt;1&lt;/R&gt;&lt;C&gt;1&lt;/C&gt;&lt;D xsi:type="xsd:double"&gt;1.1018919&lt;/D&gt;&lt;/FQL&gt;&lt;FQL&gt;&lt;Q&gt;CX-US^P_BETA_LOCIDX(45443,45267,,"SPX")&lt;/Q&gt;&lt;R&gt;1&lt;/R&gt;&lt;C&gt;1&lt;/C&gt;&lt;D xsi:type="xsd:double"&gt;1.0930017&lt;/D&gt;&lt;/FQL&gt;&lt;FQL&gt;&lt;Q&gt;CX-US^P_BETA_LOCIDX(45442,45266,,"SPX")&lt;/Q&gt;&lt;R&gt;1&lt;/R&gt;&lt;C&gt;1&lt;/C&gt;&lt;D xsi:type="xsd:double"&gt;1.1072319&lt;/D&gt;&lt;/FQL&gt;&lt;FQL&gt;&lt;Q&gt;CX-US^P_BETA_LOCIDX(45441,45265,,"SPX")&lt;/Q&gt;&lt;R&gt;1&lt;/R&gt;&lt;C&gt;1&lt;/C&gt;&lt;D xsi:type="xsd:double"&gt;1.1372142&lt;/D&gt;&lt;/FQL&gt;&lt;FQL&gt;&lt;Q&gt;CX-US^P_BETA_LOCIDX(45440,45264,,"SPX")&lt;/Q&gt;&lt;R&gt;1&lt;/R&gt;&lt;C&gt;1&lt;/C&gt;&lt;D xsi:type="xsd:double"&gt;1.1544176&lt;/D&gt;&lt;/FQL&gt;&lt;FQL&gt;&lt;Q&gt;CX-US^P_BETA_LOCIDX(45436,45261,,"SPX")&lt;/Q&gt;&lt;R&gt;1&lt;/R&gt;&lt;C&gt;1&lt;/C&gt;&lt;D xsi:type="xsd:double"&gt;1.1821703&lt;/D&gt;&lt;/FQL&gt;&lt;FQL&gt;&lt;Q&gt;CX-US^P_BETA_LOCIDX(45435,45260,,"SPX")&lt;/Q&gt;&lt;R&gt;1&lt;/R&gt;&lt;C&gt;1&lt;/C&gt;&lt;D xsi:type="xsd:double"&gt;1.1842618&lt;/D&gt;&lt;/FQL&gt;&lt;FQL&gt;&lt;Q&gt;CX-US^P_BETA_LOCIDX(45434,45259,,"SPX")&lt;/Q&gt;&lt;R&gt;1&lt;/R&gt;&lt;C&gt;1&lt;/C&gt;&lt;D xsi:type="xsd:double"&gt;1.1844288&lt;/D&gt;&lt;/FQL&gt;&lt;FQL&gt;&lt;Q&gt;CX-US^P_BETA_LOCIDX(45433,45258,,"SPX")&lt;/Q&gt;&lt;R&gt;1&lt;/R&gt;&lt;C&gt;1&lt;/C&gt;&lt;D xsi:type="xsd:double"&gt;1.1736928&lt;/D&gt;&lt;/FQL&gt;&lt;FQL&gt;&lt;Q&gt;CX-US^P_BETA_LOCIDX(45432,45257,,"SPX")&lt;/Q&gt;&lt;R&gt;1&lt;/R&gt;&lt;C&gt;1&lt;/C&gt;&lt;D xsi:type="xsd:double"&gt;1.1775621&lt;/D&gt;&lt;/FQL&gt;&lt;FQL&gt;&lt;Q&gt;CX-US^P_BETA_LOCIDX(45429,45254,,"SPX")&lt;/Q&gt;&lt;R&gt;1&lt;/R&gt;&lt;C&gt;1&lt;/C&gt;&lt;D xsi:type="xsd:double"&gt;1.1788445&lt;/D&gt;&lt;/FQL&gt;&lt;FQL&gt;&lt;Q&gt;CX-US^P_BETA_LOCIDX(45428,45252,,"SPX")&lt;/Q&gt;&lt;R&gt;1&lt;/R&gt;&lt;C&gt;1&lt;/C&gt;&lt;D xsi:type="xsd:double"&gt;1.172217&lt;/D&gt;&lt;/FQL&gt;&lt;FQL&gt;&lt;Q&gt;CX-US^P_BETA_LOCIDX(45427,45251,,"SPX")&lt;/Q&gt;&lt;R&gt;1&lt;/R&gt;&lt;C&gt;1&lt;/C&gt;&lt;D xsi:type="xsd:double"&gt;1.1593615&lt;/D&gt;&lt;/FQL&gt;&lt;FQL&gt;&lt;Q&gt;CX-US^P_BETA_LOCIDX(45426,45250,,"SPX")&lt;/Q&gt;&lt;R&gt;1&lt;/R&gt;&lt;C&gt;1&lt;/C&gt;&lt;D xsi:type="xsd:double"&gt;1.1365445&lt;/D&gt;&lt;/FQL&gt;&lt;FQL&gt;&lt;Q&gt;CX-US^P_BETA_LOCIDX(45425,45247,,"SPX")&lt;/Q&gt;&lt;R&gt;1&lt;/R&gt;&lt;C&gt;1&lt;/C&gt;&lt;D xsi:type="xsd:double"&gt;1.1432041&lt;/D&gt;&lt;/FQL&gt;&lt;FQL&gt;&lt;Q&gt;CX-US^P_BETA_LOCIDX(45422,45246,,"SPX")&lt;/Q&gt;&lt;R&gt;1&lt;/R&gt;&lt;C&gt;1&lt;/C&gt;&lt;D xsi:type="xsd:double"&gt;1.1434734&lt;/D&gt;&lt;/FQL&gt;&lt;FQL&gt;&lt;Q&gt;CX-US^P_BETA_LOCIDX(45421,45245,,"SPX")&lt;/Q&gt;&lt;R&gt;1&lt;/R&gt;&lt;C&gt;1&lt;/C&gt;&lt;D xsi:type="xsd:double"&gt;1.1421778&lt;/D&gt;&lt;/FQL&gt;&lt;FQL&gt;&lt;Q&gt;CX-US^P_BETA_LOCIDX(45420,45244,,"SPX")&lt;/Q&gt;&lt;R&gt;1&lt;/R&gt;&lt;C&gt;1&lt;/C&gt;&lt;D xsi:type="xsd:double"&gt;1.1799136&lt;/D&gt;&lt;/FQL&gt;&lt;FQL&gt;&lt;Q&gt;CX-US^P_BETA_LOCIDX(45419,45243,,"SPX")&lt;/Q&gt;&lt;R&gt;1&lt;/R&gt;&lt;C&gt;1&lt;/C&gt;&lt;D xsi:type="xsd:double"&gt;1.1833335&lt;/D&gt;&lt;/FQL&gt;&lt;FQL&gt;&lt;Q&gt;CX-US^P_BETA_LOCIDX(45418,45240,,"SPX")&lt;/Q&gt;&lt;R&gt;1&lt;/R&gt;&lt;C&gt;1&lt;/C&gt;&lt;D xsi:type="xsd:double"&gt;1.1817783&lt;/D&gt;&lt;/FQL&gt;&lt;FQL&gt;&lt;Q&gt;CX-US^P_BETA_LOCIDX(45415,45239,,"SPX")&lt;/Q&gt;&lt;R&gt;1&lt;/R&gt;&lt;C&gt;1&lt;/C&gt;&lt;D xsi:type="xsd:double"&gt;1.2012187&lt;/D&gt;&lt;/FQL&gt;&lt;FQL&gt;&lt;Q&gt;CX-US^P_BETA_LOCIDX(45414,45238,,"SPX")&lt;/Q&gt;&lt;R&gt;1&lt;/R&gt;&lt;C&gt;1&lt;/C&gt;&lt;D xsi:type="xsd:double"&gt;1.1856954&lt;/D&gt;&lt;/FQL&gt;&lt;FQL&gt;&lt;Q&gt;CX-US^P_BETA_LOCIDX(45413,45237,,"SPX")&lt;/Q&gt;&lt;R&gt;1&lt;/R&gt;&lt;C&gt;1&lt;/C&gt;&lt;D xsi:type="xsd:double"&gt;1.2124277&lt;/D&gt;&lt;/FQL&gt;&lt;FQL&gt;&lt;Q&gt;CX-US^P_BETA_LOCIDX(45412,45236,,"SPX")&lt;/Q&gt;&lt;R&gt;1&lt;/R&gt;&lt;C&gt;1&lt;/C&gt;&lt;D xsi:type="xsd:double"&gt;1.2126943&lt;/D&gt;&lt;/FQL&gt;&lt;FQL&gt;&lt;Q&gt;CX-US^P_BETA_LOCIDX(45411,45233,,"SPX")&lt;/Q&gt;&lt;R&gt;1&lt;/R&gt;&lt;C&gt;1&lt;/C&gt;&lt;D xsi:type="xsd:double"&gt;1.2357386&lt;/D&gt;&lt;/FQL&gt;&lt;FQL&gt;&lt;Q&gt;CX-US^P_BETA_LOCIDX(45408,45232,,"SPX")&lt;/Q&gt;&lt;R&gt;1&lt;/R&gt;&lt;C&gt;1&lt;/C&gt;&lt;D xsi:type="xsd:double"&gt;1.3094246&lt;/D&gt;&lt;/FQL&gt;&lt;FQL&gt;&lt;Q&gt;CX-US^P_BETA_LOCIDX(45407,45231,,"SPX")&lt;/Q&gt;&lt;R&gt;1&lt;/R&gt;&lt;C&gt;1&lt;/C&gt;&lt;D xsi:type="xsd:double"&gt;1.3345157&lt;/D&gt;&lt;/FQL&gt;&lt;FQL&gt;&lt;Q&gt;CX-US^P_BETA_LOCIDX(45406,45230,,"SPX")&lt;/Q&gt;&lt;R&gt;1&lt;/R&gt;&lt;C&gt;1&lt;/C&gt;&lt;D xsi:type="xsd:double"&gt;1.344185&lt;/D&gt;&lt;/FQL&gt;&lt;FQL&gt;&lt;Q&gt;CX-US^P_BETA_LOCIDX(45405,45229,,"SPX")&lt;/Q&gt;&lt;R&gt;1&lt;/R&gt;&lt;C&gt;1&lt;/C&gt;&lt;D xsi:type="xsd:double"&gt;1.3086832&lt;/D&gt;&lt;/FQL&gt;&lt;FQL&gt;&lt;Q&gt;CX-US^P_BETA_LOCIDX(45404,45226,,"SPX")&lt;/Q&gt;&lt;R&gt;1&lt;/R&gt;&lt;C&gt;1&lt;/C&gt;&lt;D xsi:type="xsd:double"&gt;1.354302&lt;/D&gt;&lt;/FQL&gt;&lt;FQL&gt;&lt;Q&gt;CX-US^P_BETA_LOCIDX(45401,45225,,"SPX")&lt;/Q&gt;&lt;R&gt;1&lt;/R&gt;&lt;C&gt;1&lt;/C&gt;&lt;D xsi:type="xsd:double"&gt;1.2358922&lt;/D&gt;&lt;/FQL&gt;&lt;FQL&gt;&lt;Q&gt;CX-US^P_BETA_LOCIDX(45400,45224,,"SPX")&lt;/Q&gt;&lt;R&gt;1&lt;/R&gt;&lt;C&gt;1&lt;/C&gt;&lt;D xsi:type="xsd:double"&gt;1.1672164&lt;/D&gt;&lt;/FQL&gt;&lt;FQL&gt;&lt;Q&gt;CX-US^P_BETA_LOCIDX(45399,45223,,"SPX")&lt;/Q&gt;&lt;R&gt;1&lt;/R&gt;&lt;C&gt;1&lt;/C&gt;&lt;D xsi:type="xsd:double"&gt;1.152226&lt;/D&gt;&lt;/FQL&gt;&lt;FQL&gt;&lt;Q&gt;CX-US^P_BETA_LOCIDX(45398,45222,,"SPX")&lt;/Q&gt;&lt;R&gt;1&lt;/R&gt;&lt;C&gt;1&lt;/C&gt;&lt;D xsi:type="xsd:double"&gt;1.1330475&lt;/D&gt;&lt;/FQL&gt;&lt;FQL&gt;&lt;Q&gt;CX-US^P_BETA_LOCIDX(45397,45219,,"SPX")&lt;/Q&gt;&lt;R&gt;1&lt;/R&gt;&lt;C&gt;1&lt;/C&gt;&lt;D xsi:type="xsd:double"&gt;1.1164496&lt;/D&gt;&lt;/FQL&gt;&lt;FQL&gt;&lt;Q&gt;CX-US^P_BETA_LOCIDX(45394,45218,,"SPX")&lt;/Q&gt;&lt;R&gt;1&lt;/R&gt;&lt;C&gt;1&lt;/C&gt;&lt;D xsi:type="xsd:double"&gt;1.1052413&lt;/D&gt;&lt;/FQL&gt;&lt;FQL&gt;&lt;Q&gt;CX-US^P_BETA_LOCIDX(45393,45217,,"SPX")&lt;/Q&gt;&lt;R&gt;1&lt;/R&gt;&lt;C&gt;1&lt;/C&gt;&lt;D xsi:type="xsd:double"&gt;1.161369&lt;/D&gt;&lt;/FQL&gt;&lt;FQL&gt;&lt;Q&gt;CX-US^P_BETA_LOCIDX(45392,45216,,"SPX")&lt;/Q&gt;&lt;R&gt;1&lt;/R&gt;&lt;C&gt;1&lt;/C&gt;&lt;D xsi:type="xsd:double"&gt;1.1561179&lt;/D&gt;&lt;/FQL&gt;&lt;FQL&gt;&lt;Q&gt;CX-US^P_BETA_LOCIDX(45391,45215,,"SPX")&lt;/Q&gt;&lt;R&gt;1&lt;/R&gt;&lt;C&gt;1&lt;/C&gt;&lt;D xsi:type="xsd:double"&gt;1.1859889&lt;/D&gt;&lt;/FQL&gt;&lt;FQL&gt;&lt;Q&gt;CX-US^P_BETA_LOCIDX(45390,45212,,"SPX")&lt;/Q&gt;&lt;R&gt;1&lt;/R&gt;&lt;C&gt;1&lt;/C&gt;&lt;D xsi:type="xsd:double"&gt;1.1827382&lt;/D&gt;&lt;/FQL&gt;&lt;FQL&gt;&lt;Q&gt;CX-US^P_BETA_LOCIDX(45387,45211,,"SPX")&lt;/Q&gt;&lt;R&gt;1&lt;/R&gt;&lt;C&gt;1&lt;/C&gt;&lt;D xsi:type="xsd:double"&gt;1.2224966&lt;/D&gt;&lt;/FQL&gt;&lt;FQL&gt;&lt;Q&gt;CX-US^P_BETA_LOCIDX(45386,45210,,"SPX")&lt;/Q&gt;&lt;R&gt;1&lt;/R&gt;&lt;C&gt;1&lt;/C&gt;&lt;D xsi:type="xsd:double"&gt;1.2727443&lt;/D&gt;&lt;/FQL&gt;&lt;FQL&gt;&lt;Q&gt;CX-US^P_BETA_LOCIDX(45385,45209,,"SPX")&lt;/Q&gt;&lt;R&gt;1&lt;/R&gt;&lt;C&gt;1&lt;/C&gt;&lt;D xsi:type="xsd:double"&gt;1.2390766&lt;/D&gt;&lt;/FQL&gt;&lt;FQL&gt;&lt;Q&gt;CX-US^P_BETA_LOCIDX(45384,45208,,"SPX")&lt;/Q&gt;&lt;R&gt;1&lt;/R&gt;&lt;C&gt;1&lt;/C&gt;&lt;D xsi:type="xsd:double"&gt;1.2429986&lt;/D&gt;&lt;/FQL&gt;&lt;FQL&gt;&lt;Q&gt;CX-US^P_BETA_LOCIDX(45383,45205,,"SPX")&lt;/Q&gt;&lt;R&gt;1&lt;/R&gt;&lt;C&gt;1&lt;/C&gt;&lt;D xsi:type="xsd:double"&gt;1.2045214&lt;/D&gt;&lt;/FQL&gt;&lt;FQL&gt;&lt;Q&gt;CX-US^P_BETA_LOCIDX(45379,45204,,"SPX")&lt;/Q&gt;&lt;R&gt;1&lt;/R&gt;&lt;C&gt;1&lt;/C&gt;&lt;D xsi:type="xsd:double"&gt;1.2398044&lt;/D&gt;&lt;/FQL&gt;&lt;FQL&gt;&lt;Q&gt;CX-US^P_BETA_LOCIDX(45378,45203,,"SPX")&lt;/Q&gt;&lt;R&gt;1&lt;/R&gt;&lt;C&gt;1&lt;/C&gt;&lt;D xsi:type="xsd:double"&gt;1.2483292&lt;/D&gt;&lt;/FQL&gt;&lt;FQL&gt;&lt;Q&gt;CX-US^P_BETA_LOCIDX(45377,45202,,"SPX")&lt;/Q&gt;&lt;R&gt;1&lt;/R&gt;&lt;C&gt;1&lt;/C&gt;&lt;D xsi:type="xsd:double"&gt;1.331272&lt;/D&gt;&lt;/FQL&gt;&lt;FQL&gt;&lt;Q&gt;CX-US^P_BETA_LOCIDX(45376,45201,,"SPX")&lt;/Q&gt;&lt;R&gt;1&lt;/R&gt;&lt;C&gt;1&lt;/C&gt;&lt;D xsi:type="xsd:double"&gt;1.3524022&lt;/D&gt;&lt;/FQL&gt;&lt;FQL&gt;&lt;Q&gt;CX-US^P_BETA_LOCIDX(45373,45198,,"SPX")&lt;/Q&gt;&lt;R&gt;1&lt;/R&gt;&lt;C&gt;1&lt;/C&gt;&lt;D xsi:type="xsd:double"&gt;1.3662546&lt;/D&gt;&lt;/FQL&gt;&lt;FQL&gt;&lt;Q&gt;CX-US^P_BETA_LOCIDX(45372,45197,,"SPX")&lt;/Q&gt;&lt;R&gt;1&lt;/R&gt;&lt;C&gt;1&lt;/C&gt;&lt;D xsi:type="xsd:double"&gt;1.3771533&lt;/D&gt;&lt;/FQL&gt;&lt;FQL&gt;&lt;Q&gt;CX-US^P_BETA_LOCIDX(45371,45196,,"SPX")&lt;/Q&gt;&lt;R&gt;1&lt;/R&gt;&lt;C&gt;1&lt;/C&gt;&lt;D xsi:type="xsd:double"&gt;1.3771132&lt;/D&gt;&lt;/FQL&gt;&lt;FQL&gt;&lt;Q&gt;CX-US^P_BETA_LOCIDX(45370,45195,,"SPX")&lt;/Q&gt;&lt;R&gt;1&lt;/R&gt;&lt;C&gt;1&lt;/C&gt;&lt;D xsi:type="xsd:double"&gt;1.3624742&lt;/D&gt;&lt;/FQL&gt;&lt;FQL&gt;&lt;Q&gt;CX-US^P_BETA_LOCIDX(45369,45194,,"SPX")&lt;/Q&gt;&lt;R&gt;1&lt;/R&gt;&lt;C&gt;1&lt;/C&gt;&lt;D xsi:type="xsd:double"&gt;1.3678573&lt;/D&gt;&lt;/FQL&gt;&lt;FQL&gt;&lt;Q&gt;CX-US^P_BETA_LOCIDX(45366,45191,,"SPX")&lt;/Q&gt;&lt;R&gt;1&lt;/R&gt;&lt;C&gt;1&lt;/C&gt;&lt;D xsi:type="xsd:double"&gt;1.3877945&lt;/D&gt;&lt;/FQL&gt;&lt;FQL&gt;&lt;Q&gt;CX-US^P_BETA_LOCIDX(45365,45190,,"SPX")&lt;/Q&gt;&lt;R&gt;1&lt;/R&gt;&lt;C&gt;1&lt;/C&gt;&lt;D xsi:type="xsd:double"&gt;1.4432312&lt;/D&gt;&lt;/FQL&gt;&lt;FQL&gt;&lt;Q&gt;CX-US^P_BETA_LOCIDX(45364,45189,,"SPX")&lt;/Q&gt;&lt;R&gt;1&lt;/R&gt;&lt;C&gt;1&lt;/C&gt;&lt;D xsi:type="xsd:double"&gt;1.4466184&lt;/D&gt;&lt;/FQL&gt;&lt;FQL&gt;&lt;Q&gt;CX-US^P_BETA_LOCIDX(45363,45188,,"SPX")&lt;/Q&gt;&lt;R&gt;1&lt;/R&gt;&lt;C&gt;1&lt;/C&gt;&lt;D xsi:type="xsd:double"&gt;1.4381579&lt;/D&gt;&lt;/FQL&gt;&lt;FQL&gt;&lt;Q&gt;CX-US^P_BETA_LOCIDX(45362,45187,,"SPX")&lt;/Q&gt;&lt;R&gt;1&lt;/R&gt;&lt;C&gt;1&lt;/C&gt;&lt;D xsi:type="xsd:double"&gt;1.4672887&lt;/D&gt;&lt;/FQL&gt;&lt;FQL&gt;&lt;Q&gt;CX-US^P_BETA_LOCIDX(45359,45184,,"SPX")&lt;/Q&gt;&lt;R&gt;1&lt;/R&gt;&lt;C&gt;1&lt;/C&gt;&lt;D xsi:type="xsd:double"&gt;1.450818&lt;/D&gt;&lt;/FQL&gt;&lt;FQL&gt;&lt;Q&gt;CX-US^P_BETA_LOCIDX(45358,45183,,"SPX")&lt;/Q&gt;&lt;R&gt;1&lt;/R&gt;&lt;C&gt;1&lt;/C&gt;&lt;D xsi:type="xsd:double"&gt;1.4443753&lt;/D&gt;&lt;/FQL&gt;&lt;FQL&gt;&lt;Q&gt;CX-US^P_BETA_LOCIDX(45357,45182,,"SPX")&lt;/Q&gt;&lt;R&gt;1&lt;/R&gt;&lt;C&gt;1&lt;/C&gt;&lt;D xsi:type="xsd:double"&gt;1.4566929&lt;/D&gt;&lt;/FQL&gt;&lt;FQL&gt;&lt;Q&gt;CX-US^P_BETA_LOCIDX(45356,45181,,"SPX")&lt;/Q&gt;&lt;R&gt;1&lt;/R&gt;&lt;C&gt;1&lt;/C&gt;&lt;D xsi:type="xsd:double"&gt;1.4532691&lt;/D&gt;&lt;/FQL&gt;&lt;FQL&gt;&lt;Q&gt;CX-US^P_BETA_LOCIDX(45355,45180,,"SPX")&lt;/Q&gt;&lt;R&gt;1&lt;/R&gt;&lt;C&gt;1&lt;/C&gt;&lt;D xsi:type="xsd:double"&gt;1.4427525&lt;/D&gt;&lt;/FQL&gt;&lt;FQL&gt;&lt;Q&gt;CX-US^P_BETA_LOCIDX(45352,45177,,"SPX")&lt;/Q&gt;&lt;R&gt;1&lt;/R&gt;&lt;C&gt;1&lt;/C&gt;&lt;D xsi:type="xsd:double"&gt;1.4387864&lt;/D&gt;&lt;/FQL&gt;&lt;FQL&gt;&lt;Q&gt;CX-US^P_BETA_LOCIDX(45351,45176,,"SPX")&lt;/Q&gt;&lt;R&gt;1&lt;/R&gt;&lt;C&gt;1&lt;/C&gt;&lt;D xsi:type="xsd:double"&gt;1.4370649&lt;/D&gt;&lt;/FQL&gt;&lt;FQL&gt;&lt;Q&gt;CX-US^P_BETA_LOCIDX(45350,45175,,"SPX")&lt;/Q&gt;&lt;R&gt;1&lt;/R&gt;&lt;C&gt;1&lt;/C&gt;&lt;D xsi:type="xsd:double"&gt;1.4534338&lt;/D&gt;&lt;/FQL&gt;&lt;FQL&gt;&lt;Q&gt;CX-US^P_BETA_LOCIDX(45349,45174,,"SPX")&lt;/Q&gt;&lt;R&gt;1&lt;/R&gt;&lt;C&gt;1&lt;/C&gt;&lt;D xsi:type="xsd:double"&gt;1.4665072&lt;/D&gt;&lt;/FQL&gt;&lt;FQL&gt;&lt;Q&gt;CX-US^P_BETA_LOCIDX(45348,45170,,"SPX")&lt;/Q&gt;&lt;R&gt;1&lt;/R&gt;&lt;C&gt;1&lt;/C&gt;&lt;D xsi:type="xsd:double"&gt;1.4694405&lt;/D&gt;&lt;/FQL&gt;&lt;FQL&gt;&lt;Q&gt;CX-US^P_BETA_LOCIDX(45345,45169,,"SPX")&lt;/Q&gt;&lt;R&gt;1&lt;/R&gt;&lt;C&gt;1&lt;/C&gt;&lt;D xsi:type="xsd:double"&gt;1.4822805&lt;/D&gt;&lt;/FQL&gt;&lt;FQL&gt;&lt;Q&gt;CX-US^P_BETA_LOCIDX(45344,45168,,"SPX")&lt;/Q&gt;&lt;R&gt;1&lt;/R&gt;&lt;C&gt;1&lt;/C&gt;&lt;D xsi:type="xsd:double"&gt;1.4795042&lt;/D&gt;&lt;/FQL&gt;&lt;FQL&gt;&lt;Q&gt;CX-US^P_BETA_LOCIDX(45343,45167,,"SPX")&lt;/Q&gt;&lt;R&gt;1&lt;/R&gt;&lt;C&gt;1&lt;/C&gt;&lt;D xsi:type="xsd:double"&gt;1.5303112&lt;/D&gt;&lt;/FQL&gt;&lt;FQL&gt;&lt;Q&gt;CX-US^P_BETA_LOCIDX(45342,45166,,"SPX")&lt;/Q&gt;&lt;R&gt;1&lt;/R&gt;&lt;C&gt;1&lt;/C&gt;&lt;D xsi:type="xsd:double"&gt;1.5350008&lt;/D&gt;&lt;/FQL&gt;&lt;FQL&gt;&lt;Q&gt;CX-US^P_BETA_LOCIDX(45338,45163,,"SPX")&lt;/Q&gt;&lt;R&gt;1&lt;/R&gt;&lt;C&gt;1&lt;/C&gt;&lt;D xsi:type="xsd:double"&gt;1.5538715&lt;/D&gt;&lt;/FQL&gt;&lt;FQL&gt;&lt;Q&gt;CX-US^P_BETA_LOCIDX(45337,45162,,"SPX")&lt;/Q&gt;&lt;R&gt;1&lt;/R&gt;&lt;C&gt;1&lt;/C&gt;&lt;D xsi:type="xsd:double"&gt;1.5644002&lt;/D&gt;&lt;/FQL&gt;&lt;FQL&gt;&lt;Q&gt;CX-US^P_BETA_LOCIDX(45336,45161,,"SPX")&lt;/Q&gt;&lt;R&gt;1&lt;/R&gt;&lt;C&gt;1&lt;/C&gt;&lt;D xsi:type="xsd:double"&gt;1.5516043&lt;/D&gt;&lt;/FQL&gt;&lt;FQL&gt;&lt;Q&gt;CX-US^P_BETA_LOCIDX(45335,45160,,"SPX")&lt;/Q&gt;&lt;R&gt;1&lt;/R&gt;&lt;C&gt;1&lt;/C&gt;&lt;D xsi:type="xsd:double"&gt;1.5622535&lt;/D&gt;&lt;/FQL&gt;&lt;FQL&gt;&lt;Q&gt;CX-US^P_BETA_LOCIDX(45334,45159,,"SPX")&lt;/Q&gt;&lt;R&gt;1&lt;/R&gt;&lt;C&gt;1&lt;/C&gt;&lt;D xsi:type="xsd:double"&gt;1.5689192&lt;/D&gt;&lt;/FQL&gt;&lt;FQL&gt;&lt;Q&gt;CX-US^P_BETA_LOCIDX(45331,45156,,"SPX")&lt;/Q&gt;&lt;R&gt;1&lt;/R&gt;&lt;C&gt;1&lt;/C&gt;&lt;D xsi:type="xsd:double"&gt;1.5720875&lt;/D&gt;&lt;/FQL&gt;&lt;FQL&gt;&lt;Q&gt;CX-US^P_BETA_LOCIDX(45330,45155,,"SPX")&lt;/Q&gt;&lt;R&gt;1&lt;/R&gt;&lt;C&gt;1&lt;/C&gt;&lt;D xsi:type="xsd:double"&gt;1.6482539&lt;/D&gt;&lt;/FQL&gt;&lt;FQL&gt;&lt;Q&gt;CX-US^P_BETA_LOCIDX(45329,45154,,"SPX")&lt;/Q&gt;&lt;R&gt;1&lt;/R&gt;&lt;C&gt;1&lt;/C&gt;&lt;D xsi:type="xsd:double"&gt;1.6142493&lt;/D&gt;&lt;/FQL&gt;&lt;FQL&gt;&lt;Q&gt;CX-US^P_BETA_LOCIDX(45328,45153,,"SPX")&lt;/Q&gt;&lt;R&gt;1&lt;/R&gt;&lt;C&gt;1&lt;/C&gt;&lt;D xsi:type="xsd:double"&gt;1.5792648&lt;/D&gt;&lt;/FQL&gt;&lt;FQL&gt;&lt;Q&gt;CX-US^P_BETA_LOCIDX(45327,45152,,"SPX")&lt;/Q&gt;&lt;R&gt;1&lt;/R&gt;&lt;C&gt;1&lt;/C&gt;&lt;D xsi:type="xsd:double"&gt;1.5855701&lt;/D&gt;&lt;/FQL&gt;&lt;FQL&gt;&lt;Q&gt;CX-US^P_BETA_LOCIDX(45324,45149,,"SPX")&lt;/Q&gt;&lt;R&gt;1&lt;/R&gt;&lt;C&gt;1&lt;/C&gt;&lt;D xsi:type="xsd:double"&gt;1.5828116&lt;/D&gt;&lt;/FQL&gt;&lt;FQL&gt;&lt;Q&gt;CX-US^P_BETA_LOCIDX(45323,45148,,"SPX")&lt;/Q&gt;&lt;R&gt;1&lt;/R&gt;&lt;C&gt;1&lt;/C&gt;&lt;D xsi:type="xsd:double"&gt;1.581845&lt;/D&gt;&lt;/FQL&gt;&lt;FQL&gt;&lt;Q&gt;CX-US^P_BETA_LOCIDX(45322,45147,,"SPX")&lt;/Q&gt;&lt;R&gt;1&lt;/R&gt;&lt;C&gt;1&lt;/C&gt;&lt;D xsi:type="xsd:double"&gt;1.5713315&lt;/D&gt;&lt;/FQL&gt;&lt;FQL&gt;&lt;Q&gt;CX-US^P_BETA_LOCIDX(45321,45146,,"SPX")&lt;/Q&gt;&lt;R&gt;1&lt;/R&gt;&lt;C&gt;1&lt;/C&gt;&lt;D xsi:type="xsd:double"&gt;1.6058873&lt;/D&gt;&lt;/FQL&gt;&lt;FQL&gt;&lt;Q&gt;CX-US^P_BETA_LOCIDX(45320,45145,,"SPX")&lt;/Q&gt;&lt;R&gt;1&lt;/R&gt;&lt;C&gt;1&lt;/C&gt;&lt;D xsi:type="xsd:double"&gt;1.6236134&lt;/D&gt;&lt;/FQL&gt;&lt;FQL&gt;&lt;Q&gt;CX-US^P_BETA_LOCIDX(45317,45142,,"SPX")&lt;/Q&gt;&lt;R&gt;1&lt;/R&gt;&lt;C&gt;1&lt;/C&gt;&lt;D xsi:type="xsd:double"&gt;1.5981573&lt;/D&gt;&lt;/FQL&gt;&lt;FQL&gt;&lt;Q&gt;CX-US^P_BETA_LOCIDX(45316,45141,,"SPX")&lt;/Q&gt;&lt;R&gt;1&lt;/R&gt;&lt;C&gt;1&lt;/C&gt;&lt;D xsi:type="xsd:double"&gt;1.6032792&lt;/D&gt;&lt;/FQL&gt;&lt;FQL&gt;&lt;Q&gt;CX-US^P_BETA_LOCIDX(45315,45140,,"SPX")&lt;/Q&gt;&lt;R&gt;1&lt;/R&gt;&lt;C&gt;1&lt;/C&gt;&lt;D xsi:type="xsd:double"&gt;1.5493038&lt;/D&gt;&lt;/FQL&gt;&lt;FQL&gt;&lt;Q&gt;CX-US^P_BETA_LOCIDX(45314,45139,,"SPX")&lt;/Q&gt;&lt;R&gt;1&lt;/R&gt;&lt;C&gt;1&lt;/C&gt;&lt;D xsi:type="xsd:double"&gt;1.5445943&lt;/D&gt;&lt;/FQL&gt;&lt;FQL&gt;&lt;Q&gt;CX-US^P_BETA_LOCIDX(45313,45138,,"SPX")&lt;/Q&gt;&lt;R&gt;1&lt;/R&gt;&lt;C&gt;1&lt;/C&gt;&lt;D xsi:type="xsd:double"&gt;1.5409583&lt;/D&gt;&lt;/FQL&gt;&lt;FQL&gt;&lt;Q&gt;CX-US^P_BETA_LOCIDX(45310,45135,,"SPX")&lt;/Q&gt;&lt;R&gt;1&lt;/R&gt;&lt;C&gt;1&lt;/C&gt;&lt;D xsi:type="xsd:double"&gt;1.5500041&lt;/D&gt;&lt;/FQL&gt;&lt;FQL&gt;&lt;Q&gt;CX-US^P_BETA_LOCIDX(45309,45134,,"SPX")&lt;/Q&gt;&lt;R&gt;1&lt;/R&gt;&lt;C&gt;1&lt;/C&gt;&lt;D xsi:type="xsd:double"&gt;1.5624671&lt;/D&gt;&lt;/FQL&gt;&lt;FQL&gt;&lt;Q&gt;CX-US^P_BETA_LOCIDX(45308,45133,,"SPX")&lt;/Q&gt;&lt;R&gt;1&lt;/R&gt;&lt;C&gt;1&lt;/C&gt;&lt;D xsi:type="xsd:double"&gt;1.5815916&lt;/D&gt;&lt;/FQL&gt;&lt;FQL&gt;&lt;Q&gt;CX-US^P_BETA_LOCIDX(45307,45132,,"SPX")&lt;/Q&gt;&lt;R&gt;1&lt;/R&gt;&lt;C&gt;1&lt;/C&gt;&lt;D xsi:type="xsd:double"&gt;1.593733&lt;/D&gt;&lt;/FQL&gt;&lt;FQL&gt;&lt;Q&gt;CX-US^P_BETA_LOCIDX(45303,45131,,"SPX")&lt;/Q&gt;&lt;R&gt;1&lt;/R&gt;&lt;C&gt;1&lt;/C&gt;&lt;D xsi:type="xsd:double"&gt;1.556947&lt;/D&gt;&lt;/FQL&gt;&lt;FQL&gt;&lt;Q&gt;CX-US^P_BETA_LOCIDX(45302,45128,,"SPX")&lt;/Q&gt;&lt;R&gt;1&lt;/R&gt;&lt;C&gt;1&lt;/C&gt;&lt;D xsi:type="xsd:double"&gt;1.5570374&lt;/D&gt;&lt;/FQL&gt;&lt;FQL&gt;&lt;Q&gt;CX-US^P_BETA_LOCIDX(45301,45127,,"SPX")&lt;/Q&gt;&lt;R&gt;1&lt;/R&gt;&lt;C&gt;1&lt;/C&gt;&lt;D xsi:type="xsd:double"&gt;1.5450796&lt;/D&gt;&lt;/FQL&gt;&lt;FQL&gt;&lt;Q&gt;CX-US^P_BETA_LOCIDX(45300,45126,,"SPX")&lt;/Q&gt;&lt;R&gt;1&lt;/R&gt;&lt;C&gt;1&lt;/C&gt;&lt;D xsi:type="xsd:double"&gt;1.5446501&lt;/D&gt;&lt;/FQL&gt;&lt;FQL&gt;&lt;Q&gt;CX-US^P_BETA_LOCIDX(45299,45125,,"SPX")&lt;/Q&gt;&lt;R&gt;1&lt;/R&gt;&lt;C&gt;1&lt;/C&gt;&lt;D xsi:type="xsd:double"&gt;1.548719&lt;/D&gt;&lt;/FQL&gt;&lt;FQL&gt;&lt;Q&gt;CX-US^P_BETA_LOCIDX(45296,45124,,"SPX")&lt;/Q&gt;&lt;R&gt;1&lt;/R&gt;&lt;C&gt;1&lt;/C&gt;&lt;D xsi:type="xsd:double"&gt;1.5771348&lt;/D&gt;&lt;/FQL&gt;&lt;FQL&gt;&lt;Q&gt;CX-US^P_BETA_LOCIDX(45295,45121,,"SPX")&lt;/Q&gt;&lt;R&gt;1&lt;/R&gt;&lt;C&gt;1&lt;/C&gt;&lt;D xsi:type="xsd:double"&gt;1.5704547&lt;/D&gt;&lt;/FQL&gt;&lt;FQL&gt;&lt;Q&gt;CX-US^P_BETA_LOCIDX(45294,45120,,"SPX")&lt;/Q&gt;&lt;R&gt;1&lt;/R&gt;&lt;C&gt;1&lt;/C&gt;&lt;D xsi:type="xsd:double"&gt;1.610389&lt;/D&gt;&lt;/FQL&gt;&lt;FQL&gt;&lt;Q&gt;CX-US^P_BETA_LOCIDX(45293,45119,,"SPX")&lt;/Q&gt;&lt;R&gt;1&lt;/R&gt;&lt;C&gt;1&lt;/C&gt;&lt;D xsi:type="xsd:double"&gt;1.5942643&lt;/D&gt;&lt;/FQL&gt;&lt;FQL&gt;&lt;Q&gt;CX-US^P_BETA_LOCIDX(45289,45118,,"SPX")&lt;/Q&gt;&lt;R&gt;1&lt;/R&gt;&lt;C&gt;1&lt;/C&gt;&lt;D xsi:type="xsd:double"&gt;1.5958209&lt;/D&gt;&lt;/FQL&gt;&lt;FQL&gt;&lt;Q&gt;CX-US^P_BETA_LOCIDX(45288,45117,,"SPX")&lt;/Q&gt;&lt;R&gt;1&lt;/R&gt;&lt;C&gt;1&lt;/C&gt;&lt;D xsi:type="xsd:double"&gt;1.5921032&lt;/D&gt;&lt;/FQL&gt;&lt;FQL&gt;&lt;Q&gt;CX-US^P_BETA_LOCIDX(45287,45114,,"SPX")&lt;/Q&gt;&lt;R&gt;1&lt;/R&gt;&lt;C&gt;1&lt;/C&gt;&lt;D xsi:type="xsd:double"&gt;1.5786861&lt;/D&gt;&lt;/FQL&gt;&lt;FQL&gt;&lt;Q&gt;CX-US^P_BETA_LOCIDX(45286,45113,,"SPX")&lt;/Q&gt;&lt;R&gt;1&lt;/R&gt;&lt;C&gt;1&lt;/C&gt;&lt;D xsi:type="xsd:double"&gt;1.638266&lt;/D&gt;&lt;/FQL&gt;&lt;FQL&gt;&lt;Q&gt;CX-US^P_BETA_LOCIDX(45282,45112,,"SPX")&lt;/Q&gt;&lt;R&gt;1&lt;/R&gt;&lt;C&gt;1&lt;/C&gt;&lt;D xsi:type="xsd:double"&gt;1.6526519&lt;/D&gt;&lt;/FQL&gt;&lt;FQL&gt;&lt;Q&gt;CX-US^P_BETA_LOCIDX(45281,45110,,"SPX")&lt;/Q&gt;&lt;R&gt;1&lt;/R&gt;&lt;C&gt;1&lt;/C&gt;&lt;D xsi:type="xsd:double"&gt;1.6505141&lt;/D&gt;&lt;/FQL&gt;&lt;FQL&gt;&lt;Q&gt;CX-US^P_BETA_LOCIDX(45280,45107,,"SPX")&lt;/Q&gt;&lt;R&gt;1&lt;/R&gt;&lt;C&gt;1&lt;/C&gt;&lt;D xsi:type="xsd:double"&gt;1.6139243&lt;/D&gt;&lt;/FQL&gt;&lt;FQL&gt;&lt;Q&gt;CX-US^P_BETA_LOCIDX(45279,45106,,"SPX")&lt;/Q&gt;&lt;R&gt;1&lt;/R&gt;&lt;C&gt;1&lt;/C&gt;&lt;D xsi:type="xsd:double"&gt;1.6202197&lt;/D&gt;&lt;/FQL&gt;&lt;FQL&gt;&lt;Q&gt;CX-US^P_BETA_LOCIDX(45278,45105,,"SPX")&lt;/Q&gt;&lt;R&gt;1&lt;/R&gt;&lt;C&gt;1&lt;/C&gt;&lt;D xsi:type="xsd:double"&gt;1.6175352&lt;/D&gt;&lt;/FQL&gt;&lt;FQL&gt;&lt;Q&gt;CX-US^P_BETA_LOCIDX(45275,45104,,"SPX")&lt;/Q&gt;&lt;R&gt;1&lt;/R&gt;&lt;C&gt;1&lt;/C&gt;&lt;D xsi:type="xsd:double"&gt;1.6225613&lt;/D&gt;&lt;/FQL&gt;&lt;FQL&gt;&lt;Q&gt;CX-US^P_BETA_LOCIDX(45274,45103,,"SPX")&lt;/Q&gt;&lt;R&gt;1&lt;/R&gt;&lt;C&gt;1&lt;/C&gt;&lt;D xsi:type="xsd:double"&gt;1.6174227&lt;/D&gt;&lt;/FQL&gt;&lt;FQL&gt;&lt;Q&gt;CX-US^P_BETA_LOCIDX(45273,45100,,"SPX")&lt;/Q&gt;&lt;R&gt;1&lt;/R&gt;&lt;C&gt;1&lt;/C&gt;&lt;D xsi:type="xsd:double"&gt;1.5839471&lt;/D&gt;&lt;/FQL&gt;&lt;FQL&gt;&lt;Q&gt;CX-US^P_BETA_LOCIDX(45272,45099,,"SPX")&lt;/Q&gt;&lt;R&gt;1&lt;/R&gt;&lt;C&gt;1&lt;/C&gt;&lt;D xsi:type="xsd:double"&gt;1.5189226&lt;/D&gt;&lt;/FQL&gt;&lt;FQL&gt;&lt;Q&gt;CX-US^P_BETA_LOCIDX(45271,45098,,"SPX")&lt;/Q&gt;&lt;R&gt;1&lt;/R&gt;&lt;C&gt;1&lt;/C&gt;&lt;D xsi:type="xsd:double"&gt;1.5160563&lt;/D&gt;&lt;/FQL&gt;&lt;FQL&gt;&lt;Q&gt;CX-US^P_BETA_LOCIDX(45268,45097,,"SPX")&lt;/Q&gt;&lt;R&gt;1&lt;/R&gt;&lt;C&gt;1&lt;/C&gt;&lt;D xsi:type="xsd:double"&gt;1.5313286&lt;/D&gt;&lt;/FQL&gt;&lt;FQL&gt;&lt;Q&gt;CX-US^P_BETA_LOCIDX(45267,45093,,"SPX")&lt;/Q&gt;&lt;R&gt;1&lt;/R&gt;&lt;C&gt;1&lt;/C&gt;&lt;D xsi:type="xsd:double"&gt;1.5318956&lt;/D&gt;&lt;/FQL&gt;&lt;FQL&gt;&lt;Q&gt;CX-US^P_BETA_LOCIDX(45266,45092,,"SPX")&lt;/Q&gt;&lt;R&gt;1&lt;/R&gt;&lt;C&gt;1&lt;/C&gt;&lt;D xsi:type="xsd:double"&gt;1.5211339&lt;/D&gt;&lt;/FQL&gt;&lt;FQL&gt;&lt;Q&gt;CX-US^P_BETA_LOCIDX(45265,45091,,"SPX")&lt;/Q&gt;&lt;R&gt;1&lt;/R&gt;&lt;C&gt;1&lt;/C&gt;&lt;D xsi:type="xsd:double"&gt;1.5302396&lt;/D&gt;&lt;/FQL&gt;&lt;FQL&gt;&lt;Q&gt;CX-US^P_BETA_LOCIDX(45264,45090,,"SPX")&lt;/Q&gt;&lt;R&gt;1&lt;/R&gt;&lt;C&gt;1&lt;/C&gt;&lt;D xsi:type="xsd:double"&gt;1.5527421&lt;/D&gt;&lt;/FQL&gt;&lt;FQL&gt;&lt;Q&gt;CX-US^P_BETA_LOCIDX(45261,45089,,"SPX")&lt;/Q&gt;&lt;R&gt;1&lt;/R&gt;&lt;C&gt;1&lt;/C&gt;&lt;D xsi:type="xsd:double"&gt;1.5106009&lt;/D&gt;&lt;/FQL&gt;&lt;FQL&gt;&lt;Q&gt;CX-US^P_BETA_LOCIDX(45260,45086,,"SPX")&lt;/Q&gt;&lt;R&gt;1&lt;/R&gt;&lt;C&gt;1&lt;/C&gt;&lt;D xsi:type="xsd:double"&gt;1.4847438&lt;/D&gt;&lt;/FQL&gt;&lt;FQL&gt;&lt;Q&gt;CX-US^P_BETA_LOCIDX(45259,45085,,"SPX")&lt;/Q&gt;&lt;R&gt;1&lt;/R&gt;&lt;C&gt;1&lt;/C&gt;&lt;D xsi:type="xsd:double"&gt;1.4812728&lt;/D&gt;&lt;/FQL&gt;&lt;FQL&gt;&lt;Q&gt;CX-US^P_BETA_LOCIDX(45258,45084,,"SPX")&lt;/Q&gt;&lt;R&gt;1&lt;/R&gt;&lt;C&gt;1&lt;/C&gt;&lt;D xsi:type="xsd:double"&gt;1.4683684&lt;/D&gt;&lt;/FQL&gt;&lt;FQL&gt;&lt;Q&gt;CX-US^P_BETA_LOCIDX(45257,45083,,"SPX")&lt;/Q&gt;&lt;R&gt;1&lt;/R&gt;&lt;C&gt;1&lt;/C&gt;&lt;D xsi:type="xsd:double"&gt;1.4805058&lt;/D&gt;&lt;/FQL&gt;&lt;FQL&gt;&lt;Q&gt;CX-US^P_BETA_LOCIDX(45254,45082,,"SPX")&lt;/Q&gt;&lt;R&gt;1&lt;/R&gt;&lt;C&gt;1&lt;/C&gt;&lt;D xsi:type="xsd:double"&gt;1.4775378&lt;/D&gt;&lt;/FQL&gt;&lt;FQL&gt;&lt;Q&gt;CX-US^P_BETA_LOCIDX(45252,45079,,"SPX")&lt;/Q&gt;&lt;R&gt;1&lt;/R&gt;&lt;C&gt;1&lt;/C&gt;&lt;D xsi:type="xsd:double"&gt;1.534235&lt;/D&gt;&lt;/FQL&gt;&lt;FQL&gt;&lt;Q&gt;CX-US^P_BETA_LOCIDX(45251,45078,,"SPX")&lt;/Q&gt;&lt;R&gt;1&lt;/R&gt;&lt;C&gt;1&lt;/C&gt;&lt;D xsi:type="xsd:double"&gt;1.5368363&lt;/D&gt;&lt;/FQL&gt;&lt;FQL&gt;&lt;Q&gt;CX-US^P_BETA_LOCIDX(45250,45077,,"SPX")&lt;/Q&gt;&lt;R&gt;1&lt;/R&gt;&lt;C&gt;1&lt;/C&gt;&lt;D xsi:type="xsd:double"&gt;1.5374397&lt;/D&gt;&lt;/FQL&gt;&lt;FQL&gt;&lt;Q&gt;CX-US^P_BETA_LOCIDX(45247,45076,,"SPX")&lt;/Q&gt;&lt;R&gt;1&lt;/R&gt;&lt;C&gt;1&lt;/C&gt;&lt;D xsi:type="xsd:double"&gt;1.5875826&lt;/D&gt;&lt;/FQL&gt;&lt;FQL&gt;&lt;Q&gt;CX-US^P_BETA_LOCIDX(45246,45072,,"SPX")&lt;/Q&gt;&lt;R&gt;1&lt;/R&gt;&lt;C&gt;1&lt;/C&gt;&lt;D xsi:type="xsd:double"&gt;1.5698321&lt;/D&gt;&lt;/FQL&gt;&lt;FQL&gt;&lt;Q&gt;CX-US^P_BETA_LOCIDX(45245,45071,,"SPX")&lt;/Q&gt;&lt;R&gt;1&lt;/R&gt;&lt;C&gt;1&lt;/C&gt;&lt;D xsi:type="xsd:double"&gt;1.5664825&lt;/D&gt;&lt;/FQL&gt;&lt;FQL&gt;&lt;Q&gt;CX-US^P_BETA_LOCIDX(45244,45070,,"SPX")&lt;/Q&gt;&lt;R&gt;1&lt;/R&gt;&lt;C&gt;1&lt;/C&gt;&lt;D xsi:type="xsd:double"&gt;1.5557299&lt;/D&gt;&lt;/FQL&gt;&lt;FQL&gt;&lt;Q&gt;CX-US^P_BETA_LOCIDX(45243,45069,,"SPX")&lt;/Q&gt;&lt;R&gt;1&lt;/R&gt;&lt;C&gt;1&lt;/C&gt;&lt;D xsi:type="xsd:double"&gt;1.554414&lt;/D&gt;&lt;/FQL&gt;&lt;FQL&gt;&lt;Q&gt;CX-US^P_BETA_LOCIDX(45240,45068,,"SPX")&lt;/Q&gt;&lt;R&gt;1&lt;/R&gt;&lt;C&gt;1&lt;/C&gt;&lt;D xsi:type="xsd:double"&gt;1.553041&lt;/D&gt;&lt;/FQL&gt;&lt;FQL&gt;&lt;Q&gt;CX-US^P_BETA_LOCIDX(45239,45065,,"SPX")&lt;/Q&gt;&lt;R&gt;1&lt;/R&gt;&lt;C&gt;1&lt;/C&gt;&lt;D xsi:type="xsd:double"&gt;1.5712675&lt;/D&gt;&lt;/FQL&gt;&lt;FQL&gt;&lt;Q&gt;CX-US^P_BETA_LOCIDX(45238,45064,,"SPX")&lt;/Q&gt;&lt;R&gt;1&lt;/R&gt;&lt;C&gt;1&lt;/C&gt;&lt;D xsi:type="xsd:double"&gt;1.5485324&lt;/D&gt;&lt;/FQL&gt;&lt;FQL&gt;&lt;Q&gt;CX-US^P_BETA_LOCIDX(45237,45063,,"SPX")&lt;/Q&gt;&lt;R&gt;1&lt;/R&gt;&lt;C&gt;1&lt;/C&gt;&lt;D xsi:type="xsd:double"&gt;1.5227685&lt;/D&gt;&lt;/FQL&gt;&lt;FQL&gt;&lt;Q&gt;CX-US^P_BETA_LOCIDX(45236,45062,,"SPX")&lt;/Q&gt;&lt;R&gt;1&lt;/R&gt;&lt;C&gt;1&lt;/C&gt;&lt;D xsi:type="xsd:double"&gt;1.5056456&lt;/D&gt;&lt;/FQL&gt;&lt;FQL&gt;&lt;Q&gt;CX-US^P_BETA_LOCIDX(45233,45061,,"SPX")&lt;/Q&gt;&lt;R&gt;1&lt;/R&gt;&lt;C&gt;1&lt;/C&gt;&lt;D xsi:type="xsd:double"&gt;1.5024388&lt;/D&gt;&lt;/FQL&gt;&lt;FQL&gt;&lt;Q&gt;CX-US^P_BETA_LOCIDX(45232,45058,,"SPX")&lt;/Q&gt;&lt;R&gt;1&lt;/R&gt;&lt;C&gt;1&lt;/C&gt;&lt;D xsi:type="xsd:double"&gt;1.4689081&lt;/D&gt;&lt;/FQL&gt;&lt;FQL&gt;&lt;Q&gt;CX-US^P_BETA_LOCIDX(45231,45057,,"SPX")&lt;/Q&gt;&lt;R&gt;1&lt;/R&gt;&lt;C&gt;1&lt;/C&gt;&lt;D xsi:type="xsd:double"&gt;1.4092896&lt;/D&gt;&lt;/FQL&gt;&lt;FQL&gt;&lt;Q&gt;CX-US^P_BETA_LOCIDX(45230,45056,,"SPX")&lt;/Q&gt;&lt;R&gt;1&lt;/R&gt;&lt;C&gt;1&lt;/C&gt;&lt;D xsi:type="xsd:double"&gt;1.3716445&lt;/D&gt;&lt;/FQL&gt;&lt;FQL&gt;&lt;Q&gt;CX-US^P_BETA_LOCIDX(45229,45055,,"SPX")&lt;/Q&gt;&lt;R&gt;1&lt;/R&gt;&lt;C&gt;1&lt;/C&gt;&lt;D xsi:type="xsd:double"&gt;1.348164&lt;/D&gt;&lt;/FQL&gt;&lt;FQL&gt;&lt;Q&gt;CX-US^P_BETA_LOCIDX(45226,45054,,"SPX")&lt;/Q&gt;&lt;R&gt;1&lt;/R&gt;&lt;C&gt;1&lt;/C&gt;&lt;D xsi:type="xsd:double"&gt;1.3803339&lt;/D&gt;&lt;/FQL&gt;&lt;FQL&gt;&lt;Q&gt;CX-US^P_BETA_LOCIDX(45225,45051,,"SPX")&lt;/Q&gt;&lt;R&gt;1&lt;/R&gt;&lt;C&gt;1&lt;/C&gt;&lt;D xsi:type="xsd:double"&gt;1.3998384&lt;/D&gt;&lt;/FQL&gt;&lt;FQL&gt;&lt;Q&gt;CX-US^P_BETA_LOCIDX(45224,45050,,"SPX")&lt;/Q&gt;&lt;R&gt;1&lt;/R&gt;&lt;C&gt;1&lt;/C&gt;&lt;D xsi:type="xsd:double"&gt;1.4734578&lt;/D&gt;&lt;/FQL&gt;&lt;FQL&gt;&lt;Q&gt;CX-US^P_BETA_LOCIDX(45223,45049,,"SPX")&lt;/Q&gt;&lt;R&gt;1&lt;/R&gt;&lt;C&gt;1&lt;/C&gt;&lt;D xsi:type="xsd:double"&gt;1.5465825&lt;/D&gt;&lt;/FQL&gt;&lt;FQL&gt;&lt;Q&gt;CX-US^P_BETA_LOCIDX(45222,45048,,"SPX")&lt;/Q&gt;&lt;R&gt;1&lt;/R&gt;&lt;C&gt;1&lt;/C&gt;&lt;D xsi:type="xsd:double"&gt;1.4345927&lt;/D&gt;&lt;/FQL&gt;&lt;FQL&gt;&lt;Q&gt;CX-US^P_BETA_LOCIDX(45219,45047,,"SPX")&lt;/Q&gt;&lt;R&gt;1&lt;/R&gt;&lt;C&gt;1&lt;/C&gt;&lt;D xsi:type="xsd:double"&gt;1.4313552&lt;/D&gt;&lt;/FQL&gt;&lt;FQL&gt;&lt;Q&gt;CX-US^P_BETA_LOCIDX(45218,45044,,"SPX")&lt;/Q&gt;&lt;R&gt;1&lt;/R&gt;&lt;C&gt;1&lt;/C&gt;&lt;D xsi:type="xsd:double"&gt;1.4662558&lt;/D&gt;&lt;/FQL&gt;&lt;FQL&gt;&lt;Q&gt;CX-US^P_BETA_LOCIDX(45217,45043,,"SPX")&lt;/Q&gt;&lt;R&gt;1&lt;/R&gt;&lt;C&gt;1&lt;/C&gt;&lt;D xsi:type="xsd:double"&gt;1.4370466&lt;/D&gt;&lt;/FQL&gt;&lt;FQL&gt;&lt;Q&gt;CX-US^P_BETA_LOCIDX(45216,45042,,"SPX")&lt;/Q&gt;&lt;R&gt;1&lt;/R&gt;&lt;C&gt;1&lt;/C&gt;&lt;D xsi:type="xsd:double"&gt;1.3821527&lt;/D&gt;&lt;/FQL&gt;&lt;FQL&gt;&lt;Q&gt;CX-US^P_BETA_LOCIDX(45215,45041,,"SPX")&lt;/Q&gt;&lt;R&gt;1&lt;/R&gt;&lt;C&gt;1&lt;/C&gt;&lt;D xsi:type="xsd:double"&gt;1.3242885&lt;/D&gt;&lt;/FQL&gt;&lt;FQL&gt;&lt;Q&gt;CX-US^P_BETA_LOCIDX(45212,45040,,"SPX")&lt;/Q&gt;&lt;R&gt;1&lt;/R&gt;&lt;C&gt;1&lt;/C&gt;&lt;D xsi:type="xsd:double"&gt;1.2742987&lt;/D&gt;&lt;/FQL&gt;&lt;FQL&gt;&lt;Q&gt;CX-US^P_BETA_LOCIDX(45211,45037,,"SPX")&lt;/Q&gt;&lt;R&gt;1&lt;/R&gt;&lt;C&gt;1&lt;/C&gt;&lt;D xsi:type="xsd:double"&gt;1.2770443&lt;/D&gt;&lt;/FQL&gt;&lt;FQL&gt;&lt;Q&gt;CX-US^P_BETA_LOCIDX(45210,45036,,"SPX")&lt;/Q&gt;&lt;R&gt;1&lt;/R&gt;&lt;C&gt;1&lt;/C&gt;&lt;D xsi:type="xsd:double"&gt;1.2462567&lt;/D&gt;&lt;/FQL&gt;&lt;FQL&gt;&lt;Q&gt;CX-US^P_BETA_LOCIDX(45209,45035,,"SPX")&lt;/Q&gt;&lt;R&gt;1&lt;/R&gt;&lt;C&gt;1&lt;/C&gt;&lt;D xsi:type="xsd:double"&gt;1.2170341&lt;/D&gt;&lt;/FQL&gt;&lt;FQL&gt;&lt;Q&gt;CX-US^P_BETA_LOCIDX(45208,45034,,"SPX")&lt;/Q&gt;&lt;R&gt;1&lt;/R&gt;&lt;C&gt;1&lt;/C&gt;&lt;D xsi:type="xsd:double"&gt;1.1979905&lt;/D&gt;&lt;/FQL&gt;&lt;FQL&gt;&lt;Q&gt;CX-US^P_BETA_LOCIDX(45205,45033,,"SPX")&lt;/Q&gt;&lt;R&gt;1&lt;/R&gt;&lt;C&gt;1&lt;/C&gt;&lt;D xsi:type="xsd:double"&gt;1.193361&lt;/D&gt;&lt;/FQL&gt;&lt;FQL&gt;&lt;Q&gt;CX-US^P_BETA_LOCIDX(45204,45030,,"SPX")&lt;/Q&gt;&lt;R&gt;1&lt;/R&gt;&lt;C&gt;1&lt;/C&gt;&lt;D xsi:type="xsd:double"&gt;1.2336019&lt;/D&gt;&lt;/FQL&gt;&lt;FQL&gt;&lt;Q&gt;CX-US^P_BETA_LOCIDX(45203,45029,,"SPX")&lt;/Q&gt;&lt;R&gt;1&lt;/R&gt;&lt;C&gt;1&lt;/C&gt;&lt;D xsi:type="xsd:double"&gt;1.30465&lt;/D&gt;&lt;/FQL&gt;&lt;FQL&gt;&lt;Q&gt;CX-US^P_BETA_LOCIDX(45202,45028,,"SPX")&lt;/Q&gt;&lt;R&gt;1&lt;/R&gt;&lt;C&gt;1&lt;/C&gt;&lt;D xsi:type="xsd:double"&gt;1.2761059&lt;/D&gt;&lt;/FQL&gt;&lt;FQL&gt;&lt;Q&gt;CX-US^P_BETA_LOCIDX(45201,4502</t>
        </r>
      </text>
    </comment>
    <comment ref="A5" authorId="0" shapeId="0" xr:uid="{0AFF75E2-7C66-46B7-81CF-2D6529AC6F94}">
      <text>
        <r>
          <rPr>
            <b/>
            <sz val="9"/>
            <color indexed="81"/>
            <rFont val="Tahoma"/>
            <family val="2"/>
          </rPr>
          <t>7,,"SPX")&lt;/Q&gt;&lt;R&gt;1&lt;/R&gt;&lt;C&gt;1&lt;/C&gt;&lt;D xsi:type="xsd:double"&gt;1.204961&lt;/D&gt;&lt;/FQL&gt;&lt;FQL&gt;&lt;Q&gt;CX-US^P_BETA_LOCIDX(45198,45026,,"SPX")&lt;/Q&gt;&lt;R&gt;1&lt;/R&gt;&lt;C&gt;1&lt;/C&gt;&lt;D xsi:type="xsd:double"&gt;1.2074203&lt;/D&gt;&lt;/FQL&gt;&lt;FQL&gt;&lt;Q&gt;CX-US^P_BETA_LOCIDX(45197,45022,,"SPX")&lt;/Q&gt;&lt;R&gt;1&lt;/R&gt;&lt;C&gt;1&lt;/C&gt;&lt;D xsi:type="xsd:double"&gt;1.1946864&lt;/D&gt;&lt;/FQL&gt;&lt;FQL&gt;&lt;Q&gt;CX-US^P_BETA_LOCIDX(45196,45021,,"SPX")&lt;/Q&gt;&lt;R&gt;1&lt;/R&gt;&lt;C&gt;1&lt;/C&gt;&lt;D xsi:type="xsd:double"&gt;1.2035526&lt;/D&gt;&lt;/FQL&gt;&lt;FQL&gt;&lt;Q&gt;CX-US^P_BETA_LOCIDX(45195,45020,,"SPX")&lt;/Q&gt;&lt;R&gt;1&lt;/R&gt;&lt;C&gt;1&lt;/C&gt;&lt;D xsi:type="xsd:double"&gt;1.1999136&lt;/D&gt;&lt;/FQL&gt;&lt;FQL&gt;&lt;Q&gt;CX-US^P_BETA_LOCIDX(45194,45019,,"SPX")&lt;/Q&gt;&lt;R&gt;1&lt;/R&gt;&lt;C&gt;1&lt;/C&gt;&lt;D xsi:type="xsd:double"&gt;1.1811104&lt;/D&gt;&lt;/FQL&gt;&lt;FQL&gt;&lt;Q&gt;CX-US^P_BETA_LOCIDX(45191,45016,,"SPX")&lt;/Q&gt;&lt;R&gt;1&lt;/R&gt;&lt;C&gt;1&lt;/C&gt;&lt;D xsi:type="xsd:double"&gt;1.1905496&lt;/D&gt;&lt;/FQL&gt;&lt;FQL&gt;&lt;Q&gt;CX-US^P_BETA_LOCIDX(45190,45015,,"SPX")&lt;/Q&gt;&lt;R&gt;1&lt;/R&gt;&lt;C&gt;1&lt;/C&gt;&lt;D xsi:type="xsd:double"&gt;1.1825577&lt;/D&gt;&lt;/FQL&gt;&lt;FQL&gt;&lt;Q&gt;CX-US^P_BETA_LOCIDX(45189,45014,,"SPX")&lt;/Q&gt;&lt;R&gt;1&lt;/R&gt;&lt;C&gt;1&lt;/C&gt;&lt;D xsi:type="xsd:double"&gt;1.1643963&lt;/D&gt;&lt;/FQL&gt;&lt;FQL&gt;&lt;Q&gt;CX-US^P_BETA_LOCIDX(45188,45013,,"SPX")&lt;/Q&gt;&lt;R&gt;1&lt;/R&gt;&lt;C&gt;1&lt;/C&gt;&lt;D xsi:type="xsd:double"&gt;1.1699412&lt;/D&gt;&lt;/FQL&gt;&lt;FQL&gt;&lt;Q&gt;CX-US^P_BETA_LOCIDX(45187,45012,,"SPX")&lt;/Q&gt;&lt;R&gt;1&lt;/R&gt;&lt;C&gt;1&lt;/C&gt;&lt;D xsi:type="xsd:double"&gt;1.1832886&lt;/D&gt;&lt;/FQL&gt;&lt;FQL&gt;&lt;Q&gt;CX-US^P_BETA_LOCIDX(45184,45009,,"SPX")&lt;/Q&gt;&lt;R&gt;1&lt;/R&gt;&lt;C&gt;1&lt;/C&gt;&lt;D xsi:type="xsd:double"&gt;1.1702042&lt;/D&gt;&lt;/FQL&gt;&lt;FQL&gt;&lt;Q&gt;CX-US^P_BETA_LOCIDX(45183,45008,,"SPX")&lt;/Q&gt;&lt;R&gt;1&lt;/R&gt;&lt;C&gt;1&lt;/C&gt;&lt;D xsi:type="xsd:double"&gt;1.1886207&lt;/D&gt;&lt;/FQL&gt;&lt;FQL&gt;&lt;Q&gt;CX-US^P_BETA_LOCIDX(45182,45007,,"SPX")&lt;/Q&gt;&lt;R&gt;1&lt;/R&gt;&lt;C&gt;1&lt;/C&gt;&lt;D xsi:type="xsd:double"&gt;1.1359702&lt;/D&gt;&lt;/FQL&gt;&lt;FQL&gt;&lt;Q&gt;CX-US^P_BETA_LOCIDX(45181,45006,,"SPX")&lt;/Q&gt;&lt;R&gt;1&lt;/R&gt;&lt;C&gt;1&lt;/C&gt;&lt;D xsi:type="xsd:double"&gt;1.163366&lt;/D&gt;&lt;/FQL&gt;&lt;FQL&gt;&lt;Q&gt;CX-US^P_BETA_LOCIDX(45180,45005,,"SPX")&lt;/Q&gt;&lt;R&gt;1&lt;/R&gt;&lt;C&gt;1&lt;/C&gt;&lt;D xsi:type="xsd:double"&gt;1.1456274&lt;/D&gt;&lt;/FQL&gt;&lt;FQL&gt;&lt;Q&gt;CX-US^P_BETA_LOCIDX(45177,45002,,"SPX")&lt;/Q&gt;&lt;R&gt;1&lt;/R&gt;&lt;C&gt;1&lt;/C&gt;&lt;D xsi:type="xsd:double"&gt;1.2076341&lt;/D&gt;&lt;/FQL&gt;&lt;FQL&gt;&lt;Q&gt;CX-US^P_BETA_LOCIDX(45176,45001,,"SPX")&lt;/Q&gt;&lt;R&gt;1&lt;/R&gt;&lt;C&gt;1&lt;/C&gt;&lt;D xsi:type="xsd:double"&gt;1.2073032&lt;/D&gt;&lt;/FQL&gt;&lt;FQL&gt;&lt;Q&gt;CX-US^P_BETA_LOCIDX(45175,45000,,"SPX")&lt;/Q&gt;&lt;R&gt;1&lt;/R&gt;&lt;C&gt;1&lt;/C&gt;&lt;D xsi:type="xsd:double"&gt;1.23486&lt;/D&gt;&lt;/FQL&gt;&lt;FQL&gt;&lt;Q&gt;CX-US^P_BETA_LOCIDX(45174,44999,,"SPX")&lt;/Q&gt;&lt;R&gt;1&lt;/R&gt;&lt;C&gt;1&lt;/C&gt;&lt;D xsi:type="xsd:double"&gt;1.2097003&lt;/D&gt;&lt;/FQL&gt;&lt;FQL&gt;&lt;Q&gt;CX-US^P_BETA_LOCIDX(45170,44998,,"SPX")&lt;/Q&gt;&lt;R&gt;1&lt;/R&gt;&lt;C&gt;1&lt;/C&gt;&lt;D xsi:type="xsd:double"&gt;1.1812296&lt;/D&gt;&lt;/FQL&gt;&lt;FQL&gt;&lt;Q&gt;CX-US^P_BETA_LOCIDX(45169,44995,,"SPX")&lt;/Q&gt;&lt;R&gt;1&lt;/R&gt;&lt;C&gt;1&lt;/C&gt;&lt;D xsi:type="xsd:double"&gt;1.2364178&lt;/D&gt;&lt;/FQL&gt;&lt;FQL&gt;&lt;Q&gt;CX-US^P_BETA_LOCIDX(45168,44994,,"SPX")&lt;/Q&gt;&lt;R&gt;1&lt;/R&gt;&lt;C&gt;1&lt;/C&gt;&lt;D xsi:type="xsd:double"&gt;1.2408055&lt;/D&gt;&lt;/FQL&gt;&lt;FQL&gt;&lt;Q&gt;CX-US^P_BETA_LOCIDX(45167,44993,,"SPX")&lt;/Q&gt;&lt;R&gt;1&lt;/R&gt;&lt;C&gt;1&lt;/C&gt;&lt;D xsi:type="xsd:double"&gt;1.2465196&lt;/D&gt;&lt;/FQL&gt;&lt;FQL&gt;&lt;Q&gt;CX-US^P_BETA_LOCIDX(45166,44992,,"SPX")&lt;/Q&gt;&lt;R&gt;1&lt;/R&gt;&lt;C&gt;1&lt;/C&gt;&lt;D xsi:type="xsd:double"&gt;1.3148898&lt;/D&gt;&lt;/FQL&gt;&lt;FQL&gt;&lt;Q&gt;CX-US^P_BETA_LOCIDX(45163,44991,,"SPX")&lt;/Q&gt;&lt;R&gt;1&lt;/R&gt;&lt;C&gt;1&lt;/C&gt;&lt;D xsi:type="xsd:double"&gt;1.3121382&lt;/D&gt;&lt;/FQL&gt;&lt;FQL&gt;&lt;Q&gt;CX-US^P_BETA_LOCIDX(45162,44988,,"SPX")&lt;/Q&gt;&lt;R&gt;1&lt;/R&gt;&lt;C&gt;1&lt;/C&gt;&lt;D xsi:type="xsd:double"&gt;1.3480808&lt;/D&gt;&lt;/FQL&gt;&lt;FQL&gt;&lt;Q&gt;CX-US^P_BETA_LOCIDX(45161,44987,,"SPX")&lt;/Q&gt;&lt;R&gt;1&lt;/R&gt;&lt;C&gt;1&lt;/C&gt;&lt;D xsi:type="xsd:double"&gt;1.3768264&lt;/D&gt;&lt;/FQL&gt;&lt;FQL&gt;&lt;Q&gt;CX-US^P_BETA_LOCIDX(45160,44986,,"SPX")&lt;/Q&gt;&lt;R&gt;1&lt;/R&gt;&lt;C&gt;1&lt;/C&gt;&lt;D xsi:type="xsd:double"&gt;1.3534374&lt;/D&gt;&lt;/FQL&gt;&lt;FQL&gt;&lt;Q&gt;CX-US^P_BETA_LOCIDX(45159,44985,,"SPX")&lt;/Q&gt;&lt;R&gt;1&lt;/R&gt;&lt;C&gt;1&lt;/C&gt;&lt;D xsi:type="xsd:double"&gt;1.3508706&lt;/D&gt;&lt;/FQL&gt;&lt;FQL&gt;&lt;Q&gt;CX-US^P_BETA_LOCIDX(45156,44984,,"SPX")&lt;/Q&gt;&lt;R&gt;1&lt;/R&gt;&lt;C&gt;1&lt;/C&gt;&lt;D xsi:type="xsd:double"&gt;1.34526&lt;/D&gt;&lt;/FQL&gt;&lt;FQL&gt;&lt;Q&gt;CX-US^P_BETA_LOCIDX(45155,44981,,"SPX")&lt;/Q&gt;&lt;R&gt;1&lt;/R&gt;&lt;C&gt;1&lt;/C&gt;&lt;D xsi:type="xsd:double"&gt;1.3540945&lt;/D&gt;&lt;/FQL&gt;&lt;FQL&gt;&lt;Q&gt;CX-US^P_BETA_LOCIDX(45154,44980,,"SPX")&lt;/Q&gt;&lt;R&gt;1&lt;/R&gt;&lt;C&gt;1&lt;/C&gt;&lt;D xsi:type="xsd:double"&gt;1.3036841&lt;/D&gt;&lt;/FQL&gt;&lt;FQL&gt;&lt;Q&gt;CX-US^P_BETA_LOCIDX(45153,44979,,"SPX")&lt;/Q&gt;&lt;R&gt;1&lt;/R&gt;&lt;C&gt;1&lt;/C&gt;&lt;D xsi:type="xsd:double"&gt;1.3239247&lt;/D&gt;&lt;/FQL&gt;&lt;FQL&gt;&lt;Q&gt;CX-US^P_BETA_LOCIDX(45152,44978,,"SPX")&lt;/Q&gt;&lt;R&gt;1&lt;/R&gt;&lt;C&gt;1&lt;/C&gt;&lt;D xsi:type="xsd:double"&gt;1.3746736&lt;/D&gt;&lt;/FQL&gt;&lt;FQL&gt;&lt;Q&gt;CX-US^P_BETA_LOCIDX(45149,44974,,"SPX")&lt;/Q&gt;&lt;R&gt;1&lt;/R&gt;&lt;C&gt;1&lt;/C&gt;&lt;D xsi:type="xsd:double"&gt;1.3688569&lt;/D&gt;&lt;/FQL&gt;&lt;FQL&gt;&lt;Q&gt;CX-US^P_BETA_LOCIDX(45148,44973,,"SPX")&lt;/Q&gt;&lt;R&gt;1&lt;/R&gt;&lt;C&gt;1&lt;/C&gt;&lt;D xsi:type="xsd:double"&gt;1.3816687&lt;/D&gt;&lt;/FQL&gt;&lt;FQL&gt;&lt;Q&gt;CX-US^P_BETA_LOCIDX(45147,44972,,"SPX")&lt;/Q&gt;&lt;R&gt;1&lt;/R&gt;&lt;C&gt;1&lt;/C&gt;&lt;D xsi:type="xsd:double"&gt;1.3822428&lt;/D&gt;&lt;/FQL&gt;&lt;FQL&gt;&lt;Q&gt;CX-US^P_BETA_LOCIDX(45146,44971,,"SPX")&lt;/Q&gt;&lt;R&gt;1&lt;/R&gt;&lt;C&gt;1&lt;/C&gt;&lt;D xsi:type="xsd:double"&gt;1.3908355&lt;/D&gt;&lt;/FQL&gt;&lt;FQL&gt;&lt;Q&gt;CX-US^P_BETA_LOCIDX(45145,44970,,"SPX")&lt;/Q&gt;&lt;R&gt;1&lt;/R&gt;&lt;C&gt;1&lt;/C&gt;&lt;D xsi:type="xsd:double"&gt;1.3877034&lt;/D&gt;&lt;/FQL&gt;&lt;FQL&gt;&lt;Q&gt;CX-US^P_BETA_LOCIDX(45142,44967,,"SPX")&lt;/Q&gt;&lt;R&gt;1&lt;/R&gt;&lt;C&gt;1&lt;/C&gt;&lt;D xsi:type="xsd:double"&gt;1.3719777&lt;/D&gt;&lt;/FQL&gt;&lt;FQL&gt;&lt;Q&gt;CX-US^P_BETA_LOCIDX(45141,44966,,"SPX")&lt;/Q&gt;&lt;R&gt;1&lt;/R&gt;&lt;C&gt;1&lt;/C&gt;&lt;D xsi:type="xsd:double"&gt;1.3800799&lt;/D&gt;&lt;/FQL&gt;&lt;FQL&gt;&lt;Q&gt;CX-US^P_BETA_LOCIDX(45140,44965,,"SPX")&lt;/Q&gt;&lt;R&gt;1&lt;/R&gt;&lt;C&gt;1&lt;/C&gt;&lt;D xsi:type="xsd:double"&gt;1.3639508&lt;/D&gt;&lt;/FQL&gt;&lt;FQL&gt;&lt;Q&gt;CX-US^P_BETA_LOCIDX(45139,44964,,"SPX")&lt;/Q&gt;&lt;R&gt;1&lt;/R&gt;&lt;C&gt;1&lt;/C&gt;&lt;D xsi:type="xsd:double"&gt;1.326725&lt;/D&gt;&lt;/FQL&gt;&lt;FQL&gt;&lt;Q&gt;CX-US^P_BETA_LOCIDX(45138,44963,,"SPX")&lt;/Q&gt;&lt;R&gt;1&lt;/R&gt;&lt;C&gt;1&lt;/C&gt;&lt;D xsi:type="xsd:double"&gt;1.3359292&lt;/D&gt;&lt;/FQL&gt;&lt;FQL&gt;&lt;Q&gt;CX-US^P_BETA_LOCIDX(45135,44960,,"SPX")&lt;/Q&gt;&lt;R&gt;1&lt;/R&gt;&lt;C&gt;1&lt;/C&gt;&lt;D xsi:type="xsd:double"&gt;1.3425779&lt;/D&gt;&lt;/FQL&gt;&lt;FQL&gt;&lt;Q&gt;CX-US^P_BETA_LOCIDX(45134,44959,,"SPX")&lt;/Q&gt;&lt;R&gt;1&lt;/R&gt;&lt;C&gt;1&lt;/C&gt;&lt;D xsi:type="xsd:double"&gt;1.3046565&lt;/D&gt;&lt;/FQL&gt;&lt;FQL&gt;&lt;Q&gt;CX-US^P_BETA_LOCIDX(45133,44958,,"SPX")&lt;/Q&gt;&lt;R&gt;1&lt;/R&gt;&lt;C&gt;1&lt;/C&gt;&lt;D xsi:type="xsd:double"&gt;1.3267366&lt;/D&gt;&lt;/FQL&gt;&lt;FQL&gt;&lt;Q&gt;CX-US^P_BETA_LOCIDX(45132,44957,,"SPX")&lt;/Q&gt;&lt;R&gt;1&lt;/R&gt;&lt;C&gt;1&lt;/C&gt;&lt;D xsi:type="xsd:double"&gt;1.309938&lt;/D&gt;&lt;/FQL&gt;&lt;FQL&gt;&lt;Q&gt;CX-US^P_BETA_LOCIDX(45131,44956,,"SPX")&lt;/Q&gt;&lt;R&gt;1&lt;/R&gt;&lt;C&gt;1&lt;/C&gt;&lt;D xsi:type="xsd:double"&gt;1.3085939&lt;/D&gt;&lt;/FQL&gt;&lt;FQL&gt;&lt;Q&gt;CX-US^P_BETA_LOCIDX(45128,44953,,"SPX")&lt;/Q&gt;&lt;R&gt;1&lt;/R&gt;&lt;C&gt;1&lt;/C&gt;&lt;D xsi:type="xsd:double"&gt;1.3132182&lt;/D&gt;&lt;/FQL&gt;&lt;FQL&gt;&lt;Q&gt;CX-US^P_BETA_LOCIDX(45127,44952,,"SPX")&lt;/Q&gt;&lt;R&gt;1&lt;/R&gt;&lt;C&gt;1&lt;/C&gt;&lt;D xsi:type="xsd:double"&gt;1.3473235&lt;/D&gt;&lt;/FQL&gt;&lt;FQL&gt;&lt;Q&gt;CX-US^P_BETA_LOCIDX(45126,44951,,"SPX")&lt;/Q&gt;&lt;R&gt;1&lt;/R&gt;&lt;C&gt;1&lt;/C&gt;&lt;D xsi:type="xsd:double"&gt;1.3521519&lt;/D&gt;&lt;/FQL&gt;&lt;FQL&gt;&lt;Q&gt;CX-US^P_BETA_LOCIDX(45125,44950,,"SPX")&lt;/Q&gt;&lt;R&gt;1&lt;/R&gt;&lt;C&gt;1&lt;/C&gt;&lt;D xsi:type="xsd:double"&gt;1.351526&lt;/D&gt;&lt;/FQL&gt;&lt;FQL&gt;&lt;Q&gt;CX-US^P_BETA_LOCIDX(45124,44949,,"SPX")&lt;/Q&gt;&lt;R&gt;1&lt;/R&gt;&lt;C&gt;1&lt;/C&gt;&lt;D xsi:type="xsd:double"&gt;1.3292314&lt;/D&gt;&lt;/FQL&gt;&lt;FQL&gt;&lt;Q&gt;CX-US^P_BETA_LOCIDX(45121,44946,,"SPX")&lt;/Q&gt;&lt;R&gt;1&lt;/R&gt;&lt;C&gt;1&lt;/C&gt;&lt;D xsi:type="xsd:double"&gt;1.3334377&lt;/D&gt;&lt;/FQL&gt;&lt;FQL&gt;&lt;Q&gt;CX-US^P_BETA_LOCIDX(45120,44945,,"SPX")&lt;/Q&gt;&lt;R&gt;1&lt;/R&gt;&lt;C&gt;1&lt;/C&gt;&lt;D xsi:type="xsd:double"&gt;1.3307111&lt;/D&gt;&lt;/FQL&gt;&lt;FQL&gt;&lt;Q&gt;CX-US^P_BETA_LOCIDX(45119,44944,,"SPX")&lt;/Q&gt;&lt;R&gt;1&lt;/R&gt;&lt;C&gt;1&lt;/C&gt;&lt;D xsi:type="xsd:double"&gt;1.3135478&lt;/D&gt;&lt;/FQL&gt;&lt;FQL&gt;&lt;Q&gt;CX-US^P_BETA_LOCIDX(45118,44943,,"SPX")&lt;/Q&gt;&lt;R&gt;1&lt;/R&gt;&lt;C&gt;1&lt;/C&gt;&lt;D xsi:type="xsd:double"&gt;1.3126849&lt;/D&gt;&lt;/FQL&gt;&lt;FQL&gt;&lt;Q&gt;CX-US^P_BETA_LOCIDX(45117,44939,,"SPX")&lt;/Q&gt;&lt;R&gt;1&lt;/R&gt;&lt;C&gt;1&lt;/C&gt;&lt;D xsi:type="xsd:double"&gt;1.2993983&lt;/D&gt;&lt;/FQL&gt;&lt;FQL&gt;&lt;Q&gt;CX-US^P_BETA_LOCIDX(45114,44938,,"SPX")&lt;/Q&gt;&lt;R&gt;1&lt;/R&gt;&lt;C&gt;1&lt;/C&gt;&lt;D xsi:type="xsd:double"&gt;1.301076&lt;/D&gt;&lt;/FQL&gt;&lt;FQL&gt;&lt;Q&gt;CX-US^P_BETA_LOCIDX(45113,44937,,"SPX")&lt;/Q&gt;&lt;R&gt;1&lt;/R&gt;&lt;C&gt;1&lt;/C&gt;&lt;D xsi:type="xsd:double"&gt;1.4043591&lt;/D&gt;&lt;/FQL&gt;&lt;FQL&gt;&lt;Q&gt;CX-US^P_BETA_LOCIDX(45112,44936,,"SPX")&lt;/Q&gt;&lt;R&gt;1&lt;/R&gt;&lt;C&gt;1&lt;/C&gt;&lt;D xsi:type="xsd:double"&gt;1.3554832&lt;/D&gt;&lt;/FQL&gt;&lt;FQL&gt;&lt;Q&gt;CX-US^P_BETA_LOCIDX(45110,44935,,"SPX")&lt;/Q&gt;&lt;R&gt;1&lt;/R&gt;&lt;C&gt;1&lt;/C&gt;&lt;D xsi:type="xsd:double"&gt;1.3555883&lt;/D&gt;&lt;/FQL&gt;&lt;FQL&gt;&lt;Q&gt;CX-US^P_BETA_LOCIDX(45107,44932,,"SPX")&lt;/Q&gt;&lt;R&gt;1&lt;/R&gt;&lt;C&gt;1&lt;/C&gt;&lt;D xsi:type="xsd:double"&gt;1.3819959&lt;/D&gt;&lt;/FQL&gt;&lt;FQL&gt;&lt;Q&gt;CX-US^P_BETA_LOCIDX(45106,44931,,"SPX")&lt;/Q&gt;&lt;R&gt;1&lt;/R&gt;&lt;C&gt;1&lt;/C&gt;&lt;D xsi:type="xsd:double"&gt;1.368818&lt;/D&gt;&lt;/FQL&gt;&lt;FQL&gt;&lt;Q&gt;CX-US^P_BETA_LOCIDX(45105,44930,,"SPX")&lt;/Q&gt;&lt;R&gt;1&lt;/R&gt;&lt;C&gt;1&lt;/C&gt;&lt;D xsi:type="xsd:double"&gt;1.4020469&lt;/D&gt;&lt;/FQL&gt;&lt;FQL&gt;&lt;Q&gt;CX-US^P_BETA_LOCIDX(45104,44929,,"SPX")&lt;/Q&gt;&lt;R&gt;1&lt;/R&gt;&lt;C&gt;1&lt;/C&gt;&lt;D xsi:type="xsd:double"&gt;1.3899146&lt;/D&gt;&lt;/FQL&gt;&lt;FQL&gt;&lt;Q&gt;CX-US^P_BETA_LOCIDX(45103,44925,,"SPX")&lt;/Q&gt;&lt;R&gt;1&lt;/R&gt;&lt;C&gt;1&lt;/C&gt;&lt;D xsi:type="xsd:double"&gt;1.3957095&lt;/D&gt;&lt;/FQL&gt;&lt;FQL&gt;&lt;Q&gt;CX-US^P_BETA_LOCIDX(45100,44924,,"SPX")&lt;/Q&gt;&lt;R&gt;1&lt;/R&gt;&lt;C&gt;1&lt;/C&gt;&lt;D xsi:type="xsd:double"&gt;1.3685721&lt;/D&gt;&lt;/FQL&gt;&lt;FQL&gt;&lt;Q&gt;CX-US^P_BETA_LOCIDX(45099,44923,,"SPX")&lt;/Q&gt;&lt;R&gt;1&lt;/R&gt;&lt;C&gt;1&lt;/C&gt;&lt;D xsi:type="xsd:double"&gt;1.3755764&lt;/D&gt;&lt;/FQL&gt;&lt;FQL&gt;&lt;Q&gt;CX-US^P_BETA_LOCIDX(45098,44922,,"SPX")&lt;/Q&gt;&lt;R&gt;1&lt;/R&gt;&lt;C&gt;1&lt;/C&gt;&lt;D xsi:type="xsd:double"&gt;1.3902872&lt;/D&gt;&lt;/FQL&gt;&lt;FQL&gt;&lt;Q&gt;CX-US^P_BETA_LOCIDX(45097,44918,,"SPX")&lt;/Q&gt;&lt;R&gt;1&lt;/R&gt;&lt;C&gt;1&lt;/C&gt;&lt;D xsi:type="xsd:double"&gt;1.3991604&lt;/D&gt;&lt;/FQL&gt;&lt;FQL&gt;&lt;Q&gt;CX-US^P_BETA_LOCIDX(45093,44917,,"SPX")&lt;/Q&gt;&lt;R&gt;1&lt;/R&gt;&lt;C&gt;1&lt;/C&gt;&lt;D xsi:type="xsd:double"&gt;1.3830692&lt;/D&gt;&lt;/FQL&gt;&lt;FQL&gt;&lt;Q&gt;CX-US^P_BETA_LOCIDX(45092,44916,,"SPX")&lt;/Q&gt;&lt;R&gt;1&lt;/R&gt;&lt;C&gt;1&lt;/C&gt;&lt;D xsi:type="xsd:double"&gt;1.3816326&lt;/D&gt;&lt;/FQL&gt;&lt;FQL&gt;&lt;Q&gt;CX-US^P_BETA_LOCIDX(45091,44915,,"SPX")&lt;/Q&gt;&lt;R&gt;1&lt;/R&gt;&lt;C&gt;1&lt;/C&gt;&lt;D xsi:type="xsd:double"&gt;1.3968846&lt;/D&gt;&lt;/FQL&gt;&lt;FQL&gt;&lt;Q&gt;CX-US^P_BETA_LOCIDX(45090,44914,,"SPX")&lt;/Q&gt;&lt;R&gt;1&lt;/R&gt;&lt;C&gt;1&lt;/C&gt;&lt;D xsi:type="xsd:double"&gt;1.3815633&lt;/D&gt;&lt;/FQL&gt;&lt;FQL&gt;&lt;Q&gt;CX-US^P_BETA_LOCIDX(45089,44911,,"SPX")&lt;/Q&gt;&lt;R&gt;1&lt;/R&gt;&lt;C&gt;1&lt;/C&gt;&lt;D xsi:type="xsd:double"&gt;1.3534977&lt;/D&gt;&lt;/FQL&gt;&lt;FQL&gt;&lt;Q&gt;CX-US^P_BETA_LOCIDX(45086,44910,,"SPX")&lt;/Q&gt;&lt;R&gt;1&lt;/R&gt;&lt;C&gt;1&lt;/C&gt;&lt;D xsi:type="xsd:double"&gt;1.3903106&lt;/D&gt;&lt;/FQL&gt;&lt;FQL&gt;&lt;Q&gt;CX-US^P_BETA_LOCIDX(45085,44909,,"SPX")&lt;/Q&gt;&lt;R&gt;1&lt;/R&gt;&lt;C&gt;1&lt;/C&gt;&lt;D xsi:type="xsd:double"&gt;1.387129&lt;/D&gt;&lt;/FQL&gt;&lt;FQL&gt;&lt;Q&gt;CX-US^P_BETA_LOCIDX(45084,44908,,"SPX")&lt;/Q&gt;&lt;R&gt;1&lt;/R&gt;&lt;C&gt;1&lt;/C&gt;&lt;D xsi:type="xsd:double"&gt;1.3907087&lt;/D&gt;&lt;/FQL&gt;&lt;FQL&gt;&lt;Q&gt;CX-US^P_BETA_LOCIDX(45083,44907,,"SPX")&lt;/Q&gt;&lt;R&gt;1&lt;/R&gt;&lt;C&gt;1&lt;/C&gt;&lt;D xsi:type="xsd:double"&gt;1.3644022&lt;/D&gt;&lt;/FQL&gt;&lt;FQL&gt;&lt;Q&gt;CX-US^P_BETA_LOCIDX(45082,44904,,"SPX")&lt;/Q&gt;&lt;R&gt;1&lt;/R&gt;&lt;C&gt;1&lt;/C&gt;&lt;D xsi:type="xsd:double"&gt;1.359966&lt;/D&gt;&lt;/FQL&gt;&lt;FQL&gt;&lt;Q&gt;CX-US^P_BETA_LOCIDX(45079,44903,,"SPX")&lt;/Q&gt;&lt;R&gt;1&lt;/R&gt;&lt;C&gt;1&lt;/C&gt;&lt;D xsi:type="xsd:double"&gt;1.3548816&lt;/D&gt;&lt;/FQL&gt;&lt;FQL&gt;&lt;Q&gt;CX-US^P_BETA_LOCIDX(45078,44902,,"SPX")&lt;/Q&gt;&lt;R&gt;1&lt;/R&gt;&lt;C&gt;1&lt;/C&gt;&lt;D xsi:type="xsd:double"&gt;1.3243395&lt;/D&gt;&lt;/FQL&gt;&lt;FQL&gt;&lt;Q&gt;CX-US^P_BETA_LOCIDX(45077,44901,,"SPX")&lt;/Q&gt;&lt;R&gt;1&lt;/R&gt;&lt;C&gt;1&lt;/C&gt;&lt;D xsi:type="xsd:double"&gt;1.2911451&lt;/D&gt;&lt;/FQL&gt;&lt;FQL&gt;&lt;Q&gt;CX-US^P_BETA_LOCIDX(45076,44900,,"SPX")&lt;/Q&gt;&lt;R&gt;1&lt;/R&gt;&lt;C&gt;1&lt;/C&gt;&lt;D xsi:type="xsd:double"&gt;1.3271189&lt;/D&gt;&lt;/FQL&gt;&lt;FQL&gt;&lt;Q&gt;CX-US^P_BETA_LOCIDX(45072,44897,,"SPX")&lt;/Q&gt;&lt;R&gt;1&lt;/R&gt;&lt;C&gt;1&lt;/C&gt;&lt;D xsi:type="xsd:double"&gt;1.3291674&lt;/D&gt;&lt;/FQL&gt;&lt;FQL&gt;&lt;Q&gt;CX-US^P_BETA_LOCIDX(45071,44896,,"SPX")&lt;/Q&gt;&lt;R&gt;1&lt;/R&gt;&lt;C&gt;1&lt;/C&gt;&lt;D xsi:type="xsd:double"&gt;1.3404278&lt;/D&gt;&lt;/FQL&gt;&lt;FQL&gt;&lt;Q&gt;CX-US^P_BETA_LOCIDX(45070,44895,,"SPX")&lt;/Q&gt;&lt;R&gt;1&lt;/R&gt;&lt;C&gt;1&lt;/C&gt;&lt;D xsi:type="xsd:double"&gt;1.3360893&lt;/D&gt;&lt;/FQL&gt;&lt;FQL&gt;&lt;Q&gt;CX-US^P_BETA_LOCIDX(45069,44894,,"SPX")&lt;/Q&gt;&lt;R&gt;1&lt;/R&gt;&lt;C&gt;1&lt;/C&gt;&lt;D xsi:type="xsd:double"&gt;1.342015&lt;/D&gt;&lt;/FQL&gt;&lt;FQL&gt;&lt;Q&gt;CX-US^P_BETA_LOCIDX(45068,44893,,"SPX")&lt;/Q&gt;&lt;R&gt;1&lt;/R&gt;&lt;C&gt;1&lt;/C&gt;&lt;D xsi:type="xsd:double"&gt;1.336466&lt;/D&gt;&lt;/FQL&gt;&lt;FQL&gt;&lt;Q&gt;CX-US^P_BETA_LOCIDX(45065,44890,,"SPX")&lt;/Q&gt;&lt;R&gt;1&lt;/R&gt;&lt;C&gt;1&lt;/C&gt;&lt;D xsi:type="xsd:double"&gt;1.3364305&lt;/D&gt;&lt;/FQL&gt;&lt;FQL&gt;&lt;Q&gt;CX-US^P_BETA_LOCIDX(45064,44888,,"SPX")&lt;/Q&gt;&lt;R&gt;1&lt;/R&gt;&lt;C&gt;1&lt;/C&gt;&lt;D xsi:type="xsd:double"&gt;1.3393523&lt;/D&gt;&lt;/FQL&gt;&lt;FQL&gt;&lt;Q&gt;CX-US^P_BETA_LOCIDX(45063,44887,,"SPX")&lt;/Q&gt;&lt;R&gt;1&lt;/R&gt;&lt;C&gt;1&lt;/C&gt;&lt;D xsi:type="xsd:double"&gt;1.3491342&lt;/D&gt;&lt;/FQL&gt;&lt;FQL&gt;&lt;Q&gt;CX-US^P_BETA_LOCIDX(45062,44886,,"SPX")&lt;/Q&gt;&lt;R&gt;1&lt;/R&gt;&lt;C&gt;1&lt;/C&gt;&lt;D xsi:type="xsd:double"&gt;1.3703114&lt;/D&gt;&lt;/FQL&gt;&lt;FQL&gt;&lt;Q&gt;CX-US^P_BETA_LOCIDX(45061,44883,,"SPX")&lt;/Q&gt;&lt;R&gt;1&lt;/R&gt;&lt;C&gt;1&lt;/C&gt;&lt;D xsi:type="xsd:double"&gt;1.3726187&lt;/D&gt;&lt;/FQL&gt;&lt;FQL&gt;&lt;Q&gt;CX-US^P_BETA_LOCIDX(45058,44882,,"SPX")&lt;/Q&gt;&lt;R&gt;1&lt;/R&gt;&lt;C&gt;1&lt;/C&gt;&lt;D xsi:type="xsd:double"&gt;1.3798989&lt;/D&gt;&lt;/FQL&gt;&lt;FQL&gt;&lt;Q&gt;CX-US^P_BETA_LOCIDX(45057,44881,,"SPX")&lt;/Q&gt;&lt;R&gt;1&lt;/R&gt;&lt;C&gt;1&lt;/C&gt;&lt;D xsi:type="xsd:double"&gt;1.3579342&lt;/D&gt;&lt;/FQL&gt;&lt;FQL&gt;&lt;Q&gt;CX-US^P_BETA_LOCIDX(45056,44880,,"SPX")&lt;/Q&gt;&lt;R&gt;1&lt;/R&gt;&lt;C&gt;1&lt;/C&gt;&lt;D xsi:type="xsd:double"&gt;1.350367&lt;/D&gt;&lt;/FQL&gt;&lt;FQL&gt;&lt;Q&gt;CX-US^P_BETA_LOCIDX(45055,44879,,"SPX")&lt;/Q&gt;&lt;R&gt;1&lt;/R&gt;&lt;C&gt;1&lt;/C&gt;&lt;D xsi:type="xsd:double"&gt;1.366118&lt;/D&gt;&lt;/FQL&gt;&lt;FQL&gt;&lt;Q&gt;CX-US^P_BETA_LOCIDX(45054,44876,,"SPX")&lt;/Q&gt;&lt;R&gt;1&lt;/R&gt;&lt;C&gt;1&lt;/C&gt;&lt;D xsi:type="xsd:double"&gt;1.3973407&lt;/D&gt;&lt;/FQL&gt;&lt;FQL&gt;&lt;Q&gt;CX-US^P_BETA_LOCIDX(45051,44875,,"SPX")&lt;/Q&gt;&lt;R&gt;1&lt;/R&gt;&lt;C&gt;1&lt;/C&gt;&lt;D xsi:type="xsd:double"&gt;1.4279743&lt;/D&gt;&lt;/FQL&gt;&lt;FQL&gt;&lt;Q&gt;CX-US^P_BETA_LOCIDX(45050,44874,,"SPX")&lt;/Q&gt;&lt;R&gt;1&lt;/R&gt;&lt;C&gt;1&lt;/C&gt;&lt;D xsi:type="xsd:double"&gt;1.4060748&lt;/D&gt;&lt;/FQL&gt;&lt;FQL&gt;&lt;Q&gt;CX-US^P_BETA_LOCIDX(45049,44873,,"SPX")&lt;/Q&gt;&lt;R&gt;1&lt;/R&gt;&lt;C&gt;1&lt;/C&gt;&lt;D xsi:type="xsd:double"&gt;1.4145571&lt;/D&gt;&lt;/FQL&gt;&lt;FQL&gt;&lt;Q&gt;CX-US^P_BETA_LOCIDX(45048,44872,,"SPX")&lt;/Q&gt;&lt;R&gt;1&lt;/R&gt;&lt;C&gt;1&lt;/C&gt;&lt;D xsi:type="xsd:double"&gt;1.4020574&lt;/D&gt;&lt;/FQL&gt;&lt;FQL&gt;&lt;Q&gt;CX-US^P_BETA_LOCIDX(45047,44869,,"SPX")&lt;/Q&gt;&lt;R&gt;1&lt;/R&gt;&lt;C&gt;1&lt;/C&gt;&lt;D xsi:type="xsd:double"&gt;1.4965074&lt;/D&gt;&lt;/FQL&gt;&lt;FQL&gt;&lt;Q&gt;CX-US^P_BETA_LOCIDX(45044,44868,,"SPX")&lt;/Q&gt;&lt;R&gt;1&lt;/R&gt;&lt;C&gt;1&lt;/C&gt;&lt;D xsi:type="xsd:double"&gt;1.4824594&lt;/D&gt;&lt;/FQL&gt;&lt;FQL&gt;&lt;Q&gt;CX-US^P_BETA_LOCIDX(45043,44867,,"SPX")&lt;/Q&gt;&lt;R&gt;1&lt;/R&gt;&lt;C&gt;1&lt;/C&gt;&lt;D xsi:type="xsd:double"&gt;1.5141314&lt;/D&gt;&lt;/FQL&gt;&lt;FQL&gt;&lt;Q&gt;CX-US^P_BETA_LOCIDX(45042,44866,,"SPX")&lt;/Q&gt;&lt;R&gt;1&lt;/R&gt;&lt;C&gt;1&lt;/C&gt;&lt;D xsi:type="xsd:double"&gt;1.5255972&lt;/D&gt;&lt;/FQL&gt;&lt;FQL&gt;&lt;Q&gt;CX-US^P_BETA_LOCIDX(45041,44865,,"SPX")&lt;/Q&gt;&lt;R&gt;1&lt;/R&gt;&lt;C&gt;1&lt;/C&gt;&lt;D xsi:type="xsd:double"&gt;1.5088146&lt;/D&gt;&lt;/FQL&gt;&lt;FQL&gt;&lt;Q&gt;CX-US^P_BETA_LOCIDX(45040,44862,,"SPX")&lt;/Q&gt;&lt;R&gt;1&lt;/R&gt;&lt;C&gt;1&lt;/C&gt;&lt;D xsi:type="xsd:double"&gt;1.5656434&lt;/D&gt;&lt;/FQL&gt;&lt;FQL&gt;&lt;Q&gt;CX-US^P_BETA_LOCIDX(45037,44861,,"SPX")&lt;/Q&gt;&lt;R&gt;1&lt;/R&gt;&lt;C&gt;1&lt;/C&gt;&lt;D xsi:type="xsd:double"&gt;1.5815732&lt;/D&gt;&lt;/FQL&gt;&lt;FQL&gt;&lt;Q&gt;CX-US^P_BETA_LOCIDX(45036,44860,,"SPX")&lt;/Q&gt;&lt;R&gt;1&lt;/R&gt;&lt;C&gt;1&lt;/C&gt;&lt;D xsi:type="xsd:double"&gt;1.5659657&lt;/D&gt;&lt;/FQL&gt;&lt;FQL&gt;&lt;Q&gt;CX-US^P_BETA_LOCIDX(45035,44859,,"SPX")&lt;/Q&gt;&lt;R&gt;1&lt;/R&gt;&lt;C&gt;1&lt;/C&gt;&lt;D xsi:type="xsd:double"&gt;1.5626684&lt;/D&gt;&lt;/FQL&gt;&lt;FQL&gt;&lt;Q&gt;CX-US^P_BETA_LOCIDX(45034,44858,,"SPX")&lt;/Q&gt;&lt;R&gt;1&lt;/R&gt;&lt;C&gt;1&lt;/C&gt;&lt;D xsi:type="xsd:double"&gt;1.5518999&lt;/D&gt;&lt;/FQL&gt;&lt;FQL&gt;&lt;Q&gt;CX-US^P_BETA_LOCIDX(45033,44855,,"SPX")&lt;/Q&gt;&lt;R&gt;1&lt;/R&gt;&lt;C&gt;1&lt;/C&gt;&lt;D xsi:type="xsd:double"&gt;1.5457464&lt;/D&gt;&lt;/FQL&gt;&lt;FQL&gt;&lt;Q&gt;CX-US^P_BETA_LOCIDX(45030,44854,,"SPX")&lt;/Q&gt;&lt;R&gt;1&lt;/R&gt;&lt;C&gt;1&lt;/C&gt;&lt;D xsi:type="xsd:double"&gt;1.5370709&lt;/D&gt;&lt;/FQL&gt;&lt;FQL&gt;&lt;Q&gt;CX-US^P_BETA_LOCIDX(45029,44853,,"SPX")&lt;/Q&gt;&lt;R&gt;1&lt;/R&gt;&lt;C&gt;1&lt;/C&gt;&lt;D xsi:type="xsd:double"&gt;1.5471497&lt;/D&gt;&lt;/FQL&gt;&lt;FQL&gt;&lt;Q&gt;CX-US^P_BETA_LOCIDX(45028,44852,,"SPX")&lt;/Q&gt;&lt;R&gt;1&lt;/R&gt;&lt;C&gt;1&lt;/C&gt;&lt;D xsi:type="xsd:double"&gt;1.513356&lt;/D&gt;&lt;/FQL&gt;&lt;FQL&gt;&lt;Q&gt;CX-US^P_BETA_LOCIDX(45027,44851,,"SPX")&lt;/Q&gt;&lt;R&gt;1&lt;/R&gt;&lt;C&gt;1&lt;/C&gt;&lt;D xsi:type="xsd:double"&gt;1.5651356&lt;/D&gt;&lt;/FQL&gt;&lt;FQL&gt;&lt;Q&gt;CX-US^P_BETA_LOCIDX(45026,44848,,"SPX")&lt;/Q&gt;&lt;R&gt;1&lt;/R&gt;&lt;C&gt;1&lt;/C&gt;&lt;D xsi:type="xsd:double"&gt;1.5799564&lt;/D&gt;&lt;/FQL&gt;&lt;FQL&gt;&lt;Q&gt;CX-US^P_BETA_LOCIDX(45022,44847,,"SPX")&lt;/Q&gt;&lt;R&gt;1&lt;/R&gt;&lt;C&gt;1&lt;/C&gt;&lt;D xsi:type="xsd:double"&gt;1.5106093&lt;/D&gt;&lt;/FQL&gt;&lt;FQL&gt;&lt;Q&gt;CX-US^P_BETA_LOCIDX(45021,44846,,"SPX")&lt;/Q&gt;&lt;R&gt;1&lt;/R&gt;&lt;C&gt;1&lt;/C&gt;&lt;D xsi:type="xsd:double"&gt;1.510463&lt;/D&gt;&lt;/FQL&gt;&lt;FQL&gt;&lt;Q&gt;CX-US^P_BETA_LOCIDX(45020,44845,,"SPX")&lt;/Q&gt;&lt;R&gt;1&lt;/R&gt;&lt;C&gt;1&lt;/C&gt;&lt;D xsi:type="xsd:double"&gt;1.5083606&lt;/D&gt;&lt;/FQL&gt;&lt;FQL&gt;&lt;Q&gt;CX-US^P_BETA_LOCIDX(45019,44844,,"SPX")&lt;/Q&gt;&lt;R&gt;1&lt;/R&gt;&lt;C&gt;1&lt;/C&gt;&lt;D xsi:type="xsd:double"&gt;1.519556&lt;/D&gt;&lt;/FQL&gt;&lt;FQL&gt;&lt;Q&gt;CX-US^P_BETA_LOCIDX(45016,44841,,"SPX")&lt;/Q&gt;&lt;R&gt;1&lt;/R&gt;&lt;C&gt;1&lt;/C&gt;&lt;D xsi:type="xsd:double"&gt;1.4867196&lt;/D&gt;&lt;/FQL&gt;&lt;FQL&gt;&lt;Q&gt;CX-US^P_BETA_LOCIDX(45015,44840,,"SPX")&lt;/Q&gt;&lt;R&gt;1&lt;/R&gt;&lt;C&gt;1&lt;/C&gt;&lt;D xsi:type="xsd:double"&gt;1.4856029&lt;/D&gt;&lt;/FQL&gt;&lt;FQL&gt;&lt;Q&gt;CX-US^P_BETA_LOCIDX(45014,44839,,"SPX")&lt;/Q&gt;&lt;R&gt;1&lt;/R&gt;&lt;C&gt;1&lt;/C&gt;&lt;D xsi:type="xsd:double"&gt;1.4906037&lt;/D&gt;&lt;/FQL&gt;&lt;FQL&gt;&lt;Q&gt;CX-US^P_BETA_LOCIDX(45013,44838,,"SPX")&lt;/Q&gt;&lt;R&gt;1&lt;/R&gt;&lt;C&gt;1&lt;/C&gt;&lt;D xsi:type="xsd:double"&gt;1.5105901&lt;/D&gt;&lt;/FQL&gt;&lt;FQL&gt;&lt;Q&gt;CX-US^P_BETA_LOCIDX(45012,44837,,"SPX")&lt;/Q&gt;&lt;R&gt;1&lt;/R&gt;&lt;C&gt;1&lt;/C&gt;&lt;D xsi:type="xsd:double"&gt;1.4824934&lt;/D&gt;&lt;/FQL&gt;&lt;FQL&gt;&lt;Q&gt;CX-US^P_BETA_LOCIDX(45009,44834,,"SPX")&lt;/Q&gt;&lt;R&gt;1&lt;/R&gt;&lt;C&gt;1&lt;/C&gt;&lt;D xsi:type="xsd:double"&gt;1.4618219&lt;/D&gt;&lt;/FQL&gt;&lt;FQL&gt;&lt;Q&gt;CX-US^P_BETA_LOCIDX(45008,44833,,"SPX")&lt;/Q&gt;&lt;R&gt;1&lt;/R&gt;&lt;C&gt;1&lt;/C&gt;&lt;D xsi:type="xsd:double"&gt;1.439104&lt;/D&gt;&lt;/FQL&gt;&lt;FQL&gt;&lt;Q&gt;CX-US^P_BETA_LOCIDX(45007,44832,,"SPX")&lt;/Q&gt;&lt;R&gt;1&lt;/R&gt;&lt;C&gt;1&lt;/C&gt;&lt;D xsi:type="xsd:double"&gt;1.4438837&lt;/D&gt;&lt;/FQL&gt;&lt;FQL&gt;&lt;Q&gt;CX-US^P_BETA_LOCIDX(45006,44831,,"SPX")&lt;/Q&gt;&lt;R&gt;1&lt;/R&gt;&lt;C&gt;1&lt;/C&gt;&lt;D xsi:type="xsd:double"&gt;1.4666548&lt;/D&gt;&lt;/FQL&gt;&lt;FQL&gt;&lt;Q&gt;CX-US^P_BETA_LOCIDX(45005,44830,,"SPX")&lt;/Q&gt;&lt;R&gt;1&lt;/R&gt;&lt;C&gt;1&lt;/C&gt;&lt;D xsi:type="xsd:double"&gt;1.4753072&lt;/D&gt;&lt;/FQL&gt;&lt;FQL&gt;&lt;Q&gt;CX-US^P_BETA_LOCIDX(45002,44827,,"SPX")&lt;/Q&gt;&lt;R&gt;1&lt;/R&gt;&lt;C&gt;1&lt;/C&gt;&lt;D xsi:type="xsd:double"&gt;1.4741267&lt;/D&gt;&lt;/FQL&gt;&lt;FQL&gt;&lt;Q&gt;CX-US^P_BETA_LOCIDX(45001,44826,,"SPX")&lt;/Q&gt;&lt;R&gt;1&lt;/R&gt;&lt;C&gt;1&lt;/C&gt;&lt;D xsi:type="xsd:double"&gt;1.4728513&lt;/D&gt;&lt;/FQL&gt;&lt;FQL&gt;&lt;Q&gt;CX-US^P_BETA_LOCIDX(45000,44825,,"SPX")&lt;/Q&gt;&lt;R&gt;1&lt;/R&gt;&lt;C&gt;1&lt;/C&gt;&lt;D xsi:type="xsd:double"&gt;1.4514548&lt;/D&gt;&lt;/FQL&gt;&lt;FQL&gt;&lt;Q&gt;CX-US^P_BETA_LOCIDX(44999,44824,,"SPX")&lt;/Q&gt;&lt;R&gt;1&lt;/R&gt;&lt;C&gt;1&lt;/C&gt;&lt;D xsi:type="xsd:double"&gt;1.4536754&lt;/D&gt;&lt;/FQL&gt;&lt;FQL&gt;&lt;Q&gt;CX-US^P_BETA_LOCIDX(44998,44823,,"SPX")&lt;/Q&gt;&lt;R&gt;1&lt;/R&gt;&lt;C&gt;1&lt;/C&gt;&lt;D xsi:type="xsd:double"&gt;1.4619505&lt;/D&gt;&lt;/FQL&gt;&lt;FQL&gt;&lt;Q&gt;CX-US^P_BETA_LOCIDX(44995,44820,,"SPX")&lt;/Q&gt;&lt;R&gt;1&lt;/R&gt;&lt;C&gt;1&lt;/C&gt;&lt;D xsi:type="xsd:double"&gt;1.4601165&lt;/D&gt;&lt;/FQL&gt;&lt;FQL&gt;&lt;Q&gt;CX-US^P_BETA_LOCIDX(44994,44819,,"SPX")&lt;/Q&gt;&lt;R&gt;1&lt;/R&gt;&lt;C&gt;1&lt;/C&gt;&lt;D xsi:type="xsd:double"&gt;1.4615315&lt;/D&gt;&lt;/FQL&gt;&lt;FQL&gt;&lt;Q&gt;CX-US^P_BETA_LOCIDX(44993,44818,,"SPX")&lt;/Q&gt;&lt;R&gt;1&lt;/R&gt;&lt;C&gt;1&lt;/C&gt;&lt;D xsi:type="xsd:double"&gt;1.4549875&lt;/D&gt;&lt;/FQL&gt;&lt;FQL&gt;&lt;Q&gt;CX-US^P_BETA_LOCIDX(44992,44817,,"SPX")&lt;/Q&gt;&lt;R&gt;1&lt;/R&gt;&lt;C&gt;1&lt;/C&gt;&lt;D xsi:type="xsd:double"&gt;1.4180884&lt;/D&gt;&lt;/FQL&gt;&lt;FQL&gt;&lt;Q&gt;CX-US^P_BETA_LOCIDX(44991,44816,,"SPX")&lt;/Q&gt;&lt;R&gt;1&lt;/R&gt;&lt;C&gt;1&lt;/C&gt;&lt;D xsi:type="xsd:double"&gt;1.4046425&lt;/D&gt;&lt;/FQL&gt;&lt;FQL&gt;&lt;Q&gt;CX-US^P_BETA_LOCIDX(44988,44813,,"SPX")&lt;/Q&gt;&lt;R&gt;1&lt;/R&gt;&lt;C&gt;1&lt;/C&gt;&lt;D xsi:type="xsd:double"&gt;1.4126632&lt;/D&gt;&lt;/FQL&gt;&lt;FQL&gt;&lt;Q&gt;CX-US^P_BETA_LOCIDX(44987,44812,,"SPX")&lt;/Q&gt;&lt;R&gt;1&lt;/R&gt;&lt;C&gt;1&lt;/C&gt;&lt;D xsi:type="xsd:double"&gt;1.3958565&lt;/D&gt;&lt;/FQL&gt;&lt;FQL&gt;&lt;Q&gt;CX-US^P_BETA_LOCIDX(44986,44811,,"SPX")&lt;/Q&gt;&lt;R&gt;1&lt;/R&gt;&lt;C&gt;1&lt;/C&gt;&lt;D xsi:type="xsd:double"&gt;1.3724486&lt;/D&gt;&lt;/FQL&gt;&lt;FQL&gt;&lt;Q&gt;CX-US^P_BETA_LOCIDX(44985,44810,,"SPX")&lt;/Q&gt;&lt;R&gt;1&lt;/R&gt;&lt;C&gt;1&lt;/C&gt;&lt;D xsi:type="xsd:double"&gt;1.3870339&lt;/D&gt;&lt;/FQL&gt;&lt;FQL&gt;&lt;Q&gt;CX-US^P_BETA_LOCIDX(44984,44806,,"SPX")&lt;/Q&gt;&lt;R&gt;1&lt;/R&gt;&lt;C&gt;1&lt;/C&gt;&lt;D xsi:type="xsd:double"&gt;1.3661228&lt;/D&gt;&lt;/FQL&gt;&lt;FQL&gt;&lt;Q&gt;CX-US^P_BETA_LOCIDX(44981,44805,,"SPX")&lt;/Q&gt;&lt;R&gt;1&lt;/R&gt;&lt;C&gt;1&lt;/C&gt;&lt;D xsi:type="xsd:double"&gt;1.3661685&lt;/D&gt;&lt;/FQL&gt;&lt;FQL&gt;&lt;Q&gt;CX-US^P_BETA_LOCIDX(44980,44804,,"SPX")&lt;/Q&gt;&lt;R&gt;1&lt;/R&gt;&lt;C&gt;1&lt;/C&gt;&lt;D xsi:type="xsd:double"&gt;1.3701148&lt;/D&gt;&lt;/FQL&gt;&lt;FQL&gt;&lt;Q&gt;CX-US^P_BETA_LOCIDX(44979,44803,,"SPX")&lt;/Q&gt;&lt;R&gt;1&lt;/R&gt;&lt;C&gt;1&lt;/C&gt;&lt;D xsi:type="xsd:double"&gt;1.3767085&lt;/D&gt;&lt;/FQL&gt;&lt;FQL&gt;&lt;Q&gt;CX-US^P_BETA_LOCIDX(44978,44802,,"SPX")&lt;/Q&gt;&lt;R&gt;1&lt;/R&gt;&lt;C&gt;1&lt;/C&gt;&lt;D xsi:type="xsd:double"&gt;1.3810313&lt;/D&gt;&lt;/FQL&gt;&lt;FQL&gt;&lt;Q&gt;CX-US^P_BETA_LOCIDX(44974,44799,,"SPX")&lt;/Q&gt;&lt;R&gt;1&lt;/R&gt;&lt;C&gt;1&lt;/C&gt;&lt;D xsi:type="xsd:double"&gt;1.3729609&lt;/D&gt;&lt;/FQL&gt;&lt;FQL&gt;&lt;Q&gt;CX-US^P_BETA_LOCIDX(44973,44798,,"SPX")&lt;/Q&gt;&lt;R&gt;1&lt;/R&gt;&lt;C&gt;1&lt;/C&gt;&lt;D xsi:type="xsd:double"&gt;1.3683479&lt;/D&gt;&lt;/FQL&gt;&lt;FQL&gt;&lt;Q&gt;CX-US^P_BETA_LOCIDX(44972,44797,,"SPX")&lt;/Q&gt;&lt;R&gt;1&lt;/R&gt;&lt;C&gt;1&lt;/C&gt;&lt;D xsi:type="xsd:double"&gt;1.3617818&lt;/D&gt;&lt;/FQL&gt;&lt;FQL&gt;&lt;Q&gt;CX-US^P_BETA_LOCIDX(44971,44796,,"SPX")&lt;/Q&gt;&lt;R&gt;1&lt;/R&gt;&lt;C&gt;1&lt;/C&gt;&lt;D xsi:type="xsd:double"&gt;1.3597796&lt;/D&gt;&lt;/FQL&gt;&lt;FQL&gt;&lt;Q&gt;CX-US^P_BETA_LOCIDX(44970,44795,,"SPX")&lt;/Q&gt;&lt;R&gt;1&lt;/R&gt;&lt;C&gt;1&lt;/C&gt;&lt;D xsi:type="xsd:double"&gt;1.3607597&lt;/D&gt;&lt;/FQL&gt;&lt;FQL&gt;&lt;Q&gt;CX-US^P_BETA_LOCIDX(44967,44792,,"SPX")&lt;/Q&gt;&lt;R&gt;1&lt;/R&gt;&lt;C&gt;1&lt;/C&gt;&lt;D xsi:type="xsd:double"&gt;1.3684076&lt;/D&gt;&lt;/FQL&gt;&lt;FQL&gt;&lt;Q&gt;CX-US^P_BETA_LOCIDX(44966,44791,,"SPX")&lt;/Q&gt;&lt;R&gt;1&lt;/R&gt;&lt;C&gt;1&lt;/C&gt;&lt;D xsi:type="xsd:double"&gt;1.3674892&lt;/D&gt;&lt;/FQL&gt;&lt;FQL&gt;&lt;Q&gt;CX-US^P_BETA_LOCIDX(44965,44790,,"SPX")&lt;/Q&gt;&lt;R&gt;1&lt;/R&gt;&lt;C&gt;1&lt;/C&gt;&lt;D xsi:type="xsd:double"&gt;1.3734512&lt;/D&gt;&lt;/FQL&gt;&lt;FQL&gt;&lt;Q&gt;CX-US^P_BETA_LOCIDX(44964,44789,,"SPX")&lt;/Q&gt;&lt;R&gt;1&lt;/R&gt;&lt;C&gt;1&lt;/C&gt;&lt;D xsi:type="xsd:double"&gt;1.3774662&lt;/D&gt;&lt;/FQL&gt;&lt;FQL&gt;&lt;Q&gt;CX-US^P_BETA_LOCIDX(44963,44788,,"SPX")&lt;/Q&gt;&lt;R&gt;1&lt;/R&gt;&lt;C&gt;1&lt;/C&gt;&lt;D xsi:type="xsd:double"&gt;1.3884647&lt;/D&gt;&lt;/FQL&gt;&lt;FQL&gt;&lt;Q&gt;CX-US^P_BETA_LOCIDX(44960,44785,,"SPX")&lt;/Q&gt;&lt;R&gt;1&lt;/R&gt;&lt;C&gt;1&lt;/C&gt;&lt;D xsi:type="xsd:double"&gt;1.3884124&lt;/D&gt;&lt;/FQL&gt;&lt;FQL&gt;&lt;Q&gt;CX-US^P_BETA_LOCIDX(44959,44784,,"SPX")&lt;/Q&gt;&lt;R&gt;1&lt;/R&gt;&lt;C&gt;1&lt;/C&gt;&lt;D xsi:type="xsd:double"&gt;1.3867979&lt;/D&gt;&lt;/FQL&gt;&lt;FQL&gt;&lt;Q&gt;CX-US^P_BETA_LOCIDX(44958,44783,,"SPX")&lt;/Q&gt;&lt;R&gt;1&lt;/R&gt;&lt;C&gt;1&lt;/C&gt;&lt;D xsi:type="xsd:double"&gt;1.4164549&lt;/D&gt;&lt;/FQL&gt;&lt;FQL&gt;&lt;Q&gt;CX-US^P_BETA_LOCIDX(44957,44782,,"SPX")&lt;/Q&gt;&lt;R&gt;1&lt;/R&gt;&lt;C&gt;1&lt;/C&gt;&lt;D xsi:type="xsd:double"&gt;1.4147207&lt;/D&gt;&lt;/FQL&gt;&lt;FQL&gt;&lt;Q&gt;CX-US^P_BETA_LOCIDX(44956,44781,,"SPX")&lt;/Q&gt;&lt;R&gt;1&lt;/R&gt;&lt;C&gt;1&lt;/C&gt;&lt;D xsi:type="xsd:double"&gt;1.4217308&lt;/D&gt;&lt;/FQL&gt;&lt;FQL&gt;&lt;Q&gt;CX-US^P_BETA_LOCIDX(44953,44778,,"SPX")&lt;/Q&gt;&lt;R&gt;1&lt;/R&gt;&lt;C&gt;1&lt;/C&gt;&lt;D xsi:type="xsd:double"&gt;1.4216576&lt;/D&gt;&lt;/FQL&gt;&lt;FQL&gt;&lt;Q&gt;CX-US^P_BETA_LOCIDX(44952,44777,,"SPX")&lt;/Q&gt;&lt;R&gt;1&lt;/R&gt;&lt;C&gt;1&lt;/C&gt;&lt;D xsi:type="xsd:double"&gt;1.4213997&lt;/D&gt;&lt;/FQL&gt;&lt;FQL&gt;&lt;Q&gt;CX-US^P_BETA_LOCIDX(44951,44776,,"SPX")&lt;/Q&gt;&lt;R&gt;1&lt;/R&gt;&lt;C&gt;1&lt;/C&gt;&lt;D xsi:type="xsd:double"&gt;1.4298656&lt;/D&gt;&lt;/FQL&gt;&lt;FQL&gt;&lt;Q&gt;CX-US^P_BETA_LOCIDX(44950,44775,,"SPX")&lt;/Q&gt;&lt;R&gt;1&lt;/R&gt;&lt;C&gt;1&lt;/C&gt;&lt;D xsi:type="xsd:double"&gt;1.4311649&lt;/D&gt;&lt;/FQL&gt;&lt;FQL&gt;&lt;Q&gt;CX-US^P_BETA_LOCIDX(44949,44774,,"SPX")&lt;/Q&gt;&lt;R&gt;1&lt;/R&gt;&lt;C&gt;1&lt;/C&gt;&lt;D xsi:type="xsd:double"&gt;1.4281863&lt;/D&gt;&lt;/FQL&gt;&lt;FQL&gt;&lt;Q&gt;CX-US^P_BETA_LOCIDX(44946,44771,,"SPX")&lt;/Q&gt;&lt;R&gt;1&lt;/R&gt;&lt;C&gt;1&lt;/C&gt;&lt;D xsi:type="xsd:double"&gt;1.4273713&lt;/D&gt;&lt;/FQL&gt;&lt;FQL&gt;&lt;Q&gt;CX-US^P_BETA_LOCIDX(44945,44770,,"SPX")&lt;/Q&gt;&lt;R&gt;1&lt;/R&gt;&lt;C&gt;1&lt;/C&gt;&lt;D xsi:type="xsd:double"&gt;1.4219201&lt;/D&gt;&lt;/FQL&gt;&lt;FQL&gt;&lt;Q&gt;CX-US^P_BETA_LOCIDX(44944,44769,,"SPX")&lt;/Q&gt;&lt;R&gt;1&lt;/R&gt;&lt;C&gt;1&lt;/C&gt;&lt;D xsi:type="xsd:double"&gt;1.4037546&lt;/D&gt;&lt;/FQL&gt;&lt;FQL&gt;&lt;Q&gt;CX-US^P_BETA_LOCIDX(44943,44768,,"SPX")&lt;/Q&gt;&lt;R&gt;1&lt;/R&gt;&lt;C&gt;1&lt;/C&gt;&lt;D xsi:type="xsd:double"&gt;1.4138426&lt;/D&gt;&lt;/FQL&gt;&lt;FQL&gt;&lt;Q&gt;CX-US^P_BETA_LOCIDX(44939,44767,,"SPX")&lt;/Q&gt;&lt;R&gt;1&lt;/R&gt;&lt;C&gt;1&lt;/C&gt;&lt;D xsi:type="xsd:double"&gt;1.4145806&lt;/D&gt;&lt;/FQL&gt;&lt;FQL&gt;&lt;Q&gt;CX-US^P_BETA_LOCIDX(44938,44764,,"SPX")&lt;/Q&gt;&lt;R&gt;1&lt;/R&gt;&lt;C&gt;1&lt;/C&gt;&lt;D xsi:type="xsd:double"&gt;1.4144042&lt;/D&gt;&lt;/FQL&gt;&lt;FQL&gt;&lt;Q&gt;CX-US^P_BETA_LOCIDX(44937,44763,,"SPX")&lt;/Q&gt;&lt;R&gt;1&lt;/R&gt;&lt;C&gt;1&lt;/C&gt;&lt;D xsi:type="xsd:double"&gt;1.4143307&lt;/D&gt;&lt;/FQL&gt;&lt;FQL&gt;&lt;Q&gt;CX-US^P_BETA_LOCIDX(44936,44762,,"SPX")&lt;/Q&gt;&lt;R&gt;1&lt;/R&gt;&lt;C&gt;1&lt;/C&gt;&lt;D xsi:type="xsd:double"&gt;1.3711747&lt;/D&gt;&lt;/FQL&gt;&lt;FQL&gt;&lt;Q&gt;CX-US^P_BETA_LOCIDX(44935,44761,,"SPX")&lt;/Q&gt;&lt;R&gt;1&lt;/R&gt;&lt;C&gt;1&lt;/C&gt;&lt;D xsi:type="xsd:double"&gt;1.3584378&lt;/D&gt;&lt;/FQL&gt;&lt;FQL&gt;&lt;Q&gt;CX-US^P_BETA_LOCIDX(44932,44760,,"SPX")&lt;/Q&gt;&lt;R&gt;1&lt;/R&gt;&lt;C&gt;1&lt;/C&gt;&lt;D xsi:type="xsd:double"&gt;1.3560011&lt;/D&gt;&lt;/FQL&gt;&lt;FQL&gt;&lt;Q&gt;CX-US^P_BETA_LOCIDX(44931,44757,,"SPX")&lt;/Q&gt;&lt;R&gt;1&lt;/R&gt;&lt;C&gt;1&lt;/C&gt;&lt;D xsi:type="xsd:double"&gt;1.3498209&lt;/D&gt;&lt;/FQL&gt;&lt;FQL&gt;&lt;Q&gt;CX-US^P_BETA_LOCIDX(44930,44756,,"SPX")&lt;/Q&gt;&lt;R&gt;1&lt;/R&gt;&lt;C&gt;1&lt;/C&gt;&lt;D xsi:type="xsd:double"&gt;1.3600512&lt;/D&gt;&lt;/FQL&gt;&lt;FQL&gt;&lt;Q&gt;CX-US^P_BETA_LOCIDX(44929,44755,,"SPX")&lt;/Q&gt;&lt;R&gt;1&lt;/R&gt;&lt;C&gt;1&lt;/C&gt;&lt;D xsi:type="xsd:double"&gt;1.3447005&lt;/D&gt;&lt;/FQL&gt;&lt;FQL&gt;&lt;Q&gt;CX-US^P_BETA_LOCIDX(44925,44754,,"SPX")&lt;/Q&gt;&lt;R&gt;1&lt;/R&gt;&lt;C&gt;1&lt;/C&gt;&lt;D xsi:type="xsd:double"&gt;1.3346467&lt;/D&gt;&lt;/FQL&gt;&lt;FQL&gt;&lt;Q&gt;CX-US^P_BETA_LOCIDX(44924,44753,,"SPX")&lt;/Q&gt;&lt;R&gt;1&lt;/R&gt;&lt;C&gt;1&lt;/C&gt;&lt;D xsi:type="xsd:double"&gt;1.340732&lt;/D&gt;&lt;/FQL&gt;&lt;FQL&gt;&lt;Q&gt;CX-US^P_BETA_LOCIDX(44923,44750,,"SPX")&lt;/Q&gt;&lt;R&gt;1&lt;/R&gt;&lt;C&gt;1&lt;/C&gt;&lt;D xsi:type="xsd:double"&gt;1.3506709&lt;/D&gt;&lt;/FQL&gt;&lt;FQL&gt;&lt;Q&gt;CX-US^P_BETA_LOCIDX(44922,44749,,"SPX")&lt;/Q&gt;&lt;R&gt;1&lt;/R&gt;&lt;C&gt;1&lt;/C&gt;&lt;D xsi:type="xsd:double"&gt;1.3474854&lt;/D&gt;&lt;/FQL&gt;&lt;FQL&gt;&lt;Q&gt;CX-US^P_BETA_LOCIDX(44918,44748,,"SPX")&lt;/Q&gt;&lt;R&gt;1&lt;/R&gt;&lt;C&gt;1&lt;/C&gt;&lt;D xsi:type="xsd:double"&gt;1.3425035&lt;/D&gt;&lt;/FQL&gt;&lt;FQL&gt;&lt;Q&gt;CX-US^P_BETA_LOCIDX(44917,44747,,"SPX")&lt;/Q&gt;&lt;R&gt;1&lt;/R&gt;&lt;C&gt;1&lt;/C&gt;&lt;D xsi:type="xsd:double"&gt;1.339584&lt;/D&gt;&lt;/FQL&gt;&lt;FQL&gt;&lt;Q&gt;CX-US^P_BETA_LOCIDX(44916,44743,,"SPX")&lt;/Q&gt;&lt;R&gt;1&lt;/R&gt;&lt;C&gt;1&lt;/C&gt;&lt;D xsi:type="xsd:double"&gt;1.3301618&lt;/D&gt;&lt;/FQL&gt;&lt;FQL&gt;&lt;Q&gt;CX-US^P_BETA_LOCIDX(44915,44742,,"SPX")&lt;/Q&gt;&lt;R&gt;1&lt;/R&gt;&lt;C&gt;1&lt;/C&gt;&lt;D xsi:type="xsd:double"&gt;1.318259&lt;/D&gt;&lt;/FQL&gt;&lt;FQL&gt;&lt;Q&gt;CX-US^P_BETA_LOCIDX(44914,44741,,"SPX")&lt;/Q&gt;&lt;R&gt;1&lt;/R&gt;&lt;C&gt;1&lt;/C&gt;&lt;D xsi:type="xsd:double"&gt;1.318465&lt;/D&gt;&lt;/FQL&gt;&lt;FQL&gt;&lt;Q&gt;CX-US^P_BETA_LOCIDX(44911,44740,,"SPX")&lt;/Q&gt;&lt;R&gt;1&lt;/R&gt;&lt;C&gt;1&lt;/C&gt;&lt;D xsi:type="xsd:double"&gt;1.307017&lt;/D&gt;&lt;/FQL&gt;&lt;FQL&gt;&lt;Q&gt;CX-US^P_BETA_LOCIDX(44910,44739,,"SPX")&lt;/Q&gt;&lt;R&gt;1&lt;/R&gt;&lt;C&gt;1&lt;/C&gt;&lt;D xsi:type="xsd:double"&gt;1.3127346&lt;/D&gt;&lt;/FQL&gt;&lt;FQL&gt;&lt;Q&gt;CX-US^P_BETA_LOCIDX(44909,44736,,"SPX")&lt;/Q&gt;&lt;R&gt;1&lt;/R&gt;&lt;C&gt;1&lt;/C&gt;&lt;D xsi:type="xsd:double"&gt;1.3093637&lt;/D&gt;&lt;/FQL&gt;&lt;FQL&gt;&lt;Q&gt;CX-US^P_BETA_LOCIDX(44908,44735,,"SPX")&lt;/Q&gt;&lt;R&gt;1&lt;/R&gt;&lt;C&gt;1&lt;/C&gt;&lt;D xsi:type="xsd:double"&gt;1.3169374&lt;/D&gt;&lt;/FQL&gt;&lt;FQL&gt;&lt;Q&gt;CX-US^P_BETA_LOCIDX(44907,44734,,"SPX")&lt;/Q&gt;&lt;R&gt;1&lt;/R&gt;&lt;C&gt;1&lt;/C&gt;&lt;D xsi:type="xsd:double"&gt;1.317227&lt;/D&gt;&lt;/FQL&gt;&lt;FQL&gt;&lt;Q&gt;CX-US^P_BETA_LOCIDX(44904,44733,,"SPX")&lt;/Q&gt;&lt;R&gt;1&lt;/R&gt;&lt;C&gt;1&lt;/C&gt;&lt;D xsi:type="xsd:double"&gt;1.3449278&lt;/D&gt;&lt;/FQL&gt;&lt;FQL&gt;&lt;Q&gt;CX-US^P_BETA_LOCIDX(44903,44729,,"SPX")&lt;/Q&gt;&lt;R&gt;1&lt;/R&gt;&lt;C&gt;1&lt;/C&gt;&lt;D xsi:type="xsd:double"&gt;1.3467773&lt;/D&gt;&lt;/FQL&gt;&lt;FQL&gt;&lt;Q&gt;CX-US^P_BETA_LOCIDX(44902,44728,,"SPX")&lt;/Q&gt;&lt;R&gt;1&lt;/R&gt;&lt;C&gt;1&lt;/C&gt;&lt;D xsi:type="xsd:double"&gt;1.3753862&lt;/D&gt;&lt;/FQL&gt;&lt;FQL&gt;&lt;Q&gt;CX-US^P_BETA_LOCIDX(44901,44727,,"SPX")&lt;/Q&gt;&lt;R&gt;1&lt;/R&gt;&lt;C&gt;1&lt;/C&gt;&lt;D xsi:type="xsd:double"&gt;1.3612972&lt;/D&gt;&lt;/FQL&gt;&lt;FQL&gt;&lt;Q&gt;CX-US^P_BETA_LOCIDX(44900,44726,,"SPX")&lt;/Q&gt;&lt;R&gt;1&lt;/R&gt;&lt;C&gt;1&lt;/C&gt;&lt;D xsi:type="xsd:double"&gt;1.3796297&lt;/D&gt;&lt;/FQL&gt;&lt;FQL&gt;&lt;Q&gt;CX-US^P_BETA_LOCIDX(44897,44725,,"SPX")&lt;/Q&gt;&lt;R&gt;1&lt;/R&gt;&lt;C&gt;1&lt;/C&gt;&lt;D xsi:type="xsd:double"&gt;1.3733058&lt;/D&gt;&lt;/FQL&gt;&lt;FQL&gt;&lt;Q&gt;CX-US^P_BETA_LOCIDX(44896,44722,,"SPX")&lt;/Q&gt;&lt;R&gt;1&lt;/R&gt;&lt;C&gt;1&lt;/C&gt;&lt;D xsi:type="xsd:double"&gt;1.3935052&lt;/D&gt;&lt;/FQL&gt;&lt;FQL&gt;&lt;Q&gt;CX-US^P_BETA_LOCIDX(44895,44721,,"SPX")&lt;/Q&gt;&lt;R&gt;1&lt;/R&gt;&lt;C&gt;1&lt;/C&gt;&lt;D xsi:type="xsd:double"&gt;1.398838&lt;/D&gt;&lt;/FQL&gt;&lt;FQL&gt;&lt;Q&gt;CX-US^P_BETA_LOCIDX(44894,44720,,"SPX")&lt;/Q&gt;&lt;R&gt;1&lt;/R&gt;&lt;C&gt;1&lt;/C&gt;&lt;D xsi:type="xsd:double"&gt;1.4037213&lt;/D&gt;&lt;/FQL&gt;&lt;FQL&gt;&lt;Q&gt;CX-US^P_BETA_LOCIDX(44893,44719,,"SPX")&lt;/Q&gt;&lt;R&gt;1&lt;/R&gt;&lt;C&gt;1&lt;/C&gt;&lt;D xsi:type="xsd:double"&gt;1.3957424&lt;/D&gt;&lt;/FQL&gt;&lt;FQL&gt;&lt;Q&gt;CX-US^P_BETA_LOCIDX(44890,44718,,"SPX")&lt;/Q&gt;&lt;R&gt;1&lt;/R&gt;&lt;C&gt;1&lt;/C&gt;&lt;D xsi:type="xsd:double"&gt;1.3941181&lt;/D&gt;&lt;/FQL&gt;&lt;FQL&gt;&lt;Q&gt;CX-US^P_BETA_LOCIDX(44888,44715,,"SPX")&lt;/Q&gt;&lt;R&gt;1&lt;/R&gt;&lt;C&gt;1&lt;/C&gt;&lt;D xsi:type="xsd:double"&gt;1.3859292&lt;/D&gt;&lt;/FQL&gt;&lt;FQL&gt;&lt;Q&gt;CX-US^P_BETA_LOCIDX(44887,44714,,"SPX")&lt;/Q&gt;&lt;R&gt;1&lt;/R&gt;&lt;C&gt;1&lt;/C&gt;&lt;D xsi:type="xsd:double"&gt;1.3574499&lt;/D&gt;&lt;/FQL&gt;&lt;FQL&gt;&lt;Q&gt;CX-US^P_BETA_LOCIDX(44886,44713,,"SPX")&lt;/Q&gt;&lt;R&gt;1&lt;/R&gt;&lt;C&gt;1&lt;/C&gt;&lt;D xsi:type="xsd:double"&gt;1.3673769&lt;/D&gt;&lt;/FQL&gt;&lt;FQL&gt;&lt;Q&gt;CX-US^P_BETA_LOCIDX(44883,44712,,"SPX")&lt;/Q&gt;&lt;R&gt;1&lt;/R&gt;&lt;C&gt;1&lt;/C&gt;&lt;D xsi:type="xsd:double"&gt;1.3592964&lt;/D&gt;&lt;/FQL&gt;&lt;FQL&gt;&lt;Q&gt;CX-US^P_BETA_LOCIDX(44882,44708,,"SPX")&lt;/Q&gt;&lt;R&gt;1&lt;/R&gt;&lt;C&gt;1&lt;/C&gt;&lt;D xsi:type="xsd:double"&gt;1.3620111&lt;/D&gt;&lt;/FQL&gt;&lt;FQL&gt;&lt;Q&gt;CX-US^P_BETA_LOCIDX(44881,44707,,"SPX")&lt;/Q&gt;&lt;R&gt;1&lt;/R&gt;&lt;C&gt;1&lt;/C&gt;&lt;D xsi:type="xsd:double"&gt;1.3574&lt;/D&gt;&lt;/FQL&gt;&lt;FQL&gt;&lt;Q&gt;CX-US^P_BETA_LOCIDX(44880,44706,,"SPX")&lt;/Q&gt;&lt;R&gt;1&lt;/R&gt;&lt;C&gt;1&lt;/C&gt;&lt;D xsi:type="xsd:double"&gt;1.369271&lt;/D&gt;&lt;/FQL&gt;&lt;FQL&gt;&lt;Q&gt;CX-US^P_BETA_LOCIDX(44879,44705,,"SPX")&lt;/Q&gt;&lt;R&gt;1&lt;/R&gt;&lt;C&gt;1&lt;/C&gt;&lt;D xsi:type="xsd:double"&gt;1.3784722&lt;/D&gt;&lt;/FQL&gt;&lt;FQL&gt;&lt;Q&gt;CX-US^P_BETA_LOCIDX(44876,44704,,"SPX")&lt;/Q&gt;&lt;R&gt;1&lt;/R&gt;&lt;C&gt;1&lt;/C&gt;&lt;D xsi:type="xsd:double"&gt;1.3543404&lt;/D&gt;&lt;/FQL&gt;&lt;FQL&gt;&lt;Q&gt;CX-US^P_BETA_LOCIDX(44875,44701,,"SPX")&lt;/Q&gt;&lt;R&gt;1&lt;/R&gt;&lt;C&gt;1&lt;/C&gt;&lt;D xsi:type="xsd:double"&gt;1.3455553&lt;/D&gt;&lt;/FQL&gt;&lt;FQL&gt;&lt;Q&gt;CX-US^P_BETA_LOCIDX(44874,44700,,"SPX")&lt;/Q&gt;&lt;R&gt;1&lt;/R&gt;&lt;C&gt;1&lt;/C&gt;&lt;D xsi:type="xsd:double"&gt;1.3101133&lt;/D&gt;&lt;/FQL&gt;&lt;FQL&gt;&lt;Q&gt;CX-US^P_BETA_LOCIDX(44873,44699,,"SPX")&lt;/Q&gt;&lt;R&gt;1&lt;/R&gt;&lt;C&gt;1&lt;/C&gt;&lt;D xsi:type="xsd:double"&gt;1.3011842&lt;/D&gt;&lt;/FQL&gt;&lt;FQL&gt;&lt;Q&gt;CX-US^P_BETA_LOCIDX(44872,44698,,"SPX")&lt;/Q&gt;&lt;R&gt;1&lt;/R&gt;&lt;C&gt;1&lt;/C&gt;&lt;D xsi:type="xsd:double"&gt;1.2999078&lt;/D&gt;&lt;/FQL&gt;&lt;FQL&gt;&lt;Q&gt;CX-US^P_BETA_LOCIDX(44869,44697,,"SPX")&lt;/Q&gt;&lt;R&gt;1&lt;/R&gt;&lt;C&gt;1&lt;/C&gt;&lt;D xsi:type="xsd:double"&gt;1.2972132&lt;/D&gt;&lt;/FQL&gt;&lt;FQL&gt;&lt;Q&gt;CX-US^P_BETA_LOCIDX(44868,44694,,"SPX")&lt;/Q&gt;&lt;R&gt;1&lt;/R&gt;&lt;C&gt;1&lt;/C&gt;&lt;D xsi:type="xsd:double"&gt;1.2671947&lt;/D&gt;&lt;/FQL&gt;&lt;FQL&gt;&lt;Q&gt;CX-US^P_BETA_LOCIDX(44867,44693,,"SPX")&lt;/Q&gt;&lt;R&gt;1&lt;/R&gt;&lt;C&gt;1&lt;/C&gt;&lt;D xsi:type="xsd:double"&gt;1.2740968&lt;/D&gt;&lt;/FQL&gt;&lt;FQL&gt;&lt;Q&gt;CX-US^P_BETA_LOCIDX(44866,44692,,"SPX")&lt;/Q&gt;&lt;R&gt;1&lt;/R&gt;&lt;C&gt;1&lt;/C&gt;&lt;D xsi:type="xsd:double"&gt;1.2505318&lt;/D&gt;&lt;/FQL&gt;&lt;FQL&gt;&lt;Q&gt;CX-US^P_BETA_LOCIDX(44865,44691,,"SPX")&lt;/Q&gt;&lt;R&gt;1&lt;/R&gt;&lt;C&gt;1&lt;/C&gt;&lt;D xsi:type="xsd:double"&gt;1.2539343&lt;/D&gt;&lt;/FQL&gt;&lt;FQL&gt;&lt;Q&gt;CX-US^P_BETA_LOCIDX(44862,44690,,"SPX")&lt;/Q&gt;&lt;R&gt;1&lt;/R&gt;&lt;C&gt;1&lt;/C&gt;&lt;D xsi:type="xsd:double"&gt;1.2703702&lt;/D&gt;&lt;/FQL&gt;&lt;FQL&gt;&lt;Q&gt;CX-US^P_BETA_LOCIDX(44861,44687,,"SPX")&lt;/Q&gt;&lt;R&gt;1&lt;/R&gt;&lt;C&gt;1&lt;/C&gt;&lt;D xsi:type="xsd:double"&gt;1.2438319&lt;/D&gt;&lt;/FQL&gt;&lt;FQL&gt;&lt;Q&gt;CX-US^P_BETA_LOCIDX(44860,44686,,"SPX")&lt;/Q&gt;&lt;R&gt;1&lt;/R&gt;&lt;C&gt;1&lt;/C&gt;&lt;D xsi:type="xsd:double"&gt;1.262998&lt;/D&gt;&lt;/FQL&gt;&lt;FQL&gt;&lt;Q&gt;CX-US^P_BETA_LOCIDX(44859,44685,,"SPX")&lt;/Q&gt;&lt;R&gt;1&lt;/R&gt;&lt;C&gt;1&lt;/C&gt;&lt;D xsi:type="xsd:double"&gt;1.2582717&lt;/D&gt;&lt;/FQL&gt;&lt;FQL&gt;&lt;Q&gt;CX-US^P_BETA_LOCIDX(44858,44684,,"SPX")&lt;/Q&gt;&lt;R&gt;1&lt;/R&gt;&lt;C&gt;1&lt;/C&gt;&lt;D xsi:type="xsd:double"&gt;1.2585955&lt;/D&gt;&lt;/FQL&gt;&lt;FQL&gt;&lt;Q&gt;CX-US^P_BETA_LOCIDX(44855,44683,,"SPX")&lt;/Q&gt;&lt;R&gt;1&lt;/R&gt;&lt;C&gt;1&lt;/C&gt;&lt;D xsi:type="xsd:double"&gt;1.2588929&lt;/D&gt;&lt;/FQL&gt;&lt;FQL&gt;&lt;Q&gt;CX-US^P_BETA_LOCIDX(44854,44680,,"SPX")&lt;/Q&gt;&lt;R&gt;1&lt;/R&gt;&lt;C&gt;1&lt;/C&gt;&lt;D xsi:type="xsd:double"&gt;1.2372789&lt;/D&gt;&lt;/FQL&gt;&lt;FQL&gt;&lt;Q&gt;CX-US^P_BETA_LOCIDX(44853,44679,,"SPX")&lt;/Q&gt;&lt;R&gt;1&lt;/R&gt;&lt;C&gt;1&lt;/C&gt;&lt;D xsi:type="xsd:double"&gt;1.2633749&lt;/D&gt;&lt;/FQL&gt;&lt;FQL&gt;&lt;Q&gt;CX-US^P_BETA_LOCIDX(44852,44678,,"SPX")&lt;/Q&gt;&lt;R&gt;1&lt;/R&gt;&lt;C&gt;1&lt;/C&gt;&lt;D xsi:type="xsd:double"&gt;1.2623243&lt;/D&gt;&lt;/FQL&gt;&lt;FQL&gt;&lt;Q&gt;CX-US^P_BETA_LOCIDX(44851,44677,,"SPX")&lt;/Q&gt;&lt;R&gt;1&lt;/R&gt;&lt;C&gt;1&lt;/C&gt;&lt;D xsi:type="xsd:double"&gt;1.2844971&lt;/D&gt;&lt;/FQL&gt;&lt;FQL&gt;&lt;Q&gt;CX-US^P_BETA_LOCIDX(44848,44676,,"SPX")&lt;/Q&gt;&lt;R&gt;1&lt;/R&gt;&lt;C&gt;1&lt;/C&gt;&lt;D xsi:type="xsd:double"&gt;1.248153&lt;/D&gt;&lt;/FQL&gt;&lt;FQL&gt;&lt;Q&gt;CX-US^P_BETA_LOCIDX(44847,44673,,"SPX")&lt;/Q&gt;&lt;R&gt;1&lt;/R&gt;&lt;C&gt;1&lt;/C&gt;&lt;D xsi:type="xsd:double"&gt;1.2415231&lt;/D&gt;&lt;/FQL&gt;&lt;FQL&gt;&lt;Q&gt;CX-US^P_BETA_LOCIDX(44846,44672,,"SPX")&lt;/Q&gt;&lt;R&gt;1&lt;/R&gt;&lt;C&gt;1&lt;/C&gt;&lt;D xsi:type="xsd:double"&gt;1.2966042&lt;/D&gt;&lt;/FQL&gt;&lt;FQL&gt;&lt;Q&gt;CX-US^P_BETA_LOCIDX(44845,44671,,"SPX")&lt;/Q&gt;&lt;R&gt;1&lt;/R&gt;&lt;C&gt;1&lt;/C&gt;&lt;D xsi:type="xsd:double"&gt;1.297836&lt;/D&gt;&lt;/FQL&gt;&lt;FQL&gt;&lt;Q&gt;CX-US^P_BETA_LOCIDX(44844,44670,,"SPX")&lt;/Q&gt;&lt;R&gt;1&lt;/R&gt;&lt;C&gt;1&lt;/C&gt;&lt;D xsi:type="xsd:double"&gt;1.3056961&lt;/D&gt;&lt;/FQL&gt;&lt;FQL&gt;&lt;Q&gt;CX-US^P_BETA_LOCIDX(44841,44669,,"SPX")&lt;/Q&gt;&lt;R&gt;1&lt;/R&gt;&lt;C&gt;1&lt;/C&gt;&lt;D xsi:type="xsd:double"&gt;1.30152&lt;/D&gt;&lt;/FQL&gt;&lt;FQL&gt;&lt;Q&gt;CX-US^P_BETA_LOCIDX(44840,44665,,"SPX")&lt;/Q&gt;&lt;R&gt;1&lt;/R&gt;&lt;C&gt;1&lt;/C&gt;&lt;D xsi:type="xsd:double"&gt;1.3227327&lt;/D&gt;&lt;/FQL&gt;&lt;FQL&gt;&lt;Q&gt;CX-US^P_BETA_LOCIDX(44839,44664,,"SPX")&lt;/Q&gt;&lt;R&gt;1&lt;/R&gt;&lt;C&gt;1&lt;/C&gt;&lt;D xsi:type="xsd:double"&gt;1.3362839&lt;/D&gt;&lt;/FQL&gt;&lt;FQL&gt;&lt;Q&gt;CX-US^P_BETA_LOCIDX(44838,44663,,"SPX")&lt;/Q&gt;&lt;R&gt;1&lt;/R&gt;&lt;C&gt;1&lt;/C&gt;&lt;D xsi:type="xsd:double"&gt;1.3348217&lt;/D&gt;&lt;/FQL&gt;&lt;FQL&gt;&lt;Q&gt;CX-US^P_BETA_LOCIDX(44837,44662,,"SPX")&lt;/Q&gt;&lt;R&gt;1&lt;/R&gt;&lt;C&gt;1&lt;/C&gt;&lt;D xsi:type="xsd:double"&gt;1.2937152&lt;/D&gt;&lt;/FQL&gt;&lt;FQL&gt;&lt;Q&gt;CX-US^P_BETA_LOCIDX(44834,44659,,"SPX")&lt;/Q&gt;&lt;R&gt;1&lt;/R&gt;&lt;C&gt;1&lt;/C&gt;&lt;D xsi:type="xsd:double"&gt;1.3122226&lt;/D&gt;&lt;/FQL&gt;&lt;FQL&gt;&lt;Q&gt;CX-US^P_BETA_LOCIDX(44833,44658,,"SPX")&lt;/Q&gt;&lt;R&gt;1&lt;/R&gt;&lt;C&gt;1&lt;/C&gt;&lt;D xsi:type="xsd:double"&gt;1.3198138&lt;/D&gt;&lt;/FQL&gt;&lt;FQL&gt;&lt;Q&gt;CX-US^P_BETA_LOCIDX(44832,44657,,"SPX")&lt;/Q&gt;&lt;R&gt;1&lt;/R&gt;&lt;C&gt;1&lt;/C&gt;&lt;D xsi:type="xsd:double"&gt;1.3464285&lt;/D&gt;&lt;/FQL&gt;&lt;FQL&gt;&lt;Q&gt;CX-US^P_BETA_LOCIDX(44831,44656,,"SPX")&lt;/Q&gt;&lt;R&gt;1&lt;/R&gt;&lt;C&gt;1&lt;/C&gt;&lt;D xsi:type="xsd:double"&gt;1.345878&lt;/D&gt;&lt;/FQL&gt;&lt;FQL&gt;&lt;Q&gt;CX-US^P_BETA_LOCIDX(44830,44655,,"SPX")&lt;/Q&gt;&lt;R&gt;1&lt;/R&gt;&lt;C&gt;1&lt;/C&gt;&lt;D xsi:type="xsd:double"&gt;1.3414207&lt;/D&gt;&lt;/FQL&gt;&lt;FQL&gt;&lt;Q&gt;CX-US^P_BETA_LOCIDX(44827,44652,,"SPX")&lt;/Q&gt;&lt;R&gt;1&lt;/R&gt;&lt;C&gt;1&lt;/C&gt;&lt;D xsi:type="xsd:double"&gt;1.3333358&lt;/D&gt;&lt;/FQL&gt;&lt;FQL&gt;&lt;Q&gt;CX-US^P_BETA_LOCIDX(44826,44651,,"SPX")&lt;/Q&gt;&lt;R&gt;1&lt;/R&gt;&lt;C&gt;1&lt;/C&gt;&lt;D xsi:type="xsd:double"&gt;1.329259&lt;/D&gt;&lt;/FQL&gt;&lt;FQL&gt;&lt;Q&gt;CX-US^P_BETA_LOCIDX(44825,44650,,"SPX")&lt;/Q&gt;&lt;R&gt;1&lt;/R&gt;&lt;C&gt;1&lt;/C&gt;&lt;D xsi:type="xsd:double"&gt;1.3276814&lt;/D&gt;&lt;/FQL&gt;&lt;FQL&gt;&lt;Q&gt;CX-US^P_BETA_LOCIDX(44824,44649,,"SPX")&lt;/Q&gt;&lt;R&gt;1&lt;/R&gt;&lt;C&gt;1&lt;/C&gt;&lt;D xsi:type="xsd:double"&gt;1.3593554&lt;/D&gt;&lt;/FQL&gt;&lt;FQL&gt;&lt;Q&gt;CX-US^P_BETA_LOCIDX(44823,44648,,"SPX")&lt;/Q&gt;&lt;R&gt;1&lt;/R&gt;&lt;C&gt;1&lt;/C&gt;&lt;D xsi:type="xsd:double"&gt;1.3424059&lt;/D&gt;&lt;/FQL&gt;&lt;FQL&gt;&lt;Q&gt;CX-US^P_BETA_LOCIDX(44820,44645,,"SPX")&lt;/Q&gt;&lt;R&gt;1&lt;/R&gt;&lt;C&gt;1&lt;/C&gt;&lt;D xsi:type="xsd:double"&gt;1.3406005&lt;/D&gt;&lt;/FQL&gt;&lt;FQL&gt;&lt;Q&gt;CX-US^P_BETA_LOCIDX(44819,44644,,"SPX")&lt;/Q&gt;&lt;R&gt;1&lt;/R&gt;&lt;C&gt;1&lt;/C&gt;&lt;D xsi:type="xsd:double"&gt;1.3398489&lt;/D&gt;&lt;/FQL&gt;&lt;FQL&gt;&lt;Q&gt;CX-US^P_BETA_LOCIDX(44818,44643,,"SPX")&lt;/Q&gt;&lt;R&gt;1&lt;/R&gt;&lt;C&gt;1&lt;/C&gt;&lt;D xsi:type="xsd:double"&gt;1.3277777&lt;/D&gt;&lt;/FQL&gt;&lt;FQL&gt;&lt;Q&gt;CX-US^P_BETA_LOCIDX(44817,44642,,"SPX")&lt;/Q&gt;&lt;R&gt;1&lt;/R&gt;&lt;C&gt;1&lt;/C&gt;&lt;D xsi:type="xsd:double"&gt;1.3294635&lt;/D&gt;&lt;/FQL&gt;&lt;FQL&gt;&lt;Q&gt;CX-US^P_BETA_LOCIDX(44816,44641,,"SPX")&lt;/Q&gt;&lt;R&gt;1&lt;/R&gt;&lt;C&gt;1&lt;/C&gt;&lt;D xsi:type="xsd:double"&gt;1.3575757&lt;/D&gt;&lt;/FQL&gt;&lt;FQL&gt;&lt;Q&gt;CX-US^P_BETA_LOCIDX(44813,44638,,"SPX")&lt;/Q&gt;&lt;R&gt;1&lt;/R&gt;&lt;C&gt;1&lt;/C&gt;&lt;D xsi:type="xsd:double"&gt;1.3559825&lt;/D&gt;&lt;/FQL&gt;&lt;FQL&gt;&lt;Q&gt;CX-US^P_BETA_LOCIDX(44812,44637,,"SPX")&lt;/Q&gt;&lt;R&gt;1&lt;/R&gt;&lt;C&gt;1&lt;/C&gt;&lt;D xsi:type="xsd:double"&gt;1.3473423&lt;/D&gt;&lt;/FQL&gt;&lt;FQL&gt;&lt;Q&gt;CX-US^P_BETA_LOCIDX(44811,44636,,"SPX")&lt;/Q&gt;&lt;R&gt;1&lt;/R&gt;&lt;C&gt;1&lt;/C&gt;&lt;D xsi:type="xsd:double"&gt;1.3549625&lt;/D&gt;&lt;/FQL&gt;&lt;FQL&gt;&lt;Q&gt;CX-US^P_BETA_LOCIDX(44810,44635,,"SPX")&lt;/Q&gt;&lt;R&gt;1&lt;/R&gt;&lt;C&gt;1&lt;/C&gt;&lt;D xsi:type="xsd:double"&gt;1.3745413&lt;/D&gt;&lt;/FQL&gt;&lt;FQL&gt;&lt;Q&gt;CX-US^P_BETA_LOCIDX(44806,44634,,"SPX")&lt;/Q&gt;&lt;R&gt;1&lt;/R&gt;&lt;C&gt;1&lt;/C&gt;&lt;D xsi:type="xsd:double"&gt;1.3715491&lt;/D&gt;&lt;/FQL&gt;&lt;FQL&gt;&lt;Q&gt;CX-US^P_BETA_LOCIDX(44805,44631,,"SPX")&lt;/Q&gt;&lt;R&gt;1&lt;/R&gt;&lt;C&gt;1&lt;/C&gt;&lt;D xsi:type="xsd:double"&gt;1.3785875&lt;/D&gt;&lt;/FQL&gt;&lt;FQL&gt;&lt;Q&gt;CX-US^P_BETA_LOCIDX(44804,44630,,"SPX")&lt;/Q&gt;&lt;R&gt;1&lt;/R&gt;&lt;C&gt;1&lt;/C&gt;&lt;D xsi:type="xsd:double"&gt;1.3828604&lt;/D&gt;&lt;/FQL&gt;&lt;FQL&gt;&lt;Q&gt;CX-US^P_BETA_LOCIDX(44803,44629,,"SPX")&lt;/Q&gt;&lt;R&gt;1&lt;/R&gt;&lt;C&gt;1&lt;/C&gt;&lt;D xsi:type="xsd:double"&gt;1.3859829&lt;/D&gt;&lt;/FQL&gt;&lt;FQL&gt;&lt;Q&gt;CX-US^P_BETA_LOCIDX(44802,44628,,"SPX")&lt;/Q&gt;&lt;R&gt;1&lt;/R&gt;&lt;C&gt;1&lt;/C&gt;&lt;D xsi:type="xsd:double"&gt;1.363176&lt;/D&gt;&lt;/FQL&gt;&lt;FQL&gt;&lt;Q&gt;CX-US^P_BETA_LOCIDX(44799,44627,,"SPX")&lt;/Q&gt;&lt;R&gt;1&lt;/R&gt;&lt;C&gt;1&lt;/C&gt;&lt;D xsi:type="xsd:double"&gt;1.383961&lt;/D&gt;&lt;/FQL&gt;&lt;FQL&gt;&lt;Q&gt;CX-US^P_BETA_LOCIDX(44798,44624,,"SPX")&lt;/Q&gt;&lt;R&gt;1&lt;/R&gt;&lt;C&gt;1&lt;/C&gt;&lt;D xsi:type="xsd:double"&gt;1.4044656&lt;/D&gt;&lt;/FQL&gt;&lt;FQL&gt;&lt;Q&gt;CX-US^P_BETA_LOCIDX(44797,44623,,"SPX")&lt;/Q&gt;&lt;R&gt;1&lt;/R&gt;&lt;C&gt;1&lt;/C&gt;&lt;D xsi:type="xsd:double"&gt;1.4049945&lt;/D&gt;&lt;/FQL&gt;&lt;FQL&gt;&lt;Q&gt;CX-US^P_BETA_LOCIDX(44796,44622,,"SPX")&lt;/Q&gt;&lt;R&gt;1&lt;/R&gt;&lt;C&gt;1&lt;/C&gt;&lt;D xsi:type="xsd:double"&gt;1.4046966&lt;/D&gt;&lt;/FQL&gt;&lt;FQL&gt;&lt;Q&gt;CX-US^P_BETA_LOCIDX(44795,44621,,"SPX")&lt;/Q&gt;&lt;R&gt;1&lt;/R&gt;&lt;C&gt;1&lt;/C&gt;&lt;D xsi:type="xsd:double"&gt;1.4064847&lt;/D&gt;&lt;/FQL&gt;&lt;FQL&gt;&lt;Q&gt;CX-US^P_BETA_LOCIDX(44792,44620,,"SPX")&lt;/Q&gt;&lt;R&gt;1&lt;/R&gt;&lt;C&gt;1&lt;/C&gt;&lt;D xsi:type="xsd:double"&gt;1.4087597&lt;/D&gt;&lt;/FQL&gt;&lt;FQL&gt;&lt;Q&gt;CX-US^P_BETA_LOCIDX(44791,44617,,"SPX")&lt;/Q&gt;&lt;R&gt;1&lt;/R&gt;&lt;C&gt;1&lt;/C&gt;&lt;D xsi:type="xsd:double"&gt;1.3978314&lt;/D&gt;&lt;/FQL&gt;&lt;FQL&gt;&lt;Q&gt;CX-US^P_BETA_LOCIDX(44790,44616,,"SPX")&lt;/Q&gt;&lt;R&gt;1&lt;/R&gt;&lt;C&gt;1&lt;/C&gt;&lt;D xsi:type="xsd:double"&gt;1.3807125&lt;/D&gt;&lt;/FQL&gt;&lt;FQL&gt;&lt;Q&gt;CX-US^P_BETA_LOCIDX(44789,44615,,"SPX")&lt;/Q&gt;&lt;R&gt;1&lt;/R&gt;&lt;C&gt;1&lt;/C&gt;&lt;D xsi:type="xsd:double"&gt;1.4033158&lt;/D&gt;&lt;/FQL&gt;&lt;FQL&gt;&lt;Q&gt;CX-US^P_BETA_LOCIDX(44788,44614,,"SPX")&lt;/Q&gt;&lt;R&gt;1&lt;/R&gt;&lt;C&gt;1&lt;/C&gt;&lt;D xsi:type="xsd:double"&gt;1.4033566&lt;/D&gt;&lt;/FQL&gt;&lt;FQL&gt;&lt;Q&gt;CX-US^P_BETA_LOCIDX(44785,44610,,"SPX")&lt;/Q&gt;&lt;R&gt;1&lt;/R&gt;&lt;C&gt;1&lt;/C&gt;&lt;D xsi:type="xsd:double"&gt;1.4070983&lt;/D&gt;&lt;/FQL&gt;&lt;FQL&gt;&lt;Q&gt;CX-US^P_BETA_LOCIDX(44784,44609,,"SPX")&lt;/Q&gt;&lt;R&gt;1&lt;/R&gt;&lt;C&gt;1&lt;/C&gt;&lt;D xsi:type="xsd:double"&gt;1.3924868&lt;/D&gt;&lt;/FQL&gt;&lt;FQL&gt;&lt;Q&gt;CX-US^P_BETA_LOCIDX(44783,44608,,"SPX")&lt;/Q&gt;&lt;R&gt;1&lt;/R&gt;&lt;C&gt;1&lt;/C&gt;&lt;D xsi:type="xsd:double"&gt;1.392663&lt;/D&gt;&lt;/FQL&gt;&lt;FQL&gt;&lt;Q&gt;CX-US^P_BETA_LOCIDX(44782,44607,,"SPX")&lt;/Q&gt;&lt;R&gt;1&lt;/R&gt;&lt;C&gt;1&lt;/C&gt;&lt;D xsi:type="xsd:double"&gt;1.3912374&lt;/D&gt;&lt;/FQL&gt;&lt;FQL&gt;&lt;Q&gt;CX-US^P_BETA_LOCIDX(44781,44606,,"SPX")&lt;/Q&gt;&lt;R&gt;1&lt;/R&gt;&lt;C&gt;1&lt;/C&gt;&lt;D xsi:type="xsd:double"&gt;1.3915095&lt;/D&gt;&lt;/FQL&gt;&lt;FQL&gt;&lt;Q&gt;CX-US^P_BETA_LOCIDX(44778,44603,,"SPX")&lt;/Q&gt;&lt;R&gt;1&lt;/R&gt;&lt;C&gt;1&lt;/C&gt;&lt;D xsi:type="xsd:double"&gt;1.374313&lt;/D&gt;&lt;/FQL&gt;&lt;FQL&gt;&lt;Q&gt;CX-US^P_BETA_LOCIDX(44777,44602,,"SPX")&lt;/Q&gt;&lt;R&gt;1&lt;/R&gt;&lt;C&gt;1&lt;/C&gt;&lt;D xsi:type="xsd:double"&gt;1.405914&lt;/D&gt;&lt;/FQL&gt;&lt;FQL&gt;&lt;Q&gt;CX-US^P_BETA_LOCIDX(44776,44601,,"SPX")&lt;/Q&gt;&lt;R&gt;1&lt;/R&gt;&lt;C&gt;1&lt;/C&gt;&lt;D xsi:type="xsd:double"&gt;1.4132173&lt;/D&gt;&lt;/FQL&gt;&lt;FQL&gt;&lt;Q&gt;CX-US^P_BETA_LOCIDX(44775,44600,,"SPX")&lt;/Q&gt;&lt;R&gt;1&lt;/R&gt;&lt;C&gt;1&lt;/C&gt;&lt;D xsi:type="xsd:double"&gt;1.3909262&lt;/D&gt;&lt;/FQL&gt;&lt;FQL&gt;&lt;Q&gt;CX-US^P_BETA_LOCIDX(44774,44599,,"SPX")&lt;/Q&gt;&lt;R&gt;1&lt;/R&gt;&lt;C&gt;1&lt;/C&gt;&lt;D xsi:type="xsd:double"&gt;1.3920212&lt;/D&gt;&lt;/FQL&gt;&lt;FQL&gt;&lt;Q&gt;CRS-US^P_BETA_LOCIDX(45845,45670,,"SPX")&lt;/Q&gt;&lt;R&gt;1&lt;/R&gt;&lt;C&gt;1&lt;/C&gt;&lt;D xsi:type="xsd:double"&gt;1.6247675&lt;</t>
        </r>
      </text>
    </comment>
    <comment ref="A6" authorId="0" shapeId="0" xr:uid="{6D68598D-67A5-451B-A0E4-CEB497466488}">
      <text>
        <r>
          <rPr>
            <b/>
            <sz val="9"/>
            <color indexed="81"/>
            <rFont val="Tahoma"/>
            <family val="2"/>
          </rPr>
          <t>/D&gt;&lt;/FQL&gt;&lt;FQL&gt;&lt;Q&gt;CX-US^P_BETA_LOCIDX(45845,45670,,"SPX")&lt;/Q&gt;&lt;R&gt;1&lt;/R&gt;&lt;C&gt;1&lt;/C&gt;&lt;D xsi:type="xsd:double"&gt;0.8826446&lt;/D&gt;&lt;/FQL&gt;&lt;FQL&gt;&lt;Q&gt;NVT-US^P_BETA_LOCIDX(45841,45665,,"SPX")&lt;/Q&gt;&lt;R&gt;1&lt;/R&gt;&lt;C&gt;1&lt;/C&gt;&lt;D xsi:type="xsd:double"&gt;1.6504983&lt;/D&gt;&lt;/FQL&gt;&lt;FQL&gt;&lt;Q&gt;NVT-US^P_BETA_LOCIDX(45840,45664,,"SPX")&lt;/Q&gt;&lt;R&gt;1&lt;/R&gt;&lt;C&gt;1&lt;/C&gt;&lt;D xsi:type="xsd:double"&gt;1.6466614&lt;/D&gt;&lt;/FQL&gt;&lt;FQL&gt;&lt;Q&gt;NVT-US^P_BETA_LOCIDX(45839,45663,,"SPX")&lt;/Q&gt;&lt;R&gt;1&lt;/R&gt;&lt;C&gt;1&lt;/C&gt;&lt;D xsi:type="xsd:double"&gt;1.6452707&lt;/D&gt;&lt;/FQL&gt;&lt;FQL&gt;&lt;Q&gt;NVT-US^P_BETA_LOCIDX(45838,45660,,"SPX")&lt;/Q&gt;&lt;R&gt;1&lt;/R&gt;&lt;C&gt;1&lt;/C&gt;&lt;D xsi:type="xsd:double"&gt;1.6492283&lt;/D&gt;&lt;/FQL&gt;&lt;FQL&gt;&lt;Q&gt;NVT-US^P_BETA_LOCIDX(45835,45659,,"SPX")&lt;/Q&gt;&lt;R&gt;1&lt;/R&gt;&lt;C&gt;1&lt;/C&gt;&lt;D xsi:type="xsd:double"&gt;1.6500871&lt;/D&gt;&lt;/FQL&gt;&lt;FQL&gt;&lt;Q&gt;NVT-US^P_BETA_LOCIDX(45834,45657,,"SPX")&lt;/Q&gt;&lt;R&gt;1&lt;/R&gt;&lt;C&gt;1&lt;/C&gt;&lt;D xsi:type="xsd:double"&gt;1.650453&lt;/D&gt;&lt;/FQL&gt;&lt;FQL&gt;&lt;Q&gt;NVT-US^P_BETA_LOCIDX(45833,45656,,"SPX")&lt;/Q&gt;&lt;R&gt;1&lt;/R&gt;&lt;C&gt;1&lt;/C&gt;&lt;D xsi:type="xsd:double"&gt;1.6469473&lt;/D&gt;&lt;/FQL&gt;&lt;FQL&gt;&lt;Q&gt;NVT-US^P_BETA_LOCIDX(45832,45653,,"SPX")&lt;/Q&gt;&lt;R&gt;1&lt;/R&gt;&lt;C&gt;1&lt;/C&gt;&lt;D xsi:type="xsd:double"&gt;1.6432427&lt;/D&gt;&lt;/FQL&gt;&lt;FQL&gt;&lt;Q&gt;NVT-US^P_BETA_LOCIDX(45831,45652,,"SPX")&lt;/Q&gt;&lt;R&gt;1&lt;/R&gt;&lt;C&gt;1&lt;/C&gt;&lt;D xsi:type="xsd:double"&gt;1.641893&lt;/D&gt;&lt;/FQL&gt;&lt;FQL&gt;&lt;Q&gt;NVT-US^P_BETA_LOCIDX(45828,45650,,"SPX")&lt;/Q&gt;&lt;R&gt;1&lt;/R&gt;&lt;C&gt;1&lt;/C&gt;&lt;D xsi:type="xsd:double"&gt;1.6403576&lt;/D&gt;&lt;/FQL&gt;&lt;FQL&gt;&lt;Q&gt;NVT-US^P_BETA_LOCIDX(45826,45649,,"SPX")&lt;/Q&gt;&lt;R&gt;1&lt;/R&gt;&lt;C&gt;1&lt;/C&gt;&lt;D xsi:type="xsd:double"&gt;1.6366967&lt;/D&gt;&lt;/FQL&gt;&lt;FQL&gt;&lt;Q&gt;NVT-US^P_BETA_LOCIDX(45825,45646,,"SPX")&lt;/Q&gt;&lt;R&gt;1&lt;/R&gt;&lt;C&gt;1&lt;/C&gt;&lt;D xsi:type="xsd:double"&gt;1.6299791&lt;/D&gt;&lt;/FQL&gt;&lt;FQL&gt;&lt;Q&gt;NVT-US^P_BETA_LOCIDX(45824,45645,,"SPX")&lt;/Q&gt;&lt;R&gt;1&lt;/R&gt;&lt;C&gt;1&lt;/C&gt;&lt;D xsi:type="xsd:double"&gt;1.6313573&lt;/D&gt;&lt;/FQL&gt;&lt;FQL&gt;&lt;Q&gt;NVT-US^P_BETA_LOCIDX(45821,45644,,"SPX")&lt;/Q&gt;&lt;R&gt;1&lt;/R&gt;&lt;C&gt;1&lt;/C&gt;&lt;D xsi:type="xsd:double"&gt;1.6235923&lt;/D&gt;&lt;/FQL&gt;&lt;FQL&gt;&lt;Q&gt;NVT-US^P_BETA_LOCIDX(45820,45643,,"SPX")&lt;/Q&gt;&lt;R&gt;1&lt;/R&gt;&lt;C&gt;1&lt;/C&gt;&lt;D xsi:type="xsd:double"&gt;1.6261295&lt;/D&gt;&lt;/FQL&gt;&lt;FQL&gt;&lt;Q&gt;NVT-US^P_BETA_LOCIDX(45819,45642,,"SPX")&lt;/Q&gt;&lt;R&gt;1&lt;/R&gt;&lt;C&gt;1&lt;/C&gt;&lt;D xsi:type="xsd:double"&gt;1.6250103&lt;/D&gt;&lt;/FQL&gt;&lt;FQL&gt;&lt;Q&gt;NVT-US^P_BETA_LOCIDX(45818,45639,,"SPX")&lt;/Q&gt;&lt;R&gt;1&lt;/R&gt;&lt;C&gt;1&lt;/C&gt;&lt;D xsi:type="xsd:double"&gt;1.6264051&lt;/D&gt;&lt;/FQL&gt;&lt;FQL&gt;&lt;Q&gt;NVT-US^P_BETA_LOCIDX(45817,45638,,"SPX")&lt;/Q&gt;&lt;R&gt;1&lt;/R&gt;&lt;C&gt;1&lt;/C&gt;&lt;D xsi:type="xsd:double"&gt;1.6265628&lt;/D&gt;&lt;/FQL&gt;&lt;FQL&gt;&lt;Q&gt;NVT-US^P_BETA_LOCIDX(45814,45637,,"SPX")&lt;/Q&gt;&lt;R&gt;1&lt;/R&gt;&lt;C&gt;1&lt;/C&gt;&lt;D xsi:type="xsd:double"&gt;1.6261554&lt;/D&gt;&lt;/FQL&gt;&lt;FQL&gt;&lt;Q&gt;NVT-US^P_BETA_LOCIDX(45813,45636,,"SPX")&lt;/Q&gt;&lt;R&gt;1&lt;/R&gt;&lt;C&gt;1&lt;/C&gt;&lt;D xsi:type="xsd:double"&gt;1.6232587&lt;/D&gt;&lt;/FQL&gt;&lt;FQL&gt;&lt;Q&gt;NVT-US^P_BETA_LOCIDX(45812,45635,,"SPX")&lt;/Q&gt;&lt;R&gt;1&lt;/R&gt;&lt;C&gt;1&lt;/C&gt;&lt;D xsi:type="xsd:double"&gt;1.6274941&lt;/D&gt;&lt;/FQL&gt;&lt;FQL&gt;&lt;Q&gt;NVT-US^P_BETA_LOCIDX(45811,45632,,"SPX")&lt;/Q&gt;&lt;R&gt;1&lt;/R&gt;&lt;C&gt;1&lt;/C&gt;&lt;D xsi:type="xsd:double"&gt;1.6263205&lt;/D&gt;&lt;/FQL&gt;&lt;FQL&gt;&lt;Q&gt;NVT-US^P_BETA_LOCIDX(45810,45631,,"SPX")&lt;/Q&gt;&lt;R&gt;1&lt;/R&gt;&lt;C&gt;1&lt;/C&gt;&lt;D xsi:type="xsd:double"&gt;1.6241032&lt;/D&gt;&lt;/FQL&gt;&lt;FQL&gt;&lt;Q&gt;NVT-US^P_BETA_LOCIDX(45807,45630,,"SPX")&lt;/Q&gt;&lt;R&gt;1&lt;/R&gt;&lt;C&gt;1&lt;/C&gt;&lt;D xsi:type="xsd:double"&gt;1.6282226&lt;/D&gt;&lt;/FQL&gt;&lt;FQL&gt;&lt;Q&gt;NVT-US^P_BETA_LOCIDX(45806,45629,,"SPX")&lt;/Q&gt;&lt;R&gt;1&lt;/R&gt;&lt;C&gt;1&lt;/C&gt;&lt;D xsi:type="xsd:double"&gt;1.6283729&lt;/D&gt;&lt;/FQL&gt;&lt;FQL&gt;&lt;Q&gt;NVT-US^P_BETA_LOCIDX(45805,45628,,"SPX")&lt;/Q&gt;&lt;R&gt;1&lt;/R&gt;&lt;C&gt;1&lt;/C&gt;&lt;D xsi:type="xsd:double"&gt;1.6272379&lt;/D&gt;&lt;/FQL&gt;&lt;FQL&gt;&lt;Q&gt;NVT-US^P_BETA_LOCIDX(45804,45625,,"SPX")&lt;/Q&gt;&lt;R&gt;1&lt;/R&gt;&lt;C&gt;1&lt;/C&gt;&lt;D xsi:type="xsd:double"&gt;1.6296958&lt;/D&gt;&lt;/FQL&gt;&lt;FQL&gt;&lt;Q&gt;NVT-US^P_BETA_LOCIDX(45800,45623,,"SPX")&lt;/Q&gt;&lt;R&gt;1&lt;/R&gt;&lt;C&gt;1&lt;/C&gt;&lt;D xsi:type="xsd:double"&gt;1.6359009&lt;/D&gt;&lt;/FQL&gt;&lt;FQL&gt;&lt;Q&gt;NVT-US^P_BETA_LOCIDX(45799,45622,,"SPX")&lt;/Q&gt;&lt;R&gt;1&lt;/R&gt;&lt;C&gt;1&lt;/C&gt;&lt;D xsi:type="xsd:double"&gt;1.6373632&lt;/D&gt;&lt;/FQL&gt;&lt;FQL&gt;&lt;Q&gt;NVT-US^P_BETA_LOCIDX(45798,45621,,"SPX")&lt;/Q&gt;&lt;R&gt;1&lt;/R&gt;&lt;C&gt;1&lt;/C&gt;&lt;D xsi:type="xsd:double"&gt;1.6371279&lt;/D&gt;&lt;/FQL&gt;&lt;FQL&gt;&lt;Q&gt;NVT-US^P_BETA_LOCIDX(45797,45618,,"SPX")&lt;/Q&gt;&lt;R&gt;1&lt;/R&gt;&lt;C&gt;1&lt;/C&gt;&lt;D xsi:type="xsd:double"&gt;1.6348311&lt;/D&gt;&lt;/FQL&gt;&lt;FQL&gt;&lt;Q&gt;NVT-US^P_BETA_LOCIDX(45796,45617,,"SPX")&lt;/Q&gt;&lt;R&gt;1&lt;/R&gt;&lt;C&gt;1&lt;/C&gt;&lt;D xsi:type="xsd:double"&gt;1.6423731&lt;/D&gt;&lt;/FQL&gt;&lt;FQL&gt;&lt;Q&gt;NVT-US^P_BETA_LOCIDX(45793,45616,,"SPX")&lt;/Q&gt;&lt;R&gt;1&lt;/R&gt;&lt;C&gt;1&lt;/C&gt;&lt;D xsi:type="xsd:double"&gt;1.6428326&lt;/D&gt;&lt;/FQL&gt;&lt;FQL&gt;&lt;Q&gt;NVT-US^P_BETA_LOCIDX(45792,45615,,"SPX")&lt;/Q&gt;&lt;R&gt;1&lt;/R&gt;&lt;C&gt;1&lt;/C&gt;&lt;D xsi:type="xsd:double"&gt;1.6459155&lt;/D&gt;&lt;/FQL&gt;&lt;FQL&gt;&lt;Q&gt;NVT-US^P_BETA_LOCIDX(45791,45614,,"SPX")&lt;/Q&gt;&lt;R&gt;1&lt;/R&gt;&lt;C&gt;1&lt;/C&gt;&lt;D xsi:type="xsd:double"&gt;1.649944&lt;/D&gt;&lt;/FQL&gt;&lt;FQL&gt;&lt;Q&gt;NVT-US^P_BETA_LOCIDX(45790,45611,,"SPX")&lt;/Q&gt;&lt;R&gt;1&lt;/R&gt;&lt;C&gt;1&lt;/C&gt;&lt;D xsi:type="xsd:double"&gt;1.6468326&lt;/D&gt;&lt;/FQL&gt;&lt;FQL&gt;&lt;Q&gt;NVT-US^P_BETA_LOCIDX(45789,45610,,"SPX")&lt;/Q&gt;&lt;R&gt;1&lt;/R&gt;&lt;C&gt;1&lt;/C&gt;&lt;D xsi:type="xsd:double"&gt;1.6488729&lt;/D&gt;&lt;/FQL&gt;&lt;FQL&gt;&lt;Q&gt;NVT-US^P_BETA_LOCIDX(45786,45609,,"SPX")&lt;/Q&gt;&lt;R&gt;1&lt;/R&gt;&lt;C&gt;1&lt;/C&gt;&lt;D xsi:type="xsd:double"&gt;1.6149135&lt;/D&gt;&lt;/FQL&gt;&lt;FQL&gt;&lt;Q&gt;NVT-US^P_BETA_LOCIDX(45785,45608,,"SPX")&lt;/Q&gt;&lt;R&gt;1&lt;/R&gt;&lt;C&gt;1&lt;/C&gt;&lt;D xsi:type="xsd:double"&gt;1.6159607&lt;/D&gt;&lt;/FQL&gt;&lt;FQL&gt;&lt;Q&gt;NVT-US^P_BETA_LOCIDX(45784,45607,,"SPX")&lt;/Q&gt;&lt;R&gt;1&lt;/R&gt;&lt;C&gt;1&lt;/C&gt;&lt;D xsi:type="xsd:double"&gt;1.6157147&lt;/D&gt;&lt;/FQL&gt;&lt;FQL&gt;&lt;Q&gt;NVT-US^P_BETA_LOCIDX(45783,45604,,"SPX")&lt;/Q&gt;&lt;R&gt;1&lt;/R&gt;&lt;C&gt;1&lt;/C&gt;&lt;D xsi:type="xsd:double"&gt;1.6148312&lt;/D&gt;&lt;/FQL&gt;&lt;FQL&gt;&lt;Q&gt;NVT-US^P_BETA_LOCIDX(45782,45603,,"SPX")&lt;/Q&gt;&lt;R&gt;1&lt;/R&gt;&lt;C&gt;1&lt;/C&gt;&lt;D xsi:type="xsd:double"&gt;1.6145952&lt;/D&gt;&lt;/FQL&gt;&lt;FQL&gt;&lt;Q&gt;NVT-US^P_BETA_LOCIDX(45779,45602,,"SPX")&lt;/Q&gt;&lt;R&gt;1&lt;/R&gt;&lt;C&gt;1&lt;/C&gt;&lt;D xsi:type="xsd:double"&gt;1.6798164&lt;/D&gt;&lt;/FQL&gt;&lt;FQL&gt;&lt;Q&gt;NVT-US^P_BETA_LOCIDX(45778,45601,,"SPX")&lt;/Q&gt;&lt;R&gt;1&lt;/R&gt;&lt;C&gt;1&lt;/C&gt;&lt;D xsi:type="xsd:double"&gt;1.6601381&lt;/D&gt;&lt;/FQL&gt;&lt;FQL&gt;&lt;Q&gt;NVT-US^P_BETA_LOCIDX(45777,45600,,"SPX")&lt;/Q&gt;&lt;R&gt;1&lt;/R&gt;&lt;C&gt;1&lt;/C&gt;&lt;D xsi:type="xsd:double"&gt;1.6549555&lt;/D&gt;&lt;/FQL&gt;&lt;FQL&gt;&lt;Q&gt;NVT-US^P_BETA_LOCIDX(45776,45597,,"SPX")&lt;/Q&gt;&lt;R&gt;1&lt;/R&gt;&lt;C&gt;1&lt;/C&gt;&lt;D xsi:type="xsd:double"&gt;1.6418966&lt;/D&gt;&lt;/FQL&gt;&lt;FQL&gt;&lt;Q&gt;NVT-US^P_BETA_LOCIDX(45775,45596,,"SPX")&lt;/Q&gt;&lt;R&gt;1&lt;/R&gt;&lt;C&gt;1&lt;/C&gt;&lt;D xsi:type="xsd:double"&gt;1.6213716&lt;/D&gt;&lt;/FQL&gt;&lt;FQL&gt;&lt;Q&gt;NVT-US^P_BETA_LOCIDX(45772,45595,,"SPX")&lt;/Q&gt;&lt;R&gt;1&lt;/R&gt;&lt;C&gt;1&lt;/C&gt;&lt;D xsi:type="xsd:double"&gt;1.6208221&lt;/D&gt;&lt;/FQL&gt;&lt;FQL&gt;&lt;Q&gt;NVT-US^P_BETA_LOCIDX(45771,45594,,"SPX")&lt;/Q&gt;&lt;R&gt;1&lt;/R&gt;&lt;C&gt;1&lt;/C&gt;&lt;D xsi:type="xsd:double"&gt;1.6226075&lt;/D&gt;&lt;/FQL&gt;&lt;FQL&gt;&lt;Q&gt;NVT-US^P_BETA_LOCIDX(45770,45593,,"SPX")&lt;/Q&gt;&lt;R&gt;1&lt;/R&gt;&lt;C&gt;1&lt;/C&gt;&lt;D xsi:type="xsd:double"&gt;1.6139628&lt;/D&gt;&lt;/FQL&gt;&lt;FQL&gt;&lt;Q&gt;NVT-US^P_BETA_LOCIDX(45769,45590,,"SPX")&lt;/Q&gt;&lt;R&gt;1&lt;/R&gt;&lt;C&gt;1&lt;/C&gt;&lt;D xsi:type="xsd:double"&gt;1.6050283&lt;/D&gt;&lt;/FQL&gt;&lt;FQL&gt;&lt;Q&gt;NVT-US^P_BETA_LOCIDX(45768,45589,,"SPX")&lt;/Q&gt;&lt;R&gt;1&lt;/R&gt;&lt;C&gt;1&lt;/C&gt;&lt;D xsi:type="xsd:double"&gt;1.6055516&lt;/D&gt;&lt;/FQL&gt;&lt;FQL&gt;&lt;Q&gt;NVT-US^P_BETA_LOCIDX(45764,45588,,"SPX")&lt;/Q&gt;&lt;R&gt;1&lt;/R&gt;&lt;C&gt;1&lt;/C&gt;&lt;D xsi:type="xsd:double"&gt;1.60985&lt;/D&gt;&lt;/FQL&gt;&lt;FQL&gt;&lt;Q&gt;NVT-US^P_BETA_LOCIDX(45763,45587,,"SPX")&lt;/Q&gt;&lt;R&gt;1&lt;/R&gt;&lt;C&gt;1&lt;/C&gt;&lt;D xsi:type="xsd:double"&gt;1.6093649&lt;/D&gt;&lt;/FQL&gt;&lt;FQL&gt;&lt;Q&gt;NVT-US^P_BETA_LOCIDX(45762,45586,,"SPX")&lt;/Q&gt;&lt;R&gt;1&lt;/R&gt;&lt;C&gt;1&lt;/C&gt;&lt;D xsi:type="xsd:double"&gt;1.6254141&lt;/D&gt;&lt;/FQL&gt;&lt;FQL&gt;&lt;Q&gt;NVT-US^P_BETA_LOCIDX(45761,45583,,"SPX")&lt;/Q&gt;&lt;R&gt;1&lt;/R&gt;&lt;C&gt;1&lt;/C&gt;&lt;D xsi:type="xsd:double"&gt;1.6235679&lt;/D&gt;&lt;/FQL&gt;&lt;FQL&gt;&lt;Q&gt;NVT-US^P_BETA_LOCIDX(45758,45582,,"SPX")&lt;/Q&gt;&lt;R&gt;1&lt;/R&gt;&lt;C&gt;1&lt;/C&gt;&lt;D xsi:type="xsd:double"&gt;1.6267811&lt;/D&gt;&lt;/FQL&gt;&lt;FQL&gt;&lt;Q&gt;NVT-US^P_BETA_LOCIDX(45757,45581,,"SPX")&lt;/Q&gt;&lt;R&gt;1&lt;/R&gt;&lt;C&gt;1&lt;/C&gt;&lt;D xsi:type="xsd:double"&gt;1.6395302&lt;/D&gt;&lt;/FQL&gt;&lt;FQL&gt;&lt;Q&gt;NVT-US^P_BETA_LOCIDX(45756,45580,,"SPX")&lt;/Q&gt;&lt;R&gt;1&lt;/R&gt;&lt;C&gt;1&lt;/C&gt;&lt;D xsi:type="xsd:double"&gt;1.6533628&lt;/D&gt;&lt;/FQL&gt;&lt;FQL&gt;&lt;Q&gt;NVT-US^P_BETA_LOCIDX(45755,45579,,"SPX")&lt;/Q&gt;&lt;R&gt;1&lt;/R&gt;&lt;C&gt;1&lt;/C&gt;&lt;D xsi:type="xsd:double"&gt;1.7133008&lt;/D&gt;&lt;/FQL&gt;&lt;FQL&gt;&lt;Q&gt;NVT-US^P_BETA_LOCIDX(45754,45576,,"SPX")&lt;/Q&gt;&lt;R&gt;1&lt;/R&gt;&lt;C&gt;1&lt;/C&gt;&lt;D xsi:type="xsd:double"&gt;1.7196931&lt;/D&gt;&lt;/FQL&gt;&lt;FQL&gt;&lt;Q&gt;NVT-US^P_BETA_LOCIDX(45751,45575,,"SPX")&lt;/Q&gt;&lt;R&gt;1&lt;/R&gt;&lt;C&gt;1&lt;/C&gt;&lt;D xsi:type="xsd:double"&gt;1.7213603&lt;/D&gt;&lt;/FQL&gt;&lt;FQL&gt;&lt;Q&gt;NVT-US^P_BETA_LOCIDX(45750,45574,,"SPX")&lt;/Q&gt;&lt;R&gt;1&lt;/R&gt;&lt;C&gt;1&lt;/C&gt;&lt;D xsi:type="xsd:double"&gt;1.9203913&lt;/D&gt;&lt;/FQL&gt;&lt;FQL&gt;&lt;Q&gt;NVT-US^P_BETA_LOCIDX(45749,45573,,"SPX")&lt;/Q&gt;&lt;R&gt;1&lt;/R&gt;&lt;C&gt;1&lt;/C&gt;&lt;D xsi:type="xsd:double"&gt;1.7665881&lt;/D&gt;&lt;/FQL&gt;&lt;FQL&gt;&lt;Q&gt;NVT-US^P_BETA_LOCIDX(45748,45572,,"SPX")&lt;/Q&gt;&lt;R&gt;1&lt;/R&gt;&lt;C&gt;1&lt;/C&gt;&lt;D xsi:type="xsd:double"&gt;1.7062448&lt;/D&gt;&lt;/FQL&gt;&lt;FQL&gt;&lt;Q&gt;NVT-US^P_BETA_LOCIDX(45747,45569,,"SPX")&lt;/Q&gt;&lt;R&gt;1&lt;/R&gt;&lt;C&gt;1&lt;/C&gt;&lt;D xsi:type="xsd:double"&gt;1.7162482&lt;/D&gt;&lt;/FQL&gt;&lt;FQL&gt;&lt;Q&gt;NVT-US^P_BETA_LOCIDX(45744,45568,,"SPX")&lt;/Q&gt;&lt;R&gt;1&lt;/R&gt;&lt;C&gt;1&lt;/C&gt;&lt;D xsi:type="xsd:double"&gt;1.7261357&lt;/D&gt;&lt;/FQL&gt;&lt;FQL&gt;&lt;Q&gt;NVT-US^P_BETA_LOCIDX(45743,45567,,"SPX")&lt;/Q&gt;&lt;R&gt;1&lt;/R&gt;&lt;C&gt;1&lt;/C&gt;&lt;D xsi:type="xsd:double"&gt;1.7356158&lt;/D&gt;&lt;/FQL&gt;&lt;FQL&gt;&lt;Q&gt;NVT-US^P_BETA_LOCIDX(45742,45566,,"SPX")&lt;/Q&gt;&lt;R&gt;1&lt;/R&gt;&lt;C&gt;1&lt;/C&gt;&lt;D xsi:type="xsd:double"&gt;1.7335032&lt;/D&gt;&lt;/FQL&gt;&lt;FQL&gt;&lt;Q&gt;NVT-US^P_BETA_LOCIDX(45741,45565,,"SPX")&lt;/Q&gt;&lt;R&gt;1&lt;/R&gt;&lt;C&gt;1&lt;/C&gt;&lt;D xsi:type="xsd:double"&gt;1.6989383&lt;/D&gt;&lt;/FQL&gt;&lt;FQL&gt;&lt;Q&gt;NVT-US^P_BETA_LOCIDX(45740,45562,,"SPX")&lt;/Q&gt;&lt;R&gt;1&lt;/R&gt;&lt;C&gt;1&lt;/C&gt;&lt;D xsi:type="xsd:double"&gt;1.6987957&lt;/D&gt;&lt;/FQL&gt;&lt;FQL&gt;&lt;Q&gt;NVT-US^P_BETA_LOCIDX(45737,45561,,"SPX")&lt;/Q&gt;&lt;R&gt;1&lt;/R&gt;&lt;C&gt;1&lt;/C&gt;&lt;D xsi:type="xsd:double"&gt;1.7092742&lt;/D&gt;&lt;/FQL&gt;&lt;FQL&gt;&lt;Q&gt;NVT-US^P_BETA_LOCIDX(45736,45560,,"SPX")&lt;/Q&gt;&lt;R&gt;1&lt;/R&gt;&lt;C&gt;1&lt;/C&gt;&lt;D xsi:type="xsd:double"&gt;1.707714&lt;/D&gt;&lt;/FQL&gt;&lt;FQL&gt;&lt;Q&gt;NVT-US^P_BETA_LOCIDX(45735,45559,,"SPX")&lt;/Q&gt;&lt;R&gt;1&lt;/R&gt;&lt;C&gt;1&lt;/C&gt;&lt;D xsi:type="xsd:double"&gt;1.7050353&lt;/D&gt;&lt;/FQL&gt;&lt;FQL&gt;&lt;Q&gt;NVT-US^P_BETA_LOCIDX(45734,45558,,"SPX")&lt;/Q&gt;&lt;R&gt;1&lt;/R&gt;&lt;C&gt;1&lt;/C&gt;&lt;D xsi:type="xsd:double"&gt;1.6947305&lt;/D&gt;&lt;/FQL&gt;&lt;FQL&gt;&lt;Q&gt;NVT-US^P_BETA_LOCIDX(45733,45555,,"SPX")&lt;/Q&gt;&lt;R&gt;1&lt;/R&gt;&lt;C&gt;1&lt;/C&gt;&lt;D xsi:type="xsd:double"&gt;1.691866&lt;/D&gt;&lt;/FQL&gt;&lt;FQL&gt;&lt;Q&gt;NVT-US^P_BETA_LOCIDX(45730,45554,,"SPX")&lt;/Q&gt;&lt;R&gt;1&lt;/R&gt;&lt;C&gt;1&lt;/C&gt;&lt;D xsi:type="xsd:double"&gt;1.7415688&lt;/D&gt;&lt;/FQL&gt;&lt;FQL&gt;&lt;Q&gt;NVT-US^P_BETA_LOCIDX(45729,45553,,"SPX")&lt;/Q&gt;&lt;R&gt;1&lt;/R&gt;&lt;C&gt;1&lt;/C&gt;&lt;D xsi:type="xsd:double"&gt;1.7138947&lt;/D&gt;&lt;/FQL&gt;&lt;FQL&gt;&lt;Q&gt;NVT-US^P_BETA_LOCIDX(45728,45552,,"SPX")&lt;/Q&gt;&lt;R&gt;1&lt;/R&gt;&lt;C&gt;1&lt;/C&gt;&lt;D xsi:type="xsd:double"&gt;1.7136056&lt;/D&gt;&lt;/FQL&gt;&lt;FQL&gt;&lt;Q&gt;NVT-US^P_BETA_LOCIDX(45727,45551,,"SPX")&lt;/Q&gt;&lt;R&gt;1&lt;/R&gt;&lt;C&gt;1&lt;/C&gt;&lt;D xsi:type="xsd:double"&gt;1.7081873&lt;/D&gt;&lt;/FQL&gt;&lt;FQL&gt;&lt;Q&gt;NVT-US^P_BETA_LOCIDX(45726,45548,,"SPX")&lt;/Q&gt;&lt;R&gt;1&lt;/R&gt;&lt;C&gt;1&lt;/C&gt;&lt;D xsi:type="xsd:double"&gt;1.7460707&lt;/D&gt;&lt;/FQL&gt;&lt;FQL&gt;&lt;Q&gt;NVT-US^P_BETA_LOCIDX(45723,45547,,"SPX")&lt;/Q&gt;&lt;R&gt;1&lt;/R&gt;&lt;C&gt;1&lt;/C&gt;&lt;D xsi:type="xsd:double"&gt;1.8147815&lt;/D&gt;&lt;/FQL&gt;&lt;FQL&gt;&lt;Q&gt;NVT-US^P_BETA_LOCIDX(45722,45546,,"SPX")&lt;/Q&gt;&lt;R&gt;1&lt;/R&gt;&lt;C&gt;1&lt;/C&gt;&lt;D xsi:type="xsd:double"&gt;1.8373008&lt;/D&gt;&lt;/FQL&gt;&lt;FQL&gt;&lt;Q&gt;NVT-US^P_BETA_LOCIDX(45721,45545,,"SPX")&lt;/Q&gt;&lt;R&gt;1&lt;/R&gt;&lt;C&gt;1&lt;/C&gt;&lt;D xsi:type="xsd:double"&gt;1.8971126&lt;/D&gt;&lt;/FQL&gt;&lt;FQL&gt;&lt;Q&gt;NVT-US^P_BETA_LOCIDX(45720,45544,,"SPX")&lt;/Q&gt;&lt;R&gt;1&lt;/R&gt;&lt;C&gt;1&lt;/C&gt;&lt;D xsi:type="xsd:double"&gt;1.8833091&lt;/D&gt;&lt;/FQL&gt;&lt;FQL&gt;&lt;Q&gt;NVT-US^P_BETA_LOCIDX(45719,45541,,"SPX")&lt;/Q&gt;&lt;R&gt;1&lt;/R&gt;&lt;C&gt;1&lt;/C&gt;&lt;D xsi:type="xsd:double"&gt;1.8294034&lt;/D&gt;&lt;/FQL&gt;&lt;FQL&gt;&lt;Q&gt;NVT-US^P_BETA_LOCIDX(45716,45540,,"SPX")&lt;/Q&gt;&lt;R&gt;1&lt;/R&gt;&lt;C&gt;1&lt;/C&gt;&lt;D xsi:type="xsd:double"&gt;1.7547462&lt;/D&gt;&lt;/FQL&gt;&lt;FQL&gt;&lt;Q&gt;NVT-US^P_BETA_LOCIDX(45715,45539,,"SPX")&lt;/Q&gt;&lt;R&gt;1&lt;/R&gt;&lt;C&gt;1&lt;/C&gt;&lt;D xsi:type="xsd:double"&gt;1.7965145&lt;/D&gt;&lt;/FQL&gt;&lt;FQL&gt;&lt;Q&gt;NVT-US^P_BETA_LOCIDX(45714,45538,,"SPX")&lt;/Q&gt;&lt;R&gt;1&lt;/R&gt;&lt;C&gt;1&lt;/C&gt;&lt;D xsi:type="xsd:double"&gt;1.8957186&lt;/D&gt;&lt;/FQL&gt;&lt;FQL&gt;&lt;Q&gt;NVT-US^P_BETA_LOCIDX(45713,45534,,"SPX")&lt;/Q&gt;&lt;R&gt;1&lt;/R&gt;&lt;C&gt;1&lt;/C&gt;&lt;D xsi:type="xsd:double"&gt;1.9002243&lt;/D&gt;&lt;/FQL&gt;&lt;FQL&gt;&lt;Q&gt;NVT-US^P_BETA_LOCIDX(45712,45533,,"SPX")&lt;/Q&gt;&lt;R&gt;1&lt;/R&gt;&lt;C&gt;1&lt;/C&gt;&lt;D xsi:type="xsd:double"&gt;1.9036708&lt;/D&gt;&lt;/FQL&gt;&lt;FQL&gt;&lt;Q&gt;NVT-US^P_BETA_LOCIDX(45709,45532,,"SPX")&lt;/Q&gt;&lt;R&gt;1&lt;/R&gt;&lt;C&gt;1&lt;/C&gt;&lt;D xsi:type="xsd:double"&gt;1.889068&lt;/D&gt;&lt;/FQL&gt;&lt;FQL&gt;&lt;Q&gt;NVT-US^P_BETA_LOCIDX(45708,45531,,"SPX")&lt;/Q&gt;&lt;R&gt;1&lt;/R&gt;&lt;C&gt;1&lt;/C&gt;&lt;D xsi:type="xsd:double"&gt;1.8301301&lt;/D&gt;&lt;/FQL&gt;&lt;FQL&gt;&lt;Q&gt;NVT-US^P_BETA_LOCIDX(45707,45530,,"SPX")&lt;/Q&gt;&lt;R&gt;1&lt;/R&gt;&lt;C&gt;1&lt;/C&gt;&lt;D xsi:type="xsd:double"&gt;1.8307396&lt;/D&gt;&lt;/FQL&gt;&lt;FQL&gt;&lt;Q&gt;NVT-US^P_BETA_LOCIDX(45706,45527,,"SPX")&lt;/Q&gt;&lt;R&gt;1&lt;/R&gt;&lt;C&gt;1&lt;/C&gt;&lt;D xsi:type="xsd:double"&gt;1.8515989&lt;/D&gt;&lt;/FQL&gt;&lt;FQL&gt;&lt;Q&gt;NVT-US^P_BETA_LOCIDX(45702,45526,,"SPX")&lt;/Q&gt;&lt;R&gt;1&lt;/R&gt;&lt;C&gt;1&lt;/C&gt;&lt;D xsi:type="xsd:double"&gt;1.8402395&lt;/D&gt;&lt;/FQL&gt;&lt;FQL&gt;&lt;Q&gt;NVT-US^P_BETA_LOCIDX(45701,45525,,"SPX")&lt;/Q&gt;&lt;R&gt;1&lt;/R&gt;&lt;C&gt;1&lt;/C&gt;&lt;D xsi:type="xsd:double"&gt;1.8427359&lt;/D&gt;&lt;/FQL&gt;&lt;FQL&gt;&lt;Q&gt;NVT-US^P_BETA_LOCIDX(45700,45524,,"SPX")&lt;/Q&gt;&lt;R&gt;1&lt;/R&gt;&lt;C&gt;1&lt;/C&gt;&lt;D xsi:type="xsd:double"&gt;1.871206&lt;/D&gt;&lt;/FQL&gt;&lt;FQL&gt;&lt;Q&gt;NVT-US^P_BETA_LOCIDX(45699,45523,,"SPX")&lt;/Q&gt;&lt;R&gt;1&lt;/R&gt;&lt;C&gt;1&lt;/C&gt;&lt;D xsi:type="xsd:double"&gt;1.8511932&lt;/D&gt;&lt;/FQL&gt;&lt;FQL&gt;&lt;Q&gt;NVT-US^P_BETA_LOCIDX(45698,45520,,"SPX")&lt;/Q&gt;&lt;R&gt;1&lt;/R&gt;&lt;C&gt;1&lt;/C&gt;&lt;D xsi:type="xsd:double"&gt;1.8479347&lt;/D&gt;&lt;/FQL&gt;&lt;FQL&gt;&lt;Q&gt;NVT-US^P_BETA_LOCIDX(45695,45519,,"SPX")&lt;/Q&gt;&lt;R&gt;1&lt;/R&gt;&lt;C&gt;1&lt;/C&gt;&lt;D xsi:type="xsd:double"&gt;1.8663074&lt;/D&gt;&lt;/FQL&gt;&lt;FQL&gt;&lt;Q&gt;NVT-US^P_BETA_LOCIDX(45694,45518,,"SPX")&lt;/Q&gt;&lt;R&gt;1&lt;/R&gt;&lt;C&gt;1&lt;/C&gt;&lt;D xsi:type="xsd:double"&gt;1.9374747&lt;/D&gt;&lt;/FQL&gt;&lt;FQL&gt;&lt;Q&gt;NVT-US^P_BETA_LOCIDX(45693,45517,,"SPX")&lt;/Q&gt;&lt;R&gt;1&lt;/R&gt;&lt;C&gt;1&lt;/C&gt;&lt;D xsi:type="xsd:double"&gt;1.8886741&lt;/D&gt;&lt;/FQL&gt;&lt;FQL&gt;&lt;Q&gt;NVT-US^P_BETA_LOCIDX(45692,45516,,"SPX")&lt;/Q&gt;&lt;R&gt;1&lt;/R&gt;&lt;C&gt;1&lt;/C&gt;&lt;D xsi:type="xsd:double"&gt;1.8886163&lt;/D&gt;&lt;/FQL&gt;&lt;FQL&gt;&lt;Q&gt;NVT-US^P_BETA_LOCIDX(45691,45513,,"SPX")&lt;/Q&gt;&lt;R&gt;1&lt;/R&gt;&lt;C&gt;1&lt;/C&gt;&lt;D xsi:type="xsd:double"&gt;1.9060862&lt;/D&gt;&lt;/FQL&gt;&lt;FQL&gt;&lt;Q&gt;NVT-US^P_BETA_LOCIDX(45688,45512,,"SPX")&lt;/Q&gt;&lt;R&gt;1&lt;/R&gt;&lt;C&gt;1&lt;/C&gt;&lt;D xsi:type="xsd:double"&gt;1.871377&lt;/D&gt;&lt;/FQL&gt;&lt;FQL&gt;&lt;Q&gt;NVT-US^P_BETA_LOCIDX(45687,45511,,"SPX")&lt;/Q&gt;&lt;R&gt;1&lt;/R&gt;&lt;C&gt;1&lt;/C&gt;&lt;D xsi:type="xsd:double"&gt;1.8564025&lt;/D&gt;&lt;/FQL&gt;&lt;FQL&gt;&lt;Q&gt;NVT-US^P_BETA_LOCIDX(45686,45510,,"SPX")&lt;/Q&gt;&lt;R&gt;1&lt;/R&gt;&lt;C&gt;1&lt;/C&gt;&lt;D xsi:type="xsd:double"&gt;1.7986103&lt;/D&gt;&lt;/FQL&gt;&lt;FQL&gt;&lt;Q&gt;NVT-US^P_BETA_LOCIDX(45685,45509,,"SPX")&lt;/Q&gt;&lt;R&gt;1&lt;/R&gt;&lt;C&gt;1&lt;/C&gt;&lt;D xsi:type="xsd:double"&gt;1.721791&lt;/D&gt;&lt;/FQL&gt;&lt;FQL&gt;&lt;Q&gt;NVT-US^P_BETA_LOCIDX(45684,45506,,"SPX")&lt;/Q&gt;&lt;R&gt;1&lt;/R&gt;&lt;C&gt;1&lt;/C&gt;&lt;D xsi:type="xsd:double"&gt;1.8126159&lt;/D&gt;&lt;/FQL&gt;&lt;FQL&gt;&lt;Q&gt;NVT-US^P_BETA_LOCIDX(45681,45505,,"SPX")&lt;/Q&gt;&lt;R&gt;1&lt;/R&gt;&lt;C&gt;1&lt;/C&gt;&lt;D xsi:type="xsd:double"&gt;1.6361578&lt;/D&gt;&lt;/FQL&gt;&lt;FQL&gt;&lt;Q&gt;NVT-US^P_BETA_LOCIDX(45680,45504,,"SPX")&lt;/Q&gt;&lt;R&gt;1&lt;/R&gt;&lt;C&gt;1&lt;/C&gt;&lt;D xsi:type="xsd:double"&gt;1.6650584&lt;/D&gt;&lt;/FQL&gt;&lt;FQL&gt;&lt;Q&gt;NVT-US^P_BETA_LOCIDX(45679,45503,,"SPX")&lt;/Q&gt;&lt;R&gt;1&lt;/R&gt;&lt;C&gt;1&lt;/C&gt;&lt;D xsi:type="xsd:double"&gt;1.6711566&lt;/D&gt;&lt;/FQL&gt;&lt;FQL&gt;&lt;Q&gt;NVT-US^P_BETA_LOCIDX(45678,45502,,"SPX")&lt;/Q&gt;&lt;R&gt;1&lt;/R&gt;&lt;C&gt;1&lt;/C&gt;&lt;D xsi:type="xsd:double"&gt;1.6725602&lt;/D&gt;&lt;/FQL&gt;&lt;FQL&gt;&lt;Q&gt;NVT-US^P_BETA_LOCIDX(45674,45499,,"SPX")&lt;/Q&gt;&lt;R&gt;1&lt;/R&gt;&lt;C&gt;1&lt;/C&gt;&lt;D xsi:type="xsd:double"&gt;1.6403229&lt;/D&gt;&lt;/FQL&gt;&lt;FQL&gt;&lt;Q&gt;NVT-US^P_BETA_LOCIDX(45673,45498,,"SPX")&lt;/Q&gt;&lt;R&gt;1&lt;/R&gt;&lt;C&gt;1&lt;/C&gt;&lt;D xsi:type="xsd:double"&gt;1.6452279&lt;/D&gt;&lt;/FQL&gt;&lt;FQL&gt;&lt;Q&gt;NVT-US^P_BETA_LOCIDX(45672,45497,,"SPX")&lt;/Q&gt;&lt;R&gt;1&lt;/R&gt;&lt;C&gt;1&lt;/C&gt;&lt;D xsi:type="xsd:double"&gt;1.7462273&lt;/D&gt;&lt;/FQL&gt;&lt;FQL&gt;&lt;Q&gt;NVT-US^P_BETA_LOCIDX(45671,45496,,"SPX")&lt;/Q&gt;&lt;R&gt;1&lt;/R&gt;&lt;C&gt;1&lt;/C&gt;&lt;D xsi:type="xsd:double"&gt;1.790153&lt;/D&gt;&lt;/FQL&gt;&lt;FQL&gt;&lt;Q&gt;NVT-US^P_BETA_LOCIDX(45670,45495,,"SPX")&lt;/Q&gt;&lt;R&gt;1&lt;/R&gt;&lt;C&gt;1&lt;/C&gt;&lt;D xsi:type="xsd:double"&gt;1.8079002&lt;/D&gt;&lt;/FQL&gt;&lt;FQL&gt;&lt;Q&gt;NVT-US^P_BETA_LOCIDX(45667,45492,,"SPX")&lt;/Q&gt;&lt;R&gt;1&lt;/R&gt;&lt;C&gt;1&lt;/C&gt;&lt;D xsi:type="xsd:double"&gt;1.7940371&lt;/D&gt;&lt;/FQL&gt;&lt;FQL&gt;&lt;Q&gt;NVT-US^P_BETA_LOCIDX(45665,45491,,"SPX")&lt;/Q&gt;&lt;R&gt;1&lt;/R&gt;&lt;C&gt;1&lt;/C&gt;&lt;D xsi:type="xsd:double"&gt;1.8075682&lt;/D&gt;&lt;/FQL&gt;&lt;FQL&gt;&lt;Q&gt;NVT-US^P_BETA_LOCIDX(45664,45490,,"SPX")&lt;/Q&gt;&lt;R&gt;1&lt;/R&gt;&lt;C&gt;1&lt;/C&gt;&lt;D xsi:type="xsd:double"&gt;1.8839417&lt;/D&gt;&lt;/FQL&gt;&lt;FQL&gt;&lt;Q&gt;NVT-US^P_BETA_LOCIDX(45663,45489,,"SPX")&lt;/Q&gt;&lt;R&gt;1&lt;/R&gt;&lt;C&gt;1&lt;/C&gt;&lt;D xsi:type="xsd:double"&gt;1.907787&lt;/D&gt;&lt;/FQL&gt;&lt;FQL&gt;&lt;Q&gt;NVT-US^P_BETA_LOCIDX(45660,45488,,"SPX")&lt;/Q&gt;&lt;R&gt;1&lt;/R&gt;&lt;C&gt;1&lt;/C&gt;&lt;D xsi:type="xsd:double"&gt;1.907619&lt;/D&gt;&lt;/FQL&gt;&lt;FQL&gt;&lt;Q&gt;NVT-US^P_BETA_LOCIDX(45659,45485,,"SPX")&lt;/Q&gt;&lt;R&gt;1&lt;/R&gt;&lt;C&gt;1&lt;/C&gt;&lt;D xsi:type="xsd:double"&gt;1.8884135&lt;/D&gt;&lt;/FQL&gt;&lt;FQL&gt;&lt;Q&gt;NVT-US^P_BETA_LOCIDX(45657,45484,,"SPX")&lt;/Q&gt;&lt;R&gt;1&lt;/R&gt;&lt;C&gt;1&lt;/C&gt;&lt;D xsi:type="xsd:double"&gt;1.8691827&lt;/D&gt;&lt;/FQL&gt;&lt;FQL&gt;&lt;Q&gt;NVT-US^P_BETA_LOCIDX(45656,45483,,"SPX")&lt;/Q&gt;&lt;R&gt;1&lt;/R&gt;&lt;C&gt;1&lt;/C&gt;&lt;D xsi:type="xsd:double"&gt;1.8820196&lt;/D&gt;&lt;/FQL&gt;&lt;FQL&gt;&lt;Q&gt;NVT-US^P_BETA_LOCIDX(45653,45482,,"SPX")&lt;/Q&gt;&lt;R&gt;1&lt;/R&gt;&lt;C&gt;1&lt;/C&gt;&lt;D xsi:type="xsd:double"&gt;1.8955134&lt;/D&gt;&lt;/FQL&gt;&lt;FQL&gt;&lt;Q&gt;NVT-US^P_BETA_LOCIDX(45652,45481,,"SPX")&lt;/Q&gt;&lt;R&gt;1&lt;/R&gt;&lt;C&gt;1&lt;/C&gt;&lt;D xsi:type="xsd:double"&gt;1.9127855&lt;/D&gt;&lt;/FQL&gt;&lt;FQL&gt;&lt;Q&gt;NVT-US^P_BETA_LOCIDX(45650,45478,,"SPX")&lt;/Q&gt;&lt;R&gt;1&lt;/R&gt;&lt;C&gt;1&lt;/C&gt;&lt;D xsi:type="xsd:double"&gt;1.8998885&lt;/D&gt;&lt;/FQL&gt;&lt;FQL&gt;&lt;Q&gt;NVT-US^P_BETA_LOCIDX(45649,45476,,"SPX")&lt;/Q&gt;&lt;R&gt;1&lt;/R&gt;&lt;C&gt;1&lt;/C&gt;&lt;D xsi:type="xsd:double"&gt;1.9195347&lt;/D&gt;&lt;/FQL&gt;&lt;FQL&gt;&lt;Q&gt;NVT-US^P_BETA_LOCIDX(45646,45475,,"SPX")&lt;/Q&gt;&lt;R&gt;1&lt;/R&gt;&lt;C&gt;1&lt;/C&gt;&lt;D xsi:type="xsd:double"&gt;1.9274127&lt;/D&gt;&lt;/FQL&gt;&lt;FQL&gt;&lt;Q&gt;NVT-US^P_BETA_LOCIDX(45645,45474,,"SPX")&lt;/Q&gt;&lt;R&gt;1&lt;/R&gt;&lt;C&gt;1&lt;/C&gt;&lt;D xsi:type="xsd:double"&gt;1.9437603&lt;/D&gt;&lt;/FQL&gt;&lt;FQL&gt;&lt;Q&gt;NVT-US^P_BETA_LOCIDX(45644,45471,,"SPX")&lt;/Q&gt;&lt;R&gt;1&lt;/R&gt;&lt;C&gt;1&lt;/C&gt;&lt;D xsi:type="xsd:double"&gt;1.9373924&lt;/D&gt;&lt;/FQL&gt;&lt;FQL&gt;&lt;Q&gt;NVT-US^P_BETA_LOCIDX(45643,45470,,"SPX")&lt;/Q&gt;&lt;R&gt;1&lt;/R&gt;&lt;C&gt;1&lt;/C&gt;&lt;D xsi:type="xsd:double"&gt;1.9815454&lt;/D&gt;&lt;/FQL&gt;&lt;FQL&gt;&lt;Q&gt;NVT-US^P_BETA_LOCIDX(45642,45469,,"SPX")&lt;/Q&gt;&lt;R&gt;1&lt;/R&gt;&lt;C&gt;1&lt;/C&gt;&lt;D xsi:type="xsd:double"&gt;1.9631492&lt;/D&gt;&lt;/FQL&gt;&lt;FQL&gt;&lt;Q&gt;NVT-US^P_BETA_LOCIDX(45639,45468,,"SPX")&lt;/Q&gt;&lt;R&gt;1&lt;/R&gt;&lt;C&gt;1&lt;/C&gt;&lt;D xsi:type="xsd:double"&gt;1.9558302&lt;/D&gt;&lt;/FQL&gt;&lt;FQL&gt;&lt;Q&gt;NVT-US^P_BETA_LOCIDX(45638,45467,,"SPX")&lt;/Q&gt;&lt;R&gt;1&lt;/R&gt;&lt;C&gt;1&lt;/C&gt;&lt;D xsi:type="xsd:double"&gt;1.9492828&lt;/D&gt;&lt;/FQL&gt;&lt;FQL&gt;&lt;Q&gt;NVT-US^P_BETA_LOCIDX(45637,45464,,"SPX")&lt;/Q&gt;&lt;R&gt;1&lt;/R&gt;&lt;C&gt;1&lt;/C&gt;&lt;D xsi:type="xsd:double"&gt;1.9599546&lt;/D&gt;&lt;/FQL&gt;&lt;FQL&gt;&lt;Q&gt;NVT-US^P_BETA_LOCIDX(45636,45463,,"SPX")&lt;/Q&gt;&lt;R&gt;1&lt;/R&gt;&lt;C&gt;1&lt;/C&gt;&lt;D xsi:type="xsd:double"&gt;1.9662693&lt;/D&gt;&lt;/FQL&gt;&lt;FQL&gt;&lt;Q&gt;NVT-US^P_BETA_LOCIDX(45635,45461,,"SPX")&lt;/Q&gt;&lt;R&gt;1&lt;/R&gt;&lt;C&gt;1&lt;/C&gt;&lt;D xsi:type="xsd:double"&gt;1.9685956&lt;/D&gt;&lt;/FQL&gt;&lt;FQL&gt;&lt;Q&gt;NVT-US^P_BETA_LOCIDX(45632,45460,,"SPX")&lt;/Q&gt;&lt;R&gt;1&lt;/R&gt;&lt;C&gt;1&lt;/C&gt;&lt;D xsi:type="xsd:double"&gt;1.949196&lt;/D&gt;&lt;/FQL&gt;&lt;FQL&gt;&lt;Q&gt;NVT-US^P_BETA_LOCIDX(45631,45457,,"SPX")&lt;/Q&gt;&lt;R&gt;1&lt;/R&gt;&lt;C&gt;1&lt;/C&gt;&lt;D xsi:type="xsd:double"&gt;1.9572366&lt;/D&gt;&lt;/FQL&gt;&lt;FQL&gt;&lt;Q&gt;NVT-US^P_BETA_LOCIDX(45630,45456,,"SPX")&lt;/Q&gt;&lt;R&gt;1&lt;/R&gt;&lt;C&gt;1&lt;/C&gt;&lt;D xsi:type="xsd:double"&gt;1.9534346&lt;/D&gt;&lt;/FQL&gt;&lt;FQL&gt;&lt;Q&gt;NVT-US^P_BETA_LOCIDX(45629,45455,,"SPX")&lt;/Q&gt;&lt;R&gt;1&lt;/R&gt;&lt;C&gt;1&lt;/C&gt;&lt;D xsi:type="xsd:double"&gt;1.9706618&lt;/D&gt;&lt;/FQL&gt;&lt;FQL&gt;&lt;Q&gt;NVT-US^P_BETA_LOCIDX(45628,45454,,"SPX")&lt;/Q&gt;&lt;R&gt;1&lt;/R&gt;&lt;C&gt;1&lt;/C&gt;&lt;D xsi:type="xsd:double"&gt;1.9709703&lt;/D&gt;&lt;/FQL&gt;&lt;FQL&gt;&lt;Q&gt;NVT-US^P_BETA_LOCIDX(45625,45453,,"SPX")&lt;/Q&gt;&lt;R&gt;1&lt;/R&gt;&lt;C&gt;1&lt;/C&gt;&lt;D xsi:type="xsd:double"&gt;1.9755069&lt;/D&gt;&lt;/FQL&gt;&lt;FQL&gt;&lt;Q&gt;NVT-US^P_BETA_LOCIDX(45623,45450,,"SPX")&lt;/Q&gt;&lt;R&gt;1&lt;/R&gt;&lt;C&gt;1&lt;/C&gt;&lt;D xsi:type="xsd:double"&gt;1.9666972&lt;/D&gt;&lt;/FQL&gt;&lt;FQL&gt;&lt;Q&gt;NVT-US^P_BETA_LOCIDX(45622,45449,,"SPX")&lt;/Q&gt;&lt;R&gt;1&lt;/R&gt;&lt;C&gt;1&lt;/C&gt;&lt;D xsi:type="xsd:double"&gt;1.9656851&lt;/D&gt;&lt;/FQL&gt;&lt;FQL&gt;&lt;Q&gt;NVT-US^P_BETA_LOCIDX(45621,45448,,"SPX")&lt;/Q&gt;&lt;R&gt;1&lt;/R&gt;&lt;C&gt;1&lt;/C&gt;&lt;D xsi:type="xsd:double"&gt;1.9900743&lt;/D&gt;&lt;/FQL&gt;&lt;FQL&gt;&lt;Q&gt;NVT-US^P_BETA_LOCIDX(45618,45447,,"SPX")&lt;/Q&gt;&lt;R&gt;1&lt;/R&gt;&lt;C&gt;1&lt;/C&gt;&lt;D xsi:type="xsd:double"&gt;1.9891397&lt;/D&gt;&lt;/FQL&gt;&lt;FQL&gt;&lt;Q&gt;NVT-US^P_BETA_LOCIDX(45617,45446,,"SPX")&lt;/Q&gt;&lt;R&gt;1&lt;/R&gt;&lt;C&gt;1&lt;/C&gt;&lt;D xsi:type="xsd:double"&gt;1.9889473&lt;/D&gt;&lt;/FQL&gt;&lt;FQL&gt;&lt;Q&gt;NVT-US^P_BETA_LOCIDX(45616,45443,,"SPX")&lt;/Q&gt;&lt;R&gt;1&lt;/R&gt;&lt;C&gt;1&lt;/C&gt;&lt;D xsi:type="xsd:double"&gt;1.945703&lt;/D&gt;&lt;/FQL&gt;&lt;FQL&gt;&lt;Q&gt;NVT-US^P_BETA_LOCIDX(45615,45442,,"SPX")&lt;/Q&gt;&lt;R&gt;1&lt;/R&gt;&lt;C&gt;1&lt;/C&gt;&lt;D xsi:type="xsd:double"&gt;1.9360024&lt;/D&gt;&lt;/FQL&gt;&lt;FQL&gt;&lt;Q&gt;NVT-US^P_BETA_LOCIDX(45614,45441,,"SPX")&lt;/Q&gt;&lt;R&gt;1&lt;/R&gt;&lt;C&gt;1&lt;/C&gt;&lt;D xsi:type="xsd:double"&gt;1.9157634&lt;/D&gt;&lt;/FQL&gt;&lt;FQL&gt;&lt;Q&gt;NVT-US^P_BETA_LOCIDX(45611,45440,,"SPX")&lt;/Q&gt;&lt;R&gt;1&lt;/R&gt;&lt;C&gt;1&lt;/C&gt;&lt;D xsi:type="xsd:double"&gt;1.9164447&lt;/D&gt;&lt;/FQL&gt;&lt;FQL&gt;&lt;Q&gt;NVT-US^P_BETA_LOCIDX(45610,45436,,"SPX")&lt;/Q&gt;&lt;R&gt;1&lt;/R&gt;&lt;C&gt;1&lt;/C&gt;&lt;D xsi:type="xsd:double"&gt;1.9548494&lt;/D&gt;&lt;/FQL&gt;&lt;FQL&gt;&lt;Q&gt;NVT-US^P_BETA_LOCIDX(45609,45435,,"SPX")&lt;/Q&gt;&lt;R&gt;1&lt;/R&gt;&lt;C&gt;1&lt;/C&gt;&lt;D xsi:type="xsd:double"&gt;1.9200405&lt;/D&gt;&lt;/FQL&gt;&lt;FQL&gt;&lt;Q&gt;NVT-US^P_BETA_LOCIDX(45608,45434,,"SPX")&lt;/Q&gt;&lt;R&gt;1&lt;/R&gt;&lt;C&gt;1&lt;/C&gt;&lt;D xsi:type="xsd:double"&gt;1.9231434&lt;/D&gt;&lt;/FQL&gt;&lt;FQL&gt;&lt;Q&gt;NVT-US^P_BETA_LOCIDX(45607,45433,,"SPX")&lt;/Q&gt;&lt;R&gt;1&lt;/R&gt;&lt;C&gt;1&lt;/C&gt;&lt;D xsi:type="xsd:double"&gt;1.9226941&lt;/D&gt;&lt;/FQL&gt;&lt;FQL&gt;&lt;Q&gt;NVT-US^P_BETA_LOCIDX(45604,45432,,"SPX")&lt;/Q&gt;&lt;R&gt;1&lt;/R&gt;&lt;C&gt;1&lt;/C&gt;&lt;D xsi:type="xsd:double"&gt;1.9224021&lt;/D&gt;&lt;/FQL&gt;&lt;FQL&gt;&lt;Q&gt;NVT-US^P_BETA_LOCIDX(45603,45429,,"SPX")&lt;/Q&gt;&lt;R&gt;1&lt;/R&gt;&lt;C&gt;1&lt;/C&gt;&lt;D xsi:type="xsd:double"&gt;1.9272689&lt;/D&gt;&lt;/FQL&gt;&lt;FQL&gt;&lt;Q&gt;NVT-US^P_BETA_LOCIDX(45602,45428,,"SPX")&lt;/Q&gt;&lt;R&gt;1&lt;/R&gt;&lt;C&gt;1&lt;/C&gt;&lt;D xsi:type="xsd:double"&gt;1.9426413&lt;/D&gt;&lt;/FQL&gt;&lt;FQL&gt;&lt;Q&gt;NVT-US^P_BETA_LOCIDX(45601,45427,,"SPX")&lt;/Q&gt;&lt;R&gt;1&lt;/R&gt;&lt;C&gt;1&lt;/C&gt;&lt;D xsi:type="xsd:double"&gt;1.7847677&lt;/D&gt;&lt;/FQL&gt;&lt;FQL&gt;&lt;Q&gt;NVT-US^P_BETA_LOCIDX(45600,45426,,"SPX")&lt;/Q&gt;&lt;R&gt;1&lt;/R&gt;&lt;C&gt;1&lt;/C&gt;&lt;D xsi:type="xsd:double"&gt;1.7957163&lt;/D&gt;&lt;/FQL&gt;&lt;FQL&gt;&lt;Q&gt;NVT-US^P_BETA_LOCIDX(45597,45425,,"SPX")&lt;/Q&gt;&lt;R&gt;1&lt;/R&gt;&lt;C&gt;1&lt;/C&gt;&lt;D xsi:type="xsd:double"&gt;1.8036993&lt;/D&gt;&lt;/FQL&gt;&lt;FQL&gt;&lt;Q&gt;NVT-US^P_BETA_LOCIDX(45596,45422,,"SPX")&lt;/Q&gt;&lt;R&gt;1&lt;/R&gt;&lt;C&gt;1&lt;/C&gt;&lt;D xsi:type="xsd:double"&gt;1.839319&lt;/D&gt;&lt;/FQL&gt;&lt;FQL&gt;&lt;Q&gt;NVT-US^P_BETA_LOCIDX(45595,45421,,"SPX")&lt;/Q&gt;&lt;R&gt;1&lt;/R&gt;&lt;C&gt;1&lt;/C&gt;&lt;D xsi:type="xsd:double"&gt;1.9401195&lt;/D&gt;&lt;/FQL&gt;&lt;FQL&gt;&lt;Q&gt;NVT-US^P_BETA_LOCIDX(45594,45420,,"SPX")&lt;/Q&gt;&lt;R&gt;1&lt;/R&gt;&lt;C&gt;1&lt;/C&gt;&lt;D xsi:type="xsd:double"&gt;1.940562&lt;/D&gt;&lt;/FQL&gt;&lt;FQL&gt;&lt;Q&gt;NVT-US^P_BETA_LOCIDX(45593,45419,,"SPX")&lt;/Q&gt;&lt;R&gt;1&lt;/R&gt;&lt;C&gt;1&lt;/C&gt;&lt;D xsi:type="xsd:double"&gt;1.9415758&lt;/D&gt;&lt;/FQL&gt;&lt;FQL&gt;&lt;Q&gt;NVT-US^P_BETA_LOCIDX(45590,45418,,"SPX")&lt;/Q&gt;&lt;R&gt;1&lt;/R&gt;&lt;C&gt;1&lt;/C&gt;&lt;D xsi:type="xsd:double"&gt;1.9246448&lt;/D&gt;&lt;/FQL&gt;&lt;FQL&gt;&lt;Q&gt;NVT-US^P_BETA_LOCIDX(45589,45415,,"SPX")&lt;/Q&gt;&lt;R&gt;1&lt;/R&gt;&lt;C&gt;1&lt;/C&gt;&lt;D xsi:type="xsd:double"&gt;1.9705466&lt;/D&gt;&lt;/FQL&gt;&lt;FQL&gt;&lt;Q&gt;NVT-US^P_BETA_LOCIDX(45588,45414,,"SPX")&lt;/Q&gt;&lt;R&gt;1&lt;/R&gt;&lt;C&gt;1&lt;/C&gt;&lt;D xsi:type="xsd:double"&gt;1.9646274&lt;/D&gt;&lt;/FQL&gt;&lt;FQL&gt;&lt;Q&gt;NVT-US^P_BETA_LOCIDX(45587,45413,,"SPX")&lt;/Q&gt;&lt;R&gt;1&lt;/R&gt;&lt;C&gt;1&lt;/C&gt;&lt;D xsi:type="xsd:double"&gt;1.9865227&lt;/D&gt;&lt;/FQL&gt;&lt;FQL&gt;&lt;Q&gt;NVT-US^P_BETA_LOCIDX(45586,45412,,"SPX")&lt;/Q&gt;&lt;R&gt;1&lt;/R&gt;&lt;C&gt;1&lt;/C&gt;&lt;D xsi:type="xsd:double"&gt;2.002798&lt;/D&gt;&lt;/FQL&gt;&lt;FQL&gt;&lt;Q&gt;NVT-US^P_BETA_LOCIDX(45583,45411,,"SPX")&lt;/Q&gt;&lt;R&gt;1&lt;/R&gt;&lt;C&gt;1&lt;/C&gt;&lt;D xsi:type="xsd:double"&gt;1.9995425&lt;/D&gt;&lt;/FQL&gt;&lt;FQL&gt;&lt;Q&gt;NVT-US^P_BETA_LOCIDX(45582,45408,,"SPX")&lt;/Q&gt;&lt;R&gt;1&lt;/R&gt;&lt;C&gt;1&lt;/C&gt;&lt;D xsi:type="xsd:double"&gt;2.003228&lt;/D&gt;&lt;/FQL&gt;&lt;FQL&gt;&lt;Q&gt;NVT-US^P_BETA_LOCIDX(45581,45407,,"SPX")&lt;/Q&gt;&lt;R&gt;1&lt;/R&gt;&lt;C&gt;1&lt;/C&gt;&lt;D xsi:type="xsd:double"&gt;1.9931211&lt;/D&gt;&lt;/FQL&gt;&lt;FQL&gt;&lt;Q&gt;NVT-US^P_BETA_LOCIDX(45580,45406,,"SPX")&lt;/Q&gt;&lt;R&gt;1&lt;/R&gt;&lt;C&gt;1&lt;/C&gt;&lt;D xsi:type="xsd:double"&gt;1.9886742&lt;/D&gt;&lt;/FQL&gt;&lt;FQL&gt;&lt;Q&gt;NVT-US^P_BETA_LOCIDX(45579,45405,,"SPX")&lt;/Q&gt;&lt;R&gt;1&lt;/R&gt;&lt;C&gt;1&lt;/C&gt;&lt;D xsi:type="xsd:double"&gt;1.9782226&lt;/D&gt;&lt;/FQL&gt;&lt;FQL&gt;&lt;Q&gt;NVT-US^P_BETA_LOCIDX(45576,45404,,"SPX")&lt;/Q&gt;&lt;R&gt;1&lt;/R&gt;&lt;C&gt;1&lt;/C&gt;&lt;D xsi:type="xsd:double"&gt;1.9458059&lt;/D&gt;&lt;/FQL&gt;&lt;FQL&gt;&lt;Q&gt;NVT-US^P_BETA_LOCIDX(45575,45401,,"SPX")&lt;/Q&gt;&lt;R&gt;1&lt;/R&gt;&lt;C&gt;1&lt;/C&gt;&lt;D xsi:type="xsd:double"&gt;1.9209268&lt;/D&gt;&lt;/FQL&gt;&lt;FQL&gt;&lt;Q&gt;NVT-US^P_BETA_LOCIDX(45574,45400,,"SPX")&lt;/Q&gt;&lt;R&gt;1&lt;/R&gt;&lt;C&gt;1&lt;/C&gt;&lt;D xsi:type="xsd:double"&gt;1.9279484&lt;/D&gt;&lt;/FQL&gt;&lt;FQL&gt;&lt;Q&gt;NVT-US^P_BETA_LOCIDX(45573,45399,,"SPX")&lt;/Q&gt;&lt;R&gt;1&lt;/R&gt;&lt;C&gt;1&lt;/C&gt;&lt;D xsi:type="xsd:double"&gt;1.9211361&lt;/D&gt;&lt;/FQL&gt;&lt;FQL&gt;&lt;Q&gt;NVT-US^P_BETA_LOCIDX(45572,45398,,"SPX")&lt;/Q&gt;&lt;R&gt;1&lt;/R&gt;&lt;C&gt;1&lt;/C&gt;&lt;D xsi:type="xsd:double"&gt;1.9569346&lt;/D&gt;&lt;/FQL&gt;&lt;FQL&gt;&lt;Q&gt;NVT-US^P_BETA_LOCIDX(45569,45397,,"SPX")&lt;/Q&gt;&lt;R&gt;1&lt;/R&gt;&lt;C&gt;1&lt;/C&gt;&lt;D xsi:type="xsd:double"&gt;1.9796093&lt;/D&gt;&lt;/FQL&gt;&lt;FQL&gt;&lt;Q&gt;NVT-US^P_BETA_LOCIDX(45568,45394,,"SPX")&lt;/Q&gt;&lt;R&gt;1&lt;/R&gt;&lt;C&gt;1&lt;/C&gt;&lt;D xsi:type="xsd:double"&gt;1.9289933&lt;/D&gt;&lt;/FQL&gt;&lt;FQL&gt;&lt;Q&gt;NVT-US^P_BETA_LOCIDX(45567,45393,,"SPX")&lt;/Q&gt;&lt;R&gt;1&lt;/R&gt;&lt;C&gt;1&lt;/C&gt;&lt;D xsi:type="xsd:double"&gt;1.9242029&lt;/D&gt;&lt;/FQL&gt;&lt;FQL&gt;&lt;Q&gt;NVT-US^P_BETA_LOCIDX(45566,45392,,"SPX")&lt;/Q&gt;&lt;R&gt;1&lt;/R&gt;&lt;C&gt;1&lt;/C&gt;&lt;D xsi:type="xsd:double"&gt;1.9088126&lt;/D&gt;&lt;/FQL&gt;&lt;FQL&gt;&lt;Q&gt;NVT-US^P_BETA_LOCIDX(45565,45391,,"SPX")&lt;/Q&gt;&lt;R&gt;1&lt;/R&gt;&lt;C&gt;1&lt;/C&gt;&lt;D xsi:type="xsd:double"&gt;1.9051528&lt;/D&gt;&lt;/FQL&gt;&lt;FQL&gt;&lt;Q&gt;NVT-US^P_BETA_LOCIDX(45562,45390,,"SPX")&lt;/Q&gt;&lt;R&gt;1&lt;/R&gt;&lt;C&gt;1&lt;/C&gt;&lt;D xsi:type="xsd:double"&gt;1.9107407&lt;/D&gt;&lt;/FQL&gt;&lt;FQL&gt;&lt;Q&gt;NVT-US^P_BETA_LOCIDX(45561,45387,,"SPX")&lt;/Q&gt;&lt;R&gt;1&lt;/R&gt;&lt;C&gt;1&lt;/C&gt;&lt;D xsi:type="xsd:double"&gt;1.9296603&lt;/D&gt;&lt;/FQL&gt;&lt;FQL&gt;&lt;Q&gt;NVT-US^P_BETA_LOCIDX(45560,45386,,"SPX")&lt;/Q&gt;&lt;R&gt;1&lt;/R&gt;&lt;C&gt;1&lt;/C&gt;&lt;D xsi:type="xsd:double"&gt;1.9074489&lt;/D&gt;&lt;/FQL&gt;&lt;FQL&gt;&lt;Q&gt;NVT-US^P_BETA_LOCIDX(45559,45385,,"SPX")&lt;/Q&gt;&lt;R&gt;1&lt;/R&gt;&lt;C&gt;1&lt;/C&gt;&lt;D xsi:type="xsd:double"&gt;1.9101228&lt;/D&gt;&lt;/FQL&gt;&lt;FQL&gt;&lt;Q&gt;NVT-US^P_BETA_LOCIDX(45558,45384,,"SPX")&lt;/Q&gt;&lt;R&gt;1&lt;/R&gt;&lt;C&gt;1&lt;/C&gt;&lt;D xsi:type="xsd:double"&gt;1.8983995&lt;/D&gt;&lt;/FQL&gt;&lt;FQL&gt;&lt;Q&gt;NVT-US^P_BETA_LOCIDX(45555,45383,,"SPX")&lt;/Q&gt;&lt;R&gt;1&lt;/R&gt;&lt;C&gt;1&lt;/C&gt;&lt;D xsi:type="xsd:double"&gt;1.8989748&lt;/D&gt;&lt;/FQL&gt;&lt;FQL&gt;&lt;Q&gt;NVT-US^P_BETA_LOCIDX(45554,45379,,"SPX")&lt;/Q&gt;&lt;R&gt;1&lt;/R&gt;&lt;C&gt;1&lt;/C&gt;&lt;D xsi:type="xsd:double"&gt;1.9004817&lt;/D&gt;&lt;/FQL&gt;&lt;FQL&gt;&lt;Q&gt;NVT-US^P_BETA_LOCIDX(45553,45378,,"SPX")&lt;/Q&gt;&lt;R&gt;1&lt;/R&gt;&lt;C&gt;1&lt;/C&gt;&lt;D xsi:type="xsd:double"&gt;1.853762&lt;/D&gt;&lt;/FQL&gt;&lt;FQL&gt;&lt;Q&gt;NVT-US^P_BETA_LOCIDX(45552,45377,,"SPX")&lt;/Q&gt;&lt;R&gt;1&lt;/R&gt;&lt;C&gt;1&lt;/C&gt;&lt;D xsi:type="xsd:double"&gt;1.8518004&lt;/D&gt;&lt;/FQL&gt;&lt;FQL&gt;&lt;Q&gt;NVT-US^P_BETA_LOCIDX(45551,45376,,"SPX")&lt;/Q&gt;&lt;R&gt;1&lt;/R&gt;&lt;C&gt;1&lt;/C&gt;&lt;D xsi:type="xsd:double"&gt;1.84726&lt;/D&gt;&lt;/FQL&gt;&lt;FQL&gt;&lt;Q&gt;NVT-US^P_BETA_LOCIDX(45548,45373,,"SPX")&lt;/Q&gt;&lt;R&gt;1&lt;/R&gt;&lt;C&gt;1&lt;/C&gt;&lt;D xsi:type="xsd:double"&gt;1.8462732&lt;/D&gt;&lt;/FQL&gt;&lt;FQL&gt;&lt;Q&gt;NVT-US^P_BETA_LOCIDX(45547,45372,,"SPX")&lt;/Q&gt;&lt;R&gt;1&lt;/R&gt;&lt;C&gt;1&lt;/C&gt;&lt;D xsi:type="xsd:double"&gt;1.842254&lt;/D&gt;&lt;/FQL&gt;&lt;FQL&gt;&lt;Q&gt;NVT-US^P_BETA_LOCIDX(45546,45371,,"SPX")&lt;/Q&gt;&lt;R&gt;1&lt;/R&gt;&lt;C&gt;1&lt;/C&gt;&lt;D xsi:type="xsd:double"&gt;1.848127&lt;/D&gt;&lt;/FQL&gt;&lt;FQL&gt;&lt;Q&gt;NVT-US^P_BETA_LOCIDX(45545,45370,,"SPX")&lt;/Q&gt;&lt;R&gt;1&lt;/R&gt;&lt;C&gt;1&lt;/C&gt;&lt;D xsi:type="xsd:double"&gt;1.8384373&lt;/D&gt;&lt;/FQL&gt;&lt;FQL&gt;&lt;Q&gt;NVT-US^P_BETA_LOCIDX(45544,45369,,"SPX")&lt;/Q&gt;&lt;R&gt;1&lt;/R&gt;&lt;C&gt;1&lt;/C&gt;&lt;D xsi:type="xsd:double"&gt;1.8400793&lt;/D&gt;&lt;/FQL&gt;&lt;FQL&gt;&lt;Q&gt;NVT-US^P_BETA_LOCIDX(45541,45366,,"SPX")&lt;/Q&gt;&lt;R&gt;1&lt;/R&gt;&lt;C&gt;1&lt;/C&gt;&lt;D xsi:type="xsd:double"&gt;1.8494586&lt;/D&gt;&lt;/FQL&gt;&lt;FQL&gt;&lt;Q&gt;NVT-US^P_BETA_LOCIDX(45540,45365,,"SPX")&lt;/Q&gt;&lt;R&gt;1&lt;/R&gt;&lt;C&gt;1&lt;/C&gt;&lt;D xsi:type="xsd:double"&gt;1.903733&lt;/D&gt;&lt;/FQL&gt;&lt;FQL&gt;&lt;Q&gt;NVT-US^P_BETA_LOCIDX(45539,45364,,"SPX")&lt;/Q&gt;&lt;R&gt;1&lt;/R&gt;&lt;C&gt;1&lt;/C&gt;&lt;D xsi:type="xsd:double"&gt;1.8967264&lt;/D&gt;&lt;/FQL&gt;&lt;FQL&gt;&lt;Q&gt;NVT-US^P_BETA_LOCIDX(45538,45363,,"SPX")&lt;/Q&gt;&lt;R&gt;1&lt;/R&gt;&lt;C&gt;1&lt;/C&gt;&lt;D xsi:type="xsd:double"&gt;1.9002274&lt;/D&gt;&lt;/FQL&gt;&lt;FQL&gt;&lt;Q&gt;NVT-US^P_BETA_LOCIDX(45534,45362,,"SPX")&lt;/Q&gt;&lt;R&gt;1&lt;/R&gt;&lt;C&gt;1&lt;/C&gt;&lt;D xsi:type="xsd:double"&gt;1.8293622&lt;/D&gt;&lt;/FQL&gt;&lt;FQL&gt;&lt;Q&gt;NVT-US^P_BETA_LOCIDX(45533,45359,,"SPX")&lt;/Q&gt;&lt;R&gt;1&lt;/R&gt;&lt;C&gt;1&lt;/C&gt;&lt;D xsi:type="xsd:double"&gt;1.8289224&lt;/D&gt;&lt;/FQL&gt;&lt;FQL&gt;&lt;Q&gt;NVT-US^P_BETA_LOCIDX(45532,45358,,"SPX")&lt;/Q&gt;&lt;R&gt;1&lt;/R&gt;&lt;C&gt;1&lt;/C&gt;&lt;D xsi:type="xsd:double"&gt;1.8185109&lt;/D&gt;&lt;/FQL&gt;&lt;FQL&gt;&lt;Q&gt;NVT-US^P_BETA_LOCIDX(45531,45357,,"SPX")&lt;/Q&gt;&lt;R&gt;1&lt;/R&gt;&lt;C&gt;1&lt;/C&gt;&lt;D xsi:type="xsd:double"&gt;1.8203241&lt;/D&gt;&lt;/FQL&gt;&lt;FQL&gt;&lt;Q&gt;NVT-US^P_BETA_LOCIDX(45530,45356,,"SPX")&lt;/Q&gt;&lt;R&gt;1&lt;/R&gt;&lt;C&gt;1&lt;/C&gt;&lt;D xsi:type="xsd:double"&gt;1.8151437&lt;/D&gt;&lt;/FQL&gt;&lt;FQL&gt;&lt;Q&gt;NVT-US^P_BETA_LOCIDX(45527,45355,,"SPX")&lt;/Q&gt;&lt;R&gt;1&lt;/R&gt;&lt;C&gt;1&lt;/C&gt;&lt;D xsi:type="xsd:double"&gt;1.805553&lt;/D&gt;&lt;/FQL&gt;&lt;FQL&gt;&lt;Q&gt;NVT-US^P_BETA_LOCIDX(45526,45352,,"SPX")&lt;/Q&gt;&lt;R&gt;1&lt;/R&gt;&lt;C&gt;1&lt;/C&gt;&lt;D xsi:type="xsd:double"&gt;1.7960434&lt;/D&gt;&lt;/FQL&gt;&lt;FQL&gt;&lt;Q&gt;NVT-US^P_BETA_LOCIDX(45525,45351,,"SPX")&lt;/Q&gt;&lt;R&gt;1&lt;/R&gt;&lt;C&gt;1&lt;/C&gt;&lt;D xsi:type="xsd:double"&gt;1.811698&lt;/D&gt;&lt;/FQL&gt;&lt;FQL&gt;&lt;Q&gt;NVT-US^P_BETA_LOCIDX(45524,45350,,"SPX")&lt;/Q&gt;&lt;R&gt;1&lt;/R&gt;&lt;C&gt;1&lt;/C&gt;&lt;D xsi:type="xsd:double"&gt;1.8097253&lt;/D&gt;&lt;/FQL&gt;&lt;FQL&gt;&lt;Q&gt;NVT-US^P_BETA_LOCIDX(45523,45349,,"SPX")&lt;/Q&gt;&lt;R&gt;1&lt;/R&gt;&lt;C&gt;1&lt;/C&gt;&lt;D xsi:type="xsd:double"&gt;1.8085803&lt;/D&gt;&lt;/FQL&gt;&lt;FQL&gt;&lt;Q&gt;NVT-US^P_BETA_LOCIDX(45520,45348,,"SPX")&lt;/Q&gt;&lt;R&gt;1&lt;/R&gt;&lt;C&gt;1&lt;/C&gt;&lt;D xsi:type="xsd:double"&gt;1.8272536&lt;/D&gt;&lt;/FQL&gt;&lt;FQL&gt;&lt;Q&gt;NVT-US^P_BETA_LOCIDX(45519,45345,,"SPX")&lt;/Q&gt;&lt;R&gt;1&lt;/R&gt;&lt;C&gt;1&lt;/C&gt;&lt;D xsi:type="xsd:double"&gt;1.8289496&lt;/D&gt;&lt;/FQL&gt;&lt;FQL&gt;&lt;Q&gt;NVT-US^P_BETA_LOCIDX(45518,45344,,"SPX")&lt;/Q&gt;&lt;R&gt;1&lt;/R&gt;&lt;C&gt;1&lt;/C&gt;&lt;D xsi:type="xsd:double"&gt;1.8148518&lt;/D&gt;&lt;/FQL&gt;&lt;FQL&gt;&lt;Q&gt;NVT-US^P_BETA_LOCIDX(45517,45343,,"SPX")&lt;/Q&gt;&lt;R&gt;1&lt;/R&gt;&lt;C&gt;1&lt;/C&gt;&lt;D xsi:type="xsd:double"&gt;1.8111439&lt;/D&gt;&lt;/FQL&gt;&lt;FQL&gt;&lt;Q&gt;NVT-US^P_BETA_LOCIDX(45516,45342,,"SPX")&lt;/Q&gt;&lt;R&gt;1&lt;/R&gt;&lt;C&gt;1&lt;/C&gt;&lt;D xsi:type="xsd:double"&gt;1.8495882&lt;/D&gt;&lt;/FQL&gt;&lt;FQL&gt;&lt;Q&gt;NVT-US^P_BETA_LOCIDX(45513,45338,,"SPX")&lt;/Q&gt;&lt;R&gt;1&lt;/R&gt;&lt;C&gt;1&lt;/C&gt;&lt;D xsi:type="xsd:double"&gt;1.8386993&lt;/D&gt;&lt;/FQL&gt;&lt;FQL&gt;&lt;Q&gt;NVT-US^P_BETA_LOCIDX(45512,45337,,"SPX")&lt;/Q&gt;&lt;R&gt;1&lt;/R&gt;&lt;C&gt;1&lt;/C&gt;&lt;D xsi:type="xsd:double"&gt;1.8270067&lt;/D&gt;&lt;/FQL&gt;&lt;FQL&gt;&lt;Q&gt;NVT-US^P_BETA_LOCIDX(45511,45336,,"SPX")&lt;/Q&gt;&lt;R&gt;1&lt;/R&gt;&lt;C&gt;1&lt;/C&gt;&lt;D xsi:type="xsd:double"&gt;1.8517201&lt;/D&gt;&lt;/FQL&gt;&lt;FQL&gt;&lt;Q&gt;NVT-US^P_BETA_LOCIDX(45510,45335,,"SPX")&lt;/Q&gt;&lt;R&gt;1&lt;/R&gt;&lt;C&gt;1&lt;/C&gt;&lt;D xsi:type="xsd:double"&gt;1.8604558&lt;/D&gt;&lt;/FQL&gt;&lt;FQL&gt;&lt;Q&gt;NVT-US^P_BETA_LOCIDX(45509,45334,,"SPX")&lt;/Q&gt;&lt;R&gt;1&lt;/R&gt;&lt;C&gt;1&lt;/C&gt;&lt;D xsi:type="xsd:double"&gt;1.9189132&lt;/D&gt;&lt;/FQL&gt;&lt;FQL&gt;&lt;Q&gt;NVT-US^P_BETA_LOCIDX(45506,45331,,"SPX")&lt;/Q&gt;&lt;R&gt;1&lt;/R&gt;&lt;C&gt;1&lt;/C&gt;&lt;D xsi:type="xsd:double"&gt;2.0443387&lt;/D&gt;&lt;/FQL&gt;&lt;FQL&gt;&lt;Q&gt;NVT-US^P_BETA_LOCIDX(45505,45330,,"SPX")&lt;/Q&gt;&lt;R&gt;1&lt;/R&gt;&lt;C&gt;1&lt;/C&gt;&lt;D xsi:type="xsd:double"&gt;1.9406742&lt;/D&gt;&lt;/FQL&gt;&lt;FQL&gt;&lt;Q&gt;NVT-US^P_BETA_LOCIDX(45504,45329,,"SPX")&lt;/Q&gt;&lt;R&gt;1&lt;/R&gt;&lt;C&gt;1&lt;/C&gt;&lt;D xsi:type="xsd:double"&gt;1.9236486&lt;/D&gt;&lt;/FQL&gt;&lt;FQL&gt;&lt;Q&gt;NVT-US^P_BETA_LOCIDX(45503,45328,,"SPX")&lt;/Q&gt;&lt;R&gt;1&lt;/R&gt;&lt;C&gt;1&lt;/C&gt;&lt;D xsi:type="xsd:double"&gt;1.8820516&lt;/D&gt;&lt;/FQL&gt;&lt;FQL&gt;&lt;Q&gt;NVT-US^P_BETA_LOCIDX(45502,45327,,"SPX")&lt;/Q&gt;&lt;R&gt;1&lt;/R&gt;&lt;C&gt;1&lt;/C&gt;&lt;D xsi:type="xsd:double"&gt;1.8802123&lt;/D&gt;&lt;/FQL&gt;&lt;FQL&gt;&lt;Q&gt;NVT-US^P_BETA_LOCIDX(45499,45324,,"SPX")&lt;/Q&gt;&lt;R&gt;1&lt;/R&gt;&lt;C&gt;1&lt;/C&gt;&lt;D xsi:type="xsd:double"&gt;1.8724337&lt;/D&gt;&lt;/FQL&gt;&lt;FQL&gt;&lt;Q&gt;NVT-US^P_BETA_LOCIDX(45498,45323,,"SPX")&lt;/Q&gt;&lt;R&gt;1&lt;/R&gt;&lt;C&gt;1&lt;/C&gt;&lt;D xsi:type="xsd:double"&gt;1.9363103&lt;/D&gt;&lt;/FQL&gt;&lt;FQL&gt;&lt;Q&gt;NVT-US^P_BETA_LOCIDX(45497,45322,,"SPX")&lt;/Q&gt;&lt;R&gt;1&lt;/R&gt;&lt;C&gt;1&lt;/C&gt;&lt;D xsi:type="xsd:double"&gt;1.9099003&lt;/D&gt;&lt;/FQL&gt;&lt;FQL&gt;&lt;Q&gt;NVT-US^P_BETA_LOCIDX(45496,45321,,"SPX")&lt;/Q&gt;&lt;R&gt;1&lt;/R&gt;&lt;C&gt;1&lt;/C&gt;&lt;D xsi:type="xsd:double"&gt;1.7457107&lt;/D&gt;&lt;/FQL&gt;&lt;FQL&gt;&lt;Q&gt;NVT-US^P_BETA_LOCIDX(45495,45320,,"SPX")&lt;/Q&gt;&lt;R&gt;1&lt;/R&gt;&lt;C&gt;1&lt;/C&gt;&lt;D xsi:type="xsd:double"&gt;1.7483305&lt;/D&gt;&lt;/FQL&gt;&lt;FQL&gt;&lt;Q&gt;NVT-US^P_BETA_LOCIDX(45492,45317,,"SPX")&lt;/Q&gt;&lt;R&gt;1&lt;/R&gt;&lt;C&gt;1&lt;/C&gt;&lt;D xsi:type="xsd:double"&gt;1.7160524&lt;/D&gt;&lt;/FQL&gt;&lt;FQL&gt;&lt;Q&gt;NVT-US^P_BETA_LOCIDX(45491,45316,,"SPX")&lt;/Q&gt;&lt;R&gt;1&lt;/R&gt;&lt;C&gt;1&lt;/C&gt;&lt;D xsi:type="xsd:double"&gt;1.7398047&lt;/D&gt;&lt;/FQL&gt;&lt;FQL&gt;&lt;Q&gt;NVT-US^P_BETA_LOCIDX(45490,45315,,"SPX")&lt;/Q&gt;&lt;R&gt;1&lt;/R&gt;&lt;C&gt;1&lt;/C&gt;&lt;D xsi:type="xsd:double"&gt;1.75566&lt;/D&gt;&lt;/FQL&gt;&lt;FQL&gt;&lt;Q&gt;NVT-US^P_BETA_LOCIDX(45489,45314,,"SPX")&lt;/Q&gt;&lt;R&gt;1&lt;/R&gt;&lt;C&gt;1&lt;/C&gt;&lt;D xsi:type="xsd:double"&gt;1.5887252&lt;/D&gt;&lt;/FQL&gt;&lt;FQL&gt;&lt;Q&gt;NVT-US^P_BETA_LOCIDX(45488,45313,,"SPX")&lt;/Q&gt;&lt;R&gt;1&lt;/R&gt;&lt;C&gt;1&lt;/C&gt;&lt;D xsi:type="xsd:double"&gt;1.5677294&lt;/D&gt;&lt;/FQL&gt;&lt;FQL&gt;&lt;Q&gt;NVT-US^P_BETA_LOCIDX(45485,45310,,"SPX")&lt;/Q&gt;&lt;R&gt;1&lt;/R&gt;&lt;C&gt;1&lt;/C&gt;&lt;D xsi:type="xsd:double"&gt;1.5909307&lt;/D&gt;&lt;/FQL&gt;&lt;FQL&gt;&lt;Q&gt;NVT-US^P_BETA_LOCIDX(45484,45309,,"SPX")&lt;/Q&gt;&lt;R&gt;1&lt;/R&gt;&lt;C&gt;1&lt;/C&gt;&lt;D xsi:type="xsd:double"&gt;1.5952098&lt;/D&gt;&lt;/FQL&gt;&lt;FQL&gt;&lt;Q&gt;NVT-US^P_BETA_LOCIDX(45483,45308,,"SPX")&lt;/Q&gt;&lt;R&gt;1&lt;/R&gt;&lt;C&gt;1&lt;/C&gt;&lt;D xsi:type="xsd:double"&gt;1.6320316&lt;/D&gt;&lt;/FQL&gt;&lt;FQL&gt;&lt;Q&gt;NVT-US^P_BETA_LOCIDX(45482,45307,,"SPX")&lt;/Q&gt;&lt;R&gt;1&lt;/R&gt;&lt;C&gt;1&lt;/C&gt;&lt;D xsi:type="xsd:double"&gt;1.6091232&lt;/D&gt;&lt;/FQL&gt;&lt;FQL&gt;&lt;Q&gt;NVT-US^P_BETA_LOCIDX(45481,45303,,"SPX")&lt;/Q&gt;&lt;R&gt;1&lt;/R&gt;&lt;C&gt;1&lt;/C&gt;&lt;D xsi:type="xsd:double"&gt;1.608941&lt;/D&gt;&lt;/FQL&gt;&lt;FQL&gt;&lt;Q&gt;NVT-US^P_BETA_LOCIDX(45478,45302,,"SPX")&lt;/Q&gt;&lt;R&gt;1&lt;/R&gt;&lt;C&gt;1&lt;/C&gt;&lt;D xsi:type="xsd:double"&gt;1.6087474&lt;/D&gt;&lt;/FQL&gt;&lt;FQL&gt;&lt;Q&gt;NVT-US^P_BETA_LOCIDX(45476,45301,,"SPX")&lt;/Q&gt;&lt;R&gt;1&lt;/R&gt;&lt;C&gt;1&lt;/C&gt;&lt;D xsi:type="xsd:double"&gt;1.6161635&lt;/D&gt;&lt;/FQL&gt;&lt;FQL&gt;&lt;Q&gt;NVT-US^P_BETA_LOCIDX(45475,45300,,"SPX")&lt;/Q&gt;&lt;R&gt;1&lt;/R&gt;&lt;C&gt;1&lt;/C&gt;&lt;D xsi:type="xsd:double"&gt;1.6095248&lt;/D&gt;&lt;/FQL&gt;&lt;FQL&gt;&lt;Q&gt;NVT-US^P_BETA_LOCIDX(45474,45299,,"SPX")&lt;/Q&gt;&lt;R&gt;1&lt;/R&gt;&lt;C&gt;1&lt;/C&gt;&lt;D xsi:type="xsd:double"&gt;1.6031628&lt;/D&gt;&lt;/FQL&gt;&lt;FQL&gt;&lt;Q&gt;NVT-US^P_BETA_LOCIDX(45471,45296,,"SPX")&lt;/Q&gt;&lt;R&gt;1&lt;/R&gt;&lt;C&gt;1&lt;/C&gt;&lt;D xsi:type="xsd:double"&gt;1.6091195&lt;/D&gt;&lt;/FQL&gt;&lt;FQL&gt;&lt;Q&gt;NVT-US^P_BETA_LOCIDX(45470,45295,,"SPX")&lt;/Q&gt;&lt;R&gt;1&lt;/R&gt;&lt;C&gt;1&lt;/C&gt;&lt;D xsi:type="xsd:double"&gt;1.6137459&lt;/D&gt;&lt;/FQL&gt;&lt;FQL&gt;&lt;Q&gt;NVT-US^P_BETA_LOCIDX(45469,45294,,"SPX")&lt;/Q&gt;&lt;R&gt;1&lt;/R&gt;&lt;C&gt;1&lt;/C&gt;&lt;D xsi:type="xsd:double"&gt;1.6523402&lt;/D&gt;&lt;/FQL&gt;&lt;FQL&gt;&lt;Q&gt;NVT-US^P_BETA_LOCIDX(45468,45293,,"SPX")&lt;/Q&gt;&lt;R&gt;1&lt;/R&gt;&lt;C&gt;1&lt;/C&gt;&lt;D xsi:type="xsd:double"&gt;1.6632786&lt;/D&gt;&lt;/FQL&gt;&lt;FQL&gt;&lt;Q&gt;NVT-US^P_BETA_LOCIDX(45467,45289,,"SPX")&lt;/Q&gt;&lt;R&gt;1&lt;/R&gt;&lt;C&gt;1&lt;/C&gt;&lt;D xsi:type="xsd:double"&gt;1.6729859&lt;/D&gt;&lt;/FQL&gt;&lt;FQL&gt;&lt;Q&gt;NVT-US^P_BETA_LOCIDX(45464,45288,,"SPX")&lt;/Q&gt;&lt;R&gt;1&lt;/R&gt;&lt;C&gt;1&lt;/C&gt;&lt;D xsi:type="xsd:double"&gt;1.679771&lt;/D&gt;&lt;/FQL&gt;&lt;FQL&gt;&lt;Q&gt;NVT-US^P_BETA_LOCIDX(45463,45287,,"SPX")&lt;/Q&gt;&lt;R&gt;1&lt;/R&gt;&lt;C&gt;1&lt;/C&gt;&lt;D xsi:type="xsd:double"&gt;1.6793039&lt;/D&gt;&lt;/FQL&gt;&lt;FQL&gt;&lt;Q&gt;NVT-US^P_BETA_LOCIDX(45461,45286,,"SPX")&lt;/Q&gt;&lt;R&gt;1&lt;/R&gt;&lt;C&gt;1&lt;/C&gt;&lt;D xsi:type="xsd:double"&gt;1.6650819&lt;/D&gt;&lt;/FQL&gt;&lt;FQL&gt;&lt;Q&gt;NVT-US^P_BETA_LOCIDX(45460,45282,,"SPX")&lt;/Q&gt;&lt;R&gt;1&lt;/R&gt;&lt;C&gt;1&lt;/C&gt;&lt;D xsi:type="xsd:double"&gt;1.6628958&lt;/D&gt;&lt;/FQL&gt;&lt;FQL&gt;&lt;Q&gt;NVT-US^P_BETA_LOCIDX(45457,45281,,"SPX")&lt;/Q&gt;&lt;R&gt;1&lt;/R&gt;&lt;C&gt;1&lt;/C&gt;&lt;D xsi:type="xsd:double"&gt;1.6682532&lt;/D&gt;&lt;/FQL&gt;&lt;FQL&gt;&lt;Q&gt;NVT-US^P_BETA_LOCIDX(45456,45280,,"SPX")&lt;/Q&gt;&lt;R&gt;1&lt;/R&gt;&lt;C&gt;1&lt;/C&gt;&lt;D xsi:type="xsd:double"&gt;1.6384246&lt;/D&gt;&lt;/FQL&gt;&lt;FQL&gt;&lt;Q&gt;NVT-US^P_BETA_LOCIDX(45455,45279,,"SPX")&lt;/Q&gt;&lt;R&gt;1&lt;/R&gt;&lt;C&gt;1&lt;/C&gt;&lt;D xsi:type="xsd:double"&gt;1.6352099&lt;/D&gt;&lt;/FQL&gt;&lt;FQL&gt;&lt;Q&gt;NVT-US^P_BETA_LOCIDX(45454,45278,,"SPX")&lt;/Q&gt;&lt;R&gt;1&lt;/R&gt;&lt;C&gt;1&lt;/C&gt;&lt;D xsi:type="xsd:double"&gt;1.5967087&lt;/D&gt;&lt;/FQL&gt;&lt;FQL&gt;&lt;Q&gt;NVT-US^P_BETA_LOCIDX(45453,45275,,"SPX")&lt;/Q&gt;&lt;R&gt;1&lt;/R&gt;&lt;C&gt;1&lt;/C&gt;&lt;D xsi:type="xsd:double"&gt;1.599036&lt;/D&gt;&lt;/FQL&gt;&lt;FQL&gt;&lt;Q&gt;NVT-US^P_BETA_LOCIDX(45450,45274,,"SPX")&lt;/Q&gt;&lt;R&gt;1&lt;/R&gt;&lt;C&gt;1&lt;/C&gt;&lt;D xsi:type="xsd:double"&gt;1.6070501&lt;/D&gt;&lt;/FQL&gt;&lt;FQL&gt;&lt;Q&gt;NVT-US^P_BETA_LOCIDX(45449,45273,,"SPX")&lt;/Q&gt;&lt;R&gt;1&lt;/R&gt;&lt;C&gt;1&lt;/C&gt;&lt;D xsi:type="xsd:double"&gt;1.5353717&lt;/D&gt;&lt;/FQL&gt;&lt;FQL&gt;&lt;Q&gt;NVT-US^P_BETA_LOCIDX(45448,45272,,"SPX")&lt;/Q&gt;&lt;R&gt;1&lt;/R&gt;&lt;C&gt;1&lt;/C&gt;&lt;D xsi:type="xsd:double"&gt;1.5302728&lt;/D&gt;&lt;/FQL&gt;&lt;FQL&gt;&lt;Q&gt;NVT-US^P_BETA_LOCIDX(45447,45271,,"SPX")&lt;/Q&gt;&lt;R&gt;1&lt;/R&gt;&lt;C&gt;1&lt;/C&gt;&lt;D xsi:type="xsd:double"&gt;1.5065769&lt;/D&gt;&lt;/FQL&gt;&lt;FQL&gt;&lt;Q&gt;NVT-US^P_BETA_LOCIDX(45446,45268,,"SPX")&lt;/Q&gt;&lt;R&gt;1&lt;/R&gt;&lt;C&gt;1&lt;/C&gt;&lt;D xsi:type="xsd:double"&gt;1.5144767&lt;/D&gt;&lt;/FQL&gt;&lt;FQL&gt;&lt;Q&gt;NVT-US^P_BETA_LOCIDX(45443,45267,,"SPX")&lt;/Q&gt;&lt;R&gt;1&lt;/R&gt;&lt;C&gt;1&lt;/C&gt;&lt;D xsi:type="xsd:double"&gt;1.5056498&lt;/D&gt;&lt;/FQL&gt;&lt;FQL&gt;&lt;Q&gt;NVT-US^P_BETA_LOCIDX(45442,45266,,"SPX")&lt;/Q&gt;&lt;R&gt;1&lt;/R&gt;&lt;C&gt;1&lt;/C&gt;&lt;D xsi:type="xsd:double"&gt;1.5351613&lt;/D&gt;&lt;/FQL&gt;&lt;FQL&gt;&lt;Q&gt;NVT-US^P_BETA_LOCIDX(45441,45265,,"SPX")&lt;/Q&gt;&lt;R&gt;1&lt;/R&gt;&lt;C&gt;1&lt;/C&gt;&lt;D xsi:type="xsd:double"&gt;1.5429443&lt;/D&gt;&lt;/FQL&gt;&lt;FQL&gt;&lt;Q&gt;NVT-US^P_BETA_LOCIDX(45440,45264,,"SPX")&lt;/Q&gt;&lt;R&gt;1&lt;/R&gt;&lt;C&gt;1&lt;/C&gt;&lt;D xsi:type="xsd:double"&gt;1.5364736&lt;/D&gt;&lt;/FQL&gt;&lt;FQL&gt;&lt;Q&gt;NVT-US^P_BETA_LOCIDX(45436,45261,,"SPX")&lt;/Q&gt;&lt;R&gt;1&lt;/R&gt;&lt;C&gt;1&lt;/C&gt;&lt;D xsi:type="xsd:double"&gt;1.5366396&lt;/D&gt;&lt;/FQL&gt;&lt;FQL&gt;&lt;Q&gt;NVT-US^P_BETA_LOCIDX(45435,45260,,"SPX")&lt;/Q&gt;&lt;R&gt;1&lt;/R&gt;&lt;C&gt;1&lt;/C&gt;&lt;D xsi:type="xsd:double"&gt;1.5145959&lt;/D&gt;&lt;/FQL&gt;&lt;FQL&gt;&lt;Q&gt;NVT-US^P_BETA_LOCIDX(45434,45259,,"SPX")&lt;/Q&gt;&lt;R&gt;1&lt;/R&gt;&lt;C&gt;1&lt;/C&gt;&lt;D xsi:type="xsd:double"&gt;1.5323921&lt;/D&gt;&lt;/FQL&gt;&lt;FQL&gt;&lt;Q&gt;NVT-US^P_BETA_LOCIDX(45433,45258,,"SPX")&lt;/Q&gt;&lt;R&gt;1&lt;/R&gt;&lt;C&gt;1&lt;/C&gt;&lt;D xsi:type="xsd:double"&gt;1.5271761&lt;/D&gt;&lt;/FQL&gt;&lt;FQL&gt;&lt;Q&gt;NVT-US^P_BETA_LOCIDX(45432,45257,,"SPX")&lt;/Q&gt;&lt;R&gt;1&lt;/R&gt;&lt;C&gt;1&lt;/C&gt;&lt;D xsi:type="xsd:double"&gt;1.5214598&lt;/D&gt;&lt;/FQL&gt;&lt;FQL&gt;&lt;Q&gt;NVT-US^P_BETA_LOCIDX(45429,45254,,"SPX")&lt;/Q&gt;&lt;R&gt;1&lt;/R&gt;&lt;C&gt;1&lt;/C&gt;&lt;D xsi:type="xsd:double"&gt;1.5232885&lt;/D&gt;&lt;/FQL&gt;&lt;FQL&gt;&lt;Q&gt;NVT-US^P_BETA_LOCIDX(45428,45252,,"SPX")&lt;/Q&gt;&lt;R&gt;1&lt;/R&gt;&lt;C&gt;1&lt;/C&gt;&lt;D xsi:type="xsd:double"&gt;1.5258044&lt;/D&gt;&lt;/FQL&gt;&lt;FQL&gt;&lt;Q&gt;NVT-US^P_BETA_LOCIDX(45427,45251,,"SPX")&lt;/Q&gt;&lt;R&gt;1&lt;/R&gt;&lt;C&gt;1&lt;/C&gt;&lt;D xsi:type="xsd:double"&gt;1.5000123&lt;/D&gt;&lt;/FQL&gt;&lt;FQL&gt;&lt;Q&gt;NVT-US^P_BETA_LOCIDX(45426,45250,,"SPX")&lt;/Q&gt;&lt;R&gt;1&lt;/R&gt;&lt;C&gt;1&lt;/C&gt;&lt;D xsi:type="xsd:double"&gt;1.475627&lt;/D&gt;&lt;/FQL&gt;&lt;FQL&gt;&lt;Q&gt;NVT-US^P_BETA_LOCIDX(45425,45247,,"SPX")&lt;/Q&gt;&lt;R&gt;1&lt;/R&gt;&lt;C&gt;1&lt;/C&gt;&lt;D xsi:type="xsd:double"&gt;1.4729346&lt;/D&gt;&lt;/FQL&gt;&lt;FQL&gt;&lt;Q&gt;NVT-US^P_BETA_LOCIDX(45422,45246,,"SPX")&lt;/Q&gt;&lt;R&gt;1&lt;/R&gt;&lt;C&gt;1&lt;/C&gt;&lt;D xsi:type="xsd:double"&gt;1.4690262&lt;/D&gt;&lt;/FQL&gt;&lt;FQL&gt;&lt;Q&gt;NVT-US^P_BETA_LOCIDX(45421,45245,,"SPX")&lt;/Q&gt;&lt;R&gt;1&lt;/R&gt;&lt;C&gt;1&lt;/C&gt;&lt;D xsi:type="xsd:double"&gt;1.4693425&lt;/D&gt;&lt;/FQL&gt;&lt;FQL&gt;&lt;Q&gt;NVT-US^P_BETA_LOCIDX(45420,45244,,"SPX")&lt;/Q&gt;&lt;R&gt;1&lt;/R&gt;&lt;C&gt;1&lt;/C&gt;&lt;D xsi:type="xsd:double"&gt;1.4712436&lt;/D&gt;&lt;/FQL&gt;&lt;FQL&gt;&lt;Q&gt;NVT-US^P_BETA_LOCIDX(45419,45243,,"SPX")&lt;/Q&gt;&lt;R&gt;1&lt;/R&gt;&lt;C&gt;1&lt;/C&gt;&lt;D xsi:type="xsd:double"&gt;1.4767182&lt;/D&gt;&lt;/FQL&gt;&lt;FQL&gt;&lt;Q&gt;NVT-US^P_BETA_LOCIDX(45418,45240,,"SPX")&lt;/Q&gt;&lt;R&gt;1&lt;/R&gt;&lt;C&gt;1&lt;/C&gt;&lt;D xsi:type="xsd:double"&gt;1.4820595&lt;/D&gt;&lt;/FQL&gt;&lt;FQL&gt;&lt;Q&gt;NVT-US^P_BETA_LOCIDX(45415,45239,,"SPX")&lt;/Q&gt;&lt;R&gt;1&lt;/R&gt;&lt;C&gt;1&lt;/C&gt;&lt;D xsi:type="xsd:dou</t>
        </r>
      </text>
    </comment>
    <comment ref="A7" authorId="0" shapeId="0" xr:uid="{5359B9AE-EA76-4EC9-A8E3-F641F7930A35}">
      <text>
        <r>
          <rPr>
            <b/>
            <sz val="9"/>
            <color indexed="81"/>
            <rFont val="Tahoma"/>
            <family val="2"/>
          </rPr>
          <t>ble"&gt;1.4942622&lt;/D&gt;&lt;/FQL&gt;&lt;FQL&gt;&lt;Q&gt;NVT-US^P_BETA_LOCIDX(45414,45238,,"SPX")&lt;/Q&gt;&lt;R&gt;1&lt;/R&gt;&lt;C&gt;1&lt;/C&gt;&lt;D xsi:type="xsd:double"&gt;1.4282633&lt;/D&gt;&lt;/FQL&gt;&lt;FQL&gt;&lt;Q&gt;NVT-US^P_BETA_LOCIDX(45413,45237,,"SPX")&lt;/Q&gt;&lt;R&gt;1&lt;/R&gt;&lt;C&gt;1&lt;/C&gt;&lt;D xsi:type="xsd:double"&gt;1.4313335&lt;/D&gt;&lt;/FQL&gt;&lt;FQL&gt;&lt;Q&gt;NVT-US^P_BETA_LOCIDX(45412,45236,,"SPX")&lt;/Q&gt;&lt;R&gt;1&lt;/R&gt;&lt;C&gt;1&lt;/C&gt;&lt;D xsi:type="xsd:double"&gt;1.42272&lt;/D&gt;&lt;/FQL&gt;&lt;FQL&gt;&lt;Q&gt;NVT-US^P_BETA_LOCIDX(45411,45233,,"SPX")&lt;/Q&gt;&lt;R&gt;1&lt;/R&gt;&lt;C&gt;1&lt;/C&gt;&lt;D xsi:type="xsd:double"&gt;1.3504366&lt;/D&gt;&lt;/FQL&gt;&lt;FQL&gt;&lt;Q&gt;NVT-US^P_BETA_LOCIDX(45408,45232,,"SPX")&lt;/Q&gt;&lt;R&gt;1&lt;/R&gt;&lt;C&gt;1&lt;/C&gt;&lt;D xsi:type="xsd:double"&gt;1.2805444&lt;/D&gt;&lt;/FQL&gt;&lt;FQL&gt;&lt;Q&gt;NVT-US^P_BETA_LOCIDX(45407,45231,,"SPX")&lt;/Q&gt;&lt;R&gt;1&lt;/R&gt;&lt;C&gt;1&lt;/C&gt;&lt;D xsi:type="xsd:double"&gt;1.2930304&lt;/D&gt;&lt;/FQL&gt;&lt;FQL&gt;&lt;Q&gt;NVT-US^P_BETA_LOCIDX(45406,45230,,"SPX")&lt;/Q&gt;&lt;R&gt;1&lt;/R&gt;&lt;C&gt;1&lt;/C&gt;&lt;D xsi:type="xsd:double"&gt;1.3062505&lt;/D&gt;&lt;/FQL&gt;&lt;FQL&gt;&lt;Q&gt;NVT-US^P_BETA_LOCIDX(45405,45229,,"SPX")&lt;/Q&gt;&lt;R&gt;1&lt;/R&gt;&lt;C&gt;1&lt;/C&gt;&lt;D xsi:type="xsd:double"&gt;1.3480964&lt;/D&gt;&lt;/FQL&gt;&lt;FQL&gt;&lt;Q&gt;NVT-US^P_BETA_LOCIDX(45404,45226,,"SPX")&lt;/Q&gt;&lt;R&gt;1&lt;/R&gt;&lt;C&gt;1&lt;/C&gt;&lt;D xsi:type="xsd:double"&gt;1.361872&lt;/D&gt;&lt;/FQL&gt;&lt;FQL&gt;&lt;Q&gt;NVT-US^P_BETA_LOCIDX(45401,45225,,"SPX")&lt;/Q&gt;&lt;R&gt;1&lt;/R&gt;&lt;C&gt;1&lt;/C&gt;&lt;D xsi:type="xsd:double"&gt;1.3480501&lt;/D&gt;&lt;/FQL&gt;&lt;FQL&gt;&lt;Q&gt;NVT-US^P_BETA_LOCIDX(45400,45224,,"SPX")&lt;/Q&gt;&lt;R&gt;1&lt;/R&gt;&lt;C&gt;1&lt;/C&gt;&lt;D xsi:type="xsd:double"&gt;1.3632467&lt;/D&gt;&lt;/FQL&gt;&lt;FQL&gt;&lt;Q&gt;NVT-US^P_BETA_LOCIDX(45399,45223,,"SPX")&lt;/Q&gt;&lt;R&gt;1&lt;/R&gt;&lt;C&gt;1&lt;/C&gt;&lt;D xsi:type="xsd:double"&gt;1.3465847&lt;/D&gt;&lt;/FQL&gt;&lt;FQL&gt;&lt;Q&gt;NVT-US^P_BETA_LOCIDX(45398,45222,,"SPX")&lt;/Q&gt;&lt;R&gt;1&lt;/R&gt;&lt;C&gt;1&lt;/C&gt;&lt;D xsi:type="xsd:double"&gt;1.3432014&lt;/D&gt;&lt;/FQL&gt;&lt;FQL&gt;&lt;Q&gt;NVT-US^P_BETA_LOCIDX(45397,45219,,"SPX")&lt;/Q&gt;&lt;R&gt;1&lt;/R&gt;&lt;C&gt;1&lt;/C&gt;&lt;D xsi:type="xsd:double"&gt;1.3390009&lt;/D&gt;&lt;/FQL&gt;&lt;FQL&gt;&lt;Q&gt;NVT-US^P_BETA_LOCIDX(45394,45218,,"SPX")&lt;/Q&gt;&lt;R&gt;1&lt;/R&gt;&lt;C&gt;1&lt;/C&gt;&lt;D xsi:type="xsd:double"&gt;1.3915501&lt;/D&gt;&lt;/FQL&gt;&lt;FQL&gt;&lt;Q&gt;NVT-US^P_BETA_LOCIDX(45393,45217,,"SPX")&lt;/Q&gt;&lt;R&gt;1&lt;/R&gt;&lt;C&gt;1&lt;/C&gt;&lt;D xsi:type="xsd:double"&gt;1.5023729&lt;/D&gt;&lt;/FQL&gt;&lt;FQL&gt;&lt;Q&gt;NVT-US^P_BETA_LOCIDX(45392,45216,,"SPX")&lt;/Q&gt;&lt;R&gt;1&lt;/R&gt;&lt;C&gt;1&lt;/C&gt;&lt;D xsi:type="xsd:double"&gt;1.5050693&lt;/D&gt;&lt;/FQL&gt;&lt;FQL&gt;&lt;Q&gt;NVT-US^P_BETA_LOCIDX(45391,45215,,"SPX")&lt;/Q&gt;&lt;R&gt;1&lt;/R&gt;&lt;C&gt;1&lt;/C&gt;&lt;D xsi:type="xsd:double"&gt;1.5143844&lt;/D&gt;&lt;/FQL&gt;&lt;FQL&gt;&lt;Q&gt;NVT-US^P_BETA_LOCIDX(45390,45212,,"SPX")&lt;/Q&gt;&lt;R&gt;1&lt;/R&gt;&lt;C&gt;1&lt;/C&gt;&lt;D xsi:type="xsd:double"&gt;1.5732096&lt;/D&gt;&lt;/FQL&gt;&lt;FQL&gt;&lt;Q&gt;NVT-US^P_BETA_LOCIDX(45387,45211,,"SPX")&lt;/Q&gt;&lt;R&gt;1&lt;/R&gt;&lt;C&gt;1&lt;/C&gt;&lt;D xsi:type="xsd:double"&gt;1.5667363&lt;/D&gt;&lt;/FQL&gt;&lt;FQL&gt;&lt;Q&gt;NVT-US^P_BETA_LOCIDX(45386,45210,,"SPX")&lt;/Q&gt;&lt;R&gt;1&lt;/R&gt;&lt;C&gt;1&lt;/C&gt;&lt;D xsi:type="xsd:double"&gt;1.5502145&lt;/D&gt;&lt;/FQL&gt;&lt;FQL&gt;&lt;Q&gt;NVT-US^P_BETA_LOCIDX(45385,45209,,"SPX")&lt;/Q&gt;&lt;R&gt;1&lt;/R&gt;&lt;C&gt;1&lt;/C&gt;&lt;D xsi:type="xsd:double"&gt;1.5539353&lt;/D&gt;&lt;/FQL&gt;&lt;FQL&gt;&lt;Q&gt;NVT-US^P_BETA_LOCIDX(45384,45208,,"SPX")&lt;/Q&gt;&lt;R&gt;1&lt;/R&gt;&lt;C&gt;1&lt;/C&gt;&lt;D xsi:type="xsd:double"&gt;1.5474656&lt;/D&gt;&lt;/FQL&gt;&lt;FQL&gt;&lt;Q&gt;NVT-US^P_BETA_LOCIDX(45383,45205,,"SPX")&lt;/Q&gt;&lt;R&gt;1&lt;/R&gt;&lt;C&gt;1&lt;/C&gt;&lt;D xsi:type="xsd:double"&gt;1.5898749&lt;/D&gt;&lt;/FQL&gt;&lt;FQL&gt;&lt;Q&gt;NVT-US^P_BETA_LOCIDX(45379,45204,,"SPX")&lt;/Q&gt;&lt;R&gt;1&lt;/R&gt;&lt;C&gt;1&lt;/C&gt;&lt;D xsi:type="xsd:double"&gt;1.5947678&lt;/D&gt;&lt;/FQL&gt;&lt;FQL&gt;&lt;Q&gt;NVT-US^P_BETA_LOCIDX(45378,45203,,"SPX")&lt;/Q&gt;&lt;R&gt;1&lt;/R&gt;&lt;C&gt;1&lt;/C&gt;&lt;D xsi:type="xsd:double"&gt;1.5886582&lt;/D&gt;&lt;/FQL&gt;&lt;FQL&gt;&lt;Q&gt;NVT-US^P_BETA_LOCIDX(45377,45202,,"SPX")&lt;/Q&gt;&lt;R&gt;1&lt;/R&gt;&lt;C&gt;1&lt;/C&gt;&lt;D xsi:type="xsd:double"&gt;1.5614551&lt;/D&gt;&lt;/FQL&gt;&lt;FQL&gt;&lt;Q&gt;NVT-US^P_BETA_LOCIDX(45376,45201,,"SPX")&lt;/Q&gt;&lt;R&gt;1&lt;/R&gt;&lt;C&gt;1&lt;/C&gt;&lt;D xsi:type="xsd:double"&gt;1.5771414&lt;/D&gt;&lt;/FQL&gt;&lt;FQL&gt;&lt;Q&gt;NVT-US^P_BETA_LOCIDX(45373,45198,,"SPX")&lt;/Q&gt;&lt;R&gt;1&lt;/R&gt;&lt;C&gt;1&lt;/C&gt;&lt;D xsi:type="xsd:double"&gt;1.5923465&lt;/D&gt;&lt;/FQL&gt;&lt;FQL&gt;&lt;Q&gt;NVT-US^P_BETA_LOCIDX(45372,45197,,"SPX")&lt;/Q&gt;&lt;R&gt;1&lt;/R&gt;&lt;C&gt;1&lt;/C&gt;&lt;D xsi:type="xsd:double"&gt;1.5962108&lt;/D&gt;&lt;/FQL&gt;&lt;FQL&gt;&lt;Q&gt;NVT-US^P_BETA_LOCIDX(45371,45196,,"SPX")&lt;/Q&gt;&lt;R&gt;1&lt;/R&gt;&lt;C&gt;1&lt;/C&gt;&lt;D xsi:type="xsd:double"&gt;1.5915933&lt;/D&gt;&lt;/FQL&gt;&lt;FQL&gt;&lt;Q&gt;NVT-US^P_BETA_LOCIDX(45370,45195,,"SPX")&lt;/Q&gt;&lt;R&gt;1&lt;/R&gt;&lt;C&gt;1&lt;/C&gt;&lt;D xsi:type="xsd:double"&gt;1.6048816&lt;/D&gt;&lt;/FQL&gt;&lt;FQL&gt;&lt;Q&gt;NVT-US^P_BETA_LOCIDX(45369,45194,,"SPX")&lt;/Q&gt;&lt;R&gt;1&lt;/R&gt;&lt;C&gt;1&lt;/C&gt;&lt;D xsi:type="xsd:double"&gt;1.6056713&lt;/D&gt;&lt;/FQL&gt;&lt;FQL&gt;&lt;Q&gt;NVT-US^P_BETA_LOCIDX(45366,45191,,"SPX")&lt;/Q&gt;&lt;R&gt;1&lt;/R&gt;&lt;C&gt;1&lt;/C&gt;&lt;D xsi:type="xsd:double"&gt;1.6027623&lt;/D&gt;&lt;/FQL&gt;&lt;FQL&gt;&lt;Q&gt;NVT-US^P_BETA_LOCIDX(45365,45190,,"SPX")&lt;/Q&gt;&lt;R&gt;1&lt;/R&gt;&lt;C&gt;1&lt;/C&gt;&lt;D xsi:type="xsd:double"&gt;1.6099712&lt;/D&gt;&lt;/FQL&gt;&lt;FQL&gt;&lt;Q&gt;NVT-US^P_BETA_LOCIDX(45364,45189,,"SPX")&lt;/Q&gt;&lt;R&gt;1&lt;/R&gt;&lt;C&gt;1&lt;/C&gt;&lt;D xsi:type="xsd:double"&gt;1.6025199&lt;/D&gt;&lt;/FQL&gt;&lt;FQL&gt;&lt;Q&gt;NVT-US^P_BETA_LOCIDX(45363,45188,,"SPX")&lt;/Q&gt;&lt;R&gt;1&lt;/R&gt;&lt;C&gt;1&lt;/C&gt;&lt;D xsi:type="xsd:double"&gt;1.6155564&lt;/D&gt;&lt;/FQL&gt;&lt;FQL&gt;&lt;Q&gt;NVT-US^P_BETA_LOCIDX(45362,45187,,"SPX")&lt;/Q&gt;&lt;R&gt;1&lt;/R&gt;&lt;C&gt;1&lt;/C&gt;&lt;D xsi:type="xsd:double"&gt;1.6071926&lt;/D&gt;&lt;/FQL&gt;&lt;FQL&gt;&lt;Q&gt;NVT-US^P_BETA_LOCIDX(45359,45184,,"SPX")&lt;/Q&gt;&lt;R&gt;1&lt;/R&gt;&lt;C&gt;1&lt;/C&gt;&lt;D xsi:type="xsd:double"&gt;1.6081644&lt;/D&gt;&lt;/FQL&gt;&lt;FQL&gt;&lt;Q&gt;NVT-US^P_BETA_LOCIDX(45358,45183,,"SPX")&lt;/Q&gt;&lt;R&gt;1&lt;/R&gt;&lt;C&gt;1&lt;/C&gt;&lt;D xsi:type="xsd:double"&gt;1.5994534&lt;/D&gt;&lt;/FQL&gt;&lt;FQL&gt;&lt;Q&gt;NVT-US^P_BETA_LOCIDX(45357,45182,,"SPX")&lt;/Q&gt;&lt;R&gt;1&lt;/R&gt;&lt;C&gt;1&lt;/C&gt;&lt;D xsi:type="xsd:double"&gt;1.6119435&lt;/D&gt;&lt;/FQL&gt;&lt;FQL&gt;&lt;Q&gt;NVT-US^P_BETA_LOCIDX(45356,45181,,"SPX")&lt;/Q&gt;&lt;R&gt;1&lt;/R&gt;&lt;C&gt;1&lt;/C&gt;&lt;D xsi:type="xsd:double"&gt;1.6147937&lt;/D&gt;&lt;/FQL&gt;&lt;FQL&gt;&lt;Q&gt;NVT-US^P_BETA_LOCIDX(45355,45180,,"SPX")&lt;/Q&gt;&lt;R&gt;1&lt;/R&gt;&lt;C&gt;1&lt;/C&gt;&lt;D xsi:type="xsd:double"&gt;1.616026&lt;/D&gt;&lt;/FQL&gt;&lt;FQL&gt;&lt;Q&gt;NVT-US^P_BETA_LOCIDX(45352,45177,,"SPX")&lt;/Q&gt;&lt;R&gt;1&lt;/R&gt;&lt;C&gt;1&lt;/C&gt;&lt;D xsi:type="xsd:double"&gt;1.6204005&lt;/D&gt;&lt;/FQL&gt;&lt;FQL&gt;&lt;Q&gt;NVT-US^P_BETA_LOCIDX(45351,45176,,"SPX")&lt;/Q&gt;&lt;R&gt;1&lt;/R&gt;&lt;C&gt;1&lt;/C&gt;&lt;D xsi:type="xsd:double"&gt;1.5930854&lt;/D&gt;&lt;/FQL&gt;&lt;FQL&gt;&lt;Q&gt;NVT-US^P_BETA_LOCIDX(45350,45175,,"SPX")&lt;/Q&gt;&lt;R&gt;1&lt;/R&gt;&lt;C&gt;1&lt;/C&gt;&lt;D xsi:type="xsd:double"&gt;1.5648695&lt;/D&gt;&lt;/FQL&gt;&lt;FQL&gt;&lt;Q&gt;NVT-US^P_BETA_LOCIDX(45349,45174,,"SPX")&lt;/Q&gt;&lt;R&gt;1&lt;/R&gt;&lt;C&gt;1&lt;/C&gt;&lt;D xsi:type="xsd:double"&gt;1.5860159&lt;/D&gt;&lt;/FQL&gt;&lt;FQL&gt;&lt;Q&gt;NVT-US^P_BETA_LOCIDX(45348,45170,,"SPX")&lt;/Q&gt;&lt;R&gt;1&lt;/R&gt;&lt;C&gt;1&lt;/C&gt;&lt;D xsi:type="xsd:double"&gt;1.5874556&lt;/D&gt;&lt;/FQL&gt;&lt;FQL&gt;&lt;Q&gt;NVT-US^P_BETA_LOCIDX(45345,45169,,"SPX")&lt;/Q&gt;&lt;R&gt;1&lt;/R&gt;&lt;C&gt;1&lt;/C&gt;&lt;D xsi:type="xsd:double"&gt;1.5819801&lt;/D&gt;&lt;/FQL&gt;&lt;FQL&gt;&lt;Q&gt;NVT-US^P_BETA_LOCIDX(45344,45168,,"SPX")&lt;/Q&gt;&lt;R&gt;1&lt;/R&gt;&lt;C&gt;1&lt;/C&gt;&lt;D xsi:type="xsd:double"&gt;1.5833774&lt;/D&gt;&lt;/FQL&gt;&lt;FQL&gt;&lt;Q&gt;NVT-US^P_BETA_LOCIDX(45343,45167,,"SPX")&lt;/Q&gt;&lt;R&gt;1&lt;/R&gt;&lt;C&gt;1&lt;/C&gt;&lt;D xsi:type="xsd:double"&gt;1.5578312&lt;/D&gt;&lt;/FQL&gt;&lt;FQL&gt;&lt;Q&gt;NVT-US^P_BETA_LOCIDX(45342,45166,,"SPX")&lt;/Q&gt;&lt;R&gt;1&lt;/R&gt;&lt;C&gt;1&lt;/C&gt;&lt;D xsi:type="xsd:double"&gt;1.5618067&lt;/D&gt;&lt;/FQL&gt;&lt;FQL&gt;&lt;Q&gt;NVT-US^P_BETA_LOCIDX(45338,45163,,"SPX")&lt;/Q&gt;&lt;R&gt;1&lt;/R&gt;&lt;C&gt;1&lt;/C&gt;&lt;D xsi:type="xsd:double"&gt;1.5544807&lt;/D&gt;&lt;/FQL&gt;&lt;FQL&gt;&lt;Q&gt;NVT-US^P_BETA_LOCIDX(45337,45162,,"SPX")&lt;/Q&gt;&lt;R&gt;1&lt;/R&gt;&lt;C&gt;1&lt;/C&gt;&lt;D xsi:type="xsd:double"&gt;1.5264734&lt;/D&gt;&lt;/FQL&gt;&lt;FQL&gt;&lt;Q&gt;NVT-US^P_BETA_LOCIDX(45336,45161,,"SPX")&lt;/Q&gt;&lt;R&gt;1&lt;/R&gt;&lt;C&gt;1&lt;/C&gt;&lt;D xsi:type="xsd:double"&gt;1.5446299&lt;/D&gt;&lt;/FQL&gt;&lt;FQL&gt;&lt;Q&gt;NVT-US^P_BETA_LOCIDX(45335,45160,,"SPX")&lt;/Q&gt;&lt;R&gt;1&lt;/R&gt;&lt;C&gt;1&lt;/C&gt;&lt;D xsi:type="xsd:double"&gt;1.542588&lt;/D&gt;&lt;/FQL&gt;&lt;FQL&gt;&lt;Q&gt;NVT-US^P_BETA_LOCIDX(45334,45159,,"SPX")&lt;/Q&gt;&lt;R&gt;1&lt;/R&gt;&lt;C&gt;1&lt;/C&gt;&lt;D xsi:type="xsd:double"&gt;1.5364572&lt;/D&gt;&lt;/FQL&gt;&lt;FQL&gt;&lt;Q&gt;NVT-US^P_BETA_LOCIDX(45331,45156,,"SPX")&lt;/Q&gt;&lt;R&gt;1&lt;/R&gt;&lt;C&gt;1&lt;/C&gt;&lt;D xsi:type="xsd:double"&gt;1.5356464&lt;/D&gt;&lt;/FQL&gt;&lt;FQL&gt;&lt;Q&gt;NVT-US^P_BETA_LOCIDX(45330,45155,,"SPX")&lt;/Q&gt;&lt;R&gt;1&lt;/R&gt;&lt;C&gt;1&lt;/C&gt;&lt;D xsi:type="xsd:double"&gt;1.5483527&lt;/D&gt;&lt;/FQL&gt;&lt;FQL&gt;&lt;Q&gt;NVT-US^P_BETA_LOCIDX(45329,45154,,"SPX")&lt;/Q&gt;&lt;R&gt;1&lt;/R&gt;&lt;C&gt;1&lt;/C&gt;&lt;D xsi:type="xsd:double"&gt;1.5607175&lt;/D&gt;&lt;/FQL&gt;&lt;FQL&gt;&lt;Q&gt;NVT-US^P_BETA_LOCIDX(45328,45153,,"SPX")&lt;/Q&gt;&lt;R&gt;1&lt;/R&gt;&lt;C&gt;1&lt;/C&gt;&lt;D xsi:type="xsd:double"&gt;1.5268804&lt;/D&gt;&lt;/FQL&gt;&lt;FQL&gt;&lt;Q&gt;NVT-US^P_BETA_LOCIDX(45327,45152,,"SPX")&lt;/Q&gt;&lt;R&gt;1&lt;/R&gt;&lt;C&gt;1&lt;/C&gt;&lt;D xsi:type="xsd:double"&gt;1.5298053&lt;/D&gt;&lt;/FQL&gt;&lt;FQL&gt;&lt;Q&gt;NVT-US^P_BETA_LOCIDX(45324,45149,,"SPX")&lt;/Q&gt;&lt;R&gt;1&lt;/R&gt;&lt;C&gt;1&lt;/C&gt;&lt;D xsi:type="xsd:double"&gt;1.5262666&lt;/D&gt;&lt;/FQL&gt;&lt;FQL&gt;&lt;Q&gt;NVT-US^P_BETA_LOCIDX(45323,45148,,"SPX")&lt;/Q&gt;&lt;R&gt;1&lt;/R&gt;&lt;C&gt;1&lt;/C&gt;&lt;D xsi:type="xsd:double"&gt;1.5301845&lt;/D&gt;&lt;/FQL&gt;&lt;FQL&gt;&lt;Q&gt;NVT-US^P_BETA_LOCIDX(45322,45147,,"SPX")&lt;/Q&gt;&lt;R&gt;1&lt;/R&gt;&lt;C&gt;1&lt;/C&gt;&lt;D xsi:type="xsd:double"&gt;1.4980688&lt;/D&gt;&lt;/FQL&gt;&lt;FQL&gt;&lt;Q&gt;NVT-US^P_BETA_LOCIDX(45321,45146,,"SPX")&lt;/Q&gt;&lt;R&gt;1&lt;/R&gt;&lt;C&gt;1&lt;/C&gt;&lt;D xsi:type="xsd:double"&gt;1.4984429&lt;/D&gt;&lt;/FQL&gt;&lt;FQL&gt;&lt;Q&gt;NVT-US^P_BETA_LOCIDX(45320,45145,,"SPX")&lt;/Q&gt;&lt;R&gt;1&lt;/R&gt;&lt;C&gt;1&lt;/C&gt;&lt;D xsi:type="xsd:double"&gt;1.5098671&lt;/D&gt;&lt;/FQL&gt;&lt;FQL&gt;&lt;Q&gt;NVT-US^P_BETA_LOCIDX(45317,45142,,"SPX")&lt;/Q&gt;&lt;R&gt;1&lt;/R&gt;&lt;C&gt;1&lt;/C&gt;&lt;D xsi:type="xsd:double"&gt;1.511392&lt;/D&gt;&lt;/FQL&gt;&lt;FQL&gt;&lt;Q&gt;NVT-US^P_BETA_LOCIDX(45316,45141,,"SPX")&lt;/Q&gt;&lt;R&gt;1&lt;/R&gt;&lt;C&gt;1&lt;/C&gt;&lt;D xsi:type="xsd:double"&gt;1.5202614&lt;/D&gt;&lt;/FQL&gt;&lt;FQL&gt;&lt;Q&gt;NVT-US^P_BETA_LOCIDX(45315,45140,,"SPX")&lt;/Q&gt;&lt;R&gt;1&lt;/R&gt;&lt;C&gt;1&lt;/C&gt;&lt;D xsi:type="xsd:double"&gt;1.4153105&lt;/D&gt;&lt;/FQL&gt;&lt;FQL&gt;&lt;Q&gt;NVT-US^P_BETA_LOCIDX(45314,45139,,"SPX")&lt;/Q&gt;&lt;R&gt;1&lt;/R&gt;&lt;C&gt;1&lt;/C&gt;&lt;D xsi:type="xsd:double"&gt;1.3978091&lt;/D&gt;&lt;/FQL&gt;&lt;FQL&gt;&lt;Q&gt;NVT-US^P_BETA_LOCIDX(45313,45138,,"SPX")&lt;/Q&gt;&lt;R&gt;1&lt;/R&gt;&lt;C&gt;1&lt;/C&gt;&lt;D xsi:type="xsd:double"&gt;1.4016159&lt;/D&gt;&lt;/FQL&gt;&lt;FQL&gt;&lt;Q&gt;NVT-US^P_BETA_LOCIDX(45310,45135,,"SPX")&lt;/Q&gt;&lt;R&gt;1&lt;/R&gt;&lt;C&gt;1&lt;/C&gt;&lt;D xsi:type="xsd:double"&gt;1.4042245&lt;/D&gt;&lt;/FQL&gt;&lt;FQL&gt;&lt;Q&gt;NVT-US^P_BETA_LOCIDX(45309,45134,,"SPX")&lt;/Q&gt;&lt;R&gt;1&lt;/R&gt;&lt;C&gt;1&lt;/C&gt;&lt;D xsi:type="xsd:double"&gt;1.3692052&lt;/D&gt;&lt;/FQL&gt;&lt;FQL&gt;&lt;Q&gt;NVT-US^P_BETA_LOCIDX(45308,45133,,"SPX")&lt;/Q&gt;&lt;R&gt;1&lt;/R&gt;&lt;C&gt;1&lt;/C&gt;&lt;D xsi:type="xsd:double"&gt;1.374261&lt;/D&gt;&lt;/FQL&gt;&lt;FQL&gt;&lt;Q&gt;NVT-US^P_BETA_LOCIDX(45307,45132,,"SPX")&lt;/Q&gt;&lt;R&gt;1&lt;/R&gt;&lt;C&gt;1&lt;/C&gt;&lt;D xsi:type="xsd:double"&gt;1.3700393&lt;/D&gt;&lt;/FQL&gt;&lt;FQL&gt;&lt;Q&gt;NVT-US^P_BETA_LOCIDX(45303,45131,,"SPX")&lt;/Q&gt;&lt;R&gt;1&lt;/R&gt;&lt;C&gt;1&lt;/C&gt;&lt;D xsi:type="xsd:double"&gt;1.3680044&lt;/D&gt;&lt;/FQL&gt;&lt;FQL&gt;&lt;Q&gt;NVT-US^P_BETA_LOCIDX(45302,45128,,"SPX")&lt;/Q&gt;&lt;R&gt;1&lt;/R&gt;&lt;C&gt;1&lt;/C&gt;&lt;D xsi:type="xsd:double"&gt;1.3684741&lt;/D&gt;&lt;/FQL&gt;&lt;FQL&gt;&lt;Q&gt;NVT-US^P_BETA_LOCIDX(45301,45127,,"SPX")&lt;/Q&gt;&lt;R&gt;1&lt;/R&gt;&lt;C&gt;1&lt;/C&gt;&lt;D xsi:type="xsd:double"&gt;1.3739586&lt;/D&gt;&lt;/FQL&gt;&lt;FQL&gt;&lt;Q&gt;NVT-US^P_BETA_LOCIDX(45300,45126,,"SPX")&lt;/Q&gt;&lt;R&gt;1&lt;/R&gt;&lt;C&gt;1&lt;/C&gt;&lt;D xsi:type="xsd:double"&gt;1.3803338&lt;/D&gt;&lt;/FQL&gt;&lt;FQL&gt;&lt;Q&gt;NVT-US^P_BETA_LOCIDX(45299,45125,,"SPX")&lt;/Q&gt;&lt;R&gt;1&lt;/R&gt;&lt;C&gt;1&lt;/C&gt;&lt;D xsi:type="xsd:double"&gt;1.3991815&lt;/D&gt;&lt;/FQL&gt;&lt;FQL&gt;&lt;Q&gt;NVT-US^P_BETA_LOCIDX(45296,45124,,"SPX")&lt;/Q&gt;&lt;R&gt;1&lt;/R&gt;&lt;C&gt;1&lt;/C&gt;&lt;D xsi:type="xsd:double"&gt;1.4057015&lt;/D&gt;&lt;/FQL&gt;&lt;FQL&gt;&lt;Q&gt;NVT-US^P_BETA_LOCIDX(45295,45121,,"SPX")&lt;/Q&gt;&lt;R&gt;1&lt;/R&gt;&lt;C&gt;1&lt;/C&gt;&lt;D xsi:type="xsd:double"&gt;1.4056746&lt;/D&gt;&lt;/FQL&gt;&lt;FQL&gt;&lt;Q&gt;NVT-US^P_BETA_LOCIDX(45294,45120,,"SPX")&lt;/Q&gt;&lt;R&gt;1&lt;/R&gt;&lt;C&gt;1&lt;/C&gt;&lt;D xsi:type="xsd:double"&gt;1.4170418&lt;/D&gt;&lt;/FQL&gt;&lt;FQL&gt;&lt;Q&gt;NVT-US^P_BETA_LOCIDX(45293,45119,,"SPX")&lt;/Q&gt;&lt;R&gt;1&lt;/R&gt;&lt;C&gt;1&lt;/C&gt;&lt;D xsi:type="xsd:double"&gt;1.380828&lt;/D&gt;&lt;/FQL&gt;&lt;FQL&gt;&lt;Q&gt;NVT-US^P_BETA_LOCIDX(45289,45118,,"SPX")&lt;/Q&gt;&lt;R&gt;1&lt;/R&gt;&lt;C&gt;1&lt;/C&gt;&lt;D xsi:type="xsd:double"&gt;1.3646109&lt;/D&gt;&lt;/FQL&gt;&lt;FQL&gt;&lt;Q&gt;NVT-US^P_BETA_LOCIDX(45288,45117,,"SPX")&lt;/Q&gt;&lt;R&gt;1&lt;/R&gt;&lt;C&gt;1&lt;/C&gt;&lt;D xsi:type="xsd:double"&gt;1.3699654&lt;/D&gt;&lt;/FQL&gt;&lt;FQL&gt;&lt;Q&gt;NVT-US^P_BETA_LOCIDX(45287,45114,,"SPX")&lt;/Q&gt;&lt;R&gt;1&lt;/R&gt;&lt;C&gt;1&lt;/C&gt;&lt;D xsi:type="xsd:double"&gt;1.3576201&lt;/D&gt;&lt;/FQL&gt;&lt;FQL&gt;&lt;Q&gt;NVT-US^P_BETA_LOCIDX(45286,45113,,"SPX")&lt;/Q&gt;&lt;R&gt;1&lt;/R&gt;&lt;C&gt;1&lt;/C&gt;&lt;D xsi:type="xsd:double"&gt;1.3653293&lt;/D&gt;&lt;/FQL&gt;&lt;FQL&gt;&lt;Q&gt;NVT-US^P_BETA_LOCIDX(45282,45112,,"SPX")&lt;/Q&gt;&lt;R&gt;1&lt;/R&gt;&lt;C&gt;1&lt;/C&gt;&lt;D xsi:type="xsd:double"&gt;1.3757885&lt;/D&gt;&lt;/FQL&gt;&lt;FQL&gt;&lt;Q&gt;NVT-US^P_BETA_LOCIDX(45281,45110,,"SPX")&lt;/Q&gt;&lt;R&gt;1&lt;/R&gt;&lt;C&gt;1&lt;/C&gt;&lt;D xsi:type="xsd:double"&gt;1.373545&lt;/D&gt;&lt;/FQL&gt;&lt;FQL&gt;&lt;Q&gt;NVT-US^P_BETA_LOCIDX(45280,45107,,"SPX")&lt;/Q&gt;&lt;R&gt;1&lt;/R&gt;&lt;C&gt;1&lt;/C&gt;&lt;D xsi:type="xsd:double"&gt;1.375178&lt;/D&gt;&lt;/FQL&gt;&lt;FQL&gt;&lt;Q&gt;NVT-US^P_BETA_LOCIDX(45279,45106,,"SPX")&lt;/Q&gt;&lt;R&gt;1&lt;/R&gt;&lt;C&gt;1&lt;/C&gt;&lt;D xsi:type="xsd:double"&gt;1.3808727&lt;/D&gt;&lt;/FQL&gt;&lt;FQL&gt;&lt;Q&gt;NVT-US^P_BETA_LOCIDX(45278,45105,,"SPX")&lt;/Q&gt;&lt;R&gt;1&lt;/R&gt;&lt;C&gt;1&lt;/C&gt;&lt;D xsi:type="xsd:double"&gt;1.3820153&lt;/D&gt;&lt;/FQL&gt;&lt;FQL&gt;&lt;Q&gt;NVT-US^P_BETA_LOCIDX(45275,45104,,"SPX")&lt;/Q&gt;&lt;R&gt;1&lt;/R&gt;&lt;C&gt;1&lt;/C&gt;&lt;D xsi:type="xsd:double"&gt;1.3979851&lt;/D&gt;&lt;/FQL&gt;&lt;FQL&gt;&lt;Q&gt;NVT-US^P_BETA_LOCIDX(45274,45103,,"SPX")&lt;/Q&gt;&lt;R&gt;1&lt;/R&gt;&lt;C&gt;1&lt;/C&gt;&lt;D xsi:type="xsd:double"&gt;1.3666831&lt;/D&gt;&lt;/FQL&gt;&lt;FQL&gt;&lt;Q&gt;NVT-US^P_BETA_LOCIDX(45273,45100,,"SPX")&lt;/Q&gt;&lt;R&gt;1&lt;/R&gt;&lt;C&gt;1&lt;/C&gt;&lt;D xsi:type="xsd:double"&gt;1.3331716&lt;/D&gt;&lt;/FQL&gt;&lt;FQL&gt;&lt;Q&gt;NVT-US^P_BETA_LOCIDX(45272,45099,,"SPX")&lt;/Q&gt;&lt;R&gt;1&lt;/R&gt;&lt;C&gt;1&lt;/C&gt;&lt;D xsi:type="xsd:double"&gt;1.3931708&lt;/D&gt;&lt;/FQL&gt;&lt;FQL&gt;&lt;Q&gt;NVT-US^P_BETA_LOCIDX(45271,45098,,"SPX")&lt;/Q&gt;&lt;R&gt;1&lt;/R&gt;&lt;C&gt;1&lt;/C&gt;&lt;D xsi:type="xsd:double"&gt;1.3807844&lt;/D&gt;&lt;/FQL&gt;&lt;FQL&gt;&lt;Q&gt;NVT-US^P_BETA_LOCIDX(45268,45097,,"SPX")&lt;/Q&gt;&lt;R&gt;1&lt;/R&gt;&lt;C&gt;1&lt;/C&gt;&lt;D xsi:type="xsd:double"&gt;1.3675064&lt;/D&gt;&lt;/FQL&gt;&lt;FQL&gt;&lt;Q&gt;NVT-US^P_BETA_LOCIDX(45267,45093,,"SPX")&lt;/Q&gt;&lt;R&gt;1&lt;/R&gt;&lt;C&gt;1&lt;/C&gt;&lt;D xsi:type="xsd:double"&gt;1.3660185&lt;/D&gt;&lt;/FQL&gt;&lt;FQL&gt;&lt;Q&gt;NVT-US^P_BETA_LOCIDX(45266,45092,,"SPX")&lt;/Q&gt;&lt;R&gt;1&lt;/R&gt;&lt;C&gt;1&lt;/C&gt;&lt;D xsi:type="xsd:double"&gt;1.3529929&lt;/D&gt;&lt;/FQL&gt;&lt;FQL&gt;&lt;Q&gt;NVT-US^P_BETA_LOCIDX(45265,45091,,"SPX")&lt;/Q&gt;&lt;R&gt;1&lt;/R&gt;&lt;C&gt;1&lt;/C&gt;&lt;D xsi:type="xsd:double"&gt;1.3564069&lt;/D&gt;&lt;/FQL&gt;&lt;FQL&gt;&lt;Q&gt;NVT-US^P_BETA_LOCIDX(45264,45090,,"SPX")&lt;/Q&gt;&lt;R&gt;1&lt;/R&gt;&lt;C&gt;1&lt;/C&gt;&lt;D xsi:type="xsd:double"&gt;1.3452893&lt;/D&gt;&lt;/FQL&gt;&lt;FQL&gt;&lt;Q&gt;NVT-US^P_BETA_LOCIDX(45261,45089,,"SPX")&lt;/Q&gt;&lt;R&gt;1&lt;/R&gt;&lt;C&gt;1&lt;/C&gt;&lt;D xsi:type="xsd:double"&gt;1.3647324&lt;/D&gt;&lt;/FQL&gt;&lt;FQL&gt;&lt;Q&gt;NVT-US^P_BETA_LOCIDX(45260,45086,,"SPX")&lt;/Q&gt;&lt;R&gt;1&lt;/R&gt;&lt;C&gt;1&lt;/C&gt;&lt;D xsi:type="xsd:double"&gt;1.3572029&lt;/D&gt;&lt;/FQL&gt;&lt;FQL&gt;&lt;Q&gt;NVT-US^P_BETA_LOCIDX(45259,45085,,"SPX")&lt;/Q&gt;&lt;R&gt;1&lt;/R&gt;&lt;C&gt;1&lt;/C&gt;&lt;D xsi:type="xsd:double"&gt;1.3473399&lt;/D&gt;&lt;/FQL&gt;&lt;FQL&gt;&lt;Q&gt;NVT-US^P_BETA_LOCIDX(45258,45084,,"SPX")&lt;/Q&gt;&lt;R&gt;1&lt;/R&gt;&lt;C&gt;1&lt;/C&gt;&lt;D xsi:type="xsd:double"&gt;1.3224311&lt;/D&gt;&lt;/FQL&gt;&lt;FQL&gt;&lt;Q&gt;NVT-US^P_BETA_LOCIDX(45257,45083,,"SPX")&lt;/Q&gt;&lt;R&gt;1&lt;/R&gt;&lt;C&gt;1&lt;/C&gt;&lt;D xsi:type="xsd:double"&gt;1.3280519&lt;/D&gt;&lt;/FQL&gt;&lt;FQL&gt;&lt;Q&gt;NVT-US^P_BETA_LOCIDX(45254,45082,,"SPX")&lt;/Q&gt;&lt;R&gt;1&lt;/R&gt;&lt;C&gt;1&lt;/C&gt;&lt;D xsi:type="xsd:double"&gt;1.3361988&lt;/D&gt;&lt;/FQL&gt;&lt;FQL&gt;&lt;Q&gt;NVT-US^P_BETA_LOCIDX(45252,45079,,"SPX")&lt;/Q&gt;&lt;R&gt;1&lt;/R&gt;&lt;C&gt;1&lt;/C&gt;&lt;D xsi:type="xsd:double"&gt;1.380815&lt;/D&gt;&lt;/FQL&gt;&lt;FQL&gt;&lt;Q&gt;NVT-US^P_BETA_LOCIDX(45251,45078,,"SPX")&lt;/Q&gt;&lt;R&gt;1&lt;/R&gt;&lt;C&gt;1&lt;/C&gt;&lt;D xsi:type="xsd:double"&gt;1.3851452&lt;/D&gt;&lt;/FQL&gt;&lt;FQL&gt;&lt;Q&gt;NVT-US^P_BETA_LOCIDX(45250,45077,,"SPX")&lt;/Q&gt;&lt;R&gt;1&lt;/R&gt;&lt;C&gt;1&lt;/C&gt;&lt;D xsi:type="xsd:double"&gt;1.4093823&lt;/D&gt;&lt;/FQL&gt;&lt;FQL&gt;&lt;Q&gt;NVT-US^P_BETA_LOCIDX(45247,45076,,"SPX")&lt;/Q&gt;&lt;R&gt;1&lt;/R&gt;&lt;C&gt;1&lt;/C&gt;&lt;D xsi:type="xsd:double"&gt;1.4122715&lt;/D&gt;&lt;/FQL&gt;&lt;FQL&gt;&lt;Q&gt;NVT-US^P_BETA_LOCIDX(45246,45072,,"SPX")&lt;/Q&gt;&lt;R&gt;1&lt;/R&gt;&lt;C&gt;1&lt;/C&gt;&lt;D xsi:type="xsd:double"&gt;1.4242501&lt;/D&gt;&lt;/FQL&gt;&lt;FQL&gt;&lt;Q&gt;NVT-US^P_BETA_LOCIDX(45245,45071,,"SPX")&lt;/Q&gt;&lt;R&gt;1&lt;/R&gt;&lt;C&gt;1&lt;/C&gt;&lt;D xsi:type="xsd:double"&gt;1.4817556&lt;/D&gt;&lt;/FQL&gt;&lt;FQL&gt;&lt;Q&gt;NVT-US^P_BETA_LOCIDX(45244,45070,,"SPX")&lt;/Q&gt;&lt;R&gt;1&lt;/R&gt;&lt;C&gt;1&lt;/C&gt;&lt;D xsi:type="xsd:double"&gt;1.4917583&lt;/D&gt;&lt;/FQL&gt;&lt;FQL&gt;&lt;Q&gt;NVT-US^P_BETA_LOCIDX(45243,45069,,"SPX")&lt;/Q&gt;&lt;R&gt;1&lt;/R&gt;&lt;C&gt;1&lt;/C&gt;&lt;D xsi:type="xsd:double"&gt;1.5038842&lt;/D&gt;&lt;/FQL&gt;&lt;FQL&gt;&lt;Q&gt;NVT-US^P_BETA_LOCIDX(45240,45068,,"SPX")&lt;/Q&gt;&lt;R&gt;1&lt;/R&gt;&lt;C&gt;1&lt;/C&gt;&lt;D xsi:type="xsd:double"&gt;1.5038064&lt;/D&gt;&lt;/FQL&gt;&lt;FQL&gt;&lt;Q&gt;NVT-US^P_BETA_LOCIDX(45239,45065,,"SPX")&lt;/Q&gt;&lt;R&gt;1&lt;/R&gt;&lt;C&gt;1&lt;/C&gt;&lt;D xsi:type="xsd:double"&gt;1.4992927&lt;/D&gt;&lt;/FQL&gt;&lt;FQL&gt;&lt;Q&gt;NVT-US^P_BETA_LOCIDX(45238,45064,,"SPX")&lt;/Q&gt;&lt;R&gt;1&lt;/R&gt;&lt;C&gt;1&lt;/C&gt;&lt;D xsi:type="xsd:double"&gt;1.5177335&lt;/D&gt;&lt;/FQL&gt;&lt;FQL&gt;&lt;Q&gt;NVT-US^P_BETA_LOCIDX(45237,45063,,"SPX")&lt;/Q&gt;&lt;R&gt;1&lt;/R&gt;&lt;C&gt;1&lt;/C&gt;&lt;D xsi:type="xsd:double"&gt;1.5191001&lt;/D&gt;&lt;/FQL&gt;&lt;FQL&gt;&lt;Q&gt;NVT-US^P_BETA_LOCIDX(45236,45062,,"SPX")&lt;/Q&gt;&lt;R&gt;1&lt;/R&gt;&lt;C&gt;1&lt;/C&gt;&lt;D xsi:type="xsd:double"&gt;1.533894&lt;/D&gt;&lt;/FQL&gt;&lt;FQL&gt;&lt;Q&gt;NVT-US^P_BETA_LOCIDX(45233,45061,,"SPX")&lt;/Q&gt;&lt;R&gt;1&lt;/R&gt;&lt;C&gt;1&lt;/C&gt;&lt;D xsi:type="xsd:double"&gt;1.5345902&lt;/D&gt;&lt;/FQL&gt;&lt;FQL&gt;&lt;Q&gt;NVT-US^P_BETA_LOCIDX(45232,45058,,"SPX")&lt;/Q&gt;&lt;R&gt;1&lt;/R&gt;&lt;C&gt;1&lt;/C&gt;&lt;D xsi:type="xsd:double"&gt;1.5421984&lt;/D&gt;&lt;/FQL&gt;&lt;FQL&gt;&lt;Q&gt;NVT-US^P_BETA_LOCIDX(45231,45057,,"SPX")&lt;/Q&gt;&lt;R&gt;1&lt;/R&gt;&lt;C&gt;1&lt;/C&gt;&lt;D xsi:type="xsd:double"&gt;1.6257638&lt;/D&gt;&lt;/FQL&gt;&lt;FQL&gt;&lt;Q&gt;NVT-US^P_BETA_LOCIDX(45230,45056,,"SPX")&lt;/Q&gt;&lt;R&gt;1&lt;/R&gt;&lt;C&gt;1&lt;/C&gt;&lt;D xsi:type="xsd:double"&gt;1.6075251&lt;/D&gt;&lt;/FQL&gt;&lt;FQL&gt;&lt;Q&gt;NVT-US^P_BETA_LOCIDX(45229,45055,,"SPX")&lt;/Q&gt;&lt;R&gt;1&lt;/R&gt;&lt;C&gt;1&lt;/C&gt;&lt;D xsi:type="xsd:double"&gt;1.6009755&lt;/D&gt;&lt;/FQL&gt;&lt;FQL&gt;&lt;Q&gt;NVT-US^P_BETA_LOCIDX(45226,45054,,"SPX")&lt;/Q&gt;&lt;R&gt;1&lt;/R&gt;&lt;C&gt;1&lt;/C&gt;&lt;D xsi:type="xsd:double"&gt;1.5627362&lt;/D&gt;&lt;/FQL&gt;&lt;FQL&gt;&lt;Q&gt;NVT-US^P_BETA_LOCIDX(45225,45051,,"SPX")&lt;/Q&gt;&lt;R&gt;1&lt;/R&gt;&lt;C&gt;1&lt;/C&gt;&lt;D xsi:type="xsd:double"&gt;1.5322727&lt;/D&gt;&lt;/FQL&gt;&lt;FQL&gt;&lt;Q&gt;NVT-US^P_BETA_LOCIDX(45224,45050,,"SPX")&lt;/Q&gt;&lt;R&gt;1&lt;/R&gt;&lt;C&gt;1&lt;/C&gt;&lt;D xsi:type="xsd:double"&gt;1.6007268&lt;/D&gt;&lt;/FQL&gt;&lt;FQL&gt;&lt;Q&gt;NVT-US^P_BETA_LOCIDX(45223,45049,,"SPX")&lt;/Q&gt;&lt;R&gt;1&lt;/R&gt;&lt;C&gt;1&lt;/C&gt;&lt;D xsi:type="xsd:double"&gt;1.6064807&lt;/D&gt;&lt;/FQL&gt;&lt;FQL&gt;&lt;Q&gt;NVT-US^P_BETA_LOCIDX(45222,45048,,"SPX")&lt;/Q&gt;&lt;R&gt;1&lt;/R&gt;&lt;C&gt;1&lt;/C&gt;&lt;D xsi:type="xsd:double"&gt;1.5888515&lt;/D&gt;&lt;/FQL&gt;&lt;FQL&gt;&lt;Q&gt;NVT-US^P_BETA_LOCIDX(45219,45047,,"SPX")&lt;/Q&gt;&lt;R&gt;1&lt;/R&gt;&lt;C&gt;1&lt;/C&gt;&lt;D xsi:type="xsd:double"&gt;1.5882754&lt;/D&gt;&lt;/FQL&gt;&lt;FQL&gt;&lt;Q&gt;NVT-US^P_BETA_LOCIDX(45218,45044,,"SPX")&lt;/Q&gt;&lt;R&gt;1&lt;/R&gt;&lt;C&gt;1&lt;/C&gt;&lt;D xsi:type="xsd:double"&gt;1.5220381&lt;/D&gt;&lt;/FQL&gt;&lt;FQL&gt;&lt;Q&gt;NVT-US^P_BETA_LOCIDX(45217,45043,,"SPX")&lt;/Q&gt;&lt;R&gt;1&lt;/R&gt;&lt;C&gt;1&lt;/C&gt;&lt;D xsi:type="xsd:double"&gt;1.4992805&lt;/D&gt;&lt;/FQL&gt;&lt;FQL&gt;&lt;Q&gt;NVT-US^P_BETA_LOCIDX(45216,45042,,"SPX")&lt;/Q&gt;&lt;R&gt;1&lt;/R&gt;&lt;C&gt;1&lt;/C&gt;&lt;D xsi:type="xsd:double"&gt;1.4320799&lt;/D&gt;&lt;/FQL&gt;&lt;FQL&gt;&lt;Q&gt;NVT-US^P_BETA_LOCIDX(45215,45041,,"SPX")&lt;/Q&gt;&lt;R&gt;1&lt;/R&gt;&lt;C&gt;1&lt;/C&gt;&lt;D xsi:type="xsd:double"&gt;1.3973663&lt;/D&gt;&lt;/FQL&gt;&lt;FQL&gt;&lt;Q&gt;NVT-US^P_BETA_LOCIDX(45212,45040,,"SPX")&lt;/Q&gt;&lt;R&gt;1&lt;/R&gt;&lt;C&gt;1&lt;/C&gt;&lt;D xsi:type="xsd:double"&gt;1.395863&lt;/D&gt;&lt;/FQL&gt;&lt;FQL&gt;&lt;Q&gt;NVT-US^P_BETA_LOCIDX(45211,45037,,"SPX")&lt;/Q&gt;&lt;R&gt;1&lt;/R&gt;&lt;C&gt;1&lt;/C&gt;&lt;D xsi:type="xsd:double"&gt;1.3470764&lt;/D&gt;&lt;/FQL&gt;&lt;FQL&gt;&lt;Q&gt;NVT-US^P_BETA_LOCIDX(45210,45036,,"SPX")&lt;/Q&gt;&lt;R&gt;1&lt;/R&gt;&lt;C&gt;1&lt;/C&gt;&lt;D xsi:type="xsd:double"&gt;1.3504771&lt;/D&gt;&lt;/FQL&gt;&lt;FQL&gt;&lt;Q&gt;NVT-US^P_BETA_LOCIDX(45209,45035,,"SPX")&lt;/Q&gt;&lt;R&gt;1&lt;/R&gt;&lt;C&gt;1&lt;/C&gt;&lt;D xsi:type="xsd:double"&gt;1.3379225&lt;/D&gt;&lt;/FQL&gt;&lt;FQL&gt;&lt;Q&gt;NVT-US^P_BETA_LOCIDX(45208,45034,,"SPX")&lt;/Q&gt;&lt;R&gt;1&lt;/R&gt;&lt;C&gt;1&lt;/C&gt;&lt;D xsi:type="xsd:double"&gt;1.3461109&lt;/D&gt;&lt;/FQL&gt;&lt;FQL&gt;&lt;Q&gt;NVT-US^P_BETA_LOCIDX(45205,45033,,"SPX")&lt;/Q&gt;&lt;R&gt;1&lt;/R&gt;&lt;C&gt;1&lt;/C&gt;&lt;D xsi:type="xsd:double"&gt;1.3533045&lt;/D&gt;&lt;/FQL&gt;&lt;FQL&gt;&lt;Q&gt;NVT-US^P_BETA_LOCIDX(45204,45030,,"SPX")&lt;/Q&gt;&lt;R&gt;1&lt;/R&gt;&lt;C&gt;1&lt;/C&gt;&lt;D xsi:type="xsd:double"&gt;1.3204578&lt;/D&gt;&lt;/FQL&gt;&lt;FQL&gt;&lt;Q&gt;NVT-US^P_BETA_LOCIDX(45203,45029,,"SPX")&lt;/Q&gt;&lt;R&gt;1&lt;/R&gt;&lt;C&gt;1&lt;/C&gt;&lt;D xsi:type="xsd:double"&gt;1.2730416&lt;/D&gt;&lt;/FQL&gt;&lt;FQL&gt;&lt;Q&gt;NVT-US^P_BETA_LOCIDX(45202,45028,,"SPX")&lt;/Q&gt;&lt;R&gt;1&lt;/R&gt;&lt;C&gt;1&lt;/C&gt;&lt;D xsi:type="xsd:double"&gt;1.2635804&lt;/D&gt;&lt;/FQL&gt;&lt;FQL&gt;&lt;Q&gt;NVT-US^P_BETA_LOCIDX(45201,45027,,"SPX")&lt;/Q&gt;&lt;R&gt;1&lt;/R&gt;&lt;C&gt;1&lt;/C&gt;&lt;D xsi:type="xsd:double"&gt;1.2843416&lt;/D&gt;&lt;/FQL&gt;&lt;FQL&gt;&lt;Q&gt;NVT-US^P_BETA_LOCIDX(45198,45026,,"SPX")&lt;/Q&gt;&lt;R&gt;1&lt;/R&gt;&lt;C&gt;1&lt;/C&gt;&lt;D xsi:type="xsd:double"&gt;1.2839483&lt;/D&gt;&lt;/FQL&gt;&lt;FQL&gt;&lt;Q&gt;NVT-US^P_BETA_LOCIDX(45197,45022,,"SPX")&lt;/Q&gt;&lt;R&gt;1&lt;/R&gt;&lt;C&gt;1&lt;/C&gt;&lt;D xsi:type="xsd:double"&gt;1.2801467&lt;/D&gt;&lt;/FQL&gt;&lt;FQL&gt;&lt;Q&gt;NVT-US^P_BETA_LOCIDX(45196,45021,,"SPX")&lt;/Q&gt;&lt;R&gt;1&lt;/R&gt;&lt;C&gt;1&lt;/C&gt;&lt;D xsi:type="xsd:double"&gt;1.2804452&lt;/D&gt;&lt;/FQL&gt;&lt;FQL&gt;&lt;Q&gt;NVT-US^P_BETA_LOCIDX(45195,45020,,"SPX")&lt;/Q&gt;&lt;R&gt;1&lt;/R&gt;&lt;C&gt;1&lt;/C&gt;&lt;D xsi:type="xsd:double"&gt;1.337984&lt;/D&gt;&lt;/FQL&gt;&lt;FQL&gt;&lt;Q&gt;NVT-US^P_BETA_LOCIDX(45194,45019,,"SPX")&lt;/Q&gt;&lt;R&gt;1&lt;/R&gt;&lt;C&gt;1&lt;/C&gt;&lt;D xsi:type="xsd:double"&gt;1.3229198&lt;/D&gt;&lt;/FQL&gt;&lt;FQL&gt;&lt;Q&gt;NVT-US^P_BETA_LOCIDX(45191,45016,,"SPX")&lt;/Q&gt;&lt;R&gt;1&lt;/R&gt;&lt;C&gt;1&lt;/C&gt;&lt;D xsi:type="xsd:double"&gt;1.3128636&lt;/D&gt;&lt;/FQL&gt;&lt;FQL&gt;&lt;Q&gt;NVT-US^P_BETA_LOCIDX(45190,45015,,"SPX")&lt;/Q&gt;&lt;R&gt;1&lt;/R&gt;&lt;C&gt;1&lt;/C&gt;&lt;D xsi:type="xsd:double"&gt;1.30938&lt;/D&gt;&lt;/FQL&gt;&lt;FQL&gt;&lt;Q&gt;NVT-US^P_BETA_LOCIDX(45189,45014,,"SPX")&lt;/Q&gt;&lt;R&gt;1&lt;/R&gt;&lt;C&gt;1&lt;/C&gt;&lt;D xsi:type="xsd:double"&gt;1.2774069&lt;/D&gt;&lt;/FQL&gt;&lt;FQL&gt;&lt;Q&gt;NVT-US^P_BETA_LOCIDX(45188,45013,,"SPX")&lt;/Q&gt;&lt;R&gt;1&lt;/R&gt;&lt;C&gt;1&lt;/C&gt;&lt;D xsi:type="xsd:double"&gt;1.2755564&lt;/D&gt;&lt;/FQL&gt;&lt;FQL&gt;&lt;Q&gt;NVT-US^P_BETA_LOCIDX(45187,45012,,"SPX")&lt;/Q&gt;&lt;R&gt;1&lt;/R&gt;&lt;C&gt;1&lt;/C&gt;&lt;D xsi:type="xsd:double"&gt;1.2693566&lt;/D&gt;&lt;/FQL&gt;&lt;FQL&gt;&lt;Q&gt;NVT-US^P_BETA_LOCIDX(45184,45009,,"SPX")&lt;/Q&gt;&lt;R&gt;1&lt;/R&gt;&lt;C&gt;1&lt;/C&gt;&lt;D xsi:type="xsd:double"&gt;1.2607175&lt;/D&gt;&lt;/FQL&gt;&lt;FQL&gt;&lt;Q&gt;NVT-US^P_BETA_LOCIDX(45183,45008,,"SPX")&lt;/Q&gt;&lt;R&gt;1&lt;/R&gt;&lt;C&gt;1&lt;/C&gt;&lt;D xsi:type="xsd:double"&gt;1.2402349&lt;/D&gt;&lt;/FQL&gt;&lt;FQL&gt;&lt;Q&gt;NVT-US^P_BETA_LOCIDX(45182,45007,,"SPX")&lt;/Q&gt;&lt;R&gt;1&lt;/R&gt;&lt;C&gt;1&lt;/C&gt;&lt;D xsi:type="xsd:double"&gt;1.2489978&lt;/D&gt;&lt;/FQL&gt;&lt;FQL&gt;&lt;Q&gt;NVT-US^P_BETA_LOCIDX(45181,45006,,"SPX")&lt;/Q&gt;&lt;R&gt;1&lt;/R&gt;&lt;C&gt;1&lt;/C&gt;&lt;D xsi:type="xsd:double"&gt;1.2464992&lt;/D&gt;&lt;/FQL&gt;&lt;FQL&gt;&lt;Q&gt;NVT-US^P_BETA_LOCIDX(45180,45005,,"SPX")&lt;/Q&gt;&lt;R&gt;1&lt;/R&gt;&lt;C&gt;1&lt;/C&gt;&lt;D xsi:type="xsd:double"&gt;1.2428966&lt;/D&gt;&lt;/FQL&gt;&lt;FQL&gt;&lt;Q&gt;NVT-US^P_BETA_LOCIDX(45177,45002,,"SPX")&lt;/Q&gt;&lt;R&gt;1&lt;/R&gt;&lt;C&gt;1&lt;/C&gt;&lt;D xsi:type="xsd:double"&gt;1.2720156&lt;/D&gt;&lt;/FQL&gt;&lt;FQL&gt;&lt;Q&gt;NVT-US^P_BETA_LOCIDX(45176,45001,,"SPX")&lt;/Q&gt;&lt;R&gt;1&lt;/R&gt;&lt;C&gt;1&lt;/C&gt;&lt;D xsi:type="xsd:double"&gt;1.2892787&lt;/D&gt;&lt;/FQL&gt;&lt;FQL&gt;&lt;Q&gt;NVT-US^P_BETA_LOCIDX(45175,45000,,"SPX")&lt;/Q&gt;&lt;R&gt;1&lt;/R&gt;&lt;C&gt;1&lt;/C&gt;&lt;D xsi:type="xsd:double"&gt;1.3819816&lt;/D&gt;&lt;/FQL&gt;&lt;FQL&gt;&lt;Q&gt;NVT-US^P_BETA_LOCIDX(45174,44999,,"SPX")&lt;/Q&gt;&lt;R&gt;1&lt;/R&gt;&lt;C&gt;1&lt;/C&gt;&lt;D xsi:type="xsd:double"&gt;1.4444441&lt;/D&gt;&lt;/FQL&gt;&lt;FQL&gt;&lt;Q&gt;NVT-US^P_BETA_LOCIDX(45170,44998,,"SPX")&lt;/Q&gt;&lt;R&gt;1&lt;/R&gt;&lt;C&gt;1&lt;/C&gt;&lt;D xsi:type="xsd:double"&gt;1.4323155&lt;/D&gt;&lt;/FQL&gt;&lt;FQL&gt;&lt;Q&gt;NVT-US^P_BETA_LOCIDX(45169,44995,,"SPX")&lt;/Q&gt;&lt;R&gt;1&lt;/R&gt;&lt;C&gt;1&lt;/C&gt;&lt;D xsi:type="xsd:double"&gt;1.4509424&lt;/D&gt;&lt;/FQL&gt;&lt;FQL&gt;&lt;Q&gt;NVT-US^P_BETA_LOCIDX(45168,44994,,"SPX")&lt;/Q&gt;&lt;R&gt;1&lt;/R&gt;&lt;C&gt;1&lt;/C&gt;&lt;D xsi:type="xsd:double"&gt;1.4565598&lt;/D&gt;&lt;/FQL&gt;&lt;FQL&gt;&lt;Q&gt;NVT-US^P_BETA_LOCIDX(45167,44993,,"SPX")&lt;/Q&gt;&lt;R&gt;1&lt;/R&gt;&lt;C&gt;1&lt;/C&gt;&lt;D xsi:type="xsd:double"&gt;1.4557936&lt;/D&gt;&lt;/FQL&gt;&lt;FQL&gt;&lt;Q&gt;NVT-US^P_BETA_LOCIDX(45166,44992,,"SPX")&lt;/Q&gt;&lt;R&gt;1&lt;/R&gt;&lt;C&gt;1&lt;/C&gt;&lt;D xsi:type="xsd:double"&gt;1.4139575&lt;/D&gt;&lt;/FQL&gt;&lt;FQL&gt;&lt;Q&gt;NVT-US^P_BETA_LOCIDX(45163,44991,,"SPX")&lt;/Q&gt;&lt;R&gt;1&lt;/R&gt;&lt;C&gt;1&lt;/C&gt;&lt;D xsi:type="xsd:double"&gt;1.4097981&lt;/D&gt;&lt;/FQL&gt;&lt;FQL&gt;&lt;Q&gt;NVT-US^P_BETA_LOCIDX(45162,44988,,"SPX")&lt;/Q&gt;&lt;R&gt;1&lt;/R&gt;&lt;C&gt;1&lt;/C&gt;&lt;D xsi:type="xsd:double"&gt;1.372651&lt;/D&gt;&lt;/FQL&gt;&lt;FQL&gt;&lt;Q&gt;NVT-US^P_BETA_LOCIDX(45161,44987,,"SPX")&lt;/Q&gt;&lt;R&gt;1&lt;/R&gt;&lt;C&gt;1&lt;/C&gt;&lt;D xsi:type="xsd:double"&gt;1.3926502&lt;/D&gt;&lt;/FQL&gt;&lt;FQL&gt;&lt;Q&gt;NVT-US^P_BETA_LOCIDX(45160,44986,,"SPX")&lt;/Q&gt;&lt;R&gt;1&lt;/R&gt;&lt;C&gt;1&lt;/C&gt;&lt;D xsi:type="xsd:double"&gt;1.3706325&lt;/D&gt;&lt;/FQL&gt;&lt;FQL&gt;&lt;Q&gt;NVT-US^P_BETA_LOCIDX(45159,44985,,"SPX")&lt;/Q&gt;&lt;R&gt;1&lt;/R&gt;&lt;C&gt;1&lt;/C&gt;&lt;D xsi:type="xsd:double"&gt;1.3633152&lt;/D&gt;&lt;/FQL&gt;&lt;FQL&gt;&lt;Q&gt;NVT-US^P_BETA_LOCIDX(45156,44984,,"SPX")&lt;/Q&gt;&lt;R&gt;1&lt;/R&gt;&lt;C&gt;1&lt;/C&gt;&lt;D xsi:type="xsd:double"&gt;1.3575045&lt;/D&gt;&lt;/FQL&gt;&lt;FQL&gt;&lt;Q&gt;NVT-US^P_BETA_LOCIDX(45155,44981,,"SPX")&lt;/Q&gt;&lt;R&gt;1&lt;/R&gt;&lt;C&gt;1&lt;/C&gt;&lt;D xsi:type="xsd:double"&gt;1.340666&lt;/D&gt;&lt;/FQL&gt;&lt;FQL&gt;&lt;Q&gt;NVT-US^P_BETA_LOCIDX(45154,44980,,"SPX")&lt;/Q&gt;&lt;R&gt;1&lt;/R&gt;&lt;C&gt;1&lt;/C&gt;&lt;D xsi:type="xsd:double"&gt;1.3383918&lt;/D&gt;&lt;/FQL&gt;&lt;FQL&gt;&lt;Q&gt;NVT-US^P_BETA_LOCIDX(45153,44979,,"SPX")&lt;/Q&gt;&lt;R&gt;1&lt;/R&gt;&lt;C&gt;1&lt;/C&gt;&lt;D xsi:type="xsd:double"&gt;1.3252997&lt;/D&gt;&lt;/FQL&gt;&lt;FQL&gt;&lt;Q&gt;NVT-US^P_BETA_LOCIDX(45152,44978,,"SPX")&lt;/Q&gt;&lt;R&gt;1&lt;/R&gt;&lt;C&gt;1&lt;/C&gt;&lt;D xsi:type="xsd:double"&gt;1.3078878&lt;/D&gt;&lt;/FQL&gt;&lt;FQL&gt;&lt;Q&gt;NVT-US^P_BETA_LOCIDX(45149,44974,,"SPX")&lt;/Q&gt;&lt;R&gt;1&lt;/R&gt;&lt;C&gt;1&lt;/C&gt;&lt;D xsi:type="xsd:double"&gt;1.3028417&lt;/D&gt;&lt;/FQL&gt;&lt;FQL&gt;&lt;Q&gt;NVT-US^P_BETA_LOCIDX(45148,44973,,"SPX")&lt;/Q&gt;&lt;R&gt;1&lt;/R&gt;&lt;C&gt;1&lt;/C&gt;&lt;D xsi:type="xsd:double"&gt;1.2676991&lt;/D&gt;&lt;/FQL&gt;&lt;FQL&gt;&lt;Q&gt;NVT-US^P_BETA_LOCIDX(45147,44972,,"SPX")&lt;/Q&gt;&lt;R&gt;1&lt;/R&gt;&lt;C&gt;1&lt;/C&gt;&lt;D xsi:type="xsd:double"&gt;1.2660613&lt;/D&gt;&lt;/FQL&gt;&lt;FQL&gt;&lt;Q&gt;NVT-US^P_BETA_LOCIDX(45146,44971,,"SPX")&lt;/Q&gt;&lt;R&gt;1&lt;/R&gt;&lt;C&gt;1&lt;/C&gt;&lt;D xsi:type="xsd:double"&gt;1.2578238&lt;/D&gt;&lt;/FQL&gt;&lt;FQL&gt;&lt;Q&gt;NVT-US^P_BETA_LOCIDX(45145,44970,,"SPX")&lt;/Q&gt;&lt;R&gt;1&lt;/R&gt;&lt;C&gt;1&lt;/C&gt;&lt;D xsi:type="xsd:double"&gt;1.2622117&lt;/D&gt;&lt;/FQL&gt;&lt;FQL&gt;&lt;Q&gt;NVT-US^P_BETA_LOCIDX(45142,44967,,"SPX")&lt;/Q&gt;&lt;R&gt;1&lt;/R&gt;&lt;C&gt;1&lt;/C&gt;&lt;D xsi:type="xsd:double"&gt;1.2560488&lt;/D&gt;&lt;/FQL&gt;&lt;FQL&gt;&lt;Q&gt;NVT-US^P_BETA_LOCIDX(45141,44966,,"SPX")&lt;/Q&gt;&lt;R&gt;1&lt;/R&gt;&lt;C&gt;1&lt;/C&gt;&lt;D xsi:type="xsd:double"&gt;1.2395492&lt;/D&gt;&lt;/FQL&gt;&lt;FQL&gt;&lt;Q&gt;NVT-US^P_BETA_LOCIDX(45140,44965,,"SPX")&lt;/Q&gt;&lt;R&gt;1&lt;/R&gt;&lt;C&gt;1&lt;/C&gt;&lt;D xsi:type="xsd:double"&gt;1.1734127&lt;/D&gt;&lt;/FQL&gt;&lt;FQL&gt;&lt;Q&gt;NVT-US^P_BETA_LOCIDX(45139,44964,,"SPX")&lt;/Q&gt;&lt;R&gt;1&lt;/R&gt;&lt;C&gt;1&lt;/C&gt;&lt;D xsi:type="xsd:double"&gt;1.3346286&lt;/D&gt;&lt;/FQL&gt;&lt;FQL&gt;&lt;Q&gt;NVT-US^P_BETA_LOCIDX(45138,44963,,"SPX")&lt;/Q&gt;&lt;R&gt;1&lt;/R&gt;&lt;C&gt;1&lt;/C&gt;&lt;D xsi:type="xsd:double"&gt;1.3403596&lt;/D&gt;&lt;/FQL&gt;&lt;FQL&gt;&lt;Q&gt;NVT-US^P_BETA_LOCIDX(45135,44960,,"SPX")&lt;/Q&gt;&lt;R&gt;1&lt;/R&gt;&lt;C&gt;1&lt;/C&gt;&lt;D xsi:type="xsd:double"&gt;1.2940382&lt;/D&gt;&lt;/FQL&gt;&lt;FQL&gt;&lt;Q&gt;NVT-US^P_BETA_LOCIDX(45134,44959,,"SPX")&lt;/Q&gt;&lt;R&gt;1&lt;/R&gt;&lt;C&gt;1&lt;/C&gt;&lt;D xsi:type="xsd:double"&gt;1.2418778&lt;/D&gt;&lt;/FQL&gt;&lt;FQL&gt;&lt;Q&gt;NVT-US^P_BETA_LOCIDX(45133,44958,,"SPX")&lt;/Q&gt;&lt;R&gt;1&lt;/R&gt;&lt;C&gt;1&lt;/C&gt;&lt;D xsi:type="xsd:double"&gt;1.2327591&lt;/D&gt;&lt;/FQL&gt;&lt;FQL&gt;&lt;Q&gt;NVT-US^P_BETA_LOCIDX(45132,44957,,"SPX")&lt;/Q&gt;&lt;R&gt;1&lt;/R&gt;&lt;C&gt;1&lt;/C&gt;&lt;D xsi:type="xsd:double"&gt;1.2311323&lt;/D&gt;&lt;/FQL&gt;&lt;FQL&gt;&lt;Q&gt;NVT-US^P_BETA_LOCIDX(45131,44956,,"SPX")&lt;/Q&gt;&lt;R&gt;1&lt;/R&gt;&lt;C&gt;1&lt;/C&gt;&lt;D xsi:type="xsd:double"&gt;1.2113879&lt;/D&gt;&lt;/FQL&gt;&lt;FQL&gt;&lt;Q&gt;NVT-US^P_BETA_LOCIDX(45128,44953,,"SPX")&lt;/Q&gt;&lt;R&gt;1&lt;/R&gt;&lt;C&gt;1&lt;/C&gt;&lt;D xsi:type="xsd:double"&gt;1.2144755&lt;/D&gt;&lt;/FQL&gt;&lt;FQL&gt;&lt;Q&gt;NVT-US^P_BETA_LOCIDX(45127,44952,,"SPX")&lt;/Q&gt;&lt;R&gt;1&lt;/R&gt;&lt;C&gt;1&lt;/C&gt;&lt;D xsi:type="xsd:double"&gt;1.2031573&lt;/D&gt;&lt;/FQL&gt;&lt;FQL&gt;&lt;Q&gt;NVT-US^P_BETA_LOCIDX(45126,44951,,"SPX")&lt;/Q&gt;&lt;R&gt;1&lt;/R&gt;&lt;C&gt;1&lt;/C&gt;&lt;D xsi:type="xsd:double"&gt;1.1967119&lt;/D&gt;&lt;/FQL&gt;&lt;FQL&gt;&lt;Q&gt;NVT-US^P_BETA_LOCIDX(45125,44950,,"SPX")&lt;/Q&gt;&lt;R&gt;1&lt;/R&gt;&lt;C&gt;1&lt;/C&gt;&lt;D xsi:type="xsd:double"&gt;1.1994987&lt;/D&gt;&lt;/FQL&gt;&lt;FQL&gt;&lt;Q&gt;NVT-US^P_BETA_LOCIDX(45124,44949,,"SPX")&lt;/Q&gt;&lt;R&gt;1&lt;/R&gt;&lt;C&gt;1&lt;/C&gt;&lt;D xsi:type="xsd:double"&gt;1.1615195&lt;/D&gt;&lt;/FQL&gt;&lt;FQL&gt;&lt;Q&gt;NVT-US^P_BETA_LOCIDX(45121,44946,,"SPX")&lt;/Q&gt;&lt;R&gt;1&lt;/R&gt;&lt;C&gt;1&lt;/C&gt;&lt;D xsi:type="xsd:double"&gt;1.1358415&lt;/D&gt;&lt;/FQL&gt;&lt;FQL&gt;&lt;Q&gt;NVT-US^P_BETA_LOCIDX(45120,44945,,"SPX")&lt;/Q&gt;&lt;R&gt;1&lt;/R&gt;&lt;C&gt;1&lt;/C&gt;&lt;D xsi:type="xsd:double"&gt;1.1488123&lt;/D&gt;&lt;/FQL&gt;&lt;FQL&gt;&lt;Q&gt;NVT-US^P_BETA_LOCIDX(45119,44944,,"SPX")&lt;/Q&gt;&lt;R&gt;1&lt;/R&gt;&lt;C&gt;1&lt;/C&gt;&lt;D xsi:type="xsd:double"&gt;1.1421422&lt;/D&gt;&lt;/FQL&gt;&lt;FQL&gt;&lt;Q&gt;NVT-US^P_BETA_LOCIDX(45118,44943,,"SPX")&lt;/Q&gt;&lt;R&gt;1&lt;/R&gt;&lt;C&gt;1&lt;/C&gt;&lt;D xsi:type="xsd:double"&gt;1.143515&lt;/D&gt;&lt;/FQL&gt;&lt;FQL&gt;&lt;Q&gt;NVT-US^P_BETA_LOCIDX(45117,44939,,"SPX")&lt;/Q&gt;&lt;R&gt;1&lt;/R&gt;&lt;C&gt;1&lt;/C&gt;&lt;D xsi:type="xsd:double"&gt;1.1471357&lt;/D&gt;&lt;/FQL&gt;&lt;FQL&gt;&lt;Q&gt;NVT-US^P_BETA_LOCIDX(45114,44938,,"SPX")&lt;/Q&gt;&lt;R&gt;1&lt;/R&gt;&lt;C&gt;1&lt;/C&gt;&lt;D xsi:type="xsd:double"&gt;1.1455122&lt;/D&gt;&lt;/FQL&gt;&lt;FQL&gt;&lt;Q&gt;NVT-US^P_BETA_LOCIDX(45113,44937,,"SPX")&lt;/Q&gt;&lt;R&gt;1&lt;/R&gt;&lt;C&gt;1&lt;/C&gt;&lt;D xsi:type="xsd:double"&gt;1.137787&lt;/D&gt;&lt;/FQL&gt;&lt;FQL&gt;&lt;Q&gt;NVT-US^P_BETA_LOCIDX(45112,44936,,"SPX")&lt;/Q&gt;&lt;R&gt;1&lt;/R&gt;&lt;C&gt;1&lt;/C&gt;&lt;D xsi:type="xsd:double"&gt;1.1289551&lt;/D&gt;&lt;/FQL&gt;&lt;FQL&gt;&lt;Q&gt;NVT-US^P_BETA_LOCIDX(45110,44935,,"SPX")&lt;/Q&gt;&lt;R&gt;1&lt;/R&gt;&lt;C&gt;1&lt;/C&gt;&lt;D xsi:type="xsd:double"&gt;1.1223985&lt;/D&gt;&lt;/FQL&gt;&lt;FQL&gt;&lt;Q&gt;NVT-US^P_BETA_LOCIDX(45107,44932,,"SPX")&lt;/Q&gt;&lt;R&gt;1&lt;/R&gt;&lt;C&gt;1&lt;/C&gt;&lt;D xsi:type="xsd:double"&gt;1.1226009&lt;/D&gt;&lt;/FQL&gt;&lt;FQL&gt;&lt;Q&gt;NVT-US^P_BETA_LOCIDX(45106,44931,,"SPX")&lt;/Q&gt;&lt;R&gt;1&lt;/R&gt;&lt;C&gt;1&lt;/C&gt;&lt;D xsi:type="xsd:double"&gt;1.1338165&lt;/D&gt;&lt;/FQL&gt;&lt;FQL&gt;&lt;Q&gt;NVT-US^P_BETA_LOCIDX(45105,44930,,"SPX")&lt;/Q&gt;&lt;R&gt;1&lt;/R&gt;&lt;C&gt;1&lt;/C&gt;&lt;D xsi:type="xsd:double"&gt;1.1357074&lt;/D&gt;&lt;/FQL&gt;&lt;FQL&gt;&lt;Q&gt;NVT-US^P_BETA_LOCIDX(45104,44929,,"SPX")&lt;/Q&gt;&lt;R&gt;1&lt;/R&gt;&lt;C&gt;1&lt;/C&gt;&lt;D xsi:type="xsd:double"&gt;1.1390368&lt;/D&gt;&lt;/FQL&gt;&lt;FQL&gt;&lt;Q&gt;NVT-US^P_BETA_LOCIDX(45103,44925,,"SPX")&lt;/Q&gt;&lt;R&gt;1&lt;/R&gt;&lt;C&gt;1&lt;/C&gt;&lt;D xsi:type="xsd:double"&gt;1.1295573&lt;/D&gt;&lt;/FQL&gt;&lt;FQL&gt;&lt;Q&gt;NVT-US^P_BETA_LOCIDX(45100,44924,,"SPX")&lt;/Q&gt;&lt;R&gt;1&lt;/R&gt;&lt;C&gt;1&lt;/C&gt;&lt;D xsi:type="xsd:double"&gt;1.1337667&lt;/D&gt;&lt;/FQL&gt;&lt;FQL&gt;&lt;Q&gt;NVT-US^P_BETA_LOCIDX(45099,44923,,"SPX")&lt;/Q&gt;&lt;R&gt;1&lt;/R&gt;&lt;C&gt;1&lt;/C&gt;&lt;D xsi:type="xsd:double"&gt;1.1494924&lt;/D&gt;&lt;/FQL&gt;&lt;FQL&gt;&lt;Q&gt;NVT-US^P_BETA_LOCIDX(45098,44922,,"SPX")&lt;/Q&gt;&lt;R&gt;1&lt;/R&gt;&lt;C&gt;1&lt;/C&gt;&lt;D xsi:type="xsd:double"&gt;1.1471273&lt;/D&gt;&lt;/FQL&gt;&lt;FQL&gt;&lt;Q&gt;NVT-US^P_BETA_LOCIDX(45097,44918,,"SPX")&lt;/Q&gt;&lt;R&gt;1&lt;/R&gt;&lt;C&gt;1&lt;/C&gt;&lt;D xsi:type="xsd:double"&gt;1.1518888&lt;/D&gt;&lt;/FQL&gt;&lt;FQL&gt;&lt;Q&gt;NVT-US^P_BETA_LOCIDX(45093,44917,,"SPX")&lt;/Q&gt;&lt;R&gt;1&lt;/R&gt;&lt;C&gt;1&lt;/C&gt;&lt;D xsi:type="xsd:double"&gt;1.157524&lt;/D&gt;&lt;/FQL&gt;&lt;FQL&gt;&lt;Q&gt;NVT-US^P_BETA_LOCIDX(45092,44916,,"SPX")&lt;/Q&gt;&lt;R&gt;1&lt;/R&gt;&lt;C&gt;1&lt;/C&gt;&lt;D xsi:type="xsd:double"&gt;1.1642748&lt;/D&gt;&lt;/FQL&gt;&lt;FQL&gt;&lt;Q&gt;NVT-US^P_BETA_LOCIDX(45091,44915,,"SPX")&lt;/Q&gt;&lt;R&gt;1&lt;/R&gt;&lt;C&gt;1&lt;/C&gt;&lt;D xsi:type="xsd:double"&gt;1.1728231&lt;/D&gt;&lt;/FQL&gt;&lt;FQL&gt;&lt;Q&gt;NVT-US^P_BETA_LOCIDX(45090,44914,,"SPX")&lt;/Q&gt;&lt;R&gt;1&lt;/R&gt;&lt;C&gt;1&lt;/C&gt;&lt;D xsi:type="xsd:double"&gt;1.157908&lt;/D&gt;&lt;/FQL&gt;&lt;FQL&gt;&lt;Q&gt;NVT-US^P_BETA_LOCIDX(45089,44911,,"SPX")&lt;/Q&gt;&lt;R&gt;1&lt;/R&gt;&lt;C&gt;1&lt;/C&gt;&lt;D xsi:type="xsd:double"&gt;1.1655203&lt;/D&gt;&lt;/FQL&gt;&lt;FQL&gt;&lt;Q&gt;NVT-US^P_BETA_LOCIDX(45086,44910,,"SPX")&lt;/Q&gt;&lt;R&gt;1&lt;/R&gt;&lt;C&gt;1&lt;/C&gt;&lt;D xsi:type="xsd:double"&gt;1.1749631&lt;/D&gt;&lt;/FQL&gt;&lt;FQL&gt;&lt;Q&gt;NVT-US^P_BETA_LOCIDX(45085,44909,,"SPX")&lt;/Q&gt;&lt;R&gt;1&lt;/R&gt;&lt;C&gt;1&lt;/C&gt;&lt;D xsi:type="xsd:double"&gt;1.1759471&lt;/D&gt;&lt;/FQL&gt;&lt;FQL&gt;&lt;Q&gt;NVT-US^P_BETA_LOCIDX(45084,44908,,"SPX")&lt;/Q&gt;&lt;R&gt;1&lt;/R&gt;&lt;C&gt;1&lt;/C&gt;&lt;D xsi:type="xsd:double"&gt;1.1665596&lt;/D&gt;&lt;/FQL&gt;&lt;FQL&gt;&lt;Q&gt;NVT-US^P_BETA_LOCIDX(45083,44907,,"SPX")&lt;/Q&gt;&lt;R&gt;1&lt;/R&gt;&lt;C&gt;1&lt;/C&gt;&lt;D xsi:type="xsd:double"&gt;1.180931&lt;/D&gt;&lt;/FQL&gt;&lt;FQL&gt;&lt;Q&gt;NVT-US^P_BETA_LOCIDX(45082,44904,,"SPX")&lt;/Q&gt;&lt;R&gt;1&lt;/R&gt;&lt;C&gt;1&lt;/C&gt;&lt;D xsi:type="xsd:double"&gt;1.179046&lt;/D&gt;&lt;/FQL&gt;&lt;FQL&gt;&lt;Q&gt;NVT-US^P_BETA_LOCIDX(45079,44903,,"SPX")&lt;/Q&gt;&lt;R&gt;1&lt;/R&gt;&lt;C&gt;1&lt;/C&gt;&lt;D xsi:type="xsd:double"&gt;1.1748588&lt;/D&gt;&lt;/FQL&gt;&lt;FQL&gt;&lt;Q&gt;NVT-US^P_BETA_LOCIDX(45078,44902,,"SPX")&lt;/Q&gt;&lt;R&gt;1&lt;/R&gt;&lt;C&gt;1&lt;/C&gt;&lt;D xsi:type="xsd:double"&gt;1.1451015&lt;/D&gt;&lt;/FQL&gt;&lt;FQL&gt;&lt;Q&gt;NVT-US^P_BETA_LOCIDX(45077,44901,,"SPX")&lt;/Q&gt;&lt;R&gt;1&lt;/R&gt;&lt;C&gt;1&lt;/C&gt;&lt;D xsi:type="xsd:double"&gt;1.1261288&lt;/D&gt;&lt;/FQL&gt;&lt;FQL&gt;&lt;Q&gt;NVT-US^P_BETA_LOCIDX(45076,44900,,"SPX")&lt;/Q&gt;&lt;R&gt;1&lt;/R&gt;&lt;C&gt;1&lt;/C&gt;&lt;D xsi:type="xsd:double"&gt;1.1059934&lt;/D&gt;&lt;/FQL&gt;&lt;FQL&gt;&lt;Q&gt;NVT-US^P_BETA_LOCIDX(45072,44897,,"SPX")&lt;/Q&gt;&lt;R&gt;1&lt;/R&gt;&lt;C&gt;1&lt;/C&gt;&lt;D xsi:type="xsd:double"&gt;1.1071024&lt;/D&gt;&lt;/FQL&gt;&lt;FQL&gt;&lt;Q&gt;NVT-US^P_BETA_LOCIDX(45071,44896,,"SPX")&lt;/Q&gt;&lt;R&gt;1&lt;/R&gt;&lt;C&gt;1&lt;/C&gt;&lt;D xsi:type="xsd:double"&gt;1.0944341&lt;/D&gt;&lt;/FQL&gt;&lt;FQL&gt;&lt;Q&gt;NVT-US^P_BETA_LOCIDX(45070,44895,,"SPX")&lt;/Q&gt;&lt;R&gt;1&lt;/R&gt;&lt;C&gt;1&lt;/C&gt;&lt;D xsi:type="xsd:double"&gt;1.00854&lt;/D&gt;&lt;/FQL&gt;&lt;FQL&gt;&lt;Q&gt;NVT-US^P_BETA_LOCIDX(45069,44894,,"SPX")&lt;/Q&gt;&lt;R&gt;1&lt;/R&gt;&lt;C&gt;1&lt;/C&gt;&lt;D xsi:type="xsd:double"&gt;1.0012207&lt;/D&gt;&lt;/FQL&gt;&lt;FQL&gt;&lt;Q&gt;NVT-US^P_BETA_LOCIDX(45068,44893,,"SPX")&lt;/Q&gt;&lt;R&gt;1&lt;/R&gt;&lt;C&gt;1&lt;/C&gt;&lt;D xsi:type="xsd:double"&gt;0.98952025&lt;/D&gt;&lt;/FQL&gt;&lt;FQL&gt;&lt;Q&gt;NVT-US^P_BETA_LOCIDX(45065,44890,,"SPX")&lt;/Q&gt;&lt;R&gt;1&lt;/R&gt;&lt;C&gt;1&lt;/C&gt;&lt;D xsi:type="xsd:double"&gt;0.9896728&lt;/D&gt;&lt;/FQL&gt;&lt;FQL&gt;&lt;Q&gt;NVT-US^P_BETA_LOCIDX(45064,44888,,"SPX")&lt;/Q&gt;&lt;R&gt;1&lt;/R&gt;&lt;C&gt;1&lt;/C&gt;&lt;D xsi:type="xsd:double"&gt;0.9874967&lt;/D&gt;&lt;/FQL&gt;&lt;FQL&gt;&lt;Q&gt;NVT-US^P_BETA_LOCIDX(45063,44887,,"SPX")&lt;/Q&gt;&lt;R&gt;1&lt;/R&gt;&lt;C&gt;1&lt;/C&gt;&lt;D xsi:type="xsd:double"&gt;0.9872183&lt;/D&gt;&lt;/FQL&gt;&lt;FQL&gt;&lt;Q&gt;NVT-US^P_BETA_LOCIDX(45062,44886,,"SPX")&lt;/Q&gt;&lt;R&gt;1&lt;/R&gt;&lt;C&gt;1&lt;/C&gt;&lt;D xsi:type="xsd:double"&gt;0.9815686&lt;/D&gt;&lt;/FQL&gt;&lt;FQL&gt;&lt;Q&gt;NVT-US^P_BETA_LOCIDX(45061,44883,,"SPX")&lt;/Q&gt;&lt;R&gt;1&lt;/R&gt;&lt;C&gt;1&lt;/C&gt;&lt;D xsi:type="xsd:double"&gt;0.9769551&lt;/D&gt;&lt;/FQL&gt;&lt;FQL&gt;&lt;Q&gt;NVT-US^P_BETA_LOCIDX(45058,44882,,"SPX")&lt;/Q&gt;&lt;R&gt;1&lt;/R&gt;&lt;C&gt;1&lt;/C&gt;&lt;D xsi:type="xsd:double"&gt;0.9778056&lt;/D&gt;&lt;/FQL&gt;&lt;FQL&gt;&lt;Q&gt;NVT-US^P_BETA_LOCIDX(45057,44881,,"SPX")&lt;/Q&gt;&lt;R&gt;1&lt;/R&gt;&lt;C&gt;1&lt;/C&gt;&lt;D xsi:type="xsd:double"&gt;0.97618914&lt;/D&gt;&lt;/FQL&gt;&lt;FQL&gt;&lt;Q&gt;NVT-US^P_BETA_LOCIDX(45056,44880,,"SPX")&lt;/Q&gt;&lt;R&gt;1&lt;/R&gt;&lt;C&gt;1&lt;/C&gt;&lt;D xsi:type="xsd:double"&gt;0.97301775&lt;/D&gt;&lt;/FQL&gt;&lt;FQL&gt;&lt;Q&gt;NVT-US^P_BETA_LOCIDX(45055,44879,,"SPX")&lt;/Q&gt;&lt;R&gt;1&lt;/R&gt;&lt;C&gt;1&lt;/C&gt;&lt;D xsi:type="xsd:double"&gt;0.97102195&lt;/D&gt;&lt;/FQL&gt;&lt;FQL&gt;&lt;Q&gt;NVT-US^P_BETA_LOCIDX(45054,44876,,"SPX")&lt;/Q&gt;&lt;R&gt;1&lt;/R&gt;&lt;C&gt;1&lt;/C&gt;&lt;D xsi:type="xsd:double"&gt;0.9608866&lt;/D&gt;&lt;/FQL&gt;&lt;FQL&gt;&lt;Q&gt;NVT-US^P_BETA_LOCIDX(45051,44875,,"SPX")&lt;/Q&gt;&lt;R&gt;1&lt;/R&gt;&lt;C&gt;1&lt;/C&gt;&lt;D xsi:type="xsd:double"&gt;0.888931&lt;/D&gt;&lt;/FQL&gt;&lt;FQL&gt;&lt;Q&gt;NVT-US^P_BETA_LOCIDX(45050,44874,,"SPX")&lt;/Q&gt;&lt;R&gt;1&lt;/R&gt;&lt;C&gt;1&lt;/C&gt;&lt;D xsi:type="xsd:double"&gt;0.8665795&lt;/D&gt;&lt;/FQL&gt;&lt;FQL&gt;&lt;Q&gt;NVT-US^P_BETA_LOCIDX(45049,44873,,"SPX")&lt;/Q&gt;&lt;R&gt;1&lt;/R&gt;&lt;C&gt;1&lt;/C&gt;&lt;D xsi:type="xsd:double"&gt;0.853272&lt;/D&gt;&lt;/FQL&gt;&lt;FQL&gt;&lt;Q&gt;NVT-US^P_BETA_LOCIDX(45048,44872,,"SPX")&lt;/Q&gt;&lt;R&gt;1&lt;/R&gt;&lt;C&gt;1&lt;/C&gt;&lt;D xsi:type="xsd:double"&gt;0.84517497&lt;/D&gt;&lt;/FQL&gt;&lt;FQL&gt;&lt;Q&gt;NVT-US^P_BETA_LOCIDX(45047,44869,,"SPX")&lt;/Q&gt;&lt;R&gt;1&lt;/R&gt;&lt;C&gt;1&lt;/C&gt;&lt;D xsi:type="xsd:double"&gt;0.88344026&lt;/D&gt;&lt;/FQL&gt;&lt;FQL&gt;&lt;Q&gt;NVT-US^P_BETA_LOCIDX(45044,44868,,"SPX")&lt;/Q&gt;&lt;R&gt;1&lt;/R&gt;&lt;C&gt;1&lt;/C&gt;&lt;D xsi:type="xsd:double"&gt;0.8770662&lt;/D&gt;&lt;/FQL&gt;&lt;FQL&gt;&lt;Q&gt;NVT-US^P_BETA_LOCIDX(45043,44867,,"SPX")&lt;/Q&gt;&lt;R&gt;1&lt;/R&gt;&lt;C&gt;1&lt;/C&gt;&lt;D xsi:type="xsd:double"&gt;0.9085404&lt;/D&gt;&lt;/FQL&gt;&lt;FQL&gt;&lt;Q&gt;NVT-US^P_BETA_LOCIDX(45042,44866,,"SPX")&lt;/Q&gt;&lt;R&gt;1&lt;/R&gt;&lt;C&gt;1&lt;/C&gt;&lt;D xsi:type="xsd:double"&gt;0.89151376&lt;/D&gt;&lt;/FQL&gt;&lt;FQL&gt;&lt;Q&gt;NVT-US^P_BETA_LOCIDX(45041,44865,,"SPX")&lt;/Q&gt;&lt;R&gt;1&lt;/R&gt;&lt;C&gt;1&lt;/C&gt;&lt;D xsi:type="xsd:double"&gt;0.8854856&lt;/D&gt;&lt;/FQL&gt;&lt;FQL&gt;&lt;Q&gt;NVT-US^P_BETA_LOCIDX(45040,44862,,"SPX")&lt;/Q&gt;&lt;R&gt;1&lt;/R&gt;&lt;C&gt;1&lt;/C&gt;&lt;D xsi:type="xsd:double"&gt;0.95516706&lt;/D&gt;&lt;/FQL&gt;&lt;FQL&gt;&lt;Q&gt;NVT-US^P_BETA_LOCIDX(45037,44861,,"SPX")&lt;/Q&gt;&lt;R&gt;1&lt;/R&gt;&lt;C&gt;1&lt;/C&gt;&lt;D xsi:type="xsd:double"&gt;0.95399874&lt;/D&gt;&lt;/FQL&gt;&lt;FQL&gt;&lt;Q&gt;NVT-US^P_BETA_LOCIDX(45036,44860,,"SPX")&lt;/Q&gt;&lt;R&gt;1&lt;/R&gt;&lt;C&gt;1&lt;/C&gt;&lt;D xsi:type="xsd:double"&gt;0.9525769&lt;/D&gt;&lt;/FQL&gt;&lt;FQL&gt;&lt;Q&gt;NVT-US^P_BETA_LOCIDX(45035,44859,,"SPX")&lt;/Q&gt;&lt;R&gt;1&lt;/R&gt;&lt;C&gt;1&lt;/C&gt;&lt;D xsi:type="xsd:double"&gt;0.9526622&lt;/D&gt;&lt;/FQL&gt;&lt;FQL&gt;&lt;Q&gt;NVT-US^P_BETA_LOCIDX(45034,44858,,"SPX")&lt;/Q&gt;&lt;R&gt;1&lt;/R&gt;&lt;C&gt;1&lt;/C&gt;&lt;D xsi:type="xsd:double"&gt;0.9571682&lt;/D&gt;&lt;/FQL&gt;&lt;FQL&gt;&lt;Q&gt;NVT-US^P_BETA_LOCIDX(45033,44855,,"SPX")&lt;/Q&gt;&lt;R&gt;1&lt;/R&gt;&lt;C&gt;1&lt;/C&gt;&lt;D xsi:type="xsd:double"&gt;0.972458&lt;/D&gt;&lt;/FQL&gt;&lt;FQL&gt;&lt;Q&gt;NVT-US^P_BETA_LOCIDX(45030,44854,,"SPX")&lt;/Q&gt;&lt;R&gt;1&lt;/R&gt;&lt;C&gt;1&lt;/C&gt;&lt;D xsi:type="xsd:double"&gt;0.98377997&lt;/D&gt;&lt;/FQL&gt;&lt;FQL&gt;&lt;Q&gt;NVT-US^P_BETA_LOCIDX(45029,44853,,"SPX")&lt;/Q&gt;&lt;R&gt;1&lt;/R&gt;&lt;C&gt;1&lt;/C&gt;&lt;D xsi:type="xsd:double"&gt;0.9909854&lt;/D&gt;&lt;/FQL&gt;&lt;FQL&gt;&lt;Q&gt;NVT-US^P_BETA_LOCIDX(45028,44852,,"SPX")&lt;/Q&gt;&lt;R&gt;1&lt;/R&gt;&lt;C&gt;1&lt;/C&gt;&lt;D xsi:type="xsd:double"&gt;1.0047317&lt;/D&gt;&lt;/FQL&gt;&lt;FQL&gt;&lt;Q&gt;NVT-US^P_BETA_LOCIDX(45027,44851,,"SPX")&lt;/Q&gt;&lt;R&gt;1&lt;/R&gt;&lt;C&gt;1&lt;/C&gt;&lt;D xsi:type="xsd:double"&gt;1.0104172&lt;/D&gt;&lt;/FQL&gt;&lt;FQL&gt;&lt;Q&gt;NVT-US^P_BETA_LOCIDX(45026,44848,,"SPX")&lt;/Q&gt;&lt;R&gt;1&lt;/R&gt;&lt;C&gt;1&lt;/C&gt;&lt;D xsi:type="xsd:double"&gt;1.0120091&lt;/D&gt;&lt;/FQL&gt;&lt;FQL&gt;&lt;Q&gt;NVT-US^P_BETA_LOCIDX(45022,44847,,"SPX")&lt;/Q&gt;&lt;R&gt;1&lt;/R&gt;&lt;C&gt;1&lt;/C&gt;&lt;D xsi:type="xsd:double"&gt;1.0281587&lt;/D&gt;&lt;/FQL&gt;&lt;FQL&gt;&lt;Q&gt;NVT-US^P_BETA_LOCIDX(45021,44846,,"SPX")&lt;/Q&gt;&lt;R&gt;1&lt;/R&gt;&lt;C&gt;1&lt;/C&gt;&lt;D xsi:type="xsd:double"&gt;1.0295324&lt;/D&gt;&lt;/FQL&gt;&lt;FQL&gt;&lt;Q&gt;NVT-US^P_BETA_LOCIDX(45020,44845,,"SPX")&lt;/Q&gt;&lt;R&gt;1&lt;/R&gt;&lt;C&gt;1&lt;/C&gt;&lt;D xsi:type="xsd:double"&gt;1.0234824&lt;/D&gt;&lt;/FQL&gt;&lt;FQL&gt;&lt;Q&gt;NVT-US^P_BETA_LOCIDX(45019,44844,,"SPX")&lt;/Q&gt;&lt;R&gt;1&lt;/R&gt;&lt;C&gt;1&lt;/C&gt;&lt;D xsi:type="xsd:double"&gt;1.0009553&lt;/D&gt;&lt;/FQL&gt;&lt;FQL&gt;&lt;Q&gt;NVT-US^P_BETA_LOCIDX(45016,44841,,"SPX")&lt;/Q&gt;&lt;R&gt;1&lt;/R&gt;&lt;C&gt;1&lt;/C&gt;&lt;D xsi:type="xsd:double"&gt;1.0124178&lt;/D&gt;&lt;/FQL&gt;&lt;FQL&gt;&lt;Q&gt;NVT-US^P_BETA_LOCIDX(45015,44840,,"SPX")&lt;/Q&gt;&lt;R&gt;1&lt;/R&gt;&lt;C&gt;1&lt;/C&gt;&lt;D xsi:type="xsd:double"&gt;1.014198&lt;/D&gt;&lt;/FQL&gt;&lt;FQL&gt;&lt;Q&gt;NVT-US^P_BETA_LOCIDX(45014,44839,,"SPX")&lt;/Q&gt;&lt;R&gt;1&lt;/R&gt;&lt;C&gt;1&lt;/C&gt;&lt;D xsi:type="xsd:double"&gt;1.0152702&lt;/D&gt;&lt;/FQL&gt;&lt;FQL&gt;&lt;Q&gt;NVT-US^P_BETA_LOCIDX(45013,44838,,"SPX")&lt;/Q&gt;&lt;R&gt;1&lt;/R&gt;&lt;C&gt;1&lt;/C&gt;&lt;D xsi:type="xsd:double"&gt;1.0234833&lt;/D&gt;&lt;/FQL&gt;&lt;FQL&gt;&lt;Q&gt;NVT-US^P_BETA_LOCIDX(45012,44837,,"SPX")&lt;/Q&gt;&lt;R&gt;1&lt;/R&gt;&lt;C&gt;1&lt;/C&gt;&lt;D xsi:type="xsd:double"&gt;1.0272341&lt;/D&gt;&lt;/FQL&gt;&lt;FQL&gt;&lt;Q&gt;NVT-US^P_BETA_LOCIDX(45009,44834,,"SPX")&lt;/Q&gt;&lt;R&gt;1&lt;/R&gt;&lt;C&gt;1&lt;/C&gt;&lt;D xsi:type="xsd:double"&gt;1.0152249&lt;/D&gt;&lt;/FQL&gt;&lt;FQL&gt;&lt;Q&gt;NVT-US^P_BETA_LOCIDX(45008,44833,,"SPX")&lt;/Q&gt;&lt;R&gt;1&lt;/R&gt;&lt;C&gt;1&lt;/C&gt;&lt;D xsi:type="xsd:double"&gt;1.0012174&lt;/D&gt;&lt;/FQL&gt;&lt;FQL&gt;&lt;Q&gt;NVT-US^P_BETA_LOCIDX(45007,44832,,"SPX")&lt;/Q&gt;&lt;R&gt;1&lt;/R&gt;&lt;C&gt;1&lt;/C&gt;&lt;D xsi:type="xsd:double"&gt;1.0073009&lt;/D&gt;&lt;/FQL&gt;&lt;FQL&gt;&lt;Q&gt;NVT-US^P_BETA_LOCIDX(45006,44831,,"SPX")&lt;/Q&gt;&lt;R&gt;1&lt;/R&gt;&lt;C&gt;1&lt;/C&gt;&lt;D xsi:type="xsd:double"&gt;1.0024163&lt;/D&gt;&lt;/FQL&gt;&lt;FQL&gt;&lt;Q&gt;NVT-US^P_BETA_LOCIDX(45005,44830,,"SPX")&lt;/Q&gt;&lt;R&gt;1&lt;/R&gt;&lt;C&gt;1&lt;/C&gt;&lt;D xsi:type="xsd:double"&gt;1.004085&lt;/D&gt;&lt;/FQL&gt;&lt;FQL&gt;&lt;Q&gt;NVT-US^P_BETA_LOCIDX(45002,44827,,"SPX")&lt;/Q&gt;&lt;R&gt;1&lt;/R&gt;&lt;C&gt;1&lt;/C&gt;&lt;D xsi:type="xsd:double"&gt;0.9961701&lt;/D&gt;&lt;/FQL&gt;&lt;FQL&gt;&lt;Q&gt;NVT-US^P_BETA_LOCIDX(45001,44826,,"SPX")&lt;/Q&gt;&lt;R&gt;1&lt;/R&gt;&lt;C&gt;1&lt;/C&gt;&lt;D xsi:type="xsd:double"&gt;0.98928493&lt;/D&gt;&lt;/FQL&gt;&lt;FQL&gt;&lt;Q&gt;NVT-US^P_BETA_LOCIDX(45000,44825,,"SPX")&lt;/Q&gt;&lt;R&gt;1&lt;/R&gt;&lt;C&gt;1&lt;/C&gt;&lt;D xsi:type="xsd:double"&gt;0.9866461&lt;/D&gt;&lt;/FQL&gt;&lt;FQL&gt;&lt;Q&gt;NVT-US^P_BETA_LOCIDX(44999,44824,,"SPX")&lt;/Q&gt;&lt;R&gt;1&lt;/R&gt;&lt;C&gt;1&lt;/C&gt;&lt;D xsi:type="xsd:double"&gt;0.9666429&lt;/D&gt;&lt;/FQL&gt;&lt;FQL&gt;&lt;Q&gt;NVT-US^P_BETA_LOCIDX(44998,44823,,"SPX")&lt;/Q&gt;&lt;R&gt;1&lt;/R&gt;&lt;C&gt;1&lt;/C&gt;&lt;D xsi:type="xsd:double"&gt;0.95313287&lt;/D&gt;&lt;/FQL&gt;&lt;FQL&gt;&lt;Q&gt;NVT-US^P_BETA_LOCIDX(44995,44820,,"SPX")&lt;/Q&gt;&lt;R&gt;1&lt;/R&gt;&lt;C&gt;1&lt;/C&gt;&lt;D xsi:type="xsd:double"&gt;0.96091753&lt;/D&gt;&lt;/FQL&gt;&lt;FQL&gt;&lt;Q&gt;NVT-US^P_BETA_LOCIDX(44994,44819,,"SPX")&lt;/Q&gt;&lt;R&gt;1&lt;/R&gt;&lt;C&gt;1&lt;/C&gt;&lt;D xsi:type="xsd:double"&gt;0.94406825&lt;/D&gt;&lt;/FQL&gt;&lt;FQL&gt;&lt;Q&gt;NVT-US^P_BETA_LOCIDX(44993,44818,,"SPX")&lt;/Q&gt;&lt;R&gt;1&lt;/R&gt;&lt;C&gt;1&lt;/C&gt;&lt;D xsi:type="xsd:double"&gt;0.93413335&lt;/D&gt;&lt;/FQL&gt;&lt;FQL&gt;&lt;Q&gt;NVT-US^P_BETA_LOCIDX(44992,44817,,"SPX")&lt;/Q&gt;&lt;R&gt;1&lt;/R&gt;&lt;C&gt;1&lt;/C&gt;&lt;D xsi:type="xsd:double"&gt;0.9397247&lt;/D&gt;&lt;/FQL&gt;&lt;FQL&gt;&lt;Q&gt;NVT-US^P_BETA_LOCIDX(44991,44816,,"SPX")&lt;/Q&gt;&lt;R</t>
        </r>
      </text>
    </comment>
    <comment ref="A8" authorId="0" shapeId="0" xr:uid="{A413C76D-C694-4EC1-9240-F5E019608009}">
      <text>
        <r>
          <rPr>
            <b/>
            <sz val="9"/>
            <color indexed="81"/>
            <rFont val="Tahoma"/>
            <family val="2"/>
          </rPr>
          <t>&gt;1&lt;/R&gt;&lt;C&gt;1&lt;/C&gt;&lt;D xsi:type="xsd:double"&gt;0.9420186&lt;/D&gt;&lt;/FQL&gt;&lt;FQL&gt;&lt;Q&gt;NVT-US^P_BETA_LOCIDX(44988,44813,,"SPX")&lt;/Q&gt;&lt;R&gt;1&lt;/R&gt;&lt;C&gt;1&lt;/C&gt;&lt;D xsi:type="xsd:double"&gt;0.9458586&lt;/D&gt;&lt;/FQL&gt;&lt;FQL&gt;&lt;Q&gt;NVT-US^P_BETA_LOCIDX(44987,44812,,"SPX")&lt;/Q&gt;&lt;R&gt;1&lt;/R&gt;&lt;C&gt;1&lt;/C&gt;&lt;D xsi:type="xsd:double"&gt;0.9594506&lt;/D&gt;&lt;/FQL&gt;&lt;FQL&gt;&lt;Q&gt;NVT-US^P_BETA_LOCIDX(44986,44811,,"SPX")&lt;/Q&gt;&lt;R&gt;1&lt;/R&gt;&lt;C&gt;1&lt;/C&gt;&lt;D xsi:type="xsd:double"&gt;0.9679372&lt;/D&gt;&lt;/FQL&gt;&lt;FQL&gt;&lt;Q&gt;NVT-US^P_BETA_LOCIDX(44985,44810,,"SPX")&lt;/Q&gt;&lt;R&gt;1&lt;/R&gt;&lt;C&gt;1&lt;/C&gt;&lt;D xsi:type="xsd:double"&gt;0.96880853&lt;/D&gt;&lt;/FQL&gt;&lt;FQL&gt;&lt;Q&gt;NVT-US^P_BETA_LOCIDX(44984,44806,,"SPX")&lt;/Q&gt;&lt;R&gt;1&lt;/R&gt;&lt;C&gt;1&lt;/C&gt;&lt;D xsi:type="xsd:double"&gt;0.9682652&lt;/D&gt;&lt;/FQL&gt;&lt;FQL&gt;&lt;Q&gt;NVT-US^P_BETA_LOCIDX(44981,44805,,"SPX")&lt;/Q&gt;&lt;R&gt;1&lt;/R&gt;&lt;C&gt;1&lt;/C&gt;&lt;D xsi:type="xsd:double"&gt;0.96845925&lt;/D&gt;&lt;/FQL&gt;&lt;FQL&gt;&lt;Q&gt;NVT-US^P_BETA_LOCIDX(44980,44804,,"SPX")&lt;/Q&gt;&lt;R&gt;1&lt;/R&gt;&lt;C&gt;1&lt;/C&gt;&lt;D xsi:type="xsd:double"&gt;0.9719478&lt;/D&gt;&lt;/FQL&gt;&lt;FQL&gt;&lt;Q&gt;NVT-US^P_BETA_LOCIDX(44979,44803,,"SPX")&lt;/Q&gt;&lt;R&gt;1&lt;/R&gt;&lt;C&gt;1&lt;/C&gt;&lt;D xsi:type="xsd:double"&gt;0.9721129&lt;/D&gt;&lt;/FQL&gt;&lt;FQL&gt;&lt;Q&gt;NVT-US^P_BETA_LOCIDX(44978,44802,,"SPX")&lt;/Q&gt;&lt;R&gt;1&lt;/R&gt;&lt;C&gt;1&lt;/C&gt;&lt;D xsi:type="xsd:double"&gt;0.973843&lt;/D&gt;&lt;/FQL&gt;&lt;FQL&gt;&lt;Q&gt;NVT-US^P_BETA_LOCIDX(44974,44799,,"SPX")&lt;/Q&gt;&lt;R&gt;1&lt;/R&gt;&lt;C&gt;1&lt;/C&gt;&lt;D xsi:type="xsd:double"&gt;0.987617&lt;/D&gt;&lt;/FQL&gt;&lt;FQL&gt;&lt;Q&gt;NVT-US^P_BETA_LOCIDX(44973,44798,,"SPX")&lt;/Q&gt;&lt;R&gt;1&lt;/R&gt;&lt;C&gt;1&lt;/C&gt;&lt;D xsi:type="xsd:double"&gt;0.98391145&lt;/D&gt;&lt;/FQL&gt;&lt;FQL&gt;&lt;Q&gt;NVT-US^P_BETA_LOCIDX(44972,44797,,"SPX")&lt;/Q&gt;&lt;R&gt;1&lt;/R&gt;&lt;C&gt;1&lt;/C&gt;&lt;D xsi:type="xsd:double"&gt;0.9913124&lt;/D&gt;&lt;/FQL&gt;&lt;FQL&gt;&lt;Q&gt;NVT-US^P_BETA_LOCIDX(44971,44796,,"SPX")&lt;/Q&gt;&lt;R&gt;1&lt;/R&gt;&lt;C&gt;1&lt;/C&gt;&lt;D xsi:type="xsd:double"&gt;0.99167705&lt;/D&gt;&lt;/FQL&gt;&lt;FQL&gt;&lt;Q&gt;NVT-US^P_BETA_LOCIDX(44970,44795,,"SPX")&lt;/Q&gt;&lt;R&gt;1&lt;/R&gt;&lt;C&gt;1&lt;/C&gt;&lt;D xsi:type="xsd:double"&gt;0.99777716&lt;/D&gt;&lt;/FQL&gt;&lt;FQL&gt;&lt;Q&gt;NVT-US^P_BETA_LOCIDX(44967,44792,,"SPX")&lt;/Q&gt;&lt;R&gt;1&lt;/R&gt;&lt;C&gt;1&lt;/C&gt;&lt;D xsi:type="xsd:double"&gt;1.0020069&lt;/D&gt;&lt;/FQL&gt;&lt;FQL&gt;&lt;Q&gt;NVT-US^P_BETA_LOCIDX(44966,44791,,"SPX")&lt;/Q&gt;&lt;R&gt;1&lt;/R&gt;&lt;C&gt;1&lt;/C&gt;&lt;D xsi:type="xsd:double"&gt;1.0035026&lt;/D&gt;&lt;/FQL&gt;&lt;FQL&gt;&lt;Q&gt;NVT-US^P_BETA_LOCIDX(44965,44790,,"SPX")&lt;/Q&gt;&lt;R&gt;1&lt;/R&gt;&lt;C&gt;1&lt;/C&gt;&lt;D xsi:type="xsd:double"&gt;1.0091478&lt;/D&gt;&lt;/FQL&gt;&lt;FQL&gt;&lt;Q&gt;NVT-US^P_BETA_LOCIDX(44964,44789,,"SPX")&lt;/Q&gt;&lt;R&gt;1&lt;/R&gt;&lt;C&gt;1&lt;/C&gt;&lt;D xsi:type="xsd:double"&gt;1.0265737&lt;/D&gt;&lt;/FQL&gt;&lt;FQL&gt;&lt;Q&gt;NVT-US^P_BETA_LOCIDX(44963,44788,,"SPX")&lt;/Q&gt;&lt;R&gt;1&lt;/R&gt;&lt;C&gt;1&lt;/C&gt;&lt;D xsi:type="xsd:double"&gt;0.99621916&lt;/D&gt;&lt;/FQL&gt;&lt;FQL&gt;&lt;Q&gt;NVT-US^P_BETA_LOCIDX(44960,44785,,"SPX")&lt;/Q&gt;&lt;R&gt;1&lt;/R&gt;&lt;C&gt;1&lt;/C&gt;&lt;D xsi:type="xsd:double"&gt;0.9957852&lt;/D&gt;&lt;/FQL&gt;&lt;FQL&gt;&lt;Q&gt;NVT-US^P_BETA_LOCIDX(44959,44784,,"SPX")&lt;/Q&gt;&lt;R&gt;1&lt;/R&gt;&lt;C&gt;1&lt;/C&gt;&lt;D xsi:type="xsd:double"&gt;1.0084662&lt;/D&gt;&lt;/FQL&gt;&lt;FQL&gt;&lt;Q&gt;NVT-US^P_BETA_LOCIDX(44958,44783,,"SPX")&lt;/Q&gt;&lt;R&gt;1&lt;/R&gt;&lt;C&gt;1&lt;/C&gt;&lt;D xsi:type="xsd:double"&gt;1.0305942&lt;/D&gt;&lt;/FQL&gt;&lt;FQL&gt;&lt;Q&gt;NVT-US^P_BETA_LOCIDX(44957,44782,,"SPX")&lt;/Q&gt;&lt;R&gt;1&lt;/R&gt;&lt;C&gt;1&lt;/C&gt;&lt;D xsi:type="xsd:double"&gt;1.0368422&lt;/D&gt;&lt;/FQL&gt;&lt;FQL&gt;&lt;Q&gt;NVT-US^P_BETA_LOCIDX(44956,44781,,"SPX")&lt;/Q&gt;&lt;R&gt;1&lt;/R&gt;&lt;C&gt;1&lt;/C&gt;&lt;D xsi:type="xsd:double"&gt;1.0348951&lt;/D&gt;&lt;/FQL&gt;&lt;FQL&gt;&lt;Q&gt;NVT-US^P_BETA_LOCIDX(44953,44778,,"SPX")&lt;/Q&gt;&lt;R&gt;1&lt;/R&gt;&lt;C&gt;1&lt;/C&gt;&lt;D xsi:type="xsd:double"&gt;1.0405478&lt;/D&gt;&lt;/FQL&gt;&lt;FQL&gt;&lt;Q&gt;NVT-US^P_BETA_LOCIDX(44952,44777,,"SPX")&lt;/Q&gt;&lt;R&gt;1&lt;/R&gt;&lt;C&gt;1&lt;/C&gt;&lt;D xsi:type="xsd:double"&gt;1.0412129&lt;/D&gt;&lt;/FQL&gt;&lt;FQL&gt;&lt;Q&gt;NVT-US^P_BETA_LOCIDX(44951,44776,,"SPX")&lt;/Q&gt;&lt;R&gt;1&lt;/R&gt;&lt;C&gt;1&lt;/C&gt;&lt;D xsi:type="xsd:double"&gt;1.0395166&lt;/D&gt;&lt;/FQL&gt;&lt;FQL&gt;&lt;Q&gt;NVT-US^P_BETA_LOCIDX(44950,44775,,"SPX")&lt;/Q&gt;&lt;R&gt;1&lt;/R&gt;&lt;C&gt;1&lt;/C&gt;&lt;D xsi:type="xsd:double"&gt;1.0455998&lt;/D&gt;&lt;/FQL&gt;&lt;FQL&gt;&lt;Q&gt;NVT-US^P_BETA_LOCIDX(44949,44774,,"SPX")&lt;/Q&gt;&lt;R&gt;1&lt;/R&gt;&lt;C&gt;1&lt;/C&gt;&lt;D xsi:type="xsd:double"&gt;1.0438269&lt;/D&gt;&lt;/FQL&gt;&lt;FQL&gt;&lt;Q&gt;NVT-US^P_BETA_LOCIDX(44946,44771,,"SPX")&lt;/Q&gt;&lt;R&gt;1&lt;/R&gt;&lt;C&gt;1&lt;/C&gt;&lt;D xsi:type="xsd:double"&gt;1.0485948&lt;/D&gt;&lt;/FQL&gt;&lt;FQL&gt;&lt;Q&gt;NVT-US^P_BETA_LOCIDX(44945,44770,,"SPX")&lt;/Q&gt;&lt;R&gt;1&lt;/R&gt;&lt;C&gt;1&lt;/C&gt;&lt;D xsi:type="xsd:double"&gt;1.064135&lt;/D&gt;&lt;/FQL&gt;&lt;FQL&gt;&lt;Q&gt;NVT-US^P_BETA_LOCIDX(44944,44769,,"SPX")&lt;/Q&gt;&lt;R&gt;1&lt;/R&gt;&lt;C&gt;1&lt;/C&gt;&lt;D xsi:type="xsd:double"&gt;1.0542668&lt;/D&gt;&lt;/FQL&gt;&lt;FQL&gt;&lt;Q&gt;NVT-US^P_BETA_LOCIDX(44943,44768,,"SPX")&lt;/Q&gt;&lt;R&gt;1&lt;/R&gt;&lt;C&gt;1&lt;/C&gt;&lt;D xsi:type="xsd:double"&gt;1.044682&lt;/D&gt;&lt;/FQL&gt;&lt;FQL&gt;&lt;Q&gt;NVT-US^P_BETA_LOCIDX(44939,44767,,"SPX")&lt;/Q&gt;&lt;R&gt;1&lt;/R&gt;&lt;C&gt;1&lt;/C&gt;&lt;D xsi:type="xsd:double"&gt;1.0449045&lt;/D&gt;&lt;/FQL&gt;&lt;FQL&gt;&lt;Q&gt;NVT-US^P_BETA_LOCIDX(44938,44764,,"SPX")&lt;/Q&gt;&lt;R&gt;1&lt;/R&gt;&lt;C&gt;1&lt;/C&gt;&lt;D xsi:type="xsd:double"&gt;1.0425165&lt;/D&gt;&lt;/FQL&gt;&lt;FQL&gt;&lt;Q&gt;NVT-US^P_BETA_LOCIDX(44937,44763,,"SPX")&lt;/Q&gt;&lt;R&gt;1&lt;/R&gt;&lt;C&gt;1&lt;/C&gt;&lt;D xsi:type="xsd:double"&gt;1.0410981&lt;/D&gt;&lt;/FQL&gt;&lt;FQL&gt;&lt;Q&gt;NVT-US^P_BETA_LOCIDX(44936,44762,,"SPX")&lt;/Q&gt;&lt;R&gt;1&lt;/R&gt;&lt;C&gt;1&lt;/C&gt;&lt;D xsi:type="xsd:double"&gt;1.0484133&lt;/D&gt;&lt;/FQL&gt;&lt;FQL&gt;&lt;Q&gt;NVT-US^P_BETA_LOCIDX(44935,44761,,"SPX")&lt;/Q&gt;&lt;R&gt;1&lt;/R&gt;&lt;C&gt;1&lt;/C&gt;&lt;D xsi:type="xsd:double"&gt;1.0754261&lt;/D&gt;&lt;/FQL&gt;&lt;FQL&gt;&lt;Q&gt;NVT-US^P_BETA_LOCIDX(44932,44760,,"SPX")&lt;/Q&gt;&lt;R&gt;1&lt;/R&gt;&lt;C&gt;1&lt;/C&gt;&lt;D xsi:type="xsd:double"&gt;1.0770135&lt;/D&gt;&lt;/FQL&gt;&lt;FQL&gt;&lt;Q&gt;NVT-US^P_BETA_LOCIDX(44931,44757,,"SPX")&lt;/Q&gt;&lt;R&gt;1&lt;/R&gt;&lt;C&gt;1&lt;/C&gt;&lt;D xsi:type="xsd:double"&gt;1.0773567&lt;/D&gt;&lt;/FQL&gt;&lt;FQL&gt;&lt;Q&gt;NVT-US^P_BETA_LOCIDX(44930,44756,,"SPX")&lt;/Q&gt;&lt;R&gt;1&lt;/R&gt;&lt;C&gt;1&lt;/C&gt;&lt;D xsi:type="xsd:double"&gt;1.0744388&lt;/D&gt;&lt;/FQL&gt;&lt;FQL&gt;&lt;Q&gt;NVT-US^P_BETA_LOCIDX(44929,44755,,"SPX")&lt;/Q&gt;&lt;R&gt;1&lt;/R&gt;&lt;C&gt;1&lt;/C&gt;&lt;D xsi:type="xsd:double"&gt;1.0762984&lt;/D&gt;&lt;/FQL&gt;&lt;FQL&gt;&lt;Q&gt;NVT-US^P_BETA_LOCIDX(44925,44754,,"SPX")&lt;/Q&gt;&lt;R&gt;1&lt;/R&gt;&lt;C&gt;1&lt;/C&gt;&lt;D xsi:type="xsd:double"&gt;1.0778731&lt;/D&gt;&lt;/FQL&gt;&lt;FQL&gt;&lt;Q&gt;NVT-US^P_BETA_LOCIDX(44924,44753,,"SPX")&lt;/Q&gt;&lt;R&gt;1&lt;/R&gt;&lt;C&gt;1&lt;/C&gt;&lt;D xsi:type="xsd:double"&gt;1.074484&lt;/D&gt;&lt;/FQL&gt;&lt;FQL&gt;&lt;Q&gt;NVT-US^P_BETA_LOCIDX(44923,44750,,"SPX")&lt;/Q&gt;&lt;R&gt;1&lt;/R&gt;&lt;C&gt;1&lt;/C&gt;&lt;D xsi:type="xsd:double"&gt;1.0811415&lt;/D&gt;&lt;/FQL&gt;&lt;FQL&gt;&lt;Q&gt;NVT-US^P_BETA_LOCIDX(44922,44749,,"SPX")&lt;/Q&gt;&lt;R&gt;1&lt;/R&gt;&lt;C&gt;1&lt;/C&gt;&lt;D xsi:type="xsd:double"&gt;1.0773259&lt;/D&gt;&lt;/FQL&gt;&lt;FQL&gt;&lt;Q&gt;NVT-US^P_BETA_LOCIDX(44918,44748,,"SPX")&lt;/Q&gt;&lt;R&gt;1&lt;/R&gt;&lt;C&gt;1&lt;/C&gt;&lt;D xsi:type="xsd:double"&gt;1.0780236&lt;/D&gt;&lt;/FQL&gt;&lt;FQL&gt;&lt;Q&gt;NVT-US^P_BETA_LOCIDX(44917,44747,,"SPX")&lt;/Q&gt;&lt;R&gt;1&lt;/R&gt;&lt;C&gt;1&lt;/C&gt;&lt;D xsi:type="xsd:double"&gt;1.0772042&lt;/D&gt;&lt;/FQL&gt;&lt;FQL&gt;&lt;Q&gt;NVT-US^P_BETA_LOCIDX(44916,44743,,"SPX")&lt;/Q&gt;&lt;R&gt;1&lt;/R&gt;&lt;C&gt;1&lt;/C&gt;&lt;D xsi:type="xsd:double"&gt;1.0726&lt;/D&gt;&lt;/FQL&gt;&lt;FQL&gt;&lt;Q&gt;NVT-US^P_BETA_LOCIDX(44915,44742,,"SPX")&lt;/Q&gt;&lt;R&gt;1&lt;/R&gt;&lt;C&gt;1&lt;/C&gt;&lt;D xsi:type="xsd:double"&gt;1.0624259&lt;/D&gt;&lt;/FQL&gt;&lt;FQL&gt;&lt;Q&gt;NVT-US^P_BETA_LOCIDX(44914,44741,,"SPX")&lt;/Q&gt;&lt;R&gt;1&lt;/R&gt;&lt;C&gt;1&lt;/C&gt;&lt;D xsi:type="xsd:double"&gt;1.0626667&lt;/D&gt;&lt;/FQL&gt;&lt;FQL&gt;&lt;Q&gt;NVT-US^P_BETA_LOCIDX(44911,44740,,"SPX")&lt;/Q&gt;&lt;R&gt;1&lt;/R&gt;&lt;C&gt;1&lt;/C&gt;&lt;D xsi:type="xsd:double"&gt;1.0556246&lt;/D&gt;&lt;/FQL&gt;&lt;FQL&gt;&lt;Q&gt;NVT-US^P_BETA_LOCIDX(44910,44739,,"SPX")&lt;/Q&gt;&lt;R&gt;1&lt;/R&gt;&lt;C&gt;1&lt;/C&gt;&lt;D xsi:type="xsd:double"&gt;1.0535562&lt;/D&gt;&lt;/FQL&gt;&lt;FQL&gt;&lt;Q&gt;NVT-US^P_BETA_LOCIDX(44909,44736,,"SPX")&lt;/Q&gt;&lt;R&gt;1&lt;/R&gt;&lt;C&gt;1&lt;/C&gt;&lt;D xsi:type="xsd:double"&gt;1.0463096&lt;/D&gt;&lt;/FQL&gt;&lt;FQL&gt;&lt;Q&gt;NVT-US^P_BETA_LOCIDX(44908,44735,,"SPX")&lt;/Q&gt;&lt;R&gt;1&lt;/R&gt;&lt;C&gt;1&lt;/C&gt;&lt;D xsi:type="xsd:double"&gt;1.0339913&lt;/D&gt;&lt;/FQL&gt;&lt;FQL&gt;&lt;Q&gt;NVT-US^P_BETA_LOCIDX(44907,44734,,"SPX")&lt;/Q&gt;&lt;R&gt;1&lt;/R&gt;&lt;C&gt;1&lt;/C&gt;&lt;D xsi:type="xsd:double"&gt;1.0388312&lt;/D&gt;&lt;/FQL&gt;&lt;FQL&gt;&lt;Q&gt;NVT-US^P_BETA_LOCIDX(44904,44733,,"SPX")&lt;/Q&gt;&lt;R&gt;1&lt;/R&gt;&lt;C&gt;1&lt;/C&gt;&lt;D xsi:type="xsd:double"&gt;1.0231017&lt;/D&gt;&lt;/FQL&gt;&lt;FQL&gt;&lt;Q&gt;NVT-US^P_BETA_LOCIDX(44903,44729,,"SPX")&lt;/Q&gt;&lt;R&gt;1&lt;/R&gt;&lt;C&gt;1&lt;/C&gt;&lt;D xsi:type="xsd:double"&gt;1.0220978&lt;/D&gt;&lt;/FQL&gt;&lt;FQL&gt;&lt;Q&gt;NVT-US^P_BETA_LOCIDX(44902,44728,,"SPX")&lt;/Q&gt;&lt;R&gt;1&lt;/R&gt;&lt;C&gt;1&lt;/C&gt;&lt;D xsi:type="xsd:double"&gt;1.0561044&lt;/D&gt;&lt;/FQL&gt;&lt;FQL&gt;&lt;Q&gt;NVT-US^P_BETA_LOCIDX(44901,44727,,"SPX")&lt;/Q&gt;&lt;R&gt;1&lt;/R&gt;&lt;C&gt;1&lt;/C&gt;&lt;D xsi:type="xsd:double"&gt;1.050648&lt;/D&gt;&lt;/FQL&gt;&lt;FQL&gt;&lt;Q&gt;NVT-US^P_BETA_LOCIDX(44900,44726,,"SPX")&lt;/Q&gt;&lt;R&gt;1&lt;/R&gt;&lt;C&gt;1&lt;/C&gt;&lt;D xsi:type="xsd:double"&gt;1.0571678&lt;/D&gt;&lt;/FQL&gt;&lt;FQL&gt;&lt;Q&gt;NVT-US^P_BETA_LOCIDX(44897,44725,,"SPX")&lt;/Q&gt;&lt;R&gt;1&lt;/R&gt;&lt;C&gt;1&lt;/C&gt;&lt;D xsi:type="xsd:double"&gt;1.0601776&lt;/D&gt;&lt;/FQL&gt;&lt;FQL&gt;&lt;Q&gt;NVT-US^P_BETA_LOCIDX(44896,44722,,"SPX")&lt;/Q&gt;&lt;R&gt;1&lt;/R&gt;&lt;C&gt;1&lt;/C&gt;&lt;D xsi:type="xsd:double"&gt;1.0629679&lt;/D&gt;&lt;/FQL&gt;&lt;FQL&gt;&lt;Q&gt;NVT-US^P_BETA_LOCIDX(44895,44721,,"SPX")&lt;/Q&gt;&lt;R&gt;1&lt;/R&gt;&lt;C&gt;1&lt;/C&gt;&lt;D xsi:type="xsd:double"&gt;1.0568624&lt;/D&gt;&lt;/FQL&gt;&lt;FQL&gt;&lt;Q&gt;NVT-US^P_BETA_LOCIDX(44894,44720,,"SPX")&lt;/Q&gt;&lt;R&gt;1&lt;/R&gt;&lt;C&gt;1&lt;/C&gt;&lt;D xsi:type="xsd:double"&gt;1.0811249&lt;/D&gt;&lt;/FQL&gt;&lt;FQL&gt;&lt;Q&gt;NVT-US^P_BETA_LOCIDX(44893,44719,,"SPX")&lt;/Q&gt;&lt;R&gt;1&lt;/R&gt;&lt;C&gt;1&lt;/C&gt;&lt;D xsi:type="xsd:double"&gt;1.0856255&lt;/D&gt;&lt;/FQL&gt;&lt;FQL&gt;&lt;Q&gt;NVT-US^P_BETA_LOCIDX(44890,44718,,"SPX")&lt;/Q&gt;&lt;R&gt;1&lt;/R&gt;&lt;C&gt;1&lt;/C&gt;&lt;D xsi:type="xsd:double"&gt;1.0848411&lt;/D&gt;&lt;/FQL&gt;&lt;FQL&gt;&lt;Q&gt;NVT-US^P_BETA_LOCIDX(44888,44715,,"SPX")&lt;/Q&gt;&lt;R&gt;1&lt;/R&gt;&lt;C&gt;1&lt;/C&gt;&lt;D xsi:type="xsd:double"&gt;1.0778767&lt;/D&gt;&lt;/FQL&gt;&lt;FQL&gt;&lt;Q&gt;NVT-US^P_BETA_LOCIDX(44887,44714,,"SPX")&lt;/Q&gt;&lt;R&gt;1&lt;/R&gt;&lt;C&gt;1&lt;/C&gt;&lt;D xsi:type="xsd:double"&gt;1.0825223&lt;/D&gt;&lt;/FQL&gt;&lt;FQL&gt;&lt;Q&gt;NVT-US^P_BETA_LOCIDX(44886,44713,,"SPX")&lt;/Q&gt;&lt;R&gt;1&lt;/R&gt;&lt;C&gt;1&lt;/C&gt;&lt;D xsi:type="xsd:double"&gt;1.0792274&lt;/D&gt;&lt;/FQL&gt;&lt;FQL&gt;&lt;Q&gt;NVT-US^P_BETA_LOCIDX(44883,44712,,"SPX")&lt;/Q&gt;&lt;R&gt;1&lt;/R&gt;&lt;C&gt;1&lt;/C&gt;&lt;D xsi:type="xsd:double"&gt;1.0796378&lt;/D&gt;&lt;/FQL&gt;&lt;FQL&gt;&lt;Q&gt;NVT-US^P_BETA_LOCIDX(44882,44708,,"SPX")&lt;/Q&gt;&lt;R&gt;1&lt;/R&gt;&lt;C&gt;1&lt;/C&gt;&lt;D xsi:type="xsd:double"&gt;1.0727578&lt;/D&gt;&lt;/FQL&gt;&lt;FQL&gt;&lt;Q&gt;NVT-US^P_BETA_LOCIDX(44881,44707,,"SPX")&lt;/Q&gt;&lt;R&gt;1&lt;/R&gt;&lt;C&gt;1&lt;/C&gt;&lt;D xsi:type="xsd:double"&gt;1.0726653&lt;/D&gt;&lt;/FQL&gt;&lt;FQL&gt;&lt;Q&gt;NVT-US^P_BETA_LOCIDX(44880,44706,,"SPX")&lt;/Q&gt;&lt;R&gt;1&lt;/R&gt;&lt;C&gt;1&lt;/C&gt;&lt;D xsi:type="xsd:double"&gt;1.0748376&lt;/D&gt;&lt;/FQL&gt;&lt;FQL&gt;&lt;Q&gt;NVT-US^P_BETA_LOCIDX(44879,44705,,"SPX")&lt;/Q&gt;&lt;R&gt;1&lt;/R&gt;&lt;C&gt;1&lt;/C&gt;&lt;D xsi:type="xsd:double"&gt;1.0810865&lt;/D&gt;&lt;/FQL&gt;&lt;FQL&gt;&lt;Q&gt;NVT-US^P_BETA_LOCIDX(44876,44704,,"SPX")&lt;/Q&gt;&lt;R&gt;1&lt;/R&gt;&lt;C&gt;1&lt;/C&gt;&lt;D xsi:type="xsd:double"&gt;1.0838841&lt;/D&gt;&lt;/FQL&gt;&lt;FQL&gt;&lt;Q&gt;NVT-US^P_BETA_LOCIDX(44875,44701,,"SPX")&lt;/Q&gt;&lt;R&gt;1&lt;/R&gt;&lt;C&gt;1&lt;/C&gt;&lt;D xsi:type="xsd:double"&gt;1.0904597&lt;/D&gt;&lt;/FQL&gt;&lt;FQL&gt;&lt;Q&gt;NVT-US^P_BETA_LOCIDX(44874,44700,,"SPX")&lt;/Q&gt;&lt;R&gt;1&lt;/R&gt;&lt;C&gt;1&lt;/C&gt;&lt;D xsi:type="xsd:double"&gt;1.147299&lt;/D&gt;&lt;/FQL&gt;&lt;FQL&gt;&lt;Q&gt;NVT-US^P_BETA_LOCIDX(44873,44699,,"SPX")&lt;/Q&gt;&lt;R&gt;1&lt;/R&gt;&lt;C&gt;1&lt;/C&gt;&lt;D xsi:type="xsd:double"&gt;1.1365236&lt;/D&gt;&lt;/FQL&gt;&lt;FQL&gt;&lt;Q&gt;NVT-US^P_BETA_LOCIDX(44872,44698,,"SPX")&lt;/Q&gt;&lt;R&gt;1&lt;/R&gt;&lt;C&gt;1&lt;/C&gt;&lt;D xsi:type="xsd:double"&gt;1.1406605&lt;/D&gt;&lt;/FQL&gt;&lt;FQL&gt;&lt;Q&gt;NVT-US^P_BETA_LOCIDX(44869,44697,,"SPX")&lt;/Q&gt;&lt;R&gt;1&lt;/R&gt;&lt;C&gt;1&lt;/C&gt;&lt;D xsi:type="xsd:double"&gt;1.1481035&lt;/D&gt;&lt;/FQL&gt;&lt;FQL&gt;&lt;Q&gt;NVT-US^P_BETA_LOCIDX(44868,44694,,"SPX")&lt;/Q&gt;&lt;R&gt;1&lt;/R&gt;&lt;C&gt;1&lt;/C&gt;&lt;D xsi:type="xsd:double"&gt;1.1337928&lt;/D&gt;&lt;/FQL&gt;&lt;FQL&gt;&lt;Q&gt;NVT-US^P_BETA_LOCIDX(44867,44693,,"SPX")&lt;/Q&gt;&lt;R&gt;1&lt;/R&gt;&lt;C&gt;1&lt;/C&gt;&lt;D xsi:type="xsd:double"&gt;1.1379617&lt;/D&gt;&lt;/FQL&gt;&lt;FQL&gt;&lt;Q&gt;NVT-US^P_BETA_LOCIDX(44866,44692,,"SPX")&lt;/Q&gt;&lt;R&gt;1&lt;/R&gt;&lt;C&gt;1&lt;/C&gt;&lt;D xsi:type="xsd:double"&gt;1.1330636&lt;/D&gt;&lt;/FQL&gt;&lt;FQL&gt;&lt;Q&gt;NVT-US^P_BETA_LOCIDX(44865,44691,,"SPX")&lt;/Q&gt;&lt;R&gt;1&lt;/R&gt;&lt;C&gt;1&lt;/C&gt;&lt;D xsi:type="xsd:double"&gt;1.1347412&lt;/D&gt;&lt;/FQL&gt;&lt;FQL&gt;&lt;Q&gt;NVT-US^P_BETA_LOCIDX(44862,44690,,"SPX")&lt;/Q&gt;&lt;R&gt;1&lt;/R&gt;&lt;C&gt;1&lt;/C&gt;&lt;D xsi:type="xsd:double"&gt;1.1109802&lt;/D&gt;&lt;/FQL&gt;&lt;FQL&gt;&lt;Q&gt;NVT-US^P_BETA_LOCIDX(44861,44687,,"SPX")&lt;/Q&gt;&lt;R&gt;1&lt;/R&gt;&lt;C&gt;1&lt;/C&gt;&lt;D xsi:type="xsd:double"&gt;1.0772052&lt;/D&gt;&lt;/FQL&gt;&lt;FQL&gt;&lt;Q&gt;NVT-US^P_BETA_LOCIDX(44860,44686,,"SPX")&lt;/Q&gt;&lt;R&gt;1&lt;/R&gt;&lt;C&gt;1&lt;/C&gt;&lt;D xsi:type="xsd:double"&gt;1.059021&lt;/D&gt;&lt;/FQL&gt;&lt;FQL&gt;&lt;Q&gt;NVT-US^P_BETA_LOCIDX(44859,44685,,"SPX")&lt;/Q&gt;&lt;R&gt;1&lt;/R&gt;&lt;C&gt;1&lt;/C&gt;&lt;D xsi:type="xsd:double"&gt;1.045099&lt;/D&gt;&lt;/FQL&gt;&lt;FQL&gt;&lt;Q&gt;NVT-US^P_BETA_LOCIDX(44858,44684,,"SPX")&lt;/Q&gt;&lt;R&gt;1&lt;/R&gt;&lt;C&gt;1&lt;/C&gt;&lt;D xsi:type="xsd:double"&gt;1.0461019&lt;/D&gt;&lt;/FQL&gt;&lt;FQL&gt;&lt;Q&gt;NVT-US^P_BETA_LOCIDX(44855,44683,,"SPX")&lt;/Q&gt;&lt;R&gt;1&lt;/R&gt;&lt;C&gt;1&lt;/C&gt;&lt;D xsi:type="xsd:double"&gt;1.0457238&lt;/D&gt;&lt;/FQL&gt;&lt;FQL&gt;&lt;Q&gt;NVT-US^P_BETA_LOCIDX(44854,44680,,"SPX")&lt;/Q&gt;&lt;R&gt;1&lt;/R&gt;&lt;C&gt;1&lt;/C&gt;&lt;D xsi:type="xsd:double"&gt;1.0191988&lt;/D&gt;&lt;/FQL&gt;&lt;FQL&gt;&lt;Q&gt;NVT-US^P_BETA_LOCIDX(44853,44679,,"SPX")&lt;/Q&gt;&lt;R&gt;1&lt;/R&gt;&lt;C&gt;1&lt;/C&gt;&lt;D xsi:type="xsd:double"&gt;1.0089865&lt;/D&gt;&lt;/FQL&gt;&lt;FQL&gt;&lt;Q&gt;NVT-US^P_BETA_LOCIDX(44852,44678,,"SPX")&lt;/Q&gt;&lt;R&gt;1&lt;/R&gt;&lt;C&gt;1&lt;/C&gt;&lt;D xsi:type="xsd:double"&gt;1.0059627&lt;/D&gt;&lt;/FQL&gt;&lt;FQL&gt;&lt;Q&gt;NVT-US^P_BETA_LOCIDX(44851,44677,,"SPX")&lt;/Q&gt;&lt;R&gt;1&lt;/R&gt;&lt;C&gt;1&lt;/C&gt;&lt;D xsi:type="xsd:double"&gt;1.0061722&lt;/D&gt;&lt;/FQL&gt;&lt;FQL&gt;&lt;Q&gt;NVT-US^P_BETA_LOCIDX(44848,44676,,"SPX")&lt;/Q&gt;&lt;R&gt;1&lt;/R&gt;&lt;C&gt;1&lt;/C&gt;&lt;D xsi:type="xsd:double"&gt;1.0039984&lt;/D&gt;&lt;/FQL&gt;&lt;FQL&gt;&lt;Q&gt;NVT-US^P_BETA_LOCIDX(44847,44673,,"SPX")&lt;/Q&gt;&lt;R&gt;1&lt;/R&gt;&lt;C&gt;1&lt;/C&gt;&lt;D xsi:type="xsd:double"&gt;1.0097749&lt;/D&gt;&lt;/FQL&gt;&lt;FQL&gt;&lt;Q&gt;NVT-US^P_BETA_LOCIDX(44846,44672,,"SPX")&lt;/Q&gt;&lt;R&gt;1&lt;/R&gt;&lt;C&gt;1&lt;/C&gt;&lt;D xsi:type="xsd:double"&gt;0.9967744&lt;/D&gt;&lt;/FQL&gt;&lt;FQL&gt;&lt;Q&gt;NVT-US^P_BETA_LOCIDX(44845,44671,,"SPX")&lt;/Q&gt;&lt;R&gt;1&lt;/R&gt;&lt;C&gt;1&lt;/C&gt;&lt;D xsi:type="xsd:double"&gt;0.9973541&lt;/D&gt;&lt;/FQL&gt;&lt;FQL&gt;&lt;Q&gt;NVT-US^P_BETA_LOCIDX(44844,44670,,"SPX")&lt;/Q&gt;&lt;R&gt;1&lt;/R&gt;&lt;C&gt;1&lt;/C&gt;&lt;D xsi:type="xsd:double"&gt;1.0056903&lt;/D&gt;&lt;/FQL&gt;&lt;FQL&gt;&lt;Q&gt;NVT-US^P_BETA_LOCIDX(44841,44669,,"SPX")&lt;/Q&gt;&lt;R&gt;1&lt;/R&gt;&lt;C&gt;1&lt;/C&gt;&lt;D xsi:type="xsd:double"&gt;1.0060706&lt;/D&gt;&lt;/FQL&gt;&lt;FQL&gt;&lt;Q&gt;NVT-US^P_BETA_LOCIDX(44840,44665,,"SPX")&lt;/Q&gt;&lt;R&gt;1&lt;/R&gt;&lt;C&gt;1&lt;/C&gt;&lt;D xsi:type="xsd:double"&gt;0.99563336&lt;/D&gt;&lt;/FQL&gt;&lt;FQL&gt;&lt;Q&gt;NVT-US^P_BETA_LOCIDX(44839,44664,,"SPX")&lt;/Q&gt;&lt;R&gt;1&lt;/R&gt;&lt;C&gt;1&lt;/C&gt;&lt;D xsi:type="xsd:double"&gt;0.9976237&lt;/D&gt;&lt;/FQL&gt;&lt;FQL&gt;&lt;Q&gt;NVT-US^P_BETA_LOCIDX(44838,44663,,"SPX")&lt;/Q&gt;&lt;R&gt;1&lt;/R&gt;&lt;C&gt;1&lt;/C&gt;&lt;D xsi:type="xsd:double"&gt;0.99726754&lt;/D&gt;&lt;/FQL&gt;&lt;FQL&gt;&lt;Q&gt;NVT-US^P_BETA_LOCIDX(44837,44662,,"SPX")&lt;/Q&gt;&lt;R&gt;1&lt;/R&gt;&lt;C&gt;1&lt;/C&gt;&lt;D xsi:type="xsd:double"&gt;0.98805624&lt;/D&gt;&lt;/FQL&gt;&lt;FQL&gt;&lt;Q&gt;NVT-US^P_BETA_LOCIDX(44834,44659,,"SPX")&lt;/Q&gt;&lt;R&gt;1&lt;/R&gt;&lt;C&gt;1&lt;/C&gt;&lt;D xsi:type="xsd:double"&gt;0.98437726&lt;/D&gt;&lt;/FQL&gt;&lt;FQL&gt;&lt;Q&gt;NVT-US^P_BETA_LOCIDX(44833,44658,,"SPX")&lt;/Q&gt;&lt;R&gt;1&lt;/R&gt;&lt;C&gt;1&lt;/C&gt;&lt;D xsi:type="xsd:double"&gt;0.9921334&lt;/D&gt;&lt;/FQL&gt;&lt;FQL&gt;&lt;Q&gt;NVT-US^P_BETA_LOCIDX(44832,44657,,"SPX")&lt;/Q&gt;&lt;R&gt;1&lt;/R&gt;&lt;C&gt;1&lt;/C&gt;&lt;D xsi:type="xsd:double"&gt;0.9976957&lt;/D&gt;&lt;/FQL&gt;&lt;FQL&gt;&lt;Q&gt;NVT-US^P_BETA_LOCIDX(44831,44656,,"SPX")&lt;/Q&gt;&lt;R&gt;1&lt;/R&gt;&lt;C&gt;1&lt;/C&gt;&lt;D xsi:type="xsd:double"&gt;1.0011836&lt;/D&gt;&lt;/FQL&gt;&lt;FQL&gt;&lt;Q&gt;NVT-US^P_BETA_LOCIDX(44830,44655,,"SPX")&lt;/Q&gt;&lt;R&gt;1&lt;/R&gt;&lt;C&gt;1&lt;/C&gt;&lt;D xsi:type="xsd:double"&gt;0.9943062&lt;/D&gt;&lt;/FQL&gt;&lt;FQL&gt;&lt;Q&gt;NVT-US^P_BETA_LOCIDX(44827,44652,,"SPX")&lt;/Q&gt;&lt;R&gt;1&lt;/R&gt;&lt;C&gt;1&lt;/C&gt;&lt;D xsi:type="xsd:double"&gt;0.99441254&lt;/D&gt;&lt;/FQL&gt;&lt;FQL&gt;&lt;Q&gt;NVT-US^P_BETA_LOCIDX(44826,44651,,"SPX")&lt;/Q&gt;&lt;R&gt;1&lt;/R&gt;&lt;C&gt;1&lt;/C&gt;&lt;D xsi:type="xsd:double"&gt;1.0014528&lt;/D&gt;&lt;/FQL&gt;&lt;FQL&gt;&lt;Q&gt;NVT-US^P_BETA_LOCIDX(44825,44650,,"SPX")&lt;/Q&gt;&lt;R&gt;1&lt;/R&gt;&lt;C&gt;1&lt;/C&gt;&lt;D xsi:type="xsd:double"&gt;1.0011069&lt;/D&gt;&lt;/FQL&gt;&lt;FQL&gt;&lt;Q&gt;NVT-US^P_BETA_LOCIDX(44824,44649,,"SPX")&lt;/Q&gt;&lt;R&gt;1&lt;/R&gt;&lt;C&gt;1&lt;/C&gt;&lt;D xsi:type="xsd:double"&gt;1.005255&lt;/D&gt;&lt;/FQL&gt;&lt;FQL&gt;&lt;Q&gt;NVT-US^P_BETA_LOCIDX(44823,44648,,"SPX")&lt;/Q&gt;&lt;R&gt;1&lt;/R&gt;&lt;C&gt;1&lt;/C&gt;&lt;D xsi:type="xsd:double"&gt;1.0048566&lt;/D&gt;&lt;/FQL&gt;&lt;FQL&gt;&lt;Q&gt;NVT-US^P_BETA_LOCIDX(44820,44645,,"SPX")&lt;/Q&gt;&lt;R&gt;1&lt;/R&gt;&lt;C&gt;1&lt;/C&gt;&lt;D xsi:type="xsd:double"&gt;1.0022737&lt;/D&gt;&lt;/FQL&gt;&lt;FQL&gt;&lt;Q&gt;NVT-US^P_BETA_LOCIDX(44819,44644,,"SPX")&lt;/Q&gt;&lt;R&gt;1&lt;/R&gt;&lt;C&gt;1&lt;/C&gt;&lt;D xsi:type="xsd:double"&gt;0.98604167&lt;/D&gt;&lt;/FQL&gt;&lt;FQL&gt;&lt;Q&gt;NVT-US^P_BETA_LOCIDX(44818,44643,,"SPX")&lt;/Q&gt;&lt;R&gt;1&lt;/R&gt;&lt;C&gt;1&lt;/C&gt;&lt;D xsi:type="xsd:double"&gt;0.99443066&lt;/D&gt;&lt;/FQL&gt;&lt;FQL&gt;&lt;Q&gt;NVT-US^P_BETA_LOCIDX(44817,44642,,"SPX")&lt;/Q&gt;&lt;R&gt;1&lt;/R&gt;&lt;C&gt;1&lt;/C&gt;&lt;D xsi:type="xsd:double"&gt;0.98549235&lt;/D&gt;&lt;/FQL&gt;&lt;FQL&gt;&lt;Q&gt;NVT-US^P_BETA_LOCIDX(44816,44641,,"SPX")&lt;/Q&gt;&lt;R&gt;1&lt;/R&gt;&lt;C&gt;1&lt;/C&gt;&lt;D xsi:type="xsd:double"&gt;0.98711264&lt;/D&gt;&lt;/FQL&gt;&lt;FQL&gt;&lt;Q&gt;NVT-US^P_BETA_LOCIDX(44813,44638,,"SPX")&lt;/Q&gt;&lt;R&gt;1&lt;/R&gt;&lt;C&gt;1&lt;/C&gt;&lt;D xsi:type="xsd:double"&gt;0.98987573&lt;/D&gt;&lt;/FQL&gt;&lt;FQL&gt;&lt;Q&gt;NVT-US^P_BETA_LOCIDX(44812,44637,,"SPX")&lt;/Q&gt;&lt;R&gt;1&lt;/R&gt;&lt;C&gt;1&lt;/C&gt;&lt;D xsi:type="xsd:double"&gt;0.9827269&lt;/D&gt;&lt;/FQL&gt;&lt;FQL&gt;&lt;Q&gt;NVT-US^P_BETA_LOCIDX(44811,44636,,"SPX")&lt;/Q&gt;&lt;R&gt;1&lt;/R&gt;&lt;C&gt;1&lt;/C&gt;&lt;D xsi:type="xsd:double"&gt;0.9805938&lt;/D&gt;&lt;/FQL&gt;&lt;FQL&gt;&lt;Q&gt;NVT-US^P_BETA_LOCIDX(44810,44635,,"SPX")&lt;/Q&gt;&lt;R&gt;1&lt;/R&gt;&lt;C&gt;1&lt;/C&gt;&lt;D xsi:type="xsd:double"&gt;0.95362514&lt;/D&gt;&lt;/FQL&gt;&lt;FQL&gt;&lt;Q&gt;NVT-US^P_BETA_LOCIDX(44806,44634,,"SPX")&lt;/Q&gt;&lt;R&gt;1&lt;/R&gt;&lt;C&gt;1&lt;/C&gt;&lt;D xsi:type="xsd:double"&gt;0.9521171&lt;/D&gt;&lt;/FQL&gt;&lt;FQL&gt;&lt;Q&gt;NVT-US^P_BETA_LOCIDX(44805,44631,,"SPX")&lt;/Q&gt;&lt;R&gt;1&lt;/R&gt;&lt;C&gt;1&lt;/C&gt;&lt;D xsi:type="xsd:double"&gt;0.94743246&lt;/D&gt;&lt;/FQL&gt;&lt;FQL&gt;&lt;Q&gt;NVT-US^P_BETA_LOCIDX(44804,44630,,"SPX")&lt;/Q&gt;&lt;R&gt;1&lt;/R&gt;&lt;C&gt;1&lt;/C&gt;&lt;D xsi:type="xsd:double"&gt;0.9486634&lt;/D&gt;&lt;/FQL&gt;&lt;FQL&gt;&lt;Q&gt;NVT-US^P_BETA_LOCIDX(44803,44629,,"SPX")&lt;/Q&gt;&lt;R&gt;1&lt;/R&gt;&lt;C&gt;1&lt;/C&gt;&lt;D xsi:type="xsd:double"&gt;0.9630032&lt;/D&gt;&lt;/FQL&gt;&lt;FQL&gt;&lt;Q&gt;NVT-US^P_BETA_LOCIDX(44802,44628,,"SPX")&lt;/Q&gt;&lt;R&gt;1&lt;/R&gt;&lt;C&gt;1&lt;/C&gt;&lt;D xsi:type="xsd:double"&gt;0.957862&lt;/D&gt;&lt;/FQL&gt;&lt;FQL&gt;&lt;Q&gt;NVT-US^P_BETA_LOCIDX(44799,44627,,"SPX")&lt;/Q&gt;&lt;R&gt;1&lt;/R&gt;&lt;C&gt;1&lt;/C&gt;&lt;D xsi:type="xsd:double"&gt;0.95827717&lt;/D&gt;&lt;/FQL&gt;&lt;FQL&gt;&lt;Q&gt;NVT-US^P_BETA_LOCIDX(44798,44624,,"SPX")&lt;/Q&gt;&lt;R&gt;1&lt;/R&gt;&lt;C&gt;1&lt;/C&gt;&lt;D xsi:type="xsd:double"&gt;0.95257986&lt;/D&gt;&lt;/FQL&gt;&lt;FQL&gt;&lt;Q&gt;NVT-US^P_BETA_LOCIDX(44797,44623,,"SPX")&lt;/Q&gt;&lt;R&gt;1&lt;/R&gt;&lt;C&gt;1&lt;/C&gt;&lt;D xsi:type="xsd:double"&gt;0.9544888&lt;/D&gt;&lt;/FQL&gt;&lt;FQL&gt;&lt;Q&gt;NVT-US^P_BETA_LOCIDX(44796,44622,,"SPX")&lt;/Q&gt;&lt;R&gt;1&lt;/R&gt;&lt;C&gt;1&lt;/C&gt;&lt;D xsi:type="xsd:double"&gt;0.96323967&lt;/D&gt;&lt;/FQL&gt;&lt;FQL&gt;&lt;Q&gt;NVT-US^P_BETA_LOCIDX(44795,44621,,"SPX")&lt;/Q&gt;&lt;R&gt;1&lt;/R&gt;&lt;C&gt;1&lt;/C&gt;&lt;D xsi:type="xsd:double"&gt;0.9636392&lt;/D&gt;&lt;/FQL&gt;&lt;FQL&gt;&lt;Q&gt;NVT-US^P_BETA_LOCIDX(44792,44620,,"SPX")&lt;/Q&gt;&lt;R&gt;1&lt;/R&gt;&lt;C&gt;1&lt;/C&gt;&lt;D xsi:type="xsd:double"&gt;0.9592606&lt;/D&gt;&lt;/FQL&gt;&lt;FQL&gt;&lt;Q&gt;NVT-US^P_BETA_LOCIDX(44791,44617,,"SPX")&lt;/Q&gt;&lt;R&gt;1&lt;/R&gt;&lt;C&gt;1&lt;/C&gt;&lt;D xsi:type="xsd:double"&gt;0.9620491&lt;/D&gt;&lt;/FQL&gt;&lt;FQL&gt;&lt;Q&gt;NVT-US^P_BETA_LOCIDX(44790,44616,,"SPX")&lt;/Q&gt;&lt;R&gt;1&lt;/R&gt;&lt;C&gt;1&lt;/C&gt;&lt;D xsi:type="xsd:double"&gt;0.9601858&lt;/D&gt;&lt;/FQL&gt;&lt;FQL&gt;&lt;Q&gt;NVT-US^P_BETA_LOCIDX(44789,44615,,"SPX")&lt;/Q&gt;&lt;R&gt;1&lt;/R&gt;&lt;C&gt;1&lt;/C&gt;&lt;D xsi:type="xsd:double"&gt;0.95872533&lt;/D&gt;&lt;/FQL&gt;&lt;FQL&gt;&lt;Q&gt;NVT-US^P_BETA_LOCIDX(44788,44614,,"SPX")&lt;/Q&gt;&lt;R&gt;1&lt;/R&gt;&lt;C&gt;1&lt;/C&gt;&lt;D xsi:type="xsd:double"&gt;0.9608057&lt;/D&gt;&lt;/FQL&gt;&lt;FQL&gt;&lt;Q&gt;NVT-US^P_BETA_LOCIDX(44785,44610,,"SPX")&lt;/Q&gt;&lt;R&gt;1&lt;/R&gt;&lt;C&gt;1&lt;/C&gt;&lt;D xsi:type="xsd:double"&gt;0.9579723&lt;/D&gt;&lt;/FQL&gt;&lt;FQL&gt;&lt;Q&gt;NVT-US^P_BETA_LOCIDX(44784,44609,,"SPX")&lt;/Q&gt;&lt;R&gt;1&lt;/R&gt;&lt;C&gt;1&lt;/C&gt;&lt;D xsi:type="xsd:double"&gt;0.9723546&lt;/D&gt;&lt;/FQL&gt;&lt;FQL&gt;&lt;Q&gt;NVT-US^P_BETA_LOCIDX(44783,44608,,"SPX")&lt;/Q&gt;&lt;R&gt;1&lt;/R&gt;&lt;C&gt;1&lt;/C&gt;&lt;D xsi:type="xsd:double"&gt;0.9732128&lt;/D&gt;&lt;/FQL&gt;&lt;FQL&gt;&lt;Q&gt;NVT-US^P_BETA_LOCIDX(44782,44607,,"SPX")&lt;/Q&gt;&lt;R&gt;1&lt;/R&gt;&lt;C&gt;1&lt;/C&gt;&lt;D xsi:type="xsd:double"&gt;0.96885055&lt;/D&gt;&lt;/FQL&gt;&lt;FQL&gt;&lt;Q&gt;NVT-US^P_BETA_LOCIDX(44781,44606,,"SPX")&lt;/Q&gt;&lt;R&gt;1&lt;/R&gt;&lt;C&gt;1&lt;/C&gt;&lt;D xsi:type="xsd:double"&gt;0.968258&lt;/D&gt;&lt;/FQL&gt;&lt;FQL&gt;&lt;Q&gt;NVT-US^P_BETA_LOCIDX(44778,44603,,"SPX")&lt;/Q&gt;&lt;R&gt;1&lt;/R&gt;&lt;C&gt;1&lt;/C&gt;&lt;D xsi:type="xsd:double"&gt;0.977202&lt;/D&gt;&lt;/FQL&gt;&lt;FQL&gt;&lt;Q&gt;NVT-US^P_BETA_LOCIDX(44777,44602,,"SPX")&lt;/Q&gt;&lt;R&gt;1&lt;/R&gt;&lt;C&gt;1&lt;/C&gt;&lt;D xsi:type="xsd:double"&gt;0.9826619&lt;/D&gt;&lt;/FQL&gt;&lt;FQL&gt;&lt;Q&gt;NVT-US^P_BETA_LOCIDX(44776,44601,,"SPX")&lt;/Q&gt;&lt;R&gt;1&lt;/R&gt;&lt;C&gt;1&lt;/C&gt;&lt;D xsi:type="xsd:double"&gt;0.9926529&lt;/D&gt;&lt;/FQL&gt;&lt;FQL&gt;&lt;Q&gt;NVT-US^P_BETA_LOCIDX(44775,44600,,"SPX")&lt;/Q&gt;&lt;R&gt;1&lt;/R&gt;&lt;C&gt;1&lt;/C&gt;&lt;D xsi:type="xsd:double"&gt;0.99507785&lt;/D&gt;&lt;/FQL&gt;&lt;FQL&gt;&lt;Q&gt;NVT-US^P_BETA_LOCIDX(44774,44599,,"SPX")&lt;/Q&gt;&lt;R&gt;1&lt;/R&gt;&lt;C&gt;1&lt;/C&gt;&lt;D xsi:type="xsd:double"&gt;0.9902687&lt;/D&gt;&lt;/FQL&gt;&lt;FQL&gt;&lt;Q&gt;NVT-US^P_BETA_LOCIDX(45845,45670,,"SPX")&lt;/Q&gt;&lt;R&gt;1&lt;/R&gt;&lt;C&gt;1&lt;/C&gt;&lt;D xsi:type="xsd:double"&gt;1.654897&lt;/D&gt;&lt;/FQL&gt;&lt;FQL&gt;&lt;Q&gt;CRH-US^P_BETA_LOCIDX(45037,44861,,"SPX")&lt;/Q&gt;&lt;R&gt;1&lt;/R&gt;&lt;C&gt;1&lt;/C&gt;&lt;D xsi:type="xsd:double"&gt;1.1467484&lt;/D&gt;&lt;/FQL&gt;&lt;FQL&gt;&lt;Q&gt;CRH-US^P_BETA_LOCIDX(45806,45629,,"SPX")&lt;/Q&gt;&lt;R&gt;1&lt;/R&gt;&lt;C&gt;1&lt;/C&gt;&lt;D xsi:type="xsd:double"&gt;1.2661556&lt;/D&gt;&lt;/FQL&gt;&lt;FQL&gt;&lt;Q&gt;CRH-US^P_BETA_LOCIDX(45987,45818,,"SPX")&lt;/Q&gt;&lt;R&gt;1&lt;/R&gt;&lt;C&gt;1&lt;/C&gt;&lt;D xsi:type="xsd:double"&gt;1.1925155&lt;/D&gt;&lt;/FQL&gt;&lt;FQL&gt;&lt;Q&gt;CRH-US^P_BETA_LOCIDX(46029,45855,,"SPX")&lt;/Q&gt;&lt;R&gt;1&lt;/R&gt;&lt;C&gt;1&lt;/C&gt;&lt;D xsi:type="xsd:double"&gt;1.1525435&lt;/D&gt;&lt;/FQL&gt;&lt;FQL&gt;&lt;Q&gt;CRH-US^P_BETA_LOCIDX(45469,45294,,"SPX")&lt;/Q&gt;&lt;R&gt;1&lt;/R&gt;&lt;C&gt;1&lt;/C&gt;&lt;D xsi:type="xsd:double"&gt;1.3034714&lt;/D&gt;&lt;/FQL&gt;&lt;FQL&gt;&lt;Q&gt;CRH-US^P_BETA_LOCIDX(44957,44782,,"SPX")&lt;/Q&gt;&lt;R&gt;1&lt;/R&gt;&lt;C&gt;1&lt;/C&gt;&lt;D xsi:type="xsd:double"&gt;1.2034137&lt;/D&gt;&lt;/FQL&gt;&lt;FQL&gt;&lt;Q&gt;CRH-US^P_BETA_LOCIDX(45350,45175,,"SPX")&lt;/Q&gt;&lt;R&gt;1&lt;/R&gt;&lt;C&gt;1&lt;/C&gt;&lt;D xsi:type="xsd:double"&gt;1.1711973&lt;/D&gt;&lt;/FQL&gt;&lt;FQL&gt;&lt;Q&gt;CRH-US^P_BETA_LOCIDX(45175,45000,,"SPX")&lt;/Q&gt;&lt;R&gt;1&lt;/R&gt;&lt;C&gt;1&lt;/C&gt;&lt;D xsi:type="xsd:double"&gt;1.0347158&lt;/D&gt;&lt;/FQL&gt;&lt;FQL&gt;&lt;Q&gt;CRH-US^P_BETA_LOCIDX(45329,45154,,"SPX")&lt;/Q&gt;&lt;R&gt;1&lt;/R&gt;&lt;C&gt;1&lt;/C&gt;&lt;D xsi:type="xsd:double"&gt;1.2181412&lt;/D&gt;&lt;/FQL&gt;&lt;FQL&gt;&lt;Q&gt;CRH-US^P_BETA_LOCIDX(45062,44886,,"SPX")&lt;/Q&gt;&lt;R&gt;1&lt;/R&gt;&lt;C&gt;1&lt;/C&gt;&lt;D xsi:type="xsd:double"&gt;0.94419044&lt;/D&gt;&lt;/FQL&gt;&lt;FQL&gt;&lt;Q&gt;CRH-US^P_BETA_LOCIDX(45596,45422,,"SPX")&lt;/Q&gt;&lt;R&gt;1&lt;/R&gt;&lt;C&gt;1&lt;/C&gt;&lt;D xsi:type="xsd:double"&gt;1.2927893&lt;/D&gt;&lt;/FQL&gt;&lt;FQL&gt;&lt;Q&gt;CRH-US^P_BETA_LOCIDX(45447,45271,,"SPX")&lt;/Q&gt;&lt;R&gt;1&lt;/R&gt;&lt;C&gt;1&lt;/C&gt;&lt;D xsi:type="xsd:double"&gt;1.2691233&lt;/D&gt;&lt;/FQL&gt;&lt;FQL&gt;&lt;Q&gt;CRH-US^P_BETA_LOCIDX(46017,45846,,"SPX")&lt;/Q&gt;&lt;R&gt;1&lt;/R&gt;&lt;C&gt;1&lt;/C&gt;&lt;D xsi:type="xsd:double"&gt;1.1050442&lt;/D&gt;&lt;/FQL&gt;&lt;FQL&gt;&lt;Q&gt;CRH-US^P_BETA_LOCIDX(45456,45280,,"SPX")&lt;/Q&gt;&lt;R&gt;1&lt;/R&gt;&lt;C&gt;1&lt;/C&gt;&lt;D xsi:type="xsd:double"&gt;1.2647957&lt;/D&gt;&lt;/FQL&gt;&lt;FQL&gt;&lt;Q&gt;CRH-US^P_BETA_LOCIDX(45106,44931,,"SPX")&lt;/Q&gt;&lt;R&gt;1&lt;/R&gt;&lt;C&gt;1&lt;/C&gt;&lt;D xsi:type="xsd:double"&gt;1.0492228&lt;/D&gt;&lt;/FQL&gt;&lt;FQL&gt;&lt;Q&gt;CRH-US^P_BETA_LOCIDX(45250,45077,,"SPX")&lt;/Q&gt;&lt;R&gt;1&lt;/R&gt;&lt;C&gt;1&lt;/C&gt;&lt;D xsi:type="xsd:double"&gt;1.1818162&lt;/D&gt;&lt;/FQL&gt;&lt;FQL&gt;&lt;Q&gt;CRH-US^P_BETA_LOCIDX(45541,45366,,"SPX")&lt;/Q&gt;&lt;R&gt;1&lt;/R&gt;&lt;C&gt;1&lt;/C&gt;&lt;D xsi:type="xsd:double"&gt;1.3909978&lt;/D&gt;&lt;/FQL&gt;&lt;FQL&gt;&lt;Q&gt;CRH-US^P_BETA_LOCIDX(45356,45181,,"SPX")&lt;/Q&gt;&lt;R&gt;1&lt;/R&gt;&lt;C&gt;1&lt;/C&gt;&lt;D xsi:type="xsd:double"&gt;1.2176987&lt;/D&gt;&lt;/FQL&gt;&lt;FQL&gt;&lt;Q&gt;CRH-US^P_BETA_LOCIDX(45826,45649,,"SPX")&lt;/Q&gt;&lt;R&gt;1&lt;/R&gt;&lt;C&gt;1&lt;/C&gt;&lt;D xsi:type="xsd:double"&gt;1.2601137&lt;/D&gt;&lt;/FQL&gt;&lt;FQL&gt;&lt;Q&gt;CRH-US^P_BETA_LOCIDX(45680,45504,,"SPX")&lt;/Q&gt;&lt;R&gt;1&lt;/R&gt;&lt;C&gt;1&lt;/C&gt;&lt;D xsi:type="xsd:double"&gt;1.2444514&lt;/D&gt;&lt;/FQL&gt;&lt;FQL&gt;&lt;Q&gt;CRH-US^P_BETA_LOCIDX(45792,45615,,"SPX")&lt;/Q&gt;&lt;R&gt;1&lt;/R&gt;&lt;C&gt;1&lt;/C&gt;&lt;D xsi:type="xsd:double"&gt;1.2694018&lt;/D&gt;&lt;/FQL&gt;&lt;FQL&gt;&lt;Q&gt;CRH-US^P_BETA_LOCIDX(45114,44938,,"SPX")&lt;/Q&gt;&lt;R&gt;1&lt;/R&gt;&lt;C&gt;1&lt;/C&gt;&lt;D xsi:type="xsd:double"&gt;1.0384108&lt;/D&gt;&lt;/FQL&gt;&lt;FQL&gt;&lt;Q&gt;CRH-US^P_BETA_LOCIDX(45687,45511,,"SPX")&lt;/Q&gt;&lt;R&gt;1&lt;/R&gt;&lt;C&gt;1&lt;/C&gt;&lt;D xsi:type="xsd:double"&gt;1.1909468&lt;/D&gt;&lt;/FQL&gt;&lt;FQL&gt;&lt;Q&gt;CRH-US^P_BETA_LOCIDX(46022,45849,,"SPX")&lt;/Q&gt;&lt;R&gt;1&lt;/R&gt;&lt;C&gt;1&lt;/C&gt;&lt;D xsi:type="xsd:double"&gt;1.1138052&lt;/D&gt;&lt;/FQL&gt;&lt;FQL&gt;&lt;Q&gt;CRH-US^P_BETA_LOCIDX(45191,45016,,"SPX")&lt;/Q&gt;&lt;R&gt;1&lt;/R&gt;&lt;C&gt;1&lt;/C&gt;&lt;D xsi:type="xsd:double"&gt;1.0415081&lt;/D&gt;&lt;/FQL&gt;&lt;FQL&gt;&lt;Q&gt;CRH-US^P_BETA_LOCIDX(45685,45509,,"SPX")&lt;/Q&gt;&lt;R&gt;1&lt;/R&gt;&lt;C&gt;1&lt;/C&gt;&lt;D xsi:type="xsd:double"&gt;1.1654173&lt;/D&gt;&lt;/FQL&gt;&lt;FQL&gt;&lt;Q&gt;CRH-US^P_BETA_LOCIDX(45918,45744,,"SPX")&lt;/Q&gt;&lt;R&gt;1&lt;/R&gt;&lt;C&gt;1&lt;/C&gt;&lt;D xsi:type="xsd:double"&gt;1.2051576&lt;/D&gt;&lt;/FQL&gt;&lt;FQL&gt;&lt;Q&gt;CRH-US^P_BETA_LOCIDX(45212,45040,,"SPX")&lt;/Q&gt;&lt;R&gt;1&lt;/R&gt;&lt;C&gt;1&lt;/C&gt;&lt;D xsi:type="xsd:double"&gt;1.078494&lt;/D&gt;&lt;/FQL&gt;&lt;FQL&gt;&lt;Q&gt;CRH-US^P_BETA_LOCIDX(46010,45840,,"SPX")&lt;/Q&gt;&lt;R&gt;1&lt;/R&gt;&lt;C&gt;1&lt;/C&gt;&lt;D xsi:type="xsd:double"&gt;1.0980368&lt;/D&gt;&lt;/FQL&gt;&lt;FQL&gt;&lt;Q&gt;CRH-US^P_BETA_LOCIDX(45645,45474,,"SPX")&lt;/Q&gt;&lt;R&gt;1&lt;/R&gt;&lt;C&gt;1&lt;/C&gt;&lt;D xsi:type="xsd:double"&gt;1.249674&lt;/D&gt;&lt;/FQL&gt;&lt;FQL&gt;&lt;Q&gt;CRH-US^P_BETA_LOCIDX(45786,45609,,"SPX")&lt;/Q&gt;&lt;R&gt;1&lt;/R&gt;&lt;C&gt;1&lt;/C&gt;&lt;D xsi:type="xsd:double"&gt;1.2688586&lt;/D&gt;&lt;/FQL&gt;&lt;FQL&gt;&lt;Q&gt;CRH-US^P_BETA_LOCIDX(45299,45125,,"SPX")&lt;/Q&gt;&lt;R&gt;1&lt;/R&gt;&lt;C&gt;1&lt;/C&gt;&lt;D xsi:type="xsd:double"&gt;1.2333835&lt;/D&gt;&lt;/FQL&gt;&lt;FQL&gt;&lt;Q&gt;CRH-US^P_BETA_LOCIDX(45937,45764,,"SPX")&lt;/Q&gt;&lt;R&gt;1&lt;/R&gt;&lt;C&gt;1&lt;/C&gt;&lt;D xsi:type="xsd:double"&gt;1.3892074&lt;/D&gt;&lt;/FQL&gt;&lt;FQL&gt;&lt;Q&gt;CRH-US^P_BETA_LOCIDX(45000,44825,,"SPX")&lt;/Q&gt;&lt;R&gt;1&lt;/R&gt;&lt;C&gt;1&lt;/C&gt;&lt;D xsi:type="xsd:double"&gt;1.2334293&lt;/D&gt;&lt;/FQL&gt;&lt;FQL&gt;&lt;Q&gt;CRH-US^P_BETA_LOCIDX(45104,44929,,"SPX")&lt;/Q&gt;&lt;R&gt;1&lt;/R&gt;&lt;C&gt;1&lt;/C&gt;&lt;D xsi:type="xsd:double"&gt;1.0604861&lt;/D&gt;&lt;/FQL&gt;&lt;FQL&gt;&lt;Q&gt;CRH-US^P_BETA_LOCIDX(45433,45258,,"SPX")&lt;/Q&gt;&lt;R&gt;1&lt;/R&gt;&lt;C&gt;1&lt;/C&gt;&lt;D xsi:type="xsd:double"&gt;1.3209054&lt;/D&gt;&lt;/FQL&gt;&lt;FQL&gt;&lt;Q&gt;CRH-US^P_BETA_LOCIDX(45208,45034,,"SPX")&lt;/Q&gt;&lt;R&gt;1&lt;/R&gt;&lt;C&gt;1&lt;/C&gt;&lt;D xsi:type="xsd:double"&gt;1.0388464&lt;/D&gt;&lt;/FQL&gt;&lt;FQL&gt;&lt;Q&gt;CRH-US^P_BETA_LOCIDX(45399,45223,,"SPX")&lt;/Q&gt;&lt;R&gt;1&lt;/R&gt;&lt;C&gt;1&lt;/C&gt;&lt;D xsi:type="xsd:double"&gt;1.1226084&lt;/D&gt;&lt;/FQL&gt;&lt;FQL&gt;&lt;Q&gt;CRH-US^P_BETA_LOCIDX(45453,45275,,"SPX")&lt;/Q&gt;&lt;R&gt;1&lt;/R&gt;&lt;C&gt;1&lt;/C&gt;&lt;D xsi:type="xsd:double"&gt;1.2701056&lt;/D&gt;&lt;/FQL&gt;&lt;FQL&gt;&lt;Q&gt;CRH-US^P_BETA_LOCIDX(45897,45726,,"SPX")&lt;/Q&gt;&lt;R&gt;1&lt;/R&gt;&lt;C&gt;1&lt;/C&gt;&lt;D xsi:type="xsd:double"&gt;1.2534695&lt;/D&gt;&lt;/FQL&gt;&lt;FQL&gt;&lt;Q&gt;CRH-US^P_BETA_LOCIDX(45813,45636,,"SPX")&lt;/Q&gt;&lt;R&gt;1&lt;/R&gt;&lt;C&gt;1&lt;/C&gt;&lt;D xsi:type="xsd:double"&gt;1.2547243&lt;/D&gt;&lt;/FQL&gt;&lt;FQL&gt;&lt;Q&gt;CRH-US^P_BETA_LOCIDX(45517,45343,,"SPX")&lt;/Q&gt;&lt;R&gt;1&lt;/R&gt;&lt;C&gt;1&lt;/C&gt;&lt;D xsi:type="xsd:double"&gt;1.4023423&lt;/D&gt;&lt;/FQL&gt;&lt;FQL&gt;&lt;Q&gt;CRH-US^P_BETA_LOCIDX(46043,45875,,"SPX")&lt;/Q&gt;&lt;R&gt;1&lt;/R&gt;&lt;C&gt;1&lt;/C&gt;&lt;D xsi:type="xsd:double"&gt;1.190662&lt;/D&gt;&lt;/FQL&gt;&lt;FQL&gt;&lt;Q&gt;CRH-US^P_BETA_LOCIDX(45779,45602,,"SPX")&lt;/Q&gt;&lt;R&gt;1&lt;/R&gt;&lt;C&gt;1&lt;/C&gt;&lt;D xsi:type="xsd:double"&gt;1.2623476&lt;/D&gt;&lt;/FQL&gt;&lt;FQL&gt;&lt;Q&gt;CRH-US^P_BETA_LOCIDX(45737,45561,,"SPX")&lt;/Q&gt;&lt;R&gt;1&lt;/R&gt;&lt;C&gt;1&lt;/C&gt;&lt;D xsi:type="xsd:double"&gt;1.3175231&lt;/D&gt;&lt;/FQL&gt;&lt;FQL&gt;&lt;Q&gt;CRH-US^P_BETA_LOCIDX(45699,45523,,"SPX")&lt;/Q&gt;&lt;R&gt;1&lt;/R&gt;&lt;C&gt;1&lt;/C&gt;&lt;D xsi:type="xsd:double"&gt;1.0611274&lt;/D&gt;&lt;/FQL&gt;&lt;FQL&gt;&lt;Q&gt;CRH-US^P_BETA_LOCIDX(45202,45028,,"SPX")&lt;/Q&gt;&lt;R&gt;1&lt;/R&gt;&lt;C&gt;1&lt;/C&gt;&lt;D xsi:type="xsd:double"&gt;1.0044682&lt;/D&gt;&lt;/FQL&gt;&lt;FQL&gt;&lt;Q&gt;CRH-US^P_BETA_LOCIDX(46042,45874,,"SPX")&lt;/Q&gt;&lt;R&gt;1&lt;/R&gt;&lt;C&gt;1&lt;/C&gt;&lt;D xsi:type="xsd:double"&gt;1.2152036&lt;/D&gt;&lt;/FQL&gt;&lt;FQL&gt;&lt;Q&gt;CRH-US^P_BETA_LOCIDX(45246,45072,,"SPX")&lt;/Q&gt;&lt;R&gt;1&lt;/R&gt;&lt;C&gt;1&lt;/C&gt;&lt;D xsi:type="xsd:double"&gt;1.2000172&lt;/D&gt;&lt;/FQL&gt;&lt;FQL&gt;&lt;Q&gt;CRH-US^P_BETA_LOCIDX(45568,45394,,"SPX")&lt;/Q&gt;&lt;R&gt;1&lt;/R&gt;&lt;C&gt;1&lt;/C&gt;&lt;D xsi:type="xsd:double"&gt;1.404127&lt;/D&gt;&lt;/FQL&gt;&lt;FQL&gt;&lt;Q&gt;CRH-US^P_BETA_LOCIDX(45148,44973,,"SPX")&lt;/Q&gt;&lt;R&gt;1&lt;/R&gt;&lt;C&gt;1&lt;/C&gt;&lt;D xsi:type="xsd:double"&gt;1.0584737&lt;/D&gt;&lt;/FQL&gt;&lt;FQL&gt;&lt;Q&gt;CRH-US^P_BETA_LOCIDX(45905,45733,,"SPX")&lt;/Q&gt;&lt;R&gt;1&lt;/R&gt;&lt;C&gt;1&lt;/C&gt;&lt;D xsi:type="xsd:double"&gt;1.232708&lt;/D&gt;&lt;/FQL&gt;&lt;FQL&gt;&lt;Q&gt;CRH-US^P_BETA_LOCIDX(45328,45153,,"SPX")&lt;/Q&gt;&lt;R&gt;1&lt;/R&gt;&lt;C&gt;1&lt;/C&gt;&lt;D xsi:type="xsd:double"&gt;1.2072147&lt;/D&gt;&lt;/FQL&gt;&lt;FQL&gt;&lt;Q&gt;CRH-US^P_BETA_LOCIDX(45771,45594,,"SPX")&lt;/Q&gt;&lt;R&gt;1&lt;/R&gt;&lt;C&gt;1&lt;/C&gt;&lt;D xsi:type="xsd:double"&gt;1.2509499&lt;/D&gt;&lt;/FQL&gt;&lt;FQL&gt;&lt;Q&gt;CRH-US^P_BETA_LOCIDX(46024,45852,,"SPX")&lt;/Q&gt;&lt;R&gt;1&lt;/R&gt;&lt;C&gt;1&lt;/C&gt;&lt;D xsi:type="xsd:double"&gt;1.1123642&lt;/D&gt;&lt;/FQL&gt;&lt;FQL&gt;&lt;Q&gt;CRH-US^P_BETA_LOCIDX(45726,45548,,"SPX")&lt;/Q&gt;&lt;R&gt;1&lt;/R&gt;&lt;C&gt;1&lt;/C&gt;&lt;D xsi:type="xsd:double"&gt;1.284794&lt;/D&gt;&lt;/FQL&gt;&lt;FQL&gt;&lt;Q&gt;CRH-US^P_BETA_LOCIDX(45778,45601,,"SPX")&lt;/Q&gt;&lt;R&gt;1&lt;/R&gt;&lt;C&gt;1&lt;/C&gt;&lt;D xsi:type="xsd:double"&gt;1.2645713&lt;/D&gt;&lt;/FQL&gt;&lt;FQL&gt;&lt;Q&gt;CRH-US^P_BETA_LOCIDX(45176,45001,,"SPX")&lt;/Q&gt;&lt;R&gt;1&lt;/R&gt;&lt;C&gt;1&lt;/C&gt;&lt;D xsi:type="xsd:double"&gt;0.99267894&lt;/D&gt;&lt;/FQL&gt;&lt;FQL&gt;&lt;Q&gt;CRH-US^P_BETA_LOCIDX(45617,45446,,"SPX")&lt;/Q&gt;&lt;R&gt;1&lt;/R&gt;&lt;C&gt;1&lt;/C&gt;&lt;D xsi:type="xsd:double"&gt;1.2634947&lt;/D&gt;&lt;/FQL&gt;&lt;FQL&gt;&lt;Q&gt;CRH-US^P_BETA_LOCIDX(45610,45436,,"SPX")&lt;/Q&gt;&lt;R&gt;1&lt;/R&gt;&lt;C&gt;1&lt;/C&gt;&lt;D xsi:type="xsd:double"&gt;1.2650076&lt;/D&gt;&lt;/FQL&gt;&lt;FQL&gt;&lt;Q&gt;CRH-US^P_BETA_LOCIDX(45063,44887,,"SPX")&lt;/Q&gt;&lt;R&gt;1&lt;/R&gt;&lt;C&gt;1&lt;/C&gt;&lt;D xsi:type="xsd:double"&gt;0.94276386&lt;/D&gt;&lt;/FQL&gt;&lt;FQL&gt;&lt;Q&gt;CRH-US^P_BETA_LOCIDX(45986,45817,,"SPX")&lt;/Q&gt;&lt;R&gt;1&lt;/R&gt;&lt;C&gt;1&lt;/C&gt;&lt;D xsi:type="xsd:double"&gt;1.1721781&lt;/D&gt;&lt;/FQL&gt;&lt;FQL&gt;&lt;Q&gt;CRH-US^P_BETA_LOCIDX(45933,45762,,"SPX")&lt;/Q&gt;&lt;R&gt;1&lt;/R&gt;&lt;C&gt;1&lt;/C&gt;&lt;D xsi:type="xsd:double"&gt;1.3164868&lt;/D&gt;&lt;/FQL&gt;&lt;FQL&gt;&lt;Q&gt;CRH-US^P_BETA_LOCIDX(45100,44924,,"SPX")&lt;/Q&gt;&lt;R&gt;1&lt;/R&gt;&lt;C&gt;1&lt;/C&gt;&lt;D xsi:type="xsd:double"&gt;1.0335999&lt;/D&gt;&lt;/FQL&gt;&lt;FQL&gt;&lt;Q&gt;CRH-US^P_BETA_LOCIDX(45709,45532,,"SPX")&lt;/Q&gt;&lt;R&gt;1&lt;/R&gt;&lt;C&gt;1&lt;/C&gt;&lt;D xsi:type="xsd:double"&gt;1.0946146&lt;/D&gt;&lt;/FQL&gt;&lt;FQL&gt;&lt;Q&gt;CRH-US^P_BETA_LOCIDX(45972,45799,,"SPX")&lt;/Q&gt;&lt;R&gt;1&lt;/R&gt;&lt;C&gt;1&lt;/C&gt;&lt;D xsi:type="xsd:double"&gt;1.0704974&lt;/D&gt;&lt;/FQL&gt;&lt;FQL&gt;&lt;Q&gt;CRH-US^P_BETA_LOCIDX(44978,44802,,"SPX")&lt;/Q&gt;&lt;R&gt;1&lt;/R&gt;&lt;C&gt;1&lt;/C&gt;&lt;D xsi:type="xsd:double"&gt;1.2059841&lt;/D&gt;&lt;/FQL&gt;&lt;FQL&gt;&lt;Q&gt;CRH-US^P_BETA_LOCIDX(45427,45251,,"SPX")&lt;/Q&gt;&lt;R&gt;1&lt;/R&gt;&lt;C&gt;1&lt;/C&gt;&lt;D xsi:type="xsd:double"&gt;1.2747132&lt;/D&gt;&lt;/FQL&gt;&lt;FQL&gt;&lt;Q&gt;CRH-US^P_BETA_LOCIDX(45189,45014,,"SPX")&lt;/Q&gt;&lt;R&gt;1&lt;/R&gt;&lt;C&gt;1&lt;/C&gt;&lt;D xsi:type="xsd:double"&gt;1.011166&lt;/D&gt;&lt;/FQL&gt;&lt;FQL&gt;&lt;Q&gt;CRH-US^P_BETA_LOCIDX(45132,44957,,"SPX")&lt;/Q&gt;&lt;R&gt;1&lt;/R&gt;&lt;C&gt;1&lt;/C&gt;&lt;D xsi:type="xsd:double"&gt;1.0819862&lt;/D&gt;&lt;/FQL&gt;&lt;FQL&gt;&lt;Q&gt;CRH-US^P_BETA_LOCIDX(45467,45289,,"SPX")&lt;/Q&gt;&lt;R&gt;1&lt;/R&gt;&lt;C&gt;1&lt;/C&gt;&lt;D xsi:type="xsd:double"&gt;1.31279&lt;/D&gt;&lt;/FQL&gt;&lt;FQL&gt;&lt;Q&gt;CRH-US^P_BETA_LOCIDX(45377,45202,,"SPX")&lt;/Q&gt;&lt;R&gt;1&lt;/R&gt;&lt;C&gt;1&lt;/C&gt;&lt;D xsi:type="xsd:double"&gt;1.1966263&lt;/D&gt;&lt;/FQL&gt;&lt;FQL&gt;&lt;Q&gt;CRH-US^P_BETA_LOCIDX(45232,45058,,"SPX")&lt;/Q&gt;&lt;R&gt;1&lt;/R&gt;&lt;C&gt;1&lt;/C&gt;&lt;D xsi:type="xsd:double"&gt;1.2553385&lt;/D&gt;&lt;/FQL&gt;&lt;FQL&gt;&lt;Q&gt;CRH-US^P_BETA_LOCIDX(45435,45260,,"SPX")&lt;/Q&gt;&lt;R&gt;1&lt;/R&gt;&lt;C&gt;1&lt;/C&gt;&lt;D xsi:type="xsd:double"&gt;1.3147053&lt;/D&gt;&lt;/FQL&gt;&lt;FQL&gt;&lt;Q&gt;CRH-US^P_BETA_LOCIDX(45653,45482,,"SPX")&lt;/Q&gt;&lt;R&gt;1&lt;/R&gt;&lt;C&gt;1&lt;/C&gt;&lt;D xsi:type="xsd:double"&gt;1.2423143&lt;/D&gt;&lt;/FQL&gt;&lt;FQL&gt;&lt;Q&gt;CRH-US^P_BETA_LOCIDX(45432,45257,,"SPX")&lt;/Q&gt;&lt;R&gt;1&lt;/R&gt;&lt;C&gt;1&lt;/C&gt;&lt;D xsi:type="xsd:double"&gt;1.3206296&lt;/D&gt;&lt;/FQL&gt;&lt;FQL&gt;&lt;Q&gt;CRH-US^P_BETA_LOCIDX(45303,45131,,"SPX")&lt;/Q&gt;&lt;R&gt;1&lt;/R&gt;&lt;C&gt;1&lt;/C&gt;&lt;D xsi:type="xsd:double"&gt;1.2495285&lt;/D&gt;&lt;/FQL&gt;&lt;FQL&gt;&lt;Q&gt;CRH-US^P_BETA_LOCIDX(45145,44970,,"SPX")&lt;/Q&gt;&lt;R&gt;1&lt;/R&gt;&lt;C&gt;1&lt;/C&gt;&lt;D xsi:type="xsd:double"&gt;1.0607611&lt;/D&gt;&lt;/FQL&gt;&lt;FQL&gt;&lt;Q&gt;CRH-US^P_BETA_LOCIDX(45628,45454,,"SPX")&lt;/Q&gt;&lt;R&gt;1&lt;/R&gt;&lt;C&gt;1&lt;/C&gt;&lt;D xsi:type="xsd:double"&gt;1.2571218&lt;/D&gt;&lt;/FQL&gt;&lt;FQL&gt;&lt;Q&gt;CRH-US^P_BETA_LOCIDX(45985,45814,,"SPX")&lt;/Q&gt;&lt;R&gt;1&lt;/R&gt;&lt;C&gt;1&lt;/C&gt;&lt;D xsi:type="xsd:double"&gt;1.1186206&lt;/D&gt;&lt;/FQL&gt;&lt;FQL&gt;&lt;Q&gt;CRH-US^P_BETA_LOCIDX(45036,44860,,"SPX")&lt;/Q&gt;&lt;R&gt;1&lt;/R&gt;&lt;C&gt;1&lt;/C&gt;&lt;D xsi:type="xsd:double"&gt;1.1454285&lt;/D&gt;&lt;/FQL&gt;&lt;FQL&gt;&lt;Q&gt;CRH-US^P_BETA_LOCIDX(45707,45530,,"SPX")&lt;/Q&gt;&lt;R&gt;1&lt;/R&gt;&lt;C&gt;1&lt;/C&gt;&lt;D xsi:type="xsd:double"&gt;1.0625163&lt;/D&gt;&lt;/FQL&gt;&lt;FQL&gt;&lt;Q&gt;CRH-US^P_BETA_LOCIDX(45443,45267,,"SPX")&lt;/Q&gt;&lt;R&gt;1&lt;/R&gt;&lt;C&gt;1&lt;/C&gt;&lt;D xsi:type="xsd:double"&gt;1.2813843&lt;/D&gt;&lt;/FQL&gt;&lt;FQL&gt;&lt;Q&gt;CRH-US^P_BETA_LOCIDX(45510,45335,,"SPX")&lt;/Q&gt;&lt;R&gt;1&lt;/R&gt;&lt;C&gt;1&lt;/C&gt;&lt;D xsi:type="xsd:double"&gt;1.2781886&lt;/D&gt;&lt;/FQL&gt;&lt;FQL&gt;&lt;Q&gt;CRH-US^P_BETA_LOCIDX(45695,45519,,"SPX")&lt;/Q&gt;&lt;R&gt;1&lt;/R&gt;&lt;C&gt;1&lt;/C&gt;&lt;D xsi:type="xsd:double"&gt;1.0918164&lt;/D&gt;&lt;/FQL&gt;&lt;FQL&gt;&lt;Q&gt;CRH-US^P_BETA_LOCIDX(45009,44834,,"SPX")&lt;/Q&gt;&lt;R&gt;1&lt;/R&gt;&lt;C&gt;1&lt;/C&gt;&lt;D xsi:type="xsd:double"&gt;1.1987681&lt;/D&gt;&lt;/FQL&gt;&lt;FQL&gt;&lt;Q&gt;CRH-US^P_BETA_LOCIDX(44993,44818,,"SPX")&lt;/Q&gt;&lt;R&gt;1&lt;/R&gt;&lt;C&gt;1&lt;/C&gt;&lt;D xsi:type="xsd:double"&gt;1.2263613&lt;/D&gt;&lt;/FQL&gt;&lt;FQL&gt;&lt;Q&gt;CRH-US^P_BETA_LOCIDX(45982,45812,,"SPX")&lt;/Q&gt;&lt;R&gt;1&lt;/R&gt;&lt;C&gt;1&lt;/C&gt;&lt;D xsi:type="xsd:double"&gt;1.0781353&lt;/D&gt;&lt;/FQL&gt;&lt;FQL&gt;&lt;Q&gt;CRH-US^P_BETA_LOCIDX(46027,45853,,"SPX")&lt;/Q&gt;&lt;R&gt;1&lt;/R&gt;&lt;C&gt;1&lt;/C&gt;&lt;D xsi:type="xsd:double"&gt;1.1190208&lt;/D&gt;&lt;/FQL&gt;&lt;FQL&gt;&lt;Q&gt;CRH-US^P_BETA_LOCIDX(45632,45460,,"SPX")&lt;/Q&gt;&lt;R&gt;1&lt;/R&gt;&lt;C&gt;1&lt;/C&gt;&lt;D xsi:type="xsd:double"&gt;1.2516438&lt;/D&gt;&lt;/FQL&gt;&lt;FQL&gt;&lt;Q&gt;CRH-US^P_BETA_LOCIDX(45386,45210,,"SPX")&lt;/Q&gt;&lt;R&gt;1&lt;/R&gt;&lt;C&gt;1&lt;/C&gt;&lt;D xsi:type="xsd:double"&gt;1.1680964&lt;/D&gt;&lt;/FQL&gt;&lt;FQL&gt;&lt;Q&gt;CRH-US^P_BETA_LOCIDX(45933,45761,,"SPX")&lt;/Q&gt;&lt;R&gt;1&lt;/R&gt;&lt;C&gt;1&lt;/C&gt;&lt;D xsi:type="xsd:double"&gt;1.317536&lt;/D&gt;&lt;/FQL&gt;&lt;FQL&gt;&lt;Q&gt;CRH-US^P_BETA_LOCIDX(45418,45240,,"SPX")&lt;/Q&gt;&lt;R&gt;1&lt;/R&gt;&lt;C&gt;1&lt;/C&gt;&lt;D xsi:type="xsd:double"&gt;1.1521693&lt;/D&gt;&lt;/FQL&gt;&lt;FQL&gt;&lt;Q&gt;CRH-US^P_BETA_LOCIDX(45665,45491,,"SPX")&lt;/Q&gt;&lt;R&gt;1&lt;/R&gt;&lt;C&gt;1&lt;/C&gt;&lt;D xsi:type="xsd:double"&gt;1.2425377&lt;/D&gt;&lt;/FQL&gt;&lt;FQL&gt;&lt;Q&gt;CRH-US^P_BETA_LOCIDX(45607,45433,,"SPX")&lt;/Q&gt;&lt;R&gt;1&lt;/R&gt;&lt;C&gt;1&lt;/C&gt;&lt;D xsi:type="xsd:double"&gt;1.2583183&lt;/D&gt;&lt;/FQL&gt;&lt;FQL&gt;&lt;Q&gt;CRH-US^P_BETA_LOCIDX(45509,45334,,"SPX")&lt;/Q&gt;&lt;R&gt;1&lt;/R&gt;&lt;C&gt;1&lt;/C&gt;&lt;D xsi:type="xsd:double"&gt;1.2741976&lt;/D&gt;&lt;/FQL&gt;&lt;FQL&gt;&lt;Q&gt;CRH-US^P_BETA_LOCIDX(46030,45856,,"SPX")&lt;/Q&gt;&lt;R&gt;1&lt;/R&gt;&lt;C&gt;1&lt;/C&gt;&lt;D xsi:type="xsd:double"&gt;1.1565408&lt;/D&gt;&lt;/FQL&gt;&lt;FQL&gt;&lt;Q&gt;CRH-US^P_BETA_LOCIDX(45238,45064,,"SPX")&lt;/Q&gt;&lt;R&gt;1&lt;/R&gt;&lt;C&gt;1&lt;/C&gt;&lt;D xsi:type="xsd:double"&gt;1.2465093&lt;/D&gt;&lt;/FQL&gt;&lt;FQL&gt;&lt;Q&gt;CRH-US^P_BETA_LOCIDX(45413,45237,,"SPX")&lt;/Q&gt;&lt;R&gt;1&lt;/R&gt;&lt;C&gt;1&lt;/C&gt;&lt;D xsi:type="xsd:double"&gt;1.1251476&lt;/D&gt;&lt;/FQL&gt;&lt;FQL&gt;&lt;Q&gt;CRH-US^P_BETA_LOCIDX(45006,44831,,"SPX")&lt;/Q&gt;&lt;R&gt;1&lt;/R&gt;&lt;C&gt;1&lt;/C&gt;&lt;D xsi:type="xsd:double"&gt;1.2173358&lt;/D&gt;&lt;/FQL&gt;&lt;FQL&gt;&lt;Q&gt;CRH-US^P_BETA_LOCIDX(45139,44964,,"SPX")&lt;/Q&gt;&lt;R&gt;1&lt;/R&gt;&lt;C&gt;1&lt;/C&gt;&lt;D xsi:type="xsd:double"&gt;1.0457035&lt;/D&gt;&lt;/FQL&gt;&lt;FQL&gt;&lt;Q&gt;CRH-US^P_BETA_LOCIDX(45643,45470,,"SPX")&lt;/Q&gt;&lt;R&gt;1&lt;/R&gt;&lt;C&gt;1&lt;/C&gt;&lt;D xsi:type="xsd:double"&gt;1.2409788&lt;/D&gt;&lt;/FQL&gt;&lt;FQL&gt;&lt;Q&gt;CRH-US^P_BETA_LOCIDX(45883,45712,,"SPX")&lt;/Q&gt;&lt;R&gt;1&lt;/R&gt;&lt;C&gt;1&lt;/C&gt;&lt;D xsi:type="xsd:double"&gt;1.2776957&lt;/D&gt;&lt;/FQL&gt;&lt;FQL&gt;&lt;Q&gt;CRH-US^P_BETA_LOCIDX(45684,45506,,"SPX")&lt;/Q&gt;&lt;R&gt;1&lt;/R&gt;&lt;C&gt;1&lt;/C&gt;&lt;D xsi:type="xsd:double"&gt;1.2053747&lt;/D&gt;&lt;/FQL&gt;&lt;FQL&gt;&lt;Q&gt;CRH-US^P_BETA_LOCIDX(45040,44862,,"SPX")&lt;/Q&gt;&lt;R&gt;1&lt;/R&gt;&lt;C&gt;1&lt;/C&gt;&lt;D xsi:type="xsd:double"&gt;1.1466652&lt;/D&gt;&lt;/FQL&gt;&lt;FQL&gt;&lt;Q&gt;CRH-US^P_BETA_LOCIDX(45121,44946,,"SPX")&lt;/Q&gt;&lt;R&gt;1&lt;/R&gt;&lt;C&gt;1&lt;/C&gt;&lt;D xsi:type="xsd:double"&gt;1.0564905&lt;/D&gt;&lt;/FQL&gt;&lt;FQL&gt;&lt;Q&gt;CRH-US^P_BETA_LOCIDX(45047,44869,,"SPX")&lt;/Q&gt;&lt;R&gt;1&lt;/R&gt;&lt;C&gt;1&lt;/C&gt;&lt;D xsi:type="xsd:double"&gt;1.099257&lt;/D&gt;&lt;/FQL&gt;&lt;FQL&gt;&lt;Q&gt;CRH-US^P_BETA_LOCIDX(45769,45590,,"SPX")&lt;/Q&gt;&lt;R&gt;1&lt;/R&gt;&lt;C&gt;1&lt;/C&gt;&lt;D xsi:type="xsd:double"&gt;1.2404945&lt;/D&gt;&lt;/FQL&gt;&lt;FQL&gt;&lt;Q&gt;CRH-US^P_BETA_LOCIDX(45917,45743,,"SPX")&lt;/Q&gt;&lt;R&gt;1&lt;/R&gt;&lt;C&gt;1&lt;/C&gt;&lt;D xsi:type="xsd:double"&gt;1.2086127&lt;/D&gt;&lt;/FQL&gt;&lt;FQL&gt;&lt;Q&gt;CRH-US^P_BETA_LOCIDX(45575,45401,,"SPX")&lt;/Q&gt;&lt;R&gt;1&lt;/R&gt;&lt;C&gt;1&lt;/C&gt;&lt;D xsi:type="xsd:double"&gt;1.3675344&lt;/D&gt;&lt;/FQL&gt;&lt;FQL&gt;&lt;Q&gt;CRH-US^P_BETA_LOCIDX(45411,45233,,"SPX")&lt;/Q&gt;&lt;R&gt;1&lt;/R&gt;&lt;C&gt;1&lt;/C&gt;&lt;D xsi:type="xsd:double"&gt;1.1065147&lt;/D&gt;&lt;/FQL&gt;&lt;FQL&gt;&lt;Q&gt;CRH-US^P_BETA_LOCIDX(45926,45755,,"SPX")&lt;/Q&gt;&lt;R&gt;1&lt;/R&gt;&lt;C&gt;1&lt;/C&gt;&lt;D xsi:type="xsd:double"&gt;1.246161&lt;/D&gt;&lt;/FQL&gt;&lt;FQL&gt;&lt;Q&gt;CRH-US^P_BETA_LOCIDX(45324,45149,,"SPX")&lt;/Q&gt;&lt;R&gt;1&lt;/R&gt;&lt;C&gt;1&lt;/C&gt;&lt;D xsi:type="xsd:double"&gt;1.1992536&lt;/D&gt;&lt;/FQL&gt;&lt;FQL&gt;&lt;Q&gt;CRH-US^P_BETA_LOCIDX(45082,44904,,"SPX")&lt;/Q&gt;&lt;R&gt;1&lt;/R&gt;&lt;C&gt;1&lt;/C&gt;&lt;D xsi:type="xsd:double"&gt;1.0295401&lt;/D&gt;&lt;/FQL&gt;&lt;FQL&gt;&lt;Q&gt;CRH-US^P_BETA_LOCIDX(45334,45159,,"SPX")&lt;/Q&gt;&lt;R&gt;1&lt;/R&gt;&lt;C&gt;1&lt;/C&gt;&lt;D xsi:type="xsd:double"&gt;1.1983654&lt;/D&gt;&lt;/FQL&gt;&lt;FQL&gt;&lt;Q&gt;CRH-US^P_BETA_LOCIDX(45670,45495,,"SPX")&lt;/Q&gt;&lt;R&gt;1&lt;/R&gt;&lt;C&gt;1&lt;/C&gt;&lt;D xsi:type="xsd:double"&gt;1.2295859&lt;/D&gt;&lt;/FQL&gt;&lt;FQL&gt;&lt;Q&gt;CRH-US^P_BETA_LOCIDX(45363,45188,,"SPX")&lt;/Q&gt;&lt;R&gt;1&lt;/R&gt;&lt;C&gt;1&lt;/C&gt;&lt;D xsi:type="xsd:double"&gt;1.1680942&lt;/D&gt;&lt;/FQL&gt;&lt;FQL&gt;&lt;Q&gt;CRH-US^P_BETA_LOCIDX(45051,44875,,"SPX")&lt;/Q&gt;&lt;R&gt;1&lt;/R&gt;&lt;C&gt;1&lt;/C&gt;&lt;D xsi:type="xsd:double"&gt;1.0693961&lt;/D&gt;&lt;/FQL&gt;&lt;FQL&gt;&lt;Q&gt;CRH-US^P_BETA_LOCIDX(45905,45734,,"SPX")&lt;/Q&gt;&lt;R&gt;1&lt;/R&gt;&lt;C&gt;1&lt;/C&gt;&lt;D xsi:type="xsd:double"&gt;1.2336676&lt;/D&gt;&lt;/FQL&gt;&lt;FQL&gt;&lt;Q&gt;CRH-US^P_BETA_LOCIDX(45308,45133,,"SPX")&lt;/Q&gt;&lt;R&gt;1&lt;/R&gt;&lt;C&gt;1&lt;/C&gt;&lt;D xsi:type="xsd:double"&gt;1.2447531&lt;/D&gt;&lt;/FQL&gt;&lt;FQL&gt;&lt;Q&gt;CRH-US^P_BETA_LOCIDX(45932,45761,,"SPX")&lt;/Q&gt;&lt;R&gt;1&lt;/R&gt;&lt;C&gt;1&lt;/C&gt;&lt;D xsi:type="xsd:double"&gt;1.3149048&lt;/D&gt;&lt;/FQL&gt;&lt;FQL&gt;&lt;Q&gt;CRH-US^P_BETA_LOCIDX(45426,45250,,"SPX")&lt;/Q&gt;&lt;R&gt;1&lt;/R&gt;&lt;C&gt;1&lt;/C&gt;&lt;D xsi:type="xsd:double"&gt;1.1981306&lt;/D&gt;&lt;/FQL&gt;&lt;FQL&gt;&lt;Q&gt;CRH-US^P_BETA_LOCIDX(45085,44909,,"SPX")&lt;/Q&gt;&lt;R&gt;1&lt;/R&gt;&lt;C&gt;1&lt;/C&gt;&lt;D xsi:type="xsd:double"&gt;1.0516801&lt;/D&gt;&lt;/FQL&gt;&lt;FQL&gt;&lt;Q&gt;CRH-US^P_BETA_LOCIDX(45502,45327,,"SPX")&lt;/Q&gt;&lt;R&gt;1&lt;/R&gt;&lt;C&gt;1&lt;/C&gt;&lt;D xsi:type="xsd:double"&gt;1.2667125&lt;/D&gt;&lt;/FQL&gt;&lt;FQL&gt;&lt;Q&gt;CRH-US^P_BETA_LOCIDX(45394,45218,,"SPX")&lt;/Q&gt;&lt;R&gt;1&lt;/R&gt;&lt;C&gt;1&lt;/C&gt;&lt;D xsi:type="xsd:double"&gt;1.0537941&lt;/D&gt;&lt;/FQL&gt;&lt;FQL&gt;&lt;Q&gt;CRH-US^P_BETA_LOCIDX(45664,45490,,"SPX")&lt;/Q&gt;&lt;R&gt;1&lt;/R&gt;&lt;C&gt;1&lt;/C&gt;&lt;D xsi:type="xsd:double"&gt;1.2500031&lt;/D&gt;&lt;/FQL&gt;&lt;FQL&gt;&lt;Q&gt;CRH-US^P_BETA_LOCIDX(45343,45167,,"SPX")&lt;/Q&gt;&lt;R&gt;1&lt;/R&gt;&lt;C&gt;1&lt;/C&gt;&lt;D xsi:type="xsd:double"&gt;1.2300242&lt;/D&gt;&lt;/FQL&gt;&lt;FQL&gt;&lt;Q&gt;CRH-US^P_BETA_LOCIDX(45974,45804,,"SPX")&lt;/Q&gt;&lt;R&gt;1&lt;/R&gt;&lt;C&gt;1&lt;/C&gt;&lt;D xsi:type="xsd:double"&gt;1.0710665&lt;/D&gt;&lt;/FQL&gt;&lt;FQL&gt;&lt;Q&gt;CRH-US^P_BETA_LOCIDX(45946,45775,,"SPX")&lt;/Q&gt;&lt;R&gt;1&lt;/R&gt;&lt;C&gt;1&lt;/C&gt;&lt;D xsi:type="xsd:double"&gt;1.2310083&lt;/D&gt;&lt;/FQL&gt;&lt;FQL&gt;&lt;Q&gt;CRH-US^P_BETA_LOCIDX(45667,45492,,"SPX")&lt;/Q&gt;&lt;R&gt;1&lt;/R&gt;&lt;C&gt;1&lt;/C&gt;&lt;D xsi:type="xsd:double"&gt;1.2218786&lt;/D&gt;&lt;/FQL&gt;&lt;FQL&gt;&lt;Q&gt;CRH-US^P_BETA_LOCIDX(45931,45758,,"SPX")&lt;/Q&gt;&lt;R&gt;1&lt;/R&gt;&lt;C&gt;1&lt;/C&gt;&lt;D xsi:type="xsd:double"&gt;1.3026102&lt;/D&gt;&lt;/FQL&gt;&lt;FQL&gt;&lt;Q&gt;CRH-US^P_BETA_LOCIDX(45952,45779,,"SPX")&lt;/Q&gt;&lt;R&gt;1&lt;/R&gt;&lt;C&gt;1&lt;/C&gt;&lt;D xsi:type="xsd:double"&gt;1.2147791&lt;/D&gt;&lt;/FQL&gt;&lt;FQL&gt;&lt;Q&gt;CRH-US^P_BETA_LOCIDX(45589,45415,,"SPX")&lt;/Q&gt;&lt;R&gt;1&lt;/R&gt;&lt;C&gt;1&lt;/C&gt;&lt;D xsi:type="xsd:double"&gt;1.3467481&lt;/D&gt;&lt;/FQL&gt;&lt;FQL&gt;&lt;Q&gt;CRH-US^P_BETA_LOCIDX(45574,45400,,"SPX")&lt;/Q&gt;&lt;R&gt;1&lt;/R&gt;&lt;C&gt;1&lt;/C&gt;&lt;D xsi:type="xsd:double"&gt;1.3764238&lt;/D&gt;&lt;/FQL&gt;&lt;FQL&gt;&lt;Q&gt;CRH-US^P_BETA_LOCIDX(45323,45148,,"SPX")&lt;/Q&gt;&lt;R&gt;1&lt;/R&gt;&lt;C&gt;1&lt;/C&gt;&lt;D xsi:type="xsd:double"&gt;1.2190444&lt;/D&gt;&lt;/FQL&gt;&lt;FQL&gt;&lt;Q&gt;CRH-US^P_BETA_LOCIDX(46027,45859,,"SPX")&lt;/Q&gt;&lt;R&gt;1&lt;/R&gt;&lt;C&gt;1&lt;/C&gt;&lt;D xsi:type="xsd:double"&gt;1.1309792&lt;/D&gt;&lt;/FQL&gt;&lt;FQL&gt;&lt;Q&gt;CRH-US^P_BETA_LOCIDX(45964,45791,,"SPX")&lt;/Q&gt;&lt;R&gt;1&lt;/R&gt;&lt;C&gt;1&lt;/C&gt;&lt;D xsi:type="xsd:double"&gt;1.1405146&lt;/D&gt;&lt;/FQL&gt;&lt;FQL&gt;&lt;Q&gt;CRH-US^P_BETA_LOCIDX(45254,45082,,"SPX")&lt;/Q&gt;&lt;R&gt;1&lt;/R&gt;&lt;C&gt;1&lt;/C&gt;&lt;D xsi:type="xsd:double"&gt;1.1527077&lt;/D&gt;&lt;/FQL&gt;&lt;FQL&gt;&lt;Q&gt;CRH-US^P_BETA_LOCIDX(45470,45295,,"SPX")&lt;/Q&gt;&lt;R&gt;1&lt;/R&gt;&lt;C&gt;1&lt;/C&gt;&lt;D xsi:type="xsd:double"&gt;1.2726468&lt;/D&gt;&lt;/FQL&gt;&lt;FQL&gt;&lt;Q&gt;CRH-US^P_BETA_LOCIDX(45701,45525,,"SPX")&lt;/Q&gt;&lt;R&gt;1&lt;/R&gt;&lt;C&gt;1&lt;/C&gt;&lt;D xsi:type="xsd:double"&gt;1.070991&lt;/D&gt;&lt;/FQL&gt;&lt;FQL&gt;&lt;Q&gt;CRH-US^P_BETA_LOCIDX(44981,44805,,"SPX")&lt;/Q&gt;&lt;R&gt;1&lt;/R&gt;&lt;C&gt;1&lt;/C&gt;&lt;D xsi:type="xsd:double"&gt;1.2102734&lt;/D&gt;&lt;/FQL&gt;&lt;FQL&gt;&lt;Q&gt;CRH-US^P_BETA_LOCIDX(45461,45286,,"SPX")&lt;/Q&gt;&lt;R&gt;1&lt;/R&gt;&lt;C&gt;1&lt;/C&gt;&lt;D xsi:type="xsd:double"&gt;1.2880672&lt;/D&gt;&lt;/FQL&gt;&lt;FQL&gt;&lt;Q</t>
        </r>
      </text>
    </comment>
    <comment ref="A9" authorId="0" shapeId="0" xr:uid="{5133B857-E374-48AD-BD3B-8BE7243C33FA}">
      <text>
        <r>
          <rPr>
            <b/>
            <sz val="9"/>
            <color indexed="81"/>
            <rFont val="Tahoma"/>
            <family val="2"/>
          </rPr>
          <t>&gt;CRH-US^P_BETA_LOCIDX(45344,45168,,"SPX")&lt;/Q&gt;&lt;R&gt;1&lt;/R&gt;&lt;C&gt;1&lt;/C&gt;&lt;D xsi:type="xsd:double"&gt;1.1954439&lt;/D&gt;&lt;/FQL&gt;&lt;FQL&gt;&lt;Q&gt;CRH-US^P_BETA_LOCIDX(45856,45684,,"SPX")&lt;/Q&gt;&lt;R&gt;1&lt;/R&gt;&lt;C&gt;1&lt;/C&gt;&lt;D xsi:type="xsd:double"&gt;1.2721411&lt;/D&gt;&lt;/FQL&gt;&lt;FQL&gt;&lt;Q&gt;CRH-US^P_BETA_LOCIDX(45365,45190,,"SPX")&lt;/Q&gt;&lt;R&gt;1&lt;/R&gt;&lt;C&gt;1&lt;/C&gt;&lt;D xsi:type="xsd:double"&gt;1.2177387&lt;/D&gt;&lt;/FQL&gt;&lt;FQL&gt;&lt;Q&gt;CRH-US^P_BETA_LOCIDX(45259,45085,,"SPX")&lt;/Q&gt;&lt;R&gt;1&lt;/R&gt;&lt;C&gt;1&lt;/C&gt;&lt;D xsi:type="xsd:double"&gt;1.1520358&lt;/D&gt;&lt;/FQL&gt;&lt;FQL&gt;&lt;Q&gt;CRH-US^P_BETA_LOCIDX(46037,45869,,"SPX")&lt;/Q&gt;&lt;R&gt;1&lt;/R&gt;&lt;C&gt;1&lt;/C&gt;&lt;D xsi:type="xsd:double"&gt;1.2298682&lt;/D&gt;&lt;/FQL&gt;&lt;FQL&gt;&lt;Q&gt;CRH-US^P_BETA_LOCIDX(45807,45630,,"SPX")&lt;/Q&gt;&lt;R&gt;1&lt;/R&gt;&lt;C&gt;1&lt;/C&gt;&lt;D xsi:type="xsd:double"&gt;1.2661545&lt;/D&gt;&lt;/FQL&gt;&lt;FQL&gt;&lt;Q&gt;CRH-US^P_BETA_LOCIDX(45404,45226,,"SPX")&lt;/Q&gt;&lt;R&gt;1&lt;/R&gt;&lt;C&gt;1&lt;/C&gt;&lt;D xsi:type="xsd:double"&gt;1.1004086&lt;/D&gt;&lt;/FQL&gt;&lt;FQL&gt;&lt;Q&gt;CRH-US^P_BETA_LOCIDX(45345,45169,,"SPX")&lt;/Q&gt;&lt;R&gt;1&lt;/R&gt;&lt;C&gt;1&lt;/C&gt;&lt;D xsi:type="xsd:double"&gt;1.2000452&lt;/D&gt;&lt;/FQL&gt;&lt;FQL&gt;&lt;Q&gt;CRH-US^P_BETA_LOCIDX(45001,44826,,"SPX")&lt;/Q&gt;&lt;R&gt;1&lt;/R&gt;&lt;C&gt;1&lt;/C&gt;&lt;D xsi:type="xsd:double"&gt;1.2292584&lt;/D&gt;&lt;/FQL&gt;&lt;FQL&gt;&lt;Q&gt;CRH-US^P_BETA_LOCIDX(45369,45194,,"SPX")&lt;/Q&gt;&lt;R&gt;1&lt;/R&gt;&lt;C&gt;1&lt;/C&gt;&lt;D xsi:type="xsd:double"&gt;1.2137144&lt;/D&gt;&lt;/FQL&gt;&lt;FQL&gt;&lt;Q&gt;CRH-US^P_BETA_LOCIDX(45316,45141,,"SPX")&lt;/Q&gt;&lt;R&gt;1&lt;/R&gt;&lt;C&gt;1&lt;/C&gt;&lt;D xsi:type="xsd:double"&gt;1.2465115&lt;/D&gt;&lt;/FQL&gt;&lt;FQL&gt;&lt;Q&gt;CRH-US^P_BETA_LOCIDX(45245,45071,,"SPX")&lt;/Q&gt;&lt;R&gt;1&lt;/R&gt;&lt;C&gt;1&lt;/C&gt;&lt;D xsi:type="xsd:double"&gt;1.1907623&lt;/D&gt;&lt;/FQL&gt;&lt;FQL&gt;&lt;Q&gt;CRH-US^P_BETA_LOCIDX(45958,45785,,"SPX")&lt;/Q&gt;&lt;R&gt;1&lt;/R&gt;&lt;C&gt;1&lt;/C&gt;&lt;D xsi:type="xsd:double"&gt;1.1637114&lt;/D&gt;&lt;/FQL&gt;&lt;FQL&gt;&lt;Q&gt;CRH-US^P_BETA_LOCIDX(46036,45868,,"SPX")&lt;/Q&gt;&lt;R&gt;1&lt;/R&gt;&lt;C&gt;1&lt;/C&gt;&lt;D xsi:type="xsd:double"&gt;1.232016&lt;/D&gt;&lt;/FQL&gt;&lt;FQL&gt;&lt;Q&gt;CRH-US^P_BETA_LOCIDX(45981,45812,,"SPX")&lt;/Q&gt;&lt;R&gt;1&lt;/R&gt;&lt;C&gt;1&lt;/C&gt;&lt;D xsi:type="xsd:double"&gt;1.0699297&lt;/D&gt;&lt;/FQL&gt;&lt;FQL&gt;&lt;Q&gt;CRH-US^P_BETA_LOCIDX(45922,45748,,"SPX")&lt;/Q&gt;&lt;R&gt;1&lt;/R&gt;&lt;C&gt;1&lt;/C&gt;&lt;D xsi:type="xsd:double"&gt;1.1900238&lt;/D&gt;&lt;/FQL&gt;&lt;FQL&gt;&lt;Q&gt;CRH-US^P_BETA_LOCIDX(45999,45826,,"SPX")&lt;/Q&gt;&lt;R&gt;1&lt;/R&gt;&lt;C&gt;1&lt;/C&gt;&lt;D xsi:type="xsd:double"&gt;1.1035126&lt;/D&gt;&lt;/FQL&gt;&lt;FQL&gt;&lt;Q&gt;CRH-US^P_BETA_LOCIDX(44966,44791,,"SPX")&lt;/Q&gt;&lt;R&gt;1&lt;/R&gt;&lt;C&gt;1&lt;/C&gt;&lt;D xsi:type="xsd:double"&gt;1.2155098&lt;/D&gt;&lt;/FQL&gt;&lt;FQL&gt;&lt;Q&gt;CRH-US^P_BETA_LOCIDX(45929,45755,,"SPX")&lt;/Q&gt;&lt;R&gt;1&lt;/R&gt;&lt;C&gt;1&lt;/C&gt;&lt;D xsi:type="xsd:double"&gt;1.2462329&lt;/D&gt;&lt;/FQL&gt;&lt;FQL&gt;&lt;Q&gt;CRH-US^P_BETA_LOCIDX(45485,45310,,"SPX")&lt;/Q&gt;&lt;R&gt;1&lt;/R&gt;&lt;C&gt;1&lt;/C&gt;&lt;D xsi:type="xsd:double"&gt;1.1268424&lt;/D&gt;&lt;/FQL&gt;&lt;FQL&gt;&lt;Q&gt;CRH-US^P_BETA_LOCIDX(45911,45737,,"SPX")&lt;/Q&gt;&lt;R&gt;1&lt;/R&gt;&lt;C&gt;1&lt;/C&gt;&lt;D xsi:type="xsd:double"&gt;1.231917&lt;/D&gt;&lt;/FQL&gt;&lt;FQL&gt;&lt;Q&gt;CRH-US^P_BETA_LOCIDX(45586,45412,,"SPX")&lt;/Q&gt;&lt;R&gt;1&lt;/R&gt;&lt;C&gt;1&lt;/C&gt;&lt;D xsi:type="xsd:double"&gt;1.3585376&lt;/D&gt;&lt;/FQL&gt;&lt;FQL&gt;&lt;Q&gt;CRH-US^P_BETA_LOCIDX(45504,45329,,"SPX")&lt;/Q&gt;&lt;R&gt;1&lt;/R&gt;&lt;C&gt;1&lt;/C&gt;&lt;D xsi:type="xsd:double"&gt;1.2374852&lt;/D&gt;&lt;/FQL&gt;&lt;FQL&gt;&lt;Q&gt;CRH-US^P_BETA_LOCIDX(44980,44804,,"SPX")&lt;/Q&gt;&lt;R&gt;1&lt;/R&gt;&lt;C&gt;1&lt;/C&gt;&lt;D xsi:type="xsd:double"&gt;1.2103488&lt;/D&gt;&lt;/FQL&gt;&lt;FQL&gt;&lt;Q&gt;CRH-US^P_BETA_LOCIDX(45796,45617,,"SPX")&lt;/Q&gt;&lt;R&gt;1&lt;/R&gt;&lt;C&gt;1&lt;/C&gt;&lt;D xsi:type="xsd:double"&gt;1.2703854&lt;/D&gt;&lt;/FQL&gt;&lt;FQL&gt;&lt;Q&gt;CRH-US^P_BETA_LOCIDX(45777,45600,,"SPX")&lt;/Q&gt;&lt;R&gt;1&lt;/R&gt;&lt;C&gt;1&lt;/C&gt;&lt;D xsi:type="xsd:double"&gt;1.2654859&lt;/D&gt;&lt;/FQL&gt;&lt;FQL&gt;&lt;Q&gt;CRH-US^P_BETA_LOCIDX(45979,45807,,"SPX")&lt;/Q&gt;&lt;R&gt;1&lt;/R&gt;&lt;C&gt;1&lt;/C&gt;&lt;D xsi:type="xsd:double"&gt;1.0581583&lt;/D&gt;&lt;/FQL&gt;&lt;FQL&gt;&lt;Q&gt;CRH-US^P_BETA_LOCIDX(45398,45222,,"SPX")&lt;/Q&gt;&lt;R&gt;1&lt;/R&gt;&lt;C&gt;1&lt;/C&gt;&lt;D xsi:type="xsd:double"&gt;1.1203907&lt;/D&gt;&lt;/FQL&gt;&lt;FQL&gt;&lt;Q&gt;CRH-US^P_BETA_LOCIDX(45929,45756,,"SPX")&lt;/Q&gt;&lt;R&gt;1&lt;/R&gt;&lt;C&gt;1&lt;/C&gt;&lt;D xsi:type="xsd:double"&gt;1.2552687&lt;/D&gt;&lt;/FQL&gt;&lt;FQL&gt;&lt;Q&gt;CRH-US^P_BETA_LOCIDX(45555,45383,,"SPX")&lt;/Q&gt;&lt;R&gt;1&lt;/R&gt;&lt;C&gt;1&lt;/C&gt;&lt;D xsi:type="xsd:double"&gt;1.3808448&lt;/D&gt;&lt;/FQL&gt;&lt;FQL&gt;&lt;Q&gt;CRH-US^P_BETA_LOCIDX(45996,45825,,"SPX")&lt;/Q&gt;&lt;R&gt;1&lt;/R&gt;&lt;C&gt;1&lt;/C&gt;&lt;D xsi:type="xsd:double"&gt;1.1536996&lt;/D&gt;&lt;/FQL&gt;&lt;FQL&gt;&lt;Q&gt;CRH-US^P_BETA_LOCIDX(45784,45607,,"SPX")&lt;/Q&gt;&lt;R&gt;1&lt;/R&gt;&lt;C&gt;1&lt;/C&gt;&lt;D xsi:type="xsd:double"&gt;1.2677717&lt;/D&gt;&lt;/FQL&gt;&lt;FQL&gt;&lt;Q&gt;CRH-US^P_BETA_LOCIDX(44998,44823,,"SPX")&lt;/Q&gt;&lt;R&gt;1&lt;/R&gt;&lt;C&gt;1&lt;/C&gt;&lt;D xsi:type="xsd:double"&gt;1.2365371&lt;/D&gt;&lt;/FQL&gt;&lt;FQL&gt;&lt;Q&gt;CRH-US^P_BETA_LOCIDX(45496,45321,,"SPX")&lt;/Q&gt;&lt;R&gt;1&lt;/R&gt;&lt;C&gt;1&lt;/C&gt;&lt;D xsi:type="xsd:double"&gt;1.1786374&lt;/D&gt;&lt;/FQL&gt;&lt;FQL&gt;&lt;Q&gt;CRH-US^P_BETA_LOCIDX(45293,45119,,"SPX")&lt;/Q&gt;&lt;R&gt;1&lt;/R&gt;&lt;C&gt;1&lt;/C&gt;&lt;D xsi:type="xsd:double"&gt;1.19124&lt;/D&gt;&lt;/FQL&gt;&lt;FQL&gt;&lt;Q&gt;CRH-US^P_BETA_LOCIDX(45142,44967,,"SPX")&lt;/Q&gt;&lt;R&gt;1&lt;/R&gt;&lt;C&gt;1&lt;/C&gt;&lt;D xsi:type="xsd:double"&gt;1.0564644&lt;/D&gt;&lt;/FQL&gt;&lt;FQL&gt;&lt;Q&gt;CRH-US^P_BETA_LOCIDX(45072,44897,,"SPX")&lt;/Q&gt;&lt;R&gt;1&lt;/R&gt;&lt;C&gt;1&lt;/C&gt;&lt;D xsi:type="xsd:double"&gt;1.0025606&lt;/D&gt;&lt;/FQL&gt;&lt;FQL&gt;&lt;Q&gt;CRH-US^P_BETA_LOCIDX(45275,45104,,"SPX")&lt;/Q&gt;&lt;R&gt;1&lt;/R&gt;&lt;C&gt;1&lt;/C&gt;&lt;D xsi:type="xsd:double"&gt;1.2293382&lt;/D&gt;&lt;/FQL&gt;&lt;FQL&gt;&lt;Q&gt;CRH-US^P_BETA_LOCIDX(45286,45113,,"SPX")&lt;/Q&gt;&lt;R&gt;1&lt;/R&gt;&lt;C&gt;1&lt;/C&gt;&lt;D xsi:type="xsd:double"&gt;1.2233421&lt;/D&gt;&lt;/FQL&gt;&lt;FQL&gt;&lt;Q&gt;CRH-US^P_BETA_LOCIDX(45371,45196,,"SPX")&lt;/Q&gt;&lt;R&gt;1&lt;/R&gt;&lt;C&gt;1&lt;/C&gt;&lt;D xsi:type="xsd:double"&gt;1.2213234&lt;/D&gt;&lt;/FQL&gt;&lt;FQL&gt;&lt;Q&gt;CRH-US^P_BETA_LOCIDX(45980,45811,,"SPX")&lt;/Q&gt;&lt;R&gt;1&lt;/R&gt;&lt;C&gt;1&lt;/C&gt;&lt;D xsi:type="xsd:double"&gt;1.0641295&lt;/D&gt;&lt;/FQL&gt;&lt;FQL&gt;&lt;Q&gt;CRH-US^P_BETA_LOCIDX(45463,45287,,"SPX")&lt;/Q&gt;&lt;R&gt;1&lt;/R&gt;&lt;C&gt;1&lt;/C&gt;&lt;D xsi:type="xsd:double"&gt;1.2999719&lt;/D&gt;&lt;/FQL&gt;&lt;FQL&gt;&lt;Q&gt;CRH-US^P_BETA_LOCIDX(45441,45265,,"SPX")&lt;/Q&gt;&lt;R&gt;1&lt;/R&gt;&lt;C&gt;1&lt;/C&gt;&lt;D xsi:type="xsd:double"&gt;1.3029869&lt;/D&gt;&lt;/FQL&gt;&lt;FQL&gt;&lt;Q&gt;CRH-US^P_BETA_LOCIDX(45428,45252,,"SPX")&lt;/Q&gt;&lt;R&gt;1&lt;/R&gt;&lt;C&gt;1&lt;/C&gt;&lt;D xsi:type="xsd:double"&gt;1.317088&lt;/D&gt;&lt;/FQL&gt;&lt;FQL&gt;&lt;Q&gt;CRH-US^P_BETA_LOCIDX(45776,45597,,"SPX")&lt;/Q&gt;&lt;R&gt;1&lt;/R&gt;&lt;C&gt;1&lt;/C&gt;&lt;D xsi:type="xsd:double"&gt;1.2642058&lt;/D&gt;&lt;/FQL&gt;&lt;FQL&gt;&lt;Q&gt;CRH-US^P_BETA_LOCIDX(45783,45604,,"SPX")&lt;/Q&gt;&lt;R&gt;1&lt;/R&gt;&lt;C&gt;1&lt;/C&gt;&lt;D xsi:type="xsd:double"&gt;1.2718598&lt;/D&gt;&lt;/FQL&gt;&lt;FQL&gt;&lt;Q&gt;CRH-US^P_BETA_LOCIDX(45362,45187,,"SPX")&lt;/Q&gt;&lt;R&gt;1&lt;/R&gt;&lt;C&gt;1&lt;/C&gt;&lt;D xsi:type="xsd:double"&gt;1.1642342&lt;/D&gt;&lt;/FQL&gt;&lt;FQL&gt;&lt;Q&gt;CRH-US^P_BETA_LOCIDX(45195,45020,,"SPX")&lt;/Q&gt;&lt;R&gt;1&lt;/R&gt;&lt;C&gt;1&lt;/C&gt;&lt;D xsi:type="xsd:double"&gt;1.0453635&lt;/D&gt;&lt;/FQL&gt;&lt;FQL&gt;&lt;Q&gt;CRH-US^P_BETA_LOCIDX(45775,45596,,"SPX")&lt;/Q&gt;&lt;R&gt;1&lt;/R&gt;&lt;C&gt;1&lt;/C&gt;&lt;D xsi:type="xsd:double"&gt;1.2535596&lt;/D&gt;&lt;/FQL&gt;&lt;FQL&gt;&lt;Q&gt;CRH-US^P_BETA_LOCIDX(45947,45776,,"SPX")&lt;/Q&gt;&lt;R&gt;1&lt;/R&gt;&lt;C&gt;1&lt;/C&gt;&lt;D xsi:type="xsd:double"&gt;1.2304933&lt;/D&gt;&lt;/FQL&gt;&lt;FQL&gt;&lt;Q&gt;CRH-US^P_BETA_LOCIDX(45223,45049,,"SPX")&lt;/Q&gt;&lt;R&gt;1&lt;/R&gt;&lt;C&gt;1&lt;/C&gt;&lt;D xsi:type="xsd:double"&gt;1.1882529&lt;/D&gt;&lt;/FQL&gt;&lt;FQL&gt;&lt;Q&gt;CRH-US^P_BETA_LOCIDX(45656,45483,,"SPX")&lt;/Q&gt;&lt;R&gt;1&lt;/R&gt;&lt;C&gt;1&lt;/C&gt;&lt;D xsi:type="xsd:double"&gt;1.2418407&lt;/D&gt;&lt;/FQL&gt;&lt;FQL&gt;&lt;Q&gt;CRH-US^P_BETA_LOCIDX(45637,45464,,"SPX")&lt;/Q&gt;&lt;R&gt;1&lt;/R&gt;&lt;C&gt;1&lt;/C&gt;&lt;D xsi:type="xsd:double"&gt;1.2429066&lt;/D&gt;&lt;/FQL&gt;&lt;FQL&gt;&lt;Q&gt;CRH-US^P_BETA_LOCIDX(45076,44900,,"SPX")&lt;/Q&gt;&lt;R&gt;1&lt;/R&gt;&lt;C&gt;1&lt;/C&gt;&lt;D xsi:type="xsd:double"&gt;1.0032964&lt;/D&gt;&lt;/FQL&gt;&lt;FQL&gt;&lt;Q&gt;CRH-US^P_BETA_LOCIDX(45489,45314,,"SPX")&lt;/Q&gt;&lt;R&gt;1&lt;/R&gt;&lt;C&gt;1&lt;/C&gt;&lt;D xsi:type="xsd:double"&gt;1.1668271&lt;/D&gt;&lt;/FQL&gt;&lt;FQL&gt;&lt;Q&gt;CRH-US^P_BETA_LOCIDX(45544,45369,,"SPX")&lt;/Q&gt;&lt;R&gt;1&lt;/R&gt;&lt;C&gt;1&lt;/C&gt;&lt;D xsi:type="xsd:double"&gt;1.3526437&lt;/D&gt;&lt;/FQL&gt;&lt;FQL&gt;&lt;Q&gt;CRH-US^P_BETA_LOCIDX(45310,45135,,"SPX")&lt;/Q&gt;&lt;R&gt;1&lt;/R&gt;&lt;C&gt;1&lt;/C&gt;&lt;D xsi:type="xsd:double"&gt;1.2455766&lt;/D&gt;&lt;/FQL&gt;&lt;FQL&gt;&lt;Q&gt;CRH-US^P_BETA_LOCIDX(46035,45867,,"SPX")&lt;/Q&gt;&lt;R&gt;1&lt;/R&gt;&lt;C&gt;1&lt;/C&gt;&lt;D xsi:type="xsd:double"&gt;1.198672&lt;/D&gt;&lt;/FQL&gt;&lt;FQL&gt;&lt;Q&gt;CRH-US^P_BETA_LOCIDX(45979,45810,,"SPX")&lt;/Q&gt;&lt;R&gt;1&lt;/R&gt;&lt;C&gt;1&lt;/C&gt;&lt;D xsi:type="xsd:double"&gt;1.0563526&lt;/D&gt;&lt;/FQL&gt;&lt;FQL&gt;&lt;Q&gt;CRH-US^P_BETA_LOCIDX(45817,45638,,"SPX")&lt;/Q&gt;&lt;R&gt;1&lt;/R&gt;&lt;C&gt;1&lt;/C&gt;&lt;D xsi:type="xsd:double"&gt;1.252074&lt;/D&gt;&lt;/FQL&gt;&lt;FQL&gt;&lt;Q&gt;CRH-US^P_BETA_LOCIDX(45314,45139,,"SPX")&lt;/Q&gt;&lt;R&gt;1&lt;/R&gt;&lt;C&gt;1&lt;/C&gt;&lt;D xsi:type="xsd:double"&gt;1.2411435&lt;/D&gt;&lt;/FQL&gt;&lt;FQL&gt;&lt;Q&gt;CRH-US^P_BETA_LOCIDX(45980,45810,,"SPX")&lt;/Q&gt;&lt;R&gt;1&lt;/R&gt;&lt;C&gt;1&lt;/C&gt;&lt;D xsi:type="xsd:double"&gt;1.0600805&lt;/D&gt;&lt;/FQL&gt;&lt;FQL&gt;&lt;Q&gt;CRH-US^P_BETA_LOCIDX(45978,45807,,"SPX")&lt;/Q&gt;&lt;R&gt;1&lt;/R&gt;&lt;C&gt;1&lt;/C&gt;&lt;D xsi:type="xsd:double"&gt;1.0667363&lt;/D&gt;&lt;/FQL&gt;&lt;FQL&gt;&lt;Q&gt;CRH-US^P_BETA_LOCIDX(45748,45572,,"SPX")&lt;/Q&gt;&lt;R&gt;1&lt;/R&gt;&lt;C&gt;1&lt;/C&gt;&lt;D xsi:type="xsd:double"&gt;1.4025308&lt;/D&gt;&lt;/FQL&gt;&lt;FQL&gt;&lt;Q&gt;CRH-US^P_BETA_LOCIDX(45782,45603,,"SPX")&lt;/Q&gt;&lt;R&gt;1&lt;/R&gt;&lt;C&gt;1&lt;/C&gt;&lt;D xsi:type="xsd:double"&gt;1.2620817&lt;/D&gt;&lt;/FQL&gt;&lt;FQL&gt;&lt;Q&gt;CRH-US^P_BETA_LOCIDX(45321,45146,,"SPX")&lt;/Q&gt;&lt;R&gt;1&lt;/R&gt;&lt;C&gt;1&lt;/C&gt;&lt;D xsi:type="xsd:double"&gt;1.2587105&lt;/D&gt;&lt;/FQL&gt;&lt;FQL&gt;&lt;Q&gt;CRH-US^P_BETA_LOCIDX(45128,44953,,"SPX")&lt;/Q&gt;&lt;R&gt;1&lt;/R&gt;&lt;C&gt;1&lt;/C&gt;&lt;D xsi:type="xsd:double"&gt;1.0694078&lt;/D&gt;&lt;/FQL&gt;&lt;FQL&gt;&lt;Q&gt;CRH-US^P_BETA_LOCIDX(45015,44840,,"SPX")&lt;/Q&gt;&lt;R&gt;1&lt;/R&gt;&lt;C&gt;1&lt;/C&gt;&lt;D xsi:type="xsd:double"&gt;1.1757007&lt;/D&gt;&lt;/FQL&gt;&lt;FQL&gt;&lt;Q&gt;CRH-US^P_BETA_LOCIDX(45742,45566,,"SPX")&lt;/Q&gt;&lt;R&gt;1&lt;/R&gt;&lt;C&gt;1&lt;/C&gt;&lt;D xsi:type="xsd:double"&gt;1.3684103&lt;/D&gt;&lt;/FQL&gt;&lt;FQL&gt;&lt;Q&gt;CRH-US^P_BETA_LOCIDX(45527,45355,,"SPX")&lt;/Q&gt;&lt;R&gt;1&lt;/R&gt;&lt;C&gt;1&lt;/C&gt;&lt;D xsi:type="xsd:double"&gt;1.4483496&lt;/D&gt;&lt;/FQL&gt;&lt;FQL&gt;&lt;Q&gt;CRH-US^P_BETA_LOCIDX(45287,45114,,"SPX")&lt;/Q&gt;&lt;R&gt;1&lt;/R&gt;&lt;C&gt;1&lt;/C&gt;&lt;D xsi:type="xsd:double"&gt;1.2006061&lt;/D&gt;&lt;/FQL&gt;&lt;FQL&gt;&lt;Q&gt;CRH-US^P_BETA_LOCIDX(45166,44992,,"SPX")&lt;/Q&gt;&lt;R&gt;1&lt;/R&gt;&lt;C&gt;1&lt;/C&gt;&lt;D xsi:type="xsd:double"&gt;1.0443211&lt;/D&gt;&lt;/FQL&gt;&lt;FQL&gt;&lt;Q&gt;CRH-US^P_BETA_LOCIDX(45768,45589,,"SPX")&lt;/Q&gt;&lt;R&gt;1&lt;/R&gt;&lt;C&gt;1&lt;/C&gt;&lt;D xsi:type="xsd:double"&gt;1.2366406&lt;/D&gt;&lt;/FQL&gt;&lt;FQL&gt;&lt;Q&gt;CRH-US^P_BETA_LOCIDX(45181,45006,,"SPX")&lt;/Q&gt;&lt;R&gt;1&lt;/R&gt;&lt;C&gt;1&lt;/C&gt;&lt;D xsi:type="xsd:double"&gt;0.9769607&lt;/D&gt;&lt;/FQL&gt;&lt;FQL&gt;&lt;Q&gt;CRH-US^P_BETA_LOCIDX(45300,45126,,"SPX")&lt;/Q&gt;&lt;R&gt;1&lt;/R&gt;&lt;C&gt;1&lt;/C&gt;&lt;D xsi:type="xsd:double"&gt;1.2335467&lt;/D&gt;&lt;/FQL&gt;&lt;FQL&gt;&lt;Q&gt;CRH-US^P_BETA_LOCIDX(45957,45785,,"SPX")&lt;/Q&gt;&lt;R&gt;1&lt;/R&gt;&lt;C&gt;1&lt;/C&gt;&lt;D xsi:type="xsd:double"&gt;1.1648157&lt;/D&gt;&lt;/FQL&gt;&lt;FQL&gt;&lt;Q&gt;CRH-US^P_BETA_LOCIDX(45912,45740,,"SPX")&lt;/Q&gt;&lt;R&gt;1&lt;/R&gt;&lt;C&gt;1&lt;/C&gt;&lt;D xsi:type="xsd:double"&gt;1.2319039&lt;/D&gt;&lt;/FQL&gt;&lt;FQL&gt;&lt;Q&gt;CRH-US^P_BETA_LOCIDX(44985,44810,,"SPX")&lt;/Q&gt;&lt;R&gt;1&lt;/R&gt;&lt;C&gt;1&lt;/C&gt;&lt;D xsi:type="xsd:double"&gt;1.2236028&lt;/D&gt;&lt;/FQL&gt;&lt;FQL&gt;&lt;Q&gt;CRH-US^P_BETA_LOCIDX(45110,44935,,"SPX")&lt;/Q&gt;&lt;R&gt;1&lt;/R&gt;&lt;C&gt;1&lt;/C&gt;&lt;D xsi:type="xsd:double"&gt;1.01951&lt;/D&gt;&lt;/FQL&gt;&lt;FQL&gt;&lt;Q&gt;CRH-US^P_BETA_LOCIDX(46015,45845,,"SPX")&lt;/Q&gt;&lt;R&gt;1&lt;/R&gt;&lt;C&gt;1&lt;/C&gt;&lt;D xsi:type="xsd:double"&gt;1.1060007&lt;/D&gt;&lt;/FQL&gt;&lt;FQL&gt;&lt;Q&gt;CRH-US^P_BETA_LOCIDX(45884,45713,,"SPX")&lt;/Q&gt;&lt;R&gt;1&lt;/R&gt;&lt;C&gt;1&lt;/C&gt;&lt;D xsi:type="xsd:double"&gt;1.279606&lt;/D&gt;&lt;/FQL&gt;&lt;FQL&gt;&lt;Q&gt;CRH-US^P_BETA_LOCIDX(44999,44824,,"SPX")&lt;/Q&gt;&lt;R&gt;1&lt;/R&gt;&lt;C&gt;1&lt;/C&gt;&lt;D xsi:type="xsd:double"&gt;1.2380956&lt;/D&gt;&lt;/FQL&gt;&lt;FQL&gt;&lt;Q&gt;CRH-US^P_BETA_LOCIDX(45616,45443,,"SPX")&lt;/Q&gt;&lt;R&gt;1&lt;/R&gt;&lt;C&gt;1&lt;/C&gt;&lt;D xsi:type="xsd:double"&gt;1.2748514&lt;/D&gt;&lt;/FQL&gt;&lt;FQL&gt;&lt;Q&gt;CRH-US^P_BETA_LOCIDX(45083,44907,,"SPX")&lt;/Q&gt;&lt;R&gt;1&lt;/R&gt;&lt;C&gt;1&lt;/C&gt;&lt;D xsi:type="xsd:double"&gt;1.0395476&lt;/D&gt;&lt;/FQL&gt;&lt;FQL&gt;&lt;Q&gt;CRH-US^P_BETA_LOCIDX(45821,45644,,"SPX")&lt;/Q&gt;&lt;R&gt;1&lt;/R&gt;&lt;C&gt;1&lt;/C&gt;&lt;D xsi:type="xsd:double"&gt;1.2591455&lt;/D&gt;&lt;/FQL&gt;&lt;FQL&gt;&lt;Q&gt;CRH-US^P_BETA_LOCIDX(45601,45427,,"SPX")&lt;/Q&gt;&lt;R&gt;1&lt;/R&gt;&lt;C&gt;1&lt;/C&gt;&lt;D xsi:type="xsd:double"&gt;1.3042831&lt;/D&gt;&lt;/FQL&gt;&lt;FQL&gt;&lt;Q&gt;CRH-US^P_BETA_LOCIDX(45646,45475,,"SPX")&lt;/Q&gt;&lt;R&gt;1&lt;/R&gt;&lt;C&gt;1&lt;/C&gt;&lt;D xsi:type="xsd:double"&gt;1.2472116&lt;/D&gt;&lt;/FQL&gt;&lt;FQL&gt;&lt;Q&gt;CRH-US^P_BETA_LOCIDX(46034,45860,,"SPX")&lt;/Q&gt;&lt;R&gt;1&lt;/R&gt;&lt;C&gt;1&lt;/C&gt;&lt;D xsi:type="xsd:double"&gt;1.2017654&lt;/D&gt;&lt;/FQL&gt;&lt;FQL&gt;&lt;Q&gt;CRH-US^P_BETA_LOCIDX(45216,45042,,"SPX")&lt;/Q&gt;&lt;R&gt;1&lt;/R&gt;&lt;C&gt;1&lt;/C&gt;&lt;D xsi:type="xsd:double"&gt;1.1161679&lt;/D&gt;&lt;/FQL&gt;&lt;FQL&gt;&lt;Q&gt;CRH-US^P_BETA_LOCIDX(46008,45838,,"SPX")&lt;/Q&gt;&lt;R&gt;1&lt;/R&gt;&lt;C&gt;1&lt;/C&gt;&lt;D xsi:type="xsd:double"&gt;1.1071297&lt;/D&gt;&lt;/FQL&gt;&lt;FQL&gt;&lt;Q&gt;CRH-US^P_BETA_LOCIDX(45272,45099,,"SPX")&lt;/Q&gt;&lt;R&gt;1&lt;/R&gt;&lt;C&gt;1&lt;/C&gt;&lt;D xsi:type="xsd:double"&gt;1.2059784&lt;/D&gt;&lt;/FQL&gt;&lt;FQL&gt;&lt;Q&gt;CRH-US^P_BETA_LOCIDX(45877,45706,,"SPX")&lt;/Q&gt;&lt;R&gt;1&lt;/R&gt;&lt;C&gt;1&lt;/C&gt;&lt;D xsi:type="xsd:double"&gt;1.2674158&lt;/D&gt;&lt;/FQL&gt;&lt;FQL&gt;&lt;Q&gt;CRH-US^P_BETA_LOCIDX(45649,45476,,"SPX")&lt;/Q&gt;&lt;R&gt;1&lt;/R&gt;&lt;C&gt;1&lt;/C&gt;&lt;D xsi:type="xsd:double"&gt;1.2564888&lt;/D&gt;&lt;/FQL&gt;&lt;FQL&gt;&lt;Q&gt;CRH-US^P_BETA_LOCIDX(45481,45303,,"SPX")&lt;/Q&gt;&lt;R&gt;1&lt;/R&gt;&lt;C&gt;1&lt;/C&gt;&lt;D xsi:type="xsd:double"&gt;1.2140172&lt;/D&gt;&lt;/FQL&gt;&lt;FQL&gt;&lt;Q&gt;CRH-US^P_BETA_LOCIDX(45692,45516,,"SPX")&lt;/Q&gt;&lt;R&gt;1&lt;/R&gt;&lt;C&gt;1&lt;/C&gt;&lt;D xsi:type="xsd:double"&gt;1.0600512&lt;/D&gt;&lt;/FQL&gt;&lt;FQL&gt;&lt;Q&gt;CRH-US^P_BETA_LOCIDX(45730,45554,,"SPX")&lt;/Q&gt;&lt;R&gt;1&lt;/R&gt;&lt;C&gt;1&lt;/C&gt;&lt;D xsi:type="xsd:double"&gt;1.3130234&lt;/D&gt;&lt;/FQL&gt;&lt;FQL&gt;&lt;Q&gt;CRH-US^P_BETA_LOCIDX(45924,45750,,"SPX")&lt;/Q&gt;&lt;R&gt;1&lt;/R&gt;&lt;C&gt;1&lt;/C&gt;&lt;D xsi:type="xsd:double"&gt;1.1886938&lt;/D&gt;&lt;/FQL&gt;&lt;FQL&gt;&lt;Q&gt;CRH-US^P_BETA_LOCIDX(45971,45799,,"SPX")&lt;/Q&gt;&lt;R&gt;1&lt;/R&gt;&lt;C&gt;1&lt;/C&gt;&lt;D xsi:type="xsd:double"&gt;1.0724528&lt;/D&gt;&lt;/FQL&gt;&lt;FQL&gt;&lt;Q&gt;CRH-US^P_BETA_LOCIDX(45925,45754,,"SPX")&lt;/Q&gt;&lt;R&gt;1&lt;/R&gt;&lt;C&gt;1&lt;/C&gt;&lt;D xsi:type="xsd:double"&gt;1.2424138&lt;/D&gt;&lt;/FQL&gt;&lt;FQL&gt;&lt;Q&gt;CRH-US^P_BETA_LOCIDX(45663,45489,,"SPX")&lt;/Q&gt;&lt;R&gt;1&lt;/R&gt;&lt;C&gt;1&lt;/C&gt;&lt;D xsi:type="xsd:double"&gt;1.2664154&lt;/D&gt;&lt;/FQL&gt;&lt;FQL&gt;&lt;Q&gt;CRH-US^P_BETA_LOCIDX(45230,45056,,"SPX")&lt;/Q&gt;&lt;R&gt;1&lt;/R&gt;&lt;C&gt;1&lt;/C&gt;&lt;D xsi:type="xsd:double"&gt;1.2462314&lt;/D&gt;&lt;/FQL&gt;&lt;FQL&gt;&lt;Q&gt;CRH-US^P_BETA_LOCIDX(45301,45127,,"SPX")&lt;/Q&gt;&lt;R&gt;1&lt;/R&gt;&lt;C&gt;1&lt;/C&gt;&lt;D xsi:type="xsd:double"&gt;1.2303388&lt;/D&gt;&lt;/FQL&gt;&lt;FQL&gt;&lt;Q&gt;CRH-US^P_BETA_LOCIDX(45741,45565,,"SPX")&lt;/Q&gt;&lt;R&gt;1&lt;/R&gt;&lt;C&gt;1&lt;/C&gt;&lt;D xsi:type="xsd:double"&gt;1.3369216&lt;/D&gt;&lt;/FQL&gt;&lt;FQL&gt;&lt;Q&gt;CRH-US^P_BETA_LOCIDX(45079,44903,,"SPX")&lt;/Q&gt;&lt;R&gt;1&lt;/R&gt;&lt;C&gt;1&lt;/C&gt;&lt;D xsi:type="xsd:double"&gt;1.0204965&lt;/D&gt;&lt;/FQL&gt;&lt;FQL&gt;&lt;Q&gt;CRH-US^P_BETA_LOCIDX(45455,45279,,"SPX")&lt;/Q&gt;&lt;R&gt;1&lt;/R&gt;&lt;C&gt;1&lt;/C&gt;&lt;D xsi:type="xsd:double"&gt;1.278786&lt;/D&gt;&lt;/FQL&gt;&lt;FQL&gt;&lt;Q&gt;CRH-US^P_BETA_LOCIDX(45975,45805,,"SPX")&lt;/Q&gt;&lt;R&gt;1&lt;/R&gt;&lt;C&gt;1&lt;/C&gt;&lt;D xsi:type="xsd:double"&gt;1.1133782&lt;/D&gt;&lt;/FQL&gt;&lt;FQL&gt;&lt;Q&gt;CRH-US^P_BETA_LOCIDX(45722,45546,,"SPX")&lt;/Q&gt;&lt;R&gt;1&lt;/R&gt;&lt;C&gt;1&lt;/C&gt;&lt;D xsi:type="xsd:double"&gt;1.2652023&lt;/D&gt;&lt;/FQL&gt;&lt;FQL&gt;&lt;Q&gt;CRH-US^P_BETA_LOCIDX(46014,45842,,"SPX")&lt;/Q&gt;&lt;R&gt;1&lt;/R&gt;&lt;C&gt;1&lt;/C&gt;&lt;D xsi:type="xsd:double"&gt;1.097476&lt;/D&gt;&lt;/FQL&gt;&lt;FQL&gt;&lt;Q&gt;CRH-US^P_BETA_LOCIDX(45740,45562,,"SPX")&lt;/Q&gt;&lt;R&gt;1&lt;/R&gt;&lt;C&gt;1&lt;/C&gt;&lt;D xsi:type="xsd:double"&gt;1.3375041&lt;/D&gt;&lt;/FQL&gt;&lt;FQL&gt;&lt;Q&gt;CRH-US^P_BETA_LOCIDX(45513,45338,,"SPX")&lt;/Q&gt;&lt;R&gt;1&lt;/R&gt;&lt;C&gt;1&lt;/C&gt;&lt;D xsi:type="xsd:double"&gt;1.3866124&lt;/D&gt;&lt;/FQL&gt;&lt;FQL&gt;&lt;Q&gt;CRH-US^P_BETA_LOCIDX(45519,45345,,"SPX")&lt;/Q&gt;&lt;R&gt;1&lt;/R&gt;&lt;C&gt;1&lt;/C&gt;&lt;D xsi:type="xsd:double"&gt;1.4683983&lt;/D&gt;&lt;/FQL&gt;&lt;FQL&gt;&lt;Q&gt;CRH-US^P_BETA_LOCIDX(45761,45583,,"SPX")&lt;/Q&gt;&lt;R&gt;1&lt;/R&gt;&lt;C&gt;1&lt;/C&gt;&lt;D xsi:type="xsd:double"&gt;1.2539715&lt;/D&gt;&lt;/FQL&gt;&lt;FQL&gt;&lt;Q&gt;CRH-US^P_BETA_LOCIDX(45958,45786,,"SPX")&lt;/Q&gt;&lt;R&gt;1&lt;/R&gt;&lt;C&gt;1&lt;/C&gt;&lt;D xsi:type="xsd:double"&gt;1.1527575&lt;/D&gt;&lt;/FQL&gt;&lt;FQL&gt;&lt;Q&gt;CRH-US^P_BETA_LOCIDX(45474,45299,,"SPX")&lt;/Q&gt;&lt;R&gt;1&lt;/R&gt;&lt;C&gt;1&lt;/C&gt;&lt;D xsi:type="xsd:double"&gt;1.2545211&lt;/D&gt;&lt;/FQL&gt;&lt;FQL&gt;&lt;Q&gt;CRH-US^P_BETA_LOCIDX(45188,45013,,"SPX")&lt;/Q&gt;&lt;R&gt;1&lt;/R&gt;&lt;C&gt;1&lt;/C&gt;&lt;D xsi:type="xsd:double"&gt;1.0612564&lt;/D&gt;&lt;/FQL&gt;&lt;FQL&gt;&lt;Q&gt;CRH-US^P_BETA_LOCIDX(45631,45457,,"SPX")&lt;/Q&gt;&lt;R&gt;1&lt;/R&gt;&lt;C&gt;1&lt;/C&gt;&lt;D xsi:type="xsd:double"&gt;1.2574686&lt;/D&gt;&lt;/FQL&gt;&lt;FQL&gt;&lt;Q&gt;CRH-US^P_BETA_LOCIDX(46020,45852,,"SPX")&lt;/Q&gt;&lt;R&gt;1&lt;/R&gt;&lt;C&gt;1&lt;/C&gt;&lt;D xsi:type="xsd:double"&gt;1.103625&lt;/D&gt;&lt;/FQL&gt;&lt;FQL&gt;&lt;Q&gt;CRH-US^P_BETA_LOCIDX(45917,45744,,"SPX")&lt;/Q&gt;&lt;R&gt;1&lt;/R&gt;&lt;C&gt;1&lt;/C&gt;&lt;D xsi:type="xsd:double"&gt;1.2044785&lt;/D&gt;&lt;/FQL&gt;&lt;FQL&gt;&lt;Q&gt;CRH-US^P_BETA_LOCIDX(45800,45623,,"SPX")&lt;/Q&gt;&lt;R&gt;1&lt;/R&gt;&lt;C&gt;1&lt;/C&gt;&lt;D xsi:type="xsd:double"&gt;1.2711664&lt;/D&gt;&lt;/FQL&gt;&lt;FQL&gt;&lt;Q&gt;CRH-US^P_BETA_LOCIDX(45902,45728,,"SPX")&lt;/Q&gt;&lt;R&gt;1&lt;/R&gt;&lt;C&gt;1&lt;/C&gt;&lt;D xsi:type="xsd:double"&gt;1.2549554&lt;/D&gt;&lt;/FQL&gt;&lt;FQL&gt;&lt;Q&gt;CRH-US^P_BETA_LOCIDX(45336,45161,,"SPX")&lt;/Q&gt;&lt;R&gt;1&lt;/R&gt;&lt;C&gt;1&lt;/C&gt;&lt;D xsi:type="xsd:double"&gt;1.2441001&lt;/D&gt;&lt;/FQL&gt;&lt;FQL&gt;&lt;Q&gt;CRH-US^P_BETA_LOCIDX(45635,45461,,"SPX")&lt;/Q&gt;&lt;R&gt;1&lt;/R&gt;&lt;C&gt;1&lt;/C&gt;&lt;D xsi:type="xsd:double"&gt;1.255707&lt;/D&gt;&lt;/FQL&gt;&lt;FQL&gt;&lt;Q&gt;CRH-US^P_BETA_LOCIDX(45331,45156,,"SPX")&lt;/Q&gt;&lt;R&gt;1&lt;/R&gt;&lt;C&gt;1&lt;/C&gt;&lt;D xsi:type="xsd:double"&gt;1.1983715&lt;/D&gt;&lt;/FQL&gt;&lt;FQL&gt;&lt;Q&gt;CRH-US^P_BETA_LOCIDX(45013,44838,,"SPX")&lt;/Q&gt;&lt;R&gt;1&lt;/R&gt;&lt;C&gt;1&lt;/C&gt;&lt;D xsi:type="xsd:double"&gt;1.2229611&lt;/D&gt;&lt;/FQL&gt;&lt;FQL&gt;&lt;Q&gt;CRH-US^P_BETA_LOCIDX(45257,45083,,"SPX")&lt;/Q&gt;&lt;R&gt;1&lt;/R&gt;&lt;C&gt;1&lt;/C&gt;&lt;D xsi:type="xsd:double"&gt;1.1459246&lt;/D&gt;&lt;/FQL&gt;&lt;FQL&gt;&lt;Q&gt;CRH-US^P_BETA_LOCIDX(45281,45110,,"SPX")&lt;/Q&gt;&lt;R&gt;1&lt;/R&gt;&lt;C&gt;1&lt;/C&gt;&lt;D xsi:type="xsd:double"&gt;1.2298425&lt;/D&gt;&lt;/FQL&gt;&lt;FQL&gt;&lt;Q&gt;CRH-US^P_BETA_LOCIDX(46001,45831,,"SPX")&lt;/Q&gt;&lt;R&gt;1&lt;/R&gt;&lt;C&gt;1&lt;/C&gt;&lt;D xsi:type="xsd:double"&gt;1.1063921&lt;/D&gt;&lt;/FQL&gt;&lt;FQL&gt;&lt;Q&gt;CRH-US^P_BETA_LOCIDX(45342,45166,,"SPX")&lt;/Q&gt;&lt;R&gt;1&lt;/R&gt;&lt;C&gt;1&lt;/C&gt;&lt;D xsi:type="xsd:double"&gt;1.2254316&lt;/D&gt;&lt;/FQL&gt;&lt;FQL&gt;&lt;Q&gt;CRH-US^P_BETA_LOCIDX(45294,45120,,"SPX")&lt;/Q&gt;&lt;R&gt;1&lt;/R&gt;&lt;C&gt;1&lt;/C&gt;&lt;D xsi:type="xsd:double"&gt;1.2074538&lt;/D&gt;&lt;/FQL&gt;&lt;FQL&gt;&lt;Q&gt;CRH-US^P_BETA_LOCIDX(45421,45245,,"SPX")&lt;/Q&gt;&lt;R&gt;1&lt;/R&gt;&lt;C&gt;1&lt;/C&gt;&lt;D xsi:type="xsd:double"&gt;1.1898906&lt;/D&gt;&lt;/FQL&gt;&lt;FQL&gt;&lt;Q&gt;CRH-US^P_BETA_LOCIDX(45911,45740,,"SPX")&lt;/Q&gt;&lt;R&gt;1&lt;/R&gt;&lt;C&gt;1&lt;/C&gt;&lt;D xsi:type="xsd:double"&gt;1.2312409&lt;/D&gt;&lt;/FQL&gt;&lt;FQL&gt;&lt;Q&gt;CRH-US^P_BETA_LOCIDX(45035,44859,,"SPX")&lt;/Q&gt;&lt;R&gt;1&lt;/R&gt;&lt;C&gt;1&lt;/C&gt;&lt;D xsi:type="xsd:double"&gt;1.1522436&lt;/D&gt;&lt;/FQL&gt;&lt;FQL&gt;&lt;Q&gt;CRH-US^P_BETA_LOCIDX(45210,45036,,"SPX")&lt;/Q&gt;&lt;R&gt;1&lt;/R&gt;&lt;C&gt;1&lt;/C&gt;&lt;D xsi:type="xsd:double"&gt;1.0568644&lt;/D&gt;&lt;/FQL&gt;&lt;FQL&gt;&lt;Q&gt;CRH-US^P_BETA_LOCIDX(45107,44932,,"SPX")&lt;/Q&gt;&lt;R&gt;1&lt;/R&gt;&lt;C&gt;1&lt;/C&gt;&lt;D xsi:type="xsd:double"&gt;1.0401314&lt;/D&gt;&lt;/FQL&gt;&lt;FQL&gt;&lt;Q&gt;CRH-US^P_BETA_LOCIDX(45870,45698,,"SPX")&lt;/Q&gt;&lt;R&gt;1&lt;/R&gt;&lt;C&gt;1&lt;/C&gt;&lt;D xsi:type="xsd:double"&gt;1.2618698&lt;/D&gt;&lt;/FQL&gt;&lt;FQL&gt;&lt;Q&gt;CRH-US^P_BETA_LOCIDX(46008,45840,,"SPX")&lt;/Q&gt;&lt;R&gt;1&lt;/R&gt;&lt;C&gt;1&lt;/C&gt;&lt;D xsi:type="xsd:double"&gt;1.1157913&lt;/D&gt;&lt;/FQL&gt;&lt;FQL&gt;&lt;Q&gt;CRH-US^P_BETA_LOCIDX(46017,45849,,"SPX")&lt;/Q&gt;&lt;R&gt;1&lt;/R&gt;&lt;C&gt;1&lt;/C&gt;&lt;D xsi:type="xsd:double"&gt;1.0993215&lt;/D&gt;&lt;/FQL&gt;&lt;FQL&gt;&lt;Q&gt;CRH-US^P_BETA_LOCIDX(45965,45793,,"SPX")&lt;/Q&gt;&lt;R&gt;1&lt;/R&gt;&lt;C&gt;1&lt;/C&gt;&lt;D xsi:type="xsd:double"&gt;1.1311829&lt;/D&gt;&lt;/FQL&gt;&lt;FQL&gt;&lt;Q&gt;CRH-US^P_BETA_LOCIDX(45511,45336,,"SPX")&lt;/Q&gt;&lt;R&gt;1&lt;/R&gt;&lt;C&gt;1&lt;/C&gt;&lt;D xsi:type="xsd:double"&gt;1.2960197&lt;/D&gt;&lt;/FQL&gt;&lt;FQL&gt;&lt;Q&gt;CRH-US^P_BETA_LOCIDX(45590,45418,,"SPX")&lt;/Q&gt;&lt;R&gt;1&lt;/R&gt;&lt;C&gt;1&lt;/C&gt;&lt;D xsi:type="xsd:double"&gt;1.3531644&lt;/D&gt;&lt;/FQL&gt;&lt;FQL&gt;&lt;Q&gt;CRH-US^P_BETA_LOCIDX(45098,44922,,"SPX")&lt;/Q&gt;&lt;R&gt;1&lt;/R&gt;&lt;C&gt;1&lt;/C&gt;&lt;D xsi:type="xsd:double"&gt;1.044133&lt;/D&gt;&lt;/FQL&gt;&lt;FQL&gt;&lt;Q&gt;CRH-US^P_BETA_LOCIDX(45089,44911,,"SPX")&lt;/Q&gt;&lt;R&gt;1&lt;/R&gt;&lt;C&gt;1&lt;/C&gt;&lt;D xsi:type="xsd:double"&gt;1.0341191&lt;/D&gt;&lt;/FQL&gt;&lt;FQL&gt;&lt;Q&gt;CRH-US^P_BETA_LOCIDX(45609,45435,,"SPX")&lt;/Q&gt;&lt;R&gt;1&lt;/R&gt;&lt;C&gt;1&lt;/C&gt;&lt;D xsi:type="xsd:double"&gt;1.2660263&lt;/D&gt;&lt;/FQL&gt;&lt;FQL&gt;&lt;Q&gt;CRH-US^P_BETA_LOCIDX(45155,44981,,"SPX")&lt;/Q&gt;&lt;R&gt;1&lt;/R&gt;&lt;C&gt;1&lt;/C&gt;&lt;D xsi:type="xsd:double"&gt;1.0820175&lt;/D&gt;&lt;/FQL&gt;&lt;FQL&gt;&lt;Q&gt;CRH-US^P_BETA_LOCIDX(45468,45293,,"SPX")&lt;/Q&gt;&lt;R&gt;1&lt;/R&gt;&lt;C&gt;1&lt;/C&gt;&lt;D xsi:type="xsd:double"&gt;1.309338&lt;/D&gt;&lt;/FQL&gt;&lt;FQL&gt;&lt;Q&gt;CRH-US^P_BETA_LOCIDX(45623,45450,,"SPX")&lt;/Q&gt;&lt;R&gt;1&lt;/R&gt;&lt;C&gt;1&lt;/C&gt;&lt;D xsi:type="xsd:double"&gt;1.2614638&lt;/D&gt;&lt;/FQL&gt;&lt;FQL&gt;&lt;Q&gt;CRH-US^P_BETA_LOCIDX(45383,45205,,"SPX")&lt;/Q&gt;&lt;R&gt;1&lt;/R&gt;&lt;C&gt;1&lt;/C&gt;&lt;D xsi:type="xsd:double"&gt;1.1825858&lt;/D&gt;&lt;/FQL&gt;&lt;FQL&gt;&lt;Q&gt;CRH-US^P_BETA_LOCIDX(45484,45309,,"SPX")&lt;/Q&gt;&lt;R&gt;1&lt;/R&gt;&lt;C&gt;1&lt;/C&gt;&lt;D xsi:type="xsd:double"&gt;1.1449318&lt;/D&gt;&lt;/FQL&gt;&lt;FQL&gt;&lt;Q&gt;CRH-US^P_BETA_LOCIDX(45916,45743,,"SPX")&lt;/Q&gt;&lt;R&gt;1&lt;/R&gt;&lt;C&gt;1&lt;/C&gt;&lt;D xsi:type="xsd:double"&gt;1.2076571&lt;/D&gt;&lt;/FQL&gt;&lt;FQL&gt;&lt;Q&gt;CRH-US^P_BETA_LOCIDX(45540,45365,,"SPX")&lt;/Q&gt;&lt;R&gt;1&lt;/R&gt;&lt;C&gt;1&lt;/C&gt;&lt;D xsi:type="xsd:double"&gt;1.4631866&lt;/D&gt;&lt;/FQL&gt;&lt;FQL&gt;&lt;Q&gt;CRH-US^P_BETA_LOCIDX(46042,45867,,"SPX")&lt;/Q&gt;&lt;R&gt;1&lt;/R&gt;&lt;C&gt;1&lt;/C&gt;&lt;D xsi:type="xsd:double"&gt;1.2137986&lt;/D&gt;&lt;/FQL&gt;&lt;FQL&gt;&lt;Q&gt;CRH-US^P_BETA_LOCIDX(45405,45229,,"SPX")&lt;/Q&gt;&lt;R&gt;1&lt;/R&gt;&lt;C&gt;1&lt;/C&gt;&lt;D xsi:type="xsd:double"&gt;1.1064627&lt;/D&gt;&lt;/FQL&gt;&lt;FQL&gt;&lt;Q&gt;CRH-US^P_BETA_LOCIDX(45021,44846,,"SPX")&lt;/Q&gt;&lt;R&gt;1&lt;/R&gt;&lt;C&gt;1&lt;/C&gt;&lt;D xsi:type="xsd:double"&gt;1.178384&lt;/D&gt;&lt;/FQL&gt;&lt;FQL&gt;&lt;Q&gt;CRH-US^P_BETA_LOCIDX(45700,45524,,"SPX")&lt;/Q&gt;&lt;R&gt;1&lt;/R&gt;&lt;C&gt;1&lt;/C&gt;&lt;D xsi:type="xsd:double"&gt;1.0569855&lt;/D&gt;&lt;/FQL&gt;&lt;FQL&gt;&lt;Q&gt;CRH-US^P_BETA_LOCIDX(45600,45426,,"SPX")&lt;/Q&gt;&lt;R&gt;1&lt;/R&gt;&lt;C&gt;1&lt;/C&gt;&lt;D xsi:type="xsd:double"&gt;1.2900577&lt;/D&gt;&lt;/FQL&gt;&lt;FQL&gt;&lt;Q&gt;CRH-US^P_BETA_LOCIDX(45044,44868,,"SPX")&lt;/Q&gt;&lt;R&gt;1&lt;/R&gt;&lt;C&gt;1&lt;/C&gt;&lt;D xsi:type="xsd:double"&gt;1.078693&lt;/D&gt;&lt;/FQL&gt;&lt;FQL&gt;&lt;Q&gt;CRH-US^P_BETA_LOCIDX(45400,45224,,"SPX")&lt;/Q&gt;&lt;R&gt;1&lt;/R&gt;&lt;C&gt;1&lt;/C&gt;&lt;D xsi:type="xsd:double"&gt;1.1470966&lt;/D&gt;&lt;/FQL&gt;&lt;FQL&gt;&lt;Q&gt;CRH-US^P_BETA_LOCIDX(45092,44916,,"SPX")&lt;/Q&gt;&lt;R&gt;1&lt;/R&gt;&lt;C&gt;1&lt;/C&gt;&lt;D xsi:type="xsd:double"&gt;1.0505544&lt;/D&gt;&lt;/FQL&gt;&lt;FQL&gt;&lt;Q&gt;CRH-US^P_BETA_LOCIDX(46009,45841,,"SPX")&lt;/Q&gt;&lt;R&gt;1&lt;/R&gt;&lt;C&gt;1&lt;/C&gt;&lt;D xsi:type="xsd:double"&gt;1.1410084&lt;/D&gt;&lt;/FQL&gt;&lt;FQL&gt;&lt;Q&gt;CRH-US^P_BETA_LOCIDX(45190,45015,,"SPX")&lt;/Q&gt;&lt;R&gt;1&lt;/R&gt;&lt;C&gt;1&lt;/C&gt;&lt;D xsi:type="xsd:double"&gt;1.0550693&lt;/D&gt;&lt;/FQL&gt;&lt;FQL&gt;&lt;Q&gt;CRH-US^P_BETA_LOCIDX(45940,45769,,"SPX")&lt;/Q&gt;&lt;R&gt;1&lt;/R&gt;&lt;C&gt;1&lt;/C&gt;&lt;D xsi:type="xsd:double"&gt;1.3204246&lt;/D&gt;&lt;/FQL&gt;&lt;FQL&gt;&lt;Q&gt;CRH-US^P_BETA_LOCIDX(45133,44958,,"SPX")&lt;/Q&gt;&lt;R&gt;1&lt;/R&gt;&lt;C&gt;1&lt;/C&gt;&lt;D xsi:type="xsd:double"&gt;1.0805902&lt;/D&gt;&lt;/FQL&gt;&lt;FQL&gt;&lt;Q&gt;CRH-US^P_BETA_LOCIDX(46015,45847,,"SPX")&lt;/Q&gt;&lt;R&gt;1&lt;/R&gt;&lt;C&gt;1&lt;/C&gt;&lt;D xsi:type="xsd:double"&gt;1.1078169&lt;/D&gt;&lt;/FQL&gt;&lt;FQL&gt;&lt;Q&gt;CRH-US^P_BETA_LOCIDX(45848,45673,,"SPX")&lt;/Q&gt;&lt;R&gt;1&lt;/R&gt;&lt;C&gt;1&lt;/C&gt;&lt;D xsi:type="xsd:double"&gt;1.2782538&lt;/D&gt;&lt;/FQL&gt;&lt;FQL&gt;&lt;Q&gt;CRH-US^P_BETA_LOCIDX(45869,45695,,"SPX")&lt;/Q&gt;&lt;R&gt;1&lt;/R&gt;&lt;C&gt;1&lt;/C&gt;&lt;D xsi:type="xsd:double"&gt;1.2748377&lt;/D&gt;&lt;/FQL&gt;&lt;FQL&gt;&lt;Q&gt;CRH-US^P_BETA_LOCIDX(45671,45496,,"SPX")&lt;/Q&gt;&lt;R&gt;1&lt;/R&gt;&lt;C&gt;1&lt;/C&gt;&lt;D xsi:type="xsd:double"&gt;1.2178737&lt;/D&gt;&lt;/FQL&gt;&lt;FQL&gt;&lt;Q&gt;CRH-US^P_BETA_LOCIDX(45960,45790,,"SPX")&lt;/Q&gt;&lt;R&gt;1&lt;/R&gt;&lt;C&gt;1&lt;/C&gt;&lt;D xsi:type="xsd:double"&gt;1.1216061&lt;/D&gt;&lt;/FQL&gt;&lt;FQL&gt;&lt;Q&gt;CRH-US^P_BETA_LOCIDX(44974,44799,,"SPX")&lt;/Q&gt;&lt;R&gt;1&lt;/R&gt;&lt;C&gt;1&lt;/C&gt;&lt;D xsi:type="xsd:double"&gt;1.2050666&lt;/D&gt;&lt;/FQL&gt;&lt;FQL&gt;&lt;Q&gt;CRH-US^P_BETA_LOCIDX(45855,45681,,"SPX")&lt;/Q&gt;&lt;R&gt;1&lt;/R&gt;&lt;C&gt;1&lt;/C&gt;&lt;D xsi:type="xsd:double"&gt;1.2709956&lt;/D&gt;&lt;/FQL&gt;&lt;FQL&gt;&lt;Q&gt;CRH-US^P_BETA_LOCIDX(45105,44930,,"SPX")&lt;/Q&gt;&lt;R&gt;1&lt;/R&gt;&lt;C&gt;1&lt;/C&gt;&lt;D xsi:type="xsd:double"&gt;1.0766315&lt;/D&gt;&lt;/FQL&gt;&lt;FQL&gt;&lt;Q&gt;CRH-US^P_BETA_LOCIDX(45978,45806,,"SPX")&lt;/Q&gt;&lt;R&gt;1&lt;/R&gt;&lt;C&gt;1&lt;/C&gt;&lt;D xsi:type="xsd:double"&gt;1.0640669&lt;/D&gt;&lt;/FQL&gt;&lt;FQL&gt;&lt;Q&gt;CRH-US^P_BETA_LOCIDX(45378,45203,,"SPX")&lt;/Q&gt;&lt;R&gt;1&lt;/R&gt;&lt;C&gt;1&lt;/C&gt;&lt;D xsi:type="xsd:double"&gt;1.1743757&lt;/D&gt;&lt;/FQL&gt;&lt;FQL&gt;&lt;Q&gt;CRH-US^P_BETA_LOCIDX(45252,45079,,"SPX")&lt;/Q&gt;&lt;R&gt;1&lt;/R&gt;&lt;C&gt;1&lt;/C&gt;&lt;D xsi:type="xsd:double"&gt;1.1482956&lt;/D&gt;&lt;/FQL&gt;&lt;FQL&gt;&lt;Q&gt;CRH-US^P_BETA_LOCIDX(45681,45505,,"SPX")&lt;/Q&gt;&lt;R&gt;1&lt;/R&gt;&lt;C&gt;1&lt;/C&gt;&lt;D xsi:type="xsd:double"&gt;1.241128&lt;/D&gt;&lt;/FQL&gt;&lt;FQL&gt;&lt;Q&gt;CRH-US^P_BETA_LOCIDX(45007,44832,,"SPX")&lt;/Q&gt;&lt;R&gt;1&lt;/R&gt;&lt;C&gt;1&lt;/C&gt;&lt;D xsi:type="xsd:double"&gt;1.2060325&lt;/D&gt;&lt;/FQL&gt;&lt;FQL&gt;&lt;Q&gt;CRH-US^P_BETA_LOCIDX(45211,45037,,"SPX")&lt;/Q&gt;&lt;R&gt;1&lt;/R&gt;&lt;C&gt;1&lt;/C&gt;&lt;D xsi:type="xsd:double"&gt;1.073059&lt;/D&gt;&lt;/FQL&gt;&lt;FQL&gt;&lt;Q&gt;CRH-US^P_BETA_LOCIDX(46013,45845,,"SPX")&lt;/Q&gt;&lt;R&gt;1&lt;/R&gt;&lt;C&gt;1&lt;/C&gt;&lt;D xsi:type="xsd:double"&gt;1.107492&lt;/D&gt;&lt;/FQL&gt;&lt;FQL&gt;&lt;Q&gt;CRH-US^P_BETA_LOCIDX(45124,44949,,"SPX")&lt;/Q&gt;&lt;R&gt;1&lt;/R&gt;&lt;C&gt;1&lt;/C&gt;&lt;D xsi:type="xsd:double"&gt;1.0721232&lt;/D&gt;&lt;/FQL&gt;&lt;FQL&gt;&lt;Q&gt;CRH-US^P_BETA_LOCIDX(45134,44959,,"SPX")&lt;/Q&gt;&lt;R&gt;1&lt;/R&gt;&lt;C&gt;1&lt;/C&gt;&lt;D xsi:type="xsd:double"&gt;1.0665368&lt;/D&gt;&lt;/FQL&gt;&lt;FQL&gt;&lt;Q&gt;CRH-US^P_BETA_LOCIDX(45895,45722,,"SPX")&lt;/Q&gt;&lt;R&gt;1&lt;/R&gt;&lt;C&gt;1&lt;/C&gt;&lt;D xsi:type="xsd:double"&gt;1.2625364&lt;/D&gt;&lt;/FQL&gt;&lt;FQL&gt;&lt;Q&gt;CRH-US^P_BETA_LOCIDX(45625,45453,,"SPX")&lt;/Q&gt;&lt;R&gt;1&lt;/R&gt;&lt;C&gt;1&lt;/C&gt;&lt;D xsi:type="xsd:double"&gt;1.2603458&lt;/D&gt;&lt;/FQL&gt;&lt;FQL&gt;&lt;Q&gt;CRH-US^P_BETA_LOCIDX(45953,45782,,"SPX")&lt;/Q&gt;&lt;R&gt;1&lt;/R&gt;&lt;C&gt;1&lt;/C&gt;&lt;D xsi:type="xsd:double"&gt;1.2034507&lt;/D&gt;&lt;/FQL&gt;&lt;FQL&gt;&lt;Q&gt;CRH-US^P_BETA_LOCIDX(45099,44923,,"SPX")&lt;/Q&gt;&lt;R&gt;1&lt;/R&gt;&lt;C&gt;1&lt;/C&gt;&lt;D xsi:type="xsd:double"&gt;1.0439327&lt;/D&gt;&lt;/FQL&gt;&lt;FQL&gt;&lt;Q&gt;CRH-US^P_BETA_LOCIDX(46044,45869,,"SPX")&lt;/Q&gt;&lt;R&gt;1&lt;/R&gt;&lt;C&gt;1&lt;/C&gt;&lt;D xsi:type="xsd:double"&gt;1.1968359&lt;/D&gt;&lt;/FQL&gt;&lt;FQL&gt;&lt;Q&gt;CRH-US^P_BETA_LOCIDX(46010,45842,,"SPX")&lt;/Q&gt;&lt;R&gt;1&lt;/R&gt;&lt;C&gt;1&lt;/C&gt;&lt;D xsi:type="xsd:double"&gt;1.0941168&lt;/D&gt;&lt;/FQL&gt;&lt;FQL&gt;&lt;Q&gt;CRH-US^P_BETA_LOCIDX(45959,45789,,"SPX")&lt;/Q&gt;&lt;R&gt;1&lt;/R&gt;&lt;C&gt;1&lt;/C&gt;&lt;D xsi:type="xsd:double"&gt;1.1592863&lt;/D&gt;&lt;/FQL&gt;&lt;FQL&gt;&lt;Q&gt;CRH-US^P_BETA_LOCIDX(45908,45735,,"SPX")&lt;/Q&gt;&lt;R&gt;1&lt;/R&gt;&lt;C&gt;1&lt;/C&gt;&lt;D xsi:type="xsd:double"&gt;1.2339557&lt;/D&gt;&lt;/FQL&gt;&lt;FQL&gt;&lt;Q&gt;CRH-US^P_BETA_LOCIDX(45033,44855,,"SPX")&lt;/Q&gt;&lt;R&gt;1&lt;/R&gt;&lt;C&gt;1&lt;/C&gt;&lt;D xsi:type="xsd:double"&gt;1.1369928&lt;/D&gt;&lt;/FQL&gt;&lt;FQL&gt;&lt;Q&gt;CRH-US^P_BETA_LOCIDX(45366,45191,,"SPX")&lt;/Q&gt;&lt;R&gt;1&lt;/R&gt;&lt;C&gt;1&lt;/C&gt;&lt;D xsi:type="xsd:double"&gt;1.2009146&lt;/D&gt;&lt;/FQL&gt;&lt;FQL&gt;&lt;Q&gt;CRH-US^P_BETA_LOCIDX(44959,44784,,"SPX")&lt;/Q&gt;&lt;R&gt;1&lt;/R&gt;&lt;C&gt;1&lt;/C&gt;&lt;D xsi:type="xsd:double"&gt;1.2051743&lt;/D&gt;&lt;/FQL&gt;&lt;FQL&gt;&lt;Q&gt;CRH-US^P_BETA_LOCIDX(45919,45747,,"SPX")&lt;/Q&gt;&lt;R&gt;1&lt;/R&gt;&lt;C&gt;1&lt;/C&gt;&lt;D xsi:type="xsd:double"&gt;1.1875238&lt;/D&gt;&lt;/FQL&gt;&lt;FQL&gt;&lt;Q&gt;CRH-US^P_BETA_LOCIDX(45876,45702,,"SPX")&lt;/Q&gt;&lt;R&gt;1&lt;/R&gt;&lt;C&gt;1&lt;/C&gt;&lt;D xsi:type="xsd:double"&gt;1.263783&lt;/D&gt;&lt;/FQL&gt;&lt;FQL&gt;&lt;Q&gt;CRH-US^P_BETA_LOCIDX(45891,45720,,"SPX")&lt;/Q&gt;&lt;R&gt;1&lt;/R&gt;&lt;C&gt;1&lt;/C&gt;&lt;D xsi:type="xsd:double"&gt;1.2913039&lt;/D&gt;&lt;/FQL&gt;&lt;FQL&gt;&lt;Q&gt;CRH-US^P_BETA_LOCIDX(46038,45866,,"SPX")&lt;/Q&gt;&lt;R&gt;1&lt;/R&gt;&lt;C&gt;1&lt;/C&gt;&lt;D xsi:type="xsd:double"&gt;1.240099&lt;/D&gt;&lt;/FQL&gt;&lt;FQL&gt;&lt;Q&gt;CRH-US^P_BETA_LOCIDX(45152,44978,,"SPX")&lt;/Q&gt;&lt;R&gt;1&lt;/R&gt;&lt;C&gt;1&lt;/C&gt;&lt;D xsi:type="xsd:double"&gt;1.0488411&lt;/D&gt;&lt;/FQL&gt;&lt;FQL&gt;&lt;Q&gt;CRH-US^P_BETA_LOCIDX(45050,44874,,"SPX")&lt;/Q&gt;&lt;R&gt;1&lt;/R&gt;&lt;C&gt;1&lt;/C&gt;&lt;D xsi:type="xsd:double"&gt;1.0695003&lt;/D&gt;&lt;/FQL&gt;&lt;FQL&gt;&lt;Q&gt;CRH-US^P_BETA_LOCIDX(45135,44960,,"SPX")&lt;/Q&gt;&lt;R&gt;1&lt;/R&gt;&lt;C&gt;1&lt;/C&gt;&lt;D xsi:type="xsd:double"&gt;1.0747455&lt;/D&gt;&lt;/FQL&gt;&lt;FQL&gt;&lt;Q&gt;CRH-US^P_BETA_LOCIDX(45478,45302,,"SPX")&lt;/Q&gt;&lt;R&gt;1&lt;/R&gt;&lt;C&gt;1&lt;/C&gt;&lt;D xsi:type="xsd:double"&gt;1.2169518&lt;/D&gt;&lt;/FQL&gt;&lt;FQL&gt;&lt;Q&gt;CRH-US^P_BETA_LOCIDX(45034,44858,,"SPX")&lt;/Q&gt;&lt;R&gt;1&lt;/R&gt;&lt;C&gt;1&lt;/C&gt;&lt;D xsi:type="xsd:double"&gt;1.1533867&lt;/D&gt;&lt;/FQL&gt;&lt;FQL&gt;&lt;Q&gt;CRH-US^P_BETA_LOCIDX(45385,45209,,"SPX")&lt;/Q&gt;&lt;R&gt;1&lt;/R&gt;&lt;C&gt;1&lt;/C&gt;&lt;D xsi:type="xsd:double"&gt;1.1723015&lt;/D&gt;&lt;/FQL&gt;&lt;FQL&gt;&lt;Q&gt;CRH-US^P_BETA_LOCIDX(44984,44806,,"SPX")&lt;/Q&gt;&lt;R&gt;1&lt;/R&gt;&lt;C&gt;1&lt;/C&gt;&lt;D xsi:type="xsd:double"&gt;1.2149395&lt;/D&gt;&lt;/FQL&gt;&lt;FQL&gt;&lt;Q&gt;CRH-US^P_BETA_LOCIDX(45961,45790,,"SPX")&lt;/Q&gt;&lt;R&gt;1&lt;/R&gt;&lt;C&gt;1&lt;/C&gt;&lt;D xsi:type="xsd:double"&gt;1.1248122&lt;/D&gt;&lt;/FQL&gt;&lt;FQL&gt;&lt;Q&gt;CRH-US^P_BETA_LOCIDX(45562,45390,,"SPX")&lt;/Q&gt;&lt;R&gt;1&lt;/R&gt;&lt;C&gt;1&lt;/C&gt;&lt;D xsi:type="xsd:double"&gt;1.3772471&lt;/D&gt;&lt;/FQL&gt;&lt;FQL&gt;&lt;Q&gt;CRH-US^P_BETA_LOCIDX(46043,45868,,"SPX")&lt;/Q&gt;&lt;R&gt;1&lt;/R&gt;&lt;C&gt;1&lt;/C&gt;&lt;D xsi:type="xsd:double"&gt;1.1830719&lt;/D&gt;&lt;/FQL&gt;&lt;FQL&gt;&lt;Q&gt;CRH-US^P_BETA_LOCIDX(45894,45721,,"SPX")&lt;/Q&gt;&lt;R&gt;1&lt;/R&gt;&lt;C&gt;1&lt;/C&gt;&lt;D xsi:type="xsd:double"&gt;1.2812357&lt;/D&gt;&lt;/FQL&gt;&lt;FQL&gt;&lt;Q&gt;CRH-US^P_BETA_LOCIDX(45790,45611,,"SPX")&lt;/Q&gt;&lt;R&gt;1&lt;/R&gt;&lt;C&gt;1&lt;/C&gt;&lt;D xsi:type="xsd:double"&gt;1.270629&lt;/D&gt;&lt;/FQL&gt;&lt;FQL&gt;&lt;Q&gt;CRH-US^P_BETA_LOCIDX(45954,45784,,"SPX")&lt;/Q&gt;&lt;R&gt;1&lt;/R&gt;&lt;C&gt;1&lt;/C&gt;&lt;D xsi:type="xsd:double"&gt;1.1668383&lt;/D&gt;&lt;/FQL&gt;&lt;FQL&gt;&lt;Q&gt;CRH-US^P_BETA_LOCIDX(45103,44925,,"SPX")&lt;/Q&gt;&lt;R&gt;1&lt;/R&gt;&lt;C&gt;1&lt;/C&gt;&lt;D xsi:type="xsd:double"&gt;1.04547&lt;/D&gt;&lt;/FQL&gt;&lt;FQL&gt;&lt;Q&gt;CRH-US^P_BETA_LOCIDX(45936,45762,,"SPX")&lt;/Q&gt;&lt;R&gt;1&lt;/R&gt;&lt;C&gt;1&lt;/C&gt;&lt;D xsi:type="xsd:double"&gt;1.3114882&lt;/D&gt;&lt;/FQL&gt;&lt;FQL&gt;&lt;Q&gt;CRH-US^P_BETA_LOCIDX(45814,45637,,"SPX")&lt;/Q&gt;&lt;R&gt;1&lt;/R&gt;&lt;C&gt;1&lt;/C&gt;&lt;D xsi:type="xsd:double"&gt;1.2485728&lt;/D&gt;&lt;/FQL&gt;&lt;FQL&gt;&lt;Q&gt;CRH-US^P_BETA_LOCIDX(45020,44845,,"SPX")&lt;/Q&gt;&lt;R&gt;1&lt;/R&gt;&lt;C&gt;1&lt;/C&gt;&lt;D xsi:type="xsd:double"&gt;1.1703464&lt;/D&gt;&lt;/FQL&gt;&lt;FQL&gt;&lt;Q&gt;CRH-US^P_BETA_LOCIDX(45832,45653,,"SPX")&lt;/Q&gt;&lt;R&gt;1&lt;/R&gt;&lt;C&gt;1&lt;/C&gt;&lt;D xsi:type="xsd:double"&gt;1.2685536&lt;/D&gt;&lt;/FQL&gt;&lt;FQL&gt;&lt;Q&gt;CRH-US^P_BETA_LOCIDX(45735,45559,,"SPX")&lt;/Q&gt;&lt;R&gt;1&lt;/R&gt;&lt;C&gt;1&lt;/C&gt;&lt;D xsi:type="xsd:double"&gt;1.3145459&lt;/D&gt;&lt;/FQL&gt;&lt;FQL&gt;&lt;Q&gt;CRH-US^P_BETA_LOCIDX(45196,45021,,"SPX")&lt;/Q&gt;&lt;R&gt;1&lt;/R&gt;&lt;C&gt;1&lt;/C&gt;&lt;D xsi:type="xsd:double"&gt;1.0376799&lt;/D&gt;&lt;/FQL&gt;&lt;FQL&gt;&lt;Q&gt;CRH-US^P_BETA_LOCIDX(45902,45729,,"SPX")&lt;/Q&gt;&lt;R&gt;1&lt;/R&gt;&lt;C&gt;1&lt;/C&gt;&lt;D xsi:type="xsd:double"&gt;1.2502292&lt;/D&gt;&lt;/FQL&gt;&lt;FQL&gt;&lt;Q&gt;CRH-US^P_BETA_LOCIDX(45770,45593,,"SPX")&lt;/Q&gt;&lt;R&gt;1&lt;/R&gt;&lt;C&gt;1&lt;/C&gt;&lt;D xsi:type="xsd:double"&gt;1.2423481&lt;/D&gt;&lt;/FQL&gt;&lt;FQL&gt;&lt;Q&gt;CRH-US^P_BETA_LOCIDX(45261,45089,,"SPX")&lt;/Q&gt;&lt;R&gt;1&lt;/R&gt;&lt;C&gt;1&lt;/C&gt;&lt;D xsi:type="xsd:double"&gt;1.158936&lt;/D&gt;&lt;/FQL&gt;&lt;FQL&gt;&lt;Q&gt;CRH-US^P_BETA_LOCIDX(45721,45545,,"SPX")&lt;/Q&gt;&lt;R&gt;1&lt;/R&gt;&lt;C&gt;1&lt;/C&gt;&lt;D xsi:type="xsd:double"&gt;1.2304136&lt;/D&gt;&lt;/FQL&gt;&lt;FQL&gt;&lt;Q&gt;CRH-US^P_BETA_LOCIDX(45491,45316,,"SPX")&lt;/Q&gt;&lt;R&gt;1&lt;/R&gt;&lt;C&gt;1&lt;/C&gt;&lt;D xsi:type="xsd:double"&gt;1.1958573&lt;/D&gt;&lt;/FQL&gt;&lt;FQL&gt;&lt;Q&gt;CRH-US^P_BETA_LOCIDX(45572,45398,,"SPX")&lt;/Q&gt;&lt;R&gt;1&lt;/R&gt;&lt;C&gt;1&lt;/C&gt;&lt;D xsi:type="xsd:double"&gt;1.3880974&lt;/D&gt;&lt;/FQL&gt;&lt;FQL&gt;&lt;Q&gt;CRH-US^P_BETA_LOCIDX(45688,45512,,"SPX")&lt;/Q&gt;&lt;R&gt;1&lt;/R&gt;&lt;C&gt;1&lt;/C&gt;&lt;D xsi:type="xsd:double"&gt;1.170132&lt;/D&gt;&lt;/FQL&gt;&lt;FQL&gt;&lt;Q&gt;CRH-US^P_BETA_LOCIDX(45763,45587,,"SPX")&lt;/Q&gt;&lt;R&gt;1&lt;/R&gt;&lt;C&gt;1&lt;/C&gt;&lt;D xsi:type="xsd:double"&gt;1.2408952&lt;/D&gt;&lt;/FQL&gt;&lt;FQL&gt;&lt;Q&gt;CRH-US^P_BETA_LOCIDX(45686,45510,,"SPX")&lt;/Q&gt;&lt;R&gt;1&lt;/R&gt;&lt;C&gt;1&lt;/C&gt;&lt;D xsi:type="xsd:double"&gt;1.1943549&lt;/D&gt;&lt;/FQL&gt;&lt;FQL&gt;&lt;Q&gt;CRH-US^P_BETA_LOCIDX(45177,45002,,"SPX")&lt;/Q&gt;&lt;R&gt;1&lt;/R&gt;&lt;C&gt;1&lt;/C&gt;&lt;D xsi:type="xsd:double"&gt;1.000398&lt;/D&gt;&lt;/FQL&gt;&lt;FQL&gt;&lt;Q&gt;CRH-US^P_BETA_LOCIDX(45397,45219,,"SPX")&lt;/Q&gt;&lt;R&gt;1&lt;/R&gt;&lt;C&gt;1&lt;/C&gt;&lt;D xsi:type="xsd:double"&gt;1.0695499&lt;/D&gt;&lt;/FQL&gt;&lt;FQL&gt;&lt;Q&gt;CRH-US^P_BETA_LOCIDX(45841,45665,,"SPX")&lt;/Q&gt;&lt;R&gt;1&lt;/R&gt;&lt;C&gt;1&lt;/C&gt;&lt;D xsi:type="xsd:double"&gt;1.2775475&lt;/D&gt;&lt;/FQL&gt;&lt;FQL&gt;&lt;Q&gt;CRH-US^P_BETA_LOCIDX(45938,45764,,"SPX")&lt;/Q&gt;&lt;R&gt;1&lt;/R&gt;&lt;C&gt;1&lt;/C&gt;&lt;D xsi:type="xsd:double"&gt;1.3919513&lt;/D&gt;&lt;/FQL&gt;&lt;FQL&gt;&lt;Q&gt;CRH-US^P_BETA_LOCIDX(45042,44866,,"SPX")&lt;/Q&gt;&lt;R&gt;1&lt;/R&gt;&lt;C&gt;1&lt;/C&gt;&lt;D xsi:type="xsd:double"&gt;1.1274925&lt;/D&gt;&lt;/FQL&gt;&lt;FQL&gt;&lt;Q&gt;CRH-US^P_BETA_LOCIDX(45951,45778,,"SPX")&lt;/Q&gt;&lt;R&gt;1&lt;/R&gt;&lt;C&gt;1&lt;/C&gt;&lt;D xsi:type="xsd:double"&gt;1.2111359&lt;/D&gt;&lt;/FQL&gt;&lt;FQL&gt;&lt;Q&gt;CRH-US^P_BETA_LOCIDX(45169,44995,,"SPX")&lt;/Q&gt;&lt;R&gt;1&lt;/R&gt;&lt;C&gt;1&lt;/C&gt;&lt;D xsi:type="xsd:double"&gt;1.0466709&lt;/D&gt;&lt;/FQL&gt;&lt;FQL&gt;&lt;Q&gt;CRH-US^P_BETA_LOCIDX(45279,45106,,"SPX")&lt;/Q&gt;&lt;R&gt;1&lt;/R&gt;&lt;C&gt;1&lt;/C&gt;&lt;D xsi:type="xsd:double"&gt;1.2142689&lt;/D&gt;&lt;/FQL&gt;&lt;FQL&gt;&lt;Q&gt;CRH-US^P_BETA_LOCIDX(45629,45455,,"SPX")&lt;/Q&gt;&lt;R&gt;1&lt;/R&gt;&lt;C&gt;1&lt;/C&gt;&lt;D xsi:type="xsd:double"&gt;1.2610521&lt;/D&gt;&lt;/FQL&gt;&lt;FQL&gt;&lt;Q&gt;CRH-US^P_BETA_LOCIDX(45716,45540,,"SPX")&lt;/Q&gt;&lt;R&gt;1&lt;/R&gt;&lt;C&gt;1&lt;/C&gt;&lt;D xsi:type="xsd:double"&gt;1.0053046&lt;/D&gt;&lt;/FQL&gt;&lt;FQL&gt;&lt;Q&gt;CRH-US^P_BETA_LOCIDX(44963,44788,,"SPX")&lt;/Q&gt;&lt;R&gt;1&lt;/R&gt;&lt;C&gt;1&lt;/C&gt;&lt;D xsi:type="xsd:double"&gt;1.2231069&lt;/D&gt;&lt;/FQL&gt;&lt;FQL&gt;&lt;Q&gt;CRH-US^P_BETA_LOCIDX(44973,44798,,"SPX")&lt;/Q&gt;&lt;R&gt;1&lt;/R&gt;&lt;C&gt;1&lt;/C&gt;&lt;D xsi:type="xsd:double"&gt;1.2148652&lt;/D&gt;&lt;/FQL&gt;&lt;FQL&gt;&lt;Q&gt;CRH-US^P_BETA_LOCIDX(45125,44950,,"SPX")&lt;/Q&gt;&lt;R&gt;1&lt;/R&gt;&lt;C&gt;1&lt;/C&gt;&lt;D xsi:type="xsd:double"&gt;1.0816295&lt;/D&gt;&lt;/FQL&gt;&lt;FQL&gt;&lt;Q&gt;CRH-US^P_BETA_LOCIDX(45904,45733,,"SPX")&lt;/Q&gt;&lt;R&gt;1&lt;/R&gt;&lt;C&gt;1&lt;/C&gt;&lt;D xsi:type="xsd:double"&gt;1.2346036&lt;/D&gt;&lt;/FQL&gt;&lt;FQL&gt;&lt;Q&gt;CRH-US^P_BETA_LOCIDX(45638,45467,,"SPX")&lt;/Q&gt;&lt;R&gt;1&lt;/R&gt;&lt;C&gt;1&lt;/C&gt;&lt;D xsi:type="xsd:double"&gt;1.2389534&lt;/D&gt;&lt;/FQL&gt;&lt;FQL&gt;&lt;Q&gt;CRH-US^P_BETA_LOCIDX(45055,44879,,"SPX")&lt;/Q&gt;&lt;R&gt;1&lt;/R&gt;&lt;C&gt;1&lt;/C&gt;&lt;D xsi:type="xsd:double"&gt;0.96355635&lt;/D&gt;&lt;/FQL&gt;&lt;FQL&gt;&lt;Q&gt;CRH-US^P_BETA_LOCIDX(45355,45180,,"SPX")&lt;/Q&gt;&lt;R&gt;1&lt;/R&gt;&lt;C&gt;1&lt;/C&gt;&lt;D xsi:type="xsd:double"&gt;1.1853461&lt;/D&gt;&lt;/FQL&gt;&lt;FQL&gt;&lt;Q&gt;CRH-US^P_BETA_LOCIDX(45359,45184,,"SPX")&lt;/Q&gt;&lt;R&gt;1&lt;/R&gt;&lt;C&gt;1&lt;/C&gt;&lt;D xsi:type="xsd:double"&gt;1.177443&lt;/D&gt;&lt;/FQL&gt;&lt;FQL&gt;&lt;Q&gt;CRH-US^P_BETA_LOCIDX(45153,44979,,"SPX")&lt;/Q&gt;&lt;R&gt;1&lt;/R&gt;&lt;C&gt;1&lt;/C&gt;&lt;D xsi:type="xsd:double"&gt;1.0812668&lt;/D&gt;&lt;/FQL&gt;&lt;FQL&gt;&lt;Q&gt;CRH-US^P_BETA_LOCIDX(45357,45182,,"SPX")&lt;/Q&gt;&lt;R&gt;1&lt;/R&gt;&lt;C&gt;1&lt;/C&gt;&lt;D xsi:type="xsd:double"&gt;1.205291&lt;/D&gt;&lt;/FQL&gt;&lt;FQL&gt;&lt;Q&gt;CRH-US^P_BETA_LOCIDX(45393,45217,,"SPX")&lt;/Q&gt;&lt;R&gt;1&lt;/R&gt;&lt;C&gt;1&lt;/C&gt;&lt;D xsi:type="xsd:double"&gt;1.1273607&lt;/D&gt;&lt;/FQL&gt;&lt;FQL&gt;&lt;Q&gt;CRH-US^P_BETA_LOCIDX(45446,45268,,"SPX")&lt;/Q&gt;&lt;R&gt;1&lt;/R&gt;&lt;C&gt;1&lt;/C&gt;&lt;D xsi:type="xsd:double"&gt;1.2753972&lt;/D&gt;&lt;/FQL&gt;&lt;FQL&gt;&lt;Q&gt;CRH-US^P_BETA_LOCIDX(45260,45086,,"SPX")&lt;/Q&gt;&lt;R&gt;1&lt;/R&gt;&lt;C&gt;1&lt;/C&gt;&lt;D xsi:type="xsd:double"&gt;1.1416739&lt;/D&gt;&lt;/FQL&gt;&lt;FQL&gt;&lt;Q&gt;CRH-US^P_BETA_LOCIDX(45804,45625,,"SPX")&lt;/Q&gt;&lt;R&gt;1&lt;/R&gt;&lt;C&gt;1&lt;/C&gt;&lt;D xsi:type="xsd:double"&gt;1.2610774&lt;/D&gt;&lt;/FQL&gt;&lt;FQL&gt;&lt;Q&gt;CRH-US^P_BETA_LOCIDX(45243,45069,,"SPX")&lt;/Q&gt;&lt;R&gt;1&lt;/R&gt;&lt;C&gt;1&lt;/C&gt;&lt;D xsi:type="xsd:double"&gt;1.2652432&lt;/D&gt;&lt;/FQL&gt;&lt;FQL&gt;&lt;Q&gt;CRH-US^P_BETA_LOCIDX(45449,45273,,"SPX")&lt;/Q&gt;&lt;R&gt;1&lt;/R&gt;&lt;C&gt;1&lt;/C&gt;&lt;D xsi:type="xsd:double"&gt;1.2799757&lt;/D&gt;&lt;/FQL&gt;&lt;FQL&gt;&lt;Q&gt;CRH-US^P_BETA_LOCIDX(45069,44894,,"SPX")&lt;/Q&gt;&lt;R&gt;1&lt;/R&gt;&lt;C&gt;1&lt;/C&gt;&lt;D xsi:type="xsd:double"&gt;0.9494421&lt;/D&gt;&lt;/FQL&gt;&lt;FQL&gt;&lt;Q&gt;CRH-US^P_BETA_LOCIDX(45141,44966,,"SPX")&lt;/Q&gt;&lt;R&gt;1&lt;/R&gt;&lt;C&gt;1&lt;/C&gt;&lt;D xsi:type="xsd:double"&gt;1.0553287&lt;/D&gt;&lt;/FQL&gt;&lt;FQL&gt;&lt;Q&gt;CRH-US^P_BETA_LOCIDX(45201,45027,,"SPX")&lt;/Q&gt;&lt;R&gt;1&lt;/R&gt;&lt;C&gt;1&lt;/C&gt;&lt;D xsi:type="xsd:double"&gt;1.0076528&lt;/D&gt;&lt;/FQL&gt;&lt;FQL&gt;&lt;Q&gt;CRH-US^P_BETA_LOCIDX(45313,45138,,"SPX")&lt;/Q&gt;&lt;R&gt;1&lt;/R&gt;&lt;C&gt;1&lt;/C&gt;&lt;D xsi:type="xsd:double"&gt;1.2476798&lt;/D&gt;&lt;/FQL&gt;&lt;FQL&gt;&lt;Q&gt;CRH-US^P_BETA_LOCIDX(45679,45503,,"SPX")&lt;/Q&gt;&lt;R&gt;1&lt;/R&gt;&lt;C&gt;1&lt;/C&gt;&lt;D xsi:type="xsd:double"&gt;1.232695&lt;/D&gt;&lt;/FQL&gt;&lt;FQL&gt;&lt;Q&gt;CRH-US^P_BETA_LOCIDX(45903,45730,,"SPX")&lt;/Q&gt;&lt;R&gt;1&lt;/R&gt;&lt;C&gt;1&lt;/C&gt;&lt;D xsi:type="xsd:double"&gt;1.2376868&lt;/D&gt;&lt;/FQL&gt;&lt;FQL&gt;&lt;Q&gt;CRH-US^P_BETA_LOCIDX(45309,45134,,"SPX")&lt;/Q&gt;&lt;R&gt;1&lt;/R&gt;&lt;C&gt;1&lt;/C&gt;&lt;D xsi:type="xsd:double"&gt;1.2525743&lt;/D&gt;&lt;/FQL&gt;&lt;FQL&gt;&lt;Q&gt;CRH-US^P_BETA_LOCIDX(45043,44867,,"SPX")&lt;/Q&gt;&lt;R&gt;1&lt;/R&gt;&lt;C&gt;1&lt;/C&gt;&lt;D xsi:type="xsd:double"&gt;1.1090306&lt;/D&gt;&lt;/FQL&gt;&lt;FQL&gt;&lt;Q&gt;CRH-US^P_BETA_LOCIDX(45785,45608,,"SPX")&lt;/Q&gt;&lt;R&gt;1&lt;/R&gt;&lt;C&gt;1&lt;/C&gt;&lt;D xsi:type="xsd:double"&gt;1.2705206&lt;/D&gt;&lt;/FQL&gt;&lt;FQL&gt;&lt;Q&gt;CRH-US^P_BETA_LOCIDX(45867,45693,,"SPX")&lt;/Q&gt;&lt;R&gt;1&lt;/R&gt;&lt;C&gt;1&lt;/C&gt;&lt;D xsi:type="xsd:double"&gt;1.2804394&lt;/D&gt;&lt;/FQL&gt;&lt;FQL&gt;&lt;Q&gt;CRH-US^P_BETA_LOCIDX(45580,45406,,"SPX")&lt;/Q&gt;&lt;R&gt;1&lt;/R&gt;&lt;C&gt;1&lt;/C&gt;&lt;D xsi:type="xsd:double"&gt;1.3667758&lt;/D&gt;&lt;/FQL&gt;&lt;FQL&gt;&lt;Q&gt;CRH-US^P_BETA_LOCIDX(45180,45005,,"SPX")&lt;/Q&gt;&lt;R&gt;1&lt;/R&gt;&lt;C&gt;1&lt;/C&gt;&lt;D xsi:type="xsd:double"&gt;0.98278624&lt;/D&gt;&lt;/FQL&gt;&lt;FQL&gt;&lt;Q&gt;CRH-US^P_BETA_LOCIDX(45204,45030,,"SPX")&lt;/Q&gt;&lt;R&gt;1&lt;/R&gt;&lt;C&gt;1&lt;/C&gt;&lt;D xsi:type="xsd:double"&gt;1.0265663&lt;/D&gt;&lt;/FQL&gt;&lt;FQL&gt;&lt;Q&gt;CRH-US^P_BETA_LOCIDX(45229,45055,,"SPX")&lt;/Q&gt;&lt;R&gt;1&lt;/R&gt;&lt;C&gt;1&lt;/C&gt;&lt;D xsi:type="xsd:double"&gt;1.2485715&lt;/D&gt;&lt;/FQL&gt;&lt;FQL&gt;&lt;Q&gt;CRH-US^P_BETA_LOCIDX(45950,45777,,"SPX")&lt;/Q&gt;&lt;R&gt;1&lt;/R&gt;&lt;C&gt;1&lt;/C&gt;&lt;D xsi:type="xsd:double"&gt;1.2124856&lt;/D&gt;&lt;/FQL&gt;&lt;FQL&gt;&lt;Q&gt;CRH-US^P_BETA_LOCIDX(45419,45243,,"SPX")&lt;/Q&gt;&lt;R&gt;1&lt;/R&gt;&lt;C&gt;1&lt;/C&gt;&lt;D xsi:type="xsd:double"&gt;1.1380119&lt;/D&gt;&lt;/FQL&gt;&lt;FQL&gt;&lt;Q&gt;CRH-US^P_BETA_LOCIDX(46037,45863,,"SPX")&lt;/Q&gt;&lt;R&gt;1&lt;/R&gt;&lt;C&gt;1&lt;/C&gt;&lt;D xsi:type="xsd:double"&gt;1.2542275&lt;/D&gt;&lt;/FQL&gt;&lt;FQL&gt;&lt;Q&gt;CRH-US^P_BETA_LOCIDX(44964,44789,,"SPX")&lt;/Q&gt;&lt;R&gt;1&lt;/R&gt;&lt;C&gt;1&lt;/C&gt;&lt;D xsi:type="xsd:double"&gt;1.2235464&lt;/D&gt;&lt;/FQL&gt;&lt;FQL&gt;&lt;Q&gt;CRH-US^P_BETA_LOCIDX(45839,45663,,"SPX")&lt;/Q&gt;&lt;R&gt;1&lt;/R&gt;&lt;C&gt;1&lt;/C&gt;&lt;D xsi:type="xsd:double"&gt;1.2772586&lt;/D&gt;&lt;/FQL&gt;&lt;FQL&gt;&lt;Q&gt;CRH-US^P_BETA_LOCIDX(45140,44965,,"SPX")&lt;/Q&gt;&lt;R&gt;1&lt;/R&gt;&lt;C&gt;1&lt;/C&gt;&lt;D xsi:type="xsd:double"&gt;1.054042&lt;/D&gt;&lt;/FQL&gt;&lt;FQL&gt;&lt;Q&gt;CRH-US^P_BETA_LOCIDX(45327,45152,,"SPX")&lt;/Q&gt;&lt;R&gt;1&lt;/R&gt;&lt;C&gt;1&lt;/C&gt;&lt;D xsi:type="xsd:double"&gt;1.2012508&lt;/D&gt;&lt;/FQL&gt;&lt;FQL&gt;&lt;Q&gt;CRH-US^P_BETA_LOCIDX(45335,45160,,"SPX")&lt;/Q&gt;&lt;R&gt;1&lt;/R&gt;&lt;C&gt;1&lt;/C&gt;&lt;D xsi:type="xsd:double"&gt;1.2124374&lt;/D&gt;&lt;/FQL&gt;&lt;FQL&gt;&lt;Q&gt;CRH-US^P_BETA_LOCIDX(45440,45264,,"SPX")&lt;/Q&gt;&lt;R&gt;1&lt;/R&gt;&lt;C&gt;1&lt;/C&gt;&lt;D xsi:type="xsd:double"&gt;1.3147686&lt;/D&gt;&lt;/FQL&gt;&lt;FQL&gt;&lt;Q&gt;CRH-US^P_BETA_LOCIDX(45226,45054,,"SPX")&lt;/Q&gt;&lt;R&gt;1&lt;/R&gt;&lt;C&gt;1&lt;/C&gt;&lt;D xsi:type="xsd:double"&gt;1.2365043&lt;/D&gt;&lt;/FQL&gt;&lt;FQL&gt;&lt;Q&gt;CRH-US^P_BETA_LOCIDX(44972,44797,,"SPX")&lt;/Q&gt;&lt;R&gt;1&lt;/R&gt;&lt;C&gt;1&lt;/C&gt;&lt;D xsi:type="xsd:double"&gt;1.2109053&lt;/D&gt;&lt;/FQL&gt;&lt;FQL&gt;&lt;Q&gt;CRH-US^P_BETA_LOCIDX(46031,45859,,"SPX")&lt;/Q&gt;&lt;R&gt;1&lt;/R&gt;&lt;C&gt;1&lt;/C&gt;&lt;D xsi:type="xsd:double"&gt;1.2020928&lt;/D&gt;&lt;/FQL&gt;&lt;FQL&gt;&lt;Q&gt;CRH-US^P_BETA_LOCIDX(45791,45614,,"SPX")&lt;/Q&gt;&lt;R&gt;1&lt;/R&gt;&lt;C&gt;1&lt;/C&gt;&lt;D xsi:type="xsd:double"&gt;1.2707672&lt;/D&gt;&lt;/FQL&gt;&lt;FQL&gt;&lt;Q&gt;CRH-US^P_BETA_LOCIDX(45197,45022,,"SPX")&lt;/Q&gt;&lt;R&gt;1&lt;/R&gt;&lt;C&gt;1&lt;/C&gt;&lt;D xsi:type="xsd:double"&gt;1.000379&lt;/D&gt;&lt;/FQL&gt;&lt;FQL&gt;&lt;Q&gt;CRH-US^P_BETA_LOCIDX(45028,44852,,"SPX")&lt;/Q&gt;&lt;R&gt;1&lt;/R&gt;&lt;C&gt;1&lt;/C&gt;&lt;D xsi:type="xsd:double"&gt;1.1426725&lt;/D&gt;&lt;/FQL&gt;&lt;FQL&gt;&lt;Q&gt;CRH-US^P_BETA_LOCIDX(45454,45278,,"SPX")&lt;/Q&gt;&lt;R&gt;1&lt;/R&gt;&lt;C&gt;1&lt;/C&gt;&lt;D xsi:type="xsd:double"&gt;1.2637664&lt;/D&gt;&lt;/FQL&gt;&lt;FQL&gt;&lt;Q&gt;CRH-US^P_BETA_LOCIDX(45728,45552,,"SPX")&lt;/Q&gt;&lt;R&gt;1&lt;/R&gt;&lt;C&gt;1&lt;/C&gt;&lt;D xsi:type="xsd:double"&gt;1.2837346&lt;/D&gt;&lt;/FQL&gt;&lt;FQL&gt;&lt;Q&gt;CRH-US^P_BETA_LOCIDX(45915,45741,,"SPX")&lt;/Q&gt;&lt;R&gt;1&lt;/R&gt;&lt;C&gt;1&lt;/C&gt;&lt;D xsi:type="xsd:double"&gt;1.2209971&lt;/D&gt;&lt;/FQL&gt;&lt;FQL&gt;&lt;Q&gt;CRH-US^P_BETA_LOCIDX(45630,45456,,"SPX")&lt;/Q&gt;&lt;R&gt;1&lt;/R&gt;&lt;C&gt;1&lt;/C&gt;&lt;D xsi:type="xsd:double"&gt;1.2546688&lt;/D&gt;&lt;/FQL&gt;&lt;FQL&gt;&lt;Q&gt;CRH-US^P_BETA_LOCIDX(45567,45393,,"SPX")&lt;/Q&gt;&lt;R&gt;1&lt;/R&gt;&lt;C&gt;1&lt;/C&gt;&lt;D xsi:type="xsd:double"&gt;1.3946474&lt;/D&gt;&lt;/FQL&gt;&lt;FQL&gt;&lt;Q&gt;CRH-US^P_BETA_LOCIDX(45182,45007,,"SPX")&lt;/Q&gt;&lt;R&gt;1&lt;/R&gt;&lt;C&gt;1&lt;/C&gt;&lt;D xsi:type="xsd:double"&gt;0.9570064&lt;/D&gt;&lt;/FQL&gt;&lt;FQL&gt;&lt;Q&gt;CRH-US^P_BETA_LOCIDX(45520,45348,,"SPX")&lt;/Q&gt;&lt;R&gt;1&lt;/R&gt;&lt;C&gt;1&lt;/C&gt;&lt;D xsi:type="xsd:double"&gt;1.4659654&lt;/D&gt;&lt;/FQL&gt;&lt;FQL&gt;&lt;Q&gt;CRH-US^P_BETA_LOCIDX(45434,45259,,"SPX")&lt;/Q&gt;&lt;R&gt;1&lt;/R&gt;&lt;C&gt;1&lt;/C&gt;&lt;D xsi:type="xsd:double"&gt;1.3258418&lt;/D&gt;&lt;/FQL&gt;&lt;FQL&gt;&lt;Q&gt;CRH-US^P_BETA_LOCIDX(45170,44998,,"SPX")&lt;/Q&gt;&lt;R&gt;1&lt;/R&gt;&lt;C&gt;1&lt;/C&gt;&lt;D xsi:type="xsd:double"&gt;1.0499427&lt;/D&gt;&lt;/FQL&gt;&lt;FQL&gt;&lt;Q&gt;CRH-US^P_BETA_LOCIDX(45525,45351,,"SPX")&lt;/Q&gt;&lt;R&gt;1&lt;/R&gt;&lt;C&gt;1&lt;/C&gt;&lt;D xsi:type="xsd:double"&gt;1.4785701&lt;/D&gt;&lt;/FQL&gt;&lt;FQL&gt;&lt;Q&gt;CRH-US^P_BETA_LOCIDX(45996,45828,,"SPX")&lt;/Q&gt;&lt;R&gt;1&lt;/R&gt;&lt;C&gt;1&lt;/C&gt;&lt;D xsi:type="xsd:double"&gt;1.1523645&lt;/D&gt;&lt;/FQL&gt;&lt;FQL&gt;&lt;Q&gt;CRH-US^P_BETA_LOCIDX(45706,45527,,"SPX")&lt;/Q&gt;&lt;R&gt;1&lt;/R&gt;&lt;C&gt;1&lt;/C&gt;&lt;D xsi:type="xsd:double"&gt;1.0859075&lt;/D&gt;&lt;/FQL&gt;&lt;FQL&gt;&lt;Q&gt;CRH-US^P_BETA_LOCIDX(45923,45749,,"SPX")&lt;/Q&gt;&lt;R&gt;1&lt;/R&gt;&lt;C&gt;1&lt;/C&gt;&lt;D xsi:type="xsd:double"&gt;1.1893994&lt;/D&gt;&lt;/FQL&gt;&lt;FQL&gt;&lt;Q&gt;CRH-US^P_BETA_LOCIDX(45992,45819,,"SPX")&lt;/Q&gt;&lt;R&gt;1&lt;/R&gt;&lt;C&gt;1&lt;/C&gt;&lt;D xsi:type="xsd:double"&gt;1.1936033&lt;/D&gt;&lt;/FQL&gt;&lt;FQL&gt;&lt;Q&gt;CRH-US^P_BETA_LOCIDX(45370,45195,,"SPX")&lt;/Q&gt;&lt;R&gt;1&lt;/R&gt;&lt;C&gt;1&lt;/C&gt;&lt;D xsi:type="xsd:double"&gt;1.202607</t>
        </r>
      </text>
    </comment>
    <comment ref="A10" authorId="0" shapeId="0" xr:uid="{D23CB7DF-C354-458F-88F6-F3E8FCDF7BCF}">
      <text>
        <r>
          <rPr>
            <b/>
            <sz val="9"/>
            <color indexed="81"/>
            <rFont val="Tahoma"/>
            <family val="2"/>
          </rPr>
          <t>9&lt;/D&gt;&lt;/FQL&gt;&lt;FQL&gt;&lt;Q&gt;CRH-US^P_BETA_LOCIDX(46013,45841,,"SPX")&lt;/Q&gt;&lt;R&gt;1&lt;/R&gt;&lt;C&gt;1&lt;/C&gt;&lt;D xsi:type="xsd:double"&gt;1.0997784&lt;/D&gt;&lt;/FQL&gt;&lt;FQL&gt;&lt;Q&gt;CRH-US^P_BETA_LOCIDX(45733,45555,,"SPX")&lt;/Q&gt;&lt;R&gt;1&lt;/R&gt;&lt;C&gt;1&lt;/C&gt;&lt;D xsi:type="xsd:double"&gt;1.2961973&lt;/D&gt;&lt;/FQL&gt;&lt;FQL&gt;&lt;Q&gt;CRH-US^P_BETA_LOCIDX(45818,45639,,"SPX")&lt;/Q&gt;&lt;R&gt;1&lt;/R&gt;&lt;C&gt;1&lt;/C&gt;&lt;D xsi:type="xsd:double"&gt;1.2514861&lt;/D&gt;&lt;/FQL&gt;&lt;FQL&gt;&lt;Q&gt;CRH-US^P_BETA_LOCIDX(45239,45065,,"SPX")&lt;/Q&gt;&lt;R&gt;1&lt;/R&gt;&lt;C&gt;1&lt;/C&gt;&lt;D xsi:type="xsd:double"&gt;1.2537434&lt;/D&gt;&lt;/FQL&gt;&lt;FQL&gt;&lt;Q&gt;CRH-US^P_BETA_LOCIDX(45049,44873,,"SPX")&lt;/Q&gt;&lt;R&gt;1&lt;/R&gt;&lt;C&gt;1&lt;/C&gt;&lt;D xsi:type="xsd:double"&gt;1.0756124&lt;/D&gt;&lt;/FQL&gt;&lt;FQL&gt;&lt;Q&gt;CRH-US^P_BETA_LOCIDX(45736,45560,,"SPX")&lt;/Q&gt;&lt;R&gt;1&lt;/R&gt;&lt;C&gt;1&lt;/C&gt;&lt;D xsi:type="xsd:double"&gt;1.3192586&lt;/D&gt;&lt;/FQL&gt;&lt;FQL&gt;&lt;Q&gt;CRH-US^P_BETA_LOCIDX(46007,45839,,"SPX")&lt;/Q&gt;&lt;R&gt;1&lt;/R&gt;&lt;C&gt;1&lt;/C&gt;&lt;D xsi:type="xsd:double"&gt;1.0666536&lt;/D&gt;&lt;/FQL&gt;&lt;FQL&gt;&lt;Q&gt;CRH-US^P_BETA_LOCIDX(45943,45771,,"SPX")&lt;/Q&gt;&lt;R&gt;1&lt;/R&gt;&lt;C&gt;1&lt;/C&gt;&lt;D xsi:type="xsd:double"&gt;1.2879112&lt;/D&gt;&lt;/FQL&gt;&lt;FQL&gt;&lt;Q&gt;CRH-US^P_BETA_LOCIDX(45999,45831,,"SPX")&lt;/Q&gt;&lt;R&gt;1&lt;/R&gt;&lt;C&gt;1&lt;/C&gt;&lt;D xsi:type="xsd:double"&gt;1.0951933&lt;/D&gt;&lt;/FQL&gt;&lt;FQL&gt;&lt;Q&gt;CRH-US^P_BETA_LOCIDX(45994,45825,,"SPX")&lt;/Q&gt;&lt;R&gt;1&lt;/R&gt;&lt;C&gt;1&lt;/C&gt;&lt;D xsi:type="xsd:double"&gt;1.1561034&lt;/D&gt;&lt;/FQL&gt;&lt;FQL&gt;&lt;Q&gt;CRH-US^P_BETA_LOCIDX(45916,45742,,"SPX")&lt;/Q&gt;&lt;R&gt;1&lt;/R&gt;&lt;C&gt;1&lt;/C&gt;&lt;D xsi:type="xsd:double"&gt;1.221424&lt;/D&gt;&lt;/FQL&gt;&lt;FQL&gt;&lt;Q&gt;CRH-US^P_BETA_LOCIDX(45406,45230,,"SPX")&lt;/Q&gt;&lt;R&gt;1&lt;/R&gt;&lt;C&gt;1&lt;/C&gt;&lt;D xsi:type="xsd:double"&gt;1.0985289&lt;/D&gt;&lt;/FQL&gt;&lt;FQL&gt;&lt;Q&gt;CRH-US^P_BETA_LOCIDX(45401,45225,,"SPX")&lt;/Q&gt;&lt;R&gt;1&lt;/R&gt;&lt;C&gt;1&lt;/C&gt;&lt;D xsi:type="xsd:double"&gt;1.1291672&lt;/D&gt;&lt;/FQL&gt;&lt;FQL&gt;&lt;Q&gt;CRH-US^P_BETA_LOCIDX(45799,45622,,"SPX")&lt;/Q&gt;&lt;R&gt;1&lt;/R&gt;&lt;C&gt;1&lt;/C&gt;&lt;D xsi:type="xsd:double"&gt;1.2693324&lt;/D&gt;&lt;/FQL&gt;&lt;FQL&gt;&lt;Q&gt;CRH-US^P_BETA_LOCIDX(45289,45118,,"SPX")&lt;/Q&gt;&lt;R&gt;1&lt;/R&gt;&lt;C&gt;1&lt;/C&gt;&lt;D xsi:type="xsd:double"&gt;1.1997889&lt;/D&gt;&lt;/FQL&gt;&lt;FQL&gt;&lt;Q&gt;CRH-US^P_BETA_LOCIDX(45993,45820,,"SPX")&lt;/Q&gt;&lt;R&gt;1&lt;/R&gt;&lt;C&gt;1&lt;/C&gt;&lt;D xsi:type="xsd:double"&gt;1.1792523&lt;/D&gt;&lt;/FQL&gt;&lt;FQL&gt;&lt;Q&gt;CRH-US^P_BETA_LOCIDX(45953,45783,,"SPX")&lt;/Q&gt;&lt;R&gt;1&lt;/R&gt;&lt;C&gt;1&lt;/C&gt;&lt;D xsi:type="xsd:double"&gt;1.2102294&lt;/D&gt;&lt;/FQL&gt;&lt;FQL&gt;&lt;Q&gt;CRH-US^P_BETA_LOCIDX(45408,45232,,"SPX")&lt;/Q&gt;&lt;R&gt;1&lt;/R&gt;&lt;C&gt;1&lt;/C&gt;&lt;D xsi:type="xsd:double"&gt;1.0450113&lt;/D&gt;&lt;/FQL&gt;&lt;FQL&gt;&lt;Q&gt;CRH-US^P_BETA_LOCIDX(45539,45364,,"SPX")&lt;/Q&gt;&lt;R&gt;1&lt;/R&gt;&lt;C&gt;1&lt;/C&gt;&lt;D xsi:type="xsd:double"&gt;1.4578234&lt;/D&gt;&lt;/FQL&gt;&lt;FQL&gt;&lt;Q&gt;CRH-US^P_BETA_LOCIDX(45198,45026,,"SPX")&lt;/Q&gt;&lt;R&gt;1&lt;/R&gt;&lt;C&gt;1&lt;/C&gt;&lt;D xsi:type="xsd:double"&gt;1.0074145&lt;/D&gt;&lt;/FQL&gt;&lt;FQL&gt;&lt;Q&gt;CRH-US^P_BETA_LOCIDX(45723,45547,,"SPX")&lt;/Q&gt;&lt;R&gt;1&lt;/R&gt;&lt;C&gt;1&lt;/C&gt;&lt;D xsi:type="xsd:double"&gt;1.2751284&lt;/D&gt;&lt;/FQL&gt;&lt;FQL&gt;&lt;Q&gt;CRH-US^P_BETA_LOCIDX(45008,44833,,"SPX")&lt;/Q&gt;&lt;R&gt;1&lt;/R&gt;&lt;C&gt;1&lt;/C&gt;&lt;D xsi:type="xsd:double"&gt;1.1978712&lt;/D&gt;&lt;/FQL&gt;&lt;FQL&gt;&lt;Q&gt;CRH-US^P_BETA_LOCIDX(45553,45378,,"SPX")&lt;/Q&gt;&lt;R&gt;1&lt;/R&gt;&lt;C&gt;1&lt;/C&gt;&lt;D xsi:type="xsd:double"&gt;1.3472294&lt;/D&gt;&lt;/FQL&gt;&lt;FQL&gt;&lt;Q&gt;CRH-US^P_BETA_LOCIDX(45952,45782,,"SPX")&lt;/Q&gt;&lt;R&gt;1&lt;/R&gt;&lt;C&gt;1&lt;/C&gt;&lt;D xsi:type="xsd:double"&gt;1.202948&lt;/D&gt;&lt;/FQL&gt;&lt;FQL&gt;&lt;Q&gt;CRH-US^P_BETA_LOCIDX(44958,44783,,"SPX")&lt;/Q&gt;&lt;R&gt;1&lt;/R&gt;&lt;C&gt;1&lt;/C&gt;&lt;D xsi:type="xsd:double"&gt;1.204923&lt;/D&gt;&lt;/FQL&gt;&lt;FQL&gt;&lt;Q&gt;CRH-US^P_BETA_LOCIDX(45149,44974,,"SPX")&lt;/Q&gt;&lt;R&gt;1&lt;/R&gt;&lt;C&gt;1&lt;/C&gt;&lt;D xsi:type="xsd:double"&gt;1.052433&lt;/D&gt;&lt;/FQL&gt;&lt;FQL&gt;&lt;Q&gt;CRH-US^P_BETA_LOCIDX(45554,45379,,"SPX")&lt;/Q&gt;&lt;R&gt;1&lt;/R&gt;&lt;C&gt;1&lt;/C&gt;&lt;D xsi:type="xsd:double"&gt;1.382266&lt;/D&gt;&lt;/FQL&gt;&lt;FQL&gt;&lt;Q&gt;CRH-US^P_BETA_LOCIDX(45391,45215,,"SPX")&lt;/Q&gt;&lt;R&gt;1&lt;/R&gt;&lt;C&gt;1&lt;/C&gt;&lt;D xsi:type="xsd:double"&gt;1.1515815&lt;/D&gt;&lt;/FQL&gt;&lt;FQL&gt;&lt;Q&gt;CRH-US^P_BETA_LOCIDX(45187,45012,,"SPX")&lt;/Q&gt;&lt;R&gt;1&lt;/R&gt;&lt;C&gt;1&lt;/C&gt;&lt;D xsi:type="xsd:double"&gt;1.0641016&lt;/D&gt;&lt;/FQL&gt;&lt;FQL&gt;&lt;Q&gt;CRH-US^P_BETA_LOCIDX(45764,45588,,"SPX")&lt;/Q&gt;&lt;R&gt;1&lt;/R&gt;&lt;C&gt;1&lt;/C&gt;&lt;D xsi:type="xsd:double"&gt;1.2405285&lt;/D&gt;&lt;/FQL&gt;&lt;FQL&gt;&lt;Q&gt;CRH-US^P_BETA_LOCIDX(45944,45772,,"SPX")&lt;/Q&gt;&lt;R&gt;1&lt;/R&gt;&lt;C&gt;1&lt;/C&gt;&lt;D xsi:type="xsd:double"&gt;1.2323623&lt;/D&gt;&lt;/FQL&gt;&lt;FQL&gt;&lt;Q&gt;CRH-US^P_BETA_LOCIDX(45548,45373,,"SPX")&lt;/Q&gt;&lt;R&gt;1&lt;/R&gt;&lt;C&gt;1&lt;/C&gt;&lt;D xsi:type="xsd:double"&gt;1.3414888&lt;/D&gt;&lt;/FQL&gt;&lt;FQL&gt;&lt;Q&gt;CRH-US^P_BETA_LOCIDX(45621,45448,,"SPX")&lt;/Q&gt;&lt;R&gt;1&lt;/R&gt;&lt;C&gt;1&lt;/C&gt;&lt;D xsi:type="xsd:double"&gt;1.2683314&lt;/D&gt;&lt;/FQL&gt;&lt;FQL&gt;&lt;Q&gt;CRH-US^P_BETA_LOCIDX(45939,45768,,"SPX")&lt;/Q&gt;&lt;R&gt;1&lt;/R&gt;&lt;C&gt;1&lt;/C&gt;&lt;D xsi:type="xsd:double"&gt;1.3901172&lt;/D&gt;&lt;/FQL&gt;&lt;FQL&gt;&lt;Q&gt;CRH-US^P_BETA_LOCIDX(45819,45642,,"SPX")&lt;/Q&gt;&lt;R&gt;1&lt;/R&gt;&lt;C&gt;1&lt;/C&gt;&lt;D xsi:type="xsd:double"&gt;1.2529701&lt;/D&gt;&lt;/FQL&gt;&lt;FQL&gt;&lt;Q&gt;CRS-US^P_BETA_LOCIDX(46028,45856,,"SPX")&lt;/Q&gt;&lt;R&gt;1&lt;/R&gt;&lt;C&gt;1&lt;/C&gt;&lt;D xsi:type="xsd:double"&gt;1.2648057&lt;/D&gt;&lt;/FQL&gt;&lt;FQL&gt;&lt;Q&gt;CRS-US^P_BETA_LOCIDX(46002,45831,,"SPX")&lt;/Q&gt;&lt;R&gt;1&lt;/R&gt;&lt;C&gt;1&lt;/C&gt;&lt;D xsi:type="xsd:double"&gt;1.3050616&lt;/D&gt;&lt;/FQL&gt;&lt;FQL&gt;&lt;Q&gt;CRS-US^P_BETA_LOCIDX(45979,45806,,"SPX")&lt;/Q&gt;&lt;R&gt;1&lt;/R&gt;&lt;C&gt;1&lt;/C&gt;&lt;D xsi:type="xsd:double"&gt;1.0698507&lt;/D&gt;&lt;/FQL&gt;&lt;FQL&gt;&lt;Q&gt;CRS-US^P_BETA_LOCIDX(45957,45783,,"SPX")&lt;/Q&gt;&lt;R&gt;1&lt;/R&gt;&lt;C&gt;1&lt;/C&gt;&lt;D xsi:type="xsd:double"&gt;1.0901287&lt;/D&gt;&lt;/FQL&gt;&lt;FQL&gt;&lt;Q&gt;CRS-US^P_BETA_LOCIDX(45933,45758,,"SPX")&lt;/Q&gt;&lt;R&gt;1&lt;/R&gt;&lt;C&gt;1&lt;/C&gt;&lt;D xsi:type="xsd:double"&gt;1.1560559&lt;/D&gt;&lt;/FQL&gt;&lt;FQL&gt;&lt;Q&gt;CRS-US^P_BETA_LOCIDX(45911,45736,,"SPX")&lt;/Q&gt;&lt;R&gt;1&lt;/R&gt;&lt;C&gt;1&lt;/C&gt;&lt;D xsi:type="xsd:double"&gt;1.5215828&lt;/D&gt;&lt;/FQL&gt;&lt;FQL&gt;&lt;Q&gt;CRS-US^P_BETA_LOCIDX(45888,45714,,"SPX")&lt;/Q&gt;&lt;R&gt;1&lt;/R&gt;&lt;C&gt;1&lt;/C&gt;&lt;D xsi:type="xsd:double"&gt;1.5669516&lt;/D&gt;&lt;/FQL&gt;&lt;FQL&gt;&lt;Q&gt;CRS-US^P_BETA_LOCIDX(45866,45691,,"SPX")&lt;/Q&gt;&lt;R&gt;1&lt;/R&gt;&lt;C&gt;1&lt;/C&gt;&lt;D xsi:type="xsd:double"&gt;1.6258212&lt;/D&gt;&lt;/FQL&gt;&lt;FQL&gt;&lt;Q&gt;CRS-US^P_BETA_LOCIDX(45841,45665,,"SPX")&lt;/Q&gt;&lt;R&gt;1&lt;/R&gt;&lt;C&gt;1&lt;/C&gt;&lt;D xsi:type="xsd:double"&gt;1.6103954&lt;/D&gt;&lt;/FQL&gt;&lt;FQL&gt;&lt;Q&gt;CRS-US^P_BETA_LOCIDX(45818,45639,,"SPX")&lt;/Q&gt;&lt;R&gt;1&lt;/R&gt;&lt;C&gt;1&lt;/C&gt;&lt;D xsi:type="xsd:double"&gt;1.6181633&lt;/D&gt;&lt;/FQL&gt;&lt;FQL&gt;&lt;Q&gt;CRS-US^P_BETA_LOCIDX(45793,45616,,"SPX")&lt;/Q&gt;&lt;R&gt;1&lt;/R&gt;&lt;C&gt;1&lt;/C&gt;&lt;D xsi:type="xsd:double"&gt;1.6430769&lt;/D&gt;&lt;/FQL&gt;&lt;FQL&gt;&lt;Q&gt;CRS-US^P_BETA_LOCIDX(45771,45594,,"SPX")&lt;/Q&gt;&lt;R&gt;1&lt;/R&gt;&lt;C&gt;1&lt;/C&gt;&lt;D xsi:type="xsd:double"&gt;1.7467673&lt;/D&gt;&lt;/FQL&gt;&lt;FQL&gt;&lt;Q&gt;CRS-US^P_BETA_LOCIDX(45748,45572,,"SPX")&lt;/Q&gt;&lt;R&gt;1&lt;/R&gt;&lt;C&gt;1&lt;/C&gt;&lt;D xsi:type="xsd:double"&gt;1.7965697&lt;/D&gt;&lt;/FQL&gt;&lt;FQL&gt;&lt;Q&gt;CRS-US^P_BETA_LOCIDX(45726,45548,,"SPX")&lt;/Q&gt;&lt;R&gt;1&lt;/R&gt;&lt;C&gt;1&lt;/C&gt;&lt;D xsi:type="xsd:double"&gt;1.7879415&lt;/D&gt;&lt;/FQL&gt;&lt;FQL&gt;&lt;Q&gt;CRS-US^P_BETA_LOCIDX(45701,45525,,"SPX")&lt;/Q&gt;&lt;R&gt;1&lt;/R&gt;&lt;C&gt;1&lt;/C&gt;&lt;D xsi:type="xsd:double"&gt;1.8099275&lt;/D&gt;&lt;/FQL&gt;&lt;FQL&gt;&lt;Q&gt;CRS-US^P_BETA_LOCIDX(45679,45503,,"SPX")&lt;/Q&gt;&lt;R&gt;1&lt;/R&gt;&lt;C&gt;1&lt;/C&gt;&lt;D xsi:type="xsd:double"&gt;1.7310483&lt;/D&gt;&lt;/FQL&gt;&lt;FQL&gt;&lt;Q&gt;CRS-US^P_BETA_LOCIDX(46027,45855,,"SPX")&lt;/Q&gt;&lt;R&gt;1&lt;/R&gt;&lt;C&gt;1&lt;/C&gt;&lt;D xsi:type="xsd:double"&gt;1.301538&lt;/D&gt;&lt;/FQL&gt;&lt;FQL&gt;&lt;Q&gt;CRS-US^P_BETA_LOCIDX(46001,45828,,"SPX")&lt;/Q&gt;&lt;R&gt;1&lt;/R&gt;&lt;C&gt;1&lt;/C&gt;&lt;D xsi:type="xsd:double"&gt;1.2887601&lt;/D&gt;&lt;/FQL&gt;&lt;FQL&gt;&lt;Q&gt;CRS-US^P_BETA_LOCIDX(45978,45805,,"SPX")&lt;/Q&gt;&lt;R&gt;1&lt;/R&gt;&lt;C&gt;1&lt;/C&gt;&lt;D xsi:type="xsd:double"&gt;1.0376434&lt;/D&gt;&lt;/FQL&gt;&lt;FQL&gt;&lt;Q&gt;CRS-US^P_BETA_LOCIDX(46024,45854,,"SPX")&lt;/Q&gt;&lt;R&gt;1&lt;/R&gt;&lt;C&gt;1&lt;/C&gt;&lt;D xsi:type="xsd:double"&gt;1.303247&lt;/D&gt;&lt;/FQL&gt;&lt;FQL&gt;&lt;Q&gt;CRS-US^P_BETA_LOCIDX(46000,45826,,"SPX")&lt;/Q&gt;&lt;R&gt;1&lt;/R&gt;&lt;C&gt;1&lt;/C&gt;&lt;D xsi:type="xsd:double"&gt;1.2863973&lt;/D&gt;&lt;/FQL&gt;&lt;FQL&gt;&lt;Q&gt;CRS-US^P_BETA_LOCIDX(46021,45849,,"SPX")&lt;/Q&gt;&lt;R&gt;1&lt;/R&gt;&lt;C&gt;1&lt;/C&gt;&lt;D xsi:type="xsd:double"&gt;1.2751157&lt;/D&gt;&lt;/FQL&gt;&lt;FQL&gt;&lt;Q&gt;CRS-US^P_BETA_LOCIDX(45996,45824,,"SPX")&lt;/Q&gt;&lt;R&gt;1&lt;/R&gt;&lt;C&gt;1&lt;/C&gt;&lt;D xsi:type="xsd:double"&gt;1.2304047&lt;/D&gt;&lt;/FQL&gt;&lt;FQL&gt;&lt;Q&gt;CRS-US^P_BETA_LOCIDX(45973,45799,,"SPX")&lt;/Q&gt;&lt;R&gt;1&lt;/R&gt;&lt;C&gt;1&lt;/C&gt;&lt;D xsi:type="xsd:double"&gt;1.060309&lt;/D&gt;&lt;/FQL&gt;&lt;FQL&gt;&lt;Q&gt;CRS-US^P_BETA_LOCIDX(46020,45848,,"SPX")&lt;/Q&gt;&lt;R&gt;1&lt;/R&gt;&lt;C&gt;1&lt;/C&gt;&lt;D xsi:type="xsd:double"&gt;1.2659242&lt;/D&gt;&lt;/FQL&gt;&lt;FQL&gt;&lt;Q&gt;CRS-US^P_BETA_LOCIDX(45995,45821,,"SPX")&lt;/Q&gt;&lt;R&gt;1&lt;/R&gt;&lt;C&gt;1&lt;/C&gt;&lt;D xsi:type="xsd:double"&gt;1.2044796&lt;/D&gt;&lt;/FQL&gt;&lt;FQL&gt;&lt;Q&gt;CRS-US^P_BETA_LOCIDX(45972,45798,,"SPX")&lt;/Q&gt;&lt;R&gt;1&lt;/R&gt;&lt;C&gt;1&lt;/C&gt;&lt;D xsi:type="xsd:double"&gt;1.0803355&lt;/D&gt;&lt;/FQL&gt;&lt;FQL&gt;&lt;Q&gt;CRS-US^P_BETA_LOCIDX(46043,45873,,"SPX")&lt;/Q&gt;&lt;R&gt;1&lt;/R&gt;&lt;C&gt;1&lt;/C&gt;&lt;D xsi:type="xsd:double"&gt;1.2975065&lt;/D&gt;&lt;/FQL&gt;&lt;FQL&gt;&lt;Q&gt;CRS-US^P_BETA_LOCIDX(46017,45847,,"SPX")&lt;/Q&gt;&lt;R&gt;1&lt;/R&gt;&lt;C&gt;1&lt;/C&gt;&lt;D xsi:type="xsd:double"&gt;1.2444278&lt;/D&gt;&lt;/FQL&gt;&lt;FQL&gt;&lt;Q&gt;CRS-US^P_BETA_LOCIDX(45994,45820,,"SPX")&lt;/Q&gt;&lt;R&gt;1&lt;/R&gt;&lt;C&gt;1&lt;/C&gt;&lt;D xsi:type="xsd:double"&gt;1.2082405&lt;/D&gt;&lt;/FQL&gt;&lt;FQL&gt;&lt;Q&gt;CRS-US^P_BETA_LOCIDX(45971,45797,,"SPX")&lt;/Q&gt;&lt;R&gt;1&lt;/R&gt;&lt;C&gt;1&lt;/C&gt;&lt;D xsi:type="xsd:double"&gt;1.0833372&lt;/D&gt;&lt;/FQL&gt;&lt;FQL&gt;&lt;Q&gt;CRS-US^P_BETA_LOCIDX(46037,45867,,"SPX")&lt;/Q&gt;&lt;R&gt;1&lt;/R&gt;&lt;C&gt;1&lt;/C&gt;&lt;D xsi:type="xsd:double"&gt;1.2873317&lt;/D&gt;&lt;/FQL&gt;&lt;FQL&gt;&lt;Q&gt;CRS-US^P_BETA_LOCIDX(46013,45840,,"SPX")&lt;/Q&gt;&lt;R&gt;1&lt;/R&gt;&lt;C&gt;1&lt;/C&gt;&lt;D xsi:type="xsd:double"&gt;1.2431414&lt;/D&gt;&lt;/FQL&gt;&lt;FQL&gt;&lt;Q&gt;CRS-US^P_BETA_LOCIDX(45989,45817,,"SPX")&lt;/Q&gt;&lt;R&gt;1&lt;/R&gt;&lt;C&gt;1&lt;/C&gt;&lt;D xsi:type="xsd:double"&gt;1.1879402&lt;/D&gt;&lt;/FQL&gt;&lt;FQL&gt;&lt;Q&gt;CRS-US^P_BETA_LOCIDX(45966,45792,,"SPX")&lt;/Q&gt;&lt;R&gt;1&lt;/R&gt;&lt;C&gt;1&lt;/C&gt;&lt;D xsi:type="xsd:double"&gt;1.155765&lt;/D&gt;&lt;/FQL&gt;&lt;FQL&gt;&lt;Q&gt;CRS-US^P_BETA_LOCIDX(45944,45770,,"SPX")&lt;/Q&gt;&lt;R&gt;1&lt;/R&gt;&lt;C&gt;1&lt;/C&gt;&lt;D xsi:type="xsd:double"&gt;1.1625789&lt;/D&gt;&lt;/FQL&gt;&lt;FQL&gt;&lt;Q&gt;CRS-US^P_BETA_LOCIDX(45922,45747,,"SPX")&lt;/Q&gt;&lt;R&gt;1&lt;/R&gt;&lt;C&gt;1&lt;/C&gt;&lt;D xsi:type="xsd:double"&gt;1.4840959&lt;/D&gt;&lt;/FQL&gt;&lt;FQL&gt;&lt;Q&gt;CRS-US^P_BETA_LOCIDX(45897,45723,,"SPX")&lt;/Q&gt;&lt;R&gt;1&lt;/R&gt;&lt;C&gt;1&lt;/C&gt;&lt;D xsi:type="xsd:double"&gt;1.5385072&lt;/D&gt;&lt;/FQL&gt;&lt;FQL&gt;&lt;Q&gt;CRS-US^P_BETA_LOCIDX(45875,45700,,"SPX")&lt;/Q&gt;&lt;R&gt;1&lt;/R&gt;&lt;C&gt;1&lt;/C&gt;&lt;D xsi:type="xsd:double"&gt;1.5789652&lt;/D&gt;&lt;/FQL&gt;&lt;FQL&gt;&lt;Q&gt;CRS-US^P_BETA_LOCIDX(45853,45678,,"SPX")&lt;/Q&gt;&lt;R&gt;1&lt;/R&gt;&lt;C&gt;1&lt;/C&gt;&lt;D xsi:type="xsd:double"&gt;1.6312416&lt;/D&gt;&lt;/FQL&gt;&lt;FQL&gt;&lt;Q&gt;CRS-US^P_BETA_LOCIDX(45828,45650,,"SPX")&lt;/Q&gt;&lt;R&gt;1&lt;/R&gt;&lt;C&gt;1&lt;/C&gt;&lt;D xsi:type="xsd:double"&gt;1.6081451&lt;/D&gt;&lt;/FQL&gt;&lt;FQL&gt;&lt;Q&gt;CRS-US^P_BETA_LOCIDX(45805,45628,,"SPX")&lt;/Q&gt;&lt;R&gt;1&lt;/R&gt;&lt;C&gt;1&lt;/C&gt;&lt;D xsi:type="xsd:double"&gt;1.6337216&lt;/D&gt;&lt;/FQL&gt;&lt;FQL&gt;&lt;Q&gt;CRS-US^P_BETA_LOCIDX(45782,45603,,"SPX")&lt;/Q&gt;&lt;R&gt;1&lt;/R&gt;&lt;C&gt;1&lt;/C&gt;&lt;D xsi:type="xsd:double"&gt;1.6641226&lt;/D&gt;&lt;/FQL&gt;&lt;FQL&gt;&lt;Q&gt;CRS-US^P_BETA_LOCIDX(45757,45581,,"SPX")&lt;/Q&gt;&lt;R&gt;1&lt;/R&gt;&lt;C&gt;1&lt;/C&gt;&lt;D xsi:type="xsd:double"&gt;1.7512926&lt;/D&gt;&lt;/FQL&gt;&lt;FQL&gt;&lt;Q&gt;CRS-US^P_BETA_LOCIDX(45735,45559,,"SPX")&lt;/Q&gt;&lt;R&gt;1&lt;/R&gt;&lt;C&gt;1&lt;/C&gt;&lt;D xsi:type="xsd:double"&gt;1.7388883&lt;/D&gt;&lt;/FQL&gt;&lt;FQL&gt;&lt;Q&gt;CRS-US^P_BETA_LOCIDX(45713,45534,,"SPX")&lt;/Q&gt;&lt;R&gt;1&lt;/R&gt;&lt;C&gt;1&lt;/C&gt;&lt;D xsi:type="xsd:double"&gt;1.8789072&lt;/D&gt;&lt;/FQL&gt;&lt;FQL&gt;&lt;Q&gt;CRS-US^P_BETA_LOCIDX(45688,45512,,"SPX")&lt;/Q&gt;&lt;R&gt;1&lt;/R&gt;&lt;C&gt;1&lt;/C&gt;&lt;D xsi:type="xsd:double"&gt;1.7877952&lt;/D&gt;&lt;/FQL&gt;&lt;FQL&gt;&lt;Q&gt;CRS-US^P_BETA_LOCIDX(45664,45490,,"SPX")&lt;/Q&gt;&lt;R&gt;1&lt;/R&gt;&lt;C&gt;1&lt;/C&gt;&lt;D xsi:type="xsd:double"&gt;1.7375575&lt;/D&gt;&lt;/FQL&gt;&lt;FQL&gt;&lt;Q&gt;CRS-US^P_BETA_LOCIDX(45638,45467,,"SPX")&lt;/Q&gt;&lt;R&gt;1&lt;/R&gt;&lt;C&gt;1&lt;/C&gt;&lt;D xsi:type="xsd:double"&gt;1.7399622&lt;/D&gt;&lt;/FQL&gt;&lt;FQL&gt;&lt;Q&gt;CRS-US^P_BETA_LOCIDX(45615,45442,,"SPX")&lt;/Q&gt;&lt;R&gt;1&lt;/R&gt;&lt;C&gt;1&lt;/C&gt;&lt;D xsi:type="xsd:double"&gt;1.7220366&lt;/D&gt;&lt;/FQL&gt;&lt;FQL&gt;&lt;Q&gt;CRS-US^P_BETA_LOCIDX(45593,45419,,"SPX")&lt;/Q&gt;&lt;R&gt;1&lt;/R&gt;&lt;C&gt;1&lt;/C&gt;&lt;D xsi:type="xsd:double"&gt;1.492525&lt;/D&gt;&lt;/FQL&gt;&lt;FQL&gt;&lt;Q&gt;CRS-US^P_BETA_LOCIDX(45569,45397,,"SPX")&lt;/Q&gt;&lt;R&gt;1&lt;/R&gt;&lt;C&gt;1&lt;/C&gt;&lt;D xsi:type="xsd:double"&gt;1.3764284&lt;/D&gt;&lt;/FQL&gt;&lt;FQL&gt;&lt;Q&gt;CRS-US^P_BETA_LOCIDX(45547,45372,,"SPX")&lt;/Q&gt;&lt;R&gt;1&lt;/R&gt;&lt;C&gt;1&lt;/C&gt;&lt;D xsi:type="xsd:double"&gt;1.2926344&lt;/D&gt;&lt;/FQL&gt;&lt;FQL&gt;&lt;Q&gt;CRS-US^P_BETA_LOCIDX(45524,45350,,"SPX")&lt;/Q&gt;&lt;R&gt;1&lt;/R&gt;&lt;C&gt;1&lt;/C&gt;&lt;D xsi:type="xsd:double"&gt;1.0612924&lt;/D&gt;&lt;/FQL&gt;&lt;FQL&gt;&lt;Q&gt;CRS-US^P_BETA_LOCIDX(45502,45327,,"SPX")&lt;/Q&gt;&lt;R&gt;1&lt;/R&gt;&lt;C&gt;1&lt;/C&gt;&lt;D xsi:type="xsd:double"&gt;1.0138464&lt;/D&gt;&lt;/FQL&gt;&lt;FQL&gt;&lt;Q&gt;CRS-US^P_BETA_LOCIDX(45478,45302,,"SPX")&lt;/Q&gt;&lt;R&gt;1&lt;/R&gt;&lt;C&gt;1&lt;/C&gt;&lt;D xsi:type="xsd:double"&gt;0.9900128&lt;/D&gt;&lt;/FQL&gt;&lt;FQL&gt;&lt;Q&gt;CRS-US^P_BETA_LOCIDX(45454,45278,,"SPX")&lt;/Q&gt;&lt;R&gt;1&lt;/R&gt;&lt;C&gt;1&lt;/C&gt;&lt;D xsi:type="xsd:double"&gt;1.0402321&lt;/D&gt;&lt;/FQL&gt;&lt;FQL&gt;&lt;Q&gt;CRS-US^P_BETA_LOCIDX(45429,45254,,"SPX")&lt;/Q&gt;&lt;R&gt;1&lt;/R&gt;&lt;C&gt;1&lt;/C&gt;&lt;D xsi:type="xsd:double"&gt;0.9737793&lt;/D&gt;&lt;/FQL&gt;&lt;FQL&gt;&lt;Q&gt;CRS-US^P_BETA_LOCIDX(45407,45231,,"SPX")&lt;/Q&gt;&lt;R&gt;1&lt;/R&gt;&lt;C&gt;1&lt;/C&gt;&lt;D xsi:type="xsd:double"&gt;1.1367234&lt;/D&gt;&lt;/FQL&gt;&lt;FQL&gt;&lt;Q&gt;CRS-US^P_BETA_LOCIDX(45385,45209,,"SPX")&lt;/Q&gt;&lt;R&gt;1&lt;/R&gt;&lt;C&gt;1&lt;/C&gt;&lt;D xsi:type="xsd:double"&gt;1.2608446&lt;/D&gt;&lt;/FQL&gt;&lt;FQL&gt;&lt;Q&gt;CRS-US^P_BETA_LOCIDX(45362,45187,,"SPX")&lt;/Q&gt;&lt;R&gt;1&lt;/R&gt;&lt;C&gt;1&lt;/C&gt;&lt;D xsi:type="xsd:double"&gt;1.3320701&lt;/D&gt;&lt;/FQL&gt;&lt;FQL&gt;&lt;Q&gt;CRS-US^P_BETA_LOCIDX(45337,45162,,"SPX")&lt;/Q&gt;&lt;R&gt;1&lt;/R&gt;&lt;C&gt;1&lt;/C&gt;&lt;D xsi:type="xsd:double"&gt;1.3799134&lt;/D&gt;&lt;/FQL&gt;&lt;FQL&gt;&lt;Q&gt;CRS-US^P_BETA_LOCIDX(45315,45140,,"SPX")&lt;/Q&gt;&lt;R&gt;1&lt;/R&gt;&lt;C&gt;1&lt;/C&gt;&lt;D xsi:type="xsd:double"&gt;1.376317&lt;/D&gt;&lt;/FQL&gt;&lt;FQL&gt;&lt;Q&gt;CRS-US^P_BETA_LOCIDX(45289,45118,,"SPX")&lt;/Q&gt;&lt;R&gt;1&lt;/R&gt;&lt;C&gt;1&lt;/C&gt;&lt;D xsi:type="xsd:double"&gt;1.2717074&lt;/D&gt;&lt;/FQL&gt;&lt;FQL&gt;&lt;Q&gt;CRS-US^P_BETA_LOCIDX(45266,45092,,"SPX")&lt;/Q&gt;&lt;R&gt;1&lt;/R&gt;&lt;C&gt;1&lt;/C&gt;&lt;D xsi:type="xsd:double"&gt;1.2988478&lt;/D&gt;&lt;/FQL&gt;&lt;FQL&gt;&lt;Q&gt;CRS-US^P_BETA_LOCIDX(45243,45069,,"SPX")&lt;/Q&gt;&lt;R&gt;1&lt;/R&gt;&lt;C&gt;1&lt;/C&gt;&lt;D xsi:type="xsd:double"&gt;1.3504416&lt;/D&gt;&lt;/FQL&gt;&lt;FQL&gt;&lt;Q&gt;CRS-US^P_BETA_LOCIDX(45219,45047,,"SPX")&lt;/Q&gt;&lt;R&gt;1&lt;/R&gt;&lt;C&gt;1&lt;/C&gt;&lt;D xsi:type="xsd:double"&gt;1.5282216&lt;/D&gt;&lt;/FQL&gt;&lt;FQL&gt;&lt;Q&gt;CRS-US^P_BETA_LOCIDX(45197,45022,,"SPX")&lt;/Q&gt;&lt;R&gt;1&lt;/R&gt;&lt;C&gt;1&lt;/C&gt;&lt;D xsi:type="xsd:double"&gt;1.5817611&lt;/D&gt;&lt;/FQL&gt;&lt;FQL&gt;&lt;Q&gt;CRS-US^P_BETA_LOCIDX(45175,45000,,"SPX")&lt;/Q&gt;&lt;R&gt;1&lt;/R&gt;&lt;C&gt;1&lt;/C&gt;&lt;D xsi:type="xsd:double"&gt;1.8826338&lt;/D&gt;&lt;/FQL&gt;&lt;FQL&gt;&lt;Q&gt;CRS-US^P_BETA_LOCIDX(45152,44978,,"SPX")&lt;/Q&gt;&lt;R&gt;1&lt;/R&gt;&lt;C&gt;1&lt;/C&gt;&lt;D xsi:type="xsd:double"&gt;1.8720039&lt;/D&gt;&lt;/FQL&gt;&lt;FQL&gt;&lt;Q&gt;CRS-US^P_BETA_LOCIDX(45128,44953,,"SPX")&lt;/Q&gt;&lt;R&gt;1&lt;/R&gt;&lt;C&gt;1&lt;/C&gt;&lt;D xsi:type="xsd:double"&gt;1.8087938&lt;/D&gt;&lt;/FQL&gt;&lt;FQL&gt;&lt;Q&gt;CRS-US^P_BETA_LOCIDX(45105,44930,,"SPX")&lt;/Q&gt;&lt;R&gt;1&lt;/R&gt;&lt;C&gt;1&lt;/C&gt;&lt;D xsi:type="xsd:double"&gt;1.7760983&lt;/D&gt;&lt;/FQL&gt;&lt;FQL&gt;&lt;Q&gt;CRS-US^P_BETA_LOCIDX(45082,44904,,"SPX")&lt;/Q&gt;&lt;R&gt;1&lt;/R&gt;&lt;C&gt;1&lt;/C&gt;&lt;D xsi:type="xsd:double"&gt;1.8768299&lt;/D&gt;&lt;/FQL&gt;&lt;FQL&gt;&lt;Q&gt;CRS-US^P_BETA_LOCIDX(45057,44881,,"SPX")&lt;/Q&gt;&lt;R&gt;1&lt;/R&gt;&lt;C&gt;1&lt;/C&gt;&lt;D xsi:type="xsd:double"&gt;1.6627429&lt;/D&gt;&lt;/FQL&gt;&lt;FQL&gt;&lt;Q&gt;CRS-US^P_BETA_LOCIDX(45035,44859,,"SPX")&lt;/Q&gt;&lt;R&gt;1&lt;/R&gt;&lt;C&gt;1&lt;/C&gt;&lt;D xsi:type="xsd:double"&gt;1.4040858&lt;/D&gt;&lt;/FQL&gt;&lt;FQL&gt;&lt;Q&gt;CRS-US^P_BETA_LOCIDX(45012,44837,,"SPX")&lt;/Q&gt;&lt;R&gt;1&lt;/R&gt;&lt;C&gt;1&lt;/C&gt;&lt;D xsi:type="xsd:double"&gt;1.39792&lt;/D&gt;&lt;/FQL&gt;&lt;FQL&gt;&lt;Q&gt;CRS-US^P_BETA_LOCIDX(44988,44813,,"SPX")&lt;/Q&gt;&lt;R&gt;1&lt;/R&gt;&lt;C&gt;1&lt;/C&gt;&lt;D xsi:type="xsd:double"&gt;1.4113886&lt;/D&gt;&lt;/FQL&gt;&lt;FQL&gt;&lt;Q&gt;CRS-US^P_BETA_LOCIDX(44965,44790,,"SPX")&lt;/Q&gt;&lt;R&gt;1&lt;/R&gt;&lt;C&gt;1&lt;/C&gt;&lt;D xsi:type="xsd:double"&gt;1.4434607&lt;/D&gt;&lt;/FQL&gt;&lt;FQL&gt;&lt;Q&gt;CRS-US^P_BETA_LOCIDX(46035,45863,,"SPX")&lt;/Q&gt;&lt;R&gt;1&lt;/R&gt;&lt;C&gt;1&lt;/C&gt;&lt;D xsi:type="xsd:double"&gt;1.2913332&lt;/D&gt;&lt;/FQL&gt;&lt;FQL&gt;&lt;Q&gt;CRS-US^P_BETA_LOCIDX(46009,45838,,"SPX")&lt;/Q&gt;&lt;R&gt;1&lt;/R&gt;&lt;C&gt;1&lt;/C&gt;&lt;D xsi:type="xsd:double"&gt;1.2297117&lt;/D&gt;&lt;/FQL&gt;&lt;FQL&gt;&lt;Q&gt;CRS-US^P_BETA_LOCIDX(45986,45813,,"SPX")&lt;/Q&gt;&lt;R&gt;1&lt;/R&gt;&lt;C&gt;1&lt;/C&gt;&lt;D xsi:type="xsd:double"&gt;1.197782&lt;/D&gt;&lt;/FQL&gt;&lt;FQL&gt;&lt;Q&gt;CRS-US^P_BETA_LOCIDX(45964,45790,,"SPX")&lt;/Q&gt;&lt;R&gt;1&lt;/R&gt;&lt;C&gt;1&lt;/C&gt;&lt;D xsi:type="xsd:double"&gt;1.1689502&lt;/D&gt;&lt;/FQL&gt;&lt;FQL&gt;&lt;Q&gt;CRS-US^P_BETA_LOCIDX(45940,45768,,"SPX")&lt;/Q&gt;&lt;R&gt;1&lt;/R&gt;&lt;C&gt;1&lt;/C&gt;&lt;D xsi:type="xsd:double"&gt;1.2400753&lt;/D&gt;&lt;/FQL&gt;&lt;FQL&gt;&lt;Q&gt;CRS-US^P_BETA_LOCIDX(45918,45743,,"SPX")&lt;/Q&gt;&lt;R&gt;1&lt;/R&gt;&lt;C&gt;1&lt;/C&gt;&lt;D xsi:type="xsd:double"&gt;1.4872347&lt;/D&gt;&lt;/FQL&gt;&lt;FQL&gt;&lt;Q&gt;CRS-US^P_BETA_LOCIDX(45895,45721,,"SPX")&lt;/Q&gt;&lt;R&gt;1&lt;/R&gt;&lt;C&gt;1&lt;/C&gt;&lt;D xsi:type="xsd:double"&gt;1.5759178&lt;/D&gt;&lt;/FQL&gt;&lt;FQL&gt;&lt;Q&gt;CRS-US^P_BETA_LOCIDX(45873,45698,,"SPX")&lt;/Q&gt;&lt;R&gt;1&lt;/R&gt;&lt;C&gt;1&lt;/C&gt;&lt;D xsi:type="xsd:double"&gt;1.5911106&lt;/D&gt;&lt;/FQL&gt;&lt;FQL&gt;&lt;Q&gt;CRS-US^P_BETA_LOCIDX(45849,45673,,"SPX")&lt;/Q&gt;&lt;R&gt;1&lt;/R&gt;&lt;C&gt;1&lt;/C&gt;&lt;D xsi:type="xsd:double"&gt;1.6343886&lt;/D&gt;&lt;/FQL&gt;&lt;FQL&gt;&lt;Q&gt;CRS-US^P_BETA_LOCIDX(45825,45646,,"SPX")&lt;/Q&gt;&lt;R&gt;1&lt;/R&gt;&lt;C&gt;1&lt;/C&gt;&lt;D xsi:type="xsd:double"&gt;1.6020576&lt;/D&gt;&lt;/FQL&gt;&lt;FQL&gt;&lt;Q&gt;CRS-US^P_BETA_LOCIDX(45800,45623,,"SPX")&lt;/Q&gt;&lt;R&gt;1&lt;/R&gt;&lt;C&gt;1&lt;/C&gt;&lt;D xsi:type="xsd:double"&gt;1.6311896&lt;/D&gt;&lt;/FQL&gt;&lt;FQL&gt;&lt;Q&gt;CRS-US^P_BETA_LOCIDX(45778,45601,,"SPX")&lt;/Q&gt;&lt;R&gt;1&lt;/R&gt;&lt;C&gt;1&lt;/C&gt;&lt;D xsi:type="xsd:double"&gt;1.7147583&lt;/D&gt;&lt;/FQL&gt;&lt;FQL&gt;&lt;Q&gt;CRS-US^P_BETA_LOCIDX(45755,45579,,"SPX")&lt;/Q&gt;&lt;R&gt;1&lt;/R&gt;&lt;C&gt;1&lt;/C&gt;&lt;D xsi:type="xsd:double"&gt;1.8336852&lt;/D&gt;&lt;/FQL&gt;&lt;FQL&gt;&lt;Q&gt;CRS-US^P_BETA_LOCIDX(45733,45555,,"SPX")&lt;/Q&gt;&lt;R&gt;1&lt;/R&gt;&lt;C&gt;1&lt;/C&gt;&lt;D xsi:type="xsd:double"&gt;1.7055384&lt;/D&gt;&lt;/FQL&gt;&lt;FQL&gt;&lt;Q&gt;CRS-US^P_BETA_LOCIDX(45709,45532,,"SPX")&lt;/Q&gt;&lt;R&gt;1&lt;/R&gt;&lt;C&gt;1&lt;/C&gt;&lt;D xsi:type="xsd:double"&gt;1.9130188&lt;/D&gt;&lt;/FQL&gt;&lt;FQL&gt;&lt;Q&gt;CRS-US^P_BETA_LOCIDX(45686,45510,,"SPX")&lt;/Q&gt;&lt;R&gt;1&lt;/R&gt;&lt;C&gt;1&lt;/C&gt;&lt;D xsi:type="xsd:double"&gt;1.860447&lt;/D&gt;&lt;/FQL&gt;&lt;FQL&gt;&lt;Q&gt;CRS-US^P_BETA_LOCIDX(45660,45488,,"SPX")&lt;/Q&gt;&lt;R&gt;1&lt;/R&gt;&lt;C&gt;1&lt;/C&gt;&lt;D xsi:type="xsd:double"&gt;1.7562697&lt;/D&gt;&lt;/FQL&gt;&lt;FQL&gt;&lt;Q&gt;CRS-US^P_BETA_LOCIDX(45636,45463,,"SPX")&lt;/Q&gt;&lt;R&gt;1&lt;/R&gt;&lt;C&gt;1&lt;/C&gt;&lt;D xsi:type="xsd:double"&gt;1.7520853&lt;/D&gt;&lt;/FQL&gt;&lt;FQL&gt;&lt;Q&gt;CRS-US^P_BETA_LOCIDX(45611,45440,,"SPX")&lt;/Q&gt;&lt;R&gt;1&lt;/R&gt;&lt;C&gt;1&lt;/C&gt;&lt;D xsi:type="xsd:double"&gt;1.7067574&lt;/D&gt;&lt;/FQL&gt;&lt;FQL&gt;&lt;Q&gt;CRS-US^P_BETA_LOCIDX(45589,45415,,"SPX")&lt;/Q&gt;&lt;R&gt;1&lt;/R&gt;&lt;C&gt;1&lt;/C&gt;&lt;D xsi:type="xsd:double"&gt;1.4645985&lt;/D&gt;&lt;/FQL&gt;&lt;FQL&gt;&lt;Q&gt;CRS-US^P_BETA_LOCIDX(45567,45393,,"SPX")&lt;/Q&gt;&lt;R&gt;1&lt;/R&gt;&lt;C&gt;1&lt;/C&gt;&lt;D xsi:type="xsd:double"&gt;1.3578401&lt;/D&gt;&lt;/FQL&gt;&lt;FQL&gt;&lt;Q&gt;CRS-US^P_BETA_LOCIDX(45545,45370,,"SPX")&lt;/Q&gt;&lt;R&gt;1&lt;/R&gt;&lt;C&gt;1&lt;/C&gt;&lt;D xsi:type="xsd:double"&gt;1.2927696&lt;/D&gt;&lt;/FQL&gt;&lt;FQL&gt;&lt;Q&gt;CRS-US^P_BETA_LOCIDX(45520,45348,,"SPX")&lt;/Q&gt;&lt;R&gt;1&lt;/R&gt;&lt;C&gt;1&lt;/C&gt;&lt;D xsi:type="xsd:double"&gt;1.0661911&lt;/D&gt;&lt;/FQL&gt;&lt;FQL&gt;&lt;Q&gt;CRS-US^P_BETA_LOCIDX(45498,45323,,"SPX")&lt;/Q&gt;&lt;R&gt;1&lt;/R&gt;&lt;C&gt;1&lt;/C&gt;&lt;D xsi:type="xsd:double"&gt;0.88343155&lt;/D&gt;&lt;/FQL&gt;&lt;FQL&gt;&lt;Q&gt;CRS-US^P_BETA_LOCIDX(45475,45300,,"SPX")&lt;/Q&gt;&lt;R&gt;1&lt;/R&gt;&lt;C&gt;1&lt;/C&gt;&lt;D xsi:type="xsd:double"&gt;1.0537505&lt;/D&gt;&lt;/FQL&gt;&lt;FQL&gt;&lt;Q&gt;CRS-US^P_BETA_LOCIDX(45450,45274,,"SPX")&lt;/Q&gt;&lt;R&gt;1&lt;/R&gt;&lt;C&gt;1&lt;/C&gt;&lt;D xsi:type="xsd:double"&gt;1.047145&lt;/D&gt;&lt;/FQL&gt;&lt;FQL&gt;&lt;Q&gt;CRS-US^P_BETA_LOCIDX(45427,45251,,"SPX")&lt;/Q&gt;&lt;R&gt;1&lt;/R&gt;&lt;C&gt;1&lt;/C&gt;&lt;D xsi:type="xsd:double"&gt;0.9815661&lt;/D&gt;&lt;/FQL&gt;&lt;FQL&gt;&lt;Q&gt;CRS-US^P_BETA_LOCIDX(45405,45229,,"SPX")&lt;/Q&gt;&lt;R&gt;1&lt;/R&gt;&lt;C&gt;1&lt;/C&gt;&lt;D xsi:type="xsd:double"&gt;1.1385478&lt;/D&gt;&lt;/FQL&gt;&lt;FQL&gt;&lt;Q&gt;CRS-US^P_BETA_LOCIDX(45953,45779,,"SPX")&lt;/Q&gt;&lt;R&gt;1&lt;/R&gt;&lt;C&gt;1&lt;/C&gt;&lt;D xsi:type="xsd:double"&gt;1.1302869&lt;/D&gt;&lt;/FQL&gt;&lt;FQL&gt;&lt;Q&gt;CRS-US^P_BETA_LOCIDX(45919,45744,,"SPX")&lt;/Q&gt;&lt;R&gt;1&lt;/R&gt;&lt;C&gt;1&lt;/C&gt;&lt;D xsi:type="xsd:double"&gt;1.4796042&lt;/D&gt;&lt;/FQL&gt;&lt;FQL&gt;&lt;Q&gt;CRS-US^P_BETA_LOCIDX(45884,45712,,"SPX")&lt;/Q&gt;&lt;R&gt;1&lt;/R&gt;&lt;C&gt;1&lt;/C&gt;&lt;D xsi:type="xsd:double"&gt;1.5572336&lt;/D&gt;&lt;/FQL&gt;&lt;FQL&gt;&lt;Q&gt;CRS-US^P_BETA_LOCIDX(45817,45638,,"SPX")&lt;/Q&gt;&lt;R&gt;1&lt;/R&gt;&lt;C&gt;1&lt;/C&gt;&lt;D xsi:type="xsd:double"&gt;1.6284186&lt;/D&gt;&lt;/FQL&gt;&lt;FQL&gt;&lt;Q&gt;CRS-US^P_BETA_LOCIDX(45645,45474,,"SPX")&lt;/Q&gt;&lt;R&gt;1&lt;/R&gt;&lt;C&gt;1&lt;/C&gt;&lt;D xsi:type="xsd:double"&gt;1.7240055&lt;/D&gt;&lt;/FQL&gt;&lt;FQL&gt;&lt;Q&gt;CRS-US^P_BETA_LOCIDX(45581,45407,,"SPX")&lt;/Q&gt;&lt;R&gt;1&lt;/R&gt;&lt;C&gt;1&lt;/C&gt;&lt;D xsi:type="xsd:double"&gt;1.310192&lt;/D&gt;&lt;/FQL&gt;&lt;FQL&gt;&lt;Q&gt;CRS-US^P_BETA_LOCIDX(45551,45376,,"SPX")&lt;/Q&gt;&lt;R&gt;1&lt;/R&gt;&lt;C&gt;1&lt;/C&gt;&lt;D xsi:type="xsd:double"&gt;1.2933166&lt;/D&gt;&lt;/FQL&gt;&lt;FQL&gt;&lt;Q&gt;CRS-US^P_BETA_LOCIDX(45453,45275,,"SPX")&lt;/Q&gt;&lt;R&gt;1&lt;/R&gt;&lt;C&gt;1&lt;/C&gt;&lt;D xsi:type="xsd:double"&gt;1.0455656&lt;/D&gt;&lt;/FQL&gt;&lt;FQL&gt;&lt;Q&gt;CRS-US^P_BETA_LOCIDX(45420,45244,,"SPX")&lt;/Q&gt;&lt;R&gt;1&lt;/R&gt;&lt;C&gt;1&lt;/C&gt;&lt;D xsi:type="xsd:double"&gt;0.91877556&lt;/D&gt;&lt;/FQL&gt;&lt;FQL&gt;&lt;Q&gt;CRS-US^P_BETA_LOCIDX(45357,45182,,"SPX")&lt;/Q&gt;&lt;R&gt;1&lt;/R&gt;&lt;C&gt;1&lt;/C&gt;&lt;D xsi:type="xsd:double"&gt;1.3189267&lt;/D&gt;&lt;/FQL&gt;&lt;FQL&gt;&lt;Q&gt;CRS-US^P_BETA_LOCIDX(45328,45153,,"SPX")&lt;/Q&gt;&lt;R&gt;1&lt;/R&gt;&lt;C&gt;1&lt;/C&gt;&lt;D xsi:type="xsd:double"&gt;1.2303073&lt;/D&gt;&lt;/FQL&gt;&lt;FQL&gt;&lt;Q&gt;CRS-US^P_BETA_LOCIDX(45299,45125,,"SPX")&lt;/Q&gt;&lt;R&gt;1&lt;/R&gt;&lt;C&gt;1&lt;/C&gt;&lt;D xsi:type="xsd:double"&gt;1.2364544&lt;/D&gt;&lt;/FQL&gt;&lt;FQL&gt;&lt;Q&gt;CRS-US^P_BETA_LOCIDX(45238,45064,,"SPX")&lt;/Q&gt;&lt;R&gt;1&lt;/R&gt;&lt;C&gt;1&lt;/C&gt;&lt;D xsi:type="xsd:double"&gt;1.395448&lt;/D&gt;&lt;/FQL&gt;&lt;FQL&gt;&lt;Q&gt;CRS-US^P_BETA_LOCIDX(45184,45009,,"SPX")&lt;/Q&gt;&lt;R&gt;1&lt;/R&gt;&lt;C&gt;1&lt;/C&gt;&lt;D xsi:type="xsd:double"&gt;1.7495294&lt;/D&gt;&lt;/FQL&gt;&lt;FQL&gt;&lt;Q&gt;CRS-US^P_BETA_LOCIDX(45132,44957,,"SPX")&lt;/Q&gt;&lt;R&gt;1&lt;/R&gt;&lt;C&gt;1&lt;/C&gt;&lt;D xsi:type="xsd:double"&gt;1.8123233&lt;/D&gt;&lt;/FQL&gt;&lt;FQL&gt;&lt;Q&gt;CRS-US^P_BETA_LOCIDX(45103,44925,,"SPX")&lt;/Q&gt;&lt;R&gt;1&lt;/R&gt;&lt;C&gt;1&lt;/C&gt;&lt;D xsi:type="xsd:double"&gt;1.8007922&lt;/D&gt;&lt;/FQL&gt;&lt;FQL&gt;&lt;Q&gt;CRS-US^P_BETA_LOCIDX(45047,44869,,"SPX")&lt;/Q&gt;&lt;R&gt;1&lt;/R&gt;&lt;C&gt;1&lt;/C&gt;&lt;D xsi:type="xsd:double"&gt;1.521753&lt;/D&gt;&lt;/FQL&gt;&lt;FQL&gt;&lt;Q&gt;CRS-US^P_BETA_LOCIDX(44993,44818,,"SPX")&lt;/Q&gt;&lt;R&gt;1&lt;/R&gt;&lt;C&gt;1&lt;/C&gt;&lt;D xsi:type="xsd:double"&gt;1.3871686&lt;/D&gt;&lt;/FQL&gt;&lt;FQL&gt;&lt;Q&gt;CRS-US^P_BETA_LOCIDX(45356,45181,,"SPX")&lt;/Q&gt;&lt;R&gt;1&lt;/R&gt;&lt;C&gt;1&lt;/C&gt;&lt;D xsi:type="xsd:double"&gt;1.294468&lt;/D&gt;&lt;/FQL&gt;&lt;FQL&gt;&lt;Q&gt;CRS-US^P_BETA_LOCIDX(45100,44924,,"SPX")&lt;/Q&gt;&lt;R&gt;1&lt;/R&gt;&lt;C&gt;1&lt;/C&gt;&lt;D xsi:type="xsd:double"&gt;1.7915926&lt;/D&gt;&lt;/FQL&gt;&lt;FQL&gt;&lt;Q&gt;CRS-US^P_BETA_LOCIDX(46042,45870,,"SPX")&lt;/Q&gt;&lt;R&gt;1&lt;/R&gt;&lt;C&gt;1&lt;/C&gt;&lt;D xsi:type="xsd:double"&gt;1.1613673&lt;/D&gt;&lt;/FQL&gt;&lt;FQL&gt;&lt;Q&gt;CRS-US^P_BETA_LOCIDX(45993,45819,,"SPX")&lt;/Q&gt;&lt;R&gt;1&lt;/R&gt;&lt;C&gt;1&lt;/C&gt;&lt;D xsi:type="xsd:double"&gt;1.211959&lt;/D&gt;&lt;/FQL&gt;&lt;FQL&gt;&lt;Q&gt;CRS-US^P_BETA_LOCIDX(45952,45778,,"SPX")&lt;/Q&gt;&lt;R&gt;1&lt;/R&gt;&lt;C&gt;1&lt;/C&gt;&lt;D xsi:type="xsd:double"&gt;0.9994827&lt;/D&gt;&lt;/FQL&gt;&lt;FQL&gt;&lt;Q&gt;CRS-US^P_BETA_LOCIDX(45883,45709,,"SPX")&lt;/Q&gt;&lt;R&gt;1&lt;/R&gt;&lt;C&gt;1&lt;/C&gt;&lt;D xsi:type="xsd:double"&gt;1.5788236&lt;/D&gt;&lt;/FQL&gt;&lt;FQL&gt;&lt;Q&gt;CRS-US^P_BETA_LOCIDX(45852,45674,,"SPX")&lt;/Q&gt;&lt;R&gt;1&lt;/R&gt;&lt;C&gt;1&lt;/C&gt;&lt;D xsi:type="xsd:double"&gt;1.6355202&lt;/D&gt;&lt;/FQL&gt;&lt;FQL&gt;&lt;Q&gt;CRS-US^P_BETA_LOCIDX(45783,45604,,"SPX")&lt;/Q&gt;&lt;R&gt;1&lt;/R&gt;&lt;C&gt;1&lt;/C&gt;&lt;D xsi:type="xsd:double"&gt;1.6761218&lt;/D&gt;&lt;/FQL&gt;&lt;FQL&gt;&lt;Q&gt;CRS-US^P_BETA_LOCIDX(45749,45573,,"SPX")&lt;/Q&gt;&lt;R&gt;1&lt;/R&gt;&lt;C&gt;1&lt;/C&gt;&lt;D xsi:type="xsd:double"&gt;1.8192981&lt;/D&gt;&lt;/FQL&gt;&lt;FQL&gt;&lt;Q&gt;CRS-US^P_BETA_LOCIDX(45715,45539,,"SPX")&lt;/Q&gt;&lt;R&gt;1&lt;/R&gt;&lt;C&gt;1&lt;/C&gt;&lt;D xsi:type="xsd:double"&gt;1.7289436&lt;/D&gt;&lt;/FQL&gt;&lt;FQL&gt;&lt;Q&gt;CRS-US^P_BETA_LOCIDX(45681,45505,,"SPX")&lt;/Q&gt;&lt;R&gt;1&lt;/R&gt;&lt;C&gt;1&lt;/C&gt;&lt;D xsi:type="xsd:double"&gt;1.7427506&lt;/D&gt;&lt;/FQL&gt;&lt;FQL&gt;&lt;Q&gt;CRS-US^P_BETA_LOCIDX(45644,45471,,"SPX")&lt;/Q&gt;&lt;R&gt;1&lt;/R&gt;&lt;C&gt;1&lt;/C&gt;&lt;D xsi:type="xsd:double"&gt;1.7144614&lt;/D&gt;&lt;/FQL&gt;&lt;FQL&gt;&lt;Q&gt;CRS-US^P_BETA_LOCIDX(45610,45436,,"SPX")&lt;/Q&gt;&lt;R&gt;1&lt;/R&gt;&lt;C&gt;1&lt;/C&gt;&lt;D xsi:type="xsd:double"&gt;1.7696395&lt;/D&gt;&lt;/FQL&gt;&lt;FQL&gt;&lt;Q&gt;CRS-US^P_BETA_LOCIDX(45517,45343,,"SPX")&lt;/Q&gt;&lt;R&gt;1&lt;/R&gt;&lt;C&gt;1&lt;/C&gt;&lt;D xsi:type="xsd:double"&gt;1.0414313&lt;/D&gt;&lt;/FQL&gt;&lt;FQL&gt;&lt;Q&gt;CRH-US^P_BETA_LOCIDX(44956,44781,,"SPX")&lt;/Q&gt;&lt;R&gt;1&lt;/R&gt;&lt;C&gt;1&lt;/C&gt;&lt;D xsi:type="xsd:double"&gt;1.2042937&lt;/D&gt;&lt;/FQL&gt;&lt;FQL&gt;&lt;Q&gt;CRH-US^P_BETA_LOCIDX(44953,44778,,"SPX")&lt;/Q&gt;&lt;R&gt;1&lt;/R&gt;&lt;C&gt;1&lt;/C&gt;&lt;D xsi:type="xsd:double"&gt;1.2089975&lt;/D&gt;&lt;/FQL&gt;&lt;FQL&gt;&lt;Q&gt;CRH-US^P_BETA_LOCIDX(44952,44777,,"SPX")&lt;/Q&gt;&lt;R&gt;1&lt;/R&gt;&lt;C&gt;1&lt;/C&gt;&lt;D xsi:type="xsd:double"&gt;1.2084668&lt;/D&gt;&lt;/FQL&gt;&lt;FQL&gt;&lt;Q&gt;CRH-US^P_BETA_LOCIDX(44951,44776,,"SPX")&lt;/Q&gt;&lt;R&gt;1&lt;/R&gt;&lt;C&gt;1&lt;/C&gt;&lt;D xsi:type="xsd:double"&gt;1.2097951&lt;/D&gt;&lt;/FQL&gt;&lt;FQL&gt;&lt;Q&gt;CRH-US^P_BETA_LOCIDX(44950,44775,,"SPX")&lt;/Q&gt;&lt;R&gt;1&lt;/R&gt;&lt;C&gt;1&lt;/C&gt;&lt;D xsi:type="xsd:double"&gt;1.2145661&lt;/D&gt;&lt;/FQL&gt;&lt;FQL&gt;&lt;Q&gt;CRH-US^P_BETA_LOCIDX(44949,44774,,"SPX")&lt;/Q&gt;&lt;R&gt;1&lt;/R&gt;&lt;C&gt;1&lt;/C&gt;&lt;D xsi:type="xsd:double"&gt;1.2151493&lt;/D&gt;&lt;/FQL&gt;&lt;FQL&gt;&lt;Q&gt;CRH-US^P_BETA_LOCIDX(44946,44771,,"SPX")&lt;/Q&gt;&lt;R&gt;1&lt;/R&gt;&lt;C&gt;1&lt;/C&gt;&lt;D xsi:type="xsd:double"&gt;1.21901&lt;/D&gt;&lt;/FQL&gt;&lt;FQL&gt;&lt;Q&gt;CRH-US^P_BETA_LOCIDX(44945,44770,,"SPX")&lt;/Q&gt;&lt;R&gt;1&lt;/R&gt;&lt;C&gt;1&lt;/C&gt;&lt;D xsi:type="xsd:double"&gt;1.230016&lt;/D&gt;&lt;/FQL&gt;&lt;FQL&gt;&lt;Q&gt;CRH-US^P_BETA_LOCIDX(44944,44769,,"SPX")&lt;/Q&gt;&lt;R&gt;1&lt;/R&gt;&lt;C&gt;1&lt;/C&gt;&lt;D xsi:type="xsd:double"&gt;1.2392237&lt;/D&gt;&lt;/FQL&gt;&lt;FQL&gt;&lt;Q&gt;CRH-US^P_BETA_LOCIDX(44943,44768,,"SPX")&lt;/Q&gt;&lt;R&gt;1&lt;/R&gt;&lt;C&gt;1&lt;/C&gt;&lt;D xsi:type="xsd:double"&gt;1.2449257&lt;/D&gt;&lt;/FQL&gt;&lt;FQL&gt;&lt;Q&gt;CRH-US^P_BETA_LOCIDX(44939,44767,,"SPX")&lt;/Q&gt;&lt;R&gt;1&lt;/R&gt;&lt;C&gt;1&lt;/C&gt;&lt;D xsi:type="xsd:double"&gt;1.2446722&lt;/D&gt;&lt;/FQL&gt;&lt;FQL&gt;&lt;Q&gt;CRH-US^P_BETA_LOCIDX(44938,44764,,"SPX")&lt;/Q&gt;&lt;R&gt;1&lt;/R&gt;&lt;C&gt;1&lt;/C&gt;&lt;D xsi:type="xsd:double"&gt;1.2408336&lt;/D&gt;&lt;/FQL&gt;&lt;FQL&gt;&lt;Q&gt;CRH-US^P_BETA_LOCIDX(44937,44763,,"SPX")&lt;/Q&gt;&lt;R&gt;1&lt;/R&gt;&lt;C&gt;1&lt;/C&gt;&lt;D xsi:type="xsd:double"&gt;1.240657&lt;/D&gt;&lt;/FQL&gt;&lt;FQL&gt;&lt;Q&gt;CRH-US^P_BETA_LOCIDX(44936,44762,,"SPX")&lt;/Q&gt;&lt;R&gt;1&lt;/R&gt;&lt;C&gt;1&lt;/C&gt;&lt;D xsi:type="xsd:double"&gt;1.2318437&lt;/D&gt;&lt;/FQL&gt;&lt;FQL&gt;&lt;Q&gt;CRH-US^P_BETA_LOCIDX(44935,44761,,"SPX")&lt;/Q&gt;&lt;R&gt;1&lt;/R&gt;&lt;C&gt;1&lt;/C&gt;&lt;D xsi:type="xsd:double"&gt;1.2450085&lt;/D&gt;&lt;/FQL&gt;&lt;FQL&gt;&lt;Q&gt;CRH-US^P_BETA_LOCIDX(44932,44760,,"SPX")&lt;/Q&gt;&lt;R&gt;1&lt;/R&gt;&lt;C&gt;1&lt;/C&gt;&lt;D xsi:type="xsd:double"&gt;1.241188&lt;/D&gt;&lt;/FQL&gt;&lt;FQL&gt;&lt;Q&gt;CRH-US^P_BETA_LOCIDX(44931,44757,,"SPX")&lt;/Q&gt;&lt;R&gt;1&lt;/R&gt;&lt;C&gt;1&lt;/C&gt;&lt;D xsi:type="xsd:double"&gt;1.2311411&lt;/D&gt;&lt;/FQL&gt;&lt;FQL&gt;&lt;Q&gt;CRH-US^P_BETA_LOCIDX(44930,44756,,"SPX")&lt;/Q&gt;&lt;R&gt;1&lt;/R&gt;&lt;C&gt;1&lt;/C&gt;&lt;D xsi:type="xsd:double"&gt;1.2286605&lt;/D&gt;&lt;/FQL&gt;&lt;FQL&gt;&lt;Q&gt;CRH-US^P_BETA_LOCIDX(44929,44755,,"SPX")&lt;/Q&gt;&lt;R&gt;1&lt;/R&gt;&lt;C&gt;1&lt;/C&gt;&lt;D xsi:type="xsd:double"&gt;1.2191637&lt;/D&gt;&lt;/FQL&gt;&lt;FQL&gt;&lt;Q&gt;CRH-US^P_BETA_LOCIDX(44925,44754,,"SPX")&lt;/Q&gt;&lt;R&gt;1&lt;/R&gt;&lt;C&gt;1&lt;/C&gt;&lt;D xsi:type="xsd:double"&gt;1.2192043&lt;/D&gt;&lt;/FQL&gt;&lt;FQL&gt;&lt;Q&gt;CRH-US^P_BETA_LOCIDX(44924,44753,,"SPX")&lt;/Q&gt;&lt;R&gt;1&lt;/R&gt;&lt;C&gt;1&lt;/C&gt;&lt;D xsi:type="xsd:double"&gt;1.2176385&lt;/D&gt;&lt;/FQL&gt;&lt;FQL&gt;&lt;Q&gt;CRH-US^P_BETA_LOCIDX(44923,44750,,"SPX")&lt;/Q&gt;&lt;R&gt;1&lt;/R&gt;&lt;C&gt;1&lt;/C&gt;&lt;D xsi:type="xsd:double"&gt;1.2232583&lt;/D&gt;&lt;/FQL&gt;&lt;FQL&gt;&lt;Q&gt;CRH-US^P_BETA_LOCIDX(44922,44749,,"SPX")&lt;/Q&gt;&lt;R&gt;1&lt;/R&gt;&lt;C&gt;1&lt;/C&gt;&lt;D xsi:type="xsd:double"&gt;1.2182051&lt;/D&gt;&lt;/FQL&gt;&lt;FQL&gt;&lt;Q&gt;CRH-US^P_BETA_LOCIDX(44918,44748,,"SPX")&lt;/Q&gt;&lt;R&gt;1&lt;/R&gt;&lt;C&gt;1&lt;/C&gt;&lt;D xsi:type="xsd:double"&gt;1.2192385&lt;/D&gt;&lt;/FQL&gt;&lt;FQL&gt;&lt;Q&gt;CRH-US^P_BETA_LOCIDX(44917,44747,,"SPX")&lt;/Q&gt;&lt;R&gt;1&lt;/R&gt;&lt;C&gt;1&lt;/C&gt;&lt;D xsi:type="xsd:double"&gt;1.21713&lt;/D&gt;&lt;/FQL&gt;&lt;FQL&gt;&lt;Q&gt;CRH-US^P_BETA_LOCIDX(44916,44743,,"SPX")&lt;/Q&gt;&lt;R&gt;1&lt;/R&gt;&lt;C&gt;1&lt;/C&gt;&lt;D xsi:type="xsd:double"&gt;1.2176254&lt;/D&gt;&lt;/FQL&gt;&lt;FQL&gt;&lt;Q&gt;CRH-US^P_BETA_LOCIDX(44915,44742,,"SPX")&lt;/Q&gt;&lt;R&gt;1&lt;/R&gt;&lt;C&gt;1&lt;/C&gt;&lt;D xsi:type="xsd:double"&gt;1.2146719&lt;/D&gt;&lt;/FQL&gt;&lt;FQL&gt;&lt;Q&gt;CRH-US^P_BETA_LOCIDX(44914,44741,,"SPX")&lt;/Q&gt;&lt;R&gt;1&lt;/R&gt;&lt;C&gt;1&lt;/C&gt;&lt;D xsi:type="xsd:double"&gt;1.2144513&lt;/D&gt;&lt;/FQL&gt;&lt;FQL&gt;&lt;Q&gt;CRH-US^P_BETA_LOCIDX(44911,44740,,"SPX")&lt;/Q&gt;&lt;R&gt;1&lt;/R&gt;&lt;C&gt;1&lt;/C&gt;&lt;D xsi:type="xsd:double"&gt;1.2174065&lt;/D&gt;&lt;/FQL&gt;&lt;FQL&gt;&lt;Q&gt;CRH-US^P_BETA_LOCIDX(44910,44739,,"SPX")&lt;/Q&gt;&lt;R&gt;1&lt;/R&gt;&lt;C&gt;1&lt;/C&gt;&lt;D xsi:type="xsd:double"&gt;1.2212427&lt;/D&gt;&lt;/FQL&gt;&lt;FQL&gt;&lt;Q&gt;CRH-US^P_BETA_LOCIDX(44909,44736,,"SPX")&lt;/Q&gt;&lt;R&gt;1&lt;/R&gt;&lt;C&gt;1&lt;/C&gt;&lt;D xsi:type="xsd:double"&gt;1.2025504&lt;/D&gt;&lt;/FQL&gt;&lt;FQL&gt;&lt;Q&gt;CRH-US^P_BETA_LOCIDX(44908,44735,,"SPX")&lt;/Q&gt;&lt;R&gt;1&lt;/R&gt;&lt;C&gt;1&lt;/C&gt;&lt;D xsi:type="xsd:double"&gt;1.1995728&lt;/D&gt;&lt;/FQL&gt;&lt;FQL&gt;&lt;Q&gt;CRH-US^P_BETA_LOCIDX(44907,44734,,"SPX")&lt;/Q&gt;&lt;R&gt;1&lt;/R&gt;&lt;C&gt;1&lt;/C&gt;&lt;D xsi:type="xsd:double"&gt;1.1983807&lt;/D&gt;&lt;/FQL&gt;&lt;FQL&gt;&lt;Q&gt;CRH-US^P_BETA_LOCIDX(44904,44733,,"SPX")&lt;/Q&gt;&lt;R&gt;1&lt;/R&gt;&lt;C&gt;1&lt;/C&gt;&lt;D xsi:type="xsd:double"&gt;1.159505&lt;/D&gt;&lt;/FQL&gt;&lt;FQL&gt;&lt;Q&gt;CRH-US^P_BETA_LOCIDX(44903,44729,,"SPX")&lt;/Q&gt;&lt;R&gt;1&lt;/R&gt;&lt;C&gt;1&lt;/C&gt;&lt;D xsi:type="xsd:double"&gt;1.1647305&lt;/D&gt;&lt;/FQL&gt;&lt;FQL&gt;&lt;Q&gt;CRH-US^P_BETA_LOCIDX(44902,44728,,"SPX")&lt;/Q&gt;&lt;R&gt;1&lt;/R&gt;&lt;C&gt;1&lt;/C&gt;&lt;D xsi:type="xsd:double"&gt;1.142582&lt;/D&gt;&lt;/FQL&gt;&lt;FQL&gt;&lt;Q&gt;CRH-US^P_BETA_LOCIDX(44901,44727,,"SPX")&lt;/Q&gt;&lt;R&gt;1&lt;/R&gt;&lt;C&gt;1&lt;/C&gt;&lt;D xsi:type="xsd:double"&gt;1.1440921&lt;/D&gt;&lt;/FQL&gt;&lt;FQL&gt;&lt;Q&gt;CRH-US^P_BETA_LOCIDX(44900,44726,,"SPX")&lt;/Q&gt;&lt;R&gt;1&lt;/R&gt;&lt;C&gt;1&lt;/C&gt;&lt;D xsi:type="xsd:double"&gt;1.1501566&lt;/D&gt;&lt;/FQL&gt;&lt;FQL&gt;&lt;Q&gt;CRH-US^P_BETA_LOCIDX(44897,44725,,"SPX")&lt;/Q&gt;&lt;R&gt;1&lt;/R&gt;&lt;C&gt;1&lt;/C&gt;&lt;D xsi:type="xsd:double"&gt;1.1401099&lt;/D&gt;&lt;/FQL&gt;&lt;FQL&gt;&lt;Q&gt;CRH-US^P_BETA_LOCIDX(44896,44722,,"SPX")&lt;/Q&gt;&lt;R&gt;1&lt;/R&gt;&lt;C&gt;1&lt;/C&gt;&lt;D xsi:type="xsd:double"&gt;1.174956&lt;/D&gt;&lt;/FQL&gt;&lt;FQL&gt;&lt;Q&gt;CRH-US^P_BETA_LOCIDX(44895,44721,,"SPX")&lt;/Q&gt;&lt;R&gt;1&lt;/R&gt;&lt;C&gt;1&lt;/C&gt;&lt;D xsi:type="xsd:double"&gt;1.1651534&lt;/D&gt;&lt;/FQL&gt;&lt;FQL&gt;&lt;Q&gt;CRH-US^P_BETA_LOCIDX(44894,44720,,"SPX")&lt;/Q&gt;&lt;R&gt;1&lt;/R&gt;&lt;C&gt;1&lt;/C&gt;&lt;D xsi:type="xsd:double"&gt;1.2032325&lt;/D&gt;&lt;/FQL&gt;&lt;FQL&gt;&lt;Q&gt;CRH-US^P_BETA_LOCIDX(44893,44719,,"SPX")&lt;/Q&gt;&lt;R&gt;1&lt;/R&gt;&lt;C&gt;1&lt;/C&gt;&lt;D xsi:type="xsd:double"&gt;1.2019415&lt;/D&gt;&lt;/FQL&gt;&lt;FQL&gt;&lt;Q&gt;CRH-US^P_BETA_LOCIDX(44890,44718,,"SPX")&lt;/Q&gt;&lt;R&gt;1&lt;/R&gt;&lt;C&gt;1&lt;/C&gt;&lt;D xsi:type="xsd:double"&gt;1.1977583&lt;/D&gt;&lt;/FQL&gt;&lt;FQL&gt;&lt;Q&gt;CRH-US^P_BETA_LOCIDX(44888,44715,,"SPX")&lt;/Q&gt;&lt;R&gt;1&lt;/R&gt;&lt;C&gt;1&lt;/C&gt;&lt;D xsi:type="xsd:double"&gt;1.1950003&lt;/D&gt;&lt;/FQL&gt;&lt;FQL&gt;&lt;Q&gt;CRH-US^P_BETA_LOCIDX(44887,44714,,"SPX")&lt;/Q&gt;&lt;R&gt;1&lt;/R&gt;&lt;C&gt;1&lt;/C&gt;&lt;D xsi:type="xsd:double"&gt;1.1969725&lt;/D&gt;&lt;/FQL&gt;&lt;FQL&gt;&lt;Q&gt;CRH-US^P_BETA_LOCIDX(44886,44713,,"SPX")&lt;/Q&gt;&lt;R&gt;1&lt;/R&gt;&lt;C&gt;1&lt;/C&gt;&lt;D xsi:type="xsd:double"&gt;1.2047358&lt;/D&gt;&lt;/FQL&gt;&lt;FQL&gt;&lt;Q&gt;CRH-US^P_BETA_LOCIDX(44883,44712,,"SPX")&lt;/Q&gt;&lt;R&gt;1&lt;/R&gt;&lt;C&gt;1&lt;/C&gt;&lt;D xsi:type="xsd:double"&gt;1.2053725&lt;/D&gt;&lt;/FQL&gt;&lt;FQL&gt;&lt;Q&gt;CRH-US^P_BETA_LOCIDX(44882,44708,,"SPX")&lt;/Q&gt;&lt;R&gt;1&lt;/R&gt;&lt;C&gt;1&lt;/C&gt;&lt;D xsi:type="xsd:double"&gt;1.191661&lt;/D&gt;&lt;/FQL&gt;&lt;FQL&gt;&lt;Q&gt;CRH-US^P_BETA_LOCIDX(44881,44707,,"SPX")&lt;/Q&gt;&lt;R&gt;1&lt;/R&gt;&lt;C&gt;1&lt;/C&gt;&lt;D xsi:type="xsd:double"&gt;1.184524&lt;/D&gt;&lt;/FQL&gt;&lt;FQL&gt;&lt;Q&gt;CRH-US^P_BETA_LOCIDX(44880,44706,,"SPX")&lt;/Q&gt;&lt;R&gt;1&lt;/R&gt;&lt;C&gt;1&lt;/C&gt;&lt;D xsi:type="xsd:double"&gt;1.1833975&lt;/D&gt;&lt;/FQL&gt;&lt;FQL&gt;&lt;Q&gt;CRH-US^P_BETA_LOCIDX(44879,44705,,"SPX")&lt;/Q&gt;&lt;R&gt;1&lt;/R&gt;&lt;C&gt;1&lt;/C&gt;&lt;D xsi:type="xsd:double"&gt;1.1811571&lt;/D&gt;&lt;/FQL&gt;&lt;FQL&gt;&lt;Q&gt;CRH-US^P_BETA_LOCIDX(44876,44704,,"SPX")&lt;/Q&gt;&lt;R&gt;1&lt;/R&gt;&lt;C&gt;1&lt;/C&gt;&lt;D xsi:type="xsd:double"&gt;1.1746646&lt;/D&gt;&lt;/FQL&gt;&lt;FQL&gt;&lt;Q&gt;CRH-US^P_BETA_LOCIDX(44875,44701,,"SPX")&lt;/Q&gt;&lt;R&gt;1&lt;/R&gt;&lt;C&gt;1&lt;/C&gt;&lt;D xsi:type="xsd:double"&gt;1.1689473&lt;/D&gt;&lt;/FQL&gt;&lt;FQL&gt;&lt;Q&gt;CRH-US^P_BETA_LOCIDX(44874,44700,,"SPX")&lt;/Q&gt;&lt;R&gt;1&lt;/R&gt;&lt;C&gt;1&lt;/C&gt;&lt;D xsi:type="xsd:double"&gt;1.1312919&lt;/D&gt;&lt;/FQL&gt;&lt;FQL&gt;&lt;Q&gt;CRH-US^P_BETA_LOCIDX(44873,44699,,"SPX")&lt;/Q&gt;&lt;R&gt;1&lt;/R&gt;&lt;C&gt;1&lt;/C&gt;&lt;D xsi:type="xsd:double"&gt;1.1186848&lt;/D&gt;&lt;/FQL&gt;&lt;FQL&gt;&lt;Q&gt;CRH-US^P_BETA_LOCIDX(44872,44698,,"SPX")&lt;/Q&gt;&lt;R&gt;1&lt;/R&gt;&lt;C&gt;1&lt;/C&gt;&lt;D xsi:type="xsd:double"&gt;1.1346861&lt;/D&gt;&lt;/FQL&gt;&lt;FQL&gt;&lt;Q&gt;CRH-US^P_BETA_LOCIDX(44869,44697,,"SPX")&lt;/Q&gt;&lt;R&gt;1&lt;/R&gt;&lt;C&gt;1&lt;/C&gt;&lt;D xsi:type="xsd:double"&gt;1.1385483&lt;/D&gt;&lt;/FQL&gt;&lt;FQL&gt;&lt;Q&gt;CRH-US^P_BETA_LOCIDX(44868,44694,,"SPX")&lt;/Q&gt;&lt;R&gt;1&lt;/R&gt;&lt;C&gt;1&lt;/C&gt;&lt;D xsi:type="xsd:double"&gt;1.1216245&lt;/D&gt;&lt;/FQL&gt;&lt;FQL&gt;&lt;Q&gt;CRH-US^P_BETA_LOCIDX(44867,44693,,"SPX")&lt;/Q&gt;&lt;R&gt;1&lt;/R&gt;&lt;C&gt;1&lt;/C&gt;&lt;D xsi:type="xsd:double"&gt;1.1314542&lt;/D&gt;&lt;/FQL&gt;&lt;FQL&gt;&lt;Q&gt;CRH-US^P_BETA_LOCIDX(44866,44692,,"SPX")&lt;/Q&gt;&lt;R&gt;1&lt;/R&gt;&lt;C&gt;1&lt;/C&gt;&lt;D xsi:type="xsd:double"&gt;1.1180162&lt;/D&gt;&lt;/FQL&gt;&lt;FQL&gt;&lt;Q&gt;CRH-US^P_BETA_LOCIDX(44865,44691,,"SPX")&lt;/Q&gt;&lt;R&gt;1&lt;/R&gt;&lt;C&gt;1&lt;/C&gt;&lt;D xsi:type="xsd:double"&gt;1.1179757&lt;/D&gt;&lt;/FQL&gt;&lt;FQL&gt;&lt;Q&gt;CRH-US^P_BETA_LOCIDX(44862,44690,,"SPX")&lt;/Q&gt;&lt;R&gt;1&lt;/R&gt;&lt;C&gt;1&lt;/C&gt;&lt;D xsi:type="xsd:double"&gt;1.1028931&lt;/D&gt;&lt;/FQL&gt;&lt;FQL&gt;&lt;Q&gt;CRH-US^P_BETA_LOCIDX(44861,44687,,"SPX")&lt;/Q&gt;&lt;R&gt;1&lt;/R&gt;&lt;C&gt;1&lt;/C&gt;&lt;D xsi:type="xsd:double"&gt;1.0933615&lt;/D&gt;&lt;/FQL&gt;&lt;FQL&gt;&lt;Q&gt;CRH-US^P_BETA_LOCIDX(44860,44686,,"SPX")&lt;/Q&gt;&lt;R&gt;1&lt;/R&gt;&lt;C&gt;1&lt;/C&gt;&lt;D xsi:type="xsd:double"&gt;1.0998174&lt;/D&gt;&lt;/FQL&gt;&lt;FQL&gt;&lt;Q&gt;CRH-US^P_BETA_LOCIDX(44859,44685,,"SPX")&lt;/Q&gt;&lt;R&gt;1&lt;/R&gt;&lt;C&gt;1&lt;/C&gt;&lt;D xsi:type="xsd:double"&gt;1.090981&lt;/D&gt;&lt;/FQL&gt;&lt;FQL&gt;&lt;Q&gt;CRH-US^P_BETA_LOCIDX(44858,44684,,"SPX")&lt;/Q&gt;&lt;R&gt;1&lt;/R&gt;&lt;C&gt;1&lt;/C&gt;&lt;D xsi:type="xsd:double"&gt;1.0883456&lt;/D&gt;&lt;/FQL&gt;&lt;FQL&gt;&lt;Q&gt;CRH-US^P_BETA_LOCIDX(44855,44683,,"SPX")&lt;/Q&gt;&lt;R&gt;1&lt;/R&gt;&lt;C&gt;1&lt;/C&gt;&lt;D xsi:type="xsd:double"&gt;1.085933&lt;/D&gt;&lt;/FQL&gt;&lt;FQL&gt;&lt;Q&gt;CRH-US^P_BETA_LOCIDX(44854,44680,,"SPX")&lt;/Q&gt;&lt;R&gt;1&lt;/R&gt;&lt;C&gt;1&lt;/C&gt;&lt;D xsi:type="xsd:double"&gt;1.0728747&lt;/D&gt;&lt;/FQL&gt;&lt;FQL&gt;&lt;Q&gt;CRH-US^P_BETA_LOCIDX(44853,44679,,"SPX")&lt;/Q&gt;&lt;R&gt;1&lt;/R&gt;&lt;C&gt;1&lt;/C&gt;&lt;D xsi:type="xsd:double"&gt;1.0662199&lt;/D&gt;&lt;/FQL&gt;&lt;FQL&gt;&lt;Q&gt;CRH-US^P_BETA_LOCIDX(44852,44678,,"SPX")&lt;/Q&gt;&lt;R&gt;1&lt;/R&gt;&lt;C&gt;1&lt;/C&gt;&lt;D xsi:type="xsd:double"&gt;1.0653558&lt;/D&gt;&lt;/FQL&gt;&lt;FQL&gt;&lt;Q&gt;CRH-US^P_BETA_LOCIDX(44851,44677,,"SPX")&lt;/Q&gt;&lt;R&gt;1&lt;/R&gt;&lt;C&gt;1&lt;/C&gt;&lt;D xsi:type="xsd:double"&gt;1.0656173&lt;/D&gt;&lt;/FQL&gt;&lt;FQL&gt;&lt;Q&gt;CRH-US^P_BETA_LOCIDX(44848,44676,,"SPX")&lt;/Q&gt;&lt;R&gt;1&lt;/R&gt;&lt;C&gt;1&lt;/C&gt;&lt;D xsi:type="xsd:double"&gt;1.0503478&lt;/D&gt;&lt;/FQL&gt;&lt;FQL&gt;&lt;Q&gt;CRH-US^P_BETA_LOCIDX(44847,44673,,"SPX")&lt;/Q&gt;&lt;R&gt;1&lt;/R&gt;&lt;C&gt;1&lt;/C&gt;&lt;D xsi:type="xsd:double"&gt;1.0367146&lt;/D&gt;&lt;/FQL&gt;&lt;FQL&gt;&lt;Q&gt;CRH-US^P_BETA_LOCIDX(44846,44672,,"SPX")&lt;/Q&gt;&lt;R&gt;1&lt;/R&gt;&lt;C&gt;1&lt;/C&gt;&lt;D xsi:type="xsd:double"&gt;1.0324999&lt;/D&gt;&lt;/FQL&gt;&lt;FQL&gt;&lt;Q&gt;CRH-US^P_BETA_LOCIDX(44845,44671,,"SPX")&lt;/Q&gt;&lt;R&gt;1&lt;/R&gt;&lt;C&gt;1&lt;/C&gt;&lt;D xsi:type="xsd:double"&gt;1.0344895&lt;/D&gt;&lt;/FQL&gt;&lt;FQL&gt;&lt;Q&gt;CRH-US^P_BETA_LOCIDX(44844,44670,,"SPX")&lt;/Q&gt;&lt;R&gt;1&lt;/R&gt;&lt;C&gt;1&lt;/C&gt;&lt;D xsi:type="xsd:double"&gt;1.0361428&lt;/D&gt;&lt;/FQL&gt;&lt;FQL&gt;&lt;Q&gt;CRH-US^P_BETA_LOCIDX(44841,44669,,"SPX")&lt;/Q&gt;&lt;R&gt;1&lt;/R&gt;&lt;C&gt;1&lt;/C&gt;&lt;D xsi:type="xsd:double"&gt;1.0395468&lt;/D&gt;&lt;/FQL&gt;&lt;FQL&gt;&lt;Q&gt;CRH-US^P_BETA_LOCIDX(44840,44665,,"SPX")&lt;/Q&gt;&lt;R&gt;1&lt;/R&gt;&lt;C&gt;1&lt;/C&gt;&lt;D xsi:type="xsd:double"&gt;1.0372854&lt;/D&gt;&lt;/FQL&gt;&lt;FQL&gt;&lt;Q&gt;CRH-US^P_BETA_LOCIDX(44839,44664,,"SPX")&lt;/Q&gt;&lt;R&gt;1&lt;/R&gt;&lt;C&gt;1&lt;/C&gt;&lt;D xsi:type="xsd:double"&gt;1.0373172&lt;/D&gt;&lt;/FQL&gt;&lt;FQL&gt;&lt;Q&gt;CRH-US^P_BETA_LOCIDX(44838,44663,,"SPX")&lt;/Q&gt;&lt;R&gt;1&lt;/R&gt;&lt;C&gt;1&lt;/C&gt;&lt;D xsi:type="xsd:double"&gt;1.0376346&lt;/D&gt;&lt;/FQL&gt;&lt;FQL&gt;&lt;Q&gt;CRH-US^P_BETA_LOCIDX(44837,44662,,"SPX")&lt;/Q&gt;&lt;R&gt;1&lt;/R&gt;&lt;C&gt;1&lt;/C&gt;&lt;D xsi:type="xsd:double"&gt;0.9944604&lt;/D&gt;&lt;/FQL&gt;&lt;FQL&gt;&lt;Q&gt;CRH-US^P_BETA_LOCIDX(44834,44659,,"SPX")&lt;/Q&gt;&lt;R&gt;1&lt;/R&gt;&lt;C&gt;1&lt;/C&gt;&lt;D xsi:type="xsd:double"&gt;0.9970993&lt;/D&gt;&lt;/FQL&gt;&lt;FQL&gt;&lt;Q&gt;CRH-US^P_BETA_LOCIDX(44833,44658,,"SPX")&lt;/Q&gt;&lt;R&gt;1&lt;/R&gt;&lt;C&gt;1&lt;/C&gt;&lt;D xsi:type="xsd:double"&gt;1.0048599&lt;/D&gt;&lt;/FQL&gt;&lt;FQL&gt;&lt;Q&gt;CRH-US^P_BETA_LOCIDX(44832,44657,,"SPX")&lt;/Q&gt;&lt;R&gt;1&lt;/R&gt;&lt;C&gt;1&lt;/C&gt;&lt;D xsi:type="xsd:double"&gt;1.0127366&lt;/D&gt;&lt;/FQL&gt;&lt;FQL&gt;&lt;Q&gt;CRH-US^P_BETA_LOCIDX(44831,44656,,"SPX")&lt;/Q&gt;&lt;R&gt;1&lt;/R&gt;&lt;C&gt;1&lt;/C&gt;&lt;D xsi:type="xsd:double"&gt;1.0105476&lt;/D&gt;&lt;/FQL&gt;&lt;FQL&gt;&lt;Q&gt;CRH-US^P_BETA_LOCIDX(44830,44655,,"SPX")&lt;/Q&gt;&lt;R&gt;1&lt;/R&gt;&lt;C&gt;1&lt;/C&gt;&lt;D xsi:type="xsd:double"&gt;1.0079198&lt;/D&gt;&lt;/FQL&gt;&lt;FQL&gt;&lt;Q&gt;CRH-US^P_BETA_LOCIDX(44827,44652,,"SPX")&lt;/Q&gt;&lt;R&gt;1&lt;/R&gt;&lt;C&gt;1&lt;/C&gt;&lt;D xsi:type="xsd:double"&gt;1.008234&lt;/D&gt;&lt;/FQL&gt;&lt;FQL&gt;&lt;Q&gt;CRH-US^P_BETA_LOCIDX(44826,44651,,"SPX")&lt;/Q&gt;&lt;R&gt;1&lt;/R&gt;&lt;C&gt;1&lt;/C&gt;&lt;D xsi:type="xsd:double"&gt;0.9979099&lt;/D&gt;&lt;/FQL&gt;&lt;FQL&gt;&lt;Q&gt;CRH-US^P_BETA_LOCIDX(44825,44650,,"SPX")&lt;/Q&gt;&lt;R&gt;1&lt;/R&gt;&lt;C&gt;1&lt;/C&gt;&lt;D xsi:type="xsd:double"&gt;1.0028472&lt;/D&gt;&lt;/FQL&gt;&lt;FQL&gt;&lt;Q&gt;CRH-US^P_BETA_LOCIDX(44824,44649,,"SPX")&lt;/Q&gt;&lt;R&gt;1&lt;/R&gt;&lt;C&gt;1&lt;/C&gt;&lt;D xsi:type="xsd:double"&gt;1.0114475&lt;/D&gt;&lt;/FQL&gt;&lt;FQL&gt;&lt;Q&gt;CRH-US^P_BETA_LOCIDX(44823,44648,,"SPX")&lt;/Q&gt;&lt;R&gt;1&lt;/R&gt;&lt;C&gt;1&lt;/C&gt;&lt;D xsi:type="xsd:double"&gt;0.9939856&lt;/D&gt;&lt;/FQL&gt;&lt;FQL&gt;&lt;Q&gt;CRH-US^P_BETA_LOCIDX(44820,44645,,"SPX")&lt;/Q&gt;&lt;R&gt;1&lt;/R&gt;&lt;C&gt;1&lt;/C&gt;&lt;D xsi:type="xsd:double"&gt;0.9887608&lt;/D&gt;&lt;/FQL&gt;&lt;FQL&gt;&lt;Q&gt;CRH-US^P_BETA_LOCIDX(44819,44644,,"SPX")&lt;/Q&gt;&lt;R&gt;1&lt;/R&gt;&lt;C&gt;1&lt;/C&gt;&lt;D xsi:type="xsd:double"&gt;0.98686343&lt;/D&gt;&lt;/FQL&gt;&lt;FQL&gt;&lt;Q&gt;CRH-US^P_BETA_LOCIDX(44818,44643,,"SPX")&lt;/Q&gt;&lt;R&gt;1&lt;/R&gt;&lt;C&gt;1&lt;/C&gt;&lt;D xsi:type="xsd:double"&gt;0.9963186&lt;/D&gt;&lt;/FQL&gt;&lt;FQL&gt;&lt;Q&gt;CRH-US^P_BETA_LOCIDX(44817,44642,,"SPX")&lt;/Q&gt;&lt;R&gt;1&lt;/R&gt;&lt;C&gt;1&lt;/C&gt;&lt;D xsi:type="xsd:double"&gt;0.9887781&lt;/D&gt;&lt;/FQL&gt;&lt;FQL&gt;&lt;Q&gt;CRH-US^P_BETA_LOCIDX(44816,44641,,"SPX")&lt;/Q&gt;&lt;R&gt;1&lt;/R&gt;&lt;C&gt;1&lt;/C&gt;&lt;D xsi:type="xsd:double"&gt;0.98210824&lt;/D&gt;&lt;/FQL&gt;&lt;FQL&gt;&lt;Q&gt;CRH-US^P_BETA_LOCIDX(44813,44638,,"SPX")&lt;/Q&gt;&lt;R&gt;1&lt;/R&gt;&lt;C&gt;1&lt;/C&gt;&lt;D xsi:type="xsd:double"&gt;0.97851217&lt;/D&gt;&lt;/FQL&gt;&lt;FQL&gt;&lt;Q&gt;CRH-US^P_BETA_LOCIDX(44812,44637,,"SPX")&lt;/Q&gt;&lt;R&gt;1&lt;/R&gt;&lt;C&gt;1&lt;/C&gt;&lt;D xsi:type="xsd:double"&gt;0.9797669&lt;/D&gt;&lt;/FQL&gt;&lt;FQL&gt;&lt;Q&gt;CRH-US^P_BETA_LOCIDX(44811,44636,,"SPX")&lt;/Q&gt;&lt;R&gt;1&lt;/R&gt;&lt;C&gt;1&lt;/C&gt;&lt;D xsi:type="xsd:double"&gt;0.97059286&lt;/D&gt;&lt;/FQL&gt;&lt;FQL&gt;&lt;Q&gt;CRH-US^P_BETA_LOCIDX(44810,44635,,"SPX")&lt;/Q&gt;&lt;R&gt;1&lt;/R&gt;&lt;C&gt;1&lt;/C&gt;&lt;D xsi:type="xsd:double"&gt;0.96702296&lt;/D&gt;&lt;/FQL&gt;&lt;FQL&gt;&lt;Q&gt;CRH-US^P_BETA_LOCIDX(44806,44634,,"SPX")&lt;/Q&gt;&lt;R&gt;1&lt;/R&gt;&lt;C&gt;1&lt;/C&gt;&lt;D xsi:type="xsd:double"&gt;0.9556221&lt;/D&gt;&lt;/FQL&gt;&lt;FQL&gt;&lt;Q&gt;CRH-US^P_BETA_LOCIDX(44805,44631,,"SPX")&lt;/Q&gt;&lt;R&gt;1&lt;/R&gt;&lt;C&gt;1&lt;/C&gt;&lt;D xsi:type="xsd:double"&gt;0.9470356&lt;/D&gt;&lt;/FQL&gt;&lt;FQL&gt;&lt;Q&gt;CRH-US^P_BETA_LOCIDX(44804,44630,,"SPX")&lt;/Q&gt;&lt;R&gt;1&lt;/R&gt;&lt;C&gt;1&lt;/C&gt;&lt;D xsi:type="xsd:double"&gt;0.9554127&lt;/D&gt;&lt;/FQL&gt;&lt;FQL&gt;&lt;Q&gt;CRH-US^P_BETA_LOCIDX(44803,44629,,"SPX")&lt;/Q&gt;&lt;R&gt;1&lt;/R&gt;&lt;C&gt;1&lt;/C&gt;&lt;D xsi:type="xsd:double"&gt;1.0086937&lt;/D&gt;&lt;/FQL&gt;&lt;FQL&gt;&lt;Q&gt;CRH-US^P_BETA_LOCIDX(44802,44628,,"SPX")&lt;/Q&gt;&lt;R&gt;1&lt;/R&gt;&lt;C&gt;1&lt;/C&gt;&lt;D xsi:type="xsd:double"&gt;1.003762&lt;/D&gt;&lt;/FQL&gt;&lt;FQL&gt;&lt;Q&gt;CRH-US^P_BETA_LOCIDX(44799,44627,,"SPX")&lt;/Q&gt;&lt;R&gt;1&lt;/R&gt;&lt;C&gt;1&lt;/C&gt;&lt;D xsi:type="xsd:double"&gt;1.0065306&lt;/D&gt;&lt;/FQL&gt;&lt;FQL&gt;&lt;Q&gt;CRH-US^P_BETA_LOCIDX(44798,44624,,"SPX")&lt;/Q&gt;&lt;R&gt;1&lt;/R&gt;&lt;C&gt;1&lt;/C&gt;&lt;D xsi:type="xsd:double"&gt;1.0315439&lt;/D&gt;&lt;/FQL&gt;&lt;FQL&gt;&lt;Q&gt;CRH-US^P_BETA_LOCIDX(44797,44623,,"SPX")&lt;/Q&gt;&lt;R&gt;1&lt;/R&gt;&lt;C&gt;1&lt;/C&gt;&lt;D xsi:type="xsd:double"&gt;1.0224309&lt;/D&gt;&lt;/FQL&gt;&lt;FQL&gt;&lt;Q&gt;CRH-US^P_BETA_LOCIDX(44796,44622,,"SPX")&lt;/Q&gt;&lt;R&gt;1&lt;/R&gt;&lt;C&gt;1&lt;/C&gt;&lt;D xsi:type="xsd:double"&gt;1.0277593&lt;/D&gt;&lt;/FQL&gt;&lt;FQL&gt;&lt;Q&gt;CRH-US^P_BETA_LOCIDX(44795,44621,,"SPX")&lt;/Q&gt;&lt;R&gt;1&lt;/R&gt;&lt;C&gt;1&lt;/C&gt;&lt;D xsi:type="xsd:double"&gt;1.0381908&lt;/D&gt;&lt;/FQL&gt;&lt;FQL&gt;&lt;Q&gt;CRH-US^P_BETA_LOCIDX(44792,44620,,"SPX")&lt;/Q&gt;&lt;R&gt;1&lt;/R&gt;&lt;C&gt;1&lt;/C&gt;&lt;D xsi:type="xsd:double"&gt;1.0332258&lt;/D&gt;&lt;/FQL&gt;&lt;FQL&gt;&lt;Q&gt;CRH-US^P_BETA_LOCIDX(44791,44617,,"SPX")&lt;/Q&gt;&lt;R&gt;1&lt;/R&gt;&lt;C&gt;1&lt;/C&gt;&lt;D xsi:type="xsd:double"&gt;1.0424881&lt;/D&gt;&lt;/FQL&gt;&lt;FQL&gt;&lt;Q&gt;CRH-US^P_BETA_LOCIDX(44790,44616,,"SPX")&lt;/Q&gt;&lt;R&gt;1&lt;/R&gt;&lt;C&gt;1&lt;/C&gt;&lt;D xsi:type="xsd:double"&gt;1.0131687&lt;/D&gt;&lt;/FQL&gt;&lt;FQL&gt;&lt;Q&gt;CRH-US^P_BETA_LOCIDX(44789,44615,,"SPX")&lt;/Q&gt;&lt;R&gt;1&lt;/R&gt;&lt;C&gt;1&lt;/C&gt;&lt;D xsi:type="xsd:double"&gt;1.0227185&lt;/D&gt;&lt;/FQL&gt;&lt;FQL&gt;&lt;Q&gt;CRH-US^P_BETA_LOCIDX(44788,44614,,"SPX")&lt;/Q&gt;&lt;R&gt;1&lt;/R&gt;&lt;C&gt;1&lt;/C&gt;&lt;D xsi:type="xsd:double"&gt;1.0242217&lt;/D&gt;&lt;/FQL&gt;&lt;FQL&gt;&lt;Q&gt;CRH-US^P_BETA_LOCIDX(44785,44610,,"SPX")&lt;/Q&gt;&lt;R&gt;1&lt;/R&gt;&lt;C&gt;1&lt;/C&gt;&lt;D xsi:type="xsd:double"&gt;1.023994&lt;/D&gt;&lt;/FQL&gt;&lt;FQL&gt;&lt;Q&gt;CRH-US^P_BETA_LOCIDX(44784,44609,,"SPX")&lt;/Q&gt;&lt;R&gt;1&lt;/R&gt;&lt;C&gt;1&lt;/C&gt;&lt;D xsi:type="xsd:double"&gt;1.0310898&lt;/D&gt;&lt;/FQL&gt;&lt;FQL&gt;&lt;Q&gt;CRH-US^P_BETA_LOCIDX(44783,44608,,"SPX")&lt;/Q&gt;&lt;R&gt;1&lt;/R&gt;&lt;C&gt;1&lt;/C&gt;&lt;D xsi:type="xsd:double"&gt;1.0317174&lt;/D&gt;&lt;/FQL&gt;&lt;FQL&gt;&lt;Q&gt;CRH-US^P_BETA_LOCIDX(44782,44607,,"SPX")&lt;/Q&gt;&lt;R&gt;1&lt;/R&gt;&lt;C&gt;1&lt;/C&gt;&lt;D xsi:type="x</t>
        </r>
      </text>
    </comment>
    <comment ref="A11" authorId="0" shapeId="0" xr:uid="{30E5A5EF-DB86-4145-9C26-C4568E7AC1DE}">
      <text>
        <r>
          <rPr>
            <b/>
            <sz val="9"/>
            <color indexed="81"/>
            <rFont val="Tahoma"/>
            <family val="2"/>
          </rPr>
          <t>sd:double"&gt;1.032944&lt;/D&gt;&lt;/FQL&gt;&lt;FQL&gt;&lt;Q&gt;CRH-US^P_BETA_LOCIDX(44781,44606,,"SPX")&lt;/Q&gt;&lt;R&gt;1&lt;/R&gt;&lt;C&gt;1&lt;/C&gt;&lt;D xsi:type="xsd:double"&gt;1.0348355&lt;/D&gt;&lt;/FQL&gt;&lt;FQL&gt;&lt;Q&gt;CRH-US^P_BETA_LOCIDX(44778,44603,,"SPX")&lt;/Q&gt;&lt;R&gt;1&lt;/R&gt;&lt;C&gt;1&lt;/C&gt;&lt;D xsi:type="xsd:double"&gt;1.0327667&lt;/D&gt;&lt;/FQL&gt;&lt;FQL&gt;&lt;Q&gt;CRH-US^P_BETA_LOCIDX(44777,44602,,"SPX")&lt;/Q&gt;&lt;R&gt;1&lt;/R&gt;&lt;C&gt;1&lt;/C&gt;&lt;D xsi:type="xsd:double"&gt;1.0265245&lt;/D&gt;&lt;/FQL&gt;&lt;FQL&gt;&lt;Q&gt;CRH-US^P_BETA_LOCIDX(44776,44601,,"SPX")&lt;/Q&gt;&lt;R&gt;1&lt;/R&gt;&lt;C&gt;1&lt;/C&gt;&lt;D xsi:type="xsd:double"&gt;1.0284907&lt;/D&gt;&lt;/FQL&gt;&lt;FQL&gt;&lt;Q&gt;CRH-US^P_BETA_LOCIDX(44775,44600,,"SPX")&lt;/Q&gt;&lt;R&gt;1&lt;/R&gt;&lt;C&gt;1&lt;/C&gt;&lt;D xsi:type="xsd:double"&gt;1.0252016&lt;/D&gt;&lt;/FQL&gt;&lt;FQL&gt;&lt;Q&gt;CRH-US^P_BETA_LOCIDX(44774,44599,,"SPX")&lt;/Q&gt;&lt;R&gt;1&lt;/R&gt;&lt;C&gt;1&lt;/C&gt;&lt;D xsi:type="xsd:double"&gt;1.0222028&lt;/D&gt;&lt;/FQL&gt;&lt;FQL&gt;&lt;Q&gt;CRH-US^P_BETA_LOCIDX(45113,44937,,"SPX")&lt;/Q&gt;&lt;R&gt;1&lt;/R&gt;&lt;C&gt;1&lt;/C&gt;&lt;D xsi:type="xsd:double"&gt;1.0493939&lt;/D&gt;&lt;/FQL&gt;&lt;FQL&gt;&lt;Q&gt;VMI-US^P_BETA_LOCIDX(45841,45665,,"SPX")&lt;/Q&gt;&lt;R&gt;1&lt;/R&gt;&lt;C&gt;1&lt;/C&gt;&lt;D xsi:type="xsd:double"&gt;1.0332437&lt;/D&gt;&lt;/FQL&gt;&lt;FQL&gt;&lt;Q&gt;VMI-US^P_BETA_LOCIDX(45840,45664,,"SPX")&lt;/Q&gt;&lt;R&gt;1&lt;/R&gt;&lt;C&gt;1&lt;/C&gt;&lt;D xsi:type="xsd:double"&gt;1.0312144&lt;/D&gt;&lt;/FQL&gt;&lt;FQL&gt;&lt;Q&gt;VMI-US^P_BETA_LOCIDX(45839,45663,,"SPX")&lt;/Q&gt;&lt;R&gt;1&lt;/R&gt;&lt;C&gt;1&lt;/C&gt;&lt;D xsi:type="xsd:double"&gt;1.027056&lt;/D&gt;&lt;/FQL&gt;&lt;FQL&gt;&lt;Q&gt;VMI-US^P_BETA_LOCIDX(45838,45660,,"SPX")&lt;/Q&gt;&lt;R&gt;1&lt;/R&gt;&lt;C&gt;1&lt;/C&gt;&lt;D xsi:type="xsd:double"&gt;1.0293741&lt;/D&gt;&lt;/FQL&gt;&lt;FQL&gt;&lt;Q&gt;VMI-US^P_BETA_LOCIDX(45835,45659,,"SPX")&lt;/Q&gt;&lt;R&gt;1&lt;/R&gt;&lt;C&gt;1&lt;/C&gt;&lt;D xsi:type="xsd:double"&gt;1.034087&lt;/D&gt;&lt;/FQL&gt;&lt;FQL&gt;&lt;Q&gt;VMI-US^P_BETA_LOCIDX(45834,45657,,"SPX")&lt;/Q&gt;&lt;R&gt;1&lt;/R&gt;&lt;C&gt;1&lt;/C&gt;&lt;D xsi:type="xsd:double"&gt;1.0335081&lt;/D&gt;&lt;/FQL&gt;&lt;FQL&gt;&lt;Q&gt;VMI-US^P_BETA_LOCIDX(45833,45656,,"SPX")&lt;/Q&gt;&lt;R&gt;1&lt;/R&gt;&lt;C&gt;1&lt;/C&gt;&lt;D xsi:type="xsd:double"&gt;1.0264711&lt;/D&gt;&lt;/FQL&gt;&lt;FQL&gt;&lt;Q&gt;VMI-US^P_BETA_LOCIDX(45832,45653,,"SPX")&lt;/Q&gt;&lt;R&gt;1&lt;/R&gt;&lt;C&gt;1&lt;/C&gt;&lt;D xsi:type="xsd:double"&gt;1.0272031&lt;/D&gt;&lt;/FQL&gt;&lt;FQL&gt;&lt;Q&gt;VMI-US^P_BETA_LOCIDX(45831,45652,,"SPX")&lt;/Q&gt;&lt;R&gt;1&lt;/R&gt;&lt;C&gt;1&lt;/C&gt;&lt;D xsi:type="xsd:double"&gt;1.029665&lt;/D&gt;&lt;/FQL&gt;&lt;FQL&gt;&lt;Q&gt;VMI-US^P_BETA_LOCIDX(45828,45650,,"SPX")&lt;/Q&gt;&lt;R&gt;1&lt;/R&gt;&lt;C&gt;1&lt;/C&gt;&lt;D xsi:type="xsd:double"&gt;1.0272971&lt;/D&gt;&lt;/FQL&gt;&lt;FQL&gt;&lt;Q&gt;VMI-US^P_BETA_LOCIDX(45826,45649,,"SPX")&lt;/Q&gt;&lt;R&gt;1&lt;/R&gt;&lt;C&gt;1&lt;/C&gt;&lt;D xsi:type="xsd:double"&gt;1.0252104&lt;/D&gt;&lt;/FQL&gt;&lt;FQL&gt;&lt;Q&gt;VMI-US^P_BETA_LOCIDX(45825,45646,,"SPX")&lt;/Q&gt;&lt;R&gt;1&lt;/R&gt;&lt;C&gt;1&lt;/C&gt;&lt;D xsi:type="xsd:double"&gt;1.0233301&lt;/D&gt;&lt;/FQL&gt;&lt;FQL&gt;&lt;Q&gt;VMI-US^P_BETA_LOCIDX(45824,45645,,"SPX")&lt;/Q&gt;&lt;R&gt;1&lt;/R&gt;&lt;C&gt;1&lt;/C&gt;&lt;D xsi:type="xsd:double"&gt;1.0232575&lt;/D&gt;&lt;/FQL&gt;&lt;FQL&gt;&lt;Q&gt;VMI-US^P_BETA_LOCIDX(45821,45644,,"SPX")&lt;/Q&gt;&lt;R&gt;1&lt;/R&gt;&lt;C&gt;1&lt;/C&gt;&lt;D xsi:type="xsd:double"&gt;1.036006&lt;/D&gt;&lt;/FQL&gt;&lt;FQL&gt;&lt;Q&gt;VMI-US^P_BETA_LOCIDX(45820,45643,,"SPX")&lt;/Q&gt;&lt;R&gt;1&lt;/R&gt;&lt;C&gt;1&lt;/C&gt;&lt;D xsi:type="xsd:double"&gt;1.0379559&lt;/D&gt;&lt;/FQL&gt;&lt;FQL&gt;&lt;Q&gt;VMI-US^P_BETA_LOCIDX(45819,45642,,"SPX")&lt;/Q&gt;&lt;R&gt;1&lt;/R&gt;&lt;C&gt;1&lt;/C&gt;&lt;D xsi:type="xsd:double"&gt;1.038364&lt;/D&gt;&lt;/FQL&gt;&lt;FQL&gt;&lt;Q&gt;VMI-US^P_BETA_LOCIDX(45818,45639,,"SPX")&lt;/Q&gt;&lt;R&gt;1&lt;/R&gt;&lt;C&gt;1&lt;/C&gt;&lt;D xsi:type="xsd:double"&gt;1.038567&lt;/D&gt;&lt;/FQL&gt;&lt;FQL&gt;&lt;Q&gt;VMI-US^P_BETA_LOCIDX(45817,45638,,"SPX")&lt;/Q&gt;&lt;R&gt;1&lt;/R&gt;&lt;C&gt;1&lt;/C&gt;&lt;D xsi:type="xsd:double"&gt;1.0404565&lt;/D&gt;&lt;/FQL&gt;&lt;FQL&gt;&lt;Q&gt;VMI-US^P_BETA_LOCIDX(45814,45637,,"SPX")&lt;/Q&gt;&lt;R&gt;1&lt;/R&gt;&lt;C&gt;1&lt;/C&gt;&lt;D xsi:type="xsd:double"&gt;1.0376675&lt;/D&gt;&lt;/FQL&gt;&lt;FQL&gt;&lt;Q&gt;VMI-US^P_BETA_LOCIDX(45813,45636,,"SPX")&lt;/Q&gt;&lt;R&gt;1&lt;/R&gt;&lt;C&gt;1&lt;/C&gt;&lt;D xsi:type="xsd:double"&gt;1.0392234&lt;/D&gt;&lt;/FQL&gt;&lt;FQL&gt;&lt;Q&gt;VMI-US^P_BETA_LOCIDX(45812,45635,,"SPX")&lt;/Q&gt;&lt;R&gt;1&lt;/R&gt;&lt;C&gt;1&lt;/C&gt;&lt;D xsi:type="xsd:double"&gt;1.0398465&lt;/D&gt;&lt;/FQL&gt;&lt;FQL&gt;&lt;Q&gt;VMI-US^P_BETA_LOCIDX(45811,45632,,"SPX")&lt;/Q&gt;&lt;R&gt;1&lt;/R&gt;&lt;C&gt;1&lt;/C&gt;&lt;D xsi:type="xsd:double"&gt;1.0379317&lt;/D&gt;&lt;/FQL&gt;&lt;FQL&gt;&lt;Q&gt;VMI-US^P_BETA_LOCIDX(45810,45631,,"SPX")&lt;/Q&gt;&lt;R&gt;1&lt;/R&gt;&lt;C&gt;1&lt;/C&gt;&lt;D xsi:type="xsd:double"&gt;1.0358933&lt;/D&gt;&lt;/FQL&gt;&lt;FQL&gt;&lt;Q&gt;VMI-US^P_BETA_LOCIDX(45807,45630,,"SPX")&lt;/Q&gt;&lt;R&gt;1&lt;/R&gt;&lt;C&gt;1&lt;/C&gt;&lt;D xsi:type="xsd:double"&gt;1.0371457&lt;/D&gt;&lt;/FQL&gt;&lt;FQL&gt;&lt;Q&gt;VMI-US^P_BETA_LOCIDX(45806,45629,,"SPX")&lt;/Q&gt;&lt;R&gt;1&lt;/R&gt;&lt;C&gt;1&lt;/C&gt;&lt;D xsi:type="xsd:double"&gt;1.0370345&lt;/D&gt;&lt;/FQL&gt;&lt;FQL&gt;&lt;Q&gt;VMI-US^P_BETA_LOCIDX(45805,45628,,"SPX")&lt;/Q&gt;&lt;R&gt;1&lt;/R&gt;&lt;C&gt;1&lt;/C&gt;&lt;D xsi:type="xsd:double"&gt;1.0378578&lt;/D&gt;&lt;/FQL&gt;&lt;FQL&gt;&lt;Q&gt;VMI-US^P_BETA_LOCIDX(45804,45625,,"SPX")&lt;/Q&gt;&lt;R&gt;1&lt;/R&gt;&lt;C&gt;1&lt;/C&gt;&lt;D xsi:type="xsd:double"&gt;1.0340028&lt;/D&gt;&lt;/FQL&gt;&lt;FQL&gt;&lt;Q&gt;VMI-US^P_BETA_LOCIDX(45800,45623,,"SPX")&lt;/Q&gt;&lt;R&gt;1&lt;/R&gt;&lt;C&gt;1&lt;/C&gt;&lt;D xsi:type="xsd:double"&gt;1.0299306&lt;/D&gt;&lt;/FQL&gt;&lt;FQL&gt;&lt;Q&gt;VMI-US^P_BETA_LOCIDX(45799,45622,,"SPX")&lt;/Q&gt;&lt;R&gt;1&lt;/R&gt;&lt;C&gt;1&lt;/C&gt;&lt;D xsi:type="xsd:double"&gt;1.0314119&lt;/D&gt;&lt;/FQL&gt;&lt;FQL&gt;&lt;Q&gt;VMI-US^P_BETA_LOCIDX(45798,45621,,"SPX")&lt;/Q&gt;&lt;R&gt;1&lt;/R&gt;&lt;C&gt;1&lt;/C&gt;&lt;D xsi:type="xsd:double"&gt;1.0335886&lt;/D&gt;&lt;/FQL&gt;&lt;FQL&gt;&lt;Q&gt;VMI-US^P_BETA_LOCIDX(45797,45618,,"SPX")&lt;/Q&gt;&lt;R&gt;1&lt;/R&gt;&lt;C&gt;1&lt;/C&gt;&lt;D xsi:type="xsd:double"&gt;1.0323552&lt;/D&gt;&lt;/FQL&gt;&lt;FQL&gt;&lt;Q&gt;VMI-US^P_BETA_LOCIDX(45796,45617,,"SPX")&lt;/Q&gt;&lt;R&gt;1&lt;/R&gt;&lt;C&gt;1&lt;/C&gt;&lt;D xsi:type="xsd:double"&gt;1.0299757&lt;/D&gt;&lt;/FQL&gt;&lt;FQL&gt;&lt;Q&gt;VMI-US^P_BETA_LOCIDX(45793,45616,,"SPX")&lt;/Q&gt;&lt;R&gt;1&lt;/R&gt;&lt;C&gt;1&lt;/C&gt;&lt;D xsi:type="xsd:double"&gt;1.0301683&lt;/D&gt;&lt;/FQL&gt;&lt;FQL&gt;&lt;Q&gt;VMI-US^P_BETA_LOCIDX(45792,45615,,"SPX")&lt;/Q&gt;&lt;R&gt;1&lt;/R&gt;&lt;C&gt;1&lt;/C&gt;&lt;D xsi:type="xsd:double"&gt;1.0266252&lt;/D&gt;&lt;/FQL&gt;&lt;FQL&gt;&lt;Q&gt;VMI-US^P_BETA_LOCIDX(45791,45614,,"SPX")&lt;/Q&gt;&lt;R&gt;1&lt;/R&gt;&lt;C&gt;1&lt;/C&gt;&lt;D xsi:type="xsd:double"&gt;1.0270052&lt;/D&gt;&lt;/FQL&gt;&lt;FQL&gt;&lt;Q&gt;VMI-US^P_BETA_LOCIDX(45790,45611,,"SPX")&lt;/Q&gt;&lt;R&gt;1&lt;/R&gt;&lt;C&gt;1&lt;/C&gt;&lt;D xsi:type="xsd:double"&gt;1.0238575&lt;/D&gt;&lt;/FQL&gt;&lt;FQL&gt;&lt;Q&gt;VMI-US^P_BETA_LOCIDX(45789,45610,,"SPX")&lt;/Q&gt;&lt;R&gt;1&lt;/R&gt;&lt;C&gt;1&lt;/C&gt;&lt;D xsi:type="xsd:double"&gt;1.0248822&lt;/D&gt;&lt;/FQL&gt;&lt;FQL&gt;&lt;Q&gt;VMI-US^P_BETA_LOCIDX(45786,45609,,"SPX")&lt;/Q&gt;&lt;R&gt;1&lt;/R&gt;&lt;C&gt;1&lt;/C&gt;&lt;D xsi:type="xsd:double"&gt;1.0164919&lt;/D&gt;&lt;/FQL&gt;&lt;FQL&gt;&lt;Q&gt;VMI-US^P_BETA_LOCIDX(45785,45608,,"SPX")&lt;/Q&gt;&lt;R&gt;1&lt;/R&gt;&lt;C&gt;1&lt;/C&gt;&lt;D xsi:type="xsd:double"&gt;1.0170116&lt;/D&gt;&lt;/FQL&gt;&lt;FQL&gt;&lt;Q&gt;VMI-US^P_BETA_LOCIDX(45784,45607,,"SPX")&lt;/Q&gt;&lt;R&gt;1&lt;/R&gt;&lt;C&gt;1&lt;/C&gt;&lt;D xsi:type="xsd:double"&gt;1.0132401&lt;/D&gt;&lt;/FQL&gt;&lt;FQL&gt;&lt;Q&gt;VMI-US^P_BETA_LOCIDX(45783,45604,,"SPX")&lt;/Q&gt;&lt;R&gt;1&lt;/R&gt;&lt;C&gt;1&lt;/C&gt;&lt;D xsi:type="xsd:double"&gt;1.0141987&lt;/D&gt;&lt;/FQL&gt;&lt;FQL&gt;&lt;Q&gt;VMI-US^P_BETA_LOCIDX(45782,45603,,"SPX")&lt;/Q&gt;&lt;R&gt;1&lt;/R&gt;&lt;C&gt;1&lt;/C&gt;&lt;D xsi:type="xsd:double"&gt;1.00536&lt;/D&gt;&lt;/FQL&gt;&lt;FQL&gt;&lt;Q&gt;VMI-US^P_BETA_LOCIDX(45779,45602,,"SPX")&lt;/Q&gt;&lt;R&gt;1&lt;/R&gt;&lt;C&gt;1&lt;/C&gt;&lt;D xsi:type="xsd:double"&gt;1.045961&lt;/D&gt;&lt;/FQL&gt;&lt;FQL&gt;&lt;Q&gt;VMI-US^P_BETA_LOCIDX(45778,45601,,"SPX")&lt;/Q&gt;&lt;R&gt;1&lt;/R&gt;&lt;C&gt;1&lt;/C&gt;&lt;D xsi:type="xsd:double"&gt;1.0426321&lt;/D&gt;&lt;/FQL&gt;&lt;FQL&gt;&lt;Q&gt;VMI-US^P_BETA_LOCIDX(45777,45600,,"SPX")&lt;/Q&gt;&lt;R&gt;1&lt;/R&gt;&lt;C&gt;1&lt;/C&gt;&lt;D xsi:type="xsd:double"&gt;1.0385895&lt;/D&gt;&lt;/FQL&gt;&lt;FQL&gt;&lt;Q&gt;VMI-US^P_BETA_LOCIDX(45776,45597,,"SPX")&lt;/Q&gt;&lt;R&gt;1&lt;/R&gt;&lt;C&gt;1&lt;/C&gt;&lt;D xsi:type="xsd:double"&gt;1.0405785&lt;/D&gt;&lt;/FQL&gt;&lt;FQL&gt;&lt;Q&gt;VMI-US^P_BETA_LOCIDX(45775,45596,,"SPX")&lt;/Q&gt;&lt;R&gt;1&lt;/R&gt;&lt;C&gt;1&lt;/C&gt;&lt;D xsi:type="xsd:double"&gt;1.0359133&lt;/D&gt;&lt;/FQL&gt;&lt;FQL&gt;&lt;Q&gt;VMI-US^P_BETA_LOCIDX(45772,45595,,"SPX")&lt;/Q&gt;&lt;R&gt;1&lt;/R&gt;&lt;C&gt;1&lt;/C&gt;&lt;D xsi:type="xsd:double"&gt;1.0368774&lt;/D&gt;&lt;/FQL&gt;&lt;FQL&gt;&lt;Q&gt;VMI-US^P_BETA_LOCIDX(45771,45594,,"SPX")&lt;/Q&gt;&lt;R&gt;1&lt;/R&gt;&lt;C&gt;1&lt;/C&gt;&lt;D xsi:type="xsd:double"&gt;1.0408769&lt;/D&gt;&lt;/FQL&gt;&lt;FQL&gt;&lt;Q&gt;VMI-US^P_BETA_LOCIDX(45770,45593,,"SPX")&lt;/Q&gt;&lt;R&gt;1&lt;/R&gt;&lt;C&gt;1&lt;/C&gt;&lt;D xsi:type="xsd:double"&gt;1.0345361&lt;/D&gt;&lt;/FQL&gt;&lt;FQL&gt;&lt;Q&gt;VMI-US^P_BETA_LOCIDX(45769,45590,,"SPX")&lt;/Q&gt;&lt;R&gt;1&lt;/R&gt;&lt;C&gt;1&lt;/C&gt;&lt;D xsi:type="xsd:double"&gt;1.025946&lt;/D&gt;&lt;/FQL&gt;&lt;FQL&gt;&lt;Q&gt;VMI-US^P_BETA_LOCIDX(45768,45589,,"SPX")&lt;/Q&gt;&lt;R&gt;1&lt;/R&gt;&lt;C&gt;1&lt;/C&gt;&lt;D xsi:type="xsd:double"&gt;1.0176128&lt;/D&gt;&lt;/FQL&gt;&lt;FQL&gt;&lt;Q&gt;VMI-US^P_BETA_LOCIDX(45764,45588,,"SPX")&lt;/Q&gt;&lt;R&gt;1&lt;/R&gt;&lt;C&gt;1&lt;/C&gt;&lt;D xsi:type="xsd:double"&gt;0.9772877&lt;/D&gt;&lt;/FQL&gt;&lt;FQL&gt;&lt;Q&gt;VMI-US^P_BETA_LOCIDX(45763,45587,,"SPX")&lt;/Q&gt;&lt;R&gt;1&lt;/R&gt;&lt;C&gt;1&lt;/C&gt;&lt;D xsi:type="xsd:double"&gt;0.97809833&lt;/D&gt;&lt;/FQL&gt;&lt;FQL&gt;&lt;Q&gt;VMI-US^P_BETA_LOCIDX(45762,45586,,"SPX")&lt;/Q&gt;&lt;R&gt;1&lt;/R&gt;&lt;C&gt;1&lt;/C&gt;&lt;D xsi:type="xsd:double"&gt;0.9920797&lt;/D&gt;&lt;/FQL&gt;&lt;FQL&gt;&lt;Q&gt;VMI-US^P_BETA_LOCIDX(45761,45583,,"SPX")&lt;/Q&gt;&lt;R&gt;1&lt;/R&gt;&lt;C&gt;1&lt;/C&gt;&lt;D xsi:type="xsd:double"&gt;0.98839426&lt;/D&gt;&lt;/FQL&gt;&lt;FQL&gt;&lt;Q&gt;VMI-US^P_BETA_LOCIDX(45758,45582,,"SPX")&lt;/Q&gt;&lt;R&gt;1&lt;/R&gt;&lt;C&gt;1&lt;/C&gt;&lt;D xsi:type="xsd:double"&gt;0.99072105&lt;/D&gt;&lt;/FQL&gt;&lt;FQL&gt;&lt;Q&gt;VMI-US^P_BETA_LOCIDX(45757,45581,,"SPX")&lt;/Q&gt;&lt;R&gt;1&lt;/R&gt;&lt;C&gt;1&lt;/C&gt;&lt;D xsi:type="xsd:double"&gt;0.9938087&lt;/D&gt;&lt;/FQL&gt;&lt;FQL&gt;&lt;Q&gt;VMI-US^P_BETA_LOCIDX(45756,45580,,"SPX")&lt;/Q&gt;&lt;R&gt;1&lt;/R&gt;&lt;C&gt;1&lt;/C&gt;&lt;D xsi:type="xsd:double"&gt;1.0051446&lt;/D&gt;&lt;/FQL&gt;&lt;FQL&gt;&lt;Q&gt;VMI-US^P_BETA_LOCIDX(45755,45579,,"SPX")&lt;/Q&gt;&lt;R&gt;1&lt;/R&gt;&lt;C&gt;1&lt;/C&gt;&lt;D xsi:type="xsd:double"&gt;1.1227586&lt;/D&gt;&lt;/FQL&gt;&lt;FQL&gt;&lt;Q&gt;VMI-US^P_BETA_LOCIDX(45754,45576,,"SPX")&lt;/Q&gt;&lt;R&gt;1&lt;/R&gt;&lt;C&gt;1&lt;/C&gt;&lt;D xsi:type="xsd:double"&gt;1.150212&lt;/D&gt;&lt;/FQL&gt;&lt;FQL&gt;&lt;Q&gt;VMI-US^P_BETA_LOCIDX(45751,45575,,"SPX")&lt;/Q&gt;&lt;R&gt;1&lt;/R&gt;&lt;C&gt;1&lt;/C&gt;&lt;D xsi:type="xsd:double"&gt;1.1495415&lt;/D&gt;&lt;/FQL&gt;&lt;FQL&gt;&lt;Q&gt;VMI-US^P_BETA_LOCIDX(45750,45574,,"SPX")&lt;/Q&gt;&lt;R&gt;1&lt;/R&gt;&lt;C&gt;1&lt;/C&gt;&lt;D xsi:type="xsd:double"&gt;1.2487236&lt;/D&gt;&lt;/FQL&gt;&lt;FQL&gt;&lt;Q&gt;VMI-US^P_BETA_LOCIDX(45749,45573,,"SPX")&lt;/Q&gt;&lt;R&gt;1&lt;/R&gt;&lt;C&gt;1&lt;/C&gt;&lt;D xsi:type="xsd:double"&gt;1.2176671&lt;/D&gt;&lt;/FQL&gt;&lt;FQL&gt;&lt;Q&gt;VMI-US^P_BETA_LOCIDX(45748,45572,,"SPX")&lt;/Q&gt;&lt;R&gt;1&lt;/R&gt;&lt;C&gt;1&lt;/C&gt;&lt;D xsi:type="xsd:double"&gt;1.1818615&lt;/D&gt;&lt;/FQL&gt;&lt;FQL&gt;&lt;Q&gt;VMI-US^P_BETA_LOCIDX(45747,45569,,"SPX")&lt;/Q&gt;&lt;R&gt;1&lt;/R&gt;&lt;C&gt;1&lt;/C&gt;&lt;D xsi:type="xsd:double"&gt;1.1792045&lt;/D&gt;&lt;/FQL&gt;&lt;FQL&gt;&lt;Q&gt;VMI-US^P_BETA_LOCIDX(45744,45568,,"SPX")&lt;/Q&gt;&lt;R&gt;1&lt;/R&gt;&lt;C&gt;1&lt;/C&gt;&lt;D xsi:type="xsd:double"&gt;1.1906844&lt;/D&gt;&lt;/FQL&gt;&lt;FQL&gt;&lt;Q&gt;VMI-US^P_BETA_LOCIDX(45743,45567,,"SPX")&lt;/Q&gt;&lt;R&gt;1&lt;/R&gt;&lt;C&gt;1&lt;/C&gt;&lt;D xsi:type="xsd:double"&gt;1.1717875&lt;/D&gt;&lt;/FQL&gt;&lt;FQL&gt;&lt;Q&gt;VMI-US^P_BETA_LOCIDX(45742,45566,,"SPX")&lt;/Q&gt;&lt;R&gt;1&lt;/R&gt;&lt;C&gt;1&lt;/C&gt;&lt;D xsi:type="xsd:double"&gt;1.169442&lt;/D&gt;&lt;/FQL&gt;&lt;FQL&gt;&lt;Q&gt;VMI-US^P_BETA_LOCIDX(45741,45565,,"SPX")&lt;/Q&gt;&lt;R&gt;1&lt;/R&gt;&lt;C&gt;1&lt;/C&gt;&lt;D xsi:type="xsd:double"&gt;1.1875374&lt;/D&gt;&lt;/FQL&gt;&lt;FQL&gt;&lt;Q&gt;VMI-US^P_BETA_LOCIDX(45740,45562,,"SPX")&lt;/Q&gt;&lt;R&gt;1&lt;/R&gt;&lt;C&gt;1&lt;/C&gt;&lt;D xsi:type="xsd:double"&gt;1.1875821&lt;/D&gt;&lt;/FQL&gt;&lt;FQL&gt;&lt;Q&gt;VMI-US^P_BETA_LOCIDX(45737,45561,,"SPX")&lt;/Q&gt;&lt;R&gt;1&lt;/R&gt;&lt;C&gt;1&lt;/C&gt;&lt;D xsi:type="xsd:double"&gt;1.143723&lt;/D&gt;&lt;/FQL&gt;&lt;FQL&gt;&lt;Q&gt;VMI-US^P_BETA_LOCIDX(45736,45560,,"SPX")&lt;/Q&gt;&lt;R&gt;1&lt;/R&gt;&lt;C&gt;1&lt;/C&gt;&lt;D xsi:type="xsd:double"&gt;1.1564232&lt;/D&gt;&lt;/FQL&gt;&lt;FQL&gt;&lt;Q&gt;VMI-US^P_BETA_LOCIDX(45735,45559,,"SPX")&lt;/Q&gt;&lt;R&gt;1&lt;/R&gt;&lt;C&gt;1&lt;/C&gt;&lt;D xsi:type="xsd:double"&gt;1.1526618&lt;/D&gt;&lt;/FQL&gt;&lt;FQL&gt;&lt;Q&gt;VMI-US^P_BETA_LOCIDX(45734,45558,,"SPX")&lt;/Q&gt;&lt;R&gt;1&lt;/R&gt;&lt;C&gt;1&lt;/C&gt;&lt;D xsi:type="xsd:double"&gt;1.1422229&lt;/D&gt;&lt;/FQL&gt;&lt;FQL&gt;&lt;Q&gt;VMI-US^P_BETA_LOCIDX(45733,45555,,"SPX")&lt;/Q&gt;&lt;R&gt;1&lt;/R&gt;&lt;C&gt;1&lt;/C&gt;&lt;D xsi:type="xsd:double"&gt;1.1399263&lt;/D&gt;&lt;/FQL&gt;&lt;FQL&gt;&lt;Q&gt;VMI-US^P_BETA_LOCIDX(45730,45554,,"SPX")&lt;/Q&gt;&lt;R&gt;1&lt;/R&gt;&lt;C&gt;1&lt;/C&gt;&lt;D xsi:type="xsd:double"&gt;1.1408291&lt;/D&gt;&lt;/FQL&gt;&lt;FQL&gt;&lt;Q&gt;VMI-US^P_BETA_LOCIDX(45729,45553,,"SPX")&lt;/Q&gt;&lt;R&gt;1&lt;/R&gt;&lt;C&gt;1&lt;/C&gt;&lt;D xsi:type="xsd:double"&gt;1.1395323&lt;/D&gt;&lt;/FQL&gt;&lt;FQL&gt;&lt;Q&gt;VMI-US^P_BETA_LOCIDX(45728,45552,,"SPX")&lt;/Q&gt;&lt;R&gt;1&lt;/R&gt;&lt;C&gt;1&lt;/C&gt;&lt;D xsi:type="xsd:double"&gt;1.1266888&lt;/D&gt;&lt;/FQL&gt;&lt;FQL&gt;&lt;Q&gt;VMI-US^P_BETA_LOCIDX(45727,45551,,"SPX")&lt;/Q&gt;&lt;R&gt;1&lt;/R&gt;&lt;C&gt;1&lt;/C&gt;&lt;D xsi:type="xsd:double"&gt;1.1218637&lt;/D&gt;&lt;/FQL&gt;&lt;FQL&gt;&lt;Q&gt;VMI-US^P_BETA_LOCIDX(45726,45548,,"SPX")&lt;/Q&gt;&lt;R&gt;1&lt;/R&gt;&lt;C&gt;1&lt;/C&gt;&lt;D xsi:type="xsd:double"&gt;1.1367557&lt;/D&gt;&lt;/FQL&gt;&lt;FQL&gt;&lt;Q&gt;VMI-US^P_BETA_LOCIDX(45723,45547,,"SPX")&lt;/Q&gt;&lt;R&gt;1&lt;/R&gt;&lt;C&gt;1&lt;/C&gt;&lt;D xsi:type="xsd:double"&gt;1.1338407&lt;/D&gt;&lt;/FQL&gt;&lt;FQL&gt;&lt;Q&gt;VMI-US^P_BETA_LOCIDX(45722,45546,,"SPX")&lt;/Q&gt;&lt;R&gt;1&lt;/R&gt;&lt;C&gt;1&lt;/C&gt;&lt;D xsi:type="xsd:double"&gt;1.133297&lt;/D&gt;&lt;/FQL&gt;&lt;FQL&gt;&lt;Q&gt;VMI-US^P_BETA_LOCIDX(45721,45545,,"SPX")&lt;/Q&gt;&lt;R&gt;1&lt;/R&gt;&lt;C&gt;1&lt;/C&gt;&lt;D xsi:type="xsd:double"&gt;1.1145911&lt;/D&gt;&lt;/FQL&gt;&lt;FQL&gt;&lt;Q&gt;VMI-US^P_BETA_LOCIDX(45720,45544,,"SPX")&lt;/Q&gt;&lt;R&gt;1&lt;/R&gt;&lt;C&gt;1&lt;/C&gt;&lt;D xsi:type="xsd:double"&gt;1.093387&lt;/D&gt;&lt;/FQL&gt;&lt;FQL&gt;&lt;Q&gt;VMI-US^P_BETA_LOCIDX(45719,45541,,"SPX")&lt;/Q&gt;&lt;R&gt;1&lt;/R&gt;&lt;C&gt;1&lt;/C&gt;&lt;D xsi:type="xsd:double"&gt;1.0561506&lt;/D&gt;&lt;/FQL&gt;&lt;FQL&gt;&lt;Q&gt;VMI-US^P_BETA_LOCIDX(45716,45540,,"SPX")&lt;/Q&gt;&lt;R&gt;1&lt;/R&gt;&lt;C&gt;1&lt;/C&gt;&lt;D xsi:type="xsd:double"&gt;1.0160755&lt;/D&gt;&lt;/FQL&gt;&lt;FQL&gt;&lt;Q&gt;VMI-US^P_BETA_LOCIDX(45715,45539,,"SPX")&lt;/Q&gt;&lt;R&gt;1&lt;/R&gt;&lt;C&gt;1&lt;/C&gt;&lt;D xsi:type="xsd:double"&gt;1.0237275&lt;/D&gt;&lt;/FQL&gt;&lt;FQL&gt;&lt;Q&gt;VMI-US^P_BETA_LOCIDX(45714,45538,,"SPX")&lt;/Q&gt;&lt;R&gt;1&lt;/R&gt;&lt;C&gt;1&lt;/C&gt;&lt;D xsi:type="xsd:double"&gt;1.0565538&lt;/D&gt;&lt;/FQL&gt;&lt;FQL&gt;&lt;Q&gt;VMI-US^P_BETA_LOCIDX(45713,45534,,"SPX")&lt;/Q&gt;&lt;R&gt;1&lt;/R&gt;&lt;C&gt;1&lt;/C&gt;&lt;D xsi:type="xsd:double"&gt;1.0527375&lt;/D&gt;&lt;/FQL&gt;&lt;FQL&gt;&lt;Q&gt;VMI-US^P_BETA_LOCIDX(45712,45533,,"SPX")&lt;/Q&gt;&lt;R&gt;1&lt;/R&gt;&lt;C&gt;1&lt;/C&gt;&lt;D xsi:type="xsd:double"&gt;1.0640676&lt;/D&gt;&lt;/FQL&gt;&lt;FQL&gt;&lt;Q&gt;VMI-US^P_BETA_LOCIDX(45709,45532,,"SPX")&lt;/Q&gt;&lt;R&gt;1&lt;/R&gt;&lt;C&gt;1&lt;/C&gt;&lt;D xsi:type="xsd:double"&gt;1.0620983&lt;/D&gt;&lt;/FQL&gt;&lt;FQL&gt;&lt;Q&gt;VMI-US^P_BETA_LOCIDX(45708,45531,,"SPX")&lt;/Q&gt;&lt;R&gt;1&lt;/R&gt;&lt;C&gt;1&lt;/C&gt;&lt;D xsi:type="xsd:double"&gt;1.0104483&lt;/D&gt;&lt;/FQL&gt;&lt;FQL&gt;&lt;Q&gt;VMI-US^P_BETA_LOCIDX(45707,45530,,"SPX")&lt;/Q&gt;&lt;R&gt;1&lt;/R&gt;&lt;C&gt;1&lt;/C&gt;&lt;D xsi:type="xsd:double"&gt;1.0065895&lt;/D&gt;&lt;/FQL&gt;&lt;FQL&gt;&lt;Q&gt;VMI-US^P_BETA_LOCIDX(45706,45527,,"SPX")&lt;/Q&gt;&lt;R&gt;1&lt;/R&gt;&lt;C&gt;1&lt;/C&gt;&lt;D xsi:type="xsd:double"&gt;1.0218564&lt;/D&gt;&lt;/FQL&gt;&lt;FQL&gt;&lt;Q&gt;VMI-US^P_BETA_LOCIDX(45702,45526,,"SPX")&lt;/Q&gt;&lt;R&gt;1&lt;/R&gt;&lt;C&gt;1&lt;/C&gt;&lt;D xsi:type="xsd:double"&gt;0.9813473&lt;/D&gt;&lt;/FQL&gt;&lt;FQL&gt;&lt;Q&gt;VMI-US^P_BETA_LOCIDX(45701,45525,,"SPX")&lt;/Q&gt;&lt;R&gt;1&lt;/R&gt;&lt;C&gt;1&lt;/C&gt;&lt;D xsi:type="xsd:double"&gt;0.98509735&lt;/D&gt;&lt;/FQL&gt;&lt;FQL&gt;&lt;Q&gt;VMI-US^P_BETA_LOCIDX(45700,45524,,"SPX")&lt;/Q&gt;&lt;R&gt;1&lt;/R&gt;&lt;C&gt;1&lt;/C&gt;&lt;D xsi:type="xsd:double"&gt;1.000429&lt;/D&gt;&lt;/FQL&gt;&lt;FQL&gt;&lt;Q&gt;VMI-US^P_BETA_LOCIDX(45699,45523,,"SPX")&lt;/Q&gt;&lt;R&gt;1&lt;/R&gt;&lt;C&gt;1&lt;/C&gt;&lt;D xsi:type="xsd:double"&gt;0.99365354&lt;/D&gt;&lt;/FQL&gt;&lt;FQL&gt;&lt;Q&gt;VMI-US^P_BETA_LOCIDX(45698,45520,,"SPX")&lt;/Q&gt;&lt;R&gt;1&lt;/R&gt;&lt;C&gt;1&lt;/C&gt;&lt;D xsi:type="xsd:double"&gt;0.9915073&lt;/D&gt;&lt;/FQL&gt;&lt;FQL&gt;&lt;Q&gt;VMI-US^P_BETA_LOCIDX(45695,45519,,"SPX")&lt;/Q&gt;&lt;R&gt;1&lt;/R&gt;&lt;C&gt;1&lt;/C&gt;&lt;D xsi:type="xsd:double"&gt;0.97392756&lt;/D&gt;&lt;/FQL&gt;&lt;FQL&gt;&lt;Q&gt;VMI-US^P_BETA_LOCIDX(45694,45518,,"SPX")&lt;/Q&gt;&lt;R&gt;1&lt;/R&gt;&lt;C&gt;1&lt;/C&gt;&lt;D xsi:type="xsd:double"&gt;0.9753207&lt;/D&gt;&lt;/FQL&gt;&lt;FQL&gt;&lt;Q&gt;VMI-US^P_BETA_LOCIDX(45693,45517,,"SPX")&lt;/Q&gt;&lt;R&gt;1&lt;/R&gt;&lt;C&gt;1&lt;/C&gt;&lt;D xsi:type="xsd:double"&gt;0.95319366&lt;/D&gt;&lt;/FQL&gt;&lt;FQL&gt;&lt;Q&gt;VMI-US^P_BETA_LOCIDX(45692,45516,,"SPX")&lt;/Q&gt;&lt;R&gt;1&lt;/R&gt;&lt;C&gt;1&lt;/C&gt;&lt;D xsi:type="xsd:double"&gt;0.9529639&lt;/D&gt;&lt;/FQL&gt;&lt;FQL&gt;&lt;Q&gt;VMI-US^P_BETA_LOCIDX(45691,45513,,"SPX")&lt;/Q&gt;&lt;R&gt;1&lt;/R&gt;&lt;C&gt;1&lt;/C&gt;&lt;D xsi:type="xsd:double"&gt;0.9498379&lt;/D&gt;&lt;/FQL&gt;&lt;FQL&gt;&lt;Q&gt;VMI-US^P_BETA_LOCIDX(45688,45512,,"SPX")&lt;/Q&gt;&lt;R&gt;1&lt;/R&gt;&lt;C&gt;1&lt;/C&gt;&lt;D xsi:type="xsd:double"&gt;0.9198197&lt;/D&gt;&lt;/FQL&gt;&lt;FQL&gt;&lt;Q&gt;VMI-US^P_BETA_LOCIDX(45687,45511,,"SPX")&lt;/Q&gt;&lt;R&gt;1&lt;/R&gt;&lt;C&gt;1&lt;/C&gt;&lt;D xsi:type="xsd:double"&gt;0.9161418&lt;/D&gt;&lt;/FQL&gt;&lt;FQL&gt;&lt;Q&gt;VMI-US^P_BETA_LOCIDX(45686,45510,,"SPX")&lt;/Q&gt;&lt;R&gt;1&lt;/R&gt;&lt;C&gt;1&lt;/C&gt;&lt;D xsi:type="xsd:double"&gt;0.90072066&lt;/D&gt;&lt;/FQL&gt;&lt;FQL&gt;&lt;Q&gt;VMI-US^P_BETA_LOCIDX(45685,45509,,"SPX")&lt;/Q&gt;&lt;R&gt;1&lt;/R&gt;&lt;C&gt;1&lt;/C&gt;&lt;D xsi:type="xsd:double"&gt;0.9052677&lt;/D&gt;&lt;/FQL&gt;&lt;FQL&gt;&lt;Q&gt;VMI-US^P_BETA_LOCIDX(45684,45506,,"SPX")&lt;/Q&gt;&lt;R&gt;1&lt;/R&gt;&lt;C&gt;1&lt;/C&gt;&lt;D xsi:type="xsd:double"&gt;0.92468363&lt;/D&gt;&lt;/FQL&gt;&lt;FQL&gt;&lt;Q&gt;VMI-US^P_BETA_LOCIDX(45681,45505,,"SPX")&lt;/Q&gt;&lt;R&gt;1&lt;/R&gt;&lt;C&gt;1&lt;/C&gt;&lt;D xsi:type="xsd:double"&gt;0.8990093&lt;/D&gt;&lt;/FQL&gt;&lt;FQL&gt;&lt;Q&gt;VMI-US^P_BETA_LOCIDX(45680,45504,,"SPX")&lt;/Q&gt;&lt;R&gt;1&lt;/R&gt;&lt;C&gt;1&lt;/C&gt;&lt;D xsi:type="xsd:double"&gt;0.86761576&lt;/D&gt;&lt;/FQL&gt;&lt;FQL&gt;&lt;Q&gt;VMI-US^P_BETA_LOCIDX(45679,45503,,"SPX")&lt;/Q&gt;&lt;R&gt;1&lt;/R&gt;&lt;C&gt;1&lt;/C&gt;&lt;D xsi:type="xsd:double"&gt;0.8618613&lt;/D&gt;&lt;/FQL&gt;&lt;FQL&gt;&lt;Q&gt;VMI-US^P_BETA_LOCIDX(45678,45502,,"SPX")&lt;/Q&gt;&lt;R&gt;1&lt;/R&gt;&lt;C&gt;1&lt;/C&gt;&lt;D xsi:type="xsd:double"&gt;0.86860245&lt;/D&gt;&lt;/FQL&gt;&lt;FQL&gt;&lt;Q&gt;VMI-US^P_BETA_LOCIDX(45674,45499,,"SPX")&lt;/Q&gt;&lt;R&gt;1&lt;/R&gt;&lt;C&gt;1&lt;/C&gt;&lt;D xsi:type="xsd:double"&gt;0.85945785&lt;/D&gt;&lt;/FQL&gt;&lt;FQL&gt;&lt;Q&gt;VMI-US^P_BETA_LOCIDX(45673,45498,,"SPX")&lt;/Q&gt;&lt;R&gt;1&lt;/R&gt;&lt;C&gt;1&lt;/C&gt;&lt;D xsi:type="xsd:double"&gt;0.8006218&lt;/D&gt;&lt;/FQL&gt;&lt;FQL&gt;&lt;Q&gt;VMI-US^P_BETA_LOCIDX(45672,45497,,"SPX")&lt;/Q&gt;&lt;R&gt;1&lt;/R&gt;&lt;C&gt;1&lt;/C&gt;&lt;D xsi:type="xsd:double"&gt;0.81708676&lt;/D&gt;&lt;/FQL&gt;&lt;FQL&gt;&lt;Q&gt;VMI-US^P_BETA_LOCIDX(45671,45496,,"SPX")&lt;/Q&gt;&lt;R&gt;1&lt;/R&gt;&lt;C&gt;1&lt;/C&gt;&lt;D xsi:type="xsd:double"&gt;0.781018&lt;/D&gt;&lt;/FQL&gt;&lt;FQL&gt;&lt;Q&gt;VMI-US^P_BETA_LOCIDX(45670,45495,,"SPX")&lt;/Q&gt;&lt;R&gt;1&lt;/R&gt;&lt;C&gt;1&lt;/C&gt;&lt;D xsi:type="xsd:double"&gt;0.7763169&lt;/D&gt;&lt;/FQL&gt;&lt;FQL&gt;&lt;Q&gt;VMI-US^P_BETA_LOCIDX(45667,45492,,"SPX")&lt;/Q&gt;&lt;R&gt;1&lt;/R&gt;&lt;C&gt;1&lt;/C&gt;&lt;D xsi:type="xsd:double"&gt;0.7852376&lt;/D&gt;&lt;/FQL&gt;&lt;FQL&gt;&lt;Q&gt;VMI-US^P_BETA_LOCIDX(45665,45491,,"SPX")&lt;/Q&gt;&lt;R&gt;1&lt;/R&gt;&lt;C&gt;1&lt;/C&gt;&lt;D xsi:type="xsd:double"&gt;0.78067696&lt;/D&gt;&lt;/FQL&gt;&lt;FQL&gt;&lt;Q&gt;VMI-US^P_BETA_LOCIDX(45664,45490,,"SPX")&lt;/Q&gt;&lt;R&gt;1&lt;/R&gt;&lt;C&gt;1&lt;/C&gt;&lt;D xsi:type="xsd:double"&gt;0.74946105&lt;/D&gt;&lt;/FQL&gt;&lt;FQL&gt;&lt;Q&gt;VMI-US^P_BETA_LOCIDX(45663,45489,,"SPX")&lt;/Q&gt;&lt;R&gt;1&lt;/R&gt;&lt;C&gt;1&lt;/C&gt;&lt;D xsi:type="xsd:double"&gt;0.7720277&lt;/D&gt;&lt;/FQL&gt;&lt;FQL&gt;&lt;Q&gt;VMI-US^P_BETA_LOCIDX(45660,45488,,"SPX")&lt;/Q&gt;&lt;R&gt;1&lt;/R&gt;&lt;C&gt;1&lt;/C&gt;&lt;D xsi:type="xsd:double"&gt;0.7759619&lt;/D&gt;&lt;/FQL&gt;&lt;FQL&gt;&lt;Q&gt;VMI-US^P_BETA_LOCIDX(45659,45485,,"SPX")&lt;/Q&gt;&lt;R&gt;1&lt;/R&gt;&lt;C&gt;1&lt;/C&gt;&lt;D xsi:type="xsd:double"&gt;0.77909887&lt;/D&gt;&lt;/FQL&gt;&lt;FQL&gt;&lt;Q&gt;VMI-US^P_BETA_LOCIDX(45657,45484,,"SPX")&lt;/Q&gt;&lt;R&gt;1&lt;/R&gt;&lt;C&gt;1&lt;/C&gt;&lt;D xsi:type="xsd:double"&gt;0.7498067&lt;/D&gt;&lt;/FQL&gt;&lt;FQL&gt;&lt;Q&gt;VMI-US^P_BETA_LOCIDX(45656,45483,,"SPX")&lt;/Q&gt;&lt;R&gt;1&lt;/R&gt;&lt;C&gt;1&lt;/C&gt;&lt;D xsi:type="xsd:double"&gt;0.7574245&lt;/D&gt;&lt;/FQL&gt;&lt;FQL&gt;&lt;Q&gt;VMI-US^P_BETA_LOCIDX(45653,45482,,"SPX")&lt;/Q&gt;&lt;R&gt;1&lt;/R&gt;&lt;C&gt;1&lt;/C&gt;&lt;D xsi:type="xsd:double"&gt;0.76068544&lt;/D&gt;&lt;/FQL&gt;&lt;FQL&gt;&lt;Q&gt;VMI-US^P_BETA_LOCIDX(45652,45481,,"SPX")&lt;/Q&gt;&lt;R&gt;1&lt;/R&gt;&lt;C&gt;1&lt;/C&gt;&lt;D xsi:type="xsd:double"&gt;0.7548668&lt;/D&gt;&lt;/FQL&gt;&lt;FQL&gt;&lt;Q&gt;VMI-US^P_BETA_LOCIDX(45650,45478,,"SPX")&lt;/Q&gt;&lt;R&gt;1&lt;/R&gt;&lt;C&gt;1&lt;/C&gt;&lt;D xsi:type="xsd:double"&gt;0.75035125&lt;/D&gt;&lt;/FQL&gt;&lt;FQL&gt;&lt;Q&gt;VMI-US^P_BETA_LOCIDX(45649,45476,,"SPX")&lt;/Q&gt;&lt;R&gt;1&lt;/R&gt;&lt;C&gt;1&lt;/C&gt;&lt;D xsi:type="xsd:double"&gt;0.74362&lt;/D&gt;&lt;/FQL&gt;&lt;FQL&gt;&lt;Q&gt;VMI-US^P_BETA_LOCIDX(45646,45475,,"SPX")&lt;/Q&gt;&lt;R&gt;1&lt;/R&gt;&lt;C&gt;1&lt;/C&gt;&lt;D xsi:type="xsd:double"&gt;0.74473304&lt;/D&gt;&lt;/FQL&gt;&lt;FQL&gt;&lt;Q&gt;VMI-US^P_BETA_LOCIDX(45645,45474,,"SPX")&lt;/Q&gt;&lt;R&gt;1&lt;/R&gt;&lt;C&gt;1&lt;/C&gt;&lt;D xsi:type="xsd:double"&gt;0.74142456&lt;/D&gt;&lt;/FQL&gt;&lt;FQL&gt;&lt;Q&gt;VMI-US^P_BETA_LOCIDX(45644,45471,,"SPX")&lt;/Q&gt;&lt;R&gt;1&lt;/R&gt;&lt;C&gt;1&lt;/C&gt;&lt;D xsi:type="xsd:double"&gt;0.7375488&lt;/D&gt;&lt;/FQL&gt;&lt;FQL&gt;&lt;Q&gt;VMI-US^P_BETA_LOCIDX(45643,45470,,"SPX")&lt;/Q&gt;&lt;R&gt;1&lt;/R&gt;&lt;C&gt;1&lt;/C&gt;&lt;D xsi:type="xsd:double"&gt;0.65863746&lt;/D&gt;&lt;/FQL&gt;&lt;FQL&gt;&lt;Q&gt;VMI-US^P_BETA_LOCIDX(45642,45469,,"SPX")&lt;/Q&gt;&lt;R&gt;1&lt;/R&gt;&lt;C&gt;1&lt;/C&gt;&lt;D xsi:type="xsd:double"&gt;0.6506958&lt;/D&gt;&lt;/FQL&gt;&lt;FQL&gt;&lt;Q&gt;VMI-US^P_BETA_LOCIDX(45639,45468,,"SPX")&lt;/Q&gt;&lt;R&gt;1&lt;/R&gt;&lt;C&gt;1&lt;/C&gt;&lt;D xsi:type="xsd:double"&gt;0.64680797&lt;/D&gt;&lt;/FQL&gt;&lt;FQL&gt;&lt;Q&gt;VMI-US^P_BETA_LOCIDX(45638,45467,,"SPX")&lt;/Q&gt;&lt;R&gt;1&lt;/R&gt;&lt;C&gt;1&lt;/C&gt;&lt;D xsi:type="xsd:double"&gt;0.6474844&lt;/D&gt;&lt;/FQL&gt;&lt;FQL&gt;&lt;Q&gt;VMI-US^P_BETA_LOCIDX(45637,45464,,"SPX")&lt;/Q&gt;&lt;R&gt;1&lt;/R&gt;&lt;C&gt;1&lt;/C&gt;&lt;D xsi:type="xsd:double"&gt;0.6431852&lt;/D&gt;&lt;/FQL&gt;&lt;FQL&gt;&lt;Q&gt;VMI-US^P_BETA_LOCIDX(45636,45463,,"SPX")&lt;/Q&gt;&lt;R&gt;1&lt;/R&gt;&lt;C&gt;1&lt;/C&gt;&lt;D xsi:type="xsd:double"&gt;0.65761095&lt;/D&gt;&lt;/FQL&gt;&lt;FQL&gt;&lt;Q&gt;VMI-US^P_BETA_LOCIDX(45635,45461,,"SPX")&lt;/Q&gt;&lt;R&gt;1&lt;/R&gt;&lt;C&gt;1&lt;/C&gt;&lt;D xsi:type="xsd:double"&gt;0.65274566&lt;/D&gt;&lt;/FQL&gt;&lt;FQL&gt;&lt;Q&gt;VMI-US^P_BETA_LOCIDX(45632,45460,,"SPX")&lt;/Q&gt;&lt;R&gt;1&lt;/R&gt;&lt;C&gt;1&lt;/C&gt;&lt;D xsi:type="xsd:double"&gt;0.6458346&lt;/D&gt;&lt;/FQL&gt;&lt;FQL&gt;&lt;Q&gt;VMI-US^P_BETA_LOCIDX(45631,45457,,"SPX")&lt;/Q&gt;&lt;R&gt;1&lt;/R&gt;&lt;C&gt;1&lt;/C&gt;&lt;D xsi:type="xsd:double"&gt;0.6503125&lt;/D&gt;&lt;/FQL&gt;&lt;FQL&gt;&lt;Q&gt;VMI-US^P_BETA_LOCIDX(45630,45456,,"SPX")&lt;/Q&gt;&lt;R&gt;1&lt;/R&gt;&lt;C&gt;1&lt;/C&gt;&lt;D xsi:type="xsd:double"&gt;0.64748144&lt;/D&gt;&lt;/FQL&gt;&lt;FQL&gt;&lt;Q&gt;VMI-US^P_BETA_LOCIDX(45629,45455,,"SPX")&lt;/Q&gt;&lt;R&gt;1&lt;/R&gt;&lt;C&gt;1&lt;/C&gt;&lt;D xsi:type="xsd:double"&gt;0.6652611&lt;/D&gt;&lt;/FQL&gt;&lt;FQL&gt;&lt;Q&gt;VMI-US^P_BETA_LOCIDX(45628,45454,,"SPX")&lt;/Q&gt;&lt;R&gt;1&lt;/R&gt;&lt;C&gt;1&lt;/C&gt;&lt;D xsi:type="xsd:double"&gt;0.6620478&lt;/D&gt;&lt;/FQL&gt;&lt;FQL&gt;&lt;Q&gt;VMI-US^P_BETA_LOCIDX(45625,45453,,"SPX")&lt;/Q&gt;&lt;R&gt;1&lt;/R&gt;&lt;C&gt;1&lt;/C&gt;&lt;D xsi:type="xsd:double"&gt;0.66723454&lt;/D&gt;&lt;/FQL&gt;&lt;FQL&gt;&lt;Q&gt;VMI-US^P_BETA_LOCIDX(45623,45450,,"SPX")&lt;/Q&gt;&lt;R&gt;1&lt;/R&gt;&lt;C&gt;1&lt;/C&gt;&lt;D xsi:type="xsd:double"&gt;0.6746111&lt;/D&gt;&lt;/FQL&gt;&lt;FQL&gt;&lt;Q&gt;VMI-US^P_BETA_LOCIDX(45622,45449,,"SPX")&lt;/Q&gt;&lt;R&gt;1&lt;/R&gt;&lt;C&gt;1&lt;/C&gt;&lt;D xsi:type="xsd:double"&gt;0.67348087&lt;/D&gt;&lt;/FQL&gt;&lt;FQL&gt;&lt;Q&gt;VMI-US^P_BETA_LOCIDX(45621,45448,,"SPX")&lt;/Q&gt;&lt;R&gt;1&lt;/R&gt;&lt;C&gt;1&lt;/C&gt;&lt;D xsi:type="xsd:double"&gt;0.6791765&lt;/D&gt;&lt;/FQL&gt;&lt;FQL&gt;&lt;Q&gt;VMI-US^P_BETA_LOCIDX(45618,45447,,"SPX")&lt;/Q&gt;&lt;R&gt;1&lt;/R&gt;&lt;C&gt;1&lt;/C&gt;&lt;D xsi:type="xsd:double"&gt;0.6741102&lt;/D&gt;&lt;/FQL&gt;&lt;FQL&gt;&lt;Q&gt;VMI-US^P_BETA_LOCIDX(45617,45446,,"SPX")&lt;/Q&gt;&lt;R&gt;1&lt;/R&gt;&lt;C&gt;1&lt;/C&gt;&lt;D xsi:type="xsd:double"&gt;0.67250746&lt;/D&gt;&lt;/FQL&gt;&lt;FQL&gt;&lt;Q&gt;VMI-US^P_BETA_LOCIDX(45616,45443,,"SPX")&lt;/Q&gt;&lt;R&gt;1&lt;/R&gt;&lt;C&gt;1&lt;/C&gt;&lt;D xsi:type="xsd:double"&gt;0.66981995&lt;/D&gt;&lt;/FQL&gt;&lt;FQL&gt;&lt;Q&gt;VMI-US^P_BETA_LOCIDX(45615,45442,,"SPX")&lt;/Q&gt;&lt;R&gt;1&lt;/R&gt;&lt;C&gt;1&lt;/C&gt;&lt;D xsi:type="xsd:double"&gt;0.6599789&lt;/D&gt;&lt;/FQL&gt;&lt;FQL&gt;&lt;Q&gt;VMI-US^P_BETA_LOCIDX(45614,45441,,"SPX")&lt;/Q&gt;&lt;R&gt;1&lt;/R&gt;&lt;C&gt;1&lt;/C&gt;&lt;D xsi:type="xsd:double"&gt;0.66729885&lt;/D&gt;&lt;/FQL&gt;&lt;FQL&gt;&lt;Q&gt;VMI-US^P_BETA_LOCIDX(45611,45440,,"SPX")&lt;/Q&gt;&lt;R&gt;1&lt;/R&gt;&lt;C&gt;1&lt;/C&gt;&lt;D xsi:type="xsd:double"&gt;0.6671968&lt;/D&gt;&lt;/FQL&gt;&lt;FQL&gt;&lt;Q&gt;VMI-US^P_BETA_LOCIDX(45610,45436,,"SPX")&lt;/Q&gt;&lt;R&gt;1&lt;/R&gt;&lt;C&gt;1&lt;/C&gt;&lt;D xsi:type="xsd:double"&gt;0.66144097&lt;/D&gt;&lt;/FQL&gt;&lt;FQL&gt;&lt;Q&gt;VMI-US^P_BETA_LOCIDX(45609,45435,,"SPX")&lt;/Q&gt;&lt;R&gt;1&lt;/R&gt;&lt;C&gt;1&lt;/C&gt;&lt;D xsi:type="xsd:double"&gt;0.6751593&lt;/D&gt;&lt;/FQL&gt;&lt;FQL&gt;&lt;Q&gt;VMI-US^P_BETA_LOCIDX(45608,45434,,"SPX")&lt;/Q&gt;&lt;R&gt;1&lt;/R&gt;&lt;C&gt;1&lt;/C&gt;&lt;D xsi:type="xsd:double"&gt;0.6708365&lt;/D&gt;&lt;/FQL&gt;&lt;FQL&gt;&lt;Q&gt;VMI-US^P_BETA_LOCIDX(45607,45433,,"SPX")&lt;/Q&gt;&lt;R&gt;1&lt;/R&gt;&lt;C&gt;1&lt;/C&gt;&lt;D xsi:type="xsd:double"&gt;0.66486573&lt;/D&gt;&lt;/FQL&gt;&lt;FQL&gt;&lt;Q&gt;VMI-US^P_BETA_LOCIDX(45604,45432,,"SPX")&lt;/Q&gt;&lt;R&gt;1&lt;/R&gt;&lt;C&gt;1&lt;/C&gt;&lt;D xsi:type="xsd:double"&gt;0.6650154&lt;/D&gt;&lt;/FQL&gt;&lt;FQL&gt;&lt;Q&gt;VMI-US^P_BETA_LOCIDX(45603,45429,,"SPX")&lt;/Q&gt;&lt;R&gt;1&lt;/R&gt;&lt;C&gt;1&lt;/C&gt;&lt;D xsi:type="xsd:double"&gt;0.66723806&lt;/D&gt;&lt;/FQL&gt;&lt;FQL&gt;&lt;Q&gt;VMI-US^P_BETA_LOCIDX(45602,45428,,"SPX")&lt;/Q&gt;&lt;R&gt;1&lt;/R&gt;&lt;C&gt;1&lt;/C&gt;&lt;D xsi:type="xsd:double"&gt;0.68869984&lt;/D&gt;&lt;/FQL&gt;&lt;FQL&gt;&lt;Q&gt;VMI-US^P_BETA_LOCIDX(45601,45427,,"SPX")&lt;/Q&gt;&lt;R&gt;1&lt;/R&gt;&lt;C&gt;1&lt;/C&gt;&lt;D xsi:type="xsd:double"&gt;0.52849406&lt;/D&gt;&lt;/FQL&gt;&lt;FQL&gt;&lt;Q&gt;VMI-US^P_BETA_LOCIDX(45600,45426,,"SPX")&lt;/Q&gt;&lt;R&gt;1&lt;/R&gt;&lt;C&gt;1&lt;/C&gt;&lt;D xsi:type="xsd:double"&gt;0.50714&lt;/D&gt;&lt;/FQL&gt;&lt;FQL&gt;&lt;Q&gt;VMI-US^P_BETA_LOCIDX(45597,45425,,"SPX")&lt;/Q&gt;&lt;R&gt;1&lt;/R&gt;&lt;C&gt;1&lt;/C&gt;&lt;D xsi:type="xsd:double"&gt;0.5121092&lt;/D&gt;&lt;/FQL&gt;&lt;FQL&gt;&lt;Q&gt;VMI-US^P_BETA_LOCIDX(45596,45422,,"SPX")&lt;/Q&gt;&lt;R&gt;1&lt;/R&gt;&lt;C&gt;1&lt;/C&gt;&lt;D xsi:type="xsd:double"&gt;0.509474&lt;/D&gt;&lt;/FQL&gt;&lt;FQL&gt;&lt;Q&gt;VMI-US^P_BETA_LOCIDX(45595,45421,,"SPX")&lt;/Q&gt;&lt;R&gt;1&lt;/R&gt;&lt;C&gt;1&lt;/C&gt;&lt;D xsi:type="xsd:double"&gt;0.50075406&lt;/D&gt;&lt;/FQL&gt;&lt;FQL&gt;&lt;Q&gt;VMI-US^P_BETA_LOCIDX(45594,45420,,"SPX")&lt;/Q&gt;&lt;R&gt;1&lt;/R&gt;&lt;C&gt;1&lt;/C&gt;&lt;D xsi:type="xsd:double"&gt;0.49041194&lt;/D&gt;&lt;/FQL&gt;&lt;FQL&gt;&lt;Q&gt;VMI-US^P_BETA_LOCIDX(45593,45419,,"SPX")&lt;/Q&gt;&lt;R&gt;1&lt;/R&gt;&lt;C&gt;1&lt;/C&gt;&lt;D xsi:type="xsd:double"&gt;0.49169987&lt;/D&gt;&lt;/FQL&gt;&lt;FQL&gt;&lt;Q&gt;VMI-US^P_BETA_LOCIDX(45590,45418,,"SPX")&lt;/Q&gt;&lt;R&gt;1&lt;/R&gt;&lt;C&gt;1&lt;/C&gt;&lt;D xsi:type="xsd:double"&gt;0.48597407&lt;/D&gt;&lt;/FQL&gt;&lt;FQL&gt;&lt;Q&gt;VMI-US^P_BETA_LOCIDX(45589,45415,,"SPX")&lt;/Q&gt;&lt;R&gt;1&lt;/R&gt;&lt;C&gt;1&lt;/C&gt;&lt;D xsi:type="xsd:double"&gt;0.4820689&lt;/D&gt;&lt;/FQL&gt;&lt;FQL&gt;&lt;Q&gt;VMI-US^P_BETA_LOCIDX(45588,45414,,"SPX")&lt;/Q&gt;&lt;R&gt;1&lt;/R&gt;&lt;C&gt;1&lt;/C&gt;&lt;D xsi:type="xsd:double"&gt;0.6516416&lt;/D&gt;&lt;/FQL&gt;&lt;FQL&gt;&lt;Q&gt;VMI-US^P_BETA_LOCIDX(45587,45413,,"SPX")&lt;/Q&gt;&lt;R&gt;1&lt;/R&gt;&lt;C&gt;1&lt;/C&gt;&lt;D xsi:type="xsd:double"&gt;0.78364265&lt;/D&gt;&lt;/FQL&gt;&lt;FQL&gt;&lt;Q&gt;VMI-US^P_BETA_LOCIDX(45586,45412,,"SPX")&lt;/Q&gt;&lt;R&gt;1&lt;/R&gt;&lt;C&gt;1&lt;/C&gt;&lt;D xsi:type="xsd:double"&gt;0.8014908&lt;/D&gt;&lt;/FQL&gt;&lt;FQL&gt;&lt;Q&gt;VMI-US^P_BETA_LOCIDX(45583,45411,,"SPX")&lt;/Q&gt;&lt;R&gt;1&lt;/R&gt;&lt;C&gt;1&lt;/C&gt;&lt;D xsi:type="xsd:double"&gt;0.7951783&lt;/D&gt;&lt;/FQL&gt;&lt;FQL&gt;&lt;Q&gt;VMI-US^P_BETA_LOCIDX(45582,45408,,"SPX")&lt;/Q&gt;&lt;R&gt;1&lt;/R&gt;&lt;C&gt;1&lt;/C&gt;&lt;D xsi:type="xsd:double"&gt;0.7932952&lt;/D&gt;&lt;/FQL&gt;&lt;FQL&gt;&lt;Q&gt;VMI-US^P_BETA_LOCIDX(45581,45407,,"SPX")&lt;/Q&gt;&lt;R&gt;1&lt;/R&gt;&lt;C&gt;1&lt;/C&gt;&lt;D xsi:type="xsd:double"&gt;0.801813&lt;/D&gt;&lt;/FQL&gt;&lt;FQL&gt;&lt;Q&gt;VMI-US^P_BETA_LOCIDX(45580,45406,,"SPX")&lt;/Q&gt;&lt;R&gt;1&lt;/R&gt;&lt;C&gt;1&lt;/C&gt;&lt;D xsi:type="xsd:double"&gt;0.7952963&lt;/D&gt;&lt;/FQL&gt;&lt;FQL&gt;&lt;Q&gt;VMI-US^P_BETA_LOCIDX(45579,45405,,"SPX")&lt;/Q&gt;&lt;R&gt;1&lt;/R&gt;&lt;C&gt;1&lt;/C&gt;&lt;D xsi:type="xsd:double"&gt;0.79700446&lt;/D&gt;&lt;/FQL&gt;&lt;FQL&gt;&lt;Q&gt;VMI-US^P_BETA_LOCIDX(45576,45404,,"SPX")&lt;/Q&gt;&lt;R&gt;1&lt;/R&gt;&lt;C&gt;1&lt;/C&gt;&lt;D xsi:type="xsd:double"&gt;0.7838863&lt;/D&gt;&lt;/FQL&gt;&lt;FQL&gt;&lt;Q&gt;VMI-US^P_BETA_LOCIDX(45575,45401,,"SPX")&lt;/Q&gt;&lt;R&gt;1&lt;/R&gt;&lt;C&gt;1&lt;/C&gt;&lt;D xsi:type="xsd:double"&gt;0.74736863&lt;/D&gt;&lt;/FQL&gt;&lt;FQL&gt;&lt;Q&gt;VMI-US^P_BETA_LOCIDX(45574,45400,,"SPX")&lt;/Q&gt;&lt;R&gt;1&lt;/R&gt;&lt;C&gt;1&lt;/C&gt;&lt;D xsi:type="xsd:double"&gt;0.75173134&lt;/D&gt;&lt;/FQL&gt;&lt;FQL&gt;&lt;Q&gt;VMI-US^P_BETA_LOCIDX(45573,45399,,"SPX")&lt;/Q&gt;&lt;R&gt;1&lt;/R&gt;&lt;C&gt;1&lt;/C&gt;&lt;D xsi:type="xsd:double"&gt;0.7632127&lt;/D&gt;&lt;/FQL&gt;&lt;FQL&gt;&lt;Q&gt;VMI-US^P_BETA_LOCIDX(45572,45398,,"SPX")&lt;/Q&gt;&lt;R&gt;1&lt;/R&gt;&lt;C&gt;1&lt;/C&gt;&lt;D xsi:type="xsd:double"&gt;0.786249&lt;/D&gt;&lt;/FQL&gt;&lt;FQL&gt;&lt;Q&gt;VMI-US^P_BETA_LOCIDX(45569,45397,,"SPX")&lt;/Q&gt;&lt;R&gt;1&lt;/R&gt;&lt;C&gt;1&lt;/C&gt;&lt;D xsi:type="xsd:double"&gt;0.8085006&lt;/D&gt;&lt;/FQL&gt;&lt;FQL&gt;&lt;Q&gt;VMI-US^P_BETA_LOCIDX(45568,45394,,"SPX")&lt;/Q&gt;&lt;R&gt;1&lt;/R&gt;&lt;C&gt;1&lt;/C&gt;&lt;D xsi:type="xsd:double"&gt;0.8257748&lt;/D&gt;&lt;/FQL&gt;&lt;FQL&gt;&lt;Q&gt;VMI-US^P_BETA_LOCIDX(45567,45393,,"SPX")&lt;/Q&gt;&lt;R&gt;1&lt;/R&gt;&lt;C&gt;1&lt;/C&gt;&lt;D xsi:type="xsd:double"&gt;0.81891483&lt;/D&gt;&lt;/FQL&gt;&lt;FQL&gt;&lt;Q&gt;VMI-US^P_BETA_LOCIDX(45566,45392,,"SPX")&lt;/Q&gt;&lt;R&gt;1&lt;/R&gt;&lt;C&gt;1&lt;/C&gt;&lt;D xsi:type="xsd:double"&gt;0.8224315&lt;/D&gt;&lt;/FQL&gt;&lt;FQL&gt;&lt;Q&gt;VMI-US^P_BETA_LOCIDX(45565,45391,,"SPX")&lt;/Q&gt;&lt;R&gt;1&lt;/R&gt;&lt;C&gt;1&lt;/C&gt;&lt;D xsi:type="xsd:double"&gt;0.81913495&lt;/D&gt;&lt;/FQL&gt;&lt;FQL&gt;&lt;Q&gt;VMI-US^P_BETA_LOCIDX(45562,45390,,"SPX")&lt;/Q&gt;&lt;R&gt;1&lt;/R&gt;&lt;C&gt;1&lt;/C&gt;&lt;D xsi:type="xsd:double"&gt;0.8192209&lt;/D&gt;&lt;/FQL&gt;&lt;FQL&gt;&lt;Q&gt;VMI-US^P_BETA_LOCIDX(45561,45387,,"SPX")&lt;/Q&gt;&lt;R&gt;1&lt;/R&gt;&lt;C&gt;1&lt;/C&gt;&lt;D xsi:type="xsd:double"&gt;0.82462245&lt;/D&gt;&lt;/FQL&gt;&lt;FQL&gt;&lt;Q&gt;VMI-US^P_BETA_LOCIDX(45560,45386,,"SPX")&lt;/Q&gt;&lt;R&gt;1&lt;/R&gt;&lt;C&gt;1&lt;/C&gt;&lt;D xsi:type="xsd:double"&gt;0.80594784&lt;/D&gt;&lt;/FQL&gt;&lt;FQL&gt;&lt;Q&gt;VMI-US^P_BETA_LOCIDX(45559,45385,,"SPX")&lt;/Q&gt;&lt;R&gt;1&lt;/R&gt;&lt;C&gt;1&lt;/C&gt;&lt;D xsi:type="xsd:double"&gt;0.80425113&lt;/D&gt;&lt;/FQL&gt;&lt;FQL&gt;&lt;Q&gt;VMI-US^P_BETA_LOCIDX(45558,45384,,"SPX")&lt;/Q&gt;&lt;R&gt;1&lt;/R&gt;&lt;C&gt;1&lt;/C&gt;&lt;D xsi:type="xsd:double"&gt;0.82758063&lt;/D&gt;&lt;/FQL&gt;&lt;FQL&gt;&lt;Q&gt;VMI-US^P_BETA_LOCIDX(45555,45383,,"SPX")&lt;/Q&gt;&lt;R&gt;1&lt;/R&gt;&lt;C&gt;1&lt;/C&gt;&lt;D xsi:type="xsd:double"&gt;0.82828933&lt;/D&gt;&lt;/FQL&gt;&lt;FQL&gt;&lt;Q&gt;VMI-US^P_BETA_LOCIDX(45554,45379,,"SPX")&lt;/Q&gt;&lt;R&gt;1&lt;/R&gt;&lt;C&gt;1&lt;/C&gt;&lt;D xsi:type="xsd:double"&gt;0.8264211&lt;/D&gt;&lt;/FQL&gt;&lt;FQL&gt;&lt;Q&gt;VMI-US^P_BETA_LOCIDX(45553,45378,,"SPX")&lt;/Q&gt;&lt;R&gt;1&lt;/R&gt;&lt;C&gt;1&lt;/C&gt;&lt;D xsi:type="xsd:double"&gt;0.8370713&lt;/D&gt;&lt;/FQL&gt;&lt;FQL&gt;&lt;Q&gt;VMI-US^P_BETA_LOCIDX(45552,45377,,"SPX")&lt;/Q&gt;&lt;R&gt;1&lt;/R&gt;&lt;C&gt;1&lt;/C&gt;&lt;D xsi:type="xsd:double"&gt;0.8348739&lt;/D&gt;&lt;/FQL&gt;&lt;FQL&gt;&lt;Q&gt;VMI-US^P_BETA_LOCIDX(45551,45376,,"SPX")&lt;/Q&gt;&lt;R&gt;1&lt;/R&gt;&lt;C&gt;1&lt;/C&gt;&lt;D xsi:type="xsd:double"&gt;0.83812106&lt;/D&gt;&lt;/FQL&gt;&lt;FQL&gt;&lt;Q&gt;VMI-US^P_BETA_LOCIDX(45548,45373,,"SPX")&lt;/Q&gt;&lt;R&gt;1&lt;/R&gt;&lt;C&gt;1&lt;/C&gt;&lt;D xsi:type="xsd:double"&gt;0.8369723&lt;/D&gt;&lt;/FQL&gt;&lt;FQL&gt;&lt;Q&gt;VMI-US^P_BETA_LOCIDX(45547,45372,,"SPX")&lt;/Q&gt;&lt;R&gt;1&lt;/R&gt;&lt;C&gt;1&lt;/C&gt;&lt;D xsi:type="xsd:double"&gt;0.83807105&lt;/D&gt;&lt;/FQL&gt;&lt;FQL&gt;&lt;Q&gt;VMI-US^P_BETA_LOCIDX(45546,45371,,"SPX")&lt;/Q&gt;&lt;R&gt;1&lt;/R&gt;&lt;C&gt;1&lt;/C&gt;&lt;D xsi:type="xsd:double"&gt;0.8391493&lt;/D&gt;&lt;/FQL&gt;&lt;FQL&gt;&lt;Q&gt;VMI-US^P_BETA_LOCIDX(45545,45370,,"SPX")&lt;/Q&gt;&lt;R&gt;1&lt;/R&gt;&lt;C&gt;1&lt;/C&gt;&lt;D xsi:type="xsd:double"&gt;0.84519935&lt;/D&gt;&lt;/FQL&gt;&lt;FQL&gt;&lt;Q&gt;VMI-US^P_BETA_LOCIDX(45544,45369,,"SPX")&lt;/Q&gt;&lt;R&gt;1&lt;/R&gt;&lt;C&gt;1&lt;/C&gt;&lt;D xsi:type="xsd:double"&gt;0.83582383&lt;/D&gt;&lt;/FQL&gt;&lt;FQL&gt;&lt;Q&gt;VMI-US^P_BETA_LOCIDX(45541,45366,,"SPX")&lt;/Q&gt;&lt;R&gt;1&lt;/R&gt;&lt;C&gt;1&lt;/C&gt;&lt;D xsi:type="xsd:double"&gt;0.834376&lt;/D&gt;&lt;/FQL&gt;&lt;FQL&gt;&lt;Q&gt;VMI-US^P_BETA_LOCIDX(45540,45365,,"SPX")&lt;/Q&gt;&lt;R&gt;1&lt;/R&gt;&lt;C&gt;1&lt;/C&gt;&lt;D xsi:type="xsd:double"&gt;0.8756094&lt;/D&gt;&lt;/FQL&gt;&lt;FQL&gt;&lt;Q&gt;VMI-US^P_BETA_LOCIDX(45539,45364,,"SPX")&lt;/Q&gt;&lt;R&gt;1&lt;/R&gt;&lt;C&gt;1&lt;/C&gt;&lt;D xsi:type="xsd:double"&gt;0.8654629&lt;/D&gt;&lt;/FQL&gt;&lt;FQL&gt;&lt;Q&gt;VMI-US^P_BETA_LOCIDX(45538,45363,,"SPX")&lt;/Q&gt;&lt;R&gt;1&lt;/R&gt;&lt;C&gt;1&lt;/C&gt;&lt;D xsi:type="xsd:double"&gt;0.84215754&lt;/D&gt;&lt;/FQL&gt;&lt;FQL&gt;&lt;Q&gt;VMI-US^P_BETA_LOCIDX(45534,45362,,"SPX")&lt;/Q&gt;&lt;R&gt;1&lt;/R&gt;&lt;C&gt;1&lt;/C&gt;&lt;D xsi:type="xsd:double"&gt;0.79777116&lt;/D&gt;&lt;/FQL&gt;&lt;FQL&gt;&lt;Q&gt;VMI-US^P_BETA_LOCIDX(45533,45359,,"SPX")&lt;/Q&gt;&lt;R&gt;1&lt;/R&gt;&lt;C&gt;1&lt;/C&gt;&lt;D xsi:type="xsd:double"&gt;0.7847781&lt;/D&gt;&lt;/FQL&gt;&lt;FQL&gt;&lt;Q&gt;VMI-US^P_BETA_LOCIDX(45532,45358,,"SPX")&lt;/Q&gt;&lt;R&gt;1&lt;/R&gt;&lt;C&gt;1&lt;/C&gt;&lt;D xsi:type="xsd:double"&gt;0.7966169&lt;/D&gt;&lt;/FQL&gt;&lt;FQL&gt;&lt;Q&gt;VMI-US^P_BETA_LOCIDX(45531,45357,,"SPX")&lt;/Q&gt;&lt;R&gt;1&lt;/R&gt;&lt;C&gt;1&lt;/C&gt;&lt;D xsi:type="xsd:double"&gt;0.7881093&lt;/D&gt;&lt;/FQL&gt;&lt;FQL&gt;&lt;Q&gt;VMI-US^P_BETA_LOCIDX(45530,45356,,"SPX")&lt;/Q&gt;&lt;R&gt;1&lt;/R&gt;&lt;C&gt;1&lt;/C&gt;&lt;D xsi:type="xsd:double"&gt;0.8037408&lt;/D&gt;&lt;/FQL&gt;&lt;FQL&gt;&lt;Q&gt;VMI-US^P_BETA_LOCIDX(45527,45355,,"SPX")&lt;/Q&gt;&lt;R&gt;1&lt;/R&gt;&lt;C&gt;1&lt;/C&gt;&lt;D xsi:type="xsd:double"&gt;0.8026349&lt;/D&gt;&lt;/FQL&gt;&lt;FQL&gt;&lt;Q&gt;VMI-US^P_BETA_LOCIDX(45526,45352,,"SPX")&lt;/Q&gt;&lt;R&gt;1&lt;/R&gt;&lt;C&gt;1&lt;/C&gt;&lt;D xsi:type="xsd:double"&gt;0.7803809&lt;/D&gt;&lt;/FQL&gt;&lt;FQL&gt;&lt;Q&gt;VMI-US^P_BETA_LOCIDX(45525,45351,,"SPX")&lt;/Q&gt;&lt;R&gt;1&lt;/R&gt;&lt;C&gt;1&lt;/C&gt;&lt;D xsi:type="xsd:double"&gt;0.7766202&lt;/D&gt;&lt;/FQL&gt;&lt;FQL&gt;&lt;Q&gt;VMI-US^P_BETA_LOCIDX(45524,45350,,"SPX")&lt;/Q&gt;&lt;R&gt;1&lt;/R&gt;&lt;C&gt;1&lt;/C&gt;&lt;D xsi:type="xsd:double"&gt;0.77359134&lt;/D&gt;&lt;/FQL&gt;&lt;FQL&gt;&lt;Q&gt;VMI-US^P_BETA_LOCIDX(45523,45349,,"SPX")&lt;/Q&gt;&lt;R&gt;1&lt;/R&gt;&lt;C&gt;1&lt;/C&gt;&lt;D xsi:type="xsd:double"&gt;0.76874065&lt;/D&gt;&lt;/FQL&gt;&lt;FQL&gt;&lt;Q&gt;VMI-US^P_BETA_LOCIDX(45520,45348,,"SPX")&lt;/Q&gt;&lt;R&gt;1&lt;/R&gt;&lt;C&gt;1&lt;/C&gt;&lt;D xsi:type="xsd:double"&gt;0.7822118&lt;/D&gt;&lt;/FQL&gt;&lt;FQL&gt;&lt;Q&gt;VMI-US^P_BETA_LOCIDX(45519,45345,,"SPX")&lt;/Q&gt;&lt;R&gt;1&lt;/R&gt;&lt;C&gt;1&lt;/C&gt;&lt;D xsi:type="xsd:double"&gt;0.7840064&lt;/D&gt;&lt;/FQL&gt;&lt;FQL&gt;&lt;Q&gt;VMI-US^P_BETA_LOCIDX(45518,45344,,"SPX")&lt;/Q&gt;&lt;R&gt;1&lt;/R&gt;&lt;C&gt;1&lt;/C&gt;&lt;D xsi:type="xsd:double"&gt;0.6691056&lt;/D&gt;&lt;/FQL&gt;&lt;FQL&gt;&lt;Q&gt;VMI-US^P_BETA_LOCIDX(45517,45343,,"SPX")&lt;/Q&gt;&lt;R&gt;1&lt;/R&gt;&lt;C&gt;1&lt;/C&gt;&lt;D xsi:type="xsd:double"&gt;0.6683984&lt;/D&gt;&lt;/FQL&gt;&lt;FQL&gt;&lt;Q&gt;VMI-US^P_BETA_LOCIDX(45516,45342,,"SPX")&lt;/Q&gt;&lt;R&gt;1&lt;/R&gt;&lt;C&gt;1&lt;/C&gt;&lt;D xsi:type="xsd:double"&gt;0.6863015&lt;/D&gt;&lt;/FQL&gt;&lt;FQL&gt;&lt;Q&gt;VMI-US^P_BETA_LOCIDX(45513,45338,,"SPX")&lt;/Q&gt;&lt;R&gt;1&lt;/R&gt;&lt;C&gt;1&lt;/C&gt;&lt;D xsi:type="xsd:double"&gt;0.69387424&lt;/D&gt;&lt;/FQL&gt;&lt;FQL&gt;&lt;Q&gt;VMI-US^P_BETA_LOCIDX(45512,45337,,"SPX")&lt;/Q&gt;&lt;R&gt;1&lt;/R&gt;&lt;C&gt;1&lt;/C&gt;&lt;D xsi:type="xsd:double"&gt;0.687529&lt;/D&gt;&lt;/FQL&gt;&lt;FQL&gt;&lt;Q&gt;VMI-US^P_BETA_LOCIDX(45511,45336,,"SPX")&lt;/Q&gt;&lt;R&gt;1&lt;/R&gt;&lt;C&gt;1&lt;/C&gt;&lt;D xsi:type="xsd:double"&gt;0.69277763&lt;/D&gt;&lt;/FQL&gt;&lt;FQL&gt;&lt;Q&gt;VMI-US^P_BETA_LOCIDX(45510,45335,,"SPX")&lt;/Q&gt;&lt;R&gt;1&lt;/R&gt;&lt;C&gt;1&lt;/C&gt;&lt;D xsi:type="xsd:double"&gt;0.73377955&lt;/D&gt;&lt;/FQL&gt;&lt;FQL&gt;&lt;Q&gt;VMI-US^P_BETA_LOCIDX(45509,45334,,"SPX")&lt;/Q&gt;&lt;R&gt;1&lt;/R&gt;&lt;C&gt;1&lt;/C&gt;&lt;D xsi:type="xsd:double"&gt;0.74614424&lt;/D&gt;&lt;/FQL&gt;&lt;FQL&gt;&lt;Q&gt;VMI-US^P_BETA_LOCIDX(45506,45331,,"SPX")&lt;/Q&gt;&lt;R&gt;1&lt;/R&gt;&lt;C&gt;1&lt;/C&gt;&lt;D xsi:type="xsd:double"&gt;0.72539043&lt;/D&gt;&lt;/FQL&gt;&lt;FQL&gt;&lt;Q&gt;VMI-US^P_BETA_LOCIDX(45505,45330,,"SPX")&lt;/Q&gt;&lt;R&gt;1&lt;/R&gt;&lt;C&gt;1&lt;/C&gt;&lt;D xsi:type="xsd:double"&gt;0.7014568&lt;/D&gt;&lt;/FQL&gt;&lt;FQL&gt;&lt;Q&gt;VMI-US^P_BETA_LOCIDX(45504,45329,,"SPX")&lt;/Q&gt;&lt;R&gt;1&lt;/R&gt;&lt;C&gt;1&lt;/C&gt;&lt;D xsi:type="xsd:double"&gt;0.6842816&lt;/D&gt;&lt;/FQL&gt;&lt;FQL&gt;&lt;Q&gt;VMI-US^P_BETA_LOCIDX(45503,45328,,"SPX")&lt;/Q&gt;&lt;R&gt;1&lt;/R&gt;&lt;C&gt;1&lt;/C&gt;&lt;D xsi:type="xsd:double"&gt;0.73725873&lt;/D&gt;&lt;/FQL&gt;&lt;FQL&gt;&lt;Q&gt;VMI-US^P_BETA_LOCIDX(45502,45327,,"SPX")&lt;/Q&gt;&lt;R&gt;1&lt;/R&gt;&lt;C&gt;1&lt;/C&gt;&lt;D xsi:type="xsd:double"&gt;0.75072914&lt;/D&gt;&lt;/FQL&gt;&lt;FQL&gt;&lt;Q&gt;VMI-US^P_BETA_LOCIDX(45499,45324,,"SPX")&lt;/Q&gt;&lt;R&gt;1&lt;/R&gt;&lt;C&gt;1&lt;/C&gt;&lt;D xsi:type="xsd:double"&gt;0.7207612&lt;/D&gt;&lt;/FQL&gt;&lt;FQL&gt;&lt;Q&gt;VMI-US^P_BETA_LOCIDX(45498,45323,,"SPX")&lt;/Q&gt;&lt;R&gt;1&lt;/R&gt;&lt;C&gt;1&lt;/C&gt;&lt;D xsi:type="xsd:double"&gt;0.73578644&lt;/D&gt;&lt;/FQL&gt;&lt;FQL&gt;&lt;Q&gt;VMI-US^P_BETA_LOCIDX(45497,45322,,"SPX")&lt;/Q&gt;&lt;R&gt;1&lt;/R&gt;&lt;C&gt;1&lt;/C&gt;&lt;D xsi:type="xsd:double"&gt;0.85796696&lt;/D&gt;&lt;/FQL&gt;&lt;FQL&gt;&lt;Q&gt;VMI-US^P_BETA_LOCIDX(45496,45321,,"SPX")&lt;/Q&gt;&lt;R&gt;1&lt;/R&gt;&lt;C&gt;1&lt;/C&gt;&lt;D xsi:type="xsd:double"&gt;0.8548162&lt;/D&gt;&lt;/FQL&gt;&lt;FQL&gt;&lt;Q&gt;VMI-US^P_BETA_LOCIDX(45495,45320,,"SPX")&lt;/Q&gt;&lt;R&gt;1&lt;/R&gt;&lt;C&gt;1&lt;/C&gt;&lt;D xsi:type="xsd:double"&gt;0.84791994&lt;/D&gt;&lt;/FQL&gt;&lt;FQL&gt;&lt;Q&gt;VMI-US^P_BETA_LOCIDX(45492,45317,,"SPX")&lt;/Q&gt;&lt;R&gt;1&lt;/R&gt;&lt;C&gt;1&lt;/C&gt;&lt;D xsi:type="xsd:double"&gt;0.8546455&lt;/D&gt;&lt;/FQL&gt;&lt;FQL&gt;&lt;Q&gt;VMI-US^P_BETA_LOCIDX(45491,45316,,"SPX")&lt;/Q&gt;&lt;R&gt;1&lt;/R&gt;&lt;C&gt;1&lt;/C&gt;&lt;D xsi:type="xsd:double"&gt;0.8388359&lt;/D&gt;&lt;/FQL&gt;&lt;FQL&gt;&lt;Q&gt;VMI-US^P_BETA_LOCIDX(45490,45315,,"SPX")&lt;/Q&gt;&lt;R&gt;1&lt;/R&gt;&lt;C&gt;1&lt;/C&gt;&lt;D xsi:type="xsd:double"&gt;0.8314529&lt;/D&gt;&lt;/FQL&gt;&lt;FQL&gt;&lt;Q&gt;VMI-US^P_BETA_LOCIDX(45489,45314,,"SPX")&lt;/Q&gt;&lt;R&gt;1&lt;/R&gt;&lt;C&gt;1&lt;/C&gt;&lt;D xsi:type="xsd:double"&gt;0.89480966&lt;/D&gt;&lt;/FQL&gt;&lt;FQL&gt;&lt;Q&gt;VMI-US^P_BETA_LOCIDX(45488,45313,,"SPX")&lt;/Q&gt;&lt;R&gt;1&lt;/R&gt;&lt;C&gt;1&lt;/C&gt;&lt;D xsi:type="xsd:double"&gt;0.8730475&lt;/D&gt;&lt;/FQL&gt;&lt;FQL&gt;&lt;Q&gt;VMI-US^P_BETA_LOCIDX(45485,45310,,"SPX")&lt;/Q&gt;&lt;R&gt;1&lt;/R&gt;&lt;C&gt;1&lt;/C&gt;&lt;D xsi:type="xsd:double"&gt;0.8542492&lt;/D&gt;&lt;/FQL&gt;&lt;FQL&gt;&lt;Q&gt;VMI-US^P_BETA_LOCIDX(45484,45309,,"SPX")&lt;/Q&gt;&lt;R&gt;1&lt;/R&gt;&lt;C&gt;1&lt;/C&gt;&lt;D xsi:type="xsd:double"&gt;0.846202&lt;/D&gt;&lt;/FQL&gt;&lt;FQL&gt;&lt;Q&gt;VMI-US^P_BETA_LOCIDX(45483,45308,,"SPX")&lt;/Q&gt;&lt;R&gt;1&lt;/R&gt;&lt;C&gt;1&lt;/C&gt;&lt;D xsi:type="xsd:double"&gt;0.90860754&lt;/D&gt;&lt;/FQL&gt;&lt;FQL&gt;&lt;Q&gt;VMI-US^P_BETA_LOCIDX(45482,45307,,"SPX")&lt;/Q&gt;&lt;R&gt;1&lt;/R&gt;&lt;C&gt;1&lt;/C&gt;&lt;D xsi:type="xsd:double"&gt;0.9047618&lt;/D&gt;&lt;/FQL&gt;&lt;FQL&gt;&lt;Q&gt;VMI-US^P_BETA_LOCIDX(45481,45303,,"SPX")&lt;/Q&gt;&lt;R&gt;1&lt;/R&gt;&lt;C&gt;1&lt;/C&gt;&lt;D xsi:type="xsd:double"&gt;0.90271366&lt;/D&gt;&lt;/FQL&gt;&lt;FQL&gt;&lt;Q&gt;VMI-US^P_BETA_LOCIDX(45478,45302,,"SPX")&lt;/Q&gt;&lt;R&gt;1&lt;/R&gt;&lt;C&gt;1&lt;/C&gt;&lt;D xsi:type="xsd:double"&gt;0.9028802&lt;/D&gt;&lt;/FQL&gt;&lt;FQL&gt;&lt;Q&gt;VMI-US^P_BETA_LOCIDX(45476,45301,,"SPX")&lt;/Q&gt;&lt;R&gt;1&lt;/R&gt;&lt;C&gt;1&lt;/C&gt;&lt;D xsi:type="xsd:double"&gt;0.9205181&lt;/D&gt;&lt;/FQL&gt;&lt;FQL&gt;&lt;Q&gt;VMI-US^P_BETA_LOCIDX(45475,45300,,"SPX")&lt;/Q&gt;&lt;R&gt;1&lt;/R&gt;&lt;C&gt;1&lt;/C&gt;&lt;D xsi:type="xsd:double"&gt;0.93896776&lt;/D&gt;&lt;/FQL&gt;&lt;FQL&gt;&lt;Q&gt;VMI-US^P_BETA_LOCIDX(45474,45299,,"SPX")&lt;/Q&gt;&lt;R&gt;1&lt;/R&gt;&lt;C&gt;1&lt;/C&gt;&lt;D xsi:type="xsd:double"&gt;0.91781986&lt;/D&gt;&lt;/FQL&gt;&lt;FQL&gt;&lt;Q&gt;VMI-US^P_BETA_LOCIDX(45471,45296,,"SPX")&lt;/Q&gt;&lt;R&gt;1&lt;/R&gt;&lt;C&gt;1&lt;/C&gt;&lt;D xsi:type="xsd:double"&gt;0.9261274&lt;/D&gt;&lt;/FQL&gt;&lt;FQL&gt;&lt;Q&gt;VMI-US^P_BETA_LOCIDX(45470,45295,,"SPX")&lt;/Q&gt;&lt;R&gt;1&lt;/R&gt;&lt;C&gt;1&lt;/C&gt;&lt;D xsi:type="xsd:double"&gt;0.9275052&lt;/D&gt;&lt;/FQL&gt;&lt;FQL&gt;&lt;Q&gt;VMI-US^P_BETA_LOCIDX(45469,45294,,"SPX")&lt;/Q&gt;&lt;R&gt;1&lt;/R&gt;&lt;C&gt;1&lt;/C&gt;&lt;D xsi:type="xsd:double"&gt;0.9800916&lt;/D&gt;&lt;/FQL&gt;&lt;FQL&gt;&lt;Q&gt;VMI-US^P_BETA_LOCIDX(45468,45293,,"SPX")&lt;/Q&gt;&lt;R&gt;1&lt;/R&gt;&lt;C&gt;1&lt;/C&gt;&lt;D xsi:type="xsd:double"&gt;0.9686268&lt;/D&gt;&lt;/FQL&gt;&lt;FQL&gt;&lt;Q&gt;VMI-US^P_BETA_LOCIDX(45467,45289,,"SPX")&lt;/Q&gt;&lt;R&gt;1&lt;/R&gt;&lt;C&gt;1&lt;/C&gt;&lt;D xsi:type="xsd:double"&gt;0.9710917&lt;/D&gt;&lt;/FQL&gt;&lt;FQL&gt;&lt;Q&gt;VMI-US^P_BETA_LOCIDX(45464,45288,,"SPX")&lt;/Q&gt;&lt;R&gt;1&lt;/R&gt;&lt;C&gt;1&lt;/C&gt;&lt;D xsi:type="xsd:double"&gt;0.9706743&lt;/D&gt;&lt;/FQL&gt;&lt;FQL&gt;&lt;Q&gt;VMI-US^P_BETA_LOCIDX(45463,45287,,"SPX")&lt;/Q&gt;&lt;R&gt;1&lt;/R&gt;&lt;C&gt;1&lt;/C&gt;&lt;D xsi:type="xsd:double"&gt;0.9762062&lt;/D&gt;&lt;/FQL&gt;&lt;FQL&gt;&lt;Q&gt;VMI-US^P_BETA_LOCIDX(45461,45286,,"SPX")&lt;/Q&gt;&lt;R&gt;1&lt;/R&gt;&lt;C&gt;1&lt;/C&gt;&lt;D xsi:type="xsd:double"&gt;0.9679588&lt;/D&gt;&lt;/FQL&gt;&lt;FQL&gt;&lt;Q&gt;VMI-US^P_BETA_LOCIDX(45460,45282,,"SPX")&lt;/Q&gt;&lt;R&gt;1&lt;/R&gt;&lt;C&gt;1&lt;/C&gt;&lt;D xsi:type="xsd:double"&gt;0.96530455&lt;/D&gt;&lt;/FQL&gt;&lt;FQL&gt;&lt;Q&gt;VMI-US^P_BETA_LOCIDX(45457,45281,,"SPX")&lt;/Q&gt;&lt;R&gt;1&lt;/R&gt;&lt;C&gt;1&lt;/C&gt;&lt;D xsi:type="xsd:double"&gt;0.9841266&lt;/D&gt;&lt;/FQL&gt;&lt;FQL&gt;&lt;Q&gt;VMI-US^P_BETA_LOCIDX(45456,45280,,"SPX")&lt;/Q&gt;&lt;R&gt;1&lt;/R&gt;&lt;C&gt;1&lt;/C&gt;&lt;D xsi:type="xsd:double"&gt;0.9871355&lt;/D&gt;&lt;/FQL&gt;&lt;FQL&gt;&lt;Q&gt;VMI-US^P_BETA_LOCIDX(45455,45279,,"SPX")&lt;/Q&gt;&lt;R&gt;1&lt;/R&gt;&lt;C&gt;1&lt;/C&gt;&lt;D xsi:type="xsd:double"&gt;1.0005851&lt;/D&gt;&lt;/FQL&gt;&lt;FQL&gt;&lt;Q&gt;VMI-US^P_BETA_LOCIDX(45454,45278,,"SPX")&lt;/Q&gt;&lt;R&gt;1&lt;/R&gt;&lt;C&gt;1&lt;/C&gt;&lt;D xsi:type="xsd:double"&gt;0.97355056&lt;/D&gt;&lt;/FQL&gt;&lt;FQL&gt;&lt;Q&gt;VMI-US^P_BETA_LOCIDX(45453,45275,,"SPX")&lt;/Q&gt;&lt;R&gt;1&lt;/R&gt;&lt;C&gt;1&lt;/C&gt;&lt;D xsi:type="xsd:double"&gt;0.98010045&lt;/D&gt;&lt;/FQL&gt;&lt;FQL&gt;&lt;Q&gt;VMI-US^P_BETA_LOCIDX(45450,45274,,"SPX")&lt;/Q&gt;&lt;R&gt;1&lt;/R&gt;&lt;C&gt;1&lt;/C&gt;&lt;D xsi:type="xsd:double"&gt;0.9811094&lt;/D&gt;&lt;/FQL&gt;&lt;FQL&gt;&lt;Q&gt;VMI-US^P_BETA_LOCIDX(45449,45273,,"SPX")&lt;/Q&gt;&lt;R&gt;1&lt;/R&gt;&lt;C&gt;1&lt;/C&gt;&lt;D xsi:type="xsd:double"&gt;0.9396394&lt;/D&gt;&lt;/FQL&gt;&lt;FQL&gt;&lt;Q&gt;VMI-US^P_BETA_LOCIDX(45448,45272,,"SPX")&lt;/Q&gt;&lt;R&gt;1&lt;/R&gt;&lt;C&gt;1&lt;/C&gt;&lt;D xsi:type="xsd:double"&gt;0.93535393&lt;/D&gt;&lt;/FQL&gt;&lt;FQL&gt;&lt;Q&gt;VMI-US^P_BETA_LOCIDX(45447,45271,,"SPX")&lt;/Q&gt;&lt;R&gt;1&lt;/R&gt;&lt;C&gt;1&lt;/C&gt;&lt;D xsi:type="xsd:double"&gt;0.93389755&lt;/D&gt;&lt;/FQL&gt;&lt;FQL&gt;&lt;Q&gt;VMI-US^P_BETA_LOCIDX(45446,45268,,"SPX")&lt;/Q&gt;&lt;R&gt;1&lt;/R&gt;&lt;C&gt;1&lt;/C&gt;&lt;D xsi:type="xsd:double"&gt;0.9360519&lt;/D&gt;&lt;/FQL&gt;&lt;FQL&gt;&lt;Q&gt;VMI-US^P_BETA_LOCIDX(45443,45267,,"SPX")&lt;/Q&gt;&lt;R&gt;1&lt;/R&gt;&lt;C&gt;1&lt;/C&gt;&lt;D xsi:type="xsd:double"&gt;0.92628145&lt;/D&gt;&lt;/FQL&gt;&lt;FQL&gt;&lt;Q&gt;VMI-US^P_BETA_LOCIDX(45442,45266,,"SPX")&lt;/Q&gt;&lt;R&gt;1&lt;/R&gt;&lt;C&gt;1&lt;/C&gt;&lt;D xsi:type="xsd:double"&gt;0.94043976&lt;/D&gt;&lt;/FQL&gt;&lt;FQL&gt;&lt;Q&gt;VMI-US^P_BETA_LOCIDX(45441,45265,,"SPX")&lt;/Q&gt;&lt;R&gt;1&lt;/R&gt;&lt;C&gt;1&lt;/C&gt;&lt;D xsi:type="xsd:double"&gt;0.96403825&lt;/D&gt;&lt;/FQL&gt;&lt;FQL&gt;&lt;Q&gt;VMI-US^P_BETA_LOCIDX(45440,45264,,"SPX")&lt;/Q&gt;&lt;R&gt;1&lt;/R&gt;&lt;C&gt;1&lt;/C&gt;&lt;D xsi:type="xsd:double"&gt;0.9590399&lt;/D&gt;&lt;/FQL&gt;&lt;FQL&gt;&lt;Q&gt;VMI-US^P_BETA_LOCIDX(45436,45261,,"SPX")&lt;/Q&gt;&lt;R&gt;1&lt;/R&gt;&lt;C&gt;1&lt;/C&gt;&lt;D xsi:type="xsd:double"&gt;0.9684773&lt;/D&gt;&lt;/FQL&gt;&lt;FQL&gt;&lt;Q&gt;VMI-US^P_BETA_LOCIDX(45435,45260,,"SPX")&lt;/Q&gt;&lt;R&gt;1&lt;/R&gt;&lt;C&gt;1&lt;/C&gt;&lt;D xsi:type="xsd:double"&gt;0.9882356&lt;/D&gt;&lt;/FQL&gt;&lt;FQL&gt;&lt;Q&gt;VMI-US^P_BETA_LOCIDX(45434,45259,,"SPX")&lt;/Q&gt;&lt;R&gt;1&lt;/R&gt;&lt;C&gt;1&lt;/C&gt;&lt;D xsi:type="xsd:double"&gt;0.95094335&lt;/D&gt;&lt;/FQL&gt;&lt;FQL&gt;&lt;Q&gt;VMI-US^P_BETA_LOCIDX(45433,45258,,"SPX")&lt;/Q&gt;&lt;R&gt;1&lt;/R&gt;&lt;C&gt;1&lt;/C&gt;&lt;D xsi:type="xsd:double"&gt;0.9582426&lt;/D&gt;&lt;/FQL&gt;&lt;FQL&gt;&lt;Q&gt;VMI-US^P_BETA_LOCIDX(45432,45257,,"SPX")&lt;/Q&gt;&lt;R&gt;1&lt;/R&gt;&lt;C&gt;1&lt;/C&gt;&lt;D xsi:type="xsd:double"&gt;0.97279394&lt;/D&gt;&lt;/FQL&gt;&lt;FQL&gt;&lt;Q&gt;VMI-US^P_BETA_LOCIDX(45429,45254,,"SPX")&lt;/Q&gt;&lt;R&gt;1&lt;/R&gt;&lt;C&gt;1&lt;/C&gt;&lt;D xsi:type="xsd:double"&gt;0.97222966&lt;/D&gt;&lt;/FQL&gt;&lt;FQL&gt;&lt;Q&gt;VMI-US^P_BETA_LOCIDX(45428,45252,,"SPX")&lt;/Q&gt;&lt;R&gt;1&lt;/R&gt;&lt;C&gt;1&lt;/C&gt;&lt;D xsi:type="xsd:double"&gt;0.97110987&lt;/D&gt;&lt;/FQL&gt;&lt;FQL&gt;&lt;Q&gt;VMI-US^P_BETA_LOCIDX(45427,45251,,"SPX")&lt;/Q&gt;&lt;R&gt;1&lt;/R&gt;&lt;C&gt;1&lt;/C&gt;&lt;D xsi:type="xsd:double"&gt;0.98157847&lt;/D&gt;&lt;/FQL&gt;&lt;FQL&gt;&lt;Q&gt;VMI-US^P_BETA_LOCIDX(45426,45250,,"SPX")&lt;/Q&gt;&lt;R&gt;1&lt;/R&gt;&lt;C&gt;1&lt;/C&gt;&lt;D xsi:type="xsd:d</t>
        </r>
      </text>
    </comment>
    <comment ref="A12" authorId="0" shapeId="0" xr:uid="{18453371-BC21-4A38-A0B4-C9907CE4725D}">
      <text>
        <r>
          <rPr>
            <b/>
            <sz val="9"/>
            <color indexed="81"/>
            <rFont val="Tahoma"/>
            <family val="2"/>
          </rPr>
          <t>ouble"&gt;0.99540925&lt;/D&gt;&lt;/FQL&gt;&lt;FQL&gt;&lt;Q&gt;VMI-US^P_BETA_LOCIDX(45425,45247,,"SPX")&lt;/Q&gt;&lt;R&gt;1&lt;/R&gt;&lt;C&gt;1&lt;/C&gt;&lt;D xsi:type="xsd:double"&gt;0.9992897&lt;/D&gt;&lt;/FQL&gt;&lt;FQL&gt;&lt;Q&gt;VMI-US^P_BETA_LOCIDX(45422,45246,,"SPX")&lt;/Q&gt;&lt;R&gt;1&lt;/R&gt;&lt;C&gt;1&lt;/C&gt;&lt;D xsi:type="xsd:double"&gt;0.99897784&lt;/D&gt;&lt;/FQL&gt;&lt;FQL&gt;&lt;Q&gt;VMI-US^P_BETA_LOCIDX(45421,45245,,"SPX")&lt;/Q&gt;&lt;R&gt;1&lt;/R&gt;&lt;C&gt;1&lt;/C&gt;&lt;D xsi:type="xsd:double"&gt;0.99868107&lt;/D&gt;&lt;/FQL&gt;&lt;FQL&gt;&lt;Q&gt;VMI-US^P_BETA_LOCIDX(45420,45244,,"SPX")&lt;/Q&gt;&lt;R&gt;1&lt;/R&gt;&lt;C&gt;1&lt;/C&gt;&lt;D xsi:type="xsd:double"&gt;1.0846186&lt;/D&gt;&lt;/FQL&gt;&lt;FQL&gt;&lt;Q&gt;VMI-US^P_BETA_LOCIDX(45419,45243,,"SPX")&lt;/Q&gt;&lt;R&gt;1&lt;/R&gt;&lt;C&gt;1&lt;/C&gt;&lt;D xsi:type="xsd:double"&gt;1.0918932&lt;/D&gt;&lt;/FQL&gt;&lt;FQL&gt;&lt;Q&gt;VMI-US^P_BETA_LOCIDX(45418,45240,,"SPX")&lt;/Q&gt;&lt;R&gt;1&lt;/R&gt;&lt;C&gt;1&lt;/C&gt;&lt;D xsi:type="xsd:double"&gt;1.1032104&lt;/D&gt;&lt;/FQL&gt;&lt;FQL&gt;&lt;Q&gt;VMI-US^P_BETA_LOCIDX(45415,45239,,"SPX")&lt;/Q&gt;&lt;R&gt;1&lt;/R&gt;&lt;C&gt;1&lt;/C&gt;&lt;D xsi:type="xsd:double"&gt;1.0798254&lt;/D&gt;&lt;/FQL&gt;&lt;FQL&gt;&lt;Q&gt;VMI-US^P_BETA_LOCIDX(45414,45238,,"SPX")&lt;/Q&gt;&lt;R&gt;1&lt;/R&gt;&lt;C&gt;1&lt;/C&gt;&lt;D xsi:type="xsd:double"&gt;1.0942072&lt;/D&gt;&lt;/FQL&gt;&lt;FQL&gt;&lt;Q&gt;VMI-US^P_BETA_LOCIDX(45413,45237,,"SPX")&lt;/Q&gt;&lt;R&gt;1&lt;/R&gt;&lt;C&gt;1&lt;/C&gt;&lt;D xsi:type="xsd:double"&gt;0.86778677&lt;/D&gt;&lt;/FQL&gt;&lt;FQL&gt;&lt;Q&gt;VMI-US^P_BETA_LOCIDX(45412,45236,,"SPX")&lt;/Q&gt;&lt;R&gt;1&lt;/R&gt;&lt;C&gt;1&lt;/C&gt;&lt;D xsi:type="xsd:double"&gt;0.879936&lt;/D&gt;&lt;/FQL&gt;&lt;FQL&gt;&lt;Q&gt;VMI-US^P_BETA_LOCIDX(45411,45233,,"SPX")&lt;/Q&gt;&lt;R&gt;1&lt;/R&gt;&lt;C&gt;1&lt;/C&gt;&lt;D xsi:type="xsd:double"&gt;0.864924&lt;/D&gt;&lt;/FQL&gt;&lt;FQL&gt;&lt;Q&gt;VMI-US^P_BETA_LOCIDX(45408,45232,,"SPX")&lt;/Q&gt;&lt;R&gt;1&lt;/R&gt;&lt;C&gt;1&lt;/C&gt;&lt;D xsi:type="xsd:double"&gt;0.84224135&lt;/D&gt;&lt;/FQL&gt;&lt;FQL&gt;&lt;Q&gt;VMI-US^P_BETA_LOCIDX(45407,45231,,"SPX")&lt;/Q&gt;&lt;R&gt;1&lt;/R&gt;&lt;C&gt;1&lt;/C&gt;&lt;D xsi:type="xsd:double"&gt;0.85220397&lt;/D&gt;&lt;/FQL&gt;&lt;FQL&gt;&lt;Q&gt;VMI-US^P_BETA_LOCIDX(45406,45230,,"SPX")&lt;/Q&gt;&lt;R&gt;1&lt;/R&gt;&lt;C&gt;1&lt;/C&gt;&lt;D xsi:type="xsd:double"&gt;0.85437465&lt;/D&gt;&lt;/FQL&gt;&lt;FQL&gt;&lt;Q&gt;VMI-US^P_BETA_LOCIDX(45405,45229,,"SPX")&lt;/Q&gt;&lt;R&gt;1&lt;/R&gt;&lt;C&gt;1&lt;/C&gt;&lt;D xsi:type="xsd:double"&gt;0.874433&lt;/D&gt;&lt;/FQL&gt;&lt;FQL&gt;&lt;Q&gt;VMI-US^P_BETA_LOCIDX(45404,45226,,"SPX")&lt;/Q&gt;&lt;R&gt;1&lt;/R&gt;&lt;C&gt;1&lt;/C&gt;&lt;D xsi:type="xsd:double"&gt;0.92634034&lt;/D&gt;&lt;/FQL&gt;&lt;FQL&gt;&lt;Q&gt;VMI-US^P_BETA_LOCIDX(45401,45225,,"SPX")&lt;/Q&gt;&lt;R&gt;1&lt;/R&gt;&lt;C&gt;1&lt;/C&gt;&lt;D xsi:type="xsd:double"&gt;1.2158875&lt;/D&gt;&lt;/FQL&gt;&lt;FQL&gt;&lt;Q&gt;VMI-US^P_BETA_LOCIDX(45400,45224,,"SPX")&lt;/Q&gt;&lt;R&gt;1&lt;/R&gt;&lt;C&gt;1&lt;/C&gt;&lt;D xsi:type="xsd:double"&gt;1.2001916&lt;/D&gt;&lt;/FQL&gt;&lt;FQL&gt;&lt;Q&gt;VMI-US^P_BETA_LOCIDX(45399,45223,,"SPX")&lt;/Q&gt;&lt;R&gt;1&lt;/R&gt;&lt;C&gt;1&lt;/C&gt;&lt;D xsi:type="xsd:double"&gt;1.1832137&lt;/D&gt;&lt;/FQL&gt;&lt;FQL&gt;&lt;Q&gt;VMI-US^P_BETA_LOCIDX(45398,45222,,"SPX")&lt;/Q&gt;&lt;R&gt;1&lt;/R&gt;&lt;C&gt;1&lt;/C&gt;&lt;D xsi:type="xsd:double"&gt;1.1782018&lt;/D&gt;&lt;/FQL&gt;&lt;FQL&gt;&lt;Q&gt;VMI-US^P_BETA_LOCIDX(45397,45219,,"SPX")&lt;/Q&gt;&lt;R&gt;1&lt;/R&gt;&lt;C&gt;1&lt;/C&gt;&lt;D xsi:type="xsd:double"&gt;1.1862489&lt;/D&gt;&lt;/FQL&gt;&lt;FQL&gt;&lt;Q&gt;VMI-US^P_BETA_LOCIDX(45394,45218,,"SPX")&lt;/Q&gt;&lt;R&gt;1&lt;/R&gt;&lt;C&gt;1&lt;/C&gt;&lt;D xsi:type="xsd:double"&gt;1.091601&lt;/D&gt;&lt;/FQL&gt;&lt;FQL&gt;&lt;Q&gt;VMI-US^P_BETA_LOCIDX(45393,45217,,"SPX")&lt;/Q&gt;&lt;R&gt;1&lt;/R&gt;&lt;C&gt;1&lt;/C&gt;&lt;D xsi:type="xsd:double"&gt;1.2251762&lt;/D&gt;&lt;/FQL&gt;&lt;FQL&gt;&lt;Q&gt;VMI-US^P_BETA_LOCIDX(45392,45216,,"SPX")&lt;/Q&gt;&lt;R&gt;1&lt;/R&gt;&lt;C&gt;1&lt;/C&gt;&lt;D xsi:type="xsd:double"&gt;1.2265904&lt;/D&gt;&lt;/FQL&gt;&lt;FQL&gt;&lt;Q&gt;VMI-US^P_BETA_LOCIDX(45391,45215,,"SPX")&lt;/Q&gt;&lt;R&gt;1&lt;/R&gt;&lt;C&gt;1&lt;/C&gt;&lt;D xsi:type="xsd:double"&gt;1.2566406&lt;/D&gt;&lt;/FQL&gt;&lt;FQL&gt;&lt;Q&gt;VMI-US^P_BETA_LOCIDX(45390,45212,,"SPX")&lt;/Q&gt;&lt;R&gt;1&lt;/R&gt;&lt;C&gt;1&lt;/C&gt;&lt;D xsi:type="xsd:double"&gt;1.2643495&lt;/D&gt;&lt;/FQL&gt;&lt;FQL&gt;&lt;Q&gt;VMI-US^P_BETA_LOCIDX(45387,45211,,"SPX")&lt;/Q&gt;&lt;R&gt;1&lt;/R&gt;&lt;C&gt;1&lt;/C&gt;&lt;D xsi:type="xsd:double"&gt;1.27312&lt;/D&gt;&lt;/FQL&gt;&lt;FQL&gt;&lt;Q&gt;VMI-US^P_BETA_LOCIDX(45386,45210,,"SPX")&lt;/Q&gt;&lt;R&gt;1&lt;/R&gt;&lt;C&gt;1&lt;/C&gt;&lt;D xsi:type="xsd:double"&gt;1.2650592&lt;/D&gt;&lt;/FQL&gt;&lt;FQL&gt;&lt;Q&gt;VMI-US^P_BETA_LOCIDX(45385,45209,,"SPX")&lt;/Q&gt;&lt;R&gt;1&lt;/R&gt;&lt;C&gt;1&lt;/C&gt;&lt;D xsi:type="xsd:double"&gt;1.3053291&lt;/D&gt;&lt;/FQL&gt;&lt;FQL&gt;&lt;Q&gt;VMI-US^P_BETA_LOCIDX(45384,45208,,"SPX")&lt;/Q&gt;&lt;R&gt;1&lt;/R&gt;&lt;C&gt;1&lt;/C&gt;&lt;D xsi:type="xsd:double"&gt;1.304615&lt;/D&gt;&lt;/FQL&gt;&lt;FQL&gt;&lt;Q&gt;VMI-US^P_BETA_LOCIDX(45383,45205,,"SPX")&lt;/Q&gt;&lt;R&gt;1&lt;/R&gt;&lt;C&gt;1&lt;/C&gt;&lt;D xsi:type="xsd:double"&gt;1.2941816&lt;/D&gt;&lt;/FQL&gt;&lt;FQL&gt;&lt;Q&gt;VMI-US^P_BETA_LOCIDX(45379,45204,,"SPX")&lt;/Q&gt;&lt;R&gt;1&lt;/R&gt;&lt;C&gt;1&lt;/C&gt;&lt;D xsi:type="xsd:double"&gt;1.2920655&lt;/D&gt;&lt;/FQL&gt;&lt;FQL&gt;&lt;Q&gt;VMI-US^P_BETA_LOCIDX(45378,45203,,"SPX")&lt;/Q&gt;&lt;R&gt;1&lt;/R&gt;&lt;C&gt;1&lt;/C&gt;&lt;D xsi:type="xsd:double"&gt;1.2792333&lt;/D&gt;&lt;/FQL&gt;&lt;FQL&gt;&lt;Q&gt;VMI-US^P_BETA_LOCIDX(45377,45202,,"SPX")&lt;/Q&gt;&lt;R&gt;1&lt;/R&gt;&lt;C&gt;1&lt;/C&gt;&lt;D xsi:type="xsd:double"&gt;1.2314168&lt;/D&gt;&lt;/FQL&gt;&lt;FQL&gt;&lt;Q&gt;VMI-US^P_BETA_LOCIDX(45376,45201,,"SPX")&lt;/Q&gt;&lt;R&gt;1&lt;/R&gt;&lt;C&gt;1&lt;/C&gt;&lt;D xsi:type="xsd:double"&gt;1.2430352&lt;/D&gt;&lt;/FQL&gt;&lt;FQL&gt;&lt;Q&gt;VMI-US^P_BETA_LOCIDX(45373,45198,,"SPX")&lt;/Q&gt;&lt;R&gt;1&lt;/R&gt;&lt;C&gt;1&lt;/C&gt;&lt;D xsi:type="xsd:double"&gt;1.2451521&lt;/D&gt;&lt;/FQL&gt;&lt;FQL&gt;&lt;Q&gt;VMI-US^P_BETA_LOCIDX(45372,45197,,"SPX")&lt;/Q&gt;&lt;R&gt;1&lt;/R&gt;&lt;C&gt;1&lt;/C&gt;&lt;D xsi:type="xsd:double"&gt;1.2471341&lt;/D&gt;&lt;/FQL&gt;&lt;FQL&gt;&lt;Q&gt;VMI-US^P_BETA_LOCIDX(45371,45196,,"SPX")&lt;/Q&gt;&lt;R&gt;1&lt;/R&gt;&lt;C&gt;1&lt;/C&gt;&lt;D xsi:type="xsd:double"&gt;1.2400144&lt;/D&gt;&lt;/FQL&gt;&lt;FQL&gt;&lt;Q&gt;VMI-US^P_BETA_LOCIDX(45370,45195,,"SPX")&lt;/Q&gt;&lt;R&gt;1&lt;/R&gt;&lt;C&gt;1&lt;/C&gt;&lt;D xsi:type="xsd:double"&gt;1.1892679&lt;/D&gt;&lt;/FQL&gt;&lt;FQL&gt;&lt;Q&gt;VMI-US^P_BETA_LOCIDX(45369,45194,,"SPX")&lt;/Q&gt;&lt;R&gt;1&lt;/R&gt;&lt;C&gt;1&lt;/C&gt;&lt;D xsi:type="xsd:double"&gt;1.1865913&lt;/D&gt;&lt;/FQL&gt;&lt;FQL&gt;&lt;Q&gt;VMI-US^P_BETA_LOCIDX(45366,45191,,"SPX")&lt;/Q&gt;&lt;R&gt;1&lt;/R&gt;&lt;C&gt;1&lt;/C&gt;&lt;D xsi:type="xsd:double"&gt;1.1989683&lt;/D&gt;&lt;/FQL&gt;&lt;FQL&gt;&lt;Q&gt;VMI-US^P_BETA_LOCIDX(45365,45190,,"SPX")&lt;/Q&gt;&lt;R&gt;1&lt;/R&gt;&lt;C&gt;1&lt;/C&gt;&lt;D xsi:type="xsd:double"&gt;1.2344552&lt;/D&gt;&lt;/FQL&gt;&lt;FQL&gt;&lt;Q&gt;VMI-US^P_BETA_LOCIDX(45364,45189,,"SPX")&lt;/Q&gt;&lt;R&gt;1&lt;/R&gt;&lt;C&gt;1&lt;/C&gt;&lt;D xsi:type="xsd:double"&gt;1.1956744&lt;/D&gt;&lt;/FQL&gt;&lt;FQL&gt;&lt;Q&gt;VMI-US^P_BETA_LOCIDX(45363,45188,,"SPX")&lt;/Q&gt;&lt;R&gt;1&lt;/R&gt;&lt;C&gt;1&lt;/C&gt;&lt;D xsi:type="xsd:double"&gt;1.1912333&lt;/D&gt;&lt;/FQL&gt;&lt;FQL&gt;&lt;Q&gt;VMI-US^P_BETA_LOCIDX(45362,45187,,"SPX")&lt;/Q&gt;&lt;R&gt;1&lt;/R&gt;&lt;C&gt;1&lt;/C&gt;&lt;D xsi:type="xsd:double"&gt;1.2115821&lt;/D&gt;&lt;/FQL&gt;&lt;FQL&gt;&lt;Q&gt;VMI-US^P_BETA_LOCIDX(45359,45184,,"SPX")&lt;/Q&gt;&lt;R&gt;1&lt;/R&gt;&lt;C&gt;1&lt;/C&gt;&lt;D xsi:type="xsd:double"&gt;1.2061992&lt;/D&gt;&lt;/FQL&gt;&lt;FQL&gt;&lt;Q&gt;VMI-US^P_BETA_LOCIDX(45358,45183,,"SPX")&lt;/Q&gt;&lt;R&gt;1&lt;/R&gt;&lt;C&gt;1&lt;/C&gt;&lt;D xsi:type="xsd:double"&gt;1.231996&lt;/D&gt;&lt;/FQL&gt;&lt;FQL&gt;&lt;Q&gt;VMI-US^P_BETA_LOCIDX(45357,45182,,"SPX")&lt;/Q&gt;&lt;R&gt;1&lt;/R&gt;&lt;C&gt;1&lt;/C&gt;&lt;D xsi:type="xsd:double"&gt;1.2193093&lt;/D&gt;&lt;/FQL&gt;&lt;FQL&gt;&lt;Q&gt;VMI-US^P_BETA_LOCIDX(45356,45181,,"SPX")&lt;/Q&gt;&lt;R&gt;1&lt;/R&gt;&lt;C&gt;1&lt;/C&gt;&lt;D xsi:type="xsd:double"&gt;1.2099409&lt;/D&gt;&lt;/FQL&gt;&lt;FQL&gt;&lt;Q&gt;VMI-US^P_BETA_LOCIDX(45355,45180,,"SPX")&lt;/Q&gt;&lt;R&gt;1&lt;/R&gt;&lt;C&gt;1&lt;/C&gt;&lt;D xsi:type="xsd:double"&gt;1.2056737&lt;/D&gt;&lt;/FQL&gt;&lt;FQL&gt;&lt;Q&gt;VMI-US^P_BETA_LOCIDX(45352,45177,,"SPX")&lt;/Q&gt;&lt;R&gt;1&lt;/R&gt;&lt;C&gt;1&lt;/C&gt;&lt;D xsi:type="xsd:double"&gt;1.2051882&lt;/D&gt;&lt;/FQL&gt;&lt;FQL&gt;&lt;Q&gt;VMI-US^P_BETA_LOCIDX(45351,45176,,"SPX")&lt;/Q&gt;&lt;R&gt;1&lt;/R&gt;&lt;C&gt;1&lt;/C&gt;&lt;D xsi:type="xsd:double"&gt;1.2184216&lt;/D&gt;&lt;/FQL&gt;&lt;FQL&gt;&lt;Q&gt;VMI-US^P_BETA_LOCIDX(45350,45175,,"SPX")&lt;/Q&gt;&lt;R&gt;1&lt;/R&gt;&lt;C&gt;1&lt;/C&gt;&lt;D xsi:type="xsd:double"&gt;1.223943&lt;/D&gt;&lt;/FQL&gt;&lt;FQL&gt;&lt;Q&gt;VMI-US^P_BETA_LOCIDX(45349,45174,,"SPX")&lt;/Q&gt;&lt;R&gt;1&lt;/R&gt;&lt;C&gt;1&lt;/C&gt;&lt;D xsi:type="xsd:double"&gt;1.2471987&lt;/D&gt;&lt;/FQL&gt;&lt;FQL&gt;&lt;Q&gt;VMI-US^P_BETA_LOCIDX(45348,45170,,"SPX")&lt;/Q&gt;&lt;R&gt;1&lt;/R&gt;&lt;C&gt;1&lt;/C&gt;&lt;D xsi:type="xsd:double"&gt;1.2495005&lt;/D&gt;&lt;/FQL&gt;&lt;FQL&gt;&lt;Q&gt;VMI-US^P_BETA_LOCIDX(45345,45169,,"SPX")&lt;/Q&gt;&lt;R&gt;1&lt;/R&gt;&lt;C&gt;1&lt;/C&gt;&lt;D xsi:type="xsd:double"&gt;1.2407385&lt;/D&gt;&lt;/FQL&gt;&lt;FQL&gt;&lt;Q&gt;VMI-US^P_BETA_LOCIDX(45344,45168,,"SPX")&lt;/Q&gt;&lt;R&gt;1&lt;/R&gt;&lt;C&gt;1&lt;/C&gt;&lt;D xsi:type="xsd:double"&gt;1.2420845&lt;/D&gt;&lt;/FQL&gt;&lt;FQL&gt;&lt;Q&gt;VMI-US^P_BETA_LOCIDX(45343,45167,,"SPX")&lt;/Q&gt;&lt;R&gt;1&lt;/R&gt;&lt;C&gt;1&lt;/C&gt;&lt;D xsi:type="xsd:double"&gt;1.4120507&lt;/D&gt;&lt;/FQL&gt;&lt;FQL&gt;&lt;Q&gt;VMI-US^P_BETA_LOCIDX(45342,45166,,"SPX")&lt;/Q&gt;&lt;R&gt;1&lt;/R&gt;&lt;C&gt;1&lt;/C&gt;&lt;D xsi:type="xsd:double"&gt;1.4163771&lt;/D&gt;&lt;/FQL&gt;&lt;FQL&gt;&lt;Q&gt;VMI-US^P_BETA_LOCIDX(45338,45163,,"SPX")&lt;/Q&gt;&lt;R&gt;1&lt;/R&gt;&lt;C&gt;1&lt;/C&gt;&lt;D xsi:type="xsd:double"&gt;1.424898&lt;/D&gt;&lt;/FQL&gt;&lt;FQL&gt;&lt;Q&gt;VMI-US^P_BETA_LOCIDX(45337,45162,,"SPX")&lt;/Q&gt;&lt;R&gt;1&lt;/R&gt;&lt;C&gt;1&lt;/C&gt;&lt;D xsi:type="xsd:double"&gt;1.4138943&lt;/D&gt;&lt;/FQL&gt;&lt;FQL&gt;&lt;Q&gt;VMI-US^P_BETA_LOCIDX(45336,45161,,"SPX")&lt;/Q&gt;&lt;R&gt;1&lt;/R&gt;&lt;C&gt;1&lt;/C&gt;&lt;D xsi:type="xsd:double"&gt;1.3874594&lt;/D&gt;&lt;/FQL&gt;&lt;FQL&gt;&lt;Q&gt;VMI-US^P_BETA_LOCIDX(45335,45160,,"SPX")&lt;/Q&gt;&lt;R&gt;1&lt;/R&gt;&lt;C&gt;1&lt;/C&gt;&lt;D xsi:type="xsd:double"&gt;1.3786838&lt;/D&gt;&lt;/FQL&gt;&lt;FQL&gt;&lt;Q&gt;VMI-US^P_BETA_LOCIDX(45334,45159,,"SPX")&lt;/Q&gt;&lt;R&gt;1&lt;/R&gt;&lt;C&gt;1&lt;/C&gt;&lt;D xsi:type="xsd:double"&gt;1.3357788&lt;/D&gt;&lt;/FQL&gt;&lt;FQL&gt;&lt;Q&gt;VMI-US^P_BETA_LOCIDX(45331,45156,,"SPX")&lt;/Q&gt;&lt;R&gt;1&lt;/R&gt;&lt;C&gt;1&lt;/C&gt;&lt;D xsi:type="xsd:double"&gt;1.3307261&lt;/D&gt;&lt;/FQL&gt;&lt;FQL&gt;&lt;Q&gt;VMI-US^P_BETA_LOCIDX(45330,45155,,"SPX")&lt;/Q&gt;&lt;R&gt;1&lt;/R&gt;&lt;C&gt;1&lt;/C&gt;&lt;D xsi:type="xsd:double"&gt;1.3029795&lt;/D&gt;&lt;/FQL&gt;&lt;FQL&gt;&lt;Q&gt;VMI-US^P_BETA_LOCIDX(45329,45154,,"SPX")&lt;/Q&gt;&lt;R&gt;1&lt;/R&gt;&lt;C&gt;1&lt;/C&gt;&lt;D xsi:type="xsd:double"&gt;1.2808464&lt;/D&gt;&lt;/FQL&gt;&lt;FQL&gt;&lt;Q&gt;VMI-US^P_BETA_LOCIDX(45328,45153,,"SPX")&lt;/Q&gt;&lt;R&gt;1&lt;/R&gt;&lt;C&gt;1&lt;/C&gt;&lt;D xsi:type="xsd:double"&gt;1.2644361&lt;/D&gt;&lt;/FQL&gt;&lt;FQL&gt;&lt;Q&gt;VMI-US^P_BETA_LOCIDX(45327,45152,,"SPX")&lt;/Q&gt;&lt;R&gt;1&lt;/R&gt;&lt;C&gt;1&lt;/C&gt;&lt;D xsi:type="xsd:double"&gt;1.2547507&lt;/D&gt;&lt;/FQL&gt;&lt;FQL&gt;&lt;Q&gt;VMI-US^P_BETA_LOCIDX(45324,45149,,"SPX")&lt;/Q&gt;&lt;R&gt;1&lt;/R&gt;&lt;C&gt;1&lt;/C&gt;&lt;D xsi:type="xsd:double"&gt;1.2515175&lt;/D&gt;&lt;/FQL&gt;&lt;FQL&gt;&lt;Q&gt;VMI-US^P_BETA_LOCIDX(45323,45148,,"SPX")&lt;/Q&gt;&lt;R&gt;1&lt;/R&gt;&lt;C&gt;1&lt;/C&gt;&lt;D xsi:type="xsd:double"&gt;1.2819885&lt;/D&gt;&lt;/FQL&gt;&lt;FQL&gt;&lt;Q&gt;VMI-US^P_BETA_LOCIDX(45322,45147,,"SPX")&lt;/Q&gt;&lt;R&gt;1&lt;/R&gt;&lt;C&gt;1&lt;/C&gt;&lt;D xsi:type="xsd:double"&gt;1.2579116&lt;/D&gt;&lt;/FQL&gt;&lt;FQL&gt;&lt;Q&gt;VMI-US^P_BETA_LOCIDX(45321,45146,,"SPX")&lt;/Q&gt;&lt;R&gt;1&lt;/R&gt;&lt;C&gt;1&lt;/C&gt;&lt;D xsi:type="xsd:double"&gt;1.2827594&lt;/D&gt;&lt;/FQL&gt;&lt;FQL&gt;&lt;Q&gt;VMI-US^P_BETA_LOCIDX(45320,45145,,"SPX")&lt;/Q&gt;&lt;R&gt;1&lt;/R&gt;&lt;C&gt;1&lt;/C&gt;&lt;D xsi:type="xsd:double"&gt;1.2738096&lt;/D&gt;&lt;/FQL&gt;&lt;FQL&gt;&lt;Q&gt;VMI-US^P_BETA_LOCIDX(45317,45142,,"SPX")&lt;/Q&gt;&lt;R&gt;1&lt;/R&gt;&lt;C&gt;1&lt;/C&gt;&lt;D xsi:type="xsd:double"&gt;1.2672626&lt;/D&gt;&lt;/FQL&gt;&lt;FQL&gt;&lt;Q&gt;VMI-US^P_BETA_LOCIDX(45316,45141,,"SPX")&lt;/Q&gt;&lt;R&gt;1&lt;/R&gt;&lt;C&gt;1&lt;/C&gt;&lt;D xsi:type="xsd:double"&gt;1.2790519&lt;/D&gt;&lt;/FQL&gt;&lt;FQL&gt;&lt;Q&gt;VMI-US^P_BETA_LOCIDX(45315,45140,,"SPX")&lt;/Q&gt;&lt;R&gt;1&lt;/R&gt;&lt;C&gt;1&lt;/C&gt;&lt;D xsi:type="xsd:double"&gt;1.2636107&lt;/D&gt;&lt;/FQL&gt;&lt;FQL&gt;&lt;Q&gt;VMI-US^P_BETA_LOCIDX(45314,45139,,"SPX")&lt;/Q&gt;&lt;R&gt;1&lt;/R&gt;&lt;C&gt;1&lt;/C&gt;&lt;D xsi:type="xsd:double"&gt;1.2620071&lt;/D&gt;&lt;/FQL&gt;&lt;FQL&gt;&lt;Q&gt;VMI-US^P_BETA_LOCIDX(45313,45138,,"SPX")&lt;/Q&gt;&lt;R&gt;1&lt;/R&gt;&lt;C&gt;1&lt;/C&gt;&lt;D xsi:type="xsd:double"&gt;1.2652628&lt;/D&gt;&lt;/FQL&gt;&lt;FQL&gt;&lt;Q&gt;VMI-US^P_BETA_LOCIDX(45310,45135,,"SPX")&lt;/Q&gt;&lt;R&gt;1&lt;/R&gt;&lt;C&gt;1&lt;/C&gt;&lt;D xsi:type="xsd:double"&gt;1.2590438&lt;/D&gt;&lt;/FQL&gt;&lt;FQL&gt;&lt;Q&gt;VMI-US^P_BETA_LOCIDX(45309,45134,,"SPX")&lt;/Q&gt;&lt;R&gt;1&lt;/R&gt;&lt;C&gt;1&lt;/C&gt;&lt;D xsi:type="xsd:double"&gt;1.3497367&lt;/D&gt;&lt;/FQL&gt;&lt;FQL&gt;&lt;Q&gt;VMI-US^P_BETA_LOCIDX(45308,45133,,"SPX")&lt;/Q&gt;&lt;R&gt;1&lt;/R&gt;&lt;C&gt;1&lt;/C&gt;&lt;D xsi:type="xsd:double"&gt;1.3473384&lt;/D&gt;&lt;/FQL&gt;&lt;FQL&gt;&lt;Q&gt;VMI-US^P_BETA_LOCIDX(45307,45132,,"SPX")&lt;/Q&gt;&lt;R&gt;1&lt;/R&gt;&lt;C&gt;1&lt;/C&gt;&lt;D xsi:type="xsd:double"&gt;1.3519728&lt;/D&gt;&lt;/FQL&gt;&lt;FQL&gt;&lt;Q&gt;VMI-US^P_BETA_LOCIDX(45303,45131,,"SPX")&lt;/Q&gt;&lt;R&gt;1&lt;/R&gt;&lt;C&gt;1&lt;/C&gt;&lt;D xsi:type="xsd:double"&gt;1.361118&lt;/D&gt;&lt;/FQL&gt;&lt;FQL&gt;&lt;Q&gt;VMI-US^P_BETA_LOCIDX(45302,45128,,"SPX")&lt;/Q&gt;&lt;R&gt;1&lt;/R&gt;&lt;C&gt;1&lt;/C&gt;&lt;D xsi:type="xsd:double"&gt;1.3615093&lt;/D&gt;&lt;/FQL&gt;&lt;FQL&gt;&lt;Q&gt;VMI-US^P_BETA_LOCIDX(45301,45127,,"SPX")&lt;/Q&gt;&lt;R&gt;1&lt;/R&gt;&lt;C&gt;1&lt;/C&gt;&lt;D xsi:type="xsd:double"&gt;1.3490642&lt;/D&gt;&lt;/FQL&gt;&lt;FQL&gt;&lt;Q&gt;VMI-US^P_BETA_LOCIDX(45300,45126,,"SPX")&lt;/Q&gt;&lt;R&gt;1&lt;/R&gt;&lt;C&gt;1&lt;/C&gt;&lt;D xsi:type="xsd:double"&gt;1.3365284&lt;/D&gt;&lt;/FQL&gt;&lt;FQL&gt;&lt;Q&gt;VMI-US^P_BETA_LOCIDX(45299,45125,,"SPX")&lt;/Q&gt;&lt;R&gt;1&lt;/R&gt;&lt;C&gt;1&lt;/C&gt;&lt;D xsi:type="xsd:double"&gt;1.3397028&lt;/D&gt;&lt;/FQL&gt;&lt;FQL&gt;&lt;Q&gt;VMI-US^P_BETA_LOCIDX(45296,45124,,"SPX")&lt;/Q&gt;&lt;R&gt;1&lt;/R&gt;&lt;C&gt;1&lt;/C&gt;&lt;D xsi:type="xsd:double"&gt;1.3653563&lt;/D&gt;&lt;/FQL&gt;&lt;FQL&gt;&lt;Q&gt;VMI-US^P_BETA_LOCIDX(45295,45121,,"SPX")&lt;/Q&gt;&lt;R&gt;1&lt;/R&gt;&lt;C&gt;1&lt;/C&gt;&lt;D xsi:type="xsd:double"&gt;1.3632867&lt;/D&gt;&lt;/FQL&gt;&lt;FQL&gt;&lt;Q&gt;VMI-US^P_BETA_LOCIDX(45294,45120,,"SPX")&lt;/Q&gt;&lt;R&gt;1&lt;/R&gt;&lt;C&gt;1&lt;/C&gt;&lt;D xsi:type="xsd:double"&gt;1.3188632&lt;/D&gt;&lt;/FQL&gt;&lt;FQL&gt;&lt;Q&gt;VMI-US^P_BETA_LOCIDX(45293,45119,,"SPX")&lt;/Q&gt;&lt;R&gt;1&lt;/R&gt;&lt;C&gt;1&lt;/C&gt;&lt;D xsi:type="xsd:double"&gt;1.3082905&lt;/D&gt;&lt;/FQL&gt;&lt;FQL&gt;&lt;Q&gt;VMI-US^P_BETA_LOCIDX(45289,45118,,"SPX")&lt;/Q&gt;&lt;R&gt;1&lt;/R&gt;&lt;C&gt;1&lt;/C&gt;&lt;D xsi:type="xsd:double"&gt;1.2924788&lt;/D&gt;&lt;/FQL&gt;&lt;FQL&gt;&lt;Q&gt;VMI-US^P_BETA_LOCIDX(45288,45117,,"SPX")&lt;/Q&gt;&lt;R&gt;1&lt;/R&gt;&lt;C&gt;1&lt;/C&gt;&lt;D xsi:type="xsd:double"&gt;1.2954575&lt;/D&gt;&lt;/FQL&gt;&lt;FQL&gt;&lt;Q&gt;VMI-US^P_BETA_LOCIDX(45287,45114,,"SPX")&lt;/Q&gt;&lt;R&gt;1&lt;/R&gt;&lt;C&gt;1&lt;/C&gt;&lt;D xsi:type="xsd:double"&gt;1.2841352&lt;/D&gt;&lt;/FQL&gt;&lt;FQL&gt;&lt;Q&gt;VMI-US^P_BETA_LOCIDX(45286,45113,,"SPX")&lt;/Q&gt;&lt;R&gt;1&lt;/R&gt;&lt;C&gt;1&lt;/C&gt;&lt;D xsi:type="xsd:double"&gt;1.2734329&lt;/D&gt;&lt;/FQL&gt;&lt;FQL&gt;&lt;Q&gt;VMI-US^P_BETA_LOCIDX(45282,45112,,"SPX")&lt;/Q&gt;&lt;R&gt;1&lt;/R&gt;&lt;C&gt;1&lt;/C&gt;&lt;D xsi:type="xsd:double"&gt;1.2780614&lt;/D&gt;&lt;/FQL&gt;&lt;FQL&gt;&lt;Q&gt;VMI-US^P_BETA_LOCIDX(45281,45110,,"SPX")&lt;/Q&gt;&lt;R&gt;1&lt;/R&gt;&lt;C&gt;1&lt;/C&gt;&lt;D xsi:type="xsd:double"&gt;1.277006&lt;/D&gt;&lt;/FQL&gt;&lt;FQL&gt;&lt;Q&gt;VMI-US^P_BETA_LOCIDX(45280,45107,,"SPX")&lt;/Q&gt;&lt;R&gt;1&lt;/R&gt;&lt;C&gt;1&lt;/C&gt;&lt;D xsi:type="xsd:double"&gt;1.2434409&lt;/D&gt;&lt;/FQL&gt;&lt;FQL&gt;&lt;Q&gt;VMI-US^P_BETA_LOCIDX(45279,45106,,"SPX")&lt;/Q&gt;&lt;R&gt;1&lt;/R&gt;&lt;C&gt;1&lt;/C&gt;&lt;D xsi:type="xsd:double"&gt;1.2422017&lt;/D&gt;&lt;/FQL&gt;&lt;FQL&gt;&lt;Q&gt;VMI-US^P_BETA_LOCIDX(45278,45105,,"SPX")&lt;/Q&gt;&lt;R&gt;1&lt;/R&gt;&lt;C&gt;1&lt;/C&gt;&lt;D xsi:type="xsd:double"&gt;1.2277045&lt;/D&gt;&lt;/FQL&gt;&lt;FQL&gt;&lt;Q&gt;VMI-US^P_BETA_LOCIDX(45275,45104,,"SPX")&lt;/Q&gt;&lt;R&gt;1&lt;/R&gt;&lt;C&gt;1&lt;/C&gt;&lt;D xsi:type="xsd:double"&gt;1.2514871&lt;/D&gt;&lt;/FQL&gt;&lt;FQL&gt;&lt;Q&gt;VMI-US^P_BETA_LOCIDX(45274,45103,,"SPX")&lt;/Q&gt;&lt;R&gt;1&lt;/R&gt;&lt;C&gt;1&lt;/C&gt;&lt;D xsi:type="xsd:double"&gt;1.245958&lt;/D&gt;&lt;/FQL&gt;&lt;FQL&gt;&lt;Q&gt;VMI-US^P_BETA_LOCIDX(45273,45100,,"SPX")&lt;/Q&gt;&lt;R&gt;1&lt;/R&gt;&lt;C&gt;1&lt;/C&gt;&lt;D xsi:type="xsd:double"&gt;1.2111117&lt;/D&gt;&lt;/FQL&gt;&lt;FQL&gt;&lt;Q&gt;VMI-US^P_BETA_LOCIDX(45272,45099,,"SPX")&lt;/Q&gt;&lt;R&gt;1&lt;/R&gt;&lt;C&gt;1&lt;/C&gt;&lt;D xsi:type="xsd:double"&gt;1.246086&lt;/D&gt;&lt;/FQL&gt;&lt;FQL&gt;&lt;Q&gt;VMI-US^P_BETA_LOCIDX(45271,45098,,"SPX")&lt;/Q&gt;&lt;R&gt;1&lt;/R&gt;&lt;C&gt;1&lt;/C&gt;&lt;D xsi:type="xsd:double"&gt;1.1962475&lt;/D&gt;&lt;/FQL&gt;&lt;FQL&gt;&lt;Q&gt;VMI-US^P_BETA_LOCIDX(45268,45097,,"SPX")&lt;/Q&gt;&lt;R&gt;1&lt;/R&gt;&lt;C&gt;1&lt;/C&gt;&lt;D xsi:type="xsd:double"&gt;1.1911297&lt;/D&gt;&lt;/FQL&gt;&lt;FQL&gt;&lt;Q&gt;VMI-US^P_BETA_LOCIDX(45267,45093,,"SPX")&lt;/Q&gt;&lt;R&gt;1&lt;/R&gt;&lt;C&gt;1&lt;/C&gt;&lt;D xsi:type="xsd:double"&gt;1.1865426&lt;/D&gt;&lt;/FQL&gt;&lt;FQL&gt;&lt;Q&gt;VMI-US^P_BETA_LOCIDX(45266,45092,,"SPX")&lt;/Q&gt;&lt;R&gt;1&lt;/R&gt;&lt;C&gt;1&lt;/C&gt;&lt;D xsi:type="xsd:double"&gt;1.2059034&lt;/D&gt;&lt;/FQL&gt;&lt;FQL&gt;&lt;Q&gt;VMI-US^P_BETA_LOCIDX(45265,45091,,"SPX")&lt;/Q&gt;&lt;R&gt;1&lt;/R&gt;&lt;C&gt;1&lt;/C&gt;&lt;D xsi:type="xsd:double"&gt;1.2058872&lt;/D&gt;&lt;/FQL&gt;&lt;FQL&gt;&lt;Q&gt;VMI-US^P_BETA_LOCIDX(45264,45090,,"SPX")&lt;/Q&gt;&lt;R&gt;1&lt;/R&gt;&lt;C&gt;1&lt;/C&gt;&lt;D xsi:type="xsd:double"&gt;1.2067014&lt;/D&gt;&lt;/FQL&gt;&lt;FQL&gt;&lt;Q&gt;VMI-US^P_BETA_LOCIDX(45261,45089,,"SPX")&lt;/Q&gt;&lt;R&gt;1&lt;/R&gt;&lt;C&gt;1&lt;/C&gt;&lt;D xsi:type="xsd:double"&gt;1.2181256&lt;/D&gt;&lt;/FQL&gt;&lt;FQL&gt;&lt;Q&gt;VMI-US^P_BETA_LOCIDX(45260,45086,,"SPX")&lt;/Q&gt;&lt;R&gt;1&lt;/R&gt;&lt;C&gt;1&lt;/C&gt;&lt;D xsi:type="xsd:double"&gt;1.2059152&lt;/D&gt;&lt;/FQL&gt;&lt;FQL&gt;&lt;Q&gt;VMI-US^P_BETA_LOCIDX(45259,45085,,"SPX")&lt;/Q&gt;&lt;R&gt;1&lt;/R&gt;&lt;C&gt;1&lt;/C&gt;&lt;D xsi:type="xsd:double"&gt;1.1884857&lt;/D&gt;&lt;/FQL&gt;&lt;FQL&gt;&lt;Q&gt;VMI-US^P_BETA_LOCIDX(45258,45084,,"SPX")&lt;/Q&gt;&lt;R&gt;1&lt;/R&gt;&lt;C&gt;1&lt;/C&gt;&lt;D xsi:type="xsd:double"&gt;1.1880002&lt;/D&gt;&lt;/FQL&gt;&lt;FQL&gt;&lt;Q&gt;VMI-US^P_BETA_LOCIDX(45257,45083,,"SPX")&lt;/Q&gt;&lt;R&gt;1&lt;/R&gt;&lt;C&gt;1&lt;/C&gt;&lt;D xsi:type="xsd:double"&gt;1.1950071&lt;/D&gt;&lt;/FQL&gt;&lt;FQL&gt;&lt;Q&gt;VMI-US^P_BETA_LOCIDX(45254,45082,,"SPX")&lt;/Q&gt;&lt;R&gt;1&lt;/R&gt;&lt;C&gt;1&lt;/C&gt;&lt;D xsi:type="xsd:double"&gt;1.1956617&lt;/D&gt;&lt;/FQL&gt;&lt;FQL&gt;&lt;Q&gt;VMI-US^P_BETA_LOCIDX(45252,45079,,"SPX")&lt;/Q&gt;&lt;R&gt;1&lt;/R&gt;&lt;C&gt;1&lt;/C&gt;&lt;D xsi:type="xsd:double"&gt;1.2826266&lt;/D&gt;&lt;/FQL&gt;&lt;FQL&gt;&lt;Q&gt;VMI-US^P_BETA_LOCIDX(45251,45078,,"SPX")&lt;/Q&gt;&lt;R&gt;1&lt;/R&gt;&lt;C&gt;1&lt;/C&gt;&lt;D xsi:type="xsd:double"&gt;1.2769797&lt;/D&gt;&lt;/FQL&gt;&lt;FQL&gt;&lt;Q&gt;VMI-US^P_BETA_LOCIDX(45250,45077,,"SPX")&lt;/Q&gt;&lt;R&gt;1&lt;/R&gt;&lt;C&gt;1&lt;/C&gt;&lt;D xsi:type="xsd:double"&gt;1.2944919&lt;/D&gt;&lt;/FQL&gt;&lt;FQL&gt;&lt;Q&gt;VMI-US^P_BETA_LOCIDX(45247,45076,,"SPX")&lt;/Q&gt;&lt;R&gt;1&lt;/R&gt;&lt;C&gt;1&lt;/C&gt;&lt;D xsi:type="xsd:double"&gt;1.301462&lt;/D&gt;&lt;/FQL&gt;&lt;FQL&gt;&lt;Q&gt;VMI-US^P_BETA_LOCIDX(45246,45072,,"SPX")&lt;/Q&gt;&lt;R&gt;1&lt;/R&gt;&lt;C&gt;1&lt;/C&gt;&lt;D xsi:type="xsd:double"&gt;1.281725&lt;/D&gt;&lt;/FQL&gt;&lt;FQL&gt;&lt;Q&gt;VMI-US^P_BETA_LOCIDX(45245,45071,,"SPX")&lt;/Q&gt;&lt;R&gt;1&lt;/R&gt;&lt;C&gt;1&lt;/C&gt;&lt;D xsi:type="xsd:double"&gt;1.3005563&lt;/D&gt;&lt;/FQL&gt;&lt;FQL&gt;&lt;Q&gt;VMI-US^P_BETA_LOCIDX(45244,45070,,"SPX")&lt;/Q&gt;&lt;R&gt;1&lt;/R&gt;&lt;C&gt;1&lt;/C&gt;&lt;D xsi:type="xsd:double"&gt;1.3101549&lt;/D&gt;&lt;/FQL&gt;&lt;FQL&gt;&lt;Q&gt;VMI-US^P_BETA_LOCIDX(45243,45069,,"SPX")&lt;/Q&gt;&lt;R&gt;1&lt;/R&gt;&lt;C&gt;1&lt;/C&gt;&lt;D xsi:type="xsd:double"&gt;1.2498243&lt;/D&gt;&lt;/FQL&gt;&lt;FQL&gt;&lt;Q&gt;VMI-US^P_BETA_LOCIDX(45240,45068,,"SPX")&lt;/Q&gt;&lt;R&gt;1&lt;/R&gt;&lt;C&gt;1&lt;/C&gt;&lt;D xsi:type="xsd:double"&gt;1.2499193&lt;/D&gt;&lt;/FQL&gt;&lt;FQL&gt;&lt;Q&gt;VMI-US^P_BETA_LOCIDX(45239,45065,,"SPX")&lt;/Q&gt;&lt;R&gt;1&lt;/R&gt;&lt;C&gt;1&lt;/C&gt;&lt;D xsi:type="xsd:double"&gt;1.2376413&lt;/D&gt;&lt;/FQL&gt;&lt;FQL&gt;&lt;Q&gt;VMI-US^P_BETA_LOCIDX(45238,45064,,"SPX")&lt;/Q&gt;&lt;R&gt;1&lt;/R&gt;&lt;C&gt;1&lt;/C&gt;&lt;D xsi:type="xsd:double"&gt;1.2583297&lt;/D&gt;&lt;/FQL&gt;&lt;FQL&gt;&lt;Q&gt;VMI-US^P_BETA_LOCIDX(45237,45063,,"SPX")&lt;/Q&gt;&lt;R&gt;1&lt;/R&gt;&lt;C&gt;1&lt;/C&gt;&lt;D xsi:type="xsd:double"&gt;1.2644204&lt;/D&gt;&lt;/FQL&gt;&lt;FQL&gt;&lt;Q&gt;VMI-US^P_BETA_LOCIDX(45236,45062,,"SPX")&lt;/Q&gt;&lt;R&gt;1&lt;/R&gt;&lt;C&gt;1&lt;/C&gt;&lt;D xsi:type="xsd:double"&gt;1.2835557&lt;/D&gt;&lt;/FQL&gt;&lt;FQL&gt;&lt;Q&gt;VMI-US^P_BETA_LOCIDX(45233,45061,,"SPX")&lt;/Q&gt;&lt;R&gt;1&lt;/R&gt;&lt;C&gt;1&lt;/C&gt;&lt;D xsi:type="xsd:double"&gt;1.2920403&lt;/D&gt;&lt;/FQL&gt;&lt;FQL&gt;&lt;Q&gt;VMI-US^P_BETA_LOCIDX(45232,45058,,"SPX")&lt;/Q&gt;&lt;R&gt;1&lt;/R&gt;&lt;C&gt;1&lt;/C&gt;&lt;D xsi:type="xsd:double"&gt;1.285365&lt;/D&gt;&lt;/FQL&gt;&lt;FQL&gt;&lt;Q&gt;VMI-US^P_BETA_LOCIDX(45231,45057,,"SPX")&lt;/Q&gt;&lt;R&gt;1&lt;/R&gt;&lt;C&gt;1&lt;/C&gt;&lt;D xsi:type="xsd:double"&gt;1.3290391&lt;/D&gt;&lt;/FQL&gt;&lt;FQL&gt;&lt;Q&gt;VMI-US^P_BETA_LOCIDX(45230,45056,,"SPX")&lt;/Q&gt;&lt;R&gt;1&lt;/R&gt;&lt;C&gt;1&lt;/C&gt;&lt;D xsi:type="xsd:double"&gt;1.3364835&lt;/D&gt;&lt;/FQL&gt;&lt;FQL&gt;&lt;Q&gt;VMI-US^P_BETA_LOCIDX(45229,45055,,"SPX")&lt;/Q&gt;&lt;R&gt;1&lt;/R&gt;&lt;C&gt;1&lt;/C&gt;&lt;D xsi:type="xsd:double"&gt;1.315294&lt;/D&gt;&lt;/FQL&gt;&lt;FQL&gt;&lt;Q&gt;VMI-US^P_BETA_LOCIDX(45226,45054,,"SPX")&lt;/Q&gt;&lt;R&gt;1&lt;/R&gt;&lt;C&gt;1&lt;/C&gt;&lt;D xsi:type="xsd:double"&gt;1.295995&lt;/D&gt;&lt;/FQL&gt;&lt;FQL&gt;&lt;Q&gt;VMI-US^P_BETA_LOCIDX(45225,45051,,"SPX")&lt;/Q&gt;&lt;R&gt;1&lt;/R&gt;&lt;C&gt;1&lt;/C&gt;&lt;D xsi:type="xsd:double"&gt;1.2686543&lt;/D&gt;&lt;/FQL&gt;&lt;FQL&gt;&lt;Q&gt;VMI-US^P_BETA_LOCIDX(45224,45050,,"SPX")&lt;/Q&gt;&lt;R&gt;1&lt;/R&gt;&lt;C&gt;1&lt;/C&gt;&lt;D xsi:type="xsd:double"&gt;1.0625776&lt;/D&gt;&lt;/FQL&gt;&lt;FQL&gt;&lt;Q&gt;VMI-US^P_BETA_LOCIDX(45223,45049,,"SPX")&lt;/Q&gt;&lt;R&gt;1&lt;/R&gt;&lt;C&gt;1&lt;/C&gt;&lt;D xsi:type="xsd:double"&gt;1.0895972&lt;/D&gt;&lt;/FQL&gt;&lt;FQL&gt;&lt;Q&gt;VMI-US^P_BETA_LOCIDX(45222,45048,,"SPX")&lt;/Q&gt;&lt;R&gt;1&lt;/R&gt;&lt;C&gt;1&lt;/C&gt;&lt;D xsi:type="xsd:double"&gt;1.1049843&lt;/D&gt;&lt;/FQL&gt;&lt;FQL&gt;&lt;Q&gt;VMI-US^P_BETA_LOCIDX(45219,45047,,"SPX")&lt;/Q&gt;&lt;R&gt;1&lt;/R&gt;&lt;C&gt;1&lt;/C&gt;&lt;D xsi:type="xsd:double"&gt;1.1056358&lt;/D&gt;&lt;/FQL&gt;&lt;FQL&gt;&lt;Q&gt;VMI-US^P_BETA_LOCIDX(45218,45044,,"SPX")&lt;/Q&gt;&lt;R&gt;1&lt;/R&gt;&lt;C&gt;1&lt;/C&gt;&lt;D xsi:type="xsd:double"&gt;1.0754356&lt;/D&gt;&lt;/FQL&gt;&lt;FQL&gt;&lt;Q&gt;VMI-US^P_BETA_LOCIDX(45217,45043,,"SPX")&lt;/Q&gt;&lt;R&gt;1&lt;/R&gt;&lt;C&gt;1&lt;/C&gt;&lt;D xsi:type="xsd:double"&gt;1.1582114&lt;/D&gt;&lt;/FQL&gt;&lt;FQL&gt;&lt;Q&gt;VMI-US^P_BETA_LOCIDX(45216,45042,,"SPX")&lt;/Q&gt;&lt;R&gt;1&lt;/R&gt;&lt;C&gt;1&lt;/C&gt;&lt;D xsi:type="xsd:double"&gt;1.0348246&lt;/D&gt;&lt;/FQL&gt;&lt;FQL&gt;&lt;Q&gt;VMI-US^P_BETA_LOCIDX(45215,45041,,"SPX")&lt;/Q&gt;&lt;R&gt;1&lt;/R&gt;&lt;C&gt;1&lt;/C&gt;&lt;D xsi:type="xsd:double"&gt;1.0606619&lt;/D&gt;&lt;/FQL&gt;&lt;FQL&gt;&lt;Q&gt;VMI-US^P_BETA_LOCIDX(45212,45040,,"SPX")&lt;/Q&gt;&lt;R&gt;1&lt;/R&gt;&lt;C&gt;1&lt;/C&gt;&lt;D xsi:type="xsd:double"&gt;1.0321667&lt;/D&gt;&lt;/FQL&gt;&lt;FQL&gt;&lt;Q&gt;VMI-US^P_BETA_LOCIDX(45211,45037,,"SPX")&lt;/Q&gt;&lt;R&gt;1&lt;/R&gt;&lt;C&gt;1&lt;/C&gt;&lt;D xsi:type="xsd:double"&gt;1.0262169&lt;/D&gt;&lt;/FQL&gt;&lt;FQL&gt;&lt;Q&gt;VMI-US^P_BETA_LOCIDX(45210,45036,,"SPX")&lt;/Q&gt;&lt;R&gt;1&lt;/R&gt;&lt;C&gt;1&lt;/C&gt;&lt;D xsi:type="xsd:double"&gt;0.9880258&lt;/D&gt;&lt;/FQL&gt;&lt;FQL&gt;&lt;Q&gt;VMI-US^P_BETA_LOCIDX(45209,45035,,"SPX")&lt;/Q&gt;&lt;R&gt;1&lt;/R&gt;&lt;C&gt;1&lt;/C&gt;&lt;D xsi:type="xsd:double"&gt;0.9917055&lt;/D&gt;&lt;/FQL&gt;&lt;FQL&gt;&lt;Q&gt;VMI-US^P_BETA_LOCIDX(45208,45034,,"SPX")&lt;/Q&gt;&lt;R&gt;1&lt;/R&gt;&lt;C&gt;1&lt;/C&gt;&lt;D xsi:type="xsd:double"&gt;0.99502707&lt;/D&gt;&lt;/FQL&gt;&lt;FQL&gt;&lt;Q&gt;VMI-US^P_BETA_LOCIDX(45205,45033,,"SPX")&lt;/Q&gt;&lt;R&gt;1&lt;/R&gt;&lt;C&gt;1&lt;/C&gt;&lt;D xsi:type="xsd:double"&gt;0.9913482&lt;/D&gt;&lt;/FQL&gt;&lt;FQL&gt;&lt;Q&gt;VMI-US^P_BETA_LOCIDX(45204,45030,,"SPX")&lt;/Q&gt;&lt;R&gt;1&lt;/R&gt;&lt;C&gt;1&lt;/C&gt;&lt;D xsi:type="xsd:double"&gt;0.96618503&lt;/D&gt;&lt;/FQL&gt;&lt;FQL&gt;&lt;Q&gt;VMI-US^P_BETA_LOCIDX(45203,45029,,"SPX")&lt;/Q&gt;&lt;R&gt;1&lt;/R&gt;&lt;C&gt;1&lt;/C&gt;&lt;D xsi:type="xsd:double"&gt;0.96334994&lt;/D&gt;&lt;/FQL&gt;&lt;FQL&gt;&lt;Q&gt;VMI-US^P_BETA_LOCIDX(45202,45028,,"SPX")&lt;/Q&gt;&lt;R&gt;1&lt;/R&gt;&lt;C&gt;1&lt;/C&gt;&lt;D xsi:type="xsd:double"&gt;0.9677677&lt;/D&gt;&lt;/FQL&gt;&lt;FQL&gt;&lt;Q&gt;VMI-US^P_BETA_LOCIDX(45201,45027,,"SPX")&lt;/Q&gt;&lt;R&gt;1&lt;/R&gt;&lt;C&gt;1&lt;/C&gt;&lt;D xsi:type="xsd:double"&gt;0.9863664&lt;/D&gt;&lt;/FQL&gt;&lt;FQL&gt;&lt;Q&gt;VMI-US^P_BETA_LOCIDX(45198,45026,,"SPX")&lt;/Q&gt;&lt;R&gt;1&lt;/R&gt;&lt;C&gt;1&lt;/C&gt;&lt;D xsi:type="xsd:double"&gt;0.9879403&lt;/D&gt;&lt;/FQL&gt;&lt;FQL&gt;&lt;Q&gt;VMI-US^P_BETA_LOCIDX(45197,45022,,"SPX")&lt;/Q&gt;&lt;R&gt;1&lt;/R&gt;&lt;C&gt;1&lt;/C&gt;&lt;D xsi:type="xsd:double"&gt;0.98505896&lt;/D&gt;&lt;/FQL&gt;&lt;FQL&gt;&lt;Q&gt;VMI-US^P_BETA_LOCIDX(45196,45021,,"SPX")&lt;/Q&gt;&lt;R&gt;1&lt;/R&gt;&lt;C&gt;1&lt;/C&gt;&lt;D xsi:type="xsd:double"&gt;0.9972429&lt;/D&gt;&lt;/FQL&gt;&lt;FQL&gt;&lt;Q&gt;VMI-US^P_BETA_LOCIDX(45195,45020,,"SPX")&lt;/Q&gt;&lt;R&gt;1&lt;/R&gt;&lt;C&gt;1&lt;/C&gt;&lt;D xsi:type="xsd:double"&gt;1.047823&lt;/D&gt;&lt;/FQL&gt;&lt;FQL&gt;&lt;Q&gt;VMI-US^P_BETA_LOCIDX(45194,45019,,"SPX")&lt;/Q&gt;&lt;R&gt;1&lt;/R&gt;&lt;C&gt;1&lt;/C&gt;&lt;D xsi:type="xsd:double"&gt;1.0839155&lt;/D&gt;&lt;/FQL&gt;&lt;FQL&gt;&lt;Q&gt;VMI-US^P_BETA_LOCIDX(45191,45016,,"SPX")&lt;/Q&gt;&lt;R&gt;1&lt;/R&gt;&lt;C&gt;1&lt;/C&gt;&lt;D xsi:type="xsd:double"&gt;1.0733992&lt;/D&gt;&lt;/FQL&gt;&lt;FQL&gt;&lt;Q&gt;VMI-US^P_BETA_LOCIDX(45190,45015,,"SPX")&lt;/Q&gt;&lt;R&gt;1&lt;/R&gt;&lt;C&gt;1&lt;/C&gt;&lt;D xsi:type="xsd:double"&gt;1.0694177&lt;/D&gt;&lt;/FQL&gt;&lt;FQL&gt;&lt;Q&gt;VMI-US^P_BETA_LOCIDX(45189,45014,,"SPX")&lt;/Q&gt;&lt;R&gt;1&lt;/R&gt;&lt;C&gt;1&lt;/C&gt;&lt;D xsi:type="xsd:double"&gt;1.0415481&lt;/D&gt;&lt;/FQL&gt;&lt;FQL&gt;&lt;Q&gt;VMI-US^P_BETA_LOCIDX(45188,45013,,"SPX")&lt;/Q&gt;&lt;R&gt;1&lt;/R&gt;&lt;C&gt;1&lt;/C&gt;&lt;D xsi:type="xsd:double"&gt;1.0687531&lt;/D&gt;&lt;/FQL&gt;&lt;FQL&gt;&lt;Q&gt;VMI-US^P_BETA_LOCIDX(45187,45012,,"SPX")&lt;/Q&gt;&lt;R&gt;1&lt;/R&gt;&lt;C&gt;1&lt;/C&gt;&lt;D xsi:type="xsd:double"&gt;1.0764259&lt;/D&gt;&lt;/FQL&gt;&lt;FQL&gt;&lt;Q&gt;VMI-US^P_BETA_LOCIDX(45184,45009,,"SPX")&lt;/Q&gt;&lt;R&gt;1&lt;/R&gt;&lt;C&gt;1&lt;/C&gt;&lt;D xsi:type="xsd:double"&gt;1.0819885&lt;/D&gt;&lt;/FQL&gt;&lt;FQL&gt;&lt;Q&gt;VMI-US^P_BETA_LOCIDX(45183,45008,,"SPX")&lt;/Q&gt;&lt;R&gt;1&lt;/R&gt;&lt;C&gt;1&lt;/C&gt;&lt;D xsi:type="xsd:double"&gt;1.090057&lt;/D&gt;&lt;/FQL&gt;&lt;FQL&gt;&lt;Q&gt;VMI-US^P_BETA_LOCIDX(45182,45007,,"SPX")&lt;/Q&gt;&lt;R&gt;1&lt;/R&gt;&lt;C&gt;1&lt;/C&gt;&lt;D xsi:type="xsd:double"&gt;1.0920279&lt;/D&gt;&lt;/FQL&gt;&lt;FQL&gt;&lt;Q&gt;VMI-US^P_BETA_LOCIDX(45181,45006,,"SPX")&lt;/Q&gt;&lt;R&gt;1&lt;/R&gt;&lt;C&gt;1&lt;/C&gt;&lt;D xsi:type="xsd:double"&gt;1.1081583&lt;/D&gt;&lt;/FQL&gt;&lt;FQL&gt;&lt;Q&gt;VMI-US^P_BETA_LOCIDX(45180,45005,,"SPX")&lt;/Q&gt;&lt;R&gt;1&lt;/R&gt;&lt;C&gt;1&lt;/C&gt;&lt;D xsi:type="xsd:double"&gt;1.1415211&lt;/D&gt;&lt;/FQL&gt;&lt;FQL&gt;&lt;Q&gt;VMI-US^P_BETA_LOCIDX(45177,45002,,"SPX")&lt;/Q&gt;&lt;R&gt;1&lt;/R&gt;&lt;C&gt;1&lt;/C&gt;&lt;D xsi:type="xsd:double"&gt;1.1438496&lt;/D&gt;&lt;/FQL&gt;&lt;FQL&gt;&lt;Q&gt;VMI-US^P_BETA_LOCIDX(45176,45001,,"SPX")&lt;/Q&gt;&lt;R&gt;1&lt;/R&gt;&lt;C&gt;1&lt;/C&gt;&lt;D xsi:type="xsd:double"&gt;1.1421044&lt;/D&gt;&lt;/FQL&gt;&lt;FQL&gt;&lt;Q&gt;VMI-US^P_BETA_LOCIDX(45175,45000,,"SPX")&lt;/Q&gt;&lt;R&gt;1&lt;/R&gt;&lt;C&gt;1&lt;/C&gt;&lt;D xsi:type="xsd:double"&gt;1.1621686&lt;/D&gt;&lt;/FQL&gt;&lt;FQL&gt;&lt;Q&gt;VMI-US^P_BETA_LOCIDX(45174,44999,,"SPX")&lt;/Q&gt;&lt;R&gt;1&lt;/R&gt;&lt;C&gt;1&lt;/C&gt;&lt;D xsi:type="xsd:double"&gt;1.1753693&lt;/D&gt;&lt;/FQL&gt;&lt;FQL&gt;&lt;Q&gt;VMI-US^P_BETA_LOCIDX(45170,44998,,"SPX")&lt;/Q&gt;&lt;R&gt;1&lt;/R&gt;&lt;C&gt;1&lt;/C&gt;&lt;D xsi:type="xsd:double"&gt;1.1557803&lt;/D&gt;&lt;/FQL&gt;&lt;FQL&gt;&lt;Q&gt;VMI-US^P_BETA_LOCIDX(45169,44995,,"SPX")&lt;/Q&gt;&lt;R&gt;1&lt;/R&gt;&lt;C&gt;1&lt;/C&gt;&lt;D xsi:type="xsd:double"&gt;1.1718409&lt;/D&gt;&lt;/FQL&gt;&lt;FQL&gt;&lt;Q&gt;VMI-US^P_BETA_LOCIDX(45168,44994,,"SPX")&lt;/Q&gt;&lt;R&gt;1&lt;/R&gt;&lt;C&gt;1&lt;/C&gt;&lt;D xsi:type="xsd:double"&gt;1.1578152&lt;/D&gt;&lt;/FQL&gt;&lt;FQL&gt;&lt;Q&gt;VMI-US^P_BETA_LOCIDX(45167,44993,,"SPX")&lt;/Q&gt;&lt;R&gt;1&lt;/R&gt;&lt;C&gt;1&lt;/C&gt;&lt;D xsi:type="xsd:double"&gt;1.1564856&lt;/D&gt;&lt;/FQL&gt;&lt;FQL&gt;&lt;Q&gt;VMI-US^P_BETA_LOCIDX(45166,44992,,"SPX")&lt;/Q&gt;&lt;R&gt;1&lt;/R&gt;&lt;C&gt;1&lt;/C&gt;&lt;D xsi:type="xsd:double"&gt;1.1625804&lt;/D&gt;&lt;/FQL&gt;&lt;FQL&gt;&lt;Q&gt;VMI-US^P_BETA_LOCIDX(45163,44991,,"SPX")&lt;/Q&gt;&lt;R&gt;1&lt;/R&gt;&lt;C&gt;1&lt;/C&gt;&lt;D xsi:type="xsd:double"&gt;1.1567186&lt;/D&gt;&lt;/FQL&gt;&lt;FQL&gt;&lt;Q&gt;VMI-US^P_BETA_LOCIDX(45162,44988,,"SPX")&lt;/Q&gt;&lt;R&gt;1&lt;/R&gt;&lt;C&gt;1&lt;/C&gt;&lt;D xsi:type="xsd:double"&gt;1.163747&lt;/D&gt;&lt;/FQL&gt;&lt;FQL&gt;&lt;Q&gt;VMI-US^P_BETA_LOCIDX(45161,44987,,"SPX")&lt;/Q&gt;&lt;R&gt;1&lt;/R&gt;&lt;C&gt;1&lt;/C&gt;&lt;D xsi:type="xsd:double"&gt;1.163499&lt;/D&gt;&lt;/FQL&gt;&lt;FQL&gt;&lt;Q&gt;VMI-US^P_BETA_LOCIDX(45160,44986,,"SPX")&lt;/Q&gt;&lt;R&gt;1&lt;/R&gt;&lt;C&gt;1&lt;/C&gt;&lt;D xsi:type="xsd:double"&gt;1.170389&lt;/D&gt;&lt;/FQL&gt;&lt;FQL&gt;&lt;Q&gt;VMI-US^P_BETA_LOCIDX(45159,44985,,"SPX")&lt;/Q&gt;&lt;R&gt;1&lt;/R&gt;&lt;C&gt;1&lt;/C&gt;&lt;D xsi:type="xsd:double"&gt;1.1637207&lt;/D&gt;&lt;/FQL&gt;&lt;FQL&gt;&lt;Q&gt;VMI-US^P_BETA_LOCIDX(45156,44984,,"SPX")&lt;/Q&gt;&lt;R&gt;1&lt;/R&gt;&lt;C&gt;1&lt;/C&gt;&lt;D xsi:type="xsd:double"&gt;1.180084&lt;/D&gt;&lt;/FQL&gt;&lt;FQL&gt;&lt;Q&gt;VMI-US^P_BETA_LOCIDX(45155,44981,,"SPX")&lt;/Q&gt;&lt;R&gt;1&lt;/R&gt;&lt;C&gt;1&lt;/C&gt;&lt;D xsi:type="xsd:double"&gt;1.0998707&lt;/D&gt;&lt;/FQL&gt;&lt;FQL&gt;&lt;Q&gt;VMI-US^P_BETA_LOCIDX(45154,44980,,"SPX")&lt;/Q&gt;&lt;R&gt;1&lt;/R&gt;&lt;C&gt;1&lt;/C&gt;&lt;D xsi:type="xsd:double"&gt;1.079664&lt;/D&gt;&lt;/FQL&gt;&lt;FQL&gt;&lt;Q&gt;VMI-US^P_BETA_LOCIDX(45153,44979,,"SPX")&lt;/Q&gt;&lt;R&gt;1&lt;/R&gt;&lt;C&gt;1&lt;/C&gt;&lt;D xsi:type="xsd:double"&gt;1.0990449&lt;/D&gt;&lt;/FQL&gt;&lt;FQL&gt;&lt;Q&gt;VMI-US^P_BETA_LOCIDX(45152,44978,,"SPX")&lt;/Q&gt;&lt;R&gt;1&lt;/R&gt;&lt;C&gt;1&lt;/C&gt;&lt;D xsi:type="xsd:double"&gt;1.0898044&lt;/D&gt;&lt;/FQL&gt;&lt;FQL&gt;&lt;Q&gt;VMI-US^P_BETA_LOCIDX(45149,44974,,"SPX")&lt;/Q&gt;&lt;R&gt;1&lt;/R&gt;&lt;C&gt;1&lt;/C&gt;&lt;D xsi:type="xsd:double"&gt;1.0913011&lt;/D&gt;&lt;/FQL&gt;&lt;FQL&gt;&lt;Q&gt;VMI-US^P_BETA_LOCIDX(45148,44973,,"SPX")&lt;/Q&gt;&lt;R&gt;1&lt;/R&gt;&lt;C&gt;1&lt;/C&gt;&lt;D xsi:type="xsd:double"&gt;1.0448474&lt;/D&gt;&lt;/FQL&gt;&lt;FQL&gt;&lt;Q&gt;VMI-US^P_BETA_LOCIDX(45147,44972,,"SPX")&lt;/Q&gt;&lt;R&gt;1&lt;/R&gt;&lt;C&gt;1&lt;/C&gt;&lt;D xsi:type="xsd:double"&gt;1.0436375&lt;/D&gt;&lt;/FQL&gt;&lt;FQL&gt;&lt;Q&gt;VMI-US^P_BETA_LOCIDX(45146,44971,,"SPX")&lt;/Q&gt;&lt;R&gt;1&lt;/R&gt;&lt;C&gt;1&lt;/C&gt;&lt;D xsi:type="xsd:double"&gt;1.0572021&lt;/D&gt;&lt;/FQL&gt;&lt;FQL&gt;&lt;Q&gt;VMI-US^P_BETA_LOCIDX(45145,44970,,"SPX")&lt;/Q&gt;&lt;R&gt;1&lt;/R&gt;&lt;C&gt;1&lt;/C&gt;&lt;D xsi:type="xsd:double"&gt;1.0602412&lt;/D&gt;&lt;/FQL&gt;&lt;FQL&gt;&lt;Q&gt;VMI-US^P_BETA_LOCIDX(45142,44967,,"SPX")&lt;/Q&gt;&lt;R&gt;1&lt;/R&gt;&lt;C&gt;1&lt;/C&gt;&lt;D xsi:type="xsd:double"&gt;1.0622953&lt;/D&gt;&lt;/FQL&gt;&lt;FQL&gt;&lt;Q&gt;VMI-US^P_BETA_LOCIDX(45141,44966,,"SPX")&lt;/Q&gt;&lt;R&gt;1&lt;/R&gt;&lt;C&gt;1&lt;/C&gt;&lt;D xsi:type="xsd:double"&gt;1.0630741&lt;/D&gt;&lt;/FQL&gt;&lt;FQL&gt;&lt;Q&gt;VMI-US^P_BETA_LOCIDX(45140,44965,,"SPX")&lt;/Q&gt;&lt;R&gt;1&lt;/R&gt;&lt;C&gt;1&lt;/C&gt;&lt;D xsi:type="xsd:double"&gt;1.0401055&lt;/D&gt;&lt;/FQL&gt;&lt;FQL&gt;&lt;Q&gt;VMI-US^P_BETA_LOCIDX(45139,44964,,"SPX")&lt;/Q&gt;&lt;R&gt;1&lt;/R&gt;&lt;C&gt;1&lt;/C&gt;&lt;D xsi:type="xsd:double"&gt;1.0362448&lt;/D&gt;&lt;/FQL&gt;&lt;FQL&gt;&lt;Q&gt;VMI-US^P_BETA_LOCIDX(45138,44963,,"SPX")&lt;/Q&gt;&lt;R&gt;1&lt;/R&gt;&lt;C&gt;1&lt;/C&gt;&lt;D xsi:type="xsd:double"&gt;1.0412517&lt;/D&gt;&lt;/FQL&gt;&lt;FQL&gt;&lt;Q&gt;VMI-US^P_BETA_LOCIDX(45135,44960,,"SPX")&lt;/Q&gt;&lt;R&gt;1&lt;/R&gt;&lt;C&gt;1&lt;/C&gt;&lt;D xsi:type="xsd:double"&gt;1.0197074&lt;/D&gt;&lt;/FQL&gt;&lt;FQL&gt;&lt;Q&gt;VMI-US^P_BETA_LOCIDX(45134,44959,,"SPX")&lt;/Q&gt;&lt;R&gt;1&lt;/R&gt;&lt;C&gt;1&lt;/C&gt;&lt;D xsi:type="xsd:double"&gt;0.95889574&lt;/D&gt;&lt;/FQL&gt;&lt;FQL&gt;&lt;Q&gt;VMI-US^P_BETA_LOCIDX(45133,44958,,"SPX")&lt;/Q&gt;&lt;R&gt;1&lt;/R&gt;&lt;C&gt;1&lt;/C&gt;&lt;D xsi:type="xsd:double"&gt;0.89504236&lt;/D&gt;&lt;/FQL&gt;&lt;FQL&gt;&lt;Q&gt;VMI-US^P_BETA_LOCIDX(45132,44957,,"SPX")&lt;/Q&gt;&lt;R&gt;1&lt;/R&gt;&lt;C&gt;1&lt;/C&gt;&lt;D xsi:type="xsd:double"&gt;0.9275991&lt;/D&gt;&lt;/FQL&gt;&lt;FQL&gt;&lt;Q&gt;VMI-US^P_BETA_LOCIDX(45131,44956,,"SPX")&lt;/Q&gt;&lt;R&gt;1&lt;/R&gt;&lt;C&gt;1&lt;/C&gt;&lt;D xsi:type="xsd:double"&gt;0.93453455&lt;/D&gt;&lt;/FQL&gt;&lt;FQL&gt;&lt;Q&gt;VMI-US^P_BETA_LOCIDX(45128,44953,,"SPX")&lt;/Q&gt;&lt;R&gt;1&lt;/R&gt;&lt;C&gt;1&lt;/C&gt;&lt;D xsi:type="xsd:double"&gt;0.9263663&lt;/D&gt;&lt;/FQL&gt;&lt;FQL&gt;&lt;Q&gt;VMI-US^P_BETA_LOCIDX(45127,44952,,"SPX")&lt;/Q&gt;&lt;R&gt;1&lt;/R&gt;&lt;C&gt;1&lt;/C&gt;&lt;D xsi:type="xsd:double"&gt;0.9167537&lt;/D&gt;&lt;/FQL&gt;&lt;FQL&gt;&lt;Q&gt;VMI-US^P_BETA_LOCIDX(45126,44951,,"SPX")&lt;/Q&gt;&lt;R&gt;1&lt;/R&gt;&lt;C&gt;1&lt;/C&gt;&lt;D xsi:type="xsd:double"&gt;0.92332554&lt;/D&gt;&lt;/FQL&gt;&lt;FQL&gt;&lt;Q&gt;VMI-US^P_BETA_LOCIDX(45125,44950,,"SPX")&lt;/Q&gt;&lt;R&gt;1&lt;/R&gt;&lt;C&gt;1&lt;/C&gt;&lt;D xsi:type="xsd:double"&gt;0.92224723&lt;/D&gt;&lt;/FQL&gt;&lt;FQL&gt;&lt;Q&gt;VMI-US^P_BETA_LOCIDX(45124,44949,,"SPX")&lt;/Q&gt;&lt;R&gt;1&lt;/R&gt;&lt;C&gt;1&lt;/C&gt;&lt;D xsi:type="xsd:double"&gt;0.8932564&lt;/D&gt;&lt;/FQL&gt;&lt;FQL&gt;&lt;Q&gt;VMI-US^P_BETA_LOCIDX(45121,44946,,"SPX")&lt;/Q&gt;&lt;R&gt;1&lt;/R&gt;&lt;C&gt;1&lt;/C&gt;&lt;D xsi:type="xsd:double"&gt;0.9090275&lt;/D&gt;&lt;/FQL&gt;&lt;FQL&gt;&lt;Q&gt;VMI-US^P_BETA_LOCIDX(45120,44945,,"SPX")&lt;/Q&gt;&lt;R&gt;1&lt;/R&gt;&lt;C&gt;1&lt;/C&gt;&lt;D xsi:type="xsd:double"&gt;0.92993957&lt;/D&gt;&lt;/FQL&gt;&lt;FQL&gt;&lt;Q&gt;VMI-US^P_BETA_LOCIDX(45119,44944,,"SPX")&lt;/Q&gt;&lt;R&gt;1&lt;/R&gt;&lt;C&gt;1&lt;/C&gt;&lt;D xsi:type="xsd:double"&gt;0.9489647&lt;/D&gt;&lt;/FQL&gt;&lt;FQL&gt;&lt;Q&gt;VMI-US^P_BETA_LOCIDX(45118,44943,,"SPX")&lt;/Q&gt;&lt;R&gt;1&lt;/R&gt;&lt;C&gt;1&lt;/C&gt;&lt;D xsi:type="xsd:double"&gt;0.9353017&lt;/D&gt;&lt;/FQL&gt;&lt;FQL&gt;&lt;Q&gt;VMI-US^P_BETA_LOCIDX(45117,44939,,"SPX")&lt;/Q&gt;&lt;R&gt;1&lt;/R&gt;&lt;C&gt;1&lt;/C&gt;&lt;D xsi:type="xsd:double"&gt;0.95268035&lt;/D&gt;&lt;/FQL&gt;&lt;FQL&gt;&lt;Q&gt;VMI-US^P_BETA_LOCIDX(45114,44938,,"SPX")&lt;/Q&gt;&lt;R&gt;1&lt;/R&gt;&lt;C&gt;1&lt;/C&gt;&lt;D xsi:type="xsd:double"&gt;0.95887524&lt;/D&gt;&lt;/FQL&gt;&lt;FQL&gt;&lt;Q&gt;VMI-US^P_BETA_LOCIDX(45113,44937,,"SPX")&lt;/Q&gt;&lt;R&gt;1&lt;/R&gt;&lt;C&gt;1&lt;/C&gt;&lt;D xsi:type="xsd:double"&gt;0.96451354&lt;/D&gt;&lt;/FQL&gt;&lt;FQL&gt;&lt;Q&gt;VMI-US^P_BETA_LOCIDX(45112,44936,,"SPX")&lt;/Q&gt;&lt;R&gt;1&lt;/R&gt;&lt;C&gt;1&lt;/C&gt;&lt;D xsi:type="xsd:double"&gt;0.97423375&lt;/D&gt;&lt;/FQL&gt;&lt;FQL&gt;&lt;Q&gt;VMI-US^P_BETA_LOCIDX(45110,44935,,"SPX")&lt;/Q&gt;&lt;R&gt;1&lt;/R&gt;&lt;C&gt;1&lt;/C&gt;&lt;D xsi:type="xsd:double"&gt;0.9680308&lt;/D&gt;&lt;/FQL&gt;&lt;FQL&gt;&lt;Q&gt;VMI-US^P_BETA_LOCIDX(45107,44932,,"SPX")&lt;/Q&gt;&lt;R&gt;1&lt;/R&gt;&lt;C&gt;1&lt;/C&gt;&lt;D xsi:type="xsd:double"&gt;0.9821564&lt;/D&gt;&lt;/FQL&gt;&lt;FQL&gt;&lt;Q&gt;VMI-US^P_BETA_LOCIDX(45106,44931,,"SPX")&lt;/Q&gt;&lt;R&gt;1&lt;/R&gt;&lt;C&gt;1&lt;/C&gt;&lt;D xsi:type="xsd:double"&gt;0.99576974&lt;/D&gt;&lt;/FQL&gt;&lt;FQL&gt;&lt;Q&gt;VMI-US^P_BETA_LOCIDX(45105,44930,,"SPX")&lt;/Q&gt;&lt;R&gt;1&lt;/R&gt;&lt;C&gt;1&lt;/C&gt;&lt;D xsi:type="xsd:double"&gt;0.9949325&lt;/D&gt;&lt;/FQL&gt;&lt;FQL&gt;&lt;Q&gt;VMI-US^P_BETA_LOCIDX(45104,44929,,"SPX")&lt;/Q&gt;&lt;R&gt;1&lt;/R&gt;&lt;C&gt;1&lt;/C&gt;&lt;D xsi:type="xsd:double"&gt;0.9998667&lt;/D&gt;&lt;/FQL&gt;&lt;FQL&gt;&lt;Q&gt;VMI-US^P_BETA_LOCIDX(45103,44925,,"SPX")&lt;/Q&gt;&lt;R&gt;1&lt;/R&gt;&lt;C&gt;1&lt;/C&gt;&lt;D xsi:type="xsd:double"&gt;0.98495054&lt;/D&gt;&lt;/FQL&gt;&lt;FQL&gt;&lt;Q&gt;VMI-US^P_BETA_LOCIDX(45100,44924,,"SPX")&lt;/Q&gt;&lt;R&gt;1&lt;/R&gt;&lt;C&gt;1&lt;/C&gt;&lt;D xsi:type="xsd:double"&gt;0.9692882&lt;/D&gt;&lt;/FQL&gt;&lt;FQL&gt;&lt;Q&gt;VMI-US^P_BETA_LOCIDX(45099,44923,,"SPX")&lt;/Q&gt;&lt;R&gt;1&lt;/R&gt;&lt;C&gt;1&lt;/C&gt;&lt;D xsi:type="xsd:double"&gt;0.9873001&lt;/D&gt;&lt;/FQL&gt;&lt;FQL&gt;&lt;Q&gt;VMI-US^P_BETA_LOCIDX(45098,44922,,"SPX")&lt;/Q&gt;&lt;R&gt;1&lt;/R&gt;&lt;C&gt;1&lt;/C&gt;&lt;D xsi:type="xsd:double"&gt;0.9846477&lt;/D&gt;&lt;/FQL&gt;&lt;FQL&gt;&lt;Q&gt;VMI-US^P_BETA_LOCIDX(45097,44918,,"SPX")&lt;/Q&gt;&lt;R&gt;1&lt;/R&gt;&lt;C&gt;1&lt;/C&gt;&lt;D xsi:type="xsd:double"&gt;1.0250502&lt;/D&gt;&lt;/FQL&gt;&lt;FQL&gt;&lt;Q&gt;VMI-US^P_BETA_LOCIDX(45093,44917,,"SPX")&lt;/Q&gt;&lt;R&gt;1&lt;/R&gt;&lt;C&gt;1&lt;/C&gt;&lt;D xsi:type="xsd:double"&gt;1.0018678&lt;/D&gt;&lt;/FQL&gt;&lt;FQL&gt;&lt;Q&gt;VMI-US^P_BETA_LOCIDX(45092,44916,,"SPX")&lt;/Q&gt;&lt;R&gt;1&lt;/R&gt;&lt;C&gt;1&lt;/C&gt;&lt;D xsi:type="xsd:double"&gt;1.0083212&lt;/D&gt;&lt;/FQL&gt;&lt;FQL&gt;&lt;Q&gt;VMI-US^P_BETA_LOCIDX(45091,44915,,"SPX")&lt;/Q&gt;&lt;R&gt;1&lt;/R&gt;&lt;C&gt;1&lt;/C&gt;&lt;D xsi:type="xsd:double"&gt;1.0002539&lt;/D&gt;&lt;/FQL&gt;&lt;FQL&gt;&lt;Q&gt;VMI-US^P_BETA_LOCIDX(45090,44914,,"SPX")&lt;/Q&gt;&lt;R&gt;1&lt;/R&gt;&lt;C&gt;1&lt;/C&gt;&lt;D xsi:type="xsd:double"&gt;0.983994&lt;/D&gt;&lt;/FQL&gt;&lt;FQL&gt;&lt;Q&gt;VMI-US^P_BETA_LOCIDX(45089,44911,,"SPX")&lt;/Q&gt;&lt;R&gt;1&lt;/R&gt;&lt;C&gt;1&lt;/C&gt;&lt;D xsi:type="xsd:double"&gt;0.9675451&lt;/D&gt;&lt;/FQL&gt;&lt;FQL&gt;&lt;Q&gt;VMI-US^P_BETA_LOCIDX(45086,44910,,"SPX")&lt;/Q&gt;&lt;R&gt;1&lt;/R&gt;&lt;C&gt;1&lt;/C&gt;&lt;D xsi:type="xsd:double"&gt;0.97190833&lt;/D&gt;&lt;/FQL&gt;&lt;FQL&gt;&lt;Q&gt;VMI-US^P_BETA_LOCIDX(45085,44909,,"SPX")&lt;/Q&gt;&lt;R&gt;1&lt;/R&gt;&lt;C&gt;1&lt;/C&gt;&lt;D xsi:type="xsd:double"&gt;0.96575785&lt;/D&gt;&lt;/FQL&gt;&lt;FQL&gt;&lt;Q&gt;VMI-US^P_BETA_LOCIDX(45084,44908,,"SPX")&lt;/Q&gt;&lt;R&gt;1&lt;/R&gt;&lt;C&gt;1&lt;/C&gt;&lt;D xsi:type="xsd:double"&gt;0.9671914&lt;/D&gt;&lt;/FQL&gt;&lt;FQL&gt;&lt;Q&gt;VMI-US^P_BETA_LOCIDX(45083,44907,,"SPX")&lt;/Q&gt;&lt;R&gt;1&lt;/R&gt;&lt;C&gt;1&lt;/C&gt;&lt;D xsi:type="xsd:double"&gt;0.96104795&lt;/D&gt;&lt;/FQL&gt;&lt;FQL&gt;&lt;Q&gt;VMI-US^P_BETA_LOCIDX(45082,44904,,"SPX")&lt;/Q&gt;&lt;R&gt;1&lt;/R&gt;&lt;C&gt;1&lt;/C&gt;&lt;D xsi:type="xsd:double"&gt;0.9460394&lt;/D&gt;&lt;/FQL&gt;&lt;FQL&gt;&lt;Q&gt;VMI-US^P_BETA_LOCIDX(45079,44903,,"SPX")&lt;/Q&gt;&lt;R&gt;1&lt;/R&gt;&lt;C&gt;1&lt;/C&gt;&lt;D xsi:type="xsd:double"&gt;0.9415241&lt;/D&gt;&lt;/FQL&gt;&lt;FQL&gt;&lt;Q&gt;VMI-US^P_BETA_LOCIDX(45078,44902,,"SPX")&lt;/Q&gt;&lt;R&gt;1&lt;/R&gt;&lt;C&gt;1&lt;/C&gt;&lt;D xsi:type="xsd:double"&gt;0.888103&lt;/D&gt;&lt;/FQL&gt;&lt;FQL&gt;&lt;Q&gt;VMI-US^P_BETA_LOCIDX(45077,44901,,"SPX")&lt;/Q&gt;&lt;R&gt;1&lt;/R&gt;&lt;C&gt;1&lt;/C&gt;&lt;D xsi:type="xsd:double"&gt;0.8589816&lt;/D&gt;&lt;/FQL&gt;&lt;FQL&gt;&lt;Q&gt;VMI-US^P_BETA_LOCIDX(45076,44900,,"SPX")&lt;/Q&gt;&lt;R&gt;1&lt;/R&gt;&lt;C&gt;1&lt;/C&gt;&lt;D xsi:type="xsd:double"&gt;0.8963263&lt;/D&gt;&lt;/FQL&gt;&lt;FQL&gt;&lt;Q&gt;VMI-US^P_BETA_LOCIDX(45072,44897,,"SPX")&lt;/Q&gt;&lt;R&gt;1&lt;/R&gt;&lt;C&gt;1&lt;/C&gt;&lt;D xsi:type="xsd:double"&gt;0.8942137&lt;/D&gt;&lt;/FQL&gt;&lt;FQL&gt;&lt;Q&gt;VMI-US^P_BETA_LOCIDX(45071,44896,,"SPX")&lt;/Q&gt;&lt;R&gt;1&lt;/R&gt;&lt;C&gt;1&lt;/C&gt;&lt;D xsi:type="xsd:double"&gt;0.8994673&lt;/D&gt;&lt;/FQL&gt;&lt;FQL&gt;&lt;Q&gt;VMI-US^P_BETA_LOCIDX(45070,44895,,"SPX")&lt;/Q&gt;&lt;R&gt;1&lt;/R&gt;&lt;C&gt;1&lt;/C&gt;&lt;D xsi:type="xsd:double"&gt;0.90088737&lt;/D&gt;&lt;/FQL&gt;&lt;FQL&gt;&lt;Q&gt;VMI-US^P_BETA_LOCIDX(45069,44894,,"SPX")&lt;/Q&gt;&lt;R&gt;1&lt;/R&gt;&lt;C&gt;1&lt;/C&gt;&lt;D xsi:type="xsd:double"&gt;0.894007&lt;/D&gt;&lt;/FQL&gt;&lt;FQL&gt;&lt;Q&gt;VMI-US^P_BETA_LOCIDX(45068,44893,,"SPX")&lt;/Q&gt;&lt;R&gt;1&lt;/R&gt;&lt;C&gt;1&lt;/C&gt;&lt;D xsi:type="xsd:double"&gt;0.88921696&lt;/D&gt;&lt;/FQL&gt;&lt;FQL&gt;&lt;Q&gt;VMI-US^P_BETA_LOCIDX(45065,44890,,"SPX")&lt;/Q&gt;&lt;R&gt;1&lt;/R&gt;&lt;C&gt;1&lt;/C&gt;&lt;D xsi:type="xsd:double"&gt;0.88854676&lt;/D&gt;&lt;/FQL&gt;&lt;FQL&gt;&lt;Q&gt;VMI-US^P_BETA_LOCIDX(45064,44888,,"SPX")&lt;/Q&gt;&lt;R&gt;1&lt;/R&gt;&lt;C&gt;1&lt;/C&gt;&lt;D xsi:type="xsd:double"&gt;0.8879515&lt;/D&gt;&lt;/FQL&gt;&lt;FQL&gt;&lt;Q&gt;VMI-US^P_BETA_LOCIDX(45063,44887,,"SPX")&lt;/Q&gt;&lt;R&gt;1&lt;/R&gt;&lt;C&gt;1&lt;/C&gt;&lt;D xsi:type="xsd:double"&gt;0.9015551&lt;/D&gt;&lt;/FQL&gt;&lt;FQL&gt;&lt;Q&gt;VMI-US^P_BETA_LOCIDX(45062,44886,,"SPX")&lt;/Q&gt;&lt;R&gt;1&lt;/R&gt;&lt;C&gt;1&lt;/C&gt;&lt;D xsi:type="xsd:double"&gt;0.8941916&lt;/D&gt;&lt;/FQL&gt;&lt;FQL&gt;&lt;Q&gt;VMI-US^P_BETA_LOCIDX(45061,44883,,"SPX")&lt;/Q&gt;&lt;R&gt;1&lt;/R&gt;&lt;C&gt;1&lt;/C&gt;&lt;D xsi:type="xsd:double"&gt;0.8850294&lt;/D&gt;&lt;/FQL&gt;&lt;FQL&gt;&lt;Q&gt;VMI-US^P_BETA_LOCIDX(45058,44882,,"SPX")&lt;/Q&gt;&lt;R&gt;1&lt;/R&gt;&lt;C&gt;1&lt;/C&gt;&lt;D xsi:type="xsd:double"&gt;0.8769536&lt;/D&gt;&lt;/FQL&gt;&lt;FQL&gt;&lt;Q&gt;VMI-US^P_BETA_LOCIDX(45057,44881,,"SPX")&lt;/Q&gt;&lt;R&gt;1&lt;/R&gt;&lt;C&gt;1&lt;/C&gt;&lt;D xsi:type="xsd:double"&gt;0.8743959&lt;/D&gt;&lt;/FQL&gt;&lt;FQL&gt;&lt;Q&gt;VMI-US^P_BETA_LOCIDX(45056,44880,,"SPX")&lt;/Q&gt;&lt;R&gt;1&lt;/R&gt;&lt;C&gt;1&lt;/C&gt;&lt;D xsi:type="xsd:double"&gt;0.87108576&lt;/D&gt;&lt;/FQL&gt;&lt;FQL&gt;&lt;Q&gt;VMI-US^P_BETA_LOCIDX(45055,44879,,"SPX")&lt;/Q&gt;&lt;R&gt;1&lt;/R&gt;&lt;C&gt;1&lt;/C&gt;&lt;D xsi:type="xsd:double"&gt;0.8583921&lt;/D&gt;&lt;/FQL&gt;&lt;FQL&gt;&lt;Q&gt;VMI-US^P_BETA_LOCIDX(45054,44876,,"SPX")&lt;/Q&gt;&lt;R&gt;1&lt;/R&gt;&lt;C&gt;1&lt;/C&gt;&lt;D xsi:type="xsd:double"&gt;0.84447277&lt;/D&gt;&lt;/FQL&gt;&lt;FQL&gt;&lt;Q&gt;VMI-US^P_BETA_LOCIDX(45051,44875,,"SPX")&lt;/Q&gt;&lt;R&gt;1&lt;/R&gt;&lt;C&gt;1&lt;/C&gt;&lt;D xsi:type="xsd:double"&gt;0.7882902&lt;/D&gt;&lt;/FQL&gt;&lt;FQL&gt;&lt;Q&gt;VMI-US^P_BETA_LOCIDX(45050,44874,,"SPX")&lt;/Q&gt;&lt;R&gt;1&lt;/R&gt;&lt;C&gt;1&lt;/C&gt;&lt;D xsi:type="xsd:double"&gt;0.7683908&lt;/D&gt;&lt;/FQL&gt;&lt;FQL&gt;&lt;Q&gt;VMI-US^P_BETA_LOCIDX(45049,44873,,"SPX")&lt;/Q&gt;&lt;R&gt;1&lt;/R&gt;&lt;C&gt;1&lt;/C&gt;&lt;D xsi:type="xsd:double"&gt;0.7573338&lt;/D&gt;&lt;/FQL&gt;&lt;FQL&gt;&lt;Q&gt;VMI-US^P_BETA_LOCIDX(45048,44872,,"SPX")&lt;/Q&gt;&lt;R&gt;1&lt;/R&gt;&lt;C&gt;1&lt;/C&gt;&lt;D xsi:type="xsd:double"&gt;0.76097035&lt;/D&gt;&lt;/FQL&gt;&lt;FQL&gt;&lt;Q&gt;VMI-US^P_BETA_LOCIDX(45047,44869,,"SPX")&lt;/Q&gt;&lt;R&gt;1&lt;/R&gt;&lt;C&gt;1&lt;/C&gt;&lt;D xsi:type="xsd:double"&gt;0.76249796&lt;/D&gt;&lt;/FQL&gt;&lt;FQL&gt;&lt;Q&gt;VMI-US^P_BETA_LOCIDX(45044,44868,,"SPX")&lt;/Q&gt;&lt;R&gt;1&lt;/R&gt;&lt;C&gt;1&lt;/C&gt;&lt;D xsi:type="xsd:double"&gt;0.7502336&lt;/D&gt;&lt;/FQL&gt;&lt;FQL&gt;&lt;Q&gt;VMI-US^P_BETA_LOCIDX(45043,44867,,"SPX")&lt;/Q&gt;&lt;R&gt;1&lt;/R&gt;&lt;C&gt;1&lt;/C&gt;&lt;D xsi:type="xsd:double"&gt;0.7672128&lt;/D&gt;&lt;/FQL&gt;&lt;FQL&gt;&lt;Q&gt;VMI-US^P_BETA_LOCIDX(45042,44866,,"SPX")&lt;/Q&gt;&lt;R&gt;1&lt;/R&gt;&lt;C&gt;1&lt;/C&gt;&lt;D xsi:type="xsd:double"&gt;0.7650038&lt;/D&gt;&lt;/FQL&gt;&lt;FQL&gt;&lt;Q&gt;VMI-US^P_BETA_LOCIDX(45041,44865,,"SPX")&lt;/Q&gt;&lt;R&gt;1&lt;/R&gt;&lt;C&gt;1&lt;/C&gt;&lt;D xsi:type="xsd:double"&gt;0.7557477&lt;/D&gt;&lt;/FQL&gt;&lt;FQL&gt;&lt;Q&gt;VMI-US^P_BETA_LOCIDX(45040,44862,,"SPX")&lt;/Q&gt;&lt;R&gt;1&lt;/R&gt;&lt;C&gt;1&lt;/C&gt;&lt;D xsi:type="xsd:double"&gt;0.7353353&lt;/D&gt;&lt;/FQL&gt;&lt;FQL&gt;&lt;Q&gt;VMI-US^P_BETA_LOCIDX(45037,44861,,"SPX")&lt;/Q&gt;&lt;R&gt;1&lt;/R&gt;&lt;C&gt;1&lt;/C&gt;&lt;D xsi:type="xsd:double"&gt;0.7221784&lt;/D&gt;&lt;/FQL&gt;&lt;FQL&gt;&lt;Q&gt;VMI-US^P_BETA_LOCIDX(45036,44860,,"SPX")&lt;/Q&gt;&lt;R&gt;1&lt;/R&gt;&lt;C&gt;1&lt;/C&gt;&lt;D xsi:type="xsd:double"&gt;0.7236122&lt;/D&gt;&lt;/FQL&gt;&lt;FQL&gt;&lt;Q&gt;VMI-US^P_BETA_LOCIDX(45035,44859,,"SPX")&lt;/Q&gt;&lt;R&gt;1&lt;/R&gt;&lt;C&gt;1&lt;/C&gt;&lt;D xsi:type="xsd:double"&gt;0.7397224&lt;/D&gt;&lt;/FQL&gt;&lt;FQL&gt;&lt;Q&gt;VMI-US^P_BETA_LOCIDX(45034,44858,,"SPX")&lt;/Q&gt;&lt;R&gt;1&lt;/R&gt;&lt;C&gt;1&lt;/C&gt;&lt;D xsi:type="xsd:double"&gt;0.7468603&lt;/D&gt;&lt;/FQL&gt;&lt;FQL&gt;&lt;Q&gt;VMI-US^P_BETA_LOCIDX(45033,44855,,"SPX")&lt;/Q&gt;&lt;R&gt;1&lt;/R&gt;&lt;C&gt;1&lt;/C&gt;&lt;D xsi:type="xsd:double"&gt;0.7646476&lt;/D&gt;&lt;/FQL&gt;&lt;FQL&gt;&lt;Q&gt;VMI-US^P_BETA_LOCIDX(45030,44854,,"SPX")&lt;/Q&gt;&lt;R&gt;1&lt;/R&gt;&lt;C&gt;1&lt;/C&gt;&lt;D xsi:type="xsd:double"&gt;0.77273834&lt;/D&gt;&lt;/FQL&gt;&lt;FQL&gt;&lt;Q&gt;VMI-US^P_BETA_LOCIDX(45029,44853,,"SPX")&lt;/Q&gt;&lt;R&gt;1&lt;/R&gt;&lt;C&gt;1&lt;/C&gt;&lt;D xsi:type="xsd:double"&gt;0.7723606&lt;/D&gt;&lt;/FQL&gt;&lt;FQL&gt;&lt;Q&gt;VMI-US^P_BETA_LOCIDX(45028,44852,,"SPX")&lt;/Q&gt;&lt;R&gt;1&lt;/R&gt;&lt;C&gt;1&lt;/C&gt;&lt;D xsi:type="xsd:double"&gt;0.771165&lt;/D&gt;&lt;/FQL&gt;&lt;FQL&gt;&lt;Q&gt;VMI-US^P_BETA_LOCIDX(45027,44851,,"SPX")&lt;/Q&gt;&lt;R&gt;1&lt;/R&gt;&lt;C&gt;1&lt;/C&gt;&lt;D xsi:type="xsd:double"&gt;0.80478907&lt;/D&gt;&lt;/FQL&gt;&lt;FQL&gt;&lt;Q&gt;VMI-US^P_BETA_LOCIDX(45026,44848,,"SPX")&lt;/Q&gt;&lt;R&gt;1&lt;/R&gt;&lt;C&gt;1&lt;/C&gt;&lt;D xsi:type="xsd:double"&gt;0.81324&lt;/D&gt;&lt;/FQL&gt;&lt;FQL&gt;&lt;Q&gt;VMI-US^P_BETA_LOCIDX(45022,44847,,"SPX")&lt;/Q&gt;&lt;R&gt;1&lt;/R&gt;&lt;C&gt;1&lt;/C&gt;&lt;D xsi:type="xsd:double"&gt;0.8041943&lt;/D&gt;&lt;/FQL&gt;&lt;FQL&gt;&lt;Q&gt;VMI-US^P_BETA_LOCIDX(45021,44846,,"SPX")&lt;/Q&gt;&lt;R&gt;1&lt;/R&gt;&lt;C&gt;1&lt;/C&gt;&lt;D xsi:type="xsd:double"&gt;0.8074354&lt;/D&gt;&lt;/FQL&gt;&lt;FQL&gt;&lt;Q&gt;VMI-US^P_BETA_LOCIDX(45020,44845,,"SPX")&lt;/Q&gt;&lt;R&gt;1&lt;/R&gt;&lt;C&gt;1&lt;/C&gt;&lt;D xsi:type="xsd:double"&gt;0.7929969&lt;/D&gt;&lt;/FQL&gt;&lt;FQL&gt;&lt;Q&gt;VMI-US^P_BETA_LOCIDX(45019,44844,,"SPX")&lt;/Q&gt;&lt;R&gt;1&lt;/R&gt;&lt;C&gt;1&lt;/C&gt;&lt;D xsi:type="xsd:double"&gt;0.7706594&lt;/D&gt;&lt;/FQL&gt;&lt;FQL&gt;&lt;Q&gt;VMI-US^P_BETA_LOCIDX(45016,44841,,"SPX")&lt;/Q&gt;&lt;R&gt;1&lt;/R&gt;&lt;C&gt;1&lt;/C&gt;&lt;D xsi:type="xsd:double"&gt;0.77529925&lt;/D&gt;&lt;/FQL&gt;&lt;FQL&gt;&lt;Q&gt;VMI-US^P_BETA_LOCIDX(45015,44840,,"SPX")&lt;/Q&gt;&lt;R&gt;1&lt;/R&gt;&lt;C&gt;1&lt;/C&gt;&lt;D xsi:type="xsd:double"&gt;0.77423245&lt;/D&gt;&lt;/FQL&gt;&lt;FQL&gt;&lt;Q&gt;VMI-US^P_BETA_LOCIDX(45014,44839,,"SPX")&lt;/Q&gt;&lt;R&gt;1&lt;/R&gt;&lt;C&gt;1&lt;/C&gt;&lt;D xsi:type="xsd:double"&gt;0.7746775&lt;/D&gt;&lt;/FQL&gt;&lt;FQL&gt;&lt;Q&gt;VMI-US^P_BETA_LOCIDX(45013,44838,,"SPX")&lt;/Q&gt;&lt;R&gt;1&lt;/R&gt;&lt;C&gt;1&lt;/C&gt;&lt;D xsi:type="xsd:double"&gt;0.7691137&lt;/D&gt;&lt;/FQL&gt;&lt;FQL&gt;&lt;Q&gt;VMI-US^P_BETA_LOCIDX(45012,44837,,"SPX")&lt;/Q&gt;&lt;R&gt;1&lt;/R&gt;&lt;C&gt;1&lt;/C&gt;&lt;D xsi:type="xsd:double"&gt;0.80929077&lt;/D&gt;&lt;/FQL&gt;&lt;FQL&gt;&lt;Q&gt;VMI-US^P_BETA_LOCIDX(45009,44834,,"SPX")&lt;/Q&gt;&lt;R&gt;1&lt;/R&gt;&lt;C&gt;1&lt;/C&gt;&lt;D xsi:type="xsd:double"&gt;0.805682&lt;/D&gt;&lt;/FQL&gt;&lt;FQL&gt;&lt;Q&gt;VMI-US^P_BETA_LOCIDX(45008,44833,,"SPX")&lt;/Q&gt;&lt;R&gt;1&lt;/R&gt;&lt;C&gt;1&lt;/C&gt;&lt;D xsi:type="xsd:double"&gt;0.78852046&lt;/D&gt;&lt;/FQL&gt;&lt;FQL&gt;&lt;Q&gt;VMI-US^P_BETA_LOCIDX(45007,44832,,"SPX")&lt;/Q&gt;&lt;R&gt;1&lt;/R&gt;&lt;C&gt;1&lt;/C&gt;&lt;D xsi:type="xsd:double"&gt;0.7977908&lt;/D&gt;&lt;/FQL&gt;&lt;FQL&gt;&lt;Q&gt;VMI-US^P_BETA_LOCIDX(45006,44831,,"SPX")&lt;/Q&gt;&lt;R&gt;1&lt;/R&gt;&lt;C&gt;1&lt;/C&gt;&lt;D xsi:type="xsd:double"&gt;0.78695124&lt;/D&gt;&lt;/FQL&gt;&lt;FQL&gt;&lt;Q&gt;VMI-US^P_BETA_LOCIDX(45005,44830,,"SPX")&lt;/Q&gt;&lt;R&gt;1&lt;/R&gt;&lt;C&gt;1&lt;/C&gt;&lt;D xsi:type="xsd:double"&gt;0.77632135&lt;/D&gt;&lt;/FQL&gt;&lt;FQL&gt;&lt;Q&gt;VMI-US^P_BETA_LOCIDX(45002,44827,,"SPX")&lt;/Q&gt;&lt;R&gt;1&lt;/R&gt;&lt;C&gt;1&lt;/C&gt;&lt;D xsi:type="xsd:double"&gt;0.7849092&lt;/D&gt;&lt;/FQL&gt;&lt;FQL&gt;&lt;Q&gt;VMI-US^P_BETA_LOCIDX(45001,44826,,"SPX")&lt;/Q&gt;&lt;R&gt;1&lt;/R&gt;&lt;C&gt;1&lt;/C&gt;&lt;D xsi:type="xsd:double"&gt;0.78005683&lt;/D&gt;&lt;/FQL&gt;&lt;FQL&gt;&lt;Q&gt;VMI-US^P_BETA_LOCI</t>
        </r>
      </text>
    </comment>
    <comment ref="A13" authorId="0" shapeId="0" xr:uid="{CCA9E4D0-45E8-4F13-9559-304CDB8E650A}">
      <text>
        <r>
          <rPr>
            <b/>
            <sz val="9"/>
            <color indexed="81"/>
            <rFont val="Tahoma"/>
            <family val="2"/>
          </rPr>
          <t>DX(45000,44825,,"SPX")&lt;/Q&gt;&lt;R&gt;1&lt;/R&gt;&lt;C&gt;1&lt;/C&gt;&lt;D xsi:type="xsd:double"&gt;0.7729527&lt;/D&gt;&lt;/FQL&gt;&lt;FQL&gt;&lt;Q&gt;VMI-US^P_BETA_LOCIDX(44999,44824,,"SPX")&lt;/Q&gt;&lt;R&gt;1&lt;/R&gt;&lt;C&gt;1&lt;/C&gt;&lt;D xsi:type="xsd:double"&gt;0.7723987&lt;/D&gt;&lt;/FQL&gt;&lt;FQL&gt;&lt;Q&gt;VMI-US^P_BETA_LOCIDX(44998,44823,,"SPX")&lt;/Q&gt;&lt;R&gt;1&lt;/R&gt;&lt;C&gt;1&lt;/C&gt;&lt;D xsi:type="xsd:double"&gt;0.7658739&lt;/D&gt;&lt;/FQL&gt;&lt;FQL&gt;&lt;Q&gt;VMI-US^P_BETA_LOCIDX(44995,44820,,"SPX")&lt;/Q&gt;&lt;R&gt;1&lt;/R&gt;&lt;C&gt;1&lt;/C&gt;&lt;D xsi:type="xsd:double"&gt;0.7679823&lt;/D&gt;&lt;/FQL&gt;&lt;FQL&gt;&lt;Q&gt;VMI-US^P_BETA_LOCIDX(44994,44819,,"SPX")&lt;/Q&gt;&lt;R&gt;1&lt;/R&gt;&lt;C&gt;1&lt;/C&gt;&lt;D xsi:type="xsd:double"&gt;0.75960726&lt;/D&gt;&lt;/FQL&gt;&lt;FQL&gt;&lt;Q&gt;VMI-US^P_BETA_LOCIDX(44993,44818,,"SPX")&lt;/Q&gt;&lt;R&gt;1&lt;/R&gt;&lt;C&gt;1&lt;/C&gt;&lt;D xsi:type="xsd:double"&gt;0.753147&lt;/D&gt;&lt;/FQL&gt;&lt;FQL&gt;&lt;Q&gt;VMI-US^P_BETA_LOCIDX(44992,44817,,"SPX")&lt;/Q&gt;&lt;R&gt;1&lt;/R&gt;&lt;C&gt;1&lt;/C&gt;&lt;D xsi:type="xsd:double"&gt;0.7334068&lt;/D&gt;&lt;/FQL&gt;&lt;FQL&gt;&lt;Q&gt;VMI-US^P_BETA_LOCIDX(44991,44816,,"SPX")&lt;/Q&gt;&lt;R&gt;1&lt;/R&gt;&lt;C&gt;1&lt;/C&gt;&lt;D xsi:type="xsd:double"&gt;0.7245194&lt;/D&gt;&lt;/FQL&gt;&lt;FQL&gt;&lt;Q&gt;VMI-US^P_BETA_LOCIDX(44988,44813,,"SPX")&lt;/Q&gt;&lt;R&gt;1&lt;/R&gt;&lt;C&gt;1&lt;/C&gt;&lt;D xsi:type="xsd:double"&gt;0.725426&lt;/D&gt;&lt;/FQL&gt;&lt;FQL&gt;&lt;Q&gt;VMI-US^P_BETA_LOCIDX(44987,44812,,"SPX")&lt;/Q&gt;&lt;R&gt;1&lt;/R&gt;&lt;C&gt;1&lt;/C&gt;&lt;D xsi:type="xsd:double"&gt;0.7178501&lt;/D&gt;&lt;/FQL&gt;&lt;FQL&gt;&lt;Q&gt;VMI-US^P_BETA_LOCIDX(44986,44811,,"SPX")&lt;/Q&gt;&lt;R&gt;1&lt;/R&gt;&lt;C&gt;1&lt;/C&gt;&lt;D xsi:type="xsd:double"&gt;0.73519206&lt;/D&gt;&lt;/FQL&gt;&lt;FQL&gt;&lt;Q&gt;VMI-US^P_BETA_LOCIDX(44985,44810,,"SPX")&lt;/Q&gt;&lt;R&gt;1&lt;/R&gt;&lt;C&gt;1&lt;/C&gt;&lt;D xsi:type="xsd:double"&gt;0.73938966&lt;/D&gt;&lt;/FQL&gt;&lt;FQL&gt;&lt;Q&gt;VMI-US^P_BETA_LOCIDX(44984,44806,,"SPX")&lt;/Q&gt;&lt;R&gt;1&lt;/R&gt;&lt;C&gt;1&lt;/C&gt;&lt;D xsi:type="xsd:double"&gt;0.7463984&lt;/D&gt;&lt;/FQL&gt;&lt;FQL&gt;&lt;Q&gt;VMI-US^P_BETA_LOCIDX(44981,44805,,"SPX")&lt;/Q&gt;&lt;R&gt;1&lt;/R&gt;&lt;C&gt;1&lt;/C&gt;&lt;D xsi:type="xsd:double"&gt;0.74548274&lt;/D&gt;&lt;/FQL&gt;&lt;FQL&gt;&lt;Q&gt;VMI-US^P_BETA_LOCIDX(44980,44804,,"SPX")&lt;/Q&gt;&lt;R&gt;1&lt;/R&gt;&lt;C&gt;1&lt;/C&gt;&lt;D xsi:type="xsd:double"&gt;0.76849926&lt;/D&gt;&lt;/FQL&gt;&lt;FQL&gt;&lt;Q&gt;VMI-US^P_BETA_LOCIDX(44979,44803,,"SPX")&lt;/Q&gt;&lt;R&gt;1&lt;/R&gt;&lt;C&gt;1&lt;/C&gt;&lt;D xsi:type="xsd:double"&gt;0.78241104&lt;/D&gt;&lt;/FQL&gt;&lt;FQL&gt;&lt;Q&gt;VMI-US^P_BETA_LOCIDX(44978,44802,,"SPX")&lt;/Q&gt;&lt;R&gt;1&lt;/R&gt;&lt;C&gt;1&lt;/C&gt;&lt;D xsi:type="xsd:double"&gt;0.78427577&lt;/D&gt;&lt;/FQL&gt;&lt;FQL&gt;&lt;Q&gt;VMI-US^P_BETA_LOCIDX(44974,44799,,"SPX")&lt;/Q&gt;&lt;R&gt;1&lt;/R&gt;&lt;C&gt;1&lt;/C&gt;&lt;D xsi:type="xsd:double"&gt;0.76697004&lt;/D&gt;&lt;/FQL&gt;&lt;FQL&gt;&lt;Q&gt;VMI-US^P_BETA_LOCIDX(44973,44798,,"SPX")&lt;/Q&gt;&lt;R&gt;1&lt;/R&gt;&lt;C&gt;1&lt;/C&gt;&lt;D xsi:type="xsd:double"&gt;0.7649578&lt;/D&gt;&lt;/FQL&gt;&lt;FQL&gt;&lt;Q&gt;VMI-US^P_BETA_LOCIDX(44972,44797,,"SPX")&lt;/Q&gt;&lt;R&gt;1&lt;/R&gt;&lt;C&gt;1&lt;/C&gt;&lt;D xsi:type="xsd:double"&gt;0.7747055&lt;/D&gt;&lt;/FQL&gt;&lt;FQL&gt;&lt;Q&gt;VMI-US^P_BETA_LOCIDX(44971,44796,,"SPX")&lt;/Q&gt;&lt;R&gt;1&lt;/R&gt;&lt;C&gt;1&lt;/C&gt;&lt;D xsi:type="xsd:double"&gt;0.77380115&lt;/D&gt;&lt;/FQL&gt;&lt;FQL&gt;&lt;Q&gt;VMI-US^P_BETA_LOCIDX(44970,44795,,"SPX")&lt;/Q&gt;&lt;R&gt;1&lt;/R&gt;&lt;C&gt;1&lt;/C&gt;&lt;D xsi:type="xsd:double"&gt;0.7759105&lt;/D&gt;&lt;/FQL&gt;&lt;FQL&gt;&lt;Q&gt;VMI-US^P_BETA_LOCIDX(44967,44792,,"SPX")&lt;/Q&gt;&lt;R&gt;1&lt;/R&gt;&lt;C&gt;1&lt;/C&gt;&lt;D xsi:type="xsd:double"&gt;0.7705488&lt;/D&gt;&lt;/FQL&gt;&lt;FQL&gt;&lt;Q&gt;VMI-US^P_BETA_LOCIDX(44966,44791,,"SPX")&lt;/Q&gt;&lt;R&gt;1&lt;/R&gt;&lt;C&gt;1&lt;/C&gt;&lt;D xsi:type="xsd:double"&gt;0.7723304&lt;/D&gt;&lt;/FQL&gt;&lt;FQL&gt;&lt;Q&gt;VMI-US^P_BETA_LOCIDX(44965,44790,,"SPX")&lt;/Q&gt;&lt;R&gt;1&lt;/R&gt;&lt;C&gt;1&lt;/C&gt;&lt;D xsi:type="xsd:double"&gt;0.77316976&lt;/D&gt;&lt;/FQL&gt;&lt;FQL&gt;&lt;Q&gt;VMI-US^P_BETA_LOCIDX(44964,44789,,"SPX")&lt;/Q&gt;&lt;R&gt;1&lt;/R&gt;&lt;C&gt;1&lt;/C&gt;&lt;D xsi:type="xsd:double"&gt;0.77391344&lt;/D&gt;&lt;/FQL&gt;&lt;FQL&gt;&lt;Q&gt;VMI-US^P_BETA_LOCIDX(44963,44788,,"SPX")&lt;/Q&gt;&lt;R&gt;1&lt;/R&gt;&lt;C&gt;1&lt;/C&gt;&lt;D xsi:type="xsd:double"&gt;0.77555037&lt;/D&gt;&lt;/FQL&gt;&lt;FQL&gt;&lt;Q&gt;VMI-US^P_BETA_LOCIDX(44960,44785,,"SPX")&lt;/Q&gt;&lt;R&gt;1&lt;/R&gt;&lt;C&gt;1&lt;/C&gt;&lt;D xsi:type="xsd:double"&gt;0.78008825&lt;/D&gt;&lt;/FQL&gt;&lt;FQL&gt;&lt;Q&gt;VMI-US^P_BETA_LOCIDX(44959,44784,,"SPX")&lt;/Q&gt;&lt;R&gt;1&lt;/R&gt;&lt;C&gt;1&lt;/C&gt;&lt;D xsi:type="xsd:double"&gt;0.7835276&lt;/D&gt;&lt;/FQL&gt;&lt;FQL&gt;&lt;Q&gt;VMI-US^P_BETA_LOCIDX(44958,44783,,"SPX")&lt;/Q&gt;&lt;R&gt;1&lt;/R&gt;&lt;C&gt;1&lt;/C&gt;&lt;D xsi:type="xsd:double"&gt;0.809755&lt;/D&gt;&lt;/FQL&gt;&lt;FQL&gt;&lt;Q&gt;VMI-US^P_BETA_LOCIDX(44957,44782,,"SPX")&lt;/Q&gt;&lt;R&gt;1&lt;/R&gt;&lt;C&gt;1&lt;/C&gt;&lt;D xsi:type="xsd:double"&gt;0.81215584&lt;/D&gt;&lt;/FQL&gt;&lt;FQL&gt;&lt;Q&gt;VMI-US^P_BETA_LOCIDX(44956,44781,,"SPX")&lt;/Q&gt;&lt;R&gt;1&lt;/R&gt;&lt;C&gt;1&lt;/C&gt;&lt;D xsi:type="xsd:double"&gt;0.8013297&lt;/D&gt;&lt;/FQL&gt;&lt;FQL&gt;&lt;Q&gt;VMI-US^P_BETA_LOCIDX(44953,44778,,"SPX")&lt;/Q&gt;&lt;R&gt;1&lt;/R&gt;&lt;C&gt;1&lt;/C&gt;&lt;D xsi:type="xsd:double"&gt;0.7961024&lt;/D&gt;&lt;/FQL&gt;&lt;FQL&gt;&lt;Q&gt;VMI-US^P_BETA_LOCIDX(44952,44777,,"SPX")&lt;/Q&gt;&lt;R&gt;1&lt;/R&gt;&lt;C&gt;1&lt;/C&gt;&lt;D xsi:type="xsd:double"&gt;0.79742664&lt;/D&gt;&lt;/FQL&gt;&lt;FQL&gt;&lt;Q&gt;VMI-US^P_BETA_LOCIDX(44951,44776,,"SPX")&lt;/Q&gt;&lt;R&gt;1&lt;/R&gt;&lt;C&gt;1&lt;/C&gt;&lt;D xsi:type="xsd:double"&gt;0.7958091&lt;/D&gt;&lt;/FQL&gt;&lt;FQL&gt;&lt;Q&gt;VMI-US^P_BETA_LOCIDX(44950,44775,,"SPX")&lt;/Q&gt;&lt;R&gt;1&lt;/R&gt;&lt;C&gt;1&lt;/C&gt;&lt;D xsi:type="xsd:double"&gt;0.7982402&lt;/D&gt;&lt;/FQL&gt;&lt;FQL&gt;&lt;Q&gt;VMI-US^P_BETA_LOCIDX(44949,44774,,"SPX")&lt;/Q&gt;&lt;R&gt;1&lt;/R&gt;&lt;C&gt;1&lt;/C&gt;&lt;D xsi:type="xsd:double"&gt;0.7978024&lt;/D&gt;&lt;/FQL&gt;&lt;FQL&gt;&lt;Q&gt;VMI-US^P_BETA_LOCIDX(44946,44771,,"SPX")&lt;/Q&gt;&lt;R&gt;1&lt;/R&gt;&lt;C&gt;1&lt;/C&gt;&lt;D xsi:type="xsd:double"&gt;0.80542797&lt;/D&gt;&lt;/FQL&gt;&lt;FQL&gt;&lt;Q&gt;VMI-US^P_BETA_LOCIDX(44945,44770,,"SPX")&lt;/Q&gt;&lt;R&gt;1&lt;/R&gt;&lt;C&gt;1&lt;/C&gt;&lt;D xsi:type="xsd:double"&gt;0.81697977&lt;/D&gt;&lt;/FQL&gt;&lt;FQL&gt;&lt;Q&gt;VMI-US^P_BETA_LOCIDX(44944,44769,,"SPX")&lt;/Q&gt;&lt;R&gt;1&lt;/R&gt;&lt;C&gt;1&lt;/C&gt;&lt;D xsi:type="xsd:double"&gt;0.7904984&lt;/D&gt;&lt;/FQL&gt;&lt;FQL&gt;&lt;Q&gt;VMI-US^P_BETA_LOCIDX(44943,44768,,"SPX")&lt;/Q&gt;&lt;R&gt;1&lt;/R&gt;&lt;C&gt;1&lt;/C&gt;&lt;D xsi:type="xsd:double"&gt;0.7795692&lt;/D&gt;&lt;/FQL&gt;&lt;FQL&gt;&lt;Q&gt;VMI-US^P_BETA_LOCIDX(44939,44767,,"SPX")&lt;/Q&gt;&lt;R&gt;1&lt;/R&gt;&lt;C&gt;1&lt;/C&gt;&lt;D xsi:type="xsd:double"&gt;0.7786461&lt;/D&gt;&lt;/FQL&gt;&lt;FQL&gt;&lt;Q&gt;VMI-US^P_BETA_LOCIDX(44938,44764,,"SPX")&lt;/Q&gt;&lt;R&gt;1&lt;/R&gt;&lt;C&gt;1&lt;/C&gt;&lt;D xsi:type="xsd:double"&gt;0.7795569&lt;/D&gt;&lt;/FQL&gt;&lt;FQL&gt;&lt;Q&gt;VMI-US^P_BETA_LOCIDX(44937,44763,,"SPX")&lt;/Q&gt;&lt;R&gt;1&lt;/R&gt;&lt;C&gt;1&lt;/C&gt;&lt;D xsi:type="xsd:double"&gt;0.79575515&lt;/D&gt;&lt;/FQL&gt;&lt;FQL&gt;&lt;Q&gt;VMI-US^P_BETA_LOCIDX(44936,44762,,"SPX")&lt;/Q&gt;&lt;R&gt;1&lt;/R&gt;&lt;C&gt;1&lt;/C&gt;&lt;D xsi:type="xsd:double"&gt;0.8000386&lt;/D&gt;&lt;/FQL&gt;&lt;FQL&gt;&lt;Q&gt;VMI-US^P_BETA_LOCIDX(44935,44761,,"SPX")&lt;/Q&gt;&lt;R&gt;1&lt;/R&gt;&lt;C&gt;1&lt;/C&gt;&lt;D xsi:type="xsd:double"&gt;0.815352&lt;/D&gt;&lt;/FQL&gt;&lt;FQL&gt;&lt;Q&gt;VMI-US^P_BETA_LOCIDX(44932,44760,,"SPX")&lt;/Q&gt;&lt;R&gt;1&lt;/R&gt;&lt;C&gt;1&lt;/C&gt;&lt;D xsi:type="xsd:double"&gt;0.815437&lt;/D&gt;&lt;/FQL&gt;&lt;FQL&gt;&lt;Q&gt;VMI-US^P_BETA_LOCIDX(44931,44757,,"SPX")&lt;/Q&gt;&lt;R&gt;1&lt;/R&gt;&lt;C&gt;1&lt;/C&gt;&lt;D xsi:type="xsd:double"&gt;0.81779444&lt;/D&gt;&lt;/FQL&gt;&lt;FQL&gt;&lt;Q&gt;VMI-US^P_BETA_LOCIDX(44930,44756,,"SPX")&lt;/Q&gt;&lt;R&gt;1&lt;/R&gt;&lt;C&gt;1&lt;/C&gt;&lt;D xsi:type="xsd:double"&gt;0.8147872&lt;/D&gt;&lt;/FQL&gt;&lt;FQL&gt;&lt;Q&gt;VMI-US^P_BETA_LOCIDX(44929,44755,,"SPX")&lt;/Q&gt;&lt;R&gt;1&lt;/R&gt;&lt;C&gt;1&lt;/C&gt;&lt;D xsi:type="xsd:double"&gt;0.82055324&lt;/D&gt;&lt;/FQL&gt;&lt;FQL&gt;&lt;Q&gt;VMI-US^P_BETA_LOCIDX(44925,44754,,"SPX")&lt;/Q&gt;&lt;R&gt;1&lt;/R&gt;&lt;C&gt;1&lt;/C&gt;&lt;D xsi:type="xsd:double"&gt;0.8251923&lt;/D&gt;&lt;/FQL&gt;&lt;FQL&gt;&lt;Q&gt;VMI-US^P_BETA_LOCIDX(44924,44753,,"SPX")&lt;/Q&gt;&lt;R&gt;1&lt;/R&gt;&lt;C&gt;1&lt;/C&gt;&lt;D xsi:type="xsd:double"&gt;0.8235722&lt;/D&gt;&lt;/FQL&gt;&lt;FQL&gt;&lt;Q&gt;VMI-US^P_BETA_LOCIDX(44923,44750,,"SPX")&lt;/Q&gt;&lt;R&gt;1&lt;/R&gt;&lt;C&gt;1&lt;/C&gt;&lt;D xsi:type="xsd:double"&gt;0.8324402&lt;/D&gt;&lt;/FQL&gt;&lt;FQL&gt;&lt;Q&gt;VMI-US^P_BETA_LOCIDX(44922,44749,,"SPX")&lt;/Q&gt;&lt;R&gt;1&lt;/R&gt;&lt;C&gt;1&lt;/C&gt;&lt;D xsi:type="xsd:double"&gt;0.8308008&lt;/D&gt;&lt;/FQL&gt;&lt;FQL&gt;&lt;Q&gt;VMI-US^P_BETA_LOCIDX(44918,44748,,"SPX")&lt;/Q&gt;&lt;R&gt;1&lt;/R&gt;&lt;C&gt;1&lt;/C&gt;&lt;D xsi:type="xsd:double"&gt;0.83065873&lt;/D&gt;&lt;/FQL&gt;&lt;FQL&gt;&lt;Q&gt;VMI-US^P_BETA_LOCIDX(44917,44747,,"SPX")&lt;/Q&gt;&lt;R&gt;1&lt;/R&gt;&lt;C&gt;1&lt;/C&gt;&lt;D xsi:type="xsd:double"&gt;0.8297745&lt;/D&gt;&lt;/FQL&gt;&lt;FQL&gt;&lt;Q&gt;VMI-US^P_BETA_LOCIDX(44916,44743,,"SPX")&lt;/Q&gt;&lt;R&gt;1&lt;/R&gt;&lt;C&gt;1&lt;/C&gt;&lt;D xsi:type="xsd:double"&gt;0.83231825&lt;/D&gt;&lt;/FQL&gt;&lt;FQL&gt;&lt;Q&gt;VMI-US^P_BETA_LOCIDX(44915,44742,,"SPX")&lt;/Q&gt;&lt;R&gt;1&lt;/R&gt;&lt;C&gt;1&lt;/C&gt;&lt;D xsi:type="xsd:double"&gt;0.8261918&lt;/D&gt;&lt;/FQL&gt;&lt;FQL&gt;&lt;Q&gt;VMI-US^P_BETA_LOCIDX(44914,44741,,"SPX")&lt;/Q&gt;&lt;R&gt;1&lt;/R&gt;&lt;C&gt;1&lt;/C&gt;&lt;D xsi:type="xsd:double"&gt;0.82639533&lt;/D&gt;&lt;/FQL&gt;&lt;FQL&gt;&lt;Q&gt;VMI-US^P_BETA_LOCIDX(44911,44740,,"SPX")&lt;/Q&gt;&lt;R&gt;1&lt;/R&gt;&lt;C&gt;1&lt;/C&gt;&lt;D xsi:type="xsd:double"&gt;0.84078324&lt;/D&gt;&lt;/FQL&gt;&lt;FQL&gt;&lt;Q&gt;VMI-US^P_BETA_LOCIDX(44910,44739,,"SPX")&lt;/Q&gt;&lt;R&gt;1&lt;/R&gt;&lt;C&gt;1&lt;/C&gt;&lt;D xsi:type="xsd:double"&gt;0.8418374&lt;/D&gt;&lt;/FQL&gt;&lt;FQL&gt;&lt;Q&gt;VMI-US^P_BETA_LOCIDX(44909,44736,,"SPX")&lt;/Q&gt;&lt;R&gt;1&lt;/R&gt;&lt;C&gt;1&lt;/C&gt;&lt;D xsi:type="xsd:double"&gt;0.84024185&lt;/D&gt;&lt;/FQL&gt;&lt;FQL&gt;&lt;Q&gt;VMI-US^P_BETA_LOCIDX(44908,44735,,"SPX")&lt;/Q&gt;&lt;R&gt;1&lt;/R&gt;&lt;C&gt;1&lt;/C&gt;&lt;D xsi:type="xsd:double"&gt;0.83336556&lt;/D&gt;&lt;/FQL&gt;&lt;FQL&gt;&lt;Q&gt;VMI-US^P_BETA_LOCIDX(44907,44734,,"SPX")&lt;/Q&gt;&lt;R&gt;1&lt;/R&gt;&lt;C&gt;1&lt;/C&gt;&lt;D xsi:type="xsd:double"&gt;0.8359863&lt;/D&gt;&lt;/FQL&gt;&lt;FQL&gt;&lt;Q&gt;VMI-US^P_BETA_LOCIDX(44904,44733,,"SPX")&lt;/Q&gt;&lt;R&gt;1&lt;/R&gt;&lt;C&gt;1&lt;/C&gt;&lt;D xsi:type="xsd:double"&gt;0.8431091&lt;/D&gt;&lt;/FQL&gt;&lt;FQL&gt;&lt;Q&gt;VMI-US^P_BETA_LOCIDX(44903,44729,,"SPX")&lt;/Q&gt;&lt;R&gt;1&lt;/R&gt;&lt;C&gt;1&lt;/C&gt;&lt;D xsi:type="xsd:double"&gt;0.8455157&lt;/D&gt;&lt;/FQL&gt;&lt;FQL&gt;&lt;Q&gt;VMI-US^P_BETA_LOCIDX(44902,44728,,"SPX")&lt;/Q&gt;&lt;R&gt;1&lt;/R&gt;&lt;C&gt;1&lt;/C&gt;&lt;D xsi:type="xsd:double"&gt;0.88955337&lt;/D&gt;&lt;/FQL&gt;&lt;FQL&gt;&lt;Q&gt;VMI-US^P_BETA_LOCIDX(44901,44727,,"SPX")&lt;/Q&gt;&lt;R&gt;1&lt;/R&gt;&lt;C&gt;1&lt;/C&gt;&lt;D xsi:type="xsd:double"&gt;0.8797148&lt;/D&gt;&lt;/FQL&gt;&lt;FQL&gt;&lt;Q&gt;VMI-US^P_BETA_LOCIDX(44900,44726,,"SPX")&lt;/Q&gt;&lt;R&gt;1&lt;/R&gt;&lt;C&gt;1&lt;/C&gt;&lt;D xsi:type="xsd:double"&gt;0.889469&lt;/D&gt;&lt;/FQL&gt;&lt;FQL&gt;&lt;Q&gt;VMI-US^P_BETA_LOCIDX(44897,44725,,"SPX")&lt;/Q&gt;&lt;R&gt;1&lt;/R&gt;&lt;C&gt;1&lt;/C&gt;&lt;D xsi:type="xsd:double"&gt;0.88419867&lt;/D&gt;&lt;/FQL&gt;&lt;FQL&gt;&lt;Q&gt;VMI-US^P_BETA_LOCIDX(44896,44722,,"SPX")&lt;/Q&gt;&lt;R&gt;1&lt;/R&gt;&lt;C&gt;1&lt;/C&gt;&lt;D xsi:type="xsd:double"&gt;0.890743&lt;/D&gt;&lt;/FQL&gt;&lt;FQL&gt;&lt;Q&gt;VMI-US^P_BETA_LOCIDX(44895,44721,,"SPX")&lt;/Q&gt;&lt;R&gt;1&lt;/R&gt;&lt;C&gt;1&lt;/C&gt;&lt;D xsi:type="xsd:double"&gt;0.88624865&lt;/D&gt;&lt;/FQL&gt;&lt;FQL&gt;&lt;Q&gt;VMI-US^P_BETA_LOCIDX(44894,44720,,"SPX")&lt;/Q&gt;&lt;R&gt;1&lt;/R&gt;&lt;C&gt;1&lt;/C&gt;&lt;D xsi:type="xsd:double"&gt;0.88863075&lt;/D&gt;&lt;/FQL&gt;&lt;FQL&gt;&lt;Q&gt;VMI-US^P_BETA_LOCIDX(44893,44719,,"SPX")&lt;/Q&gt;&lt;R&gt;1&lt;/R&gt;&lt;C&gt;1&lt;/C&gt;&lt;D xsi:type="xsd:double"&gt;0.88539916&lt;/D&gt;&lt;/FQL&gt;&lt;FQL&gt;&lt;Q&gt;VMI-US^P_BETA_LOCIDX(44890,44718,,"SPX")&lt;/Q&gt;&lt;R&gt;1&lt;/R&gt;&lt;C&gt;1&lt;/C&gt;&lt;D xsi:type="xsd:double"&gt;0.8800681&lt;/D&gt;&lt;/FQL&gt;&lt;FQL&gt;&lt;Q&gt;VMI-US^P_BETA_LOCIDX(44888,44715,,"SPX")&lt;/Q&gt;&lt;R&gt;1&lt;/R&gt;&lt;C&gt;1&lt;/C&gt;&lt;D xsi:type="xsd:double"&gt;0.8697917&lt;/D&gt;&lt;/FQL&gt;&lt;FQL&gt;&lt;Q&gt;VMI-US^P_BETA_LOCIDX(44887,44714,,"SPX")&lt;/Q&gt;&lt;R&gt;1&lt;/R&gt;&lt;C&gt;1&lt;/C&gt;&lt;D xsi:type="xsd:double"&gt;0.87561196&lt;/D&gt;&lt;/FQL&gt;&lt;FQL&gt;&lt;Q&gt;VMI-US^P_BETA_LOCIDX(44886,44713,,"SPX")&lt;/Q&gt;&lt;R&gt;1&lt;/R&gt;&lt;C&gt;1&lt;/C&gt;&lt;D xsi:type="xsd:double"&gt;0.87661684&lt;/D&gt;&lt;/FQL&gt;&lt;FQL&gt;&lt;Q&gt;VMI-US^P_BETA_LOCIDX(44883,44712,,"SPX")&lt;/Q&gt;&lt;R&gt;1&lt;/R&gt;&lt;C&gt;1&lt;/C&gt;&lt;D xsi:type="xsd:double"&gt;0.8821597&lt;/D&gt;&lt;/FQL&gt;&lt;FQL&gt;&lt;Q&gt;VMI-US^P_BETA_LOCIDX(44882,44708,,"SPX")&lt;/Q&gt;&lt;R&gt;1&lt;/R&gt;&lt;C&gt;1&lt;/C&gt;&lt;D xsi:type="xsd:double"&gt;0.8825804&lt;/D&gt;&lt;/FQL&gt;&lt;FQL&gt;&lt;Q&gt;VMI-US^P_BETA_LOCIDX(44881,44707,,"SPX")&lt;/Q&gt;&lt;R&gt;1&lt;/R&gt;&lt;C&gt;1&lt;/C&gt;&lt;D xsi:type="xsd:double"&gt;0.8756329&lt;/D&gt;&lt;/FQL&gt;&lt;FQL&gt;&lt;Q&gt;VMI-US^P_BETA_LOCIDX(44880,44706,,"SPX")&lt;/Q&gt;&lt;R&gt;1&lt;/R&gt;&lt;C&gt;1&lt;/C&gt;&lt;D xsi:type="xsd:double"&gt;0.8781978&lt;/D&gt;&lt;/FQL&gt;&lt;FQL&gt;&lt;Q&gt;VMI-US^P_BETA_LOCIDX(44879,44705,,"SPX")&lt;/Q&gt;&lt;R&gt;1&lt;/R&gt;&lt;C&gt;1&lt;/C&gt;&lt;D xsi:type="xsd:double"&gt;0.8796688&lt;/D&gt;&lt;/FQL&gt;&lt;FQL&gt;&lt;Q&gt;VMI-US^P_BETA_LOCIDX(44876,44704,,"SPX")&lt;/Q&gt;&lt;R&gt;1&lt;/R&gt;&lt;C&gt;1&lt;/C&gt;&lt;D xsi:type="xsd:double"&gt;0.8869954&lt;/D&gt;&lt;/FQL&gt;&lt;FQL&gt;&lt;Q&gt;VMI-US^P_BETA_LOCIDX(44875,44701,,"SPX")&lt;/Q&gt;&lt;R&gt;1&lt;/R&gt;&lt;C&gt;1&lt;/C&gt;&lt;D xsi:type="xsd:double"&gt;0.89468384&lt;/D&gt;&lt;/FQL&gt;&lt;FQL&gt;&lt;Q&gt;VMI-US^P_BETA_LOCIDX(44874,44700,,"SPX")&lt;/Q&gt;&lt;R&gt;1&lt;/R&gt;&lt;C&gt;1&lt;/C&gt;&lt;D xsi:type="xsd:double"&gt;0.9389362&lt;/D&gt;&lt;/FQL&gt;&lt;FQL&gt;&lt;Q&gt;VMI-US^P_BETA_LOCIDX(44873,44699,,"SPX")&lt;/Q&gt;&lt;R&gt;1&lt;/R&gt;&lt;C&gt;1&lt;/C&gt;&lt;D xsi:type="xsd:double"&gt;0.9155308&lt;/D&gt;&lt;/FQL&gt;&lt;FQL&gt;&lt;Q&gt;VMI-US^P_BETA_LOCIDX(44872,44698,,"SPX")&lt;/Q&gt;&lt;R&gt;1&lt;/R&gt;&lt;C&gt;1&lt;/C&gt;&lt;D xsi:type="xsd:double"&gt;0.91486174&lt;/D&gt;&lt;/FQL&gt;&lt;FQL&gt;&lt;Q&gt;VMI-US^P_BETA_LOCIDX(44869,44697,,"SPX")&lt;/Q&gt;&lt;R&gt;1&lt;/R&gt;&lt;C&gt;1&lt;/C&gt;&lt;D xsi:type="xsd:double"&gt;0.9169415&lt;/D&gt;&lt;/FQL&gt;&lt;FQL&gt;&lt;Q&gt;VMI-US^P_BETA_LOCIDX(44868,44694,,"SPX")&lt;/Q&gt;&lt;R&gt;1&lt;/R&gt;&lt;C&gt;1&lt;/C&gt;&lt;D xsi:type="xsd:double"&gt;0.9019705&lt;/D&gt;&lt;/FQL&gt;&lt;FQL&gt;&lt;Q&gt;VMI-US^P_BETA_LOCIDX(44867,44693,,"SPX")&lt;/Q&gt;&lt;R&gt;1&lt;/R&gt;&lt;C&gt;1&lt;/C&gt;&lt;D xsi:type="xsd:double"&gt;0.9075203&lt;/D&gt;&lt;/FQL&gt;&lt;FQL&gt;&lt;Q&gt;VMI-US^P_BETA_LOCIDX(44866,44692,,"SPX")&lt;/Q&gt;&lt;R&gt;1&lt;/R&gt;&lt;C&gt;1&lt;/C&gt;&lt;D xsi:type="xsd:double"&gt;0.89151955&lt;/D&gt;&lt;/FQL&gt;&lt;FQL&gt;&lt;Q&gt;VMI-US^P_BETA_LOCIDX(44865,44691,,"SPX")&lt;/Q&gt;&lt;R&gt;1&lt;/R&gt;&lt;C&gt;1&lt;/C&gt;&lt;D xsi:type="xsd:double"&gt;0.8904278&lt;/D&gt;&lt;/FQL&gt;&lt;FQL&gt;&lt;Q&gt;VMI-US^P_BETA_LOCIDX(44862,44690,,"SPX")&lt;/Q&gt;&lt;R&gt;1&lt;/R&gt;&lt;C&gt;1&lt;/C&gt;&lt;D xsi:type="xsd:double"&gt;0.8984533&lt;/D&gt;&lt;/FQL&gt;&lt;FQL&gt;&lt;Q&gt;VMI-US^P_BETA_LOCIDX(44861,44687,,"SPX")&lt;/Q&gt;&lt;R&gt;1&lt;/R&gt;&lt;C&gt;1&lt;/C&gt;&lt;D xsi:type="xsd:double"&gt;0.90685815&lt;/D&gt;&lt;/FQL&gt;&lt;FQL&gt;&lt;Q&gt;VMI-US^P_BETA_LOCIDX(44860,44686,,"SPX")&lt;/Q&gt;&lt;R&gt;1&lt;/R&gt;&lt;C&gt;1&lt;/C&gt;&lt;D xsi:type="xsd:double"&gt;0.90851015&lt;/D&gt;&lt;/FQL&gt;&lt;FQL&gt;&lt;Q&gt;VMI-US^P_BETA_LOCIDX(44859,44685,,"SPX")&lt;/Q&gt;&lt;R&gt;1&lt;/R&gt;&lt;C&gt;1&lt;/C&gt;&lt;D xsi:type="xsd:double"&gt;0.9023417&lt;/D&gt;&lt;/FQL&gt;&lt;FQL&gt;&lt;Q&gt;VMI-US^P_BETA_LOCIDX(44858,44684,,"SPX")&lt;/Q&gt;&lt;R&gt;1&lt;/R&gt;&lt;C&gt;1&lt;/C&gt;&lt;D xsi:type="xsd:double"&gt;0.9027292&lt;/D&gt;&lt;/FQL&gt;&lt;FQL&gt;&lt;Q&gt;VMI-US^P_BETA_LOCIDX(44855,44683,,"SPX")&lt;/Q&gt;&lt;R&gt;1&lt;/R&gt;&lt;C&gt;1&lt;/C&gt;&lt;D xsi:type="xsd:double"&gt;0.9000867&lt;/D&gt;&lt;/FQL&gt;&lt;FQL&gt;&lt;Q&gt;VMI-US^P_BETA_LOCIDX(44854,44680,,"SPX")&lt;/Q&gt;&lt;R&gt;1&lt;/R&gt;&lt;C&gt;1&lt;/C&gt;&lt;D xsi:type="xsd:double"&gt;0.8767805&lt;/D&gt;&lt;/FQL&gt;&lt;FQL&gt;&lt;Q&gt;VMI-US^P_BETA_LOCIDX(44853,44679,,"SPX")&lt;/Q&gt;&lt;R&gt;1&lt;/R&gt;&lt;C&gt;1&lt;/C&gt;&lt;D xsi:type="xsd:double"&gt;0.85406786&lt;/D&gt;&lt;/FQL&gt;&lt;FQL&gt;&lt;Q&gt;VMI-US^P_BETA_LOCIDX(44852,44678,,"SPX")&lt;/Q&gt;&lt;R&gt;1&lt;/R&gt;&lt;C&gt;1&lt;/C&gt;&lt;D xsi:type="xsd:double"&gt;0.85303664&lt;/D&gt;&lt;/FQL&gt;&lt;FQL&gt;&lt;Q&gt;VMI-US^P_BETA_LOCIDX(44851,44677,,"SPX")&lt;/Q&gt;&lt;R&gt;1&lt;/R&gt;&lt;C&gt;1&lt;/C&gt;&lt;D xsi:type="xsd:double"&gt;0.86407375&lt;/D&gt;&lt;/FQL&gt;&lt;FQL&gt;&lt;Q&gt;VMI-US^P_BETA_LOCIDX(44848,44676,,"SPX")&lt;/Q&gt;&lt;R&gt;1&lt;/R&gt;&lt;C&gt;1&lt;/C&gt;&lt;D xsi:type="xsd:double"&gt;0.84735477&lt;/D&gt;&lt;/FQL&gt;&lt;FQL&gt;&lt;Q&gt;VMI-US^P_BETA_LOCIDX(44847,44673,,"SPX")&lt;/Q&gt;&lt;R&gt;1&lt;/R&gt;&lt;C&gt;1&lt;/C&gt;&lt;D xsi:type="xsd:double"&gt;0.8260285&lt;/D&gt;&lt;/FQL&gt;&lt;FQL&gt;&lt;Q&gt;VMI-US^P_BETA_LOCIDX(44846,44672,,"SPX")&lt;/Q&gt;&lt;R&gt;1&lt;/R&gt;&lt;C&gt;1&lt;/C&gt;&lt;D xsi:type="xsd:double"&gt;0.8040255&lt;/D&gt;&lt;/FQL&gt;&lt;FQL&gt;&lt;Q&gt;VMI-US^P_BETA_LOCIDX(44845,44671,,"SPX")&lt;/Q&gt;&lt;R&gt;1&lt;/R&gt;&lt;C&gt;1&lt;/C&gt;&lt;D xsi:type="xsd:double"&gt;0.80334127&lt;/D&gt;&lt;/FQL&gt;&lt;FQL&gt;&lt;Q&gt;VMI-US^P_BETA_LOCIDX(44844,44670,,"SPX")&lt;/Q&gt;&lt;R&gt;1&lt;/R&gt;&lt;C&gt;1&lt;/C&gt;&lt;D xsi:type="xsd:double"&gt;0.8098673&lt;/D&gt;&lt;/FQL&gt;&lt;FQL&gt;&lt;Q&gt;VMI-US^P_BETA_LOCIDX(44841,44669,,"SPX")&lt;/Q&gt;&lt;R&gt;1&lt;/R&gt;&lt;C&gt;1&lt;/C&gt;&lt;D xsi:type="xsd:double"&gt;0.8106415&lt;/D&gt;&lt;/FQL&gt;&lt;FQL&gt;&lt;Q&gt;VMI-US^P_BETA_LOCIDX(44840,44665,,"SPX")&lt;/Q&gt;&lt;R&gt;1&lt;/R&gt;&lt;C&gt;1&lt;/C&gt;&lt;D xsi:type="xsd:double"&gt;0.80756456&lt;/D&gt;&lt;/FQL&gt;&lt;FQL&gt;&lt;Q&gt;VMI-US^P_BETA_LOCIDX(44839,44664,,"SPX")&lt;/Q&gt;&lt;R&gt;1&lt;/R&gt;&lt;C&gt;1&lt;/C&gt;&lt;D xsi:type="xsd:double"&gt;0.8058027&lt;/D&gt;&lt;/FQL&gt;&lt;FQL&gt;&lt;Q&gt;VMI-US^P_BETA_LOCIDX(44838,44663,,"SPX")&lt;/Q&gt;&lt;R&gt;1&lt;/R&gt;&lt;C&gt;1&lt;/C&gt;&lt;D xsi:type="xsd:double"&gt;0.8051405&lt;/D&gt;&lt;/FQL&gt;&lt;FQL&gt;&lt;Q&gt;VMI-US^P_BETA_LOCIDX(44837,44662,,"SPX")&lt;/Q&gt;&lt;R&gt;1&lt;/R&gt;&lt;C&gt;1&lt;/C&gt;&lt;D xsi:type="xsd:double"&gt;0.80629754&lt;/D&gt;&lt;/FQL&gt;&lt;FQL&gt;&lt;Q&gt;VMI-US^P_BETA_LOCIDX(44834,44659,,"SPX")&lt;/Q&gt;&lt;R&gt;1&lt;/R&gt;&lt;C&gt;1&lt;/C&gt;&lt;D xsi:type="xsd:double"&gt;0.77881575&lt;/D&gt;&lt;/FQL&gt;&lt;FQL&gt;&lt;Q&gt;VMI-US^P_BETA_LOCIDX(44833,44658,,"SPX")&lt;/Q&gt;&lt;R&gt;1&lt;/R&gt;&lt;C&gt;1&lt;/C&gt;&lt;D xsi:type="xsd:double"&gt;0.7839358&lt;/D&gt;&lt;/FQL&gt;&lt;FQL&gt;&lt;Q&gt;VMI-US^P_BETA_LOCIDX(44832,44657,,"SPX")&lt;/Q&gt;&lt;R&gt;1&lt;/R&gt;&lt;C&gt;1&lt;/C&gt;&lt;D xsi:type="xsd:double"&gt;0.79540473&lt;/D&gt;&lt;/FQL&gt;&lt;FQL&gt;&lt;Q&gt;VMI-US^P_BETA_LOCIDX(44831,44656,,"SPX")&lt;/Q&gt;&lt;R&gt;1&lt;/R&gt;&lt;C&gt;1&lt;/C&gt;&lt;D xsi:type="xsd:double"&gt;0.8012879&lt;/D&gt;&lt;/FQL&gt;&lt;FQL&gt;&lt;Q&gt;VMI-US^P_BETA_LOCIDX(44830,44655,,"SPX")&lt;/Q&gt;&lt;R&gt;1&lt;/R&gt;&lt;C&gt;1&lt;/C&gt;&lt;D xsi:type="xsd:double"&gt;0.7956079&lt;/D&gt;&lt;/FQL&gt;&lt;FQL&gt;&lt;Q&gt;VMI-US^P_BETA_LOCIDX(44827,44652,,"SPX")&lt;/Q&gt;&lt;R&gt;1&lt;/R&gt;&lt;C&gt;1&lt;/C&gt;&lt;D xsi:type="xsd:double"&gt;0.80366015&lt;/D&gt;&lt;/FQL&gt;&lt;FQL&gt;&lt;Q&gt;VMI-US^P_BETA_LOCIDX(44826,44651,,"SPX")&lt;/Q&gt;&lt;R&gt;1&lt;/R&gt;&lt;C&gt;1&lt;/C&gt;&lt;D xsi:type="xsd:double"&gt;0.786019&lt;/D&gt;&lt;/FQL&gt;&lt;FQL&gt;&lt;Q&gt;VMI-US^P_BETA_LOCIDX(44825,44650,,"SPX")&lt;/Q&gt;&lt;R&gt;1&lt;/R&gt;&lt;C&gt;1&lt;/C&gt;&lt;D xsi:type="xsd:double"&gt;0.7884544&lt;/D&gt;&lt;/FQL&gt;&lt;FQL&gt;&lt;Q&gt;VMI-US^P_BETA_LOCIDX(44824,44649,,"SPX")&lt;/Q&gt;&lt;R&gt;1&lt;/R&gt;&lt;C&gt;1&lt;/C&gt;&lt;D xsi:type="xsd:double"&gt;0.7851377&lt;/D&gt;&lt;/FQL&gt;&lt;FQL&gt;&lt;Q&gt;VMI-US^P_BETA_LOCIDX(44823,44648,,"SPX")&lt;/Q&gt;&lt;R&gt;1&lt;/R&gt;&lt;C&gt;1&lt;/C&gt;&lt;D xsi:type="xsd:double"&gt;0.7778154&lt;/D&gt;&lt;/FQL&gt;&lt;FQL&gt;&lt;Q&gt;VMI-US^P_BETA_LOCIDX(44820,44645,,"SPX")&lt;/Q&gt;&lt;R&gt;1&lt;/R&gt;&lt;C&gt;1&lt;/C&gt;&lt;D xsi:type="xsd:double"&gt;0.7772321&lt;/D&gt;&lt;/FQL&gt;&lt;FQL&gt;&lt;Q&gt;VMI-US^P_BETA_LOCIDX(44819,44644,,"SPX")&lt;/Q&gt;&lt;R&gt;1&lt;/R&gt;&lt;C&gt;1&lt;/C&gt;&lt;D xsi:type="xsd:double"&gt;0.76672566&lt;/D&gt;&lt;/FQL&gt;&lt;FQL&gt;&lt;Q&gt;VMI-US^P_BETA_LOCIDX(44818,44643,,"SPX")&lt;/Q&gt;&lt;R&gt;1&lt;/R&gt;&lt;C&gt;1&lt;/C&gt;&lt;D xsi:type="xsd:double"&gt;0.7706627&lt;/D&gt;&lt;/FQL&gt;&lt;FQL&gt;&lt;Q&gt;VMI-US^P_BETA_LOCIDX(44817,44642,,"SPX")&lt;/Q&gt;&lt;R&gt;1&lt;/R&gt;&lt;C&gt;1&lt;/C&gt;&lt;D xsi:type="xsd:double"&gt;0.7737832&lt;/D&gt;&lt;/FQL&gt;&lt;FQL&gt;&lt;Q&gt;VMI-US^P_BETA_LOCIDX(44816,44641,,"SPX")&lt;/Q&gt;&lt;R&gt;1&lt;/R&gt;&lt;C&gt;1&lt;/C&gt;&lt;D xsi:type="xsd:double"&gt;0.7904485&lt;/D&gt;&lt;/FQL&gt;&lt;FQL&gt;&lt;Q&gt;VMI-US^P_BETA_LOCIDX(44813,44638,,"SPX")&lt;/Q&gt;&lt;R&gt;1&lt;/R&gt;&lt;C&gt;1&lt;/C&gt;&lt;D xsi:type="xsd:double"&gt;0.7937588&lt;/D&gt;&lt;/FQL&gt;&lt;FQL&gt;&lt;Q&gt;VMI-US^P_BETA_LOCIDX(44812,44637,,"SPX")&lt;/Q&gt;&lt;R&gt;1&lt;/R&gt;&lt;C&gt;1&lt;/C&gt;&lt;D xsi:type="xsd:double"&gt;0.79526097&lt;/D&gt;&lt;/FQL&gt;&lt;FQL&gt;&lt;Q&gt;VMI-US^P_BETA_LOCIDX(44811,44636,,"SPX")&lt;/Q&gt;&lt;R&gt;1&lt;/R&gt;&lt;C&gt;1&lt;/C&gt;&lt;D xsi:type="xsd:double"&gt;0.8005281&lt;/D&gt;&lt;/FQL&gt;&lt;FQL&gt;&lt;Q&gt;VMI-US^P_BETA_LOCIDX(44810,44635,,"SPX")&lt;/Q&gt;&lt;R&gt;1&lt;/R&gt;&lt;C&gt;1&lt;/C&gt;&lt;D xsi:type="xsd:double"&gt;0.7857548&lt;/D&gt;&lt;/FQL&gt;&lt;FQL&gt;&lt;Q&gt;VMI-US^P_BETA_LOCIDX(44806,44634,,"SPX")&lt;/Q&gt;&lt;R&gt;1&lt;/R&gt;&lt;C&gt;1&lt;/C&gt;&lt;D xsi:type="xsd:double"&gt;0.78781945&lt;/D&gt;&lt;/FQL&gt;&lt;FQL&gt;&lt;Q&gt;VMI-US^P_BETA_LOCIDX(44805,44631,,"SPX")&lt;/Q&gt;&lt;R&gt;1&lt;/R&gt;&lt;C&gt;1&lt;/C&gt;&lt;D xsi:type="xsd:double"&gt;0.7822366&lt;/D&gt;&lt;/FQL&gt;&lt;FQL&gt;&lt;Q&gt;VMI-US^P_BETA_LOCIDX(44804,44630,,"SPX")&lt;/Q&gt;&lt;R&gt;1&lt;/R&gt;&lt;C&gt;1&lt;/C&gt;&lt;D xsi:type="xsd:double"&gt;0.782065&lt;/D&gt;&lt;/FQL&gt;&lt;FQL&gt;&lt;Q&gt;VMI-US^P_BETA_LOCIDX(44803,44629,,"SPX")&lt;/Q&gt;&lt;R&gt;1&lt;/R&gt;&lt;C&gt;1&lt;/C&gt;&lt;D xsi:type="xsd:double"&gt;0.77482265&lt;/D&gt;&lt;/FQL&gt;&lt;FQL&gt;&lt;Q&gt;VMI-US^P_BETA_LOCIDX(44802,44628,,"SPX")&lt;/Q&gt;&lt;R&gt;1&lt;/R&gt;&lt;C&gt;1&lt;/C&gt;&lt;D xsi:type="xsd:double"&gt;0.7682529&lt;/D&gt;&lt;/FQL&gt;&lt;FQL&gt;&lt;Q&gt;VMI-US^P_BETA_LOCIDX(44799,44627,,"SPX")&lt;/Q&gt;&lt;R&gt;1&lt;/R&gt;&lt;C&gt;1&lt;/C&gt;&lt;D xsi:type="xsd:double"&gt;0.7397139&lt;/D&gt;&lt;/FQL&gt;&lt;FQL&gt;&lt;Q&gt;VMI-US^P_BETA_LOCIDX(44798,44624,,"SPX")&lt;/Q&gt;&lt;R&gt;1&lt;/R&gt;&lt;C&gt;1&lt;/C&gt;&lt;D xsi:type="xsd:double"&gt;0.7510895&lt;/D&gt;&lt;/FQL&gt;&lt;FQL&gt;&lt;Q&gt;VMI-US^P_BETA_LOCIDX(44797,44623,,"SPX")&lt;/Q&gt;&lt;R&gt;1&lt;/R&gt;&lt;C&gt;1&lt;/C&gt;&lt;D xsi:type="xsd:double"&gt;0.7527552&lt;/D&gt;&lt;/FQL&gt;&lt;FQL&gt;&lt;Q&gt;VMI-US^P_BETA_LOCIDX(44796,44622,,"SPX")&lt;/Q&gt;&lt;R&gt;1&lt;/R&gt;&lt;C&gt;1&lt;/C&gt;&lt;D xsi:type="xsd:double"&gt;0.77100694&lt;/D&gt;&lt;/FQL&gt;&lt;FQL&gt;&lt;Q&gt;VMI-US^P_BETA_LOCIDX(44795,44621,,"SPX")&lt;/Q&gt;&lt;R&gt;1&lt;/R&gt;&lt;C&gt;1&lt;/C&gt;&lt;D xsi:type="xsd:double"&gt;0.78534925&lt;/D&gt;&lt;/FQL&gt;&lt;FQL&gt;&lt;Q&gt;VMI-US^P_BETA_LOCIDX(44792,44620,,"SPX")&lt;/Q&gt;&lt;R&gt;1&lt;/R&gt;&lt;C&gt;1&lt;/C&gt;&lt;D xsi:type="xsd:double"&gt;0.7832853&lt;/D&gt;&lt;/FQL&gt;&lt;FQL&gt;&lt;Q&gt;VMI-US^P_BETA_LOCIDX(44791,44617,,"SPX")&lt;/Q&gt;&lt;R&gt;1&lt;/R&gt;&lt;C&gt;1&lt;/C&gt;&lt;D xsi:type="xsd:double"&gt;0.77992934&lt;/D&gt;&lt;/FQL&gt;&lt;FQL&gt;&lt;Q&gt;VMI-US^P_BETA_LOCIDX(44790,44616,,"SPX")&lt;/Q&gt;&lt;R&gt;1&lt;/R&gt;&lt;C&gt;1&lt;/C&gt;&lt;D xsi:type="xsd:double"&gt;0.78367066&lt;/D&gt;&lt;/FQL&gt;&lt;FQL&gt;&lt;Q&gt;VMI-US^P_BETA_LOCIDX(44789,44615,,"SPX")&lt;/Q&gt;&lt;R&gt;1&lt;/R&gt;&lt;C&gt;1&lt;/C&gt;&lt;D xsi:type="xsd:double"&gt;0.78998566&lt;/D&gt;&lt;/FQL&gt;&lt;FQL&gt;&lt;Q&gt;VMI-US^P_BETA_LOCIDX(44788,44614,,"SPX")&lt;/Q&gt;&lt;R&gt;1&lt;/R&gt;&lt;C&gt;1&lt;/C&gt;&lt;D xsi:type="xsd:double"&gt;0.7900322&lt;/D&gt;&lt;/FQL&gt;&lt;FQL&gt;&lt;Q&gt;VMI-US^P_BETA_LOCIDX(44785,44610,,"SPX")&lt;/Q&gt;&lt;R&gt;1&lt;/R&gt;&lt;C&gt;1&lt;/C&gt;&lt;D xsi:type="xsd:double"&gt;0.7957688&lt;/D&gt;&lt;/FQL&gt;&lt;FQL&gt;&lt;Q&gt;VMI-US^P_BETA_LOCIDX(44784,44609,,"SPX")&lt;/Q&gt;&lt;R&gt;1&lt;/R&gt;&lt;C&gt;1&lt;/C&gt;&lt;D xsi:type="xsd:double"&gt;0.79172975&lt;/D&gt;&lt;/FQL&gt;&lt;FQL&gt;&lt;Q&gt;VMI-US^P_BETA_LOCIDX(44783,44608,,"SPX")&lt;/Q&gt;&lt;R&gt;1&lt;/R&gt;&lt;C&gt;1&lt;/C&gt;&lt;D xsi:type="xsd:double"&gt;0.7917951&lt;/D&gt;&lt;/FQL&gt;&lt;FQL&gt;&lt;Q&gt;VMI-US^P_BETA_LOCIDX(44782,44607,,"SPX")&lt;/Q&gt;&lt;R&gt;1&lt;/R&gt;&lt;C&gt;1&lt;/C&gt;&lt;D xsi:type="xsd:double"&gt;0.7989376&lt;/D&gt;&lt;/FQL&gt;&lt;FQL&gt;&lt;Q&gt;VMI-US^P_BETA_LOCIDX(44781,44606,,"SPX")&lt;/Q&gt;&lt;R&gt;1&lt;/R&gt;&lt;C&gt;1&lt;/C&gt;&lt;D xsi:type="xsd:double"&gt;0.79799753&lt;/D&gt;&lt;/FQL&gt;&lt;FQL&gt;&lt;Q&gt;VMI-US^P_BETA_LOCIDX(44778,44603,,"SPX")&lt;/Q&gt;&lt;R&gt;1&lt;/R&gt;&lt;C&gt;1&lt;/C&gt;&lt;D xsi:type="xsd:double"&gt;0.7967641&lt;/D&gt;&lt;/FQL&gt;&lt;FQL&gt;&lt;Q&gt;VMI-US^P_BETA_LOCIDX(44777,44602,,"SPX")&lt;/Q&gt;&lt;R&gt;1&lt;/R&gt;&lt;C&gt;1&lt;/C&gt;&lt;D xsi:type="xsd:double"&gt;0.79935694&lt;/D&gt;&lt;/FQL&gt;&lt;FQL&gt;&lt;Q&gt;VMI-US^P_BETA_LOCIDX(44776,44601,,"SPX")&lt;/Q&gt;&lt;R&gt;1&lt;/R&gt;&lt;C&gt;1&lt;/C&gt;&lt;D xsi:type="xsd:double"&gt;0.807957&lt;/D&gt;&lt;/FQL&gt;&lt;FQL&gt;&lt;Q&gt;VMI-US^P_BETA_LOCIDX(44775,44600,,"SPX")&lt;/Q&gt;&lt;R&gt;1&lt;/R&gt;&lt;C&gt;1&lt;/C&gt;&lt;D xsi:type="xsd:double"&gt;0.81659675&lt;/D&gt;&lt;/FQL&gt;&lt;FQL&gt;&lt;Q&gt;VMI-US^P_BETA_LOCIDX(44774,44599,,"SPX")&lt;/Q&gt;&lt;R&gt;1&lt;/R&gt;&lt;C&gt;1&lt;/C&gt;&lt;D xsi:type="xsd:double"&gt;0.81523633&lt;/D&gt;&lt;/FQL&gt;&lt;FQL&gt;&lt;Q&gt;VMI-US^P_BETA_LOCIDX(45845,45670,,"SPX")&lt;/Q&gt;&lt;R&gt;1&lt;/R&gt;&lt;C&gt;1&lt;/C&gt;&lt;D xsi:type="xsd:double"&gt;1.0332052&lt;/D&gt;&lt;/FQL&gt;&lt;FQL&gt;&lt;Q&gt;AYI-US^P_BETA_LOCIDX(45841,45665,,"SPX")&lt;/Q&gt;&lt;R&gt;1&lt;/R&gt;&lt;C&gt;1&lt;/C&gt;&lt;D xsi:type="xsd:double"&gt;1.1982236&lt;/D&gt;&lt;/FQL&gt;&lt;FQL&gt;&lt;Q&gt;AYI-US^P_BETA_LOCIDX(45840,45664,,"SPX")&lt;/Q&gt;&lt;R&gt;1&lt;/R&gt;&lt;C&gt;1&lt;/C&gt;&lt;D xsi:type="xsd:double"&gt;1.2007276&lt;/D&gt;&lt;/FQL&gt;&lt;FQL&gt;&lt;Q&gt;AYI-US^P_BETA_LOCIDX(45839,45663,,"SPX")&lt;/Q&gt;&lt;R&gt;1&lt;/R&gt;&lt;C&gt;1&lt;/C&gt;&lt;D xsi:type="xsd:double"&gt;1.2041556&lt;/D&gt;&lt;/FQL&gt;&lt;FQL&gt;&lt;Q&gt;AYI-US^P_BETA_LOCIDX(45838,45660,,"SPX")&lt;/Q&gt;&lt;R&gt;1&lt;/R&gt;&lt;C&gt;1&lt;/C&gt;&lt;D xsi:type="xsd:double"&gt;1.2039014&lt;/D&gt;&lt;/FQL&gt;&lt;FQL&gt;&lt;Q&gt;AYI-US^P_BETA_LOCIDX(45835,45659,,"SPX")&lt;/Q&gt;&lt;R&gt;1&lt;/R&gt;&lt;C&gt;1&lt;/C&gt;&lt;D xsi:type="xsd:double"&gt;1.2051163&lt;/D&gt;&lt;/FQL&gt;&lt;FQL&gt;&lt;Q&gt;AYI-US^P_BETA_LOCIDX(45834,45657,,"SPX")&lt;/Q&gt;&lt;R&gt;1&lt;/R&gt;&lt;C&gt;1&lt;/C&gt;&lt;D xsi:type="xsd:double"&gt;1.2068954&lt;/D&gt;&lt;/FQL&gt;&lt;FQL&gt;&lt;Q&gt;AYI-US^P_BETA_LOCIDX(45833,45656,,"SPX")&lt;/Q&gt;&lt;R&gt;1&lt;/R&gt;&lt;C&gt;1&lt;/C&gt;&lt;D xsi:type="xsd:double"&gt;1.1935973&lt;/D&gt;&lt;/FQL&gt;&lt;FQL&gt;&lt;Q&gt;AYI-US^P_BETA_LOCIDX(45832,45653,,"SPX")&lt;/Q&gt;&lt;R&gt;1&lt;/R&gt;&lt;C&gt;1&lt;/C&gt;&lt;D xsi:type="xsd:double"&gt;1.1951578&lt;/D&gt;&lt;/FQL&gt;&lt;FQL&gt;&lt;Q&gt;AYI-US^P_BETA_LOCIDX(45831,45652,,"SPX")&lt;/Q&gt;&lt;R&gt;1&lt;/R&gt;&lt;C&gt;1&lt;/C&gt;&lt;D xsi:type="xsd:double"&gt;1.1951448&lt;/D&gt;&lt;/FQL&gt;&lt;FQL&gt;&lt;Q&gt;AYI-US^P_BETA_LOCIDX(45828,45650,,"SPX")&lt;/Q&gt;&lt;R&gt;1&lt;/R&gt;&lt;C&gt;1&lt;/C&gt;&lt;D xsi:type="xsd:double"&gt;1.1856611&lt;/D&gt;&lt;/FQL&gt;&lt;FQL&gt;&lt;Q&gt;AYI-US^P_BETA_LOCIDX(45826,45649,,"SPX")&lt;/Q&gt;&lt;R&gt;1&lt;/R&gt;&lt;C&gt;1&lt;/C&gt;&lt;D xsi:type="xsd:double"&gt;1.1824071&lt;/D&gt;&lt;/FQL&gt;&lt;FQL&gt;&lt;Q&gt;AYI-US^P_BETA_LOCIDX(45825,45646,,"SPX")&lt;/Q&gt;&lt;R&gt;1&lt;/R&gt;&lt;C&gt;1&lt;/C&gt;&lt;D xsi:type="xsd:double"&gt;1.1783092&lt;/D&gt;&lt;/FQL&gt;&lt;FQL&gt;&lt;Q&gt;AYI-US^P_BETA_LOCIDX(45824,45645,,"SPX")&lt;/Q&gt;&lt;R&gt;1&lt;/R&gt;&lt;C&gt;1&lt;/C&gt;&lt;D xsi:type="xsd:double"&gt;1.1840444&lt;/D&gt;&lt;/FQL&gt;&lt;FQL&gt;&lt;Q&gt;AYI-US^P_BETA_LOCIDX(45821,45644,,"SPX")&lt;/Q&gt;&lt;R&gt;1&lt;/R&gt;&lt;C&gt;1&lt;/C&gt;&lt;D xsi:type="xsd:double"&gt;1.1873641&lt;/D&gt;&lt;/FQL&gt;&lt;FQL&gt;&lt;Q&gt;AYI-US^P_BETA_LOCIDX(45820,45643,,"SPX")&lt;/Q&gt;&lt;R&gt;1&lt;/R&gt;&lt;C&gt;1&lt;/C&gt;&lt;D xsi:type="xsd:double"&gt;1.1891646&lt;/D&gt;&lt;/FQL&gt;&lt;FQL&gt;&lt;Q&gt;AYI-US^P_BETA_LOCIDX(45819,45642,,"SPX")&lt;/Q&gt;&lt;R&gt;1&lt;/R&gt;&lt;C&gt;1&lt;/C&gt;&lt;D xsi:type="xsd:double"&gt;1.1916214999999999&lt;/D&gt;&lt;/FQL&gt;&lt;FQL&gt;&lt;Q&gt;AYI-US^P_BETA_LOCIDX(45818,45639,,"SPX")&lt;/Q&gt;&lt;R&gt;1&lt;/R&gt;&lt;C&gt;1&lt;/C&gt;&lt;D xsi:type="xsd:double"&gt;1.1913953&lt;/D&gt;&lt;/FQL&gt;&lt;FQL&gt;&lt;Q&gt;AYI-US^P_BETA_LOCIDX(45817,45638,,"SPX")&lt;/Q&gt;&lt;R&gt;1&lt;/R&gt;&lt;C&gt;1&lt;/C&gt;&lt;D xsi:type="xsd:double"&gt;1.1868324&lt;/D&gt;&lt;/FQL&gt;&lt;FQL&gt;&lt;Q&gt;AYI-US^P_BETA_LOCIDX(45814,45637,,"SPX")&lt;/Q&gt;&lt;R&gt;1&lt;/R&gt;&lt;C&gt;1&lt;/C&gt;&lt;D xsi:type="xsd:double"&gt;1.1881894&lt;/D&gt;&lt;/FQL&gt;&lt;FQL&gt;&lt;Q&gt;AYI-US^P_BETA_LOCIDX(45813,45636,,"SPX")&lt;/Q&gt;&lt;R&gt;1&lt;/R&gt;&lt;C&gt;1&lt;/C&gt;&lt;D xsi:type="xsd:double"&gt;1.1859473&lt;/D&gt;&lt;/FQL&gt;&lt;FQL&gt;&lt;Q&gt;AYI-US^P_BETA_LOCIDX(45812,45635,,"SPX")&lt;/Q&gt;&lt;R&gt;1&lt;/R&gt;&lt;C&gt;1&lt;/C&gt;&lt;D xsi:type="xsd:double"&gt;1.1886083&lt;/D&gt;&lt;/FQL&gt;&lt;FQL&gt;&lt;Q&gt;AYI-US^P_BETA_LOCIDX(45811,45632,,"SPX")&lt;/Q&gt;&lt;R&gt;1&lt;/R&gt;&lt;C&gt;1&lt;/C&gt;&lt;D xsi:type="xsd:double"&gt;1.188818&lt;/D&gt;&lt;/FQL&gt;&lt;FQL&gt;&lt;Q&gt;AYI-US^P_BETA_LOCIDX(45810,45631,,"SPX")&lt;/Q&gt;&lt;R&gt;1&lt;/R&gt;&lt;C&gt;1&lt;/C&gt;&lt;D xsi:type="xsd:double"&gt;1.1841216&lt;/D&gt;&lt;/FQL&gt;&lt;FQL&gt;&lt;Q&gt;AYI-US^P_BETA_LOCIDX(45807,45630,,"SPX")&lt;/Q&gt;&lt;R&gt;1&lt;/R&gt;&lt;C&gt;1&lt;/C&gt;&lt;D xsi:type="xsd:double"&gt;1.1876265&lt;/D&gt;&lt;/FQL&gt;&lt;FQL&gt;&lt;Q&gt;AYI-US^P_BETA_LOCIDX(45806,45629,,"SPX")&lt;/Q&gt;&lt;R&gt;1&lt;/R&gt;&lt;C&gt;1&lt;/C&gt;&lt;D xsi:type="xsd:double"&gt;1.1877939&lt;/D&gt;&lt;/FQL&gt;&lt;FQL&gt;&lt;Q&gt;AYI-US^P_BETA_LOCIDX(45805,45628,,"SPX")&lt;/Q&gt;&lt;R&gt;1&lt;/R&gt;&lt;C&gt;1&lt;/C&gt;&lt;D xsi:type="xsd:double"&gt;1.1884811&lt;/D&gt;&lt;/FQL&gt;&lt;FQL&gt;&lt;Q&gt;AYI-US^P_BETA_LOCIDX(45804,45625,,"SPX")&lt;/Q&gt;&lt;R&gt;1&lt;/R&gt;&lt;C&gt;1&lt;/C&gt;&lt;D xsi:type="xsd:double"&gt;1.1875517&lt;/D&gt;&lt;/FQL&gt;&lt;FQL&gt;&lt;Q&gt;AYI-US^P_BETA_LOCIDX(45800,45623,,"SPX")&lt;/Q&gt;&lt;R&gt;1&lt;/R&gt;&lt;C&gt;1&lt;/C&gt;&lt;D xsi:type="xsd:double"&gt;1.1934011&lt;/D&gt;&lt;/FQL&gt;&lt;FQL&gt;&lt;Q&gt;AYI-US^P_BETA_LOCIDX(45799,45622,,"SPX")&lt;/Q&gt;&lt;R&gt;1&lt;/R&gt;&lt;C&gt;1&lt;/C&gt;&lt;D xsi:type="xsd:double"&gt;1.18861&lt;/D&gt;&lt;/FQL&gt;&lt;FQL&gt;&lt;Q&gt;AYI-US^P_BETA_LOCIDX(45798,45621,,"SPX")&lt;/Q&gt;&lt;R&gt;1&lt;/R&gt;&lt;C&gt;1&lt;/C&gt;&lt;D xsi:type="xsd:double"&gt;1.1896149&lt;/D&gt;&lt;/FQL&gt;&lt;FQL&gt;&lt;Q&gt;AYI-US^P_BETA_LOCIDX(45797,45618,,"SPX")&lt;/Q&gt;&lt;R&gt;1&lt;/R&gt;&lt;C&gt;1&lt;/C&gt;&lt;D xsi:type="xsd:double"&gt;1.1859405&lt;/D&gt;&lt;/FQL&gt;&lt;FQL&gt;&lt;Q&gt;AYI-US^P_BETA_LOCIDX(45796,45617,,"SPX")&lt;/Q&gt;&lt;R&gt;1&lt;/R&gt;&lt;C&gt;1&lt;/C&gt;&lt;D xsi:type="xsd:double"&gt;1.1878507&lt;/D&gt;&lt;/FQL&gt;&lt;FQL&gt;&lt;Q&gt;AYI-US^P_BETA_LOCIDX(45793,45616,,"SPX")&lt;/Q&gt;&lt;R&gt;1&lt;/R&gt;&lt;C&gt;1&lt;/C&gt;&lt;D xsi:type="xsd:double"&gt;1.1880486&lt;/D&gt;&lt;/FQL&gt;&lt;FQL&gt;&lt;Q&gt;AYI-US^P_BETA_LOCIDX(45792,45615,,"SPX")&lt;/Q&gt;&lt;R&gt;1&lt;/R&gt;&lt;C&gt;1&lt;/C&gt;&lt;D xsi:type="xsd:double"&gt;1.1854908&lt;/D&gt;&lt;/FQL&gt;&lt;FQL&gt;&lt;Q&gt;AYI-US^P_BETA_LOCIDX(45791,45614,,"SPX")&lt;/Q&gt;&lt;R&gt;1&lt;/R&gt;&lt;C&gt;1&lt;/C&gt;&lt;D xsi:type="xsd:double"&gt;1.1847136&lt;/D&gt;&lt;/FQL&gt;&lt;FQL&gt;&lt;Q&gt;AYI-US^P_BETA_LOCIDX(45790,45611,,"SPX")&lt;/Q&gt;&lt;R&gt;1&lt;/R&gt;&lt;C&gt;1&lt;/C&gt;&lt;D xsi:type="xsd:double"&gt;1.182389&lt;/D&gt;&lt;/FQL&gt;&lt;FQL&gt;&lt;Q&gt;AYI-US^P_BETA_LOCIDX(45789,45610,,"SPX")&lt;/Q&gt;&lt;R&gt;1&lt;/R&gt;&lt;C&gt;1&lt;/C&gt;&lt;D xsi:type="xsd:double"&gt;1.1806812&lt;/D&gt;&lt;/FQL&gt;&lt;FQL&gt;&lt;Q&gt;AYI-US^P_BETA_LOCIDX(45786,45609,,"SPX")&lt;/Q&gt;&lt;R&gt;1&lt;/R&gt;&lt;C&gt;1&lt;/C&gt;&lt;D xsi:type="xsd:double"&gt;1.1564243&lt;/D&gt;&lt;/FQL&gt;&lt;FQL&gt;&lt;Q&gt;AYI-US^P_BETA_LOCIDX(45785,45608,,"SPX")&lt;/Q&gt;&lt;R&gt;1&lt;/R&gt;&lt;C&gt;1&lt;/C&gt;&lt;D xsi:type="xsd:double"&gt;1.1564553&lt;/D&gt;&lt;/FQL&gt;&lt;FQL&gt;&lt;Q&gt;AYI-US^P_BETA_LOCIDX(45784,45607,,"SPX")&lt;/Q&gt;&lt;R&gt;1&lt;/R&gt;&lt;C&gt;1&lt;/C&gt;&lt;D xsi:type="xsd:double"&gt;1.1535614&lt;/D&gt;&lt;/FQL&gt;&lt;FQL&gt;&lt;Q&gt;AYI-US^P_BETA_LOCIDX(45783,45604,,"SPX")&lt;/Q&gt;&lt;R&gt;1&lt;/R&gt;&lt;C&gt;1&lt;/C&gt;&lt;D xsi:type="xsd:double"&gt;1.1556643&lt;/D&gt;&lt;/FQL&gt;&lt;FQL&gt;&lt;Q&gt;AYI-US^P_BETA_LOCIDX(45782,45603,,"SPX")&lt;/Q&gt;&lt;R&gt;1&lt;/R&gt;&lt;C&gt;1&lt;/C&gt;&lt;D xsi:type="xsd:double"&gt;1.1572019&lt;/D&gt;&lt;/FQL&gt;&lt;FQL&gt;&lt;Q&gt;AYI-US^P_BETA_LOCIDX(45779,45602,,"SPX")&lt;/Q&gt;&lt;R&gt;1&lt;/R&gt;&lt;C&gt;1&lt;/C&gt;&lt;D xsi:type="xsd:double"&gt;1.1513946&lt;/D&gt;&lt;/FQL&gt;&lt;FQL&gt;&lt;Q&gt;AYI-US^P_BETA_LOCIDX(45778,45601,,"SPX")&lt;/Q&gt;&lt;R&gt;1&lt;/R&gt;&lt;C&gt;1&lt;/C&gt;&lt;D xsi:type="xsd:double"&gt;1.1410142&lt;/D&gt;&lt;/FQL&gt;&lt;FQL&gt;&lt;Q&gt;AYI-US^P_BETA_LOCIDX(45777,45600,,"SPX")&lt;/Q&gt;&lt;R&gt;1&lt;/R&gt;&lt;C&gt;1&lt;/C&gt;&lt;D xsi:type="xsd:double"&gt;1.1432165&lt;/D&gt;&lt;/FQL&gt;&lt;FQL&gt;&lt;Q&gt;AYI-US^P_BETA_LOCIDX(45776,45597,,"SPX")&lt;/Q&gt;&lt;R&gt;1&lt;/R&gt;&lt;C&gt;1&lt;/C&gt;&lt;D xsi:type="xsd:double"&gt;1.1451066&lt;/D&gt;&lt;/FQL&gt;&lt;FQL&gt;&lt;Q&gt;AYI-US^P_BETA_LOCIDX(45775,45596,,"SPX")&lt;/Q&gt;&lt;R&gt;1&lt;/R&gt;&lt;C&gt;1&lt;/C&gt;&lt;D xsi:type="xsd:double"&gt;1.1349244&lt;/D&gt;&lt;/FQL&gt;&lt;FQL&gt;&lt;Q&gt;AYI-US^P_BETA_LOCIDX(45772,45595,,"SPX")&lt;/Q&gt;&lt;R&gt;1&lt;/R&gt;&lt;C&gt;1&lt;/C&gt;&lt;D xsi:type="xsd:double"&gt;1.1350092&lt;/D&gt;&lt;/FQL&gt;&lt;FQL&gt;&lt;Q&gt;AYI-US^P_BETA_LOCIDX(45771,45594,,"SPX")&lt;/Q&gt;&lt;R&gt;1&lt;/R&gt;&lt;C&gt;1&lt;/C&gt;&lt;D xsi:type="xsd:double"&gt;1.13698&lt;/D&gt;&lt;/FQL&gt;&lt;FQL&gt;&lt;Q&gt;AYI-US^P_BETA_LOCIDX(45770,45593,,"SPX")&lt;/Q&gt;&lt;R&gt;1&lt;/R&gt;&lt;C&gt;1&lt;/C&gt;&lt;D xsi:type="xsd:double"&gt;1.1249497&lt;/D&gt;&lt;/FQL&gt;&lt;FQL&gt;&lt;Q&gt;AYI-US^P_BETA_LOCIDX(45769,45590,,"SPX")&lt;/Q&gt;&lt;R&gt;1&lt;/R&gt;&lt;C&gt;1&lt;/C&gt;&lt;D xsi:type="xsd:double"&gt;1.1301066&lt;/D&gt;&lt;/FQL&gt;&lt;FQL&gt;&lt;Q&gt;AYI-US^P_BETA_LOCIDX(45768,45589,,"SPX")&lt;/Q&gt;&lt;R&gt;1&lt;/R&gt;&lt;C&gt;1&lt;/C&gt;&lt;D xsi:type="xsd:double"&gt;1.1434065&lt;/D&gt;&lt;/FQL&gt;&lt;FQL&gt;&lt;Q&gt;AYI-US^P_BETA_LOCIDX(45764,45588,,"SPX")&lt;/Q&gt;&lt;R&gt;1&lt;/R&gt;&lt;C&gt;1&lt;/C&gt;&lt;D xsi:type="xsd:double"&gt;1.1613889&lt;/D&gt;&lt;/FQL&gt;&lt;FQL&gt;&lt;Q&gt;AYI-US^P_BETA_LOCIDX(45763,45587,,"SPX")&lt;/Q&gt;&lt;R&gt;1&lt;/R&gt;&lt;C&gt;1&lt;/C&gt;&lt;D xsi:type="xsd:double"&gt;1.161038&lt;/D&gt;&lt;/FQL&gt;&lt;FQL&gt;&lt;Q&gt;AYI-US^P_BETA_LOCIDX(45762,45586,,"SPX")&lt;/Q&gt;&lt;R&gt;1&lt;/R&gt;&lt;C&gt;1&lt;/C&gt;&lt;D xsi:type="xsd:double"&gt;1.1590738&lt;/D&gt;&lt;/FQL&gt;&lt;FQL&gt;&lt;Q&gt;AYI-US^P_BETA_LOCIDX(45761,45583,,"SPX")&lt;/Q&gt;&lt;R&gt;1&lt;/R&gt;&lt;C&gt;1&lt;/C&gt;&lt;D xsi:type="xsd:double"&gt;1.1585971&lt;/D&gt;&lt;/FQL&gt;&lt;FQL&gt;&lt;Q&gt;AYI-US^P_BETA_LOCIDX(45758,45582,,"SPX")&lt;/Q&gt;&lt;R&gt;1&lt;/R&gt;&lt;C&gt;1&lt;/C&gt;&lt;D xsi:type="xsd:double"&gt;1.1624832&lt;/D&gt;&lt;/FQL&gt;&lt;FQL&gt;&lt;Q&gt;AYI-US^P_BETA_LOCIDX(45757,45581,,"SPX")&lt;/Q&gt;&lt;R&gt;1&lt;/R&gt;&lt;C&gt;1&lt;/C&gt;&lt;D xsi:type="xsd:double"&gt;1.1579674&lt;/D&gt;&lt;/FQL&gt;&lt;FQL&gt;&lt;Q&gt;AYI-US^P_BETA_LOCIDX(45756,45580,,"SPX")&lt;/Q&gt;&lt;R&gt;1&lt;/R&gt;&lt;C&gt;1&lt;/C&gt;&lt;D xsi:type="xsd:double"&gt;1.1483964&lt;/D&gt;&lt;/FQL&gt;&lt;FQL&gt;&lt;Q&gt;AYI-US^P_BETA_LOCIDX(45755,45579,,"SPX")&lt;/Q&gt;&lt;R&gt;1&lt;/R&gt;&lt;C&gt;1&lt;/C&gt;&lt;D xsi:type="xsd:double"&gt;1.188709&lt;/D&gt;&lt;/FQL&gt;&lt;FQL&gt;&lt;Q&gt;AYI-US^P_BETA_LOCIDX(45754,45576,,"SPX")&lt;/Q&gt;&lt;R&gt;1&lt;/R&gt;&lt;C&gt;1&lt;/C&gt;&lt;D xsi:type="xsd:double"&gt;1.2003672&lt;/D&gt;&lt;/FQL&gt;&lt;FQL&gt;&lt;Q&gt;AYI-US^P_BETA_LOCIDX(45751,45575,,"SPX")&lt;/Q&gt;&lt;R&gt;1&lt;/R&gt;&lt;C&gt;1&lt;/C&gt;&lt;D xsi:type="xsd:double"&gt;1.1994443&lt;/D&gt;&lt;/FQL&gt;&lt;FQL&gt;&lt;Q&gt;AYI-US^P_BETA_LOCIDX(45750,45574,,"SPX")&lt;/Q&gt;&lt;R&gt;1&lt;/R&gt;&lt;C&gt;1&lt;/C&gt;&lt;D xsi:type="xsd:double"&gt;1.0996646&lt;/D&gt;&lt;/FQL&gt;&lt;FQL&gt;&lt;Q&gt;AYI-US^P_BETA_LOCIDX(45749,45573,,"SPX")&lt;/Q&gt;&lt;R&gt;1&lt;/R&gt;&lt;C&gt;1&lt;/C&gt;&lt;D xsi:type="xsd:double"&gt;1.1767403&lt;/D&gt;&lt;/FQL&gt;&lt;FQL&gt;&lt;Q&gt;AYI-US^P_BETA_LOCIDX(45748,45572,,"SPX")&lt;/Q&gt;&lt;R&gt;1&lt;/R&gt;&lt;C&gt;1&lt;/C&gt;&lt;D xsi:type="xsd:double"&gt;1.1595341&lt;/D&gt;&lt;/FQL&gt;&lt;FQL&gt;&lt;Q&gt;AYI-US^P_BETA_LOCIDX(45747,45569,,"SPX")&lt;/Q&gt;&lt;R&gt;1&lt;/R&gt;&lt;C&gt;1&lt;/C&gt;&lt;D xsi:type="xsd:double"&gt;1.1782131&lt;/D&gt;&lt;/FQL&gt;&lt;FQL&gt;&lt;Q&gt;AYI-US^P_BETA_LOCIDX(45744,45568,,"SPX")&lt;/Q&gt;&lt;R&gt;1&lt;/R&gt;&lt;C&gt;1&lt;/C&gt;&lt;D xsi:type="xsd:double"&gt;1.1791586&lt;/D&gt;&lt;/FQL&gt;&lt;FQL&gt;&lt;Q&gt;AYI-US^P_BETA_LOCIDX(45743,45567,,"SPX")&lt;/Q&gt;&lt;R&gt;1&lt;/R&gt;&lt;C&gt;1&lt;/C&gt;&lt;D xsi:type="xsd:double"&gt;1.1837218&lt;/D&gt;&lt;/FQL&gt;&lt;FQL&gt;&lt;Q&gt;AYI-US^P_BETA_LOCIDX(45742,45566,,"SPX")&lt;/Q&gt;&lt;R&gt;1&lt;/R&gt;&lt;C&gt;1&lt;/C&gt;&lt;D xsi:type="xsd:double"&gt;1.0878607&lt;/D&gt;&lt;/FQL&gt;&lt;FQL&gt;&lt;Q&gt;AYI-US^P_BETA_LOCIDX(45741,45565,,"SPX")&lt;/Q&gt;&lt;R&gt;1&lt;/R&gt;&lt;C&gt;1&lt;/C&gt;&lt;D xsi:type="xsd:double"&gt;1.0908285&lt;/D&gt;&lt;/FQL&gt;&lt;FQL&gt;&lt;Q&gt;AYI-US^P_BETA_LOCIDX(45740,45562,,"SPX")&lt;/Q&gt;&lt;R&gt;1&lt;/R&gt;&lt;C&gt;1&lt;/C&gt;&lt;D xsi:type="xsd:double"&gt;1.0908105&lt;/D&gt;&lt;/FQL&gt;&lt;FQL&gt;&lt;Q&gt;AYI-US^P_BETA_LOCIDX(45737,45561,,"SPX")&lt;/Q&gt;&lt;R&gt;1&lt;/R&gt;&lt;C&gt;1&lt;/C&gt;&lt;D xsi:type="xsd:double"&gt;1.0481731&lt;/D&gt;&lt;/FQL&gt;&lt;FQL&gt;&lt;Q&gt;AYI-US^P_BETA_LOCIDX(45736,45560,,"SPX")&lt;/Q&gt;&lt;R&gt;1&lt;/R&gt;&lt;C&gt;1&lt;/C&gt;&lt;D xsi:type="xsd:double"&gt;1.0519414&lt;/D&gt;&lt;/FQL&gt;&lt;FQL&gt;&lt;Q&gt;AYI-US^P_BETA_LOCIDX(45735,45559,,"SPX")&lt;/Q&gt;&lt;R&gt;1&lt;/R&gt;&lt;C&gt;1&lt;/C&gt;&lt;D xsi:type="xsd:double"&gt;1.0528806&lt;/D&gt;&lt;/FQL&gt;&lt;FQL&gt;&lt;Q&gt;AYI-US^P_BETA_LOCIDX(45734,45558,,"SPX")&lt;/Q&gt;&lt;R&gt;1&lt;/R&gt;&lt;C&gt;1&lt;/C&gt;&lt;D xsi:type="xsd:double"&gt;1.0523851&lt;/D&gt;&lt;/FQL&gt;&lt;FQL&gt;&lt;Q&gt;AYI-US^P_BETA_LOCIDX(45733,45555,,"SPX")&lt;/Q&gt;&lt;R&gt;1&lt;/R&gt;&lt;C&gt;1&lt;/C&gt;&lt;D xsi:type="xsd:double"&gt;1.0515746&lt;/D&gt;&lt;/FQL&gt;&lt;FQL&gt;&lt;Q&gt;AYI-US^P_BETA_LOCIDX(45730,45554,,"SPX")&lt;/Q&gt;&lt;R&gt;1&lt;/R&gt;&lt;C&gt;1&lt;/C&gt;&lt;D xsi:type="xsd:double"&gt;1.0399365&lt;/D&gt;&lt;/FQL&gt;&lt;FQL&gt;&lt;Q&gt;AYI-US^P_BETA_LOCIDX(45729,45553,,"SPX")&lt;/Q&gt;&lt;R&gt;1&lt;/R&gt;&lt;C&gt;1&lt;/C&gt;&lt;D xsi:type="xsd:double"&gt;1.0424712&lt;/D&gt;&lt;/FQL&gt;&lt;FQL&gt;&lt;Q&gt;AYI-US^P_BETA_LOCIDX(45728,45552,,"SPX")&lt;/Q&gt;&lt;R&gt;1&lt;/R&gt;&lt;C&gt;1&lt;/C&gt;&lt;D xsi:type="xsd:double"&gt;1.0287406&lt;/D&gt;&lt;/FQL&gt;&lt;FQL&gt;&lt;Q&gt;AYI-US^P_BETA_LOCIDX(45727,45551,,"SPX")&lt;/Q&gt;&lt;R&gt;1&lt;/R&gt;&lt;C&gt;1&lt;/C&gt;&lt;D xsi:type="xsd:double"&gt;1.0425382&lt;/D&gt;&lt;/FQL&gt;&lt;FQL&gt;&lt;Q&gt;AYI-US^P_BETA_LOCIDX(45726,45548,,"SPX")&lt;/Q&gt;&lt;R&gt;1&lt;/R&gt;&lt;C&gt;1&lt;/C&gt;&lt;D xsi:type="xsd:double"&gt;1.0553426&lt;/D&gt;&lt;/FQL&gt;&lt;FQL&gt;&lt;Q&gt;AYI-US^P_BETA_LOCIDX(45723,45547,,"SPX")&lt;/Q&gt;&lt;R&gt;1&lt;/R&gt;&lt;C&gt;1&lt;/C&gt;&lt;D xsi:type="xsd:double"&gt;0.99070543&lt;/D&gt;&lt;/FQL&gt;&lt;FQL&gt;&lt;Q&gt;AYI-US^P_BETA_LOCIDX(45722,45546,,"SPX")&lt;/Q&gt;&lt;R&gt;1&lt;/R&gt;&lt;C&gt;1&lt;/C&gt;&lt;D xsi:type="xsd:double"&gt;0.9594136&lt;/D&gt;&lt;/FQL&gt;&lt;FQL&gt;&lt;Q&gt;AYI-US^P_BETA_LOCIDX(45721,45545,,"SPX")&lt;/Q&gt;&lt;R&gt;1&lt;/R&gt;&lt;C&gt;1&lt;/C&gt;&lt;D xsi:type="xsd:double"&gt;1.0308044&lt;/D&gt;&lt;/FQL&gt;&lt;FQL&gt;&lt;Q&gt;AYI-US^P_BETA_LOCIDX(45720,45544,,"SPX")&lt;/Q&gt;&lt;R&gt;1&lt;/R&gt;&lt;C&gt;1&lt;/C&gt;&lt;D xsi:type="xsd:double"&gt;1.0523573&lt;/D&gt;&lt;/FQL&gt;&lt;FQL&gt;&lt;Q&gt;AYI-US^P_BETA_LOCIDX(45719,45541,,"SPX")&lt;/Q&gt;&lt;R&gt;1&lt;/R&gt;&lt;C&gt;1&lt;/C&gt;&lt;D xsi:type="xsd:double"&gt;0.95861626&lt;/D&gt;&lt;/FQL&gt;&lt;FQL&gt;&lt;Q&gt;AYI-US^P_BETA_LOCIDX(45716,45540,,"SPX")&lt;/Q&gt;&lt;R&gt;1&lt;/R&gt;&lt;C&gt;1&lt;/C&gt;&lt;D xsi:type="xsd:double"&gt;0.91055185&lt;/D&gt;&lt;/FQL&gt;&lt;FQL&gt;&lt;Q&gt;AYI-US^P_BETA_LOCIDX(45715,45539,,"SPX")&lt;/Q&gt;&lt;R&gt;1&lt;/R&gt;&lt;C&gt;1&lt;/C&gt;&lt;D xsi:type="xsd:double"&gt;0.9546549&lt;/D&gt;&lt;/FQL&gt;&lt;FQL&gt;&lt;Q&gt;AYI-US^P_BETA_LOCIDX(45714,45538,,"SPX")&lt;/Q&gt;&lt;R&gt;1&lt;/R&gt;&lt;C&gt;1&lt;/C&gt;&lt;D xsi:type="xsd:double"&gt;0.9517462&lt;/D&gt;&lt;/FQL&gt;&lt;FQL&gt;&lt;Q&gt;AYI-US^P_BETA_LOCIDX(45713,45534,,"SPX")&lt;/Q&gt;&lt;R&gt;1&lt;/R&gt;&lt;C&gt;1&lt;/C&gt;&lt;D xsi:type="xsd:double"&gt;0.9624787&lt;/D&gt;&lt;/FQL&gt;&lt;FQL&gt;&lt;Q&gt;AYI-US^P_BETA_LOCIDX(45712,45533,,"SPX")&lt;/Q&gt;&lt;R&gt;1&lt;/R&gt;&lt;C&gt;1&lt;/C&gt;&lt;D xsi:type="xsd:double"&gt;0.968891&lt;/D&gt;&lt;/FQL&gt;&lt;FQL&gt;&lt;Q&gt;AYI-US^P_BETA_LOCIDX(45709,45532,,"SPX")&lt;/Q&gt;&lt;R&gt;1&lt;/R&gt;&lt;C&gt;1&lt;/C&gt;&lt;D xsi:type="xsd:double"&gt;0.9652744&lt;/D&gt;&lt;/FQL&gt;&lt;FQL&gt;&lt;Q&gt;AYI-US^P_BETA_LOCIDX(45708,45531,,"SPX")&lt;/Q&gt;&lt;R&gt;1&lt;/R&gt;&lt;C&gt;1&lt;/C&gt;&lt;D xsi:type="xsd:double"&gt;0.9113774&lt;/D&gt;&lt;/FQL&gt;&lt;FQL&gt;&lt;Q&gt;AYI-US^P_BETA_LOCIDX(45707,45530,,"SPX")&lt;/Q&gt;&lt;R&gt;1&lt;/R&gt;&lt;C&gt;1&lt;/C&gt;&lt;D xsi:type="xsd:double"&gt;0.8949756&lt;/D&gt;&lt;/FQL&gt;&lt;FQL&gt;&lt;Q&gt;AYI-US^P_BETA_LOCIDX(45706,45527,,"SPX")&lt;/Q&gt;&lt;R&gt;1&lt;/R&gt;&lt;C&gt;1&lt;/C&gt;&lt;D xsi:type="xsd:double"&gt;0.92497945&lt;/D&gt;&lt;/FQL&gt;&lt;FQL&gt;&lt;Q&gt;AYI-US^P_BETA_LOCIDX(45702,45526,,"SPX")&lt;/Q&gt;&lt;R&gt;1&lt;/R&gt;&lt;C&gt;1&lt;/C&gt;&lt;D xsi:type="xsd:double"&gt;0.9172729&lt;/D&gt;&lt;/FQL&gt;&lt;FQL&gt;&lt;Q&gt;AYI-US^P_BETA_LOCIDX(45701,45525,,"SPX")&lt;/Q&gt;&lt;R&gt;1&lt;/R&gt;&lt;C&gt;1&lt;/C&gt;&lt;D xsi:type="xsd:double"&gt;0.9225314&lt;/D&gt;&lt;/FQL&gt;&lt;FQL&gt;&lt;Q&gt;AYI-US^P_BETA_LOCIDX(45700,45524,,"SPX")&lt;/Q&gt;&lt;R&gt;1&lt;/R&gt;&lt;C&gt;1&lt;/C&gt;&lt;D xsi:type="xsd:double"&gt;0.9322169&lt;/D&gt;&lt;/FQL&gt;&lt;FQL&gt;&lt;Q&gt;AYI-US^P_BETA_LOCIDX(45699,45523,,"SPX")&lt;/Q&gt;&lt;R&gt;1&lt;/R&gt;&lt;C&gt;1&lt;/C&gt;&lt;D xsi:type="xsd:double"&gt;0.9351678&lt;/D&gt;&lt;/FQL&gt;&lt;FQL&gt;&lt;Q&gt;AYI-US^P_BETA_LOCIDX(45698,45520,,"SPX")&lt;/Q&gt;&lt;R&gt;1&lt;/R&gt;&lt;C&gt;1&lt;/C&gt;&lt;D xsi:type="xsd:double"&gt;0.93557894&lt;/D&gt;&lt;/FQL&gt;&lt;FQL&gt;&lt;Q&gt;AYI-US^P_BETA_LOCIDX(45695,45519,,"SPX")&lt;/Q&gt;&lt;R&gt;1&lt;/R&gt;&lt;C&gt;1&lt;/C&gt;&lt;D xsi:type="xsd:double"&gt;0.9578652&lt;/D&gt;&lt;/FQL&gt;&lt;FQL&gt;&lt;Q&gt;AYI-US^P_BETA_LOCIDX(45694,45518,,"SPX")&lt;/Q&gt;&lt;R&gt;1&lt;/R&gt;&lt;C&gt;1&lt;/C&gt;&lt;D xsi:type="xsd:double"&gt;0.9428508&lt;/D&gt;&lt;/FQL&gt;&lt;FQL&gt;&lt;Q&gt;AYI-US^P_BETA_LOCIDX(45693,45517,,"SPX")&lt;/Q&gt;&lt;R&gt;1&lt;/R&gt;&lt;C&gt;1&lt;/C&gt;&lt;D xsi:type="xsd:double"&gt;0.9592908&lt;/D&gt;&lt;/FQL&gt;&lt;FQL&gt;&lt;Q&gt;AYI-US^P_BETA_LOCIDX(45692,45516,,"SPX")&lt;/Q&gt;&lt;R&gt;1&lt;/R&gt;&lt;C&gt;1&lt;/C&gt;&lt;D xsi:type="xsd:double"&gt;0.95520306&lt;/D&gt;&lt;/FQL&gt;&lt;FQL&gt;&lt;Q&gt;AYI-US^P_BETA_LOCIDX(45691,45513,,"SPX")&lt;/Q&gt;&lt;R&gt;1&lt;/R&gt;&lt;C&gt;1&lt;/C&gt;&lt;D xsi:type="xsd:double"&gt;0.9582225&lt;/D&gt;&lt;/FQL&gt;&lt;FQL&gt;&lt;Q&gt;AYI-US^P_BETA_LOCIDX(45688,45512,,"SPX")&lt;/Q&gt;&lt;R&gt;1&lt;/R&gt;&lt;C&gt;1&lt;/C&gt;&lt;D xsi:type="xsd:double"&gt;0.9140753&lt;/D&gt;&lt;/FQL&gt;&lt;FQL&gt;&lt;Q&gt;AYI-US^P_BETA_LOCIDX(45687,45511,,"SPX")&lt;/Q&gt;&lt;R&gt;1&lt;/R&gt;&lt;C&gt;1&lt;/C&gt;&lt;D xsi:type="xsd:double"&gt;0.9132161&lt;/D&gt;&lt;/FQL&gt;&lt;FQL&gt;&lt;Q&gt;AYI-US^P_BETA_LOCIDX(45686,45510,,"SPX")&lt;/Q&gt;&lt;R&gt;1&lt;/R&gt;&lt;C&gt;1&lt;/C&gt;&lt;D xsi:type="xsd:double"&gt;0.89921373&lt;/D&gt;&lt;/FQL&gt;&lt;FQL&gt;&lt;Q&gt;AYI-US^P_BETA_LOCIDX(45685,45509,,"SPX")&lt;/Q&gt;&lt;R&gt;1&lt;/R&gt;&lt;C&gt;1&lt;/C&gt;&lt;D xsi:type="xsd:double"&gt;0.9148511&lt;/D&gt;&lt;/FQL&gt;&lt;FQL&gt;&lt;Q&gt;AYI-US^P_BETA_LOCIDX(45684,45506,,"SPX")&lt;/Q&gt;&lt;R&gt;1&lt;/R&gt;&lt;C&gt;1&lt;/C&gt;&lt;D xsi:type="xsd:double"&gt;0.97381157&lt;/D&gt;&lt;/FQL&gt;&lt;FQL&gt;&lt;Q&gt;AYI-US^P_BETA_LOCIDX(45681,45505,,"SPX")&lt;/Q&gt;&lt;R&gt;1&lt;/R&gt;&lt;C&gt;1&lt;/C&gt;&lt;D xsi:type="xsd:double"&gt;1.0182732&lt;/D&gt;&lt;/FQL&gt;&lt;FQL&gt;&lt;Q&gt;AYI-US^P_BETA_LOCIDX(45680,45504,,"SPX")&lt;/Q&gt;&lt;R&gt;1&lt;/R&gt;&lt;C&gt;1&lt;/C&gt;&lt;D xsi:type="xsd:double"&gt;1.0038553&lt;/D&gt;&lt;/FQL&gt;&lt;FQL&gt;&lt;Q&gt;AYI-US^P_BETA_LOCIDX(45679,45503,,"SPX")&lt;/Q&gt;&lt;R&gt;1&lt;/R&gt;&lt;C&gt;1&lt;/C&gt;&lt;D xsi:type="xsd:double"&gt;1.004492&lt;/D&gt;&lt;/FQL&gt;&lt;FQL&gt;&lt;Q&gt;AYI-US^P_BETA_LOCIDX(45678,45502,,"SPX")&lt;/Q&gt;&lt;R&gt;1&lt;/R&gt;&lt;C&gt;1&lt;/C&gt;&lt;D xsi:type="xsd:double"&gt;1.006988&lt;/D&gt;&lt;/FQL&gt;&lt;FQL&gt;&lt;Q&gt;AYI-US^P_BETA_LOCIDX(45674,45499,,"SPX")&lt;/Q&gt;&lt;R&gt;1&lt;/R&gt;&lt;C&gt;1&lt;/C&gt;&lt;D xsi:type="xsd:double"&gt;1.0027643&lt;/D&gt;&lt;/FQL&gt;&lt;FQL&gt;&lt;Q&gt;AYI-US^P_BETA_LOCIDX(45673,45498,,"SPX")&lt;/Q&gt;&lt;R&gt;1&lt;/R&gt;&lt;C&gt;1&lt;/C&gt;&lt;D xsi:type="xsd:double"&gt;1.0155436&lt;/D&gt;&lt;/FQL&gt;&lt;FQL&gt;&lt;Q&gt;AYI-US^P_BETA_LOCIDX(45672,45497,,"SPX")&lt;/Q&gt;&lt;R&gt;1&lt;/R&gt;&lt;C&gt;1&lt;/C&gt;&lt;D xsi:type="xsd:double"&gt;1.070455&lt;/D&gt;&lt;/FQL&gt;&lt;FQL&gt;&lt;Q&gt;AYI-US^P_BETA_LOCIDX(45671,45496,,"SPX")&lt;/Q&gt;&lt;R&gt;1&lt;/R&gt;&lt;C&gt;1&lt;/C&gt;&lt;D xsi:type="xsd:double"&gt;1.0836234&lt;/D&gt;&lt;/FQL&gt;&lt;FQL&gt;&lt;Q&gt;AYI-US^P_BETA_LOCIDX(45670,45495,,"SPX")&lt;/Q&gt;&lt;R&gt;1&lt;/R&gt;&lt;C&gt;1&lt;/C&gt;&lt;D xsi:type="xsd:double"&gt;1.0756012&lt;/D&gt;&lt;/FQL&gt;&lt;FQL&gt;&lt;Q&gt;AYI-US^P_BETA_LOCIDX(45667,45492,,"SPX")&lt;/Q&gt;&lt;R&gt;1&lt;/R&gt;&lt;C&gt;1&lt;/C&gt;&lt;D xsi:type="xsd:double"&gt;1.0789671&lt;/D&gt;&lt;/FQL&gt;&lt;FQL&gt;&lt;Q&gt;AYI-US^P_BETA_LOCIDX(45665,45491,,"SPX")&lt;/Q&gt;&lt;R&gt;1&lt;/R&gt;&lt;C&gt;1&lt;/C&gt;&lt;D xsi:type="xsd:double"&gt;1.0606053&lt;/D&gt;&lt;/FQL&gt;&lt;FQL&gt;&lt;Q&gt;AYI-US^P_BETA_LOCIDX(45664,45490,,"SPX")&lt;/Q&gt;&lt;R&gt;1&lt;/R&gt;&lt;C&gt;1&lt;/C&gt;&lt;D xsi:type="xsd:double"&gt;1.0967246&lt;/D&gt;&lt;/FQL&gt;&lt;FQL&gt;&lt;Q&gt;AYI-US^P_BETA_LOCIDX(45663,45489,,"SPX")&lt;/Q&gt;&lt;R&gt;1&lt;/R&gt;&lt;C&gt;1&lt;/C&gt;&lt;D xsi:type="xsd:double"&gt;1.1385083&lt;/D&gt;&lt;/FQL&gt;&lt;FQL&gt;&lt;Q&gt;AYI-US^P_BETA_LOCIDX(45660,45488,,"SPX")&lt;/Q&gt;&lt;R&gt;1&lt;/R&gt;&lt;C&gt;1&lt;/C&gt;&lt;D xsi:type="xsd:double"&gt;1.1365166&lt;/D&gt;&lt;/FQL&gt;&lt;FQL&gt;&lt;Q&gt;AYI-US^P_BETA_LOCIDX(45659,45485,,"SPX")&lt;/Q&gt;&lt;R&gt;1&lt;/R&gt;&lt;C&gt;1&lt;/C&gt;&lt;D xsi:type="xsd:double"&gt;1.141459&lt;/D&gt;&lt;/FQL&gt;&lt;FQL&gt;&lt;Q&gt;AYI-US^P_BETA_LOCIDX(45657,45484,,"SPX")&lt;/Q&gt;&lt;R&gt;1&lt;/R&gt;&lt;C&gt;1&lt;/C&gt;&lt;D xsi:type="xsd:double"&gt;1.1221672&lt;/D&gt;&lt;/FQL&gt;&lt;FQL&gt;&lt;Q&gt;AYI-US^P_BETA_LOCIDX(45656,45483,,"SPX")&lt;/Q&gt;&lt;R&gt;1&lt;/R&gt;&lt;C&gt;1&lt;/C&gt;&lt;D xsi:type="xsd:double"&gt;1.1181904&lt;/D&gt;&lt;/FQL&gt;&lt;FQL&gt;&lt;Q&gt;AYI-US^P_BETA_LOCIDX(45653,45482,,"SPX")&lt;/Q&gt;&lt;R&gt;1&lt;/R&gt;&lt;C&gt;1&lt;/C&gt;&lt;D xsi:type="xsd:double"&gt;1.1164724&lt;/D&gt;&lt;/FQL&gt;&lt;FQL&gt;&lt;Q&gt;AYI-US^P_BETA_LOCIDX(45652,45481,,"SPX")&lt;/Q&gt;&lt;R&gt;1&lt;/R&gt;&lt;C&gt;1&lt;/C&gt;&lt;D xsi:type="xsd:double"&gt;1.1087838&lt;/D&gt;&lt;/FQL&gt;&lt;FQL&gt;&lt;Q&gt;AYI-US^P_BETA_LOCIDX(45650,45478,,"SPX")&lt;/Q&gt;&lt;R&gt;1&lt;/R&gt;&lt;C&gt;1&lt;/C&gt;&lt;D xsi:type="xsd:double"&gt;1.0970856&lt;/D&gt;&lt;/FQL&gt;&lt;FQL&gt;&lt;Q&gt;AYI-US^P_BETA_LOCIDX(45649,45476,,"SPX")&lt;/Q&gt;&lt;R&gt;1&lt;/R&gt;&lt;C&gt;1&lt;/C&gt;&lt;D xsi:type="xsd:double"&gt;1.1043317&lt;/D&gt;&lt;/FQL&gt;&lt;FQL&gt;&lt;Q&gt;AYI-US^P_BETA_LOCIDX(45646,45475,,"SPX")&lt;/Q&gt;&lt;R&gt;1&lt;/R&gt;&lt;C&gt;1&lt;/C&gt;&lt;D xsi:type="xsd:double"&gt;1.1122334&lt;/D&gt;&lt;/FQL&gt;&lt;FQL&gt;&lt;Q&gt;AYI-US^P_BETA_LOCIDX(45645,45474,,"SPX")&lt;/Q&gt;&lt;R&gt;1&lt;/R&gt;&lt;C&gt;1&lt;/C&gt;&lt;D xsi:type="xsd:double"&gt;1.1257888&lt;/D&gt;&lt;/FQL&gt;&lt;FQL&gt;&lt;Q&gt;AYI-US^P_BETA_LOCIDX(45644,45471,,"SPX")&lt;/Q&gt;&lt;R&gt;1&lt;/R&gt;&lt;C&gt;1&lt;/C&gt;&lt;D xsi:type="xsd:double"&gt;1.1274728999999999&lt;/D&gt;&lt;/FQL&gt;&lt;FQL&gt;&lt;Q&gt;AYI-US^P_BETA_L</t>
        </r>
      </text>
    </comment>
    <comment ref="A14" authorId="0" shapeId="0" xr:uid="{798498C0-B94C-461A-865D-91117C822090}">
      <text>
        <r>
          <rPr>
            <b/>
            <sz val="9"/>
            <color indexed="81"/>
            <rFont val="Tahoma"/>
            <family val="2"/>
          </rPr>
          <t>OCIDX(45643,45470,,"SPX")&lt;/Q&gt;&lt;R&gt;1&lt;/R&gt;&lt;C&gt;1&lt;/C&gt;&lt;D xsi:type="xsd:double"&gt;1.1015902&lt;/D&gt;&lt;/FQL&gt;&lt;FQL&gt;&lt;Q&gt;AYI-US^P_BETA_LOCIDX(45642,45469,,"SPX")&lt;/Q&gt;&lt;R&gt;1&lt;/R&gt;&lt;C&gt;1&lt;/C&gt;&lt;D xsi:type="xsd:double"&gt;1.095068&lt;/D&gt;&lt;/FQL&gt;&lt;FQL&gt;&lt;Q&gt;AYI-US^P_BETA_LOCIDX(45639,45468,,"SPX")&lt;/Q&gt;&lt;R&gt;1&lt;/R&gt;&lt;C&gt;1&lt;/C&gt;&lt;D xsi:type="xsd:double"&gt;1.0890666&lt;/D&gt;&lt;/FQL&gt;&lt;FQL&gt;&lt;Q&gt;AYI-US^P_BETA_LOCIDX(45638,45467,,"SPX")&lt;/Q&gt;&lt;R&gt;1&lt;/R&gt;&lt;C&gt;1&lt;/C&gt;&lt;D xsi:type="xsd:double"&gt;1.0811778&lt;/D&gt;&lt;/FQL&gt;&lt;FQL&gt;&lt;Q&gt;AYI-US^P_BETA_LOCIDX(45637,45464,,"SPX")&lt;/Q&gt;&lt;R&gt;1&lt;/R&gt;&lt;C&gt;1&lt;/C&gt;&lt;D xsi:type="xsd:double"&gt;1.0901084&lt;/D&gt;&lt;/FQL&gt;&lt;FQL&gt;&lt;Q&gt;AYI-US^P_BETA_LOCIDX(45636,45463,,"SPX")&lt;/Q&gt;&lt;R&gt;1&lt;/R&gt;&lt;C&gt;1&lt;/C&gt;&lt;D xsi:type="xsd:double"&gt;1.0941774&lt;/D&gt;&lt;/FQL&gt;&lt;FQL&gt;&lt;Q&gt;AYI-US^P_BETA_LOCIDX(45635,45461,,"SPX")&lt;/Q&gt;&lt;R&gt;1&lt;/R&gt;&lt;C&gt;1&lt;/C&gt;&lt;D xsi:type="xsd:double"&gt;1.0845894&lt;/D&gt;&lt;/FQL&gt;&lt;FQL&gt;&lt;Q&gt;AYI-US^P_BETA_LOCIDX(45632,45460,,"SPX")&lt;/Q&gt;&lt;R&gt;1&lt;/R&gt;&lt;C&gt;1&lt;/C&gt;&lt;D xsi:type="xsd:double"&gt;1.0944312&lt;/D&gt;&lt;/FQL&gt;&lt;FQL&gt;&lt;Q&gt;AYI-US^P_BETA_LOCIDX(45631,45457,,"SPX")&lt;/Q&gt;&lt;R&gt;1&lt;/R&gt;&lt;C&gt;1&lt;/C&gt;&lt;D xsi:type="xsd:double"&gt;1.098609&lt;/D&gt;&lt;/FQL&gt;&lt;FQL&gt;&lt;Q&gt;AYI-US^P_BETA_LOCIDX(45630,45456,,"SPX")&lt;/Q&gt;&lt;R&gt;1&lt;/R&gt;&lt;C&gt;1&lt;/C&gt;&lt;D xsi:type="xsd:double"&gt;1.0950893&lt;/D&gt;&lt;/FQL&gt;&lt;FQL&gt;&lt;Q&gt;AYI-US^P_BETA_LOCIDX(45629,45455,,"SPX")&lt;/Q&gt;&lt;R&gt;1&lt;/R&gt;&lt;C&gt;1&lt;/C&gt;&lt;D xsi:type="xsd:double"&gt;1.1060109&lt;/D&gt;&lt;/FQL&gt;&lt;FQL&gt;&lt;Q&gt;AYI-US^P_BETA_LOCIDX(45628,45454,,"SPX")&lt;/Q&gt;&lt;R&gt;1&lt;/R&gt;&lt;C&gt;1&lt;/C&gt;&lt;D xsi:type="xsd:double"&gt;1.1029892&lt;/D&gt;&lt;/FQL&gt;&lt;FQL&gt;&lt;Q&gt;AYI-US^P_BETA_LOCIDX(45625,45453,,"SPX")&lt;/Q&gt;&lt;R&gt;1&lt;/R&gt;&lt;C&gt;1&lt;/C&gt;&lt;D xsi:type="xsd:double"&gt;1.1045545&lt;/D&gt;&lt;/FQL&gt;&lt;FQL&gt;&lt;Q&gt;AYI-US^P_BETA_LOCIDX(45623,45450,,"SPX")&lt;/Q&gt;&lt;R&gt;1&lt;/R&gt;&lt;C&gt;1&lt;/C&gt;&lt;D xsi:type="xsd:double"&gt;1.1083142&lt;/D&gt;&lt;/FQL&gt;&lt;FQL&gt;&lt;Q&gt;AYI-US^P_BETA_LOCIDX(45622,45449,,"SPX")&lt;/Q&gt;&lt;R&gt;1&lt;/R&gt;&lt;C&gt;1&lt;/C&gt;&lt;D xsi:type="xsd:double"&gt;1.106696&lt;/D&gt;&lt;/FQL&gt;&lt;FQL&gt;&lt;Q&gt;AYI-US^P_BETA_LOCIDX(45621,45448,,"SPX")&lt;/Q&gt;&lt;R&gt;1&lt;/R&gt;&lt;C&gt;1&lt;/C&gt;&lt;D xsi:type="xsd:double"&gt;1.1446991&lt;/D&gt;&lt;/FQL&gt;&lt;FQL&gt;&lt;Q&gt;AYI-US^P_BETA_LOCIDX(45618,45447,,"SPX")&lt;/Q&gt;&lt;R&gt;1&lt;/R&gt;&lt;C&gt;1&lt;/C&gt;&lt;D xsi:type="xsd:double"&gt;1.1420829&lt;/D&gt;&lt;/FQL&gt;&lt;FQL&gt;&lt;Q&gt;AYI-US^P_BETA_LOCIDX(45617,45446,,"SPX")&lt;/Q&gt;&lt;R&gt;1&lt;/R&gt;&lt;C&gt;1&lt;/C&gt;&lt;D xsi:type="xsd:double"&gt;1.1381706&lt;/D&gt;&lt;/FQL&gt;&lt;FQL&gt;&lt;Q&gt;AYI-US^P_BETA_LOCIDX(45616,45443,,"SPX")&lt;/Q&gt;&lt;R&gt;1&lt;/R&gt;&lt;C&gt;1&lt;/C&gt;&lt;D xsi:type="xsd:double"&gt;1.1343739&lt;/D&gt;&lt;/FQL&gt;&lt;FQL&gt;&lt;Q&gt;AYI-US^P_BETA_LOCIDX(45615,45442,,"SPX")&lt;/Q&gt;&lt;R&gt;1&lt;/R&gt;&lt;C&gt;1&lt;/C&gt;&lt;D xsi:type="xsd:double"&gt;1.1178104&lt;/D&gt;&lt;/FQL&gt;&lt;FQL&gt;&lt;Q&gt;AYI-US^P_BETA_LOCIDX(45614,45441,,"SPX")&lt;/Q&gt;&lt;R&gt;1&lt;/R&gt;&lt;C&gt;1&lt;/C&gt;&lt;D xsi:type="xsd:double"&gt;1.1199516&lt;/D&gt;&lt;/FQL&gt;&lt;FQL&gt;&lt;Q&gt;AYI-US^P_BETA_LOCIDX(45611,45440,,"SPX")&lt;/Q&gt;&lt;R&gt;1&lt;/R&gt;&lt;C&gt;1&lt;/C&gt;&lt;D xsi:type="xsd:double"&gt;1.1269621&lt;/D&gt;&lt;/FQL&gt;&lt;FQL&gt;&lt;Q&gt;AYI-US^P_BETA_LOCIDX(45610,45436,,"SPX")&lt;/Q&gt;&lt;R&gt;1&lt;/R&gt;&lt;C&gt;1&lt;/C&gt;&lt;D xsi:type="xsd:double"&gt;1.1249745&lt;/D&gt;&lt;/FQL&gt;&lt;FQL&gt;&lt;Q&gt;AYI-US^P_BETA_LOCIDX(45609,45435,,"SPX")&lt;/Q&gt;&lt;R&gt;1&lt;/R&gt;&lt;C&gt;1&lt;/C&gt;&lt;D xsi:type="xsd:double"&gt;1.1220907&lt;/D&gt;&lt;/FQL&gt;&lt;FQL&gt;&lt;Q&gt;AYI-US^P_BETA_LOCIDX(45608,45434,,"SPX")&lt;/Q&gt;&lt;R&gt;1&lt;/R&gt;&lt;C&gt;1&lt;/C&gt;&lt;D xsi:type="xsd:double"&gt;1.1232269&lt;/D&gt;&lt;/FQL&gt;&lt;FQL&gt;&lt;Q&gt;AYI-US^P_BETA_LOCIDX(45607,45433,,"SPX")&lt;/Q&gt;&lt;R&gt;1&lt;/R&gt;&lt;C&gt;1&lt;/C&gt;&lt;D xsi:type="xsd:double"&gt;1.123496&lt;/D&gt;&lt;/FQL&gt;&lt;FQL&gt;&lt;Q&gt;AYI-US^P_BETA_LOCIDX(45604,45432,,"SPX")&lt;/Q&gt;&lt;R&gt;1&lt;/R&gt;&lt;C&gt;1&lt;/C&gt;&lt;D xsi:type="xsd:double"&gt;1.1234636&lt;/D&gt;&lt;/FQL&gt;&lt;FQL&gt;&lt;Q&gt;AYI-US^P_BETA_LOCIDX(45603,45429,,"SPX")&lt;/Q&gt;&lt;R&gt;1&lt;/R&gt;&lt;C&gt;1&lt;/C&gt;&lt;D xsi:type="xsd:double"&gt;1.119235&lt;/D&gt;&lt;/FQL&gt;&lt;FQL&gt;&lt;Q&gt;AYI-US^P_BETA_LOCIDX(45602,45428,,"SPX")&lt;/Q&gt;&lt;R&gt;1&lt;/R&gt;&lt;C&gt;1&lt;/C&gt;&lt;D xsi:type="xsd:double"&gt;1.1194493&lt;/D&gt;&lt;/FQL&gt;&lt;FQL&gt;&lt;Q&gt;AYI-US^P_BETA_LOCIDX(45601,45427,,"SPX")&lt;/Q&gt;&lt;R&gt;1&lt;/R&gt;&lt;C&gt;1&lt;/C&gt;&lt;D xsi:type="xsd:double"&gt;1.1482335&lt;/D&gt;&lt;/FQL&gt;&lt;FQL&gt;&lt;Q&gt;AYI-US^P_BETA_LOCIDX(45600,45426,,"SPX")&lt;/Q&gt;&lt;R&gt;1&lt;/R&gt;&lt;C&gt;1&lt;/C&gt;&lt;D xsi:type="xsd:double"&gt;1.1339169&lt;/D&gt;&lt;/FQL&gt;&lt;FQL&gt;&lt;Q&gt;AYI-US^P_BETA_LOCIDX(45597,45425,,"SPX")&lt;/Q&gt;&lt;R&gt;1&lt;/R&gt;&lt;C&gt;1&lt;/C&gt;&lt;D xsi:type="xsd:double"&gt;1.1373897&lt;/D&gt;&lt;/FQL&gt;&lt;FQL&gt;&lt;Q&gt;AYI-US^P_BETA_LOCIDX(45596,45422,,"SPX")&lt;/Q&gt;&lt;R&gt;1&lt;/R&gt;&lt;C&gt;1&lt;/C&gt;&lt;D xsi:type="xsd:double"&gt;1.1309794&lt;/D&gt;&lt;/FQL&gt;&lt;FQL&gt;&lt;Q&gt;AYI-US^P_BETA_LOCIDX(45595,45421,,"SPX")&lt;/Q&gt;&lt;R&gt;1&lt;/R&gt;&lt;C&gt;1&lt;/C&gt;&lt;D xsi:type="xsd:double"&gt;1.177439&lt;/D&gt;&lt;/FQL&gt;&lt;FQL&gt;&lt;Q&gt;AYI-US^P_BETA_LOCIDX(45594,45420,,"SPX")&lt;/Q&gt;&lt;R&gt;1&lt;/R&gt;&lt;C&gt;1&lt;/C&gt;&lt;D xsi:type="xsd:double"&gt;1.1756849&lt;/D&gt;&lt;/FQL&gt;&lt;FQL&gt;&lt;Q&gt;AYI-US^P_BETA_LOCIDX(45593,45419,,"SPX")&lt;/Q&gt;&lt;R&gt;1&lt;/R&gt;&lt;C&gt;1&lt;/C&gt;&lt;D xsi:type="xsd:double"&gt;1.1766611&lt;/D&gt;&lt;/FQL&gt;&lt;FQL&gt;&lt;Q&gt;AYI-US^P_BETA_LOCIDX(45590,45418,,"SPX")&lt;/Q&gt;&lt;R&gt;1&lt;/R&gt;&lt;C&gt;1&lt;/C&gt;&lt;D xsi:type="xsd:double"&gt;1.1825229&lt;/D&gt;&lt;/FQL&gt;&lt;FQL&gt;&lt;Q&gt;AYI-US^P_BETA_LOCIDX(45589,45415,,"SPX")&lt;/Q&gt;&lt;R&gt;1&lt;/R&gt;&lt;C&gt;1&lt;/C&gt;&lt;D xsi:type="xsd:double"&gt;1.1857421&lt;/D&gt;&lt;/FQL&gt;&lt;FQL&gt;&lt;Q&gt;AYI-US^P_BETA_LOCIDX(45588,45414,,"SPX")&lt;/Q&gt;&lt;R&gt;1&lt;/R&gt;&lt;C&gt;1&lt;/C&gt;&lt;D xsi:type="xsd:double"&gt;1.1919122&lt;/D&gt;&lt;/FQL&gt;&lt;FQL&gt;&lt;Q&gt;AYI-US^P_BETA_LOCIDX(45587,45413,,"SPX")&lt;/Q&gt;&lt;R&gt;1&lt;/R&gt;&lt;C&gt;1&lt;/C&gt;&lt;D xsi:type="xsd:double"&gt;1.2139351&lt;/D&gt;&lt;/FQL&gt;&lt;FQL&gt;&lt;Q&gt;AYI-US^P_BETA_LOCIDX(45586,45412,,"SPX")&lt;/Q&gt;&lt;R&gt;1&lt;/R&gt;&lt;C&gt;1&lt;/C&gt;&lt;D xsi:type="xsd:double"&gt;1.216277&lt;/D&gt;&lt;/FQL&gt;&lt;FQL&gt;&lt;Q&gt;AYI-US^P_BETA_LOCIDX(45583,45411,,"SPX")&lt;/Q&gt;&lt;R&gt;1&lt;/R&gt;&lt;C&gt;1&lt;/C&gt;&lt;D xsi:type="xsd:double"&gt;1.211932&lt;/D&gt;&lt;/FQL&gt;&lt;FQL&gt;&lt;Q&gt;AYI-US^P_BETA_LOCIDX(45582,45408,,"SPX")&lt;/Q&gt;&lt;R&gt;1&lt;/R&gt;&lt;C&gt;1&lt;/C&gt;&lt;D xsi:type="xsd:double"&gt;1.2007132&lt;/D&gt;&lt;/FQL&gt;&lt;FQL&gt;&lt;Q&gt;AYI-US^P_BETA_LOCIDX(45581,45407,,"SPX")&lt;/Q&gt;&lt;R&gt;1&lt;/R&gt;&lt;C&gt;1&lt;/C&gt;&lt;D xsi:type="xsd:double"&gt;1.2016913&lt;/D&gt;&lt;/FQL&gt;&lt;FQL&gt;&lt;Q&gt;AYI-US^P_BETA_LOCIDX(45580,45406,,"SPX")&lt;/Q&gt;&lt;R&gt;1&lt;/R&gt;&lt;C&gt;1&lt;/C&gt;&lt;D xsi:type="xsd:double"&gt;1.2045145&lt;/D&gt;&lt;/FQL&gt;&lt;FQL&gt;&lt;Q&gt;AYI-US^P_BETA_LOCIDX(45579,45405,,"SPX")&lt;/Q&gt;&lt;R&gt;1&lt;/R&gt;&lt;C&gt;1&lt;/C&gt;&lt;D xsi:type="xsd:double"&gt;1.2088007&lt;/D&gt;&lt;/FQL&gt;&lt;FQL&gt;&lt;Q&gt;AYI-US^P_BETA_LOCIDX(45576,45404,,"SPX")&lt;/Q&gt;&lt;R&gt;1&lt;/R&gt;&lt;C&gt;1&lt;/C&gt;&lt;D xsi:type="xsd:double"&gt;1.2134316&lt;/D&gt;&lt;/FQL&gt;&lt;FQL&gt;&lt;Q&gt;AYI-US^P_BETA_LOCIDX(45575,45401,,"SPX")&lt;/Q&gt;&lt;R&gt;1&lt;/R&gt;&lt;C&gt;1&lt;/C&gt;&lt;D xsi:type="xsd:double"&gt;1.1888525&lt;/D&gt;&lt;/FQL&gt;&lt;FQL&gt;&lt;Q&gt;AYI-US^P_BETA_LOCIDX(45574,45400,,"SPX")&lt;/Q&gt;&lt;R&gt;1&lt;/R&gt;&lt;C&gt;1&lt;/C&gt;&lt;D xsi:type="xsd:double"&gt;1.1847442&lt;/D&gt;&lt;/FQL&gt;&lt;FQL&gt;&lt;Q&gt;AYI-US^P_BETA_LOCIDX(45573,45399,,"SPX")&lt;/Q&gt;&lt;R&gt;1&lt;/R&gt;&lt;C&gt;1&lt;/C&gt;&lt;D xsi:type="xsd:double"&gt;1.1971027&lt;/D&gt;&lt;/FQL&gt;&lt;FQL&gt;&lt;Q&gt;AYI-US^P_BETA_LOCIDX(45572,45398,,"SPX")&lt;/Q&gt;&lt;R&gt;1&lt;/R&gt;&lt;C&gt;1&lt;/C&gt;&lt;D xsi:type="xsd:double"&gt;1.21776&lt;/D&gt;&lt;/FQL&gt;&lt;FQL&gt;&lt;Q&gt;AYI-US^P_BETA_LOCIDX(45569,45397,,"SPX")&lt;/Q&gt;&lt;R&gt;1&lt;/R&gt;&lt;C&gt;1&lt;/C&gt;&lt;D xsi:type="xsd:double"&gt;1.2448399&lt;/D&gt;&lt;/FQL&gt;&lt;FQL&gt;&lt;Q&gt;AYI-US^P_BETA_LOCIDX(45568,45394,,"SPX")&lt;/Q&gt;&lt;R&gt;1&lt;/R&gt;&lt;C&gt;1&lt;/C&gt;&lt;D xsi:type="xsd:double"&gt;1.2461439&lt;/D&gt;&lt;/FQL&gt;&lt;FQL&gt;&lt;Q&gt;AYI-US^P_BETA_LOCIDX(45567,45393,,"SPX")&lt;/Q&gt;&lt;R&gt;1&lt;/R&gt;&lt;C&gt;1&lt;/C&gt;&lt;D xsi:type="xsd:double"&gt;1.234589&lt;/D&gt;&lt;/FQL&gt;&lt;FQL&gt;&lt;Q&gt;AYI-US^P_BETA_LOCIDX(45566,45392,,"SPX")&lt;/Q&gt;&lt;R&gt;1&lt;/R&gt;&lt;C&gt;1&lt;/C&gt;&lt;D xsi:type="xsd:double"&gt;1.222392&lt;/D&gt;&lt;/FQL&gt;&lt;FQL&gt;&lt;Q&gt;AYI-US^P_BETA_LOCIDX(45565,45391,,"SPX")&lt;/Q&gt;&lt;R&gt;1&lt;/R&gt;&lt;C&gt;1&lt;/C&gt;&lt;D xsi:type="xsd:double"&gt;1.3369111&lt;/D&gt;&lt;/FQL&gt;&lt;FQL&gt;&lt;Q&gt;AYI-US^P_BETA_LOCIDX(45562,45390,,"SPX")&lt;/Q&gt;&lt;R&gt;1&lt;/R&gt;&lt;C&gt;1&lt;/C&gt;&lt;D xsi:type="xsd:double"&gt;1.3329425&lt;/D&gt;&lt;/FQL&gt;&lt;FQL&gt;&lt;Q&gt;AYI-US^P_BETA_LOCIDX(45561,45387,,"SPX")&lt;/Q&gt;&lt;R&gt;1&lt;/R&gt;&lt;C&gt;1&lt;/C&gt;&lt;D xsi:type="xsd:double"&gt;1.3501867&lt;/D&gt;&lt;/FQL&gt;&lt;FQL&gt;&lt;Q&gt;AYI-US^P_BETA_LOCIDX(45560,45386,,"SPX")&lt;/Q&gt;&lt;R&gt;1&lt;/R&gt;&lt;C&gt;1&lt;/C&gt;&lt;D xsi:type="xsd:double"&gt;1.3252426&lt;/D&gt;&lt;/FQL&gt;&lt;FQL&gt;&lt;Q&gt;AYI-US^P_BETA_LOCIDX(45559,45385,,"SPX")&lt;/Q&gt;&lt;R&gt;1&lt;/R&gt;&lt;C&gt;1&lt;/C&gt;&lt;D xsi:type="xsd:double"&gt;1.3218368&lt;/D&gt;&lt;/FQL&gt;&lt;FQL&gt;&lt;Q&gt;AYI-US^P_BETA_LOCIDX(45558,45384,,"SPX")&lt;/Q&gt;&lt;R&gt;1&lt;/R&gt;&lt;C&gt;1&lt;/C&gt;&lt;D xsi:type="xsd:double"&gt;1.3237586&lt;/D&gt;&lt;/FQL&gt;&lt;FQL&gt;&lt;Q&gt;AYI-US^P_BETA_LOCIDX(45555,45383,,"SPX")&lt;/Q&gt;&lt;R&gt;1&lt;/R&gt;&lt;C&gt;1&lt;/C&gt;&lt;D xsi:type="xsd:double"&gt;1.3279716&lt;/D&gt;&lt;/FQL&gt;&lt;FQL&gt;&lt;Q&gt;AYI-US^P_BETA_LOCIDX(45554,45379,,"SPX")&lt;/Q&gt;&lt;R&gt;1&lt;/R&gt;&lt;C&gt;1&lt;/C&gt;&lt;D xsi:type="xsd:double"&gt;1.3293434&lt;/D&gt;&lt;/FQL&gt;&lt;FQL&gt;&lt;Q&gt;AYI-US^P_BETA_LOCIDX(45553,45378,,"SPX")&lt;/Q&gt;&lt;R&gt;1&lt;/R&gt;&lt;C&gt;1&lt;/C&gt;&lt;D xsi:type="xsd:double"&gt;1.3310751&lt;/D&gt;&lt;/FQL&gt;&lt;FQL&gt;&lt;Q&gt;AYI-US^P_BETA_LOCIDX(45552,45377,,"SPX")&lt;/Q&gt;&lt;R&gt;1&lt;/R&gt;&lt;C&gt;1&lt;/C&gt;&lt;D xsi:type="xsd:double"&gt;1.3333172&lt;/D&gt;&lt;/FQL&gt;&lt;FQL&gt;&lt;Q&gt;AYI-US^P_BETA_LOCIDX(45551,45376,,"SPX")&lt;/Q&gt;&lt;R&gt;1&lt;/R&gt;&lt;C&gt;1&lt;/C&gt;&lt;D xsi:type="xsd:double"&gt;1.3343885&lt;/D&gt;&lt;/FQL&gt;&lt;FQL&gt;&lt;Q&gt;AYI-US^P_BETA_LOCIDX(45548,45373,,"SPX")&lt;/Q&gt;&lt;R&gt;1&lt;/R&gt;&lt;C&gt;1&lt;/C&gt;&lt;D xsi:type="xsd:double"&gt;1.3336922&lt;/D&gt;&lt;/FQL&gt;&lt;FQL&gt;&lt;Q&gt;AYI-US^P_BETA_LOCIDX(45547,45372,,"SPX")&lt;/Q&gt;&lt;R&gt;1&lt;/R&gt;&lt;C&gt;1&lt;/C&gt;&lt;D xsi:type="xsd:double"&gt;1.3317498&lt;/D&gt;&lt;/FQL&gt;&lt;FQL&gt;&lt;Q&gt;AYI-US^P_BETA_LOCIDX(45546,45371,,"SPX")&lt;/Q&gt;&lt;R&gt;1&lt;/R&gt;&lt;C&gt;1&lt;/C&gt;&lt;D xsi:type="xsd:double"&gt;1.3189716&lt;/D&gt;&lt;/FQL&gt;&lt;FQL&gt;&lt;Q&gt;AYI-US^P_BETA_LOCIDX(45545,45370,,"SPX")&lt;/Q&gt;&lt;R&gt;1&lt;/R&gt;&lt;C&gt;1&lt;/C&gt;&lt;D xsi:type="xsd:double"&gt;1.3468559&lt;/D&gt;&lt;/FQL&gt;&lt;FQL&gt;&lt;Q&gt;AYI-US^P_BETA_LOCIDX(45544,45369,,"SPX")&lt;/Q&gt;&lt;R&gt;1&lt;/R&gt;&lt;C&gt;1&lt;/C&gt;&lt;D xsi:type="xsd:double"&gt;1.3493396&lt;/D&gt;&lt;/FQL&gt;&lt;FQL&gt;&lt;Q&gt;AYI-US^P_BETA_LOCIDX(45541,45366,,"SPX")&lt;/Q&gt;&lt;R&gt;1&lt;/R&gt;&lt;C&gt;1&lt;/C&gt;&lt;D xsi:type="xsd:double"&gt;1.3221711&lt;/D&gt;&lt;/FQL&gt;&lt;FQL&gt;&lt;Q&gt;AYI-US^P_BETA_LOCIDX(45540,45365,,"SPX")&lt;/Q&gt;&lt;R&gt;1&lt;/R&gt;&lt;C&gt;1&lt;/C&gt;&lt;D xsi:type="xsd:double"&gt;1.3855823&lt;/D&gt;&lt;/FQL&gt;&lt;FQL&gt;&lt;Q&gt;AYI-US^P_BETA_LOCIDX(45539,45364,,"SPX")&lt;/Q&gt;&lt;R&gt;1&lt;/R&gt;&lt;C&gt;1&lt;/C&gt;&lt;D xsi:type="xsd:double"&gt;1.3771783&lt;/D&gt;&lt;/FQL&gt;&lt;FQL&gt;&lt;Q&gt;AYI-US^P_BETA_LOCIDX(45538,45363,,"SPX")&lt;/Q&gt;&lt;R&gt;1&lt;/R&gt;&lt;C&gt;1&lt;/C&gt;&lt;D xsi:type="xsd:double"&gt;1.3800277&lt;/D&gt;&lt;/FQL&gt;&lt;FQL&gt;&lt;Q&gt;AYI-US^P_BETA_LOCIDX(45534,45362,,"SPX")&lt;/Q&gt;&lt;R&gt;1&lt;/R&gt;&lt;C&gt;1&lt;/C&gt;&lt;D xsi:type="xsd:double"&gt;1.3689412&lt;/D&gt;&lt;/FQL&gt;&lt;FQL&gt;&lt;Q&gt;AYI-US^P_BETA_LOCIDX(45533,45359,,"SPX")&lt;/Q&gt;&lt;R&gt;1&lt;/R&gt;&lt;C&gt;1&lt;/C&gt;&lt;D xsi:type="xsd:double"&gt;1.3628222&lt;/D&gt;&lt;/FQL&gt;&lt;FQL&gt;&lt;Q&gt;AYI-US^P_BETA_LOCIDX(45532,45358,,"SPX")&lt;/Q&gt;&lt;R&gt;1&lt;/R&gt;&lt;C&gt;1&lt;/C&gt;&lt;D xsi:type="xsd:double"&gt;1.3322836&lt;/D&gt;&lt;/FQL&gt;&lt;FQL&gt;&lt;Q&gt;AYI-US^P_BETA_LOCIDX(45531,45357,,"SPX")&lt;/Q&gt;&lt;R&gt;1&lt;/R&gt;&lt;C&gt;1&lt;/C&gt;&lt;D xsi:type="xsd:double"&gt;1.3397245&lt;/D&gt;&lt;/FQL&gt;&lt;FQL&gt;&lt;Q&gt;AYI-US^P_BETA_LOCIDX(45530,45356,,"SPX")&lt;/Q&gt;&lt;R&gt;1&lt;/R&gt;&lt;C&gt;1&lt;/C&gt;&lt;D xsi:type="xsd:double"&gt;1.3248719&lt;/D&gt;&lt;/FQL&gt;&lt;FQL&gt;&lt;Q&gt;AYI-US^P_BETA_LOCIDX(45527,45355,,"SPX")&lt;/Q&gt;&lt;R&gt;1&lt;/R&gt;&lt;C&gt;1&lt;/C&gt;&lt;D xsi:type="xsd:double"&gt;1.3269445&lt;/D&gt;&lt;/FQL&gt;&lt;FQL&gt;&lt;Q&gt;AYI-US^P_BETA_LOCIDX(45526,45352,,"SPX")&lt;/Q&gt;&lt;R&gt;1&lt;/R&gt;&lt;C&gt;1&lt;/C&gt;&lt;D xsi:type="xsd:double"&gt;1.2971375&lt;/D&gt;&lt;/FQL&gt;&lt;FQL&gt;&lt;Q&gt;AYI-US^P_BETA_LOCIDX(45525,45351,,"SPX")&lt;/Q&gt;&lt;R&gt;1&lt;/R&gt;&lt;C&gt;1&lt;/C&gt;&lt;D xsi:type="xsd:double"&gt;1.3124111&lt;/D&gt;&lt;/FQL&gt;&lt;FQL&gt;&lt;Q&gt;AYI-US^P_BETA_LOCIDX(45524,45350,,"SPX")&lt;/Q&gt;&lt;R&gt;1&lt;/R&gt;&lt;C&gt;1&lt;/C&gt;&lt;D xsi:type="xsd:double"&gt;1.3068955&lt;/D&gt;&lt;/FQL&gt;&lt;FQL&gt;&lt;Q&gt;AYI-US^P_BETA_LOCIDX(45523,45349,,"SPX")&lt;/Q&gt;&lt;R&gt;1&lt;/R&gt;&lt;C&gt;1&lt;/C&gt;&lt;D xsi:type="xsd:double"&gt;1.3097388&lt;/D&gt;&lt;/FQL&gt;&lt;FQL&gt;&lt;Q&gt;AYI-US^P_BETA_LOCIDX(45520,45348,,"SPX")&lt;/Q&gt;&lt;R&gt;1&lt;/R&gt;&lt;C&gt;1&lt;/C&gt;&lt;D xsi:type="xsd:double"&gt;1.3050545&lt;/D&gt;&lt;/FQL&gt;&lt;FQL&gt;&lt;Q&gt;AYI-US^P_BETA_LOCIDX(45519,45345,,"SPX")&lt;/Q&gt;&lt;R&gt;1&lt;/R&gt;&lt;C&gt;1&lt;/C&gt;&lt;D xsi:type="xsd:double"&gt;1.3042705&lt;/D&gt;&lt;/FQL&gt;&lt;FQL&gt;&lt;Q&gt;AYI-US^P_BETA_LOCIDX(45518,45344,,"SPX")&lt;/Q&gt;&lt;R&gt;1&lt;/R&gt;&lt;C&gt;1&lt;/C&gt;&lt;D xsi:type="xsd:double"&gt;1.2794508&lt;/D&gt;&lt;/FQL&gt;&lt;FQL&gt;&lt;Q&gt;AYI-US^P_BETA_LOCIDX(45517,45343,,"SPX")&lt;/Q&gt;&lt;R&gt;1&lt;/R&gt;&lt;C&gt;1&lt;/C&gt;&lt;D xsi:type="xsd:double"&gt;1.2822063&lt;/D&gt;&lt;/FQL&gt;&lt;FQL&gt;&lt;Q&gt;AYI-US^P_BETA_LOCIDX(45516,45342,,"SPX")&lt;/Q&gt;&lt;R&gt;1&lt;/R&gt;&lt;C&gt;1&lt;/C&gt;&lt;D xsi:type="xsd:double"&gt;1.2614207&lt;/D&gt;&lt;/FQL&gt;&lt;FQL&gt;&lt;Q&gt;AYI-US^P_BETA_LOCIDX(45513,45338,,"SPX")&lt;/Q&gt;&lt;R&gt;1&lt;/R&gt;&lt;C&gt;1&lt;/C&gt;&lt;D xsi:type="xsd:double"&gt;1.2610065&lt;/D&gt;&lt;/FQL&gt;&lt;FQL&gt;&lt;Q&gt;AYI-US^P_BETA_LOCIDX(45512,45337,,"SPX")&lt;/Q&gt;&lt;R&gt;1&lt;/R&gt;&lt;C&gt;1&lt;/C&gt;&lt;D xsi:type="xsd:double"&gt;1.2564576&lt;/D&gt;&lt;/FQL&gt;&lt;FQL&gt;&lt;Q&gt;AYI-US^P_BETA_LOCIDX(45511,45336,,"SPX")&lt;/Q&gt;&lt;R&gt;1&lt;/R&gt;&lt;C&gt;1&lt;/C&gt;&lt;D xsi:type="xsd:double"&gt;1.2917129&lt;/D&gt;&lt;/FQL&gt;&lt;FQL&gt;&lt;Q&gt;AYI-US^P_BETA_LOCIDX(45510,45335,,"SPX")&lt;/Q&gt;&lt;R&gt;1&lt;/R&gt;&lt;C&gt;1&lt;/C&gt;&lt;D xsi:type="xsd:double"&gt;1.3097979&lt;/D&gt;&lt;/FQL&gt;&lt;FQL&gt;&lt;Q&gt;AYI-US^P_BETA_LOCIDX(45509,45334,,"SPX")&lt;/Q&gt;&lt;R&gt;1&lt;/R&gt;&lt;C&gt;1&lt;/C&gt;&lt;D xsi:type="xsd:double"&gt;1.3204263&lt;/D&gt;&lt;/FQL&gt;&lt;FQL&gt;&lt;Q&gt;AYI-US^P_BETA_LOCIDX(45506,45331,,"SPX")&lt;/Q&gt;&lt;R&gt;1&lt;/R&gt;&lt;C&gt;1&lt;/C&gt;&lt;D xsi:type="xsd:double"&gt;1.3646538&lt;/D&gt;&lt;/FQL&gt;&lt;FQL&gt;&lt;Q&gt;AYI-US^P_BETA_LOCIDX(45505,45330,,"SPX")&lt;/Q&gt;&lt;R&gt;1&lt;/R&gt;&lt;C&gt;1&lt;/C&gt;&lt;D xsi:type="xsd:double"&gt;1.3271621&lt;/D&gt;&lt;/FQL&gt;&lt;FQL&gt;&lt;Q&gt;AYI-US^P_BETA_LOCIDX(45504,45329,,"SPX")&lt;/Q&gt;&lt;R&gt;1&lt;/R&gt;&lt;C&gt;1&lt;/C&gt;&lt;D xsi:type="xsd:double"&gt;1.2553915&lt;/D&gt;&lt;/FQL&gt;&lt;FQL&gt;&lt;Q&gt;AYI-US^P_BETA_LOCIDX(45503,45328,,"SPX")&lt;/Q&gt;&lt;R&gt;1&lt;/R&gt;&lt;C&gt;1&lt;/C&gt;&lt;D xsi:type="xsd:double"&gt;1.2776629&lt;/D&gt;&lt;/FQL&gt;&lt;FQL&gt;&lt;Q&gt;AYI-US^P_BETA_LOCIDX(45502,45327,,"SPX")&lt;/Q&gt;&lt;R&gt;1&lt;/R&gt;&lt;C&gt;1&lt;/C&gt;&lt;D xsi:type="xsd:double"&gt;1.2882111&lt;/D&gt;&lt;/FQL&gt;&lt;FQL&gt;&lt;Q&gt;AYI-US^P_BETA_LOCIDX(45499,45324,,"SPX")&lt;/Q&gt;&lt;R&gt;1&lt;/R&gt;&lt;C&gt;1&lt;/C&gt;&lt;D xsi:type="xsd:double"&gt;1.2607313&lt;/D&gt;&lt;/FQL&gt;&lt;FQL&gt;&lt;Q&gt;AYI-US^P_BETA_LOCIDX(45498,45323,,"SPX")&lt;/Q&gt;&lt;R&gt;1&lt;/R&gt;&lt;C&gt;1&lt;/C&gt;&lt;D xsi:type="xsd:double"&gt;1.2477648&lt;/D&gt;&lt;/FQL&gt;&lt;FQL&gt;&lt;Q&gt;AYI-US^P_BETA_LOCIDX(45497,45322,,"SPX")&lt;/Q&gt;&lt;R&gt;1&lt;/R&gt;&lt;C&gt;1&lt;/C&gt;&lt;D xsi:type="xsd:double"&gt;1.2473799&lt;/D&gt;&lt;/FQL&gt;&lt;FQL&gt;&lt;Q&gt;AYI-US^P_BETA_LOCIDX(45496,45321,,"SPX")&lt;/Q&gt;&lt;R&gt;1&lt;/R&gt;&lt;C&gt;1&lt;/C&gt;&lt;D xsi:type="xsd:double"&gt;1.1830916&lt;/D&gt;&lt;/FQL&gt;&lt;FQL&gt;&lt;Q&gt;AYI-US^P_BETA_LOCIDX(45495,45320,,"SPX")&lt;/Q&gt;&lt;R&gt;1&lt;/R&gt;&lt;C&gt;1&lt;/C&gt;&lt;D xsi:type="xsd:double"&gt;1.1856062&lt;/D&gt;&lt;/FQL&gt;&lt;FQL&gt;&lt;Q&gt;AYI-US^P_BETA_LOCIDX(45492,45317,,"SPX")&lt;/Q&gt;&lt;R&gt;1&lt;/R&gt;&lt;C&gt;1&lt;/C&gt;&lt;D xsi:type="xsd:double"&gt;1.1893768&lt;/D&gt;&lt;/FQL&gt;&lt;FQL&gt;&lt;Q&gt;AYI-US^P_BETA_LOCIDX(45491,45316,,"SPX")&lt;/Q&gt;&lt;R&gt;1&lt;/R&gt;&lt;C&gt;1&lt;/C&gt;&lt;D xsi:type="xsd:double"&gt;1.20714&lt;/D&gt;&lt;/FQL&gt;&lt;FQL&gt;&lt;Q&gt;AYI-US^P_BETA_LOCIDX(45490,45315,,"SPX")&lt;/Q&gt;&lt;R&gt;1&lt;/R&gt;&lt;C&gt;1&lt;/C&gt;&lt;D xsi:type="xsd:double"&gt;1.2130089&lt;/D&gt;&lt;/FQL&gt;&lt;FQL&gt;&lt;Q&gt;AYI-US^P_BETA_LOCIDX(45489,45314,,"SPX")&lt;/Q&gt;&lt;R&gt;1&lt;/R&gt;&lt;C&gt;1&lt;/C&gt;&lt;D xsi:type="xsd:double"&gt;1.1391356&lt;/D&gt;&lt;/FQL&gt;&lt;FQL&gt;&lt;Q&gt;AYI-US^P_BETA_LOCIDX(45488,45313,,"SPX")&lt;/Q&gt;&lt;R&gt;1&lt;/R&gt;&lt;C&gt;1&lt;/C&gt;&lt;D xsi:type="xsd:double"&gt;1.0677874&lt;/D&gt;&lt;/FQL&gt;&lt;FQL&gt;&lt;Q&gt;AYI-US^P_BETA_LOCIDX(45485,45310,,"SPX")&lt;/Q&gt;&lt;R&gt;1&lt;/R&gt;&lt;C&gt;1&lt;/C&gt;&lt;D xsi:type="xsd:double"&gt;1.0738647&lt;/D&gt;&lt;/FQL&gt;&lt;FQL&gt;&lt;Q&gt;AYI-US^P_BETA_LOCIDX(45484,45309,,"SPX")&lt;/Q&gt;&lt;R&gt;1&lt;/R&gt;&lt;C&gt;1&lt;/C&gt;&lt;D xsi:type="xsd:double"&gt;1.075703&lt;/D&gt;&lt;/FQL&gt;&lt;FQL&gt;&lt;Q&gt;AYI-US^P_BETA_LOCIDX(45483,45308,,"SPX")&lt;/Q&gt;&lt;R&gt;1&lt;/R&gt;&lt;C&gt;1&lt;/C&gt;&lt;D xsi:type="xsd:double"&gt;1.1228831&lt;/D&gt;&lt;/FQL&gt;&lt;FQL&gt;&lt;Q&gt;AYI-US^P_BETA_LOCIDX(45482,45307,,"SPX")&lt;/Q&gt;&lt;R&gt;1&lt;/R&gt;&lt;C&gt;1&lt;/C&gt;&lt;D xsi:type="xsd:double"&gt;1.1195723&lt;/D&gt;&lt;/FQL&gt;&lt;FQL&gt;&lt;Q&gt;AYI-US^P_BETA_LOCIDX(45481,45303,,"SPX")&lt;/Q&gt;&lt;R&gt;1&lt;/R&gt;&lt;C&gt;1&lt;/C&gt;&lt;D xsi:type="xsd:double"&gt;1.1186656&lt;/D&gt;&lt;/FQL&gt;&lt;FQL&gt;&lt;Q&gt;AYI-US^P_BETA_LOCIDX(45478,45302,,"SPX")&lt;/Q&gt;&lt;R&gt;1&lt;/R&gt;&lt;C&gt;1&lt;/C&gt;&lt;D xsi:type="xsd:double"&gt;1.1262347&lt;/D&gt;&lt;/FQL&gt;&lt;FQL&gt;&lt;Q&gt;AYI-US^P_BETA_LOCIDX(45476,45301,,"SPX")&lt;/Q&gt;&lt;R&gt;1&lt;/R&gt;&lt;C&gt;1&lt;/C&gt;&lt;D xsi:type="xsd:double"&gt;1.1461335&lt;/D&gt;&lt;/FQL&gt;&lt;FQL&gt;&lt;Q&gt;AYI-US^P_BETA_LOCIDX(45475,45300,,"SPX")&lt;/Q&gt;&lt;R&gt;1&lt;/R&gt;&lt;C&gt;1&lt;/C&gt;&lt;D xsi:type="xsd:double"&gt;1.0913694&lt;/D&gt;&lt;/FQL&gt;&lt;FQL&gt;&lt;Q&gt;AYI-US^P_BETA_LOCIDX(45474,45299,,"SPX")&lt;/Q&gt;&lt;R&gt;1&lt;/R&gt;&lt;C&gt;1&lt;/C&gt;&lt;D xsi:type="xsd:double"&gt;1.0422657&lt;/D&gt;&lt;/FQL&gt;&lt;FQL&gt;&lt;Q&gt;AYI-US^P_BETA_LOCIDX(45471,45296,,"SPX")&lt;/Q&gt;&lt;R&gt;1&lt;/R&gt;&lt;C&gt;1&lt;/C&gt;&lt;D xsi:type="xsd:double"&gt;1.043759&lt;/D&gt;&lt;/FQL&gt;&lt;FQL&gt;&lt;Q&gt;AYI-US^P_BETA_LOCIDX(45470,45295,,"SPX")&lt;/Q&gt;&lt;R&gt;1&lt;/R&gt;&lt;C&gt;1&lt;/C&gt;&lt;D xsi:type="xsd:double"&gt;1.0304961&lt;/D&gt;&lt;/FQL&gt;&lt;FQL&gt;&lt;Q&gt;AYI-US^P_BETA_LOCIDX(45469,45294,,"SPX")&lt;/Q&gt;&lt;R&gt;1&lt;/R&gt;&lt;C&gt;1&lt;/C&gt;&lt;D xsi:type="xsd:double"&gt;1.0316259&lt;/D&gt;&lt;/FQL&gt;&lt;FQL&gt;&lt;Q&gt;AYI-US^P_BETA_LOCIDX(45468,45293,,"SPX")&lt;/Q&gt;&lt;R&gt;1&lt;/R&gt;&lt;C&gt;1&lt;/C&gt;&lt;D xsi:type="xsd:double"&gt;1.0359036&lt;/D&gt;&lt;/FQL&gt;&lt;FQL&gt;&lt;Q&gt;AYI-US^P_BETA_LOCIDX(45467,45289,,"SPX")&lt;/Q&gt;&lt;R&gt;1&lt;/R&gt;&lt;C&gt;1&lt;/C&gt;&lt;D xsi:type="xsd:double"&gt;1.0455828&lt;/D&gt;&lt;/FQL&gt;&lt;FQL&gt;&lt;Q&gt;AYI-US^P_BETA_LOCIDX(45464,45288,,"SPX")&lt;/Q&gt;&lt;R&gt;1&lt;/R&gt;&lt;C&gt;1&lt;/C&gt;&lt;D xsi:type="xsd:double"&gt;1.0572404&lt;/D&gt;&lt;/FQL&gt;&lt;FQL&gt;&lt;Q&gt;AYI-US^P_BETA_LOCIDX(45463,45287,,"SPX")&lt;/Q&gt;&lt;R&gt;1&lt;/R&gt;&lt;C&gt;1&lt;/C&gt;&lt;D xsi:type="xsd:double"&gt;1.0451645&lt;/D&gt;&lt;/FQL&gt;&lt;FQL&gt;&lt;Q&gt;AYI-US^P_BETA_LOCIDX(45461,45286,,"SPX")&lt;/Q&gt;&lt;R&gt;1&lt;/R&gt;&lt;C&gt;1&lt;/C&gt;&lt;D xsi:type="xsd:double"&gt;1.0355954&lt;/D&gt;&lt;/FQL&gt;&lt;FQL&gt;&lt;Q&gt;AYI-US^P_BETA_LOCIDX(45460,45282,,"SPX")&lt;/Q&gt;&lt;R&gt;1&lt;/R&gt;&lt;C&gt;1&lt;/C&gt;&lt;D xsi:type="xsd:double"&gt;1.0450239&lt;/D&gt;&lt;/FQL&gt;&lt;FQL&gt;&lt;Q&gt;AYI-US^P_BETA_LOCIDX(45457,45281,,"SPX")&lt;/Q&gt;&lt;R&gt;1&lt;/R&gt;&lt;C&gt;1&lt;/C&gt;&lt;D xsi:type="xsd:double"&gt;0.9949092&lt;/D&gt;&lt;/FQL&gt;&lt;FQL&gt;&lt;Q&gt;AYI-US^P_BETA_LOCIDX(45456,45280,,"SPX")&lt;/Q&gt;&lt;R&gt;1&lt;/R&gt;&lt;C&gt;1&lt;/C&gt;&lt;D xsi:type="xsd:double"&gt;0.94923455&lt;/D&gt;&lt;/FQL&gt;&lt;FQL&gt;&lt;Q&gt;AYI-US^P_BETA_LOCIDX(45455,45279,,"SPX")&lt;/Q&gt;&lt;R&gt;1&lt;/R&gt;&lt;C&gt;1&lt;/C&gt;&lt;D xsi:type="xsd:double"&gt;0.94390553&lt;/D&gt;&lt;/FQL&gt;&lt;FQL&gt;&lt;Q&gt;AYI-US^P_BETA_LOCIDX(45454,45278,,"SPX")&lt;/Q&gt;&lt;R&gt;1&lt;/R&gt;&lt;C&gt;1&lt;/C&gt;&lt;D xsi:type="xsd:double"&gt;0.9181266&lt;/D&gt;&lt;/FQL&gt;&lt;FQL&gt;&lt;Q&gt;AYI-US^P_BETA_LOCIDX(45453,45275,,"SPX")&lt;/Q&gt;&lt;R&gt;1&lt;/R&gt;&lt;C&gt;1&lt;/C&gt;&lt;D xsi:type="xsd:double"&gt;0.9242679&lt;/D&gt;&lt;/FQL&gt;&lt;FQL&gt;&lt;Q&gt;AYI-US^P_BETA_LOCIDX(45450,45274,,"SPX")&lt;/Q&gt;&lt;R&gt;1&lt;/R&gt;&lt;C&gt;1&lt;/C&gt;&lt;D xsi:type="xsd:double"&gt;0.9341652&lt;/D&gt;&lt;/FQL&gt;&lt;FQL&gt;&lt;Q&gt;AYI-US^P_BETA_LOCIDX(45449,45273,,"SPX")&lt;/Q&gt;&lt;R&gt;1&lt;/R&gt;&lt;C&gt;1&lt;/C&gt;&lt;D xsi:type="xsd:double"&gt;0.9544552&lt;/D&gt;&lt;/FQL&gt;&lt;FQL&gt;&lt;Q&gt;AYI-US^P_BETA_LOCIDX(45448,45272,,"SPX")&lt;/Q&gt;&lt;R&gt;1&lt;/R&gt;&lt;C&gt;1&lt;/C&gt;&lt;D xsi:type="xsd:double"&gt;0.94760716&lt;/D&gt;&lt;/FQL&gt;&lt;FQL&gt;&lt;Q&gt;AYI-US^P_BETA_LOCIDX(45447,45271,,"SPX")&lt;/Q&gt;&lt;R&gt;1&lt;/R&gt;&lt;C&gt;1&lt;/C&gt;&lt;D xsi:type="xsd:double"&gt;0.9117478&lt;/D&gt;&lt;/FQL&gt;&lt;FQL&gt;&lt;Q&gt;AYI-US^P_BETA_LOCIDX(45446,45268,,"SPX")&lt;/Q&gt;&lt;R&gt;1&lt;/R&gt;&lt;C&gt;1&lt;/C&gt;&lt;D xsi:type="xsd:double"&gt;0.9126698&lt;/D&gt;&lt;/FQL&gt;&lt;FQL&gt;&lt;Q&gt;AYI-US^P_BETA_LOCIDX(45443,45267,,"SPX")&lt;/Q&gt;&lt;R&gt;1&lt;/R&gt;&lt;C&gt;1&lt;/C&gt;&lt;D xsi:type="xsd:double"&gt;0.91192126&lt;/D&gt;&lt;/FQL&gt;&lt;FQL&gt;&lt;Q&gt;AYI-US^P_BETA_LOCIDX(45442,45266,,"SPX")&lt;/Q&gt;&lt;R&gt;1&lt;/R&gt;&lt;C&gt;1&lt;/C&gt;&lt;D xsi:type="xsd:double"&gt;0.89182633&lt;/D&gt;&lt;/FQL&gt;&lt;FQL&gt;&lt;Q&gt;AYI-US^P_BETA_LOCIDX(45441,45265,,"SPX")&lt;/Q&gt;&lt;R&gt;1&lt;/R&gt;&lt;C&gt;1&lt;/C&gt;&lt;D xsi:type="xsd:double"&gt;0.9179243&lt;/D&gt;&lt;/FQL&gt;&lt;FQL&gt;&lt;Q&gt;AYI-US^P_BETA_LOCIDX(45440,45264,,"SPX")&lt;/Q&gt;&lt;R&gt;1&lt;/R&gt;&lt;C&gt;1&lt;/C&gt;&lt;D xsi:type="xsd:double"&gt;0.91256833&lt;/D&gt;&lt;/FQL&gt;&lt;FQL&gt;&lt;Q&gt;AYI-US^P_BETA_LOCIDX(45436,45261,,"SPX")&lt;/Q&gt;&lt;R&gt;1&lt;/R&gt;&lt;C&gt;1&lt;/C&gt;&lt;D xsi:type="xsd:double"&gt;0.91622543&lt;/D&gt;&lt;/FQL&gt;&lt;FQL&gt;&lt;Q&gt;AYI-US^P_BETA_LOCIDX(45435,45260,,"SPX")&lt;/Q&gt;&lt;R&gt;1&lt;/R&gt;&lt;C&gt;1&lt;/C&gt;&lt;D xsi:type="xsd:double"&gt;0.92670345&lt;/D&gt;&lt;/FQL&gt;&lt;FQL&gt;&lt;Q&gt;AYI-US^P_BETA_LOCIDX(45434,45259,,"SPX")&lt;/Q&gt;&lt;R&gt;1&lt;/R&gt;&lt;C&gt;1&lt;/C&gt;&lt;D xsi:type="xsd:double"&gt;0.9307422&lt;/D&gt;&lt;/FQL&gt;&lt;FQL&gt;&lt;Q&gt;AYI-US^P_BETA_LOCIDX(45433,45258,,"SPX")&lt;/Q&gt;&lt;R&gt;1&lt;/R&gt;&lt;C&gt;1&lt;/C&gt;&lt;D xsi:type="xsd:double"&gt;0.92872316&lt;/D&gt;&lt;/FQL&gt;&lt;FQL&gt;&lt;Q&gt;AYI-US^P_BETA_LOCIDX(45432,45257,,"SPX")&lt;/Q&gt;&lt;R&gt;1&lt;/R&gt;&lt;C&gt;1&lt;/C&gt;&lt;D xsi:type="xsd:double"&gt;0.920984&lt;/D&gt;&lt;/FQL&gt;&lt;FQL&gt;&lt;Q&gt;AYI-US^P_BETA_LOCIDX(45429,45254,,"SPX")&lt;/Q&gt;&lt;R&gt;1&lt;/R&gt;&lt;C&gt;1&lt;/C&gt;&lt;D xsi:type="xsd:double"&gt;0.921571&lt;/D&gt;&lt;/FQL&gt;&lt;FQL&gt;&lt;Q&gt;AYI-US^P_BETA_LOCIDX(45428,45252,,"SPX")&lt;/Q&gt;&lt;R&gt;1&lt;/R&gt;&lt;C&gt;1&lt;/C&gt;&lt;D xsi:type="xsd:double"&gt;0.91654754&lt;/D&gt;&lt;/FQL&gt;&lt;FQL&gt;&lt;Q&gt;AYI-US^P_BETA_LOCIDX(45427,45251,,"SPX")&lt;/Q&gt;&lt;R&gt;1&lt;/R&gt;&lt;C&gt;1&lt;/C&gt;&lt;D xsi:type="xsd:double"&gt;0.91107494&lt;/D&gt;&lt;/FQL&gt;&lt;FQL&gt;&lt;Q&gt;AYI-US^P_BETA_LOCIDX(45426,45250,,"SPX")&lt;/Q&gt;&lt;R&gt;1&lt;/R&gt;&lt;C&gt;1&lt;/C&gt;&lt;D xsi:type="xsd:double"&gt;0.8953866&lt;/D&gt;&lt;/FQL&gt;&lt;FQL&gt;&lt;Q&gt;AYI-US^P_BETA_LOCIDX(45425,45247,,"SPX")&lt;/Q&gt;&lt;R&gt;1&lt;/R&gt;&lt;C&gt;1&lt;/C&gt;&lt;D xsi:type="xsd:double"&gt;0.89744097&lt;/D&gt;&lt;/FQL&gt;&lt;FQL&gt;&lt;Q&gt;AYI-US^P_BETA_LOCIDX(45422,45246,,"SPX")&lt;/Q&gt;&lt;R&gt;1&lt;/R&gt;&lt;C&gt;1&lt;/C&gt;&lt;D xsi:type="xsd:double"&gt;0.8940465&lt;/D&gt;&lt;/FQL&gt;&lt;FQL&gt;&lt;Q&gt;AYI-US^P_BETA_LOCIDX(45421,45245,,"SPX")&lt;/Q&gt;&lt;R&gt;1&lt;/R&gt;&lt;C&gt;1&lt;/C&gt;&lt;D xsi:type="xsd:double"&gt;0.8941067&lt;/D&gt;&lt;/FQL&gt;&lt;FQL&gt;&lt;Q&gt;AYI-US^P_BETA_LOCIDX(45420,45244,,"SPX")&lt;/Q&gt;&lt;R&gt;1&lt;/R&gt;&lt;C&gt;1&lt;/C&gt;&lt;D xsi:type="xsd:double"&gt;0.94955397&lt;/D&gt;&lt;/FQL&gt;&lt;FQL&gt;&lt;Q&gt;AYI-US^P_BETA_LOCIDX(45419,45243,,"SPX")&lt;/Q&gt;&lt;R&gt;1&lt;/R&gt;&lt;C&gt;1&lt;/C&gt;&lt;D xsi:type="xsd:double"&gt;0.9503974&lt;/D&gt;&lt;/FQL&gt;&lt;FQL&gt;&lt;Q&gt;AYI-US^P_BETA_LOCIDX(45418,45240,,"SPX")&lt;/Q&gt;&lt;R&gt;1&lt;/R&gt;&lt;C&gt;1&lt;/C&gt;&lt;D xsi:type="xsd:double"&gt;0.9962913&lt;/D&gt;&lt;/FQL&gt;&lt;FQL&gt;&lt;Q&gt;AYI-US^P_BETA_LOCIDX(45415,45239,,"SPX")&lt;/Q&gt;&lt;R&gt;1&lt;/R&gt;&lt;C&gt;1&lt;/C&gt;&lt;D xsi:type="xsd:double"&gt;0.9818018&lt;/D&gt;&lt;/FQL&gt;&lt;FQL&gt;&lt;Q&gt;AYI-US^P_BETA_LOCIDX(45414,45238,,"SPX")&lt;/Q&gt;&lt;R&gt;1&lt;/R&gt;&lt;C&gt;1&lt;/C&gt;&lt;D xsi:type="xsd:double"&gt;0.9795823&lt;/D&gt;&lt;/FQL&gt;&lt;FQL&gt;&lt;Q&gt;AYI-US^P_BETA_LOCIDX(45413,45237,,"SPX")&lt;/Q&gt;&lt;R&gt;1&lt;/R&gt;&lt;C&gt;1&lt;/C&gt;&lt;D xsi:type="xsd:double"&gt;0.96954197&lt;/D&gt;&lt;/FQL&gt;&lt;FQL&gt;&lt;Q&gt;AYI-US^P_BETA_LOCIDX(45412,45236,,"SPX")&lt;/Q&gt;&lt;R&gt;1&lt;/R&gt;&lt;C&gt;1&lt;/C&gt;&lt;D xsi:type="xsd:double"&gt;0.9621746&lt;/D&gt;&lt;/FQL&gt;&lt;FQL&gt;&lt;Q&gt;AYI-US^P_BETA_LOCIDX(45411,45233,,"SPX")&lt;/Q&gt;&lt;R&gt;1&lt;/R&gt;&lt;C&gt;1&lt;/C&gt;&lt;D xsi:type="xsd:double"&gt;0.94893855&lt;/D&gt;&lt;/FQL&gt;&lt;FQL&gt;&lt;Q&gt;AYI-US^P_BETA_LOCIDX(45408,45232,,"SPX")&lt;/Q&gt;&lt;R&gt;1&lt;/R&gt;&lt;C&gt;1&lt;/C&gt;&lt;D xsi:type="xsd:double"&gt;0.9719878&lt;/D&gt;&lt;/FQL&gt;&lt;FQL&gt;&lt;Q&gt;AYI-US^P_BETA_LOCIDX(45407,45231,,"SPX")&lt;/Q&gt;&lt;R&gt;1&lt;/R&gt;&lt;C&gt;1&lt;/C&gt;&lt;D xsi:type="xsd:double"&gt;0.97162503&lt;/D&gt;&lt;/FQL&gt;&lt;FQL&gt;&lt;Q&gt;AYI-US^P_BETA_LOCIDX(45406,45230,,"SPX")&lt;/Q&gt;&lt;R&gt;1&lt;/R&gt;&lt;C&gt;1&lt;/C&gt;&lt;D xsi:type="xsd:double"&gt;0.9751787&lt;/D&gt;&lt;/FQL&gt;&lt;FQL&gt;&lt;Q&gt;AYI-US^P_BETA_LOCIDX(45405,45229,,"SPX")&lt;/Q&gt;&lt;R&gt;1&lt;/R&gt;&lt;C&gt;1&lt;/C&gt;&lt;D xsi:type="xsd:double"&gt;0.9587869&lt;/D&gt;&lt;/FQL&gt;&lt;FQL&gt;&lt;Q&gt;AYI-US^P_BETA_LOCIDX(45404,45226,,"SPX")&lt;/Q&gt;&lt;R&gt;1&lt;/R&gt;&lt;C&gt;1&lt;/C&gt;&lt;D xsi:type="xsd:double"&gt;0.94729096&lt;/D&gt;&lt;/FQL&gt;&lt;FQL&gt;&lt;Q&gt;AYI-US^P_BETA_LOCIDX(45401,45225,,"SPX")&lt;/Q&gt;&lt;R&gt;1&lt;/R&gt;&lt;C&gt;1&lt;/C&gt;&lt;D xsi:type="xsd:double"&gt;0.9355472&lt;/D&gt;&lt;/FQL&gt;&lt;FQL&gt;&lt;Q&gt;AYI-US^P_BETA_LOCIDX(45400,45224,,"SPX")&lt;/Q&gt;&lt;R&gt;1&lt;/R&gt;&lt;C&gt;1&lt;/C&gt;&lt;D xsi:type="xsd:double"&gt;0.95971733&lt;/D&gt;&lt;/FQL&gt;&lt;FQL&gt;&lt;Q&gt;AYI-US^P_BETA_LOCIDX(45399,45223,,"SPX")&lt;/Q&gt;&lt;R&gt;1&lt;/R&gt;&lt;C&gt;1&lt;/C&gt;&lt;D xsi:type="xsd:double"&gt;0.9326297&lt;/D&gt;&lt;/FQL&gt;&lt;FQL&gt;&lt;Q&gt;AYI-US^P_BETA_LOCIDX(45398,45222,,"SPX")&lt;/Q&gt;&lt;R&gt;1&lt;/R&gt;&lt;C&gt;1&lt;/C&gt;&lt;D xsi:type="xsd:double"&gt;0.927909&lt;/D&gt;&lt;/FQL&gt;&lt;FQL&gt;&lt;Q&gt;AYI-US^P_BETA_LOCIDX(45397,45219,,"SPX")&lt;/Q&gt;&lt;R&gt;1&lt;/R&gt;&lt;C&gt;1&lt;/C&gt;&lt;D xsi:type="xsd:double"&gt;0.8815737&lt;/D&gt;&lt;/FQL&gt;&lt;FQL&gt;&lt;Q&gt;AYI-US^P_BETA_LOCIDX(45394,45218,,"SPX")&lt;/Q&gt;&lt;R&gt;1&lt;/R&gt;&lt;C&gt;1&lt;/C&gt;&lt;D xsi:type="xsd:double"&gt;0.8866834&lt;/D&gt;&lt;/FQL&gt;&lt;FQL&gt;&lt;Q&gt;AYI-US^P_BETA_LOCIDX(45393,45217,,"SPX")&lt;/Q&gt;&lt;R&gt;1&lt;/R&gt;&lt;C&gt;1&lt;/C&gt;&lt;D xsi:type="xsd:double"&gt;0.9641355&lt;/D&gt;&lt;/FQL&gt;&lt;FQL&gt;&lt;Q&gt;AYI-US^P_BETA_LOCIDX(45392,45216,,"SPX")&lt;/Q&gt;&lt;R&gt;1&lt;/R&gt;&lt;C&gt;1&lt;/C&gt;&lt;D xsi:type="xsd:double"&gt;0.9758626&lt;/D&gt;&lt;/FQL&gt;&lt;FQL&gt;&lt;Q&gt;AYI-US^P_BETA_LOCIDX(45391,45215,,"SPX")&lt;/Q&gt;&lt;R&gt;1&lt;/R&gt;&lt;C&gt;1&lt;/C&gt;&lt;D xsi:type="xsd:double"&gt;0.9766292&lt;/D&gt;&lt;/FQL&gt;&lt;FQL&gt;&lt;Q&gt;AYI-US^P_BETA_LOCIDX(45390,45212,,"SPX")&lt;/Q&gt;&lt;R&gt;1&lt;/R&gt;&lt;C&gt;1&lt;/C&gt;&lt;D xsi:type="xsd:double"&gt;0.97943234&lt;/D&gt;&lt;/FQL&gt;&lt;FQL&gt;&lt;Q&gt;AYI-US^P_BETA_LOCIDX(45387,45211,,"SPX")&lt;/Q&gt;&lt;R&gt;1&lt;/R&gt;&lt;C&gt;1&lt;/C&gt;&lt;D xsi:type="xsd:double"&gt;0.985043&lt;/D&gt;&lt;/FQL&gt;&lt;FQL&gt;&lt;Q&gt;AYI-US^P_BETA_LOCIDX(45386,45210,,"SPX")&lt;/Q&gt;&lt;R&gt;1&lt;/R&gt;&lt;C&gt;1&lt;/C&gt;&lt;D xsi:type="xsd:double"&gt;0.96735936&lt;/D&gt;&lt;/FQL&gt;&lt;FQL&gt;&lt;Q&gt;AYI-US^P_BETA_LOCIDX(45385,45209,,"SPX")&lt;/Q&gt;&lt;R&gt;1&lt;/R&gt;&lt;C&gt;1&lt;/C&gt;&lt;D xsi:type="xsd:double"&gt;0.97735006&lt;/D&gt;&lt;/FQL&gt;&lt;FQL&gt;&lt;Q&gt;AYI-US^P_BETA_LOCIDX(45384,45208,,"SPX")&lt;/Q&gt;&lt;R&gt;1&lt;/R&gt;&lt;C&gt;1&lt;/C&gt;&lt;D xsi:type="xsd:double"&gt;0.9681214&lt;/D&gt;&lt;/FQL&gt;&lt;FQL&gt;&lt;Q&gt;AYI-US^P_BETA_LOCIDX(45383,45205,,"SPX")&lt;/Q&gt;&lt;R&gt;1&lt;/R&gt;&lt;C&gt;1&lt;/C&gt;&lt;D xsi:type="xsd:double"&gt;0.9607203&lt;/D&gt;&lt;/FQL&gt;&lt;FQL&gt;&lt;Q&gt;AYI-US^P_BETA_LOCIDX(45379,45204,,"SPX")&lt;/Q&gt;&lt;R&gt;1&lt;/R&gt;&lt;C&gt;1&lt;/C&gt;&lt;D xsi:type="xsd:double"&gt;0.9529708&lt;/D&gt;&lt;/FQL&gt;&lt;FQL&gt;&lt;Q&gt;AYI-US^P_BETA_LOCIDX(45378,45203,,"SPX")&lt;/Q&gt;&lt;R&gt;1&lt;/R&gt;&lt;C&gt;1&lt;/C&gt;&lt;D xsi:type="xsd:double"&gt;1.0134801&lt;/D&gt;&lt;/FQL&gt;&lt;FQL&gt;&lt;Q&gt;AYI-US^P_BETA_LOCIDX(45377,45202,,"SPX")&lt;/Q&gt;&lt;R&gt;1&lt;/R&gt;&lt;C&gt;1&lt;/C&gt;&lt;D xsi:type="xsd:double"&gt;0.99545664&lt;/D&gt;&lt;/FQL&gt;&lt;FQL&gt;&lt;Q&gt;AYI-US^P_BETA_LOCIDX(45376,45201,,"SPX")&lt;/Q&gt;&lt;R&gt;1&lt;/R&gt;&lt;C&gt;1&lt;/C&gt;&lt;D xsi:type="xsd:double"&gt;1.0050648&lt;/D&gt;&lt;/FQL&gt;&lt;FQL&gt;&lt;Q&gt;AYI-US^P_BETA_LOCIDX(45373,45198,,"SPX")&lt;/Q&gt;&lt;R&gt;1&lt;/R&gt;&lt;C&gt;1&lt;/C&gt;&lt;D xsi:type="xsd:double"&gt;0.9998776&lt;/D&gt;&lt;/FQL&gt;&lt;FQL&gt;&lt;Q&gt;AYI-US^P_BETA_LOCIDX(45372,45197,,"SPX")&lt;/Q&gt;&lt;R&gt;1&lt;/R&gt;&lt;C&gt;1&lt;/C&gt;&lt;D xsi:type="xsd:double"&gt;1.004551&lt;/D&gt;&lt;/FQL&gt;&lt;FQL&gt;&lt;Q&gt;AYI-US^P_BETA_LOCIDX(45371,45196,,"SPX")&lt;/Q&gt;&lt;R&gt;1&lt;/R&gt;&lt;C&gt;1&lt;/C&gt;&lt;D xsi:type="xsd:double"&gt;1.000522&lt;/D&gt;&lt;/FQL&gt;&lt;FQL&gt;&lt;Q&gt;AYI-US^P_BETA_LOCIDX(45370,45195,,"SPX")&lt;/Q&gt;&lt;R&gt;1&lt;/R&gt;&lt;C&gt;1&lt;/C&gt;&lt;D xsi:type="xsd:double"&gt;0.98162234&lt;/D&gt;&lt;/FQL&gt;&lt;FQL&gt;&lt;Q&gt;AYI-US^P_BETA_LOCIDX(45369,45194,,"SPX")&lt;/Q&gt;&lt;R&gt;1&lt;/R&gt;&lt;C&gt;1&lt;/C&gt;&lt;D xsi:type="xsd:double"&gt;0.98442&lt;/D&gt;&lt;/FQL&gt;&lt;FQL&gt;&lt;Q&gt;AYI-US^P_BETA_LOCIDX(45366,45191,,"SPX")&lt;/Q&gt;&lt;R&gt;1&lt;/R&gt;&lt;C&gt;1&lt;/C&gt;&lt;D xsi:type="xsd:double"&gt;0.9765585&lt;/D&gt;&lt;/FQL&gt;&lt;FQL&gt;&lt;Q&gt;AYI-US^P_BETA_LOCIDX(45365,45190,,"SPX")&lt;/Q&gt;&lt;R&gt;1&lt;/R&gt;&lt;C&gt;1&lt;/C&gt;&lt;D xsi:type="xsd:double"&gt;0.967603&lt;/D&gt;&lt;/FQL&gt;&lt;FQL&gt;&lt;Q&gt;AYI-US^P_BETA_LOCIDX(45364,45189,,"SPX")&lt;/Q&gt;&lt;R&gt;1&lt;/R&gt;&lt;C&gt;1&lt;/C&gt;&lt;D xsi:type="xsd:double"&gt;0.96806043&lt;/D&gt;&lt;/FQL&gt;&lt;FQL&gt;&lt;Q&gt;AYI-US^P_BETA_LOCIDX(45363,45188,,"SPX")&lt;/Q&gt;&lt;R&gt;1&lt;/R&gt;&lt;C&gt;1&lt;/C&gt;&lt;D xsi:type="xsd:double"&gt;0.9655805&lt;/D&gt;&lt;/FQL&gt;&lt;FQL&gt;&lt;Q&gt;AYI-US^P_BETA_LOCIDX(45362,45187,,"SPX")&lt;/Q&gt;&lt;R&gt;1&lt;/R&gt;&lt;C&gt;1&lt;/C&gt;&lt;D xsi:type="xsd:double"&gt;0.96054&lt;/D&gt;&lt;/FQL&gt;&lt;FQL&gt;&lt;Q&gt;AYI-US^P_BETA_LOCIDX(45359,45184,,"SPX")&lt;/Q&gt;&lt;R&gt;1&lt;/R&gt;&lt;C&gt;1&lt;/C&gt;&lt;D xsi:type="xsd:double"&gt;0.9533682&lt;/D&gt;&lt;/FQL&gt;&lt;FQL&gt;&lt;Q&gt;AYI-US^P_BETA_LOCIDX(45358,45183,,"SPX")&lt;/Q&gt;&lt;R&gt;1&lt;/R&gt;&lt;C&gt;1&lt;/C&gt;&lt;D xsi:type="xsd:double"&gt;0.9416071&lt;/D&gt;&lt;/FQL&gt;&lt;FQL&gt;&lt;Q&gt;AYI-US^P_BETA_LOCIDX(45357,45182,,"SPX")&lt;/Q&gt;&lt;R&gt;1&lt;/R&gt;&lt;C&gt;1&lt;/C&gt;&lt;D xsi:type="xsd:double"&gt;0.9754001&lt;/D&gt;&lt;/FQL&gt;&lt;FQL&gt;&lt;Q&gt;AYI-US^P_BETA_LOCIDX(45356,45181,,"SPX")&lt;/Q&gt;&lt;R&gt;1&lt;/R&gt;&lt;C&gt;1&lt;/C&gt;&lt;D xsi:type="xsd:double"&gt;0.9669563&lt;/D&gt;&lt;/FQL&gt;&lt;FQL&gt;&lt;Q&gt;AYI-US^P_BETA_LOCIDX(45355,45180,,"SPX")&lt;/Q&gt;&lt;R&gt;1&lt;/R&gt;&lt;C&gt;1&lt;/C&gt;&lt;D xsi:type="xsd:double"&gt;0.9591294&lt;/D&gt;&lt;/FQL&gt;&lt;FQL&gt;&lt;Q&gt;AYI-US^P_BETA_LOCIDX(45352,45177,,"SPX")&lt;/Q&gt;&lt;R&gt;1&lt;/R&gt;&lt;C&gt;1&lt;/C&gt;&lt;D xsi:type="xsd:double"&gt;0.96640104&lt;/D&gt;&lt;/FQL&gt;&lt;FQL&gt;&lt;Q&gt;AYI-US^P_BETA_LOCIDX(45351,45176,,"SPX")&lt;/Q&gt;&lt;R&gt;1&lt;/R&gt;&lt;C&gt;1&lt;/C&gt;&lt;D xsi:type="xsd:double"&gt;0.98753667&lt;/D&gt;&lt;/FQL&gt;&lt;FQL&gt;&lt;Q&gt;AYI-US^P_BETA_LOCIDX(45350,45175,,"SPX")&lt;/Q&gt;&lt;R&gt;1&lt;/R&gt;&lt;C&gt;1&lt;/C&gt;&lt;D xsi:type="xsd:double"&gt;0.9834065&lt;/D&gt;&lt;/FQL&gt;&lt;FQL&gt;&lt;Q&gt;AYI-US^P_BETA_LOCIDX(45349,45174,,"SPX")&lt;/Q&gt;&lt;R&gt;1&lt;/R&gt;&lt;C&gt;1&lt;/C&gt;&lt;D xsi:type="xsd:double"&gt;0.9951663&lt;/D&gt;&lt;/FQL&gt;&lt;FQL&gt;&lt;Q&gt;AYI-US^P_BETA_LOCIDX(45348,45170,,"SPX")&lt;/Q&gt;&lt;R&gt;1&lt;/R&gt;&lt;C&gt;1&lt;/C&gt;&lt;D xsi:type="xsd:double"&gt;0.99503195&lt;/D&gt;&lt;/FQL&gt;&lt;FQL&gt;&lt;Q&gt;AYI-US^P_BETA_LOCIDX(45345,45169,,"SPX")&lt;/Q&gt;&lt;R&gt;1&lt;/R&gt;&lt;C&gt;1&lt;/C&gt;&lt;D xsi:type="xsd:double"&gt;0.9935894&lt;/D&gt;&lt;/FQL&gt;&lt;FQL&gt;&lt;Q&gt;AYI-US^P_BETA_LOCIDX(45344,45168,,"SPX")&lt;/Q&gt;&lt;R&gt;1&lt;/R&gt;&lt;C&gt;1&lt;/C&gt;&lt;D xsi:type="xsd:double"&gt;0.9891746&lt;/D&gt;&lt;/FQL&gt;&lt;FQL&gt;&lt;Q&gt;AYI-US^P_BETA_LOCIDX(45343,45167,,"SPX")&lt;/Q&gt;&lt;R&gt;1&lt;/R&gt;&lt;C&gt;1&lt;/C&gt;&lt;D xsi:type="xsd:double"&gt;0.9967217&lt;/D&gt;&lt;/FQL&gt;&lt;FQL&gt;&lt;Q&gt;AYI-US^P_BETA_LOCIDX(45342,45166,,"SPX")&lt;/Q&gt;&lt;R&gt;1&lt;/R&gt;&lt;C&gt;1&lt;/C&gt;&lt;D xsi:type="xsd:double"&gt;0.99860275&lt;/D&gt;&lt;/FQL&gt;&lt;FQL&gt;&lt;Q&gt;AYI-US^P_BETA_LOCIDX(45338,45163,,"SPX")&lt;/Q&gt;&lt;R&gt;1&lt;/R&gt;&lt;C&gt;1&lt;/C&gt;&lt;D xsi:type="xsd:double"&gt;0.9875807&lt;/D&gt;&lt;/FQL&gt;&lt;FQL&gt;&lt;Q&gt;AYI-US^P_BETA_LOCIDX(45337,45162,,"SPX")&lt;/Q&gt;&lt;R&gt;1&lt;/R&gt;&lt;C&gt;1&lt;/C&gt;&lt;D xsi:type="xsd:double"&gt;0.9929009&lt;/D&gt;&lt;/FQL&gt;&lt;FQL&gt;&lt;Q&gt;AYI-US^P_BETA_LOCIDX(45336,45161,,"SPX")&lt;/Q&gt;&lt;R&gt;1&lt;/R&gt;&lt;C&gt;1&lt;/C&gt;&lt;D xsi:type="xsd:double"&gt;0.99430084&lt;/D&gt;&lt;/FQL&gt;&lt;FQL&gt;&lt;Q&gt;AYI-US^P_BETA_LOCIDX(45335,45160,,"SPX")&lt;/Q&gt;&lt;R&gt;1&lt;/R&gt;&lt;C&gt;1&lt;/C&gt;&lt;D xsi:type="xsd:double"&gt;0.96958214&lt;/D&gt;&lt;/FQL&gt;&lt;FQL&gt;&lt;Q&gt;AYI-US^P_BETA_LOCIDX(45334,45159,,"SPX")&lt;/Q&gt;&lt;R&gt;1&lt;/R&gt;&lt;C&gt;1&lt;/C&gt;&lt;D xsi:type="xsd:double"&gt;0.9388135&lt;/D&gt;&lt;/FQL&gt;&lt;FQL&gt;&lt;Q&gt;AYI-US^P_BETA_LOCIDX(45331,45156,,"SPX")&lt;/Q&gt;&lt;R&gt;1&lt;/R&gt;&lt;C&gt;1&lt;/C&gt;&lt;D xsi:type="xsd:double"&gt;0.9409272&lt;/D&gt;&lt;/FQL&gt;&lt;FQL&gt;&lt;Q&gt;AYI-US^P_BETA_LOCIDX(45330,45155,,"SPX")&lt;/Q&gt;&lt;R&gt;1&lt;/R&gt;&lt;C&gt;1&lt;/C&gt;&lt;D xsi:type="xsd:double"&gt;0.9442596&lt;/D&gt;&lt;/FQL&gt;&lt;FQL&gt;&lt;Q&gt;AYI-US^P_BETA_LOCIDX(45329,45154,,"SPX")&lt;/Q&gt;&lt;R&gt;1&lt;/R&gt;&lt;C&gt;1&lt;/C&gt;&lt;D xsi:type="xsd:double"&gt;0.95243007&lt;/D&gt;&lt;/FQL&gt;&lt;FQL&gt;&lt;Q&gt;AYI-US^P_BETA_LOCIDX(45328,45153,,"SPX")&lt;/Q&gt;&lt;R&gt;1&lt;/R&gt;&lt;C&gt;1&lt;/C&gt;&lt;D xsi:type="xsd:double"&gt;0.989681&lt;/D&gt;&lt;/FQL&gt;&lt;FQL&gt;&lt;Q&gt;AYI-US^P_BETA_LOCIDX(45327,45152,,"SPX")&lt;/Q&gt;&lt;R&gt;1&lt;/R&gt;&lt;C&gt;1&lt;/C&gt;&lt;D xsi:type="xsd:double"&gt;0.9874531&lt;/D&gt;&lt;/FQL&gt;&lt;FQL&gt;&lt;Q&gt;AYI-US^P_BETA_LOCIDX(45324,45149,,"SPX")&lt;/Q&gt;&lt;R&gt;1&lt;/R&gt;&lt;C&gt;1&lt;/C&gt;&lt;D xsi:type="xsd:double"&gt;0.98511076&lt;/D&gt;&lt;/FQL&gt;&lt;FQL&gt;&lt;Q&gt;AYI-US^P_BETA_LOCIDX(45323,45148,,"SPX")&lt;/Q&gt;&lt;R&gt;1&lt;/R&gt;&lt;C&gt;1&lt;/C&gt;&lt;D xsi:type="xsd:double"&gt;1.0080922&lt;/D&gt;&lt;/FQL&gt;&lt;FQL&gt;&lt;Q&gt;AYI-US^P_BETA_LOCIDX(45322,45147,,"SPX")&lt;/Q&gt;&lt;R&gt;1&lt;/R&gt;&lt;C&gt;1&lt;/C&gt;&lt;D xsi:type="xsd:double"&gt;1.0234016&lt;/D&gt;&lt;/FQL&gt;&lt;FQL&gt;&lt;Q&gt;AYI-US^P_BETA_LOCIDX(45321,45146,,"SPX")&lt;/Q&gt;&lt;R&gt;1&lt;/R&gt;&lt;C&gt;1&lt;/C&gt;&lt;D xsi:type="xsd:double"&gt;1.0159938&lt;/D&gt;&lt;/FQL&gt;&lt;FQL&gt;&lt;Q&gt;AYI-US^P_BETA_LOCIDX(45320,45145,,"SPX")&lt;/Q&gt;&lt;R&gt;1&lt;/R&gt;&lt;C&gt;1&lt;/C&gt;&lt;D xsi:type="xsd:double"&gt;1.0197228&lt;/D&gt;&lt;/FQL&gt;&lt;FQL&gt;&lt;Q&gt;AYI-US^P_BETA_LOCIDX(45317,45142,,"SPX")&lt;/Q&gt;&lt;R&gt;1&lt;/R&gt;&lt;C&gt;1&lt;/C&gt;&lt;D xsi:type="xsd:double"&gt;1.0264721&lt;/D&gt;&lt;/FQL&gt;&lt;FQL&gt;&lt;Q&gt;AYI-US^P_BETA_LOCIDX(45316,45141,,"SPX")&lt;/Q&gt;&lt;R&gt;1&lt;/R&gt;&lt;C&gt;1&lt;/C&gt;&lt;D xsi:type="xsd:double"&gt;1.0304747&lt;/D&gt;&lt;/FQL&gt;&lt;FQL&gt;&lt;Q&gt;AYI-US^P_BETA_LOCIDX(45315,45140,,"SPX")&lt;/Q&gt;&lt;R&gt;1&lt;/R&gt;&lt;C&gt;1&lt;/C&gt;&lt;D xsi:type="xsd:double"&gt;0.9753298&lt;/D&gt;&lt;/FQL&gt;&lt;FQL&gt;&lt;Q&gt;AYI-US^P_BETA_LOCIDX(45314,45139,,"SPX")&lt;/Q&gt;&lt;R&gt;1&lt;/R&gt;&lt;C&gt;1&lt;/C&gt;&lt;D xsi:type="xsd:double"&gt;0.973178&lt;/D&gt;&lt;/FQL&gt;&lt;FQL&gt;&lt;Q&gt;AYI-US^P_BETA_LOCIDX(45313,45138,,"SPX")&lt;/Q&gt;&lt;R&gt;1&lt;/R&gt;&lt;C&gt;1&lt;/C&gt;&lt;D xsi:type="xsd:double"&gt;0.97563636&lt;/D&gt;&lt;/FQL&gt;&lt;FQL&gt;&lt;Q&gt;AYI-US^P_BETA_LOCIDX(45310,45135,,"SPX")&lt;/Q&gt;&lt;R&gt;1&lt;/R&gt;&lt;C&gt;1&lt;/C&gt;&lt;D xsi:type="xsd:double"&gt;0.97470737&lt;/D&gt;&lt;/FQL&gt;&lt;FQL&gt;&lt;Q&gt;AYI-US^P_BETA_LOCIDX(45309,45134,,"SPX")&lt;/Q&gt;&lt;R&gt;1&lt;/R&gt;&lt;C&gt;1&lt;/C&gt;&lt;D xsi:type="xsd:double"&gt;0.9524458&lt;/D&gt;&lt;/FQL&gt;&lt;FQL&gt;&lt;Q&gt;AYI-US^P_BETA_LOCIDX(45308,45133,,"SPX")&lt;/Q&gt;&lt;R&gt;1&lt;/R&gt;&lt;C&gt;1&lt;/C&gt;&lt;D xsi:type="xsd:double"&gt;0.9536365&lt;/D&gt;&lt;/FQL&gt;&lt;FQL&gt;&lt;Q&gt;AYI-US^P_BETA_LOCIDX(45307,45132,,"SPX")&lt;/Q&gt;&lt;R&gt;1&lt;/R&gt;&lt;C&gt;1&lt;/C&gt;&lt;D xsi:type="xsd:double"&gt;0.9512785&lt;/D&gt;&lt;/FQL&gt;&lt;FQL&gt;&lt;Q&gt;AYI-US^P_BETA_LOCIDX(45303,45131,,"SPX")&lt;/Q&gt;&lt;R&gt;1&lt;/R&gt;&lt;C&gt;1&lt;/C&gt;&lt;D xsi:type="xsd:double"&gt;0.94271916&lt;/D&gt;&lt;/FQL&gt;&lt;FQL&gt;&lt;Q&gt;AYI-US^P_BETA_LOCIDX(45302,45128,,"SPX")&lt;/Q&gt;&lt;R&gt;1&lt;/R&gt;&lt;C&gt;1&lt;/C&gt;&lt;D xsi:type="xsd:double"&gt;0.94326055&lt;/D&gt;&lt;/FQL&gt;&lt;FQL&gt;&lt;Q&gt;AYI-US^P_BETA_LOCIDX(45301,45127,,"SPX")&lt;/Q&gt;&lt;R&gt;1&lt;/R&gt;&lt;C&gt;1&lt;/C&gt;&lt;D xsi:type="xsd:double"&gt;0.9410152&lt;/D&gt;&lt;/FQL&gt;&lt;FQL&gt;&lt;Q&gt;AYI-US^P_BETA_LOCIDX(45300,45126,,"SPX")&lt;/Q&gt;&lt;R&gt;1&lt;/R&gt;&lt;C&gt;1&lt;/C&gt;&lt;D xsi:type="xsd:double"&gt;0.93768513&lt;/D&gt;&lt;/FQL&gt;&lt;FQL&gt;&lt;Q&gt;AYI-US^P_BETA_LOCIDX(45299,45125,,"SPX")&lt;/Q&gt;&lt;R&gt;1&lt;/R&gt;&lt;C&gt;1&lt;/C&gt;&lt;D xsi:type="xsd:double"&gt;0.9769896&lt;/D&gt;&lt;/FQL&gt;&lt;FQL&gt;&lt;Q&gt;AYI-US^P_BETA_LOCIDX(45296,45124,,"SPX")&lt;/Q&gt;&lt;R&gt;1&lt;/R&gt;&lt;C&gt;1&lt;/C&gt;&lt;D xsi:type="xsd:double"&gt;1.0160102&lt;/D&gt;&lt;/FQL&gt;&lt;FQL&gt;&lt;Q&gt;AYI-US^P_BETA_LOCIDX(45295,45121,,"SPX")&lt;/Q&gt;&lt;R&gt;1&lt;/R&gt;&lt;C&gt;1&lt;/C&gt;&lt;D xsi:type="xsd:double"&gt;1.0183313&lt;/D&gt;&lt;/FQL&gt;&lt;FQL&gt;&lt;Q&gt;AYI-US^P_BETA_LOCIDX(45294,45120,,"SPX")&lt;/Q&gt;&lt;R&gt;1&lt;/R&gt;&lt;C&gt;1&lt;/C&gt;&lt;D xsi:type="xsd:double"&gt;1.023133&lt;/D&gt;&lt;/FQL&gt;&lt;FQL&gt;&lt;Q&gt;AYI-US^P_BETA_LOCIDX(45293,45119,,"SPX")&lt;/Q&gt;&lt;R&gt;1&lt;/R&gt;&lt;C&gt;1&lt;/C&gt;&lt;D xsi:type="xsd:double"&gt;1.0183511&lt;/D&gt;&lt;/FQL&gt;&lt;FQL&gt;&lt;Q&gt;AYI-US^P_BETA_LOCIDX(45289,45118,,"SPX")&lt;/Q&gt;&lt;R&gt;1&lt;/R&gt;&lt;C&gt;1&lt;/C&gt;&lt;D xsi:type="xsd:double"&gt;1.0120323&lt;/D&gt;&lt;/FQL&gt;&lt;FQL&gt;&lt;Q&gt;AYI-US^P_BETA_LOCIDX(45288,45117,,"SPX")&lt;/Q&gt;&lt;R&gt;1&lt;/R&gt;&lt;C&gt;1&lt;/C&gt;&lt;D xsi:type="xsd:double"&gt;1.0169675&lt;/D&gt;&lt;/FQL&gt;&lt;FQL&gt;&lt;Q&gt;AYI-US^P_BETA_LOCIDX(45287,45114,,"SPX")&lt;/Q&gt;&lt;R&gt;1&lt;/R&gt;&lt;C&gt;1&lt;/C&gt;&lt;D xsi:type="xsd:double"&gt;0.99986243&lt;/D&gt;&lt;/FQL&gt;&lt;FQL&gt;&lt;Q&gt;AYI-US^P_BETA_LOCIDX(45286,45113,,"SPX")&lt;/Q&gt;&lt;R&gt;1&lt;/R&gt;&lt;C&gt;1&lt;/C&gt;&lt;D xsi:type="xsd:double"&gt;1.0100245&lt;/D&gt;&lt;/FQL&gt;&lt;FQL&gt;&lt;Q&gt;AYI-US^P_BETA_LOCIDX(45282,45112,,"SPX")&lt;/Q&gt;&lt;R&gt;1&lt;/R&gt;&lt;C&gt;1&lt;/C&gt;&lt;D xsi:type="xsd:double"&gt;1.0181401&lt;/D&gt;&lt;/FQL&gt;&lt;FQL&gt;&lt;Q&gt;AYI-US^P_BETA_LOCIDX(45281,45110,,"SPX")&lt;/Q&gt;&lt;R&gt;1&lt;/R&gt;&lt;C&gt;1&lt;/C&gt;&lt;D xsi:type="xsd:double"&gt;1.0177557&lt;/D&gt;&lt;/FQL&gt;&lt;FQL&gt;&lt;Q&gt;AYI-US^P_BETA_LOCIDX(45280,45107,,"SPX")&lt;/Q&gt;&lt;R&gt;1&lt;/R&gt;&lt;C&gt;1&lt;/C&gt;&lt;D xsi:type="xsd:double"&gt;1.0265708&lt;/D&gt;&lt;/FQL&gt;&lt;FQL&gt;&lt;Q&gt;AYI-US^P_BETA_LOCIDX(45279,45106,,"SPX")&lt;/Q&gt;&lt;R&gt;1&lt;/R&gt;&lt;C&gt;1&lt;/C&gt;&lt;D xsi:type="xsd:double"&gt;1.063476&lt;/D&gt;&lt;/FQL&gt;&lt;FQL&gt;&lt;Q&gt;AYI-US^P_BETA_LOCIDX(45278,45105,,"SPX")&lt;/Q&gt;&lt;R&gt;1&lt;/R&gt;&lt;C&gt;1&lt;/C&gt;&lt;D xsi:type="xsd:double"&gt;1.0693605&lt;/D&gt;&lt;/FQL&gt;&lt;FQL&gt;&lt;Q&gt;AYI-US^P_BETA_LOCIDX(45275,45104,,"SPX")&lt;/Q&gt;&lt;R&gt;1&lt;/R&gt;&lt;C&gt;1&lt;/C&gt;&lt;D xsi:type="xsd:double"&gt;1.0651604&lt;/D&gt;&lt;/FQL&gt;&lt;FQL&gt;&lt;Q&gt;AYI-US^P_BETA_LOCIDX(45274,45103,,"SPX")&lt;/Q&gt;&lt;R&gt;1&lt;/R&gt;&lt;C&gt;1&lt;/C&gt;&lt;D xsi:type="xsd:double"&gt;1.0609696&lt;/D&gt;&lt;/FQL&gt;&lt;FQL&gt;&lt;Q&gt;AYI-US^P_BETA_LOCIDX(45273,45100,,"SPX")&lt;/Q&gt;&lt;R&gt;1&lt;/R&gt;&lt;C&gt;1&lt;/C&gt;&lt;D xsi:type="xsd:double"&gt;1.0186442&lt;/D&gt;&lt;/FQL&gt;&lt;FQL&gt;&lt;Q&gt;AYI-US^P_BETA_LOCIDX(45272,45099,,"SPX")&lt;/Q&gt;&lt;R&gt;1&lt;/R&gt;&lt;C&gt;1&lt;/C&gt;&lt;D xsi:type="xsd:double"&gt;0.9797304&lt;/D&gt;&lt;/FQL&gt;&lt;FQL&gt;&lt;Q&gt;AYI-US^P_BETA_LOCIDX(45271,45098,,"SPX")&lt;/Q&gt;&lt;R&gt;1&lt;/R&gt;&lt;C&gt;1&lt;/C&gt;&lt;D xsi:type="xsd:double"&gt;0.9853729&lt;/D&gt;&lt;/FQL&gt;&lt;FQL&gt;&lt;Q&gt;AYI-US^P_BETA_LOCIDX(45268,45097,,"SPX")&lt;/Q&gt;&lt;R&gt;1&lt;/R&gt;&lt;C&gt;1&lt;/C&gt;&lt;D xsi:type="xsd:double"&gt;0.98670816&lt;/D&gt;&lt;/FQL&gt;&lt;FQL&gt;&lt;Q&gt;AYI-US^P_BETA_LOCIDX(45267,45093,,"SPX")&lt;/Q&gt;&lt;R&gt;1&lt;/R&gt;&lt;C&gt;1&lt;/C&gt;&lt;D xsi:type="xsd:double"&gt;0.99941987&lt;/D&gt;&lt;/FQL&gt;&lt;FQL&gt;&lt;Q&gt;AYI-US^P_BETA_LOCIDX(45266,45092,,"SPX")&lt;/Q&gt;&lt;R&gt;1&lt;/R&gt;&lt;C&gt;1&lt;/C&gt;&lt;D xsi:type="xsd:double"&gt;1.009698&lt;/D&gt;&lt;/FQL&gt;&lt;FQL&gt;&lt;Q&gt;AYI-US^P_BETA_LOCIDX(45265,45091,,"SPX")&lt;/Q&gt;&lt;R&gt;1&lt;/R&gt;&lt;C&gt;1&lt;/C&gt;&lt;D xsi:type="xsd:double"&gt;1.0256183&lt;/D&gt;&lt;/FQL&gt;&lt;FQL&gt;&lt;Q&gt;AYI-US^P_BETA_LOCIDX(45264,45090,,"SPX")&lt;/Q&gt;&lt;R&gt;1&lt;/R&gt;&lt;C&gt;1&lt;/C&gt;&lt;D xsi:type="xsd:double"&gt;1.0396401&lt;/D&gt;&lt;/FQL&gt;&lt;FQL&gt;&lt;Q&gt;AYI-US^P_BETA_LOCIDX(45261,45089,,"SPX")&lt;/Q&gt;&lt;R&gt;1&lt;/R&gt;&lt;C&gt;1&lt;/C&gt;&lt;D xsi:type="xsd:double"&gt;1.0527074&lt;/D&gt;&lt;/FQL&gt;&lt;FQL&gt;&lt;Q&gt;AYI-US^P_BETA_LOCIDX(45260,45086,,"SPX")&lt;/Q&gt;&lt;R&gt;1&lt;/R&gt;&lt;C&gt;1&lt;/C&gt;&lt;D xsi:type="xsd:double"&gt;1.0410461&lt;/D&gt;&lt;/FQL&gt;&lt;FQL&gt;&lt;Q&gt;AYI-US^P_BETA_LOCIDX(45259,45085,,"SPX")&lt;/Q&gt;&lt;R&gt;1&lt;/R&gt;&lt;C&gt;1&lt;/C&gt;&lt;D xsi:type="xsd:double"&gt;1.012234&lt;/D&gt;&lt;/FQL&gt;&lt;FQL&gt;&lt;Q&gt;AYI-US^P_BETA_LOCIDX(45258,45084,,"SPX")&lt;/Q&gt;&lt;R&gt;1&lt;/R&gt;&lt;C&gt;1&lt;/C&gt;&lt;D xsi:type="xsd:double"&gt;0.9916831&lt;/D&gt;&lt;/FQL&gt;&lt;FQL&gt;&lt;Q&gt;AYI-US^P_BETA_LOCIDX(45257,45083,,"SPX")&lt;/Q&gt;&lt;R&gt;1&lt;/R&gt;&lt;C&gt;1&lt;/C&gt;&lt;D xsi:type="xsd:double"&gt;0.9993019&lt;/D&gt;&lt;/FQL&gt;&lt;FQL&gt;&lt;Q&gt;AYI-US^P_BETA_LOCIDX(45254,45082,,"SPX")&lt;/Q&gt;&lt;R&gt;1&lt;/R&gt;&lt;C&gt;1&lt;/C&gt;&lt;D xsi:type="xsd:double"&gt;1.0108864&lt;/D&gt;&lt;/FQL&gt;&lt;FQL&gt;&lt;Q&gt;AYI-US^P_BETA_LOCIDX(45252,45079,,"SPX")&lt;/Q&gt;&lt;R&gt;1&lt;/R&gt;&lt;C&gt;1&lt;/C&gt;&lt;D xsi:type="xsd:double"&gt;1.0716897&lt;/D&gt;&lt;/FQL&gt;&lt;FQL&gt;&lt;Q&gt;AYI-US^P_BETA_LOCIDX(45251,45078,,"SPX")&lt;/Q&gt;&lt;R&gt;1&lt;/R&gt;&lt;C&gt;1&lt;/C&gt;&lt;D xsi:type="xsd:double"&gt;1.0821502&lt;/D&gt;&lt;/FQL&gt;&lt;FQL&gt;&lt;Q&gt;AYI-US^P_BETA_LOCIDX(45250,45077,,"SPX")&lt;/Q&gt;&lt;R&gt;1&lt;/R&gt;&lt;C&gt;1&lt;/C&gt;&lt;D xsi:type="xsd:double"&gt;1.0957501&lt;/D&gt;&lt;/FQL&gt;&lt;FQL&gt;&lt;Q&gt;AYI-US^P_BETA_LOCIDX(45247,45076,,"SPX")&lt;/Q&gt;&lt;R&gt;1&lt;/R&gt;&lt;C&gt;1&lt;/C&gt;&lt;D xsi:type="xsd:double"&gt;1.1090665&lt;/D&gt;&lt;/FQL&gt;&lt;FQL&gt;&lt;Q&gt;AYI-US^P_BETA_LOCIDX(45246,45072,,"SPX")&lt;/Q&gt;&lt;R&gt;1&lt;/R&gt;&lt;C&gt;1&lt;/C&gt;&lt;D xsi:type="xsd:double"&gt;1.0950706&lt;/D&gt;&lt;/FQL&gt;&lt;FQL&gt;&lt;Q&gt;AYI-US^P_BETA_LOCIDX(45245,45071,,"SPX")&lt;/Q&gt;&lt;R&gt;1&lt;/R&gt;&lt;C&gt;1&lt;/C&gt;&lt;D xsi:type="xsd:double"&gt;1.0897317&lt;/D&gt;&lt;/FQL&gt;&lt;FQL&gt;&lt;Q&gt;AYI-US^P_BETA_LOCIDX(45244,45070,,"SPX")&lt;/Q&gt;&lt;R&gt;1&lt;/R&gt;&lt;C&gt;1&lt;/C&gt;&lt;D xsi:type="xsd:double"&gt;1.1157272&lt;/D&gt;&lt;/FQL&gt;&lt;FQL&gt;&lt;Q&gt;AYI-US^P_BETA_LOCIDX(45243,45069,,"SPX")&lt;/Q&gt;&lt;R&gt;1&lt;/R&gt;&lt;C&gt;1&lt;/C&gt;&lt;D xsi:type="xsd:double"&gt;1.0543509&lt;/D&gt;&lt;/FQL&gt;&lt;FQL&gt;&lt;Q&gt;AYI-US^P_BETA_LOCIDX(45240,45068,,"SPX")&lt;/Q&gt;&lt;R&gt;1&lt;/R&gt;&lt;C&gt;1&lt;/C&gt;&lt;D xsi:type="xsd:double"&gt;1.0548334&lt;/D&gt;&lt;/FQL&gt;&lt;FQL&gt;&lt;Q&gt;AYI-US^P_BETA_LOCIDX(45239,45065,,"SPX")&lt;/Q&gt;&lt;R&gt;1&lt;/R&gt;&lt;C&gt;1&lt;/C&gt;&lt;D xsi:type="xsd:double"&gt;1.0119945&lt;/D&gt;&lt;/FQL&gt;&lt;FQL&gt;&lt;Q&gt;AYI-US^P_BETA_LOCIDX(45238,45064,,"SPX")&lt;/Q&gt;&lt;R&gt;1&lt;/R&gt;&lt;C&gt;1&lt;/C&gt;&lt;D xsi:type="xsd:double"&gt;1.0208504&lt;/D&gt;&lt;/FQL&gt;&lt;FQL&gt;&lt;Q&gt;AYI-US^P_BETA_LOCIDX(45237,45063,,"SPX")&lt;/Q&gt;&lt;R&gt;1&lt;/R&gt;&lt;C&gt;1&lt;/C&gt;&lt;D xsi:type="xsd:double"&gt;1.0416789&lt;/D&gt;&lt;/FQL&gt;&lt;FQL&gt;&lt;Q&gt;AYI-US^P_BETA_LOCIDX(45236,45062,,"SPX")&lt;/Q&gt;&lt;R&gt;1&lt;/R&gt;&lt;C&gt;1&lt;/C&gt;&lt;D xsi:type="xsd:double"&gt;1.0588104&lt;/D&gt;&lt;/FQL&gt;&lt;FQL&gt;&lt;Q&gt;AYI-US^P_BETA_LOCIDX(45233,45061,,"SPX")&lt;/Q&gt;&lt;R&gt;1&lt;/R&gt;&lt;C&gt;1&lt;/C&gt;&lt;D xsi:type="xsd:double"&gt;1.0632763&lt;/D&gt;&lt;/FQL&gt;&lt;FQL&gt;&lt;Q&gt;AYI-US^P_BETA_LOCIDX(45232,45058,,"SPX")&lt;/Q&gt;&lt;R&gt;1&lt;/R&gt;&lt;C&gt;1&lt;/C&gt;&lt;D xsi:type="xsd:double"&gt;1.0469316&lt;/D&gt;&lt;/FQL&gt;&lt;FQL&gt;&lt;Q&gt;AYI-US^P_BETA_LOCIDX(45231,45057,,"SPX")&lt;/Q&gt;&lt;R&gt;1&lt;/R&gt;&lt;C&gt;1&lt;/C&gt;&lt;D xsi:type="xsd:double"&gt;1.0229794&lt;/D&gt;&lt;/FQL&gt;&lt;FQL&gt;&lt;Q&gt;AYI-US^P_BETA_LOCIDX(45230,45056,,"SPX")&lt;/Q&gt;&lt;R&gt;1&lt;/R&gt;&lt;C&gt;1&lt;/C&gt;&lt;D xsi:type="xsd:double"&gt;1.0328599&lt;/D&gt;&lt;/FQL&gt;&lt;FQL&gt;&lt;Q&gt;AYI-US^P_BETA_LOCIDX(45229,45055,,"SPX")&lt;/Q&gt;&lt;R&gt;1&lt;/R&gt;&lt;C&gt;1&lt;/C&gt;&lt;D xsi:type="xsd:double"&gt;1.0237821&lt;/D&gt;&lt;/FQL&gt;&lt;FQL&gt;&lt;Q&gt;AYI-US^P_BETA_LOCIDX(45226,45054,,"SPX")&lt;/Q&gt;&lt;R&gt;1&lt;/R&gt;&lt;C&gt;1&lt;/C&gt;&lt;D xsi:type="xsd:double"&gt;1.0363259&lt;/D&gt;&lt;/FQL&gt;&lt;FQL&gt;&lt;Q&gt;AYI-US^P_BETA_LOCIDX(45225,45051,,"SPX")&lt;/Q&gt;&lt;R&gt;1&lt;/R&gt;&lt;C&gt;1&lt;/C&gt;&lt;D xsi:type="xsd:double"&gt;1.0368445&lt;/D&gt;&lt;/FQL&gt;&lt;FQL&gt;&lt;Q&gt;AYI-US^P_BETA_LOCIDX(45224,45050,,"SPX")&lt;/Q&gt;&lt;R&gt;1&lt;/R&gt;&lt;C&gt;1&lt;/C&gt;&lt;D xsi:type="xsd:double"&gt;1.084887&lt;/D&gt;&lt;/FQL&gt;&lt;FQL&gt;&lt;Q&gt;AYI-US^P_BETA_LOCIDX(45223,45049,,"SPX")&lt;/Q&gt;&lt;R&gt;1&lt;/R&gt;&lt;C&gt;1&lt;/C&gt;&lt;D xsi:type="xsd:double"&gt;1.0628701&lt;/D&gt;&lt;/FQL&gt;&lt;FQL&gt;&lt;Q&gt;AYI-US^P_BETA_LOCIDX(45222,45048,,"SPX")&lt;/Q&gt;&lt;R&gt;1&lt;/R&gt;&lt;C&gt;1&lt;/C&gt;&lt;D xsi:type="xsd:double"&gt;1.0654649&lt;/D&gt;&lt;/FQL&gt;&lt;FQL&gt;&lt;Q&gt;AYI-US^P_BETA_LOCIDX(45219,45047,,"SPX")&lt;/Q&gt;&lt;R&gt;1&lt;/R&gt;&lt;C&gt;1&lt;/C&gt;&lt;D xsi:type="xsd:double"&gt;1.0615902&lt;/D&gt;&lt;/FQL&gt;&lt;FQL&gt;&lt;Q&gt;AYI-US^P_BETA_LOCIDX(45218,45044,,"SPX")&lt;/Q&gt;&lt;R&gt;1&lt;/R&gt;&lt;C&gt;1&lt;/C&gt;&lt;D xsi:type</t>
        </r>
      </text>
    </comment>
    <comment ref="A15" authorId="0" shapeId="0" xr:uid="{3854150B-9B0E-4712-81B8-1BA1A29107A9}">
      <text>
        <r>
          <rPr>
            <b/>
            <sz val="9"/>
            <color indexed="81"/>
            <rFont val="Tahoma"/>
            <family val="2"/>
          </rPr>
          <t>="xsd:double"&gt;1.1192774&lt;/D&gt;&lt;/FQL&gt;&lt;FQL&gt;&lt;Q&gt;AYI-US^P_BETA_LOCIDX(45217,45043,,"SPX")&lt;/Q&gt;&lt;R&gt;1&lt;/R&gt;&lt;C&gt;1&lt;/C&gt;&lt;D xsi:type="xsd:double"&gt;1.0660158&lt;/D&gt;&lt;/FQL&gt;&lt;FQL&gt;&lt;Q&gt;AYI-US^P_BETA_LOCIDX(45216,45042,,"SPX")&lt;/Q&gt;&lt;R&gt;1&lt;/R&gt;&lt;C&gt;1&lt;/C&gt;&lt;D xsi:type="xsd:double"&gt;0.9648336&lt;/D&gt;&lt;/FQL&gt;&lt;FQL&gt;&lt;Q&gt;AYI-US^P_BETA_LOCIDX(45215,45041,,"SPX")&lt;/Q&gt;&lt;R&gt;1&lt;/R&gt;&lt;C&gt;1&lt;/C&gt;&lt;D xsi:type="xsd:double"&gt;0.98981005&lt;/D&gt;&lt;/FQL&gt;&lt;FQL&gt;&lt;Q&gt;AYI-US^P_BETA_LOCIDX(45212,45040,,"SPX")&lt;/Q&gt;&lt;R&gt;1&lt;/R&gt;&lt;C&gt;1&lt;/C&gt;&lt;D xsi:type="xsd:double"&gt;0.9991827&lt;/D&gt;&lt;/FQL&gt;&lt;FQL&gt;&lt;Q&gt;AYI-US^P_BETA_LOCIDX(45211,45037,,"SPX")&lt;/Q&gt;&lt;R&gt;1&lt;/R&gt;&lt;C&gt;1&lt;/C&gt;&lt;D xsi:type="xsd:double"&gt;0.9969022&lt;/D&gt;&lt;/FQL&gt;&lt;FQL&gt;&lt;Q&gt;AYI-US^P_BETA_LOCIDX(45210,45036,,"SPX")&lt;/Q&gt;&lt;R&gt;1&lt;/R&gt;&lt;C&gt;1&lt;/C&gt;&lt;D xsi:type="xsd:double"&gt;1.0006568&lt;/D&gt;&lt;/FQL&gt;&lt;FQL&gt;&lt;Q&gt;AYI-US^P_BETA_LOCIDX(45209,45035,,"SPX")&lt;/Q&gt;&lt;R&gt;1&lt;/R&gt;&lt;C&gt;1&lt;/C&gt;&lt;D xsi:type="xsd:double"&gt;0.99314314&lt;/D&gt;&lt;/FQL&gt;&lt;FQL&gt;&lt;Q&gt;AYI-US^P_BETA_LOCIDX(45208,45034,,"SPX")&lt;/Q&gt;&lt;R&gt;1&lt;/R&gt;&lt;C&gt;1&lt;/C&gt;&lt;D xsi:type="xsd:double"&gt;1.0061319&lt;/D&gt;&lt;/FQL&gt;&lt;FQL&gt;&lt;Q&gt;AYI-US^P_BETA_LOCIDX(45205,45033,,"SPX")&lt;/Q&gt;&lt;R&gt;1&lt;/R&gt;&lt;C&gt;1&lt;/C&gt;&lt;D xsi:type="xsd:double"&gt;1.0221735&lt;/D&gt;&lt;/FQL&gt;&lt;FQL&gt;&lt;Q&gt;AYI-US^P_BETA_LOCIDX(45204,45030,,"SPX")&lt;/Q&gt;&lt;R&gt;1&lt;/R&gt;&lt;C&gt;1&lt;/C&gt;&lt;D xsi:type="xsd:double"&gt;1.021218&lt;/D&gt;&lt;/FQL&gt;&lt;FQL&gt;&lt;Q&gt;AYI-US^P_BETA_LOCIDX(45203,45029,,"SPX")&lt;/Q&gt;&lt;R&gt;1&lt;/R&gt;&lt;C&gt;1&lt;/C&gt;&lt;D xsi:type="xsd:double"&gt;0.98714334&lt;/D&gt;&lt;/FQL&gt;&lt;FQL&gt;&lt;Q&gt;AYI-US^P_BETA_LOCIDX(45202,45028,,"SPX")&lt;/Q&gt;&lt;R&gt;1&lt;/R&gt;&lt;C&gt;1&lt;/C&gt;&lt;D xsi:type="xsd:double"&gt;0.9099128&lt;/D&gt;&lt;/FQL&gt;&lt;FQL&gt;&lt;Q&gt;AYI-US^P_BETA_LOCIDX(45201,45027,,"SPX")&lt;/Q&gt;&lt;R&gt;1&lt;/R&gt;&lt;C&gt;1&lt;/C&gt;&lt;D xsi:type="xsd:double"&gt;0.93979484&lt;/D&gt;&lt;/FQL&gt;&lt;FQL&gt;&lt;Q&gt;AYI-US^P_BETA_LOCIDX(45198,45026,,"SPX")&lt;/Q&gt;&lt;R&gt;1&lt;/R&gt;&lt;C&gt;1&lt;/C&gt;&lt;D xsi:type="xsd:double"&gt;0.938662&lt;/D&gt;&lt;/FQL&gt;&lt;FQL&gt;&lt;Q&gt;AYI-US^P_BETA_LOCIDX(45197,45022,,"SPX")&lt;/Q&gt;&lt;R&gt;1&lt;/R&gt;&lt;C&gt;1&lt;/C&gt;&lt;D xsi:type="xsd:double"&gt;0.92909724&lt;/D&gt;&lt;/FQL&gt;&lt;FQL&gt;&lt;Q&gt;AYI-US^P_BETA_LOCIDX(45196,45021,,"SPX")&lt;/Q&gt;&lt;R&gt;1&lt;/R&gt;&lt;C&gt;1&lt;/C&gt;&lt;D xsi:type="xsd:double"&gt;0.9196925&lt;/D&gt;&lt;/FQL&gt;&lt;FQL&gt;&lt;Q&gt;AYI-US^P_BETA_LOCIDX(45195,45020,,"SPX")&lt;/Q&gt;&lt;R&gt;1&lt;/R&gt;&lt;C&gt;1&lt;/C&gt;&lt;D xsi:type="xsd:double"&gt;1.0209793&lt;/D&gt;&lt;/FQL&gt;&lt;FQL&gt;&lt;Q&gt;AYI-US^P_BETA_LOCIDX(45194,45019,,"SPX")&lt;/Q&gt;&lt;R&gt;1&lt;/R&gt;&lt;C&gt;1&lt;/C&gt;&lt;D xsi:type="xsd:double"&gt;1.0506076&lt;/D&gt;&lt;/FQL&gt;&lt;FQL&gt;&lt;Q&gt;AYI-US^P_BETA_LOCIDX(45191,45016,,"SPX")&lt;/Q&gt;&lt;R&gt;1&lt;/R&gt;&lt;C&gt;1&lt;/C&gt;&lt;D xsi:type="xsd:double"&gt;1.0630409&lt;/D&gt;&lt;/FQL&gt;&lt;FQL&gt;&lt;Q&gt;AYI-US^P_BETA_LOCIDX(45190,45015,,"SPX")&lt;/Q&gt;&lt;R&gt;1&lt;/R&gt;&lt;C&gt;1&lt;/C&gt;&lt;D xsi:type="xsd:double"&gt;1.0714236&lt;/D&gt;&lt;/FQL&gt;&lt;FQL&gt;&lt;Q&gt;AYI-US^P_BETA_LOCIDX(45189,45014,,"SPX")&lt;/Q&gt;&lt;R&gt;1&lt;/R&gt;&lt;C&gt;1&lt;/C&gt;&lt;D xsi:type="xsd:double"&gt;1.1170365&lt;/D&gt;&lt;/FQL&gt;&lt;FQL&gt;&lt;Q&gt;AYI-US^P_BETA_LOCIDX(45188,45013,,"SPX")&lt;/Q&gt;&lt;R&gt;1&lt;/R&gt;&lt;C&gt;1&lt;/C&gt;&lt;D xsi:type="xsd:double"&gt;1.1187147&lt;/D&gt;&lt;/FQL&gt;&lt;FQL&gt;&lt;Q&gt;AYI-US^P_BETA_LOCIDX(45187,45012,,"SPX")&lt;/Q&gt;&lt;R&gt;1&lt;/R&gt;&lt;C&gt;1&lt;/C&gt;&lt;D xsi:type="xsd:double"&gt;1.123584&lt;/D&gt;&lt;/FQL&gt;&lt;FQL&gt;&lt;Q&gt;AYI-US^P_BETA_LOCIDX(45184,45009,,"SPX")&lt;/Q&gt;&lt;R&gt;1&lt;/R&gt;&lt;C&gt;1&lt;/C&gt;&lt;D xsi:type="xsd:double"&gt;1.1010323&lt;/D&gt;&lt;/FQL&gt;&lt;FQL&gt;&lt;Q&gt;AYI-US^P_BETA_LOCIDX(45183,45008,,"SPX")&lt;/Q&gt;&lt;R&gt;1&lt;/R&gt;&lt;C&gt;1&lt;/C&gt;&lt;D xsi:type="xsd:double"&gt;1.1159225&lt;/D&gt;&lt;/FQL&gt;&lt;FQL&gt;&lt;Q&gt;AYI-US^P_BETA_LOCIDX(45182,45007,,"SPX")&lt;/Q&gt;&lt;R&gt;1&lt;/R&gt;&lt;C&gt;1&lt;/C&gt;&lt;D xsi:type="xsd:double"&gt;1.1424264&lt;/D&gt;&lt;/FQL&gt;&lt;FQL&gt;&lt;Q&gt;AYI-US^P_BETA_LOCIDX(45181,45006,,"SPX")&lt;/Q&gt;&lt;R&gt;1&lt;/R&gt;&lt;C&gt;1&lt;/C&gt;&lt;D xsi:type="xsd:double"&gt;1.1007788&lt;/D&gt;&lt;/FQL&gt;&lt;FQL&gt;&lt;Q&gt;AYI-US^P_BETA_LOCIDX(45180,45005,,"SPX")&lt;/Q&gt;&lt;R&gt;1&lt;/R&gt;&lt;C&gt;1&lt;/C&gt;&lt;D xsi:type="xsd:double"&gt;1.1230814&lt;/D&gt;&lt;/FQL&gt;&lt;FQL&gt;&lt;Q&gt;AYI-US^P_BETA_LOCIDX(45177,45002,,"SPX")&lt;/Q&gt;&lt;R&gt;1&lt;/R&gt;&lt;C&gt;1&lt;/C&gt;&lt;D xsi:type="xsd:double"&gt;1.1717665&lt;/D&gt;&lt;/FQL&gt;&lt;FQL&gt;&lt;Q&gt;AYI-US^P_BETA_LOCIDX(45176,45001,,"SPX")&lt;/Q&gt;&lt;R&gt;1&lt;/R&gt;&lt;C&gt;1&lt;/C&gt;&lt;D xsi:type="xsd:double"&gt;1.1705328&lt;/D&gt;&lt;/FQL&gt;&lt;FQL&gt;&lt;Q&gt;AYI-US^P_BETA_LOCIDX(45175,45000,,"SPX")&lt;/Q&gt;&lt;R&gt;1&lt;/R&gt;&lt;C&gt;1&lt;/C&gt;&lt;D xsi:type="xsd:double"&gt;1.1908522&lt;/D&gt;&lt;/FQL&gt;&lt;FQL&gt;&lt;Q&gt;AYI-US^P_BETA_LOCIDX(45174,44999,,"SPX")&lt;/Q&gt;&lt;R&gt;1&lt;/R&gt;&lt;C&gt;1&lt;/C&gt;&lt;D xsi:type="xsd:double"&gt;1.2317206&lt;/D&gt;&lt;/FQL&gt;&lt;FQL&gt;&lt;Q&gt;AYI-US^P_BETA_LOCIDX(45170,44998,,"SPX")&lt;/Q&gt;&lt;R&gt;1&lt;/R&gt;&lt;C&gt;1&lt;/C&gt;&lt;D xsi:type="xsd:double"&gt;1.2292056&lt;/D&gt;&lt;/FQL&gt;&lt;FQL&gt;&lt;Q&gt;AYI-US^P_BETA_LOCIDX(45169,44995,,"SPX")&lt;/Q&gt;&lt;R&gt;1&lt;/R&gt;&lt;C&gt;1&lt;/C&gt;&lt;D xsi:type="xsd:double"&gt;1.2716119&lt;/D&gt;&lt;/FQL&gt;&lt;FQL&gt;&lt;Q&gt;AYI-US^P_BETA_LOCIDX(45168,44994,,"SPX")&lt;/Q&gt;&lt;R&gt;1&lt;/R&gt;&lt;C&gt;1&lt;/C&gt;&lt;D xsi:type="xsd:double"&gt;1.2322644&lt;/D&gt;&lt;/FQL&gt;&lt;FQL&gt;&lt;Q&gt;AYI-US^P_BETA_LOCIDX(45167,44993,,"SPX")&lt;/Q&gt;&lt;R&gt;1&lt;/R&gt;&lt;C&gt;1&lt;/C&gt;&lt;D xsi:type="xsd:double"&gt;1.2362819&lt;/D&gt;&lt;/FQL&gt;&lt;FQL&gt;&lt;Q&gt;AYI-US^P_BETA_LOCIDX(45166,44992,,"SPX")&lt;/Q&gt;&lt;R&gt;1&lt;/R&gt;&lt;C&gt;1&lt;/C&gt;&lt;D xsi:type="xsd:double"&gt;1.1793119&lt;/D&gt;&lt;/FQL&gt;&lt;FQL&gt;&lt;Q&gt;AYI-US^P_BETA_LOCIDX(45163,44991,,"SPX")&lt;/Q&gt;&lt;R&gt;1&lt;/R&gt;&lt;C&gt;1&lt;/C&gt;&lt;D xsi:type="xsd:double"&gt;1.175265&lt;/D&gt;&lt;/FQL&gt;&lt;FQL&gt;&lt;Q&gt;AYI-US^P_BETA_LOCIDX(45162,44988,,"SPX")&lt;/Q&gt;&lt;R&gt;1&lt;/R&gt;&lt;C&gt;1&lt;/C&gt;&lt;D xsi:type="xsd:double"&gt;1.1740353&lt;/D&gt;&lt;/FQL&gt;&lt;FQL&gt;&lt;Q&gt;AYI-US^P_BETA_LOCIDX(45161,44987,,"SPX")&lt;/Q&gt;&lt;R&gt;1&lt;/R&gt;&lt;C&gt;1&lt;/C&gt;&lt;D xsi:type="xsd:double"&gt;1.1833655&lt;/D&gt;&lt;/FQL&gt;&lt;FQL&gt;&lt;Q&gt;AYI-US^P_BETA_LOCIDX(45160,44986,,"SPX")&lt;/Q&gt;&lt;R&gt;1&lt;/R&gt;&lt;C&gt;1&lt;/C&gt;&lt;D xsi:type="xsd:double"&gt;1.1824671&lt;/D&gt;&lt;/FQL&gt;&lt;FQL&gt;&lt;Q&gt;AYI-US^P_BETA_LOCIDX(45159,44985,,"SPX")&lt;/Q&gt;&lt;R&gt;1&lt;/R&gt;&lt;C&gt;1&lt;/C&gt;&lt;D xsi:type="xsd:double"&gt;1.1795785&lt;/D&gt;&lt;/FQL&gt;&lt;FQL&gt;&lt;Q&gt;AYI-US^P_BETA_LOCIDX(45156,44984,,"SPX")&lt;/Q&gt;&lt;R&gt;1&lt;/R&gt;&lt;C&gt;1&lt;/C&gt;&lt;D xsi:type="xsd:double"&gt;1.1765387&lt;/D&gt;&lt;/FQL&gt;&lt;FQL&gt;&lt;Q&gt;AYI-US^P_BETA_LOCIDX(45155,44981,,"SPX")&lt;/Q&gt;&lt;R&gt;1&lt;/R&gt;&lt;C&gt;1&lt;/C&gt;&lt;D xsi:type="xsd:double"&gt;1.1732718&lt;/D&gt;&lt;/FQL&gt;&lt;FQL&gt;&lt;Q&gt;AYI-US^P_BETA_LOCIDX(45154,44980,,"SPX")&lt;/Q&gt;&lt;R&gt;1&lt;/R&gt;&lt;C&gt;1&lt;/C&gt;&lt;D xsi:type="xsd:double"&gt;1.1898465&lt;/D&gt;&lt;/FQL&gt;&lt;FQL&gt;&lt;Q&gt;AYI-US^P_BETA_LOCIDX(45153,44979,,"SPX")&lt;/Q&gt;&lt;R&gt;1&lt;/R&gt;&lt;C&gt;1&lt;/C&gt;&lt;D xsi:type="xsd:double"&gt;1.1897266&lt;/D&gt;&lt;/FQL&gt;&lt;FQL&gt;&lt;Q&gt;AYI-US^P_BETA_LOCIDX(45152,44978,,"SPX")&lt;/Q&gt;&lt;R&gt;1&lt;/R&gt;&lt;C&gt;1&lt;/C&gt;&lt;D xsi:type="xsd:double"&gt;1.1701167&lt;/D&gt;&lt;/FQL&gt;&lt;FQL&gt;&lt;Q&gt;AYI-US^P_BETA_LOCIDX(45149,44974,,"SPX")&lt;/Q&gt;&lt;R&gt;1&lt;/R&gt;&lt;C&gt;1&lt;/C&gt;&lt;D xsi:type="xsd:double"&gt;1.1632569&lt;/D&gt;&lt;/FQL&gt;&lt;FQL&gt;&lt;Q&gt;AYI-US^P_BETA_LOCIDX(45148,44973,,"SPX")&lt;/Q&gt;&lt;R&gt;1&lt;/R&gt;&lt;C&gt;1&lt;/C&gt;&lt;D xsi:type="xsd:double"&gt;1.1312755&lt;/D&gt;&lt;/FQL&gt;&lt;FQL&gt;&lt;Q&gt;AYI-US^P_BETA_LOCIDX(45147,44972,,"SPX")&lt;/Q&gt;&lt;R&gt;1&lt;/R&gt;&lt;C&gt;1&lt;/C&gt;&lt;D xsi:type="xsd:double"&gt;1.1330086&lt;/D&gt;&lt;/FQL&gt;&lt;FQL&gt;&lt;Q&gt;AYI-US^P_BETA_LOCIDX(45146,44971,,"SPX")&lt;/Q&gt;&lt;R&gt;1&lt;/R&gt;&lt;C&gt;1&lt;/C&gt;&lt;D xsi:type="xsd:double"&gt;1.1342257&lt;/D&gt;&lt;/FQL&gt;&lt;FQL&gt;&lt;Q&gt;AYI-US^P_BETA_LOCIDX(45145,44970,,"SPX")&lt;/Q&gt;&lt;R&gt;1&lt;/R&gt;&lt;C&gt;1&lt;/C&gt;&lt;D xsi:type="xsd:double"&gt;1.1389428&lt;/D&gt;&lt;/FQL&gt;&lt;FQL&gt;&lt;Q&gt;AYI-US^P_BETA_LOCIDX(45142,44967,,"SPX")&lt;/Q&gt;&lt;R&gt;1&lt;/R&gt;&lt;C&gt;1&lt;/C&gt;&lt;D xsi:type="xsd:double"&gt;1.1347984&lt;/D&gt;&lt;/FQL&gt;&lt;FQL&gt;&lt;Q&gt;AYI-US^P_BETA_LOCIDX(45141,44966,,"SPX")&lt;/Q&gt;&lt;R&gt;1&lt;/R&gt;&lt;C&gt;1&lt;/C&gt;&lt;D xsi:type="xsd:double"&gt;1.14963&lt;/D&gt;&lt;/FQL&gt;&lt;FQL&gt;&lt;Q&gt;AYI-US^P_BETA_LOCIDX(45140,44965,,"SPX")&lt;/Q&gt;&lt;R&gt;1&lt;/R&gt;&lt;C&gt;1&lt;/C&gt;&lt;D xsi:type="xsd:double"&gt;1.1525367&lt;/D&gt;&lt;/FQL&gt;&lt;FQL&gt;&lt;Q&gt;AYI-US^P_BETA_LOCIDX(45139,44964,,"SPX")&lt;/Q&gt;&lt;R&gt;1&lt;/R&gt;&lt;C&gt;1&lt;/C&gt;&lt;D xsi:type="xsd:double"&gt;1.2007374&lt;/D&gt;&lt;/FQL&gt;&lt;FQL&gt;&lt;Q&gt;AYI-US^P_BETA_LOCIDX(45138,44963,,"SPX")&lt;/Q&gt;&lt;R&gt;1&lt;/R&gt;&lt;C&gt;1&lt;/C&gt;&lt;D xsi:type="xsd:double"&gt;1.197256&lt;/D&gt;&lt;/FQL&gt;&lt;FQL&gt;&lt;Q&gt;AYI-US^P_BETA_LOCIDX(45135,44960,,"SPX")&lt;/Q&gt;&lt;R&gt;1&lt;/R&gt;&lt;C&gt;1&lt;/C&gt;&lt;D xsi:type="xsd:double"&gt;1.1656266&lt;/D&gt;&lt;/FQL&gt;&lt;FQL&gt;&lt;Q&gt;AYI-US^P_BETA_LOCIDX(45134,44959,,"SPX")&lt;/Q&gt;&lt;R&gt;1&lt;/R&gt;&lt;C&gt;1&lt;/C&gt;&lt;D xsi:type="xsd:double"&gt;1.1209149&lt;/D&gt;&lt;/FQL&gt;&lt;FQL&gt;&lt;Q&gt;AYI-US^P_BETA_LOCIDX(45133,44958,,"SPX")&lt;/Q&gt;&lt;R&gt;1&lt;/R&gt;&lt;C&gt;1&lt;/C&gt;&lt;D xsi:type="xsd:double"&gt;1.1480584&lt;/D&gt;&lt;/FQL&gt;&lt;FQL&gt;&lt;Q&gt;AYI-US^P_BETA_LOCIDX(45132,44957,,"SPX")&lt;/Q&gt;&lt;R&gt;1&lt;/R&gt;&lt;C&gt;1&lt;/C&gt;&lt;D xsi:type="xsd:double"&gt;1.1561832&lt;/D&gt;&lt;/FQL&gt;&lt;FQL&gt;&lt;Q&gt;AYI-US^P_BETA_LOCIDX(45131,44956,,"SPX")&lt;/Q&gt;&lt;R&gt;1&lt;/R&gt;&lt;C&gt;1&lt;/C&gt;&lt;D xsi:type="xsd:double"&gt;1.1318169&lt;/D&gt;&lt;/FQL&gt;&lt;FQL&gt;&lt;Q&gt;AYI-US^P_BETA_LOCIDX(45128,44953,,"SPX")&lt;/Q&gt;&lt;R&gt;1&lt;/R&gt;&lt;C&gt;1&lt;/C&gt;&lt;D xsi:type="xsd:double"&gt;1.1387213&lt;/D&gt;&lt;/FQL&gt;&lt;FQL&gt;&lt;Q&gt;AYI-US^P_BETA_LOCIDX(45127,44952,,"SPX")&lt;/Q&gt;&lt;R&gt;1&lt;/R&gt;&lt;C&gt;1&lt;/C&gt;&lt;D xsi:type="xsd:double"&gt;1.1369153&lt;/D&gt;&lt;/FQL&gt;&lt;FQL&gt;&lt;Q&gt;AYI-US^P_BETA_LOCIDX(45126,44951,,"SPX")&lt;/Q&gt;&lt;R&gt;1&lt;/R&gt;&lt;C&gt;1&lt;/C&gt;&lt;D xsi:type="xsd:double"&gt;1.1383454&lt;/D&gt;&lt;/FQL&gt;&lt;FQL&gt;&lt;Q&gt;AYI-US^P_BETA_LOCIDX(45125,44950,,"SPX")&lt;/Q&gt;&lt;R&gt;1&lt;/R&gt;&lt;C&gt;1&lt;/C&gt;&lt;D xsi:type="xsd:double"&gt;1.1366391&lt;/D&gt;&lt;/FQL&gt;&lt;FQL&gt;&lt;Q&gt;AYI-US^P_BETA_LOCIDX(45124,44949,,"SPX")&lt;/Q&gt;&lt;R&gt;1&lt;/R&gt;&lt;C&gt;1&lt;/C&gt;&lt;D xsi:type="xsd:double"&gt;1.1206087&lt;/D&gt;&lt;/FQL&gt;&lt;FQL&gt;&lt;Q&gt;AYI-US^P_BETA_LOCIDX(45121,44946,,"SPX")&lt;/Q&gt;&lt;R&gt;1&lt;/R&gt;&lt;C&gt;1&lt;/C&gt;&lt;D xsi:type="xsd:double"&gt;1.1151233&lt;/D&gt;&lt;/FQL&gt;&lt;FQL&gt;&lt;Q&gt;AYI-US^P_BETA_LOCIDX(45120,44945,,"SPX")&lt;/Q&gt;&lt;R&gt;1&lt;/R&gt;&lt;C&gt;1&lt;/C&gt;&lt;D xsi:type="xsd:double"&gt;1.102244&lt;/D&gt;&lt;/FQL&gt;&lt;FQL&gt;&lt;Q&gt;AYI-US^P_BETA_LOCIDX(45119,44944,,"SPX")&lt;/Q&gt;&lt;R&gt;1&lt;/R&gt;&lt;C&gt;1&lt;/C&gt;&lt;D xsi:type="xsd:double"&gt;1.075478&lt;/D&gt;&lt;/FQL&gt;&lt;FQL&gt;&lt;Q&gt;AYI-US^P_BETA_LOCIDX(45118,44943,,"SPX")&lt;/Q&gt;&lt;R&gt;1&lt;/R&gt;&lt;C&gt;1&lt;/C&gt;&lt;D xsi:type="xsd:double"&gt;1.0757189&lt;/D&gt;&lt;/FQL&gt;&lt;FQL&gt;&lt;Q&gt;AYI-US^P_BETA_LOCIDX(45117,44939,,"SPX")&lt;/Q&gt;&lt;R&gt;1&lt;/R&gt;&lt;C&gt;1&lt;/C&gt;&lt;D xsi:type="xsd:double"&gt;1.0771612&lt;/D&gt;&lt;/FQL&gt;&lt;FQL&gt;&lt;Q&gt;AYI-US^P_BETA_LOCIDX(45114,44938,,"SPX")&lt;/Q&gt;&lt;R&gt;1&lt;/R&gt;&lt;C&gt;1&lt;/C&gt;&lt;D xsi:type="xsd:double"&gt;1.0699118&lt;/D&gt;&lt;/FQL&gt;&lt;FQL&gt;&lt;Q&gt;AYI-US^P_BETA_LOCIDX(45113,44937,,"SPX")&lt;/Q&gt;&lt;R&gt;1&lt;/R&gt;&lt;C&gt;1&lt;/C&gt;&lt;D xsi:type="xsd:double"&gt;1.0590142&lt;/D&gt;&lt;/FQL&gt;&lt;FQL&gt;&lt;Q&gt;AYI-US^P_BETA_LOCIDX(45112,44936,,"SPX")&lt;/Q&gt;&lt;R&gt;1&lt;/R&gt;&lt;C&gt;1&lt;/C&gt;&lt;D xsi:type="xsd:double"&gt;1.0555508&lt;/D&gt;&lt;/FQL&gt;&lt;FQL&gt;&lt;Q&gt;AYI-US^P_BETA_LOCIDX(45110,44935,,"SPX")&lt;/Q&gt;&lt;R&gt;1&lt;/R&gt;&lt;C&gt;1&lt;/C&gt;&lt;D xsi:type="xsd:double"&gt;1.0425637&lt;/D&gt;&lt;/FQL&gt;&lt;FQL&gt;&lt;Q&gt;AYI-US^P_BETA_LOCIDX(45107,44932,,"SPX")&lt;/Q&gt;&lt;R&gt;1&lt;/R&gt;&lt;C&gt;1&lt;/C&gt;&lt;D xsi:type="xsd:double"&gt;1.0196337&lt;/D&gt;&lt;/FQL&gt;&lt;FQL&gt;&lt;Q&gt;AYI-US^P_BETA_LOCIDX(45106,44931,,"SPX")&lt;/Q&gt;&lt;R&gt;1&lt;/R&gt;&lt;C&gt;1&lt;/C&gt;&lt;D xsi:type="xsd:double"&gt;1.0390599&lt;/D&gt;&lt;/FQL&gt;&lt;FQL&gt;&lt;Q&gt;AYI-US^P_BETA_LOCIDX(45105,44930,,"SPX")&lt;/Q&gt;&lt;R&gt;1&lt;/R&gt;&lt;C&gt;1&lt;/C&gt;&lt;D xsi:type="xsd:double"&gt;1.0450263&lt;/D&gt;&lt;/FQL&gt;&lt;FQL&gt;&lt;Q&gt;AYI-US^P_BETA_LOCIDX(45104,44929,,"SPX")&lt;/Q&gt;&lt;R&gt;1&lt;/R&gt;&lt;C&gt;1&lt;/C&gt;&lt;D xsi:type="xsd:double"&gt;1.0336065&lt;/D&gt;&lt;/FQL&gt;&lt;FQL&gt;&lt;Q&gt;AYI-US^P_BETA_LOCIDX(45103,44925,,"SPX")&lt;/Q&gt;&lt;R&gt;1&lt;/R&gt;&lt;C&gt;1&lt;/C&gt;&lt;D xsi:type="xsd:double"&gt;1.0392963&lt;/D&gt;&lt;/FQL&gt;&lt;FQL&gt;&lt;Q&gt;AYI-US^P_BETA_LOCIDX(45100,44924,,"SPX")&lt;/Q&gt;&lt;R&gt;1&lt;/R&gt;&lt;C&gt;1&lt;/C&gt;&lt;D xsi:type="xsd:double"&gt;1.0358037&lt;/D&gt;&lt;/FQL&gt;&lt;FQL&gt;&lt;Q&gt;AYI-US^P_BETA_LOCIDX(45099,44923,,"SPX")&lt;/Q&gt;&lt;R&gt;1&lt;/R&gt;&lt;C&gt;1&lt;/C&gt;&lt;D xsi:type="xsd:double"&gt;1.0611458&lt;/D&gt;&lt;/FQL&gt;&lt;FQL&gt;&lt;Q&gt;AYI-US^P_BETA_LOCIDX(45098,44922,,"SPX")&lt;/Q&gt;&lt;R&gt;1&lt;/R&gt;&lt;C&gt;1&lt;/C&gt;&lt;D xsi:type="xsd:double"&gt;1.0631015&lt;/D&gt;&lt;/FQL&gt;&lt;FQL&gt;&lt;Q&gt;AYI-US^P_BETA_LOCIDX(45097,44918,,"SPX")&lt;/Q&gt;&lt;R&gt;1&lt;/R&gt;&lt;C&gt;1&lt;/C&gt;&lt;D xsi:type="xsd:double"&gt;1.0627223&lt;/D&gt;&lt;/FQL&gt;&lt;FQL&gt;&lt;Q&gt;AYI-US^P_BETA_LOCIDX(45093,44917,,"SPX")&lt;/Q&gt;&lt;R&gt;1&lt;/R&gt;&lt;C&gt;1&lt;/C&gt;&lt;D xsi:type="xsd:double"&gt;1.0652268&lt;/D&gt;&lt;/FQL&gt;&lt;FQL&gt;&lt;Q&gt;AYI-US^P_BETA_LOCIDX(45092,44916,,"SPX")&lt;/Q&gt;&lt;R&gt;1&lt;/R&gt;&lt;C&gt;1&lt;/C&gt;&lt;D xsi:type="xsd:double"&gt;1.055781&lt;/D&gt;&lt;/FQL&gt;&lt;FQL&gt;&lt;Q&gt;AYI-US^P_BETA_LOCIDX(45091,44915,,"SPX")&lt;/Q&gt;&lt;R&gt;1&lt;/R&gt;&lt;C&gt;1&lt;/C&gt;&lt;D xsi:type="xsd:double"&gt;1.048799&lt;/D&gt;&lt;/FQL&gt;&lt;FQL&gt;&lt;Q&gt;AYI-US^P_BETA_LOCIDX(45090,44914,,"SPX")&lt;/Q&gt;&lt;R&gt;1&lt;/R&gt;&lt;C&gt;1&lt;/C&gt;&lt;D xsi:type="xsd:double"&gt;1.0389189&lt;/D&gt;&lt;/FQL&gt;&lt;FQL&gt;&lt;Q&gt;AYI-US^P_BETA_LOCIDX(45089,44911,,"SPX")&lt;/Q&gt;&lt;R&gt;1&lt;/R&gt;&lt;C&gt;1&lt;/C&gt;&lt;D xsi:type="xsd:double"&gt;1.0676197&lt;/D&gt;&lt;/FQL&gt;&lt;FQL&gt;&lt;Q&gt;AYI-US^P_BETA_LOCIDX(45086,44910,,"SPX")&lt;/Q&gt;&lt;R&gt;1&lt;/R&gt;&lt;C&gt;1&lt;/C&gt;&lt;D xsi:type="xsd:double"&gt;1.0495455&lt;/D&gt;&lt;/FQL&gt;&lt;FQL&gt;&lt;Q&gt;AYI-US^P_BETA_LOCIDX(45085,44909,,"SPX")&lt;/Q&gt;&lt;R&gt;1&lt;/R&gt;&lt;C&gt;1&lt;/C&gt;&lt;D xsi:type="xsd:double"&gt;1.0530303&lt;/D&gt;&lt;/FQL&gt;&lt;FQL&gt;&lt;Q&gt;AYI-US^P_BETA_LOCIDX(45084,44908,,"SPX")&lt;/Q&gt;&lt;R&gt;1&lt;/R&gt;&lt;C&gt;1&lt;/C&gt;&lt;D xsi:type="xsd:double"&gt;1.0626187&lt;/D&gt;&lt;/FQL&gt;&lt;FQL&gt;&lt;Q&gt;AYI-US^P_BETA_LOCIDX(45083,44907,,"SPX")&lt;/Q&gt;&lt;R&gt;1&lt;/R&gt;&lt;C&gt;1&lt;/C&gt;&lt;D xsi:type="xsd:double"&gt;1.0818186&lt;/D&gt;&lt;/FQL&gt;&lt;FQL&gt;&lt;Q&gt;AYI-US^P_BETA_LOCIDX(45082,44904,,"SPX")&lt;/Q&gt;&lt;R&gt;1&lt;/R&gt;&lt;C&gt;1&lt;/C&gt;&lt;D xsi:type="xsd:double"&gt;1.0779058&lt;/D&gt;&lt;/FQL&gt;&lt;FQL&gt;&lt;Q&gt;AYI-US^P_BETA_LOCIDX(45079,44903,,"SPX")&lt;/Q&gt;&lt;R&gt;1&lt;/R&gt;&lt;C&gt;1&lt;/C&gt;&lt;D xsi:type="xsd:double"&gt;1.060215&lt;/D&gt;&lt;/FQL&gt;&lt;FQL&gt;&lt;Q&gt;AYI-US^P_BETA_LOCIDX(45078,44902,,"SPX")&lt;/Q&gt;&lt;R&gt;1&lt;/R&gt;&lt;C&gt;1&lt;/C&gt;&lt;D xsi:type="xsd:double"&gt;1.0190151&lt;/D&gt;&lt;/FQL&gt;&lt;FQL&gt;&lt;Q&gt;AYI-US^P_BETA_LOCIDX(45077,44901,,"SPX")&lt;/Q&gt;&lt;R&gt;1&lt;/R&gt;&lt;C&gt;1&lt;/C&gt;&lt;D xsi:type="xsd:double"&gt;0.99879867&lt;/D&gt;&lt;/FQL&gt;&lt;FQL&gt;&lt;Q&gt;AYI-US^P_BETA_LOCIDX(45076,44900,,"SPX")&lt;/Q&gt;&lt;R&gt;1&lt;/R&gt;&lt;C&gt;1&lt;/C&gt;&lt;D xsi:type="xsd:double"&gt;1.0264411&lt;/D&gt;&lt;/FQL&gt;&lt;FQL&gt;&lt;Q&gt;AYI-US^P_BETA_LOCIDX(45072,44897,,"SPX")&lt;/Q&gt;&lt;R&gt;1&lt;/R&gt;&lt;C&gt;1&lt;/C&gt;&lt;D xsi:type="xsd:double"&gt;1.0256077&lt;/D&gt;&lt;/FQL&gt;&lt;FQL&gt;&lt;Q&gt;AYI-US^P_BETA_LOCIDX(45071,44896,,"SPX")&lt;/Q&gt;&lt;R&gt;1&lt;/R&gt;&lt;C&gt;1&lt;/C&gt;&lt;D xsi:type="xsd:double"&gt;1.0301793&lt;/D&gt;&lt;/FQL&gt;&lt;FQL&gt;&lt;Q&gt;AYI-US^P_BETA_LOCIDX(45070,44895,,"SPX")&lt;/Q&gt;&lt;R&gt;1&lt;/R&gt;&lt;C&gt;1&lt;/C&gt;&lt;D xsi:type="xsd:double"&gt;0.96381056&lt;/D&gt;&lt;/FQL&gt;&lt;FQL&gt;&lt;Q&gt;AYI-US^P_BETA_LOCIDX(45069,44894,,"SPX")&lt;/Q&gt;&lt;R&gt;1&lt;/R&gt;&lt;C&gt;1&lt;/C&gt;&lt;D xsi:type="xsd:double"&gt;0.94995284&lt;/D&gt;&lt;/FQL&gt;&lt;FQL&gt;&lt;Q&gt;AYI-US^P_BETA_LOCIDX(45068,44893,,"SPX")&lt;/Q&gt;&lt;R&gt;1&lt;/R&gt;&lt;C&gt;1&lt;/C&gt;&lt;D xsi:type="xsd:double"&gt;0.96068376&lt;/D&gt;&lt;/FQL&gt;&lt;FQL&gt;&lt;Q&gt;AYI-US^P_BETA_LOCIDX(45065,44890,,"SPX")&lt;/Q&gt;&lt;R&gt;1&lt;/R&gt;&lt;C&gt;1&lt;/C&gt;&lt;D xsi:type="xsd:double"&gt;0.9605416&lt;/D&gt;&lt;/FQL&gt;&lt;FQL&gt;&lt;Q&gt;AYI-US^P_BETA_LOCIDX(45064,44888,,"SPX")&lt;/Q&gt;&lt;R&gt;1&lt;/R&gt;&lt;C&gt;1&lt;/C&gt;&lt;D xsi:type="xsd:double"&gt;0.9545503&lt;/D&gt;&lt;/FQL&gt;&lt;FQL&gt;&lt;Q&gt;AYI-US^P_BETA_LOCIDX(45063,44887,,"SPX")&lt;/Q&gt;&lt;R&gt;1&lt;/R&gt;&lt;C&gt;1&lt;/C&gt;&lt;D xsi:type="xsd:double"&gt;0.96518147&lt;/D&gt;&lt;/FQL&gt;&lt;FQL&gt;&lt;Q&gt;AYI-US^P_BETA_LOCIDX(45062,44886,,"SPX")&lt;/Q&gt;&lt;R&gt;1&lt;/R&gt;&lt;C&gt;1&lt;/C&gt;&lt;D xsi:type="xsd:double"&gt;0.9472393&lt;/D&gt;&lt;/FQL&gt;&lt;FQL&gt;&lt;Q&gt;AYI-US^P_BETA_LOCIDX(45061,44883,,"SPX")&lt;/Q&gt;&lt;R&gt;1&lt;/R&gt;&lt;C&gt;1&lt;/C&gt;&lt;D xsi:type="xsd:double"&gt;0.9452379&lt;/D&gt;&lt;/FQL&gt;&lt;FQL&gt;&lt;Q&gt;AYI-US^P_BETA_LOCIDX(45058,44882,,"SPX")&lt;/Q&gt;&lt;R&gt;1&lt;/R&gt;&lt;C&gt;1&lt;/C&gt;&lt;D xsi:type="xsd:double"&gt;0.9511581&lt;/D&gt;&lt;/FQL&gt;&lt;FQL&gt;&lt;Q&gt;AYI-US^P_BETA_LOCIDX(45057,44881,,"SPX")&lt;/Q&gt;&lt;R&gt;1&lt;/R&gt;&lt;C&gt;1&lt;/C&gt;&lt;D xsi:type="xsd:double"&gt;0.95588636&lt;/D&gt;&lt;/FQL&gt;&lt;FQL&gt;&lt;Q&gt;AYI-US^P_BETA_LOCIDX(45056,44880,,"SPX")&lt;/Q&gt;&lt;R&gt;1&lt;/R&gt;&lt;C&gt;1&lt;/C&gt;&lt;D xsi:type="xsd:double"&gt;0.9684956&lt;/D&gt;&lt;/FQL&gt;&lt;FQL&gt;&lt;Q&gt;AYI-US^P_BETA_LOCIDX(45055,44879,,"SPX")&lt;/Q&gt;&lt;R&gt;1&lt;/R&gt;&lt;C&gt;1&lt;/C&gt;&lt;D xsi:type="xsd:double"&gt;0.9790871&lt;/D&gt;&lt;/FQL&gt;&lt;FQL&gt;&lt;Q&gt;AYI-US^P_BETA_LOCIDX(45054,44876,,"SPX")&lt;/Q&gt;&lt;R&gt;1&lt;/R&gt;&lt;C&gt;1&lt;/C&gt;&lt;D xsi:type="xsd:double"&gt;0.95431995&lt;/D&gt;&lt;/FQL&gt;&lt;FQL&gt;&lt;Q&gt;AYI-US^P_BETA_LOCIDX(45051,44875,,"SPX")&lt;/Q&gt;&lt;R&gt;1&lt;/R&gt;&lt;C&gt;1&lt;/C&gt;&lt;D xsi:type="xsd:double"&gt;1.0011932&lt;/D&gt;&lt;/FQL&gt;&lt;FQL&gt;&lt;Q&gt;AYI-US^P_BETA_LOCIDX(45050,44874,,"SPX")&lt;/Q&gt;&lt;R&gt;1&lt;/R&gt;&lt;C&gt;1&lt;/C&gt;&lt;D xsi:type="xsd:double"&gt;0.9929488&lt;/D&gt;&lt;/FQL&gt;&lt;FQL&gt;&lt;Q&gt;AYI-US^P_BETA_LOCIDX(45049,44873,,"SPX")&lt;/Q&gt;&lt;R&gt;1&lt;/R&gt;&lt;C&gt;1&lt;/C&gt;&lt;D xsi:type="xsd:double"&gt;0.98361397&lt;/D&gt;&lt;/FQL&gt;&lt;FQL&gt;&lt;Q&gt;AYI-US^P_BETA_LOCIDX(45048,44872,,"SPX")&lt;/Q&gt;&lt;R&gt;1&lt;/R&gt;&lt;C&gt;1&lt;/C&gt;&lt;D xsi:type="xsd:double"&gt;1.0031475&lt;/D&gt;&lt;/FQL&gt;&lt;FQL&gt;&lt;Q&gt;AYI-US^P_BETA_LOCIDX(45047,44869,,"SPX")&lt;/Q&gt;&lt;R&gt;1&lt;/R&gt;&lt;C&gt;1&lt;/C&gt;&lt;D xsi:type="xsd:double"&gt;1.0176413&lt;/D&gt;&lt;/FQL&gt;&lt;FQL&gt;&lt;Q&gt;AYI-US^P_BETA_LOCIDX(45044,44868,,"SPX")&lt;/Q&gt;&lt;R&gt;1&lt;/R&gt;&lt;C&gt;1&lt;/C&gt;&lt;D xsi:type="xsd:double"&gt;1.0196391&lt;/D&gt;&lt;/FQL&gt;&lt;FQL&gt;&lt;Q&gt;AYI-US^P_BETA_LOCIDX(45043,44867,,"SPX")&lt;/Q&gt;&lt;R&gt;1&lt;/R&gt;&lt;C&gt;1&lt;/C&gt;&lt;D xsi:type="xsd:double"&gt;1.016724&lt;/D&gt;&lt;/FQL&gt;&lt;FQL&gt;&lt;Q&gt;AYI-US^P_BETA_LOCIDX(45042,44866,,"SPX")&lt;/Q&gt;&lt;R&gt;1&lt;/R&gt;&lt;C&gt;1&lt;/C&gt;&lt;D xsi:type="xsd:double"&gt;1.0205806&lt;/D&gt;&lt;/FQL&gt;&lt;FQL&gt;&lt;Q&gt;AYI-US^P_BETA_LOCIDX(45041,44865,,"SPX")&lt;/Q&gt;&lt;R&gt;1&lt;/R&gt;&lt;C&gt;1&lt;/C&gt;&lt;D xsi:type="xsd:double"&gt;1.0169058&lt;/D&gt;&lt;/FQL&gt;&lt;FQL&gt;&lt;Q&gt;AYI-US^P_BETA_LOCIDX(45040,44862,,"SPX")&lt;/Q&gt;&lt;R&gt;1&lt;/R&gt;&lt;C&gt;1&lt;/C&gt;&lt;D xsi:type="xsd:double"&gt;1.0064155&lt;/D&gt;&lt;/FQL&gt;&lt;FQL&gt;&lt;Q&gt;AYI-US^P_BETA_LOCIDX(45037,44861,,"SPX")&lt;/Q&gt;&lt;R&gt;1&lt;/R&gt;&lt;C&gt;1&lt;/C&gt;&lt;D xsi:type="xsd:double"&gt;1.0066452&lt;/D&gt;&lt;/FQL&gt;&lt;FQL&gt;&lt;Q&gt;AYI-US^P_BETA_LOCIDX(45036,44860,,"SPX")&lt;/Q&gt;&lt;R&gt;1&lt;/R&gt;&lt;C&gt;1&lt;/C&gt;&lt;D xsi:type="xsd:double"&gt;1.0100002&lt;/D&gt;&lt;/FQL&gt;&lt;FQL&gt;&lt;Q&gt;AYI-US^P_BETA_LOCIDX(45035,44859,,"SPX")&lt;/Q&gt;&lt;R&gt;1&lt;/R&gt;&lt;C&gt;1&lt;/C&gt;&lt;D xsi:type="xsd:double"&gt;1.0286342&lt;/D&gt;&lt;/FQL&gt;&lt;FQL&gt;&lt;Q&gt;AYI-US^P_BETA_LOCIDX(45034,44858,,"SPX")&lt;/Q&gt;&lt;R&gt;1&lt;/R&gt;&lt;C&gt;1&lt;/C&gt;&lt;D xsi:type="xsd:double"&gt;1.0355005&lt;/D&gt;&lt;/FQL&gt;&lt;FQL&gt;&lt;Q&gt;AYI-US^P_BETA_LOCIDX(45033,44855,,"SPX")&lt;/Q&gt;&lt;R&gt;1&lt;/R&gt;&lt;C&gt;1&lt;/C&gt;&lt;D xsi:type="xsd:double"&gt;1.0627122&lt;/D&gt;&lt;/FQL&gt;&lt;FQL&gt;&lt;Q&gt;AYI-US^P_BETA_LOCIDX(45030,44854,,"SPX")&lt;/Q&gt;&lt;R&gt;1&lt;/R&gt;&lt;C&gt;1&lt;/C&gt;&lt;D xsi:type="xsd:double"&gt;1.0712821&lt;/D&gt;&lt;/FQL&gt;&lt;FQL&gt;&lt;Q&gt;AYI-US^P_BETA_LOCIDX(45029,44853,,"SPX")&lt;/Q&gt;&lt;R&gt;1&lt;/R&gt;&lt;C&gt;1&lt;/C&gt;&lt;D xsi:type="xsd:double"&gt;1.0747929&lt;/D&gt;&lt;/FQL&gt;&lt;FQL&gt;&lt;Q&gt;AYI-US^P_BETA_LOCIDX(45028,44852,,"SPX")&lt;/Q&gt;&lt;R&gt;1&lt;/R&gt;&lt;C&gt;1&lt;/C&gt;&lt;D xsi:type="xsd:double"&gt;1.0934218&lt;/D&gt;&lt;/FQL&gt;&lt;FQL&gt;&lt;Q&gt;AYI-US^P_BETA_LOCIDX(45027,44851,,"SPX")&lt;/Q&gt;&lt;R&gt;1&lt;/R&gt;&lt;C&gt;1&lt;/C&gt;&lt;D xsi:type="xsd:double"&gt;1.1076528&lt;/D&gt;&lt;/FQL&gt;&lt;FQL&gt;&lt;Q&gt;AYI-US^P_BETA_LOCIDX(45026,44848,,"SPX")&lt;/Q&gt;&lt;R&gt;1&lt;/R&gt;&lt;C&gt;1&lt;/C&gt;&lt;D xsi:type="xsd:double"&gt;1.1194739&lt;/D&gt;&lt;/FQL&gt;&lt;FQL&gt;&lt;Q&gt;AYI-US^P_BETA_LOCIDX(45022,44847,,"SPX")&lt;/Q&gt;&lt;R&gt;1&lt;/R&gt;&lt;C&gt;1&lt;/C&gt;&lt;D xsi:type="xsd:double"&gt;1.1117952&lt;/D&gt;&lt;/FQL&gt;&lt;FQL&gt;&lt;Q&gt;AYI-US^P_BETA_LOCIDX(45021,44846,,"SPX")&lt;/Q&gt;&lt;R&gt;1&lt;/R&gt;&lt;C&gt;1&lt;/C&gt;&lt;D xsi:type="xsd:double"&gt;1.1115608&lt;/D&gt;&lt;/FQL&gt;&lt;FQL&gt;&lt;Q&gt;AYI-US^P_BETA_LOCIDX(45020,44845,,"SPX")&lt;/Q&gt;&lt;R&gt;1&lt;/R&gt;&lt;C&gt;1&lt;/C&gt;&lt;D xsi:type="xsd:double"&gt;1.0951384&lt;/D&gt;&lt;/FQL&gt;&lt;FQL&gt;&lt;Q&gt;AYI-US^P_BETA_LOCIDX(45019,44844,,"SPX")&lt;/Q&gt;&lt;R&gt;1&lt;/R&gt;&lt;C&gt;1&lt;/C&gt;&lt;D xsi:type="xsd:double"&gt;1.0441464&lt;/D&gt;&lt;/FQL&gt;&lt;FQL&gt;&lt;Q&gt;AYI-US^P_BETA_LOCIDX(45016,44841,,"SPX")&lt;/Q&gt;&lt;R&gt;1&lt;/R&gt;&lt;C&gt;1&lt;/C&gt;&lt;D xsi:type="xsd:double"&gt;1.0644447&lt;/D&gt;&lt;/FQL&gt;&lt;FQL&gt;&lt;Q&gt;AYI-US^P_BETA_LOCIDX(45015,44840,,"SPX")&lt;/Q&gt;&lt;R&gt;1&lt;/R&gt;&lt;C&gt;1&lt;/C&gt;&lt;D xsi:type="xsd:double"&gt;1.071517&lt;/D&gt;&lt;/FQL&gt;&lt;FQL&gt;&lt;Q&gt;AYI-US^P_BETA_LOCIDX(45014,44839,,"SPX")&lt;/Q&gt;&lt;R&gt;1&lt;/R&gt;&lt;C&gt;1&lt;/C&gt;&lt;D xsi:type="xsd:double"&gt;1.0687624&lt;/D&gt;&lt;/FQL&gt;&lt;FQL&gt;&lt;Q&gt;AYI-US^P_BETA_LOCIDX(45013,44838,,"SPX")&lt;/Q&gt;&lt;R&gt;1&lt;/R&gt;&lt;C&gt;1&lt;/C&gt;&lt;D xsi:type="xsd:double"&gt;1.0902474&lt;/D&gt;&lt;/FQL&gt;&lt;FQL&gt;&lt;Q&gt;AYI-US^P_BETA_LOCIDX(45012,44837,,"SPX")&lt;/Q&gt;&lt;R&gt;1&lt;/R&gt;&lt;C&gt;1&lt;/C&gt;&lt;D xsi:type="xsd:double"&gt;1.0749136&lt;/D&gt;&lt;/FQL&gt;&lt;FQL&gt;&lt;Q&gt;AYI-US^P_BETA_LOCIDX(45009,44834,,"SPX")&lt;/Q&gt;&lt;R&gt;1&lt;/R&gt;&lt;C&gt;1&lt;/C&gt;&lt;D xsi:type="xsd:double"&gt;1.0472461&lt;/D&gt;&lt;/FQL&gt;&lt;FQL&gt;&lt;Q&gt;AYI-US^P_BETA_LOCIDX(45008,44833,,"SPX")&lt;/Q&gt;&lt;R&gt;1&lt;/R&gt;&lt;C&gt;1&lt;/C&gt;&lt;D xsi:type="xsd:double"&gt;1.0548806&lt;/D&gt;&lt;/FQL&gt;&lt;FQL&gt;&lt;Q&gt;AYI-US^P_BETA_LOCIDX(45007,44832,,"SPX")&lt;/Q&gt;&lt;R&gt;1&lt;/R&gt;&lt;C&gt;1&lt;/C&gt;&lt;D xsi:type="xsd:double"&gt;1.0626794&lt;/D&gt;&lt;/FQL&gt;&lt;FQL&gt;&lt;Q&gt;AYI-US^P_BETA_LOCIDX(45006,44831,,"SPX")&lt;/Q&gt;&lt;R&gt;1&lt;/R&gt;&lt;C&gt;1&lt;/C&gt;&lt;D xsi:type="xsd:double"&gt;1.0554394&lt;/D&gt;&lt;/FQL&gt;&lt;FQL&gt;&lt;Q&gt;AYI-US^P_BETA_LOCIDX(45005,44830,,"SPX")&lt;/Q&gt;&lt;R&gt;1&lt;/R&gt;&lt;C&gt;1&lt;/C&gt;&lt;D xsi:type="xsd:double"&gt;1.0654393&lt;/D&gt;&lt;/FQL&gt;&lt;FQL&gt;&lt;Q&gt;AYI-US^P_BETA_LOCIDX(45002,44827,,"SPX")&lt;/Q&gt;&lt;R&gt;1&lt;/R&gt;&lt;C&gt;1&lt;/C&gt;&lt;D xsi:type="xsd:double"&gt;1.0524076&lt;/D&gt;&lt;/FQL&gt;&lt;FQL&gt;&lt;Q&gt;AYI-US^P_BETA_LOCIDX(45001,44826,,"SPX")&lt;/Q&gt;&lt;R&gt;1&lt;/R&gt;&lt;C&gt;1&lt;/C&gt;&lt;D xsi:type="xsd:double"&gt;1.0487775&lt;/D&gt;&lt;/FQL&gt;&lt;FQL&gt;&lt;Q&gt;AYI-US^P_BETA_LOCIDX(45000,44825,,"SPX")&lt;/Q&gt;&lt;R&gt;1&lt;/R&gt;&lt;C&gt;1&lt;/C&gt;&lt;D xsi:type="xsd:double"&gt;1.030382&lt;/D&gt;&lt;/FQL&gt;&lt;FQL&gt;&lt;Q&gt;AYI-US^P_BETA_LOCIDX(44999,44824,,"SPX")&lt;/Q&gt;&lt;R&gt;1&lt;/R&gt;&lt;C&gt;1&lt;/C&gt;&lt;D xsi:type="xsd:double"&gt;1.0194347&lt;/D&gt;&lt;/FQL&gt;&lt;FQL&gt;&lt;Q&gt;AYI-US^P_BETA_LOCIDX(44998,44823,,"SPX")&lt;/Q&gt;&lt;R&gt;1&lt;/R&gt;&lt;C&gt;1&lt;/C&gt;&lt;D xsi:type="xsd:double"&gt;1.0245436&lt;/D&gt;&lt;/FQL&gt;&lt;FQL&gt;&lt;Q&gt;AYI-US^P_BETA_LOCIDX(44995,44820,,"SPX")&lt;/Q&gt;&lt;R&gt;1&lt;/R&gt;&lt;C&gt;1&lt;/C&gt;&lt;D xsi:type="xsd:double"&gt;1.0302926&lt;/D&gt;&lt;/FQL&gt;&lt;FQL&gt;&lt;Q&gt;AYI-US^P_BETA_LOCIDX(44994,44819,,"SPX")&lt;/Q&gt;&lt;R&gt;1&lt;/R&gt;&lt;C&gt;1&lt;/C&gt;&lt;D xsi:type="xsd:double"&gt;1.0174001&lt;/D&gt;&lt;/FQL&gt;&lt;FQL&gt;&lt;Q&gt;AYI-US^P_BETA_LOCIDX(44993,44818,,"SPX")&lt;/Q&gt;&lt;R&gt;1&lt;/R&gt;&lt;C&gt;1&lt;/C&gt;&lt;D xsi:type="xsd:double"&gt;1.0220886&lt;/D&gt;&lt;/FQL&gt;&lt;FQL&gt;&lt;Q&gt;AYI-US^P_BETA_LOCIDX(44992,44817,,"SPX")&lt;/Q&gt;&lt;R&gt;1&lt;/R&gt;&lt;C&gt;1&lt;/C&gt;&lt;D xsi:type="xsd:double"&gt;1.0524843&lt;/D&gt;&lt;/FQL&gt;&lt;FQL&gt;&lt;Q&gt;AYI-US^P_BETA_LOCIDX(44991,44816,,"SPX")&lt;/Q&gt;&lt;R&gt;1&lt;/R&gt;&lt;C&gt;1&lt;/C&gt;&lt;D xsi:type="xsd:double"&gt;1.0665377&lt;/D&gt;&lt;/FQL&gt;&lt;FQL&gt;&lt;Q&gt;AYI-US^P_BETA_LOCIDX(44988,44813,,"SPX")&lt;/Q&gt;&lt;R&gt;1&lt;/R&gt;&lt;C&gt;1&lt;/C&gt;&lt;D xsi:type="xsd:double"&gt;1.0746711&lt;/D&gt;&lt;/FQL&gt;&lt;FQL&gt;&lt;Q&gt;AYI-US^P_BETA_LOCIDX(44987,44812,,"SPX")&lt;/Q&gt;&lt;R&gt;1&lt;/R&gt;&lt;C&gt;1&lt;/C&gt;&lt;D xsi:type="xsd:double"&gt;1.0805535&lt;/D&gt;&lt;/FQL&gt;&lt;FQL&gt;&lt;Q&gt;AYI-US^P_BETA_LOCIDX(44986,44811,,"SPX")&lt;/Q&gt;&lt;R&gt;1&lt;/R&gt;&lt;C&gt;1&lt;/C&gt;&lt;D xsi:type="xsd:double"&gt;1.0838295&lt;/D&gt;&lt;/FQL&gt;&lt;FQL&gt;&lt;Q&gt;AYI-US^P_BETA_LOCIDX(44985,44810,,"SPX")&lt;/Q&gt;&lt;R&gt;1&lt;/R&gt;&lt;C&gt;1&lt;/C&gt;&lt;D xsi:type="xsd:double"&gt;1.0829709&lt;/D&gt;&lt;/FQL&gt;&lt;FQL&gt;&lt;Q&gt;AYI-US^P_BETA_LOCIDX(44984,44806,,"SPX")&lt;/Q&gt;&lt;R&gt;1&lt;/R&gt;&lt;C&gt;1&lt;/C&gt;&lt;D xsi:type="xsd:double"&gt;1.0875567&lt;/D&gt;&lt;/FQL&gt;&lt;FQL&gt;&lt;Q&gt;AYI-US^P_BETA_LOCIDX(44981,44805,,"SPX")&lt;/Q&gt;&lt;R&gt;1&lt;/R&gt;&lt;C&gt;1&lt;/C&gt;&lt;D xsi:type="xsd:double"&gt;1.0858172&lt;/D&gt;&lt;/FQL&gt;&lt;FQL&gt;&lt;Q&gt;AYI-US^P_BETA_LOCIDX(44980,44804,,"SPX")&lt;/Q&gt;&lt;R&gt;1&lt;/R&gt;&lt;C&gt;1&lt;/C&gt;&lt;D xsi:type="xsd:double"&gt;1.0871543&lt;/D&gt;&lt;/FQL&gt;&lt;FQL&gt;&lt;Q&gt;AYI-US^P_BETA_LOCIDX(44979,44803,,"SPX")&lt;/Q&gt;&lt;R&gt;1&lt;/R&gt;&lt;C&gt;1&lt;/C&gt;&lt;D xsi:type="xsd:double"&gt;1.088067&lt;/D&gt;&lt;/FQL&gt;&lt;FQL&gt;&lt;Q&gt;AYI-US^P_BETA_LOCIDX(44978,44802,,"SPX")&lt;/Q&gt;&lt;R&gt;1&lt;/R&gt;&lt;C&gt;1&lt;/C&gt;&lt;D xsi:type="xsd:double"&gt;1.0911875&lt;/D&gt;&lt;/FQL&gt;&lt;FQL&gt;&lt;Q&gt;AYI-US^P_BETA_LOCIDX(44974,44799,,"SPX")&lt;/Q&gt;&lt;R&gt;1&lt;/R&gt;&lt;C&gt;1&lt;/C&gt;&lt;D xsi:type="xsd:double"&gt;1.108032&lt;/D&gt;&lt;/FQL&gt;&lt;FQL&gt;&lt;Q&gt;AYI-US^P_BETA_LOCIDX(44973,44798,,"SPX")&lt;/Q&gt;&lt;R&gt;1&lt;/R&gt;&lt;C&gt;1&lt;/C&gt;&lt;D xsi:type="xsd:double"&gt;1.1061293&lt;/D&gt;&lt;/FQL&gt;&lt;FQL&gt;&lt;Q&gt;AYI-US^P_BETA_LOCIDX(44972,44797,,"SPX")&lt;/Q&gt;&lt;R&gt;1&lt;/R&gt;&lt;C&gt;1&lt;/C&gt;&lt;D xsi:type="xsd:double"&gt;1.1134388&lt;/D&gt;&lt;/FQL&gt;&lt;FQL&gt;&lt;Q&gt;AYI-US^P_BETA_LOCIDX(44971,44796,,"SPX")&lt;/Q&gt;&lt;R&gt;1&lt;/R&gt;&lt;C&gt;1&lt;/C&gt;&lt;D xsi:type="xsd:double"&gt;1.1132758&lt;/D&gt;&lt;/FQL&gt;&lt;FQL&gt;&lt;Q&gt;AYI-US^P_BETA_LOCIDX(44970,44795,,"SPX")&lt;/Q&gt;&lt;R&gt;1&lt;/R&gt;&lt;C&gt;1&lt;/C&gt;&lt;D xsi:type="xsd:double"&gt;1.1192172&lt;/D&gt;&lt;/FQL&gt;&lt;FQL&gt;&lt;Q&gt;AYI-US^P_BETA_LOCIDX(44967,44792,,"SPX")&lt;/Q&gt;&lt;R&gt;1&lt;/R&gt;&lt;C&gt;1&lt;/C&gt;&lt;D xsi:type="xsd:double"&gt;1.1170218&lt;/D&gt;&lt;/FQL&gt;&lt;FQL&gt;&lt;Q&gt;AYI-US^P_BETA_LOCIDX(44966,44791,,"SPX")&lt;/Q&gt;&lt;R&gt;1&lt;/R&gt;&lt;C&gt;1&lt;/C&gt;&lt;D xsi:type="xsd:double"&gt;1.1168431&lt;/D&gt;&lt;/FQL&gt;&lt;FQL&gt;&lt;Q&gt;AYI-US^P_BETA_LOCIDX(44965,44790,,"SPX")&lt;/Q&gt;&lt;R&gt;1&lt;/R&gt;&lt;C&gt;1&lt;/C&gt;&lt;D xsi:type="xsd:double"&gt;1.1097887&lt;/D&gt;&lt;/FQL&gt;&lt;FQL&gt;&lt;Q&gt;AYI-US^P_BETA_LOCIDX(44964,44789,,"SPX")&lt;/Q&gt;&lt;R&gt;1&lt;/R&gt;&lt;C&gt;1&lt;/C&gt;&lt;D xsi:type="xsd:double"&gt;1.1085169&lt;/D&gt;&lt;/FQL&gt;&lt;FQL&gt;&lt;Q&gt;AYI-US^P_BETA_LOCIDX(44963,44788,,"SPX")&lt;/Q&gt;&lt;R&gt;1&lt;/R&gt;&lt;C&gt;1&lt;/C&gt;&lt;D xsi:type="xsd:double"&gt;1.1066242&lt;/D&gt;&lt;/FQL&gt;&lt;FQL&gt;&lt;Q&gt;AYI-US^P_BETA_LOCIDX(44960,44785,,"SPX")&lt;/Q&gt;&lt;R&gt;1&lt;/R&gt;&lt;C&gt;1&lt;/C&gt;&lt;D xsi:type="xsd:double"&gt;1.1008132&lt;/D&gt;&lt;/FQL&gt;&lt;FQL&gt;&lt;Q&gt;AYI-US^P_BETA_LOCIDX(44959,44784,,"SPX")&lt;/Q&gt;&lt;R&gt;1&lt;/R&gt;&lt;C&gt;1&lt;/C&gt;&lt;D xsi:type="xsd:double"&gt;1.1085352&lt;/D&gt;&lt;/FQL&gt;&lt;FQL&gt;&lt;Q&gt;AYI-US^P_BETA_LOCIDX(44958,44783,,"SPX")&lt;/Q&gt;&lt;R&gt;1&lt;/R&gt;&lt;C&gt;1&lt;/C&gt;&lt;D xsi:type="xsd:double"&gt;1.1311754&lt;/D&gt;&lt;/FQL&gt;&lt;FQL&gt;&lt;Q&gt;AYI-US^P_BETA_LOCIDX(44957,44782,,"SPX")&lt;/Q&gt;&lt;R&gt;1&lt;/R&gt;&lt;C&gt;1&lt;/C&gt;&lt;D xsi:type="xsd:double"&gt;1.1339121&lt;/D&gt;&lt;/FQL&gt;&lt;FQL&gt;&lt;Q&gt;AYI-US^P_BETA_LOCIDX(44956,44781,,"SPX")&lt;/Q&gt;&lt;R&gt;1&lt;/R&gt;&lt;C&gt;1&lt;/C&gt;&lt;D xsi:type="xsd:double"&gt;1.1327763&lt;/D&gt;&lt;/FQL&gt;&lt;FQL&gt;&lt;Q&gt;AYI-US^P_BETA_LOCIDX(44953,44778,,"SPX")&lt;/Q&gt;&lt;R&gt;1&lt;/R&gt;&lt;C&gt;1&lt;/C&gt;&lt;D xsi:type="xsd:double"&gt;1.1382391&lt;/D&gt;&lt;/FQL&gt;&lt;FQL&gt;&lt;Q&gt;AYI-US^P_BETA_LOCIDX(44952,44777,,"SPX")&lt;/Q&gt;&lt;R&gt;1&lt;/R&gt;&lt;C&gt;1&lt;/C&gt;&lt;D xsi:type="xsd:double"&gt;1.137022&lt;/D&gt;&lt;/FQL&gt;&lt;FQL&gt;&lt;Q&gt;AYI-US^P_BETA_LOCIDX(44951,44776,,"SPX")&lt;/Q&gt;&lt;R&gt;1&lt;/R&gt;&lt;C&gt;1&lt;/C&gt;&lt;D xsi:type="xsd:double"&gt;1.1246326&lt;/D&gt;&lt;/FQL&gt;&lt;FQL&gt;&lt;Q&gt;AYI-US^P_BETA_LOCIDX(44950,44775,,"SPX")&lt;/Q&gt;&lt;R&gt;1&lt;/R&gt;&lt;C&gt;1&lt;/C&gt;&lt;D xsi:type="xsd:double"&gt;1.129721&lt;/D&gt;&lt;/FQL&gt;&lt;FQL&gt;&lt;Q&gt;AYI-US^P_BETA_LOCIDX(44949,44774,,"SPX")&lt;/Q&gt;&lt;R&gt;1&lt;/R&gt;&lt;C&gt;1&lt;/C&gt;&lt;D xsi:type="xsd:double"&gt;1.1301218&lt;/D&gt;&lt;/FQL&gt;&lt;FQL&gt;&lt;Q&gt;AYI-US^P_BETA_LOCIDX(44946,44771,,"SPX")&lt;/Q&gt;&lt;R&gt;1&lt;/R&gt;&lt;C&gt;1&lt;/C&gt;&lt;D xsi:type="xsd:double"&gt;1.1392057&lt;/D&gt;&lt;/FQL&gt;&lt;FQL&gt;&lt;Q&gt;AYI-US^P_BETA_LOCIDX(44945,44770,,"SPX")&lt;/Q&gt;&lt;R&gt;1&lt;/R&gt;&lt;C&gt;1&lt;/C&gt;&lt;D xsi:type="xsd:double"&gt;1.1549041&lt;/D&gt;&lt;/FQL&gt;&lt;FQL&gt;&lt;Q&gt;AYI-US^P_BETA_LOCIDX(44944,44769,,"SPX")&lt;/Q&gt;&lt;R&gt;1&lt;/R&gt;&lt;C&gt;1&lt;/C&gt;&lt;D xsi:type="xsd:double"&gt;1.1100606&lt;/D&gt;&lt;/FQL&gt;&lt;FQL&gt;&lt;Q&gt;AYI-US^P_BETA_LOCIDX(44943,44768,,"SPX")&lt;/Q&gt;&lt;R&gt;1&lt;/R&gt;&lt;C&gt;1&lt;/C&gt;&lt;D xsi:type="xsd:double"&gt;1.116574&lt;/D&gt;&lt;/FQL&gt;&lt;FQL&gt;&lt;Q&gt;AYI-US^P_BETA_LOCIDX(44939,44767,,"SPX")&lt;/Q&gt;&lt;R&gt;1&lt;/R&gt;&lt;C&gt;1&lt;/C&gt;&lt;D xsi:type="xsd:double"&gt;1.1164411&lt;/D&gt;&lt;/FQL&gt;&lt;FQL&gt;&lt;Q&gt;AYI-US^P_BETA_LOCIDX(44938,44764,,"SPX")&lt;/Q&gt;&lt;R&gt;1&lt;/R&gt;&lt;C&gt;1&lt;/C&gt;&lt;D xsi:type="xsd:double"&gt;1.1131729&lt;/D&gt;&lt;/FQL&gt;&lt;FQL&gt;&lt;Q&gt;AYI-US^P_BETA_LOCIDX(44937,44763,,"SPX")&lt;/Q&gt;&lt;R&gt;1&lt;/R&gt;&lt;C&gt;1&lt;/C&gt;&lt;D xsi:type="xsd:double"&gt;1.114689&lt;/D&gt;&lt;/FQL&gt;&lt;FQL&gt;&lt;Q&gt;AYI-US^P_BETA_LOCIDX(44936,44762,,"SPX")&lt;/Q&gt;&lt;R&gt;1&lt;/R&gt;&lt;C&gt;1&lt;/C&gt;&lt;D xsi:type="xsd:double"&gt;1.1274985&lt;/D&gt;&lt;/FQL&gt;&lt;FQL&gt;&lt;Q&gt;AYI-US^P_BETA_LOCIDX(44935,44761,,"SPX")&lt;/Q&gt;&lt;R&gt;1&lt;/R&gt;&lt;C&gt;1&lt;/C&gt;&lt;D xsi:type="xsd:double"&gt;1.1472718&lt;/D&gt;&lt;/FQL&gt;&lt;FQL&gt;&lt;Q&gt;AYI-US^P_BETA_LOCIDX(44932,44760,,"SPX")&lt;/Q&gt;&lt;R&gt;1&lt;/R&gt;&lt;C&gt;1&lt;/C&gt;&lt;D xsi:type="xsd:double"&gt;1.1461197&lt;/D&gt;&lt;/FQL&gt;&lt;FQL&gt;&lt;Q&gt;AYI-US^P_BETA_LOCIDX(44931,44757,,"SPX")&lt;/Q&gt;&lt;R&gt;1&lt;/R&gt;&lt;C&gt;1&lt;/C&gt;&lt;D xsi:type="xsd:double"&gt;1.1546122&lt;/D&gt;&lt;/FQL&gt;&lt;FQL&gt;&lt;Q&gt;AYI-US^P_BETA_LOCIDX(44930,44756,,"SPX")&lt;/Q&gt;&lt;R&gt;1&lt;/R&gt;&lt;C&gt;1&lt;/C&gt;&lt;D xsi:type="xsd:double"&gt;1.1492264&lt;/D&gt;&lt;/FQL&gt;&lt;FQL&gt;&lt;Q&gt;AYI-US^P_BETA_LOCIDX(44929,44755,,"SPX")&lt;/Q&gt;&lt;R&gt;1&lt;/R&gt;&lt;C&gt;1&lt;/C&gt;&lt;D xsi:type="xsd:double"&gt;1.1456914&lt;/D&gt;&lt;/FQL&gt;&lt;FQL&gt;&lt;Q&gt;AYI-US^P_BETA_LOCIDX(44925,44754,,"SPX")&lt;/Q&gt;&lt;R&gt;1&lt;/R&gt;&lt;C&gt;1&lt;/C&gt;&lt;D xsi:type="xsd:double"&gt;1.1388658&lt;/D&gt;&lt;/FQL&gt;&lt;FQL&gt;&lt;Q&gt;AYI-US^P_BETA_LOCIDX(44924,44753,,"SPX")&lt;/Q&gt;&lt;R&gt;1&lt;/R&gt;&lt;C&gt;1&lt;/C&gt;&lt;D xsi:type="xsd:double"&gt;1.128873&lt;/D&gt;&lt;/FQL&gt;&lt;FQL&gt;&lt;Q&gt;AYI-US^P_BETA_LOCIDX(44923,44750,,"SPX")&lt;/Q&gt;&lt;R&gt;1&lt;/R&gt;&lt;C&gt;1&lt;/C&gt;&lt;D xsi:type="xsd:double"&gt;1.134489&lt;/D&gt;&lt;/FQL&gt;&lt;FQL&gt;&lt;Q&gt;AYI-US^P_BETA_LOCIDX(44922,44749,,"SPX")&lt;/Q&gt;&lt;R&gt;1&lt;/R&gt;&lt;C&gt;1&lt;/C&gt;&lt;D xsi:type="xsd:double"&gt;1.1292646&lt;/D&gt;&lt;/FQL&gt;&lt;FQL&gt;&lt;Q&gt;AYI-US^P_BETA_LOCIDX(44918,44748,,"SPX")&lt;/Q&gt;&lt;R&gt;1&lt;/R&gt;&lt;C&gt;1&lt;/C&gt;&lt;D xsi:type="xsd:double"&gt;1.1308566&lt;/D&gt;&lt;/FQL&gt;&lt;FQL&gt;&lt;Q&gt;AYI-US^P_BETA_LOCIDX(44917,44747,,"SPX")&lt;/Q&gt;&lt;R&gt;1&lt;/R&gt;&lt;C&gt;1&lt;/C&gt;&lt;D xsi:type="xsd:double"&gt;1.1305836&lt;/D&gt;&lt;/FQL&gt;&lt;FQL&gt;&lt;Q&gt;AYI-US^P_BETA_LOCIDX(44916,44743,,"SPX")&lt;/Q&gt;&lt;R&gt;1&lt;/R&gt;&lt;C&gt;1&lt;/C&gt;&lt;D xsi:type="xsd:double"&gt;1.1333029&lt;/D&gt;&lt;/FQL&gt;&lt;FQL&gt;&lt;Q&gt;AYI-US^P_BETA_LOCIDX(44915,44742,,"SPX")&lt;/Q&gt;&lt;R&gt;1&lt;/R&gt;&lt;C&gt;1&lt;/C&gt;&lt;D xsi:type="xsd:double"&gt;1.1359206&lt;/D&gt;&lt;/FQL&gt;&lt;FQL&gt;&lt;Q&gt;AYI-US^P_BETA_LOCIDX(44914,44741,,"SPX")&lt;/Q&gt;&lt;R&gt;1&lt;/R&gt;&lt;C&gt;1&lt;/C&gt;&lt;D xsi:type="xsd:double"&gt;1.135631&lt;/D&gt;&lt;/FQL&gt;&lt;FQL&gt;&lt;Q&gt;AYI-US^P_BETA_LOCIDX(44911,44740,,"SPX")&lt;/Q&gt;&lt;R&gt;1&lt;/R&gt;&lt;C&gt;1&lt;/C&gt;&lt;D xsi:type="xsd:double"&gt;1.1341139&lt;/D&gt;&lt;/FQL&gt;&lt;FQL&gt;&lt;Q&gt;AYI-US^P_BETA_LOCIDX(44910,44739,,"SPX")&lt;/Q&gt;&lt;R&gt;1&lt;/R&gt;&lt;C&gt;1&lt;/C&gt;&lt;D xsi:type="xsd:double"&gt;1.1172776&lt;/D&gt;&lt;/FQL&gt;&lt;FQL&gt;&lt;Q&gt;AYI-US^P_BETA_LOCIDX(44909,44736,,"SPX")&lt;/Q&gt;&lt;R&gt;1&lt;/R&gt;&lt;C&gt;1&lt;/C&gt;&lt;D xsi:type="xsd:double"&gt;1.1469351&lt;/D&gt;&lt;/FQL&gt;&lt;FQL&gt;&lt;Q&gt;AYI-US^P_BETA_LOCIDX(44908,44735,,"SPX")&lt;/Q&gt;&lt;R&gt;1&lt;/R&gt;&lt;C&gt;1&lt;/C&gt;&lt;D xsi:type="xsd:double"&gt;1.1223745&lt;/D&gt;&lt;/FQL&gt;&lt;FQL&gt;&lt;Q&gt;AYI-US^P_BETA_LOCIDX(44907,44734,,"SPX")&lt;/Q&gt;&lt;R&gt;1&lt;/R&gt;&lt;C&gt;1&lt;/C&gt;&lt;D xsi:type="xsd:double"&gt;1.1250207&lt;/D&gt;&lt;/FQL&gt;&lt;FQL&gt;&lt;Q&gt;AYI-US^P_BETA_LOCIDX(44904,44733,,"SPX")&lt;/Q&gt;&lt;R&gt;1&lt;/R&gt;&lt;C&gt;1&lt;/C&gt;&lt;D xsi:type="xsd:double"&gt;1.1085678&lt;/D&gt;&lt;/FQL&gt;&lt;FQL&gt;&lt;Q&gt;AYI-US^P_BETA_LOCIDX(44903,44729,,"SPX")&lt;/Q&gt;&lt;R&gt;1&lt;/R&gt;&lt;C&gt;1&lt;/C&gt;&lt;D xsi:type="xsd:double"&gt;1.1065404&lt;/D&gt;&lt;/FQL&gt;&lt;FQL&gt;&lt;Q&gt;AYI-US^P_BETA_LOCIDX(44902,44728,,"SPX")&lt;/Q&gt;&lt;R&gt;1&lt;/R&gt;&lt;C&gt;1&lt;/C&gt;&lt;D xsi:type="xsd:double"&gt;1.1472025&lt;/D&gt;&lt;/FQL&gt;&lt;FQL&gt;&lt;Q&gt;AYI-US^P_BETA_LOCIDX(44901,44727,,"SPX")&lt;/Q&gt;&lt;R&gt;1&lt;/R&gt;&lt;C&gt;1&lt;/C&gt;&lt;D xsi:type="xsd:double"&gt;1.1452669&lt;/D&gt;&lt;/FQL&gt;&lt;FQL&gt;&lt;Q&gt;AYI-US^P_BETA_LOCIDX(44900,44726,,"SPX")&lt;/Q&gt;&lt;R&gt;1&lt;/R&gt;&lt;C&gt;1&lt;/C&gt;&lt;D xsi:type="xsd:double"&gt;1.1497426&lt;/D&gt;&lt;/FQL&gt;&lt;FQL&gt;&lt;Q&gt;AYI-US^P_BETA_LOCIDX(44897,44725,,"SPX")&lt;/Q&gt;&lt;R&gt;1&lt;/R&gt;&lt;C&gt;1&lt;/C&gt;&lt;D xsi:type="xsd:double"&gt;1.1269855&lt;/D&gt;&lt;/FQL&gt;&lt;FQL&gt;&lt;Q&gt;AYI-US^P_BETA_LOCIDX(44896,44722,,"SPX")&lt;/Q&gt;&lt;R&gt;1&lt;/R&gt;&lt;C&gt;1&lt;/C&gt;&lt;D xsi:type="xsd:double"&gt;1.1234667&lt;/D&gt;&lt;/FQL&gt;&lt;FQL&gt;&lt;Q&gt;AYI-US^P_BETA_LOCIDX(44895,44721,,"SPX")&lt;/Q&gt;&lt;R&gt;1&lt;/R&gt;&lt;C&gt;1&lt;/C&gt;&lt;D xsi:type="xsd:double"&gt;1.1084703&lt;/D&gt;&lt;/FQL&gt;&lt;FQL&gt;&lt;Q&gt;AYI-US^P_BETA_LOCIDX(44894,44720,,"SPX")&lt;/Q&gt;&lt;R&gt;1&lt;/R&gt;&lt;C&gt;1&lt;/C&gt;&lt;D xsi:type="xsd:double"&gt;1.1507374&lt;/D&gt;&lt;/FQL&gt;&lt;FQL&gt;&lt;Q&gt;AYI-US^P_BETA_LOCIDX(44893,44719,,"SPX")&lt;/Q&gt;&lt;R&gt;1&lt;/R&gt;&lt;C&gt;1&lt;/C&gt;&lt;D xsi:type="xsd:double"&gt;1.1532657&lt;/D&gt;&lt;/FQL&gt;&lt;FQL&gt;&lt;Q&gt;AYI-US^P_BETA_LOCIDX(44890,44718,,"SPX")&lt;/Q&gt;&lt;R&gt;1&lt;/R&gt;&lt;C&gt;1&lt;/C&gt;&lt;D xsi:type="xsd:double"&gt;1.1532106&lt;/D&gt;&lt;/FQL&gt;&lt;FQL&gt;&lt;Q&gt;AYI-US^P_BETA_LOCIDX(44888,44715,,"SPX")&lt;/Q&gt;&lt;R&gt;1&lt;/R&gt;&lt;C&gt;1&lt;/C&gt;&lt;D xsi:type="xsd:double"&gt;1.1395429&lt;/D&gt;&lt;/FQL&gt;&lt;FQL&gt;&lt;Q&gt;AYI-US^P_BETA_LOCIDX(44887,44714,,"SPX")&lt;/Q&gt;&lt;R&gt;1&lt;/R&gt;&lt;C&gt;1&lt;/C&gt;&lt;D xsi:type="xsd:double"&gt;1.1431454&lt;/D&gt;&lt;/FQL&gt;&lt;FQL&gt;&lt;Q&gt;AYI-US^P_BETA_LOCIDX(44886,44713,,"SPX")&lt;/Q&gt;&lt;R&gt;1&lt;/R&gt;&lt;C&gt;1&lt;/C&gt;&lt;D xsi:type="xsd:double"&gt;1.1381888&lt;/D&gt;&lt;/FQL&gt;&lt;FQL&gt;&lt;Q&gt;AYI-US^P_BETA_LOCIDX(44883,44712,,"SPX")&lt;/Q&gt;&lt;R&gt;1&lt;/R&gt;&lt;C&gt;1&lt;/C&gt;&lt;D xsi:type="xsd:double"&gt;1.1414222&lt;/D&gt;&lt;/FQL&gt;&lt;FQL&gt;&lt;Q&gt;AYI-US^P_BETA_LOCIDX(44882,44708,,"SPX")&lt;/Q&gt;&lt;R&gt;1&lt;/R&gt;&lt;C&gt;1&lt;/C&gt;&lt;D xsi:type="xsd:double"&gt;1.1287727&lt;/D&gt;&lt;/FQL&gt;&lt;FQL&gt;&lt;Q&gt;AYI-US^P_BETA_LOCIDX(44881,44707,,"SPX")&lt;/Q&gt;&lt;R&gt;1&lt;/R&gt;&lt;C&gt;1&lt;/C&gt;&lt;D xsi:type="xsd:double"&gt;1.1344516&lt;/D&gt;&lt;/FQL&gt;&lt;FQL&gt;&lt;Q&gt;AYI-US^P_BETA_LOCIDX(44880,44706,,"SPX")&lt;/Q&gt;&lt;R&gt;1&lt;/R&gt;&lt;C&gt;1&lt;/C&gt;&lt;D xsi:type="xsd:double"&gt;1.1367288&lt;/D&gt;&lt;/FQL&gt;&lt;FQL&gt;&lt;Q&gt;AYI-US^P_BETA_LOCIDX(44879,44705,,"SPX")&lt;/Q&gt;&lt;R&gt;1&lt;/R&gt;&lt;C&gt;1&lt;/C&gt;&lt;D xsi:type="xsd:double"&gt;1.1324923&lt;/D&gt;&lt;/FQL&gt;&lt;FQL&gt;&lt;Q&gt;AYI-US^P_BETA_LOCIDX(44876,44704,,"SPX")&lt;/Q&gt;&lt;R&gt;1&lt;/R&gt;&lt;C&gt;1&lt;/C&gt;&lt;D xsi:type="xsd:double"&gt;1.1201065&lt;/D&gt;&lt;/FQL&gt;&lt;FQL&gt;&lt;Q&gt;AYI-US^P_BETA_LOCIDX(44875,44701,,"SPX")&lt;/Q&gt;&lt;R&gt;1&lt;/R&gt;&lt;C&gt;1&lt;/C&gt;&lt;D xsi:type="xsd:double"&gt;1.1318674&lt;/D&gt;&lt;/FQL&gt;&lt;FQL&gt;&lt;Q&gt;AYI-US^P_BETA_LOCIDX(44874,44700,,"SPX")&lt;/Q&gt;&lt;R&gt;1&lt;/R&gt;&lt;C&gt;1&lt;/C&gt;&lt;D xsi:type="xsd:double"&gt;1.1297227&lt;/D&gt;&lt;/FQL&gt;&lt;FQL&gt;&lt;Q&gt;AYI-US^P_BETA_LOCIDX(44873,44699,,"SPX")&lt;/Q&gt;&lt;R&gt;1&lt;/R&gt;&lt;C&gt;1&lt;/C&gt;&lt;D xsi:type="xsd:double"&gt;1.1028554&lt;/D&gt;&lt;/FQL&gt;&lt;FQL&gt;&lt;Q&gt;AYI-US^P_BETA_LOCIDX(44872,44698,,"SPX")&lt;/Q&gt;&lt;R&gt;1&lt;/R&gt;&lt;C&gt;1&lt;/C&gt;&lt;D xsi:type="xsd:double"&gt;1.108084&lt;/D&gt;&lt;/FQL&gt;&lt;FQL&gt;&lt;Q&gt;AYI-US^P_BETA_LOCIDX(44869,44697,,"SPX")&lt;/Q&gt;&lt;R&gt;1&lt;/R&gt;&lt;C&gt;1&lt;/C&gt;&lt;D xsi:type="xsd:double"&gt;1.1032529&lt;/D&gt;&lt;/FQL&gt;&lt;FQL&gt;&lt;Q&gt;AYI-US^P_BETA_LOCIDX(44868,44694,,"SPX")&lt;/Q&gt;&lt;R&gt;1&lt;/R&gt;&lt;C&gt;1&lt;/C&gt;&lt;D xsi:type="xsd:double"&gt;1.0839351&lt;/D&gt;&lt;/FQL&gt;&lt;FQL&gt;&lt;Q&gt;AYI-US^P_BETA_LOCIDX(44867,44693,,"SPX")&lt;/Q&gt;&lt;R&gt;1&lt;/R&gt;&lt;C&gt;1&lt;/C&gt;&lt;D xsi:type="xsd:double"&gt;1.0814861&lt;/D&gt;&lt;/FQL&gt;&lt;FQL&gt;&lt;Q&gt;AYI-US^P_BETA_LOCIDX(44866,44692,,"SPX")&lt;/Q&gt;&lt;R&gt;1&lt;/R&gt;&lt;C&gt;1&lt;/C&gt;&lt;D xsi:type="xsd:double"&gt;1.0796165&lt;/D&gt;&lt;/FQL&gt;&lt;FQL&gt;&lt;Q&gt;AYI-US^P_BETA_LOCIDX(44865,44691,,"SPX")&lt;/Q&gt;&lt;R&gt;1&lt;/R&gt;&lt;C&gt;1&lt;/C&gt;&lt;D xsi:type="xsd:double"&gt;1.0795629&lt;/D&gt;&lt;/FQL&gt;&lt;FQL&gt;&lt;Q&gt;AYI-US^P_BETA_LOCIDX(44862,44690,,"SPX")&lt;/Q&gt;&lt;R&gt;1&lt;/R&gt;&lt;C&gt;1&lt;/C&gt;&lt;D xsi:type="xsd:double"&gt;1.0528953&lt;/D&gt;&lt;/FQL&gt;&lt;FQL&gt;&lt;Q&gt;AYI-US^P_BETA_LOCIDX(44861,44687,,"SPX")&lt;/Q&gt;&lt;R&gt;1&lt;/R&gt;&lt;C&gt;1&lt;/C&gt;&lt;D xsi:type="xsd:double"&gt;1.0635712&lt;/D&gt;&lt;/FQL&gt;&lt;FQL&gt;&lt;Q&gt;AYI-US^P_BETA_LOCIDX(44860,44686,,"SPX")&lt;/Q&gt;&lt;R&gt;1&lt;/R&gt;&lt;C&gt;1&lt;/C&gt;&lt;D xsi:type="xsd:double"&gt;1.0553348&lt;/D&gt;&lt;/FQL&gt;&lt;FQL&gt;&lt;Q&gt;AYI-US^P_BETA_LOCIDX(44859,44685,,"SPX")&lt;/Q&gt;&lt;R&gt;1&lt;/R&gt;&lt;C&gt;1&lt;/C&gt;&lt;D xsi:type="xsd:double"&gt;1.0461928&lt;/D&gt;&lt;/FQL&gt;&lt;FQL&gt;&lt;Q&gt;AYI-US^P_BETA_LOCIDX(44858,44684,,"SPX")&lt;/Q&gt;&lt;R&gt;1&lt;/R&gt;&lt;C&gt;1&lt;/C&gt;&lt;D xsi:type="xsd:double"&gt;1.0341772&lt;/D&gt;&lt;/FQL&gt;&lt;FQL&gt;&lt;Q&gt;AYI-US^P_BETA_LOCIDX(44855,44683,,"SPX")&lt;/Q&gt;&lt;R&gt;1&lt;/R&gt;&lt;C&gt;1&lt;/C&gt;&lt;D xsi:type="xsd:double"&gt;1.0303395&lt;/D&gt;&lt;/FQL&gt;&lt;FQL&gt;&lt;Q&gt;AYI-US^P_BETA_LOCIDX(44854,44680,,"SPX")&lt;/Q&gt;&lt;R&gt;1&lt;/R&gt;&lt;C&gt;1&lt;/C&gt;&lt;D xsi:type="xsd:double"&gt;1.0096056&lt;/D&gt;&lt;/FQL&gt;&lt;FQL&gt;&lt;Q&gt;AYI-US^P_BETA_LOCIDX(44853,44679,,"SPX")&lt;/Q&gt;&lt;R&gt;1&lt;/R&gt;&lt;C&gt;1&lt;/C&gt;&lt;D xsi:type="xsd:double"&gt;1.0043497&lt;/D&gt;&lt;/FQL&gt;&lt;FQL&gt;&lt;Q&gt;AYI-US^P_BETA_LOCIDX(44852,44678,,"SPX")&lt;/Q&gt;&lt;R&gt;1&lt;/R&gt;&lt;C&gt;1&lt;/C&gt;&lt;D xsi:type="xsd:double"&gt;1.0004505&lt;/D&gt;&lt;/FQL&gt;&lt;FQL&gt;&lt;Q&gt;AYI-US^P_BETA_LOCIDX(44851,44677,,"SPX")&lt;/Q&gt;&lt;R&gt;1&lt;/R&gt;&lt;C&gt;1&lt;/C&gt;&lt;D xsi:type="xsd:double"&gt;0.979618&lt;/D&gt;&lt;/FQL&gt;&lt;FQL&gt;&lt;Q&gt;AYI-US^P_BETA_LOCIDX(44848,44676,,"SPX")&lt;/Q&gt;&lt;R&gt;1&lt;/R&gt;&lt;C&gt;1&lt;/C&gt;&lt;D xsi:type="xsd:double"&gt;0.97427285&lt;/D&gt;&lt;/FQL&gt;&lt;FQL&gt;&lt;Q&gt;AYI-US^P_BETA_LOCIDX(44847,44673,,"SPX")&lt;/Q&gt;&lt;R&gt;1&lt;/R&gt;&lt;C&gt;1&lt;/C&gt;&lt;D xsi:type="xsd:double"&gt;0.970541&lt;/D&gt;&lt;/FQL&gt;&lt;FQL&gt;&lt;Q&gt;AYI-US^P_BETA_LOCIDX(44846,44672,,"SPX")&lt;/Q&gt;&lt;R&gt;1&lt;/R&gt;&lt;C&gt;1&lt;/C&gt;&lt;D xsi:type="xsd:double"&gt;0.97146577&lt;/D&gt;&lt;/FQL&gt;&lt;FQL&gt;&lt;Q&gt;AYI-US^P_BETA_LOCIDX(44845,44671,,"SPX")&lt;/Q&gt;&lt;R&gt;1&lt;/R&gt;&lt;C&gt;1&lt;/C&gt;&lt;D xsi:type="xsd:double"&gt;0.9726731&lt;/D&gt;&lt;/FQL&gt;&lt;FQL&gt;&lt;Q&gt;AYI-US^P_BETA_LOCIDX(44844,44670,,"SPX")&lt;/Q&gt;&lt;R&gt;1&lt;/R&gt;&lt;C&gt;1&lt;/C&gt;&lt;D xsi:type="xsd:double"&gt;0.9844216&lt;/D&gt;&lt;/FQL&gt;&lt;FQL&gt;&lt;Q&gt;AYI-US^P_BETA_LOCIDX(44841,44669,,"SPX")&lt;/Q&gt;&lt;R&gt;1&lt;/R&gt;&lt;C&gt;1&lt;/C&gt;&lt;D xsi:type="xsd:double"&gt;0.9906068&lt;/D&gt;&lt;/FQL&gt;&lt;FQL&gt;&lt;Q&gt;AYI-US^P_BETA_LOCIDX(44840,44665,,"SPX")&lt;/Q&gt;&lt;R&gt;1&lt;/R&gt;&lt;C&gt;1&lt;/C&gt;&lt;D xsi:type="xsd:double"&gt;0.97719467&lt;/D&gt;&lt;/FQL&gt;&lt;FQL&gt;&lt;Q&gt;AYI-US^P_BETA_LOCIDX(44839,44664,,"SPX")&lt;/Q&gt;&lt;R&gt;1&lt;/R&gt;&lt;C&gt;1&lt;/C&gt;&lt;D xsi:type="xsd:double"&gt;0.97628856&lt;/D&gt;&lt;/FQL&gt;&lt;FQL&gt;&lt;Q&gt;AYI-US^P_BETA_LOCIDX(44838,44663,,"SPX")&lt;/Q&gt;&lt;R&gt;1&lt;/R&gt;&lt;C&gt;1&lt;/C&gt;&lt;D xsi:type="xsd:double"&gt;0.9763544&lt;/D&gt;&lt;/FQL&gt;&lt;FQL&gt;&lt;Q&gt;AYI-US^P_BETA_LOCIDX(44837,44662,,"SPX")&lt;/Q&gt;&lt;R&gt;1&lt;/R&gt;&lt;C&gt;1&lt;/C&gt;&lt;D xsi:type="xsd:double"&gt;0.95134044&lt;/D&gt;&lt;/FQL&gt;&lt;FQL&gt;&lt;Q&gt;AYI-US^P_BETA_LOCIDX(44834,44659,,"SPX")&lt;/Q&gt;&lt;R&gt;1&lt;/R&gt;&lt;C&gt;1&lt;/C&gt;&lt;D xsi:type="xsd:double"&gt;0.9615707&lt;/D&gt;&lt;/FQL&gt;&lt;FQL&gt;&lt;Q&gt;AYI-US^P_BETA_LOCIDX(44833,44658,,"SPX")&lt;/Q&gt;&lt;R&gt;1&lt;/R&gt;&lt;C&gt;1&lt;/C&gt;&lt;D xsi:type="xsd:double"&gt;0.97280097&lt;/D&gt;&lt;/FQL&gt;&lt;FQL&gt;&lt;Q&gt;AYI-US^P_BETA_LOCIDX(44832,44657,,"SPX")&lt;/Q&gt;&lt;R&gt;1&lt;/R&gt;&lt;C&gt;1&lt;/C&gt;&lt;D xsi:type="xsd:double"&gt;0.97208536&lt;/D&gt;&lt;/FQL&gt;&lt;FQL&gt;&lt;Q&gt;AYI-US^P_BETA_LOCIDX(44831,44656,,"SPX")&lt;/Q&gt;&lt;R&gt;1&lt;/R&gt;&lt;C&gt;1&lt;/C&gt;&lt;D xsi:type="xsd:double"&gt;0.9921694&lt;/D&gt;&lt;/FQL&gt;&lt;FQL&gt;&lt;Q&gt;AYI-US^P_BETA_LOCIDX(44830,44655,,"SPX")&lt;/Q&gt;&lt;R&gt;1&lt;/R&gt;&lt;C&gt;1&lt;/C&gt;&lt;D xsi:type="xsd:double"&gt;0.9787301&lt;/D&gt;&lt;/FQL&gt;&lt;FQL&gt;&lt;Q&gt;AYI-US^P_BETA_LOCIDX(44827,44652,,"SPX")&lt;/Q&gt;&lt;R&gt;1&lt;/R&gt;&lt;C&gt;1&lt;/C&gt;&lt;D xsi:type="xsd:double"&gt;0.9812849&lt;/D&gt;&lt;/FQL&gt;&lt;FQL&gt;&lt;Q&gt;AYI-US^P_BETA_LOCIDX(44826,44651,,"SPX")&lt;/Q&gt;&lt;R&gt;1&lt;/R&gt;&lt;C&gt;1&lt;/C&gt;&lt;D xsi:type="xsd:double"&gt;0.99268806&lt;/D&gt;&lt;/FQL&gt;&lt;FQL&gt;&lt;Q&gt;AYI-US^P_BETA_LOCIDX(44825,44650,,"SPX")&lt;/Q&gt;&lt;R&gt;1&lt;/R&gt;&lt;C&gt;1&lt;/C&gt;&lt;D xsi:type="xsd:double"&gt;0.988726&lt;/D&gt;&lt;/FQL&gt;&lt;FQL&gt;&lt;Q&gt;AYI-US^P_BETA_LOCIDX(44824,44649,,"SPX")&lt;/Q&gt;&lt;R&gt;1&lt;/R&gt;&lt;C&gt;1&lt;/C&gt;&lt;D xsi:type="xsd:double"&gt;1.0011845&lt;/D&gt;&lt;/FQL&gt;&lt;FQL&gt;&lt;Q&gt;AYI-US^P_BETA_LOCIDX(44823,44648,,"SPX")&lt;/Q&gt;&lt;R&gt;1&lt;/R&gt;&lt;C&gt;1&lt;/C&gt;&lt;D xsi:type="xsd:double"&gt;1.0000538&lt;/D&gt;&lt;/FQL&gt;&lt;FQL&gt;&lt;Q&gt;AYI-US^P_BETA_LOCIDX(44820,44645,,"SPX")&lt;/Q&gt;&lt;R&gt;1&lt;/R&gt;&lt;C&gt;1&lt;/C&gt;&lt;D xsi:type="xsd:double"&gt;0.9926139&lt;/D&gt;&lt;/FQL&gt;&lt;FQL&gt;&lt;Q&gt;AYI-US^P_BETA_LOCIDX(44819,44644,,"SPX")&lt;/Q&gt;&lt;R&gt;1&lt;/R&gt;&lt;C&gt;1&lt;/C&gt;&lt;D xsi:type="xsd:double"&gt;0.9847265&lt;/D&gt;&lt;/FQL&gt;&lt;FQL&gt;&lt;Q&gt;AYI-US^P_BETA_LOCIDX(44818,44643,,"SPX")&lt;/Q&gt;&lt;R&gt;1&lt;/R&gt;&lt;C&gt;1&lt;/C&gt;&lt;D xsi:type="xsd:double"&gt;0.9845614&lt;/D&gt;&lt;/FQL&gt;&lt;FQL&gt;&lt;Q&gt;AYI-US^P_BETA_LOCIDX(44817,44642,,"SPX")&lt;/Q&gt;&lt;R&gt;1&lt;/R&gt;&lt;C&gt;1&lt;/C&gt;&lt;D xsi:type="xsd:double"&gt;0.976853&lt;/D&gt;&lt;/FQL&gt;&lt;FQL&gt;&lt;Q&gt;AYI-US^P_BETA_LOCIDX(44816,44641,,"SPX")&lt;/Q&gt;&lt;R&gt;1&lt;/R&gt;&lt;C&gt;1&lt;/C&gt;&lt;D xsi:type="xsd:double"&gt;0.9502505&lt;/D&gt;&lt;/FQL&gt;&lt;FQL&gt;&lt;Q&gt;AYI-US^P_BETA_LOCIDX(44813,44638,,"SPX")&lt;/Q&gt;&lt;R&gt;1&lt;/R&gt;&lt;C&gt;1&lt;/C&gt;&lt;D xsi:type="xsd:double"&gt;0.93987834&lt;/D&gt;&lt;/FQL&gt;&lt;FQL&gt;&lt;Q&gt;AYI-US^P_BETA_LOCIDX(44812,44637,,"SPX")&lt;/Q&gt;&lt;R&gt;1&lt;/R&gt;&lt;C&gt;1&lt;/C&gt;&lt;D xsi:type="xsd:double"&gt;0.94088376&lt;/D&gt;&lt;/FQL&gt;&lt;FQL&gt;&lt;Q&gt;AYI-US^P_BETA_LOCIDX(44811,44636,,"SPX")&lt;/Q&gt;&lt;R&gt;1&lt;/R&gt;&lt;C&gt;1&lt;/C&gt;&lt;D xsi:type="xsd:double"&gt;0.9442945&lt;/D&gt;&lt;/FQL&gt;&lt;FQL&gt;&lt;Q&gt;AYI-US^P_BETA_LOCIDX(44810,44635,,"SPX")&lt;/Q&gt;&lt;R&gt;1&lt;/R&gt;&lt;C&gt;1&lt;/C&gt;&lt;D xsi:type="xsd:double"&gt;0.9351565&lt;/D&gt;&lt;/FQL&gt;&lt;FQL&gt;&lt;Q&gt;AYI-US^P_BETA_LOCIDX(44806,44634,,"SPX")&lt;/Q&gt;&lt;R&gt;1&lt;/R&gt;&lt;C&gt;1&lt;/C&gt;&lt;D xsi:type="xsd:double"&gt;0.933189&lt;/D&gt;&lt;/FQL&gt;&lt;FQL&gt;&lt;Q&gt;AYI-US^P_BETA_LOCIDX(44805,44631,,"SPX")&lt;/Q&gt;&lt;R&gt;1&lt;/R&gt;&lt;C&gt;1&lt;/C&gt;&lt;D xsi:type="xsd:double"&gt;0.9327738&lt;/D&gt;&lt;/FQL&gt;&lt;FQL&gt;&lt;Q&gt;AYI-US^P_BETA_LOCIDX(44804,44630,,"SPX")&lt;/Q&gt;&lt;R&gt;1&lt;/R&gt;&lt;C&gt;1&lt;/C&gt;&lt;D xsi:type="xsd:double"&gt;0.9357425&lt;/D&gt;&lt;/FQL&gt;&lt;FQL&gt;&lt;Q&gt;AYI-US^P_BETA_LOCIDX(44803,44629,,"SPX")&lt;/Q&gt;&lt;R&gt;1&lt;/R&gt;&lt;C&gt;1&lt;/C&gt;&lt;D xsi:type="xsd:double"&gt;0.9373068&lt;/D&gt;&lt;/FQL&gt;&lt;FQL&gt;&lt;Q&gt;AYI-US^P_BETA_LOCIDX(44802,44628,,"SPX")&lt;/Q&gt;&lt;R&gt;1&lt;/R&gt;&lt;C&gt;1&lt;/C&gt;&lt;D xsi:type="xsd:double"&gt;0.93297577&lt;/D&gt;&lt;/FQL&gt;&lt;FQL&gt;&lt;Q&gt;AYI-US^P_BETA_LOCIDX(44799,44627,,"SPX")&lt;/Q&gt;&lt;R&gt;1&lt;/R&gt;&lt;C&gt;1&lt;/C&gt;&lt;D xsi:type="xsd:double"&gt;0.9170094&lt;/D&gt;&lt;/FQL&gt;&lt;FQL&gt;&lt;Q&gt;AYI-US^P_BETA_LOCIDX(44798,44624,,"SPX")&lt;/Q&gt;&lt;R&gt;1&lt;/R&gt;&lt;C&gt;1&lt;/C&gt;&lt;D xsi:type="xsd:double"&gt;0.8920359&lt;/D&gt;&lt;/FQL&gt;&lt;FQL&gt;&lt;Q&gt;AYI-US^P_BETA_LOCIDX(44797,44623,,"SPX")&lt;/Q&gt;&lt;R&gt;1&lt;/R&gt;&lt;C&gt;1&lt;/C&gt;&lt;D xsi:type="xsd:double"&gt;0.89680433&lt;/D&gt;&lt;/FQL&gt;&lt;FQL&gt;&lt;Q&gt;AYI-US^P_BETA_LOCIDX(44796,44622,,"SPX")&lt;/Q&gt;&lt;R&gt;1&lt;/R&gt;&lt;C&gt;1&lt;/C&gt;&lt;D xsi:type="xsd:double"&gt;0.9086262&lt;/D&gt;&lt;/FQL&gt;&lt;FQL&gt;&lt;Q&gt;AYI-US^P_BETA_LOCIDX(44795,44621,,"SPX")&lt;/Q&gt;&lt;R&gt;1&lt;/R&gt;&lt;C&gt;1&lt;/C&gt;&lt;D xsi:type="xsd:double"&gt;0.90056384&lt;/D&gt;&lt;/FQL&gt;&lt;FQL&gt;&lt;Q&gt;AYI-US^P_BETA_LOCIDX(4479</t>
        </r>
      </text>
    </comment>
    <comment ref="A16" authorId="0" shapeId="0" xr:uid="{1A247E2E-4B6F-47FC-B510-5F2CA2FC9D89}">
      <text>
        <r>
          <rPr>
            <b/>
            <sz val="9"/>
            <color indexed="81"/>
            <rFont val="Tahoma"/>
            <family val="2"/>
          </rPr>
          <t>2,44620,,"SPX")&lt;/Q&gt;&lt;R&gt;1&lt;/R&gt;&lt;C&gt;1&lt;/C&gt;&lt;D xsi:type="xsd:double"&gt;0.89247096&lt;/D&gt;&lt;/FQL&gt;&lt;FQL&gt;&lt;Q&gt;AYI-US^P_BETA_LOCIDX(44791,44617,,"SPX")&lt;/Q&gt;&lt;R&gt;1&lt;/R&gt;&lt;C&gt;1&lt;/C&gt;&lt;D xsi:type="xsd:double"&gt;0.9019908&lt;/D&gt;&lt;/FQL&gt;&lt;FQL&gt;&lt;Q&gt;AYI-US^P_BETA_LOCIDX(44790,44616,,"SPX")&lt;/Q&gt;&lt;R&gt;1&lt;/R&gt;&lt;C&gt;1&lt;/C&gt;&lt;D xsi:type="xsd:double"&gt;0.9097966&lt;/D&gt;&lt;/FQL&gt;&lt;FQL&gt;&lt;Q&gt;AYI-US^P_BETA_LOCIDX(44789,44615,,"SPX")&lt;/Q&gt;&lt;R&gt;1&lt;/R&gt;&lt;C&gt;1&lt;/C&gt;&lt;D xsi:type="xsd:double"&gt;0.9204441&lt;/D&gt;&lt;/FQL&gt;&lt;FQL&gt;&lt;Q&gt;AYI-US^P_BETA_LOCIDX(44788,44614,,"SPX")&lt;/Q&gt;&lt;R&gt;1&lt;/R&gt;&lt;C&gt;1&lt;/C&gt;&lt;D xsi:type="xsd:double"&gt;0.9233617&lt;/D&gt;&lt;/FQL&gt;&lt;FQL&gt;&lt;Q&gt;AYI-US^P_BETA_LOCIDX(44785,44610,,"SPX")&lt;/Q&gt;&lt;R&gt;1&lt;/R&gt;&lt;C&gt;1&lt;/C&gt;&lt;D xsi:type="xsd:double"&gt;0.922196&lt;/D&gt;&lt;/FQL&gt;&lt;FQL&gt;&lt;Q&gt;AYI-US^P_BETA_LOCIDX(44784,44609,,"SPX")&lt;/Q&gt;&lt;R&gt;1&lt;/R&gt;&lt;C&gt;1&lt;/C&gt;&lt;D xsi:type="xsd:double"&gt;0.9342525&lt;/D&gt;&lt;/FQL&gt;&lt;FQL&gt;&lt;Q&gt;AYI-US^P_BETA_LOCIDX(44783,44608,,"SPX")&lt;/Q&gt;&lt;R&gt;1&lt;/R&gt;&lt;C&gt;1&lt;/C&gt;&lt;D xsi:type="xsd:double"&gt;0.93450516&lt;/D&gt;&lt;/FQL&gt;&lt;FQL&gt;&lt;Q&gt;AYI-US^P_BETA_LOCIDX(44782,44607,,"SPX")&lt;/Q&gt;&lt;R&gt;1&lt;/R&gt;&lt;C&gt;1&lt;/C&gt;&lt;D xsi:type="xsd:double"&gt;0.9243832&lt;/D&gt;&lt;/FQL&gt;&lt;FQL&gt;&lt;Q&gt;AYI-US^P_BETA_LOCIDX(44781,44606,,"SPX")&lt;/Q&gt;&lt;R&gt;1&lt;/R&gt;&lt;C&gt;1&lt;/C&gt;&lt;D xsi:type="xsd:double"&gt;0.9197675&lt;/D&gt;&lt;/FQL&gt;&lt;FQL&gt;&lt;Q&gt;AYI-US^P_BETA_LOCIDX(44778,44603,,"SPX")&lt;/Q&gt;&lt;R&gt;1&lt;/R&gt;&lt;C&gt;1&lt;/C&gt;&lt;D xsi:type="xsd:double"&gt;0.9273239&lt;/D&gt;&lt;/FQL&gt;&lt;FQL&gt;&lt;Q&gt;AYI-US^P_BETA_LOCIDX(44777,44602,,"SPX")&lt;/Q&gt;&lt;R&gt;1&lt;/R&gt;&lt;C&gt;1&lt;/C&gt;&lt;D xsi:type="xsd:double"&gt;0.930931&lt;/D&gt;&lt;/FQL&gt;&lt;FQL&gt;&lt;Q&gt;AYI-US^P_BETA_LOCIDX(44776,44601,,"SPX")&lt;/Q&gt;&lt;R&gt;1&lt;/R&gt;&lt;C&gt;1&lt;/C&gt;&lt;D xsi:type="xsd:double"&gt;0.9325663&lt;/D&gt;&lt;/FQL&gt;&lt;FQL&gt;&lt;Q&gt;AYI-US^P_BETA_LOCIDX(44775,44600,,"SPX")&lt;/Q&gt;&lt;R&gt;1&lt;/R&gt;&lt;C&gt;1&lt;/C&gt;&lt;D xsi:type="xsd:double"&gt;0.9433804&lt;/D&gt;&lt;/FQL&gt;&lt;FQL&gt;&lt;Q&gt;AYI-US^P_BETA_LOCIDX(44774,44599,,"SPX")&lt;/Q&gt;&lt;R&gt;1&lt;/R&gt;&lt;C&gt;1&lt;/C&gt;&lt;D xsi:type="xsd:double"&gt;0.93949866&lt;/D&gt;&lt;/FQL&gt;&lt;FQL&gt;&lt;Q&gt;AYI-US^P_BETA_LOCIDX(45845,45670,,"SPX")&lt;/Q&gt;&lt;R&gt;1&lt;/R&gt;&lt;C&gt;1&lt;/C&gt;&lt;D xsi:type="xsd:double"&gt;1.1884286&lt;/D&gt;&lt;/FQL&gt;&lt;FQL&gt;&lt;Q&gt;MAS-US^P_BETA_LOCIDX(45841,45665,,"SPX")&lt;/Q&gt;&lt;R&gt;1&lt;/R&gt;&lt;C&gt;1&lt;/C&gt;&lt;D xsi:type="xsd:double"&gt;1.0140096&lt;/D&gt;&lt;/FQL&gt;&lt;FQL&gt;&lt;Q&gt;MAS-US^P_BETA_LOCIDX(45840,45664,,"SPX")&lt;/Q&gt;&lt;R&gt;1&lt;/R&gt;&lt;C&gt;1&lt;/C&gt;&lt;D xsi:type="xsd:double"&gt;1.0225042&lt;/D&gt;&lt;/FQL&gt;&lt;FQL&gt;&lt;Q&gt;MAS-US^P_BETA_LOCIDX(45839,45663,,"SPX")&lt;/Q&gt;&lt;R&gt;1&lt;/R&gt;&lt;C&gt;1&lt;/C&gt;&lt;D xsi:type="xsd:double"&gt;1.0240544&lt;/D&gt;&lt;/FQL&gt;&lt;FQL&gt;&lt;Q&gt;MAS-US^P_BETA_LOCIDX(45838,45660,,"SPX")&lt;/Q&gt;&lt;R&gt;1&lt;/R&gt;&lt;C&gt;1&lt;/C&gt;&lt;D xsi:type="xsd:double"&gt;1.0250164&lt;/D&gt;&lt;/FQL&gt;&lt;FQL&gt;&lt;Q&gt;MAS-US^P_BETA_LOCIDX(45835,45659,,"SPX")&lt;/Q&gt;&lt;R&gt;1&lt;/R&gt;&lt;C&gt;1&lt;/C&gt;&lt;D xsi:type="xsd:double"&gt;1.0261074&lt;/D&gt;&lt;/FQL&gt;&lt;FQL&gt;&lt;Q&gt;MAS-US^P_BETA_LOCIDX(45834,45657,,"SPX")&lt;/Q&gt;&lt;R&gt;1&lt;/R&gt;&lt;C&gt;1&lt;/C&gt;&lt;D xsi:type="xsd:double"&gt;1.0246178&lt;/D&gt;&lt;/FQL&gt;&lt;FQL&gt;&lt;Q&gt;MAS-US^P_BETA_LOCIDX(45833,45656,,"SPX")&lt;/Q&gt;&lt;R&gt;1&lt;/R&gt;&lt;C&gt;1&lt;/C&gt;&lt;D xsi:type="xsd:double"&gt;1.0231367&lt;/D&gt;&lt;/FQL&gt;&lt;FQL&gt;&lt;Q&gt;MAS-US^P_BETA_LOCIDX(45832,45653,,"SPX")&lt;/Q&gt;&lt;R&gt;1&lt;/R&gt;&lt;C&gt;1&lt;/C&gt;&lt;D xsi:type="xsd:double"&gt;1.0213114&lt;/D&gt;&lt;/FQL&gt;&lt;FQL&gt;&lt;Q&gt;MAS-US^P_BETA_LOCIDX(45831,45652,,"SPX")&lt;/Q&gt;&lt;R&gt;1&lt;/R&gt;&lt;C&gt;1&lt;/C&gt;&lt;D xsi:type="xsd:double"&gt;1.0202249&lt;/D&gt;&lt;/FQL&gt;&lt;FQL&gt;&lt;Q&gt;MAS-US^P_BETA_LOCIDX(45828,45650,,"SPX")&lt;/Q&gt;&lt;R&gt;1&lt;/R&gt;&lt;C&gt;1&lt;/C&gt;&lt;D xsi:type="xsd:double"&gt;1.0110824&lt;/D&gt;&lt;/FQL&gt;&lt;FQL&gt;&lt;Q&gt;MAS-US^P_BETA_LOCIDX(45826,45649,,"SPX")&lt;/Q&gt;&lt;R&gt;1&lt;/R&gt;&lt;C&gt;1&lt;/C&gt;&lt;D xsi:type="xsd:double"&gt;1.0086293&lt;/D&gt;&lt;/FQL&gt;&lt;FQL&gt;&lt;Q&gt;MAS-US^P_BETA_LOCIDX(45825,45646,,"SPX")&lt;/Q&gt;&lt;R&gt;1&lt;/R&gt;&lt;C&gt;1&lt;/C&gt;&lt;D xsi:type="xsd:double"&gt;1.013696&lt;/D&gt;&lt;/FQL&gt;&lt;FQL&gt;&lt;Q&gt;MAS-US^P_BETA_LOCIDX(45824,45645,,"SPX")&lt;/Q&gt;&lt;R&gt;1&lt;/R&gt;&lt;C&gt;1&lt;/C&gt;&lt;D xsi:type="xsd:double"&gt;1.0107194&lt;/D&gt;&lt;/FQL&gt;&lt;FQL&gt;&lt;Q&gt;MAS-US^P_BETA_LOCIDX(45821,45644,,"SPX")&lt;/Q&gt;&lt;R&gt;1&lt;/R&gt;&lt;C&gt;1&lt;/C&gt;&lt;D xsi:type="xsd:double"&gt;1.0130271&lt;/D&gt;&lt;/FQL&gt;&lt;FQL&gt;&lt;Q&gt;MAS-US^P_BETA_LOCIDX(45820,45643,,"SPX")&lt;/Q&gt;&lt;R&gt;1&lt;/R&gt;&lt;C&gt;1&lt;/C&gt;&lt;D xsi:type="xsd:double"&gt;1.0076188&lt;/D&gt;&lt;/FQL&gt;&lt;FQL&gt;&lt;Q&gt;MAS-US^P_BETA_LOCIDX(45819,45642,,"SPX")&lt;/Q&gt;&lt;R&gt;1&lt;/R&gt;&lt;C&gt;1&lt;/C&gt;&lt;D xsi:type="xsd:double"&gt;1.0061255&lt;/D&gt;&lt;/FQL&gt;&lt;FQL&gt;&lt;Q&gt;MAS-US^P_BETA_LOCIDX(45818,45639,,"SPX")&lt;/Q&gt;&lt;R&gt;1&lt;/R&gt;&lt;C&gt;1&lt;/C&gt;&lt;D xsi:type="xsd:double"&gt;1.0044293&lt;/D&gt;&lt;/FQL&gt;&lt;FQL&gt;&lt;Q&gt;MAS-US^P_BETA_LOCIDX(45817,45638,,"SPX")&lt;/Q&gt;&lt;R&gt;1&lt;/R&gt;&lt;C&gt;1&lt;/C&gt;&lt;D xsi:type="xsd:double"&gt;0.9995992&lt;/D&gt;&lt;/FQL&gt;&lt;FQL&gt;&lt;Q&gt;MAS-US^P_BETA_LOCIDX(45814,45637,,"SPX")&lt;/Q&gt;&lt;R&gt;1&lt;/R&gt;&lt;C&gt;1&lt;/C&gt;&lt;D xsi:type="xsd:double"&gt;0.99755144&lt;/D&gt;&lt;/FQL&gt;&lt;FQL&gt;&lt;Q&gt;MAS-US^P_BETA_LOCIDX(45813,45636,,"SPX")&lt;/Q&gt;&lt;R&gt;1&lt;/R&gt;&lt;C&gt;1&lt;/C&gt;&lt;D xsi:type="xsd:double"&gt;1.0030757&lt;/D&gt;&lt;/FQL&gt;&lt;FQL&gt;&lt;Q&gt;MAS-US^P_BETA_LOCIDX(45812,45635,,"SPX")&lt;/Q&gt;&lt;R&gt;1&lt;/R&gt;&lt;C&gt;1&lt;/C&gt;&lt;D xsi:type="xsd:double"&gt;1.0019952&lt;/D&gt;&lt;/FQL&gt;&lt;FQL&gt;&lt;Q&gt;MAS-US^P_BETA_LOCIDX(45811,45632,,"SPX")&lt;/Q&gt;&lt;R&gt;1&lt;/R&gt;&lt;C&gt;1&lt;/C&gt;&lt;D xsi:type="xsd:double"&gt;1.0025389&lt;/D&gt;&lt;/FQL&gt;&lt;FQL&gt;&lt;Q&gt;MAS-US^P_BETA_LOCIDX(45810,45631,,"SPX")&lt;/Q&gt;&lt;R&gt;1&lt;/R&gt;&lt;C&gt;1&lt;/C&gt;&lt;D xsi:type="xsd:double"&gt;0.99904764&lt;/D&gt;&lt;/FQL&gt;&lt;FQL&gt;&lt;Q&gt;MAS-US^P_BETA_LOCIDX(45807,45630,,"SPX")&lt;/Q&gt;&lt;R&gt;1&lt;/R&gt;&lt;C&gt;1&lt;/C&gt;&lt;D xsi:type="xsd:double"&gt;0.9999346&lt;/D&gt;&lt;/FQL&gt;&lt;FQL&gt;&lt;Q&gt;MAS-US^P_BETA_LOCIDX(45806,45629,,"SPX")&lt;/Q&gt;&lt;R&gt;1&lt;/R&gt;&lt;C&gt;1&lt;/C&gt;&lt;D xsi:type="xsd:double"&gt;1.0000068&lt;/D&gt;&lt;/FQL&gt;&lt;FQL&gt;&lt;Q&gt;MAS-US^P_BETA_LOCIDX(45805,45628,,"SPX")&lt;/Q&gt;&lt;R&gt;1&lt;/R&gt;&lt;C&gt;1&lt;/C&gt;&lt;D xsi:type="xsd:double"&gt;0.9983062&lt;/D&gt;&lt;/FQL&gt;&lt;FQL&gt;&lt;Q&gt;MAS-US^P_BETA_LOCIDX(45804,45625,,"SPX")&lt;/Q&gt;&lt;R&gt;1&lt;/R&gt;&lt;C&gt;1&lt;/C&gt;&lt;D xsi:type="xsd:double"&gt;0.9966199&lt;/D&gt;&lt;/FQL&gt;&lt;FQL&gt;&lt;Q&gt;MAS-US^P_BETA_LOCIDX(45800,45623,,"SPX")&lt;/Q&gt;&lt;R&gt;1&lt;/R&gt;&lt;C&gt;1&lt;/C&gt;&lt;D xsi:type="xsd:double"&gt;0.99014175&lt;/D&gt;&lt;/FQL&gt;&lt;FQL&gt;&lt;Q&gt;MAS-US^P_BETA_LOCIDX(45799,45622,,"SPX")&lt;/Q&gt;&lt;R&gt;1&lt;/R&gt;&lt;C&gt;1&lt;/C&gt;&lt;D xsi:type="xsd:double"&gt;0.9845336&lt;/D&gt;&lt;/FQL&gt;&lt;FQL&gt;&lt;Q&gt;MAS-US^P_BETA_LOCIDX(45798,45621,,"SPX")&lt;/Q&gt;&lt;R&gt;1&lt;/R&gt;&lt;C&gt;1&lt;/C&gt;&lt;D xsi:type="xsd:double"&gt;0.9885879&lt;/D&gt;&lt;/FQL&gt;&lt;FQL&gt;&lt;Q&gt;MAS-US^P_BETA_LOCIDX(45797,45618,,"SPX")&lt;/Q&gt;&lt;R&gt;1&lt;/R&gt;&lt;C&gt;1&lt;/C&gt;&lt;D xsi:type="xsd:double"&gt;0.9746273&lt;/D&gt;&lt;/FQL&gt;&lt;FQL&gt;&lt;Q&gt;MAS-US^P_BETA_LOCIDX(45796,45617,,"SPX")&lt;/Q&gt;&lt;R&gt;1&lt;/R&gt;&lt;C&gt;1&lt;/C&gt;&lt;D xsi:type="xsd:double"&gt;0.9759461&lt;/D&gt;&lt;/FQL&gt;&lt;FQL&gt;&lt;Q&gt;MAS-US^P_BETA_LOCIDX(45793,45616,,"SPX")&lt;/Q&gt;&lt;R&gt;1&lt;/R&gt;&lt;C&gt;1&lt;/C&gt;&lt;D xsi:type="xsd:double"&gt;0.97620666&lt;/D&gt;&lt;/FQL&gt;&lt;FQL&gt;&lt;Q&gt;MAS-US^P_BETA_LOCIDX(45792,45615,,"SPX")&lt;/Q&gt;&lt;R&gt;1&lt;/R&gt;&lt;C&gt;1&lt;/C&gt;&lt;D xsi:type="xsd:double"&gt;0.97411865&lt;/D&gt;&lt;/FQL&gt;&lt;FQL&gt;&lt;Q&gt;MAS-US^P_BETA_LOCIDX(45791,45614,,"SPX")&lt;/Q&gt;&lt;R&gt;1&lt;/R&gt;&lt;C&gt;1&lt;/C&gt;&lt;D xsi:type="xsd:double"&gt;0.97074974&lt;/D&gt;&lt;/FQL&gt;&lt;FQL&gt;&lt;Q&gt;MAS-US^P_BETA_LOCIDX(45790,45611,,"SPX")&lt;/Q&gt;&lt;R&gt;1&lt;/R&gt;&lt;C&gt;1&lt;/C&gt;&lt;D xsi:type="xsd:double"&gt;0.9694864&lt;/D&gt;&lt;/FQL&gt;&lt;FQL&gt;&lt;Q&gt;MAS-US^P_BETA_LOCIDX(45789,45610,,"SPX")&lt;/Q&gt;&lt;R&gt;1&lt;/R&gt;&lt;C&gt;1&lt;/C&gt;&lt;D xsi:type="xsd:double"&gt;0.97369534&lt;/D&gt;&lt;/FQL&gt;&lt;FQL&gt;&lt;Q&gt;MAS-US^P_BETA_LOCIDX(45786,45609,,"SPX")&lt;/Q&gt;&lt;R&gt;1&lt;/R&gt;&lt;C&gt;1&lt;/C&gt;&lt;D xsi:type="xsd:double"&gt;0.8766971&lt;/D&gt;&lt;/FQL&gt;&lt;FQL&gt;&lt;Q&gt;MAS-US^P_BETA_LOCIDX(45785,45608,,"SPX")&lt;/Q&gt;&lt;R&gt;1&lt;/R&gt;&lt;C&gt;1&lt;/C&gt;&lt;D xsi:type="xsd:double"&gt;0.8783909&lt;/D&gt;&lt;/FQL&gt;&lt;FQL&gt;&lt;Q&gt;MAS-US^P_BETA_LOCIDX(45784,45607,,"SPX")&lt;/Q&gt;&lt;R&gt;1&lt;/R&gt;&lt;C&gt;1&lt;/C&gt;&lt;D xsi:type="xsd:double"&gt;0.8743488&lt;/D&gt;&lt;/FQL&gt;&lt;FQL&gt;&lt;Q&gt;MAS-US^P_BETA_LOCIDX(45783,45604,,"SPX")&lt;/Q&gt;&lt;R&gt;1&lt;/R&gt;&lt;C&gt;1&lt;/C&gt;&lt;D xsi:type="xsd:double"&gt;0.8761729&lt;/D&gt;&lt;/FQL&gt;&lt;FQL&gt;&lt;Q&gt;MAS-US^P_BETA_LOCIDX(45782,45603,,"SPX")&lt;/Q&gt;&lt;R&gt;1&lt;/R&gt;&lt;C&gt;1&lt;/C&gt;&lt;D xsi:type="xsd:double"&gt;0.8720878&lt;/D&gt;&lt;/FQL&gt;&lt;FQL&gt;&lt;Q&gt;MAS-US^P_BETA_LOCIDX(45779,45602,,"SPX")&lt;/Q&gt;&lt;R&gt;1&lt;/R&gt;&lt;C&gt;1&lt;/C&gt;&lt;D xsi:type="xsd:double"&gt;0.83694345&lt;/D&gt;&lt;/FQL&gt;&lt;FQL&gt;&lt;Q&gt;MAS-US^P_BETA_LOCIDX(45778,45601,,"SPX")&lt;/Q&gt;&lt;R&gt;1&lt;/R&gt;&lt;C&gt;1&lt;/C&gt;&lt;D xsi:type="xsd:double"&gt;0.8271103&lt;/D&gt;&lt;/FQL&gt;&lt;FQL&gt;&lt;Q&gt;MAS-US^P_BETA_LOCIDX(45777,45600,,"SPX")&lt;/Q&gt;&lt;R&gt;1&lt;/R&gt;&lt;C&gt;1&lt;/C&gt;&lt;D xsi:type="xsd:double"&gt;0.82779264&lt;/D&gt;&lt;/FQL&gt;&lt;FQL&gt;&lt;Q&gt;MAS-US^P_BETA_LOCIDX(45776,45597,,"SPX")&lt;/Q&gt;&lt;R&gt;1&lt;/R&gt;&lt;C&gt;1&lt;/C&gt;&lt;D xsi:type="xsd:double"&gt;0.82790744&lt;/D&gt;&lt;/FQL&gt;&lt;FQL&gt;&lt;Q&gt;MAS-US^P_BETA_LOCIDX(45775,45596,,"SPX")&lt;/Q&gt;&lt;R&gt;1&lt;/R&gt;&lt;C&gt;1&lt;/C&gt;&lt;D xsi:type="xsd:double"&gt;0.8209638&lt;/D&gt;&lt;/FQL&gt;&lt;FQL&gt;&lt;Q&gt;MAS-US^P_BETA_LOCIDX(45772,45595,,"SPX")&lt;/Q&gt;&lt;R&gt;1&lt;/R&gt;&lt;C&gt;1&lt;/C&gt;&lt;D xsi:type="xsd:double"&gt;0.8216103&lt;/D&gt;&lt;/FQL&gt;&lt;FQL&gt;&lt;Q&gt;MAS-US^P_BETA_LOCIDX(45771,45594,,"SPX")&lt;/Q&gt;&lt;R&gt;1&lt;/R&gt;&lt;C&gt;1&lt;/C&gt;&lt;D xsi:type="xsd:double"&gt;0.82189304&lt;/D&gt;&lt;/FQL&gt;&lt;FQL&gt;&lt;Q&gt;MAS-US^P_BETA_LOCIDX(45770,45593,,"SPX")&lt;/Q&gt;&lt;R&gt;1&lt;/R&gt;&lt;C&gt;1&lt;/C&gt;&lt;D xsi:type="xsd:double"&gt;0.8210774&lt;/D&gt;&lt;/FQL&gt;&lt;FQL&gt;&lt;Q&gt;MAS-US^P_BETA_LOCIDX(45769,45590,,"SPX")&lt;/Q&gt;&lt;R&gt;1&lt;/R&gt;&lt;C&gt;1&lt;/C&gt;&lt;D xsi:type="xsd:double"&gt;0.8492429&lt;/D&gt;&lt;/FQL&gt;&lt;FQL&gt;&lt;Q&gt;MAS-US^P_BETA_LOCIDX(45768,45589,,"SPX")&lt;/Q&gt;&lt;R&gt;1&lt;/R&gt;&lt;C&gt;1&lt;/C&gt;&lt;D xsi:type="xsd:double"&gt;0.84727645&lt;/D&gt;&lt;/FQL&gt;&lt;FQL&gt;&lt;Q&gt;MAS-US^P_BETA_LOCIDX(45764,45588,,"SPX")&lt;/Q&gt;&lt;R&gt;1&lt;/R&gt;&lt;C&gt;1&lt;/C&gt;&lt;D xsi:type="xsd:double"&gt;0.8425485&lt;/D&gt;&lt;/FQL&gt;&lt;FQL&gt;&lt;Q&gt;MAS-US^P_BETA_LOCIDX(45763,45587,,"SPX")&lt;/Q&gt;&lt;R&gt;1&lt;/R&gt;&lt;C&gt;1&lt;/C&gt;&lt;D xsi:type="xsd:double"&gt;0.8414082&lt;/D&gt;&lt;/FQL&gt;&lt;FQL&gt;&lt;Q&gt;MAS-US^P_BETA_LOCIDX(45762,45586,,"SPX")&lt;/Q&gt;&lt;R&gt;1&lt;/R&gt;&lt;C&gt;1&lt;/C&gt;&lt;D xsi:type="xsd:double"&gt;0.8459664&lt;/D&gt;&lt;/FQL&gt;&lt;FQL&gt;&lt;Q&gt;MAS-US^P_BETA_LOCIDX(45761,45583,,"SPX")&lt;/Q&gt;&lt;R&gt;1&lt;/R&gt;&lt;C&gt;1&lt;/C&gt;&lt;D xsi:type="xsd:double"&gt;0.8460026&lt;/D&gt;&lt;/FQL&gt;&lt;FQL&gt;&lt;Q&gt;MAS-US^P_BETA_LOCIDX(45758,45582,,"SPX")&lt;/Q&gt;&lt;R&gt;1&lt;/R&gt;&lt;C&gt;1&lt;/C&gt;&lt;D xsi:type="xsd:double"&gt;0.8451035&lt;/D&gt;&lt;/FQL&gt;&lt;FQL&gt;&lt;Q&gt;MAS-US^P_BETA_LOCIDX(45757,45581,,"SPX")&lt;/Q&gt;&lt;R&gt;1&lt;/R&gt;&lt;C&gt;1&lt;/C&gt;&lt;D xsi:type="xsd:double"&gt;0.8525135&lt;/D&gt;&lt;/FQL&gt;&lt;FQL&gt;&lt;Q&gt;MAS-US^P_BETA_LOCIDX(45756,45580,,"SPX")&lt;/Q&gt;&lt;R&gt;1&lt;/R&gt;&lt;C&gt;1&lt;/C&gt;&lt;D xsi:type="xsd:double"&gt;0.8475822&lt;/D&gt;&lt;/FQL&gt;&lt;FQL&gt;&lt;Q&gt;MAS-US^P_BETA_LOCIDX(45755,45579,,"SPX")&lt;/Q&gt;&lt;R&gt;1&lt;/R&gt;&lt;C&gt;1&lt;/C&gt;&lt;D xsi:type="xsd:double"&gt;0.8117366&lt;/D&gt;&lt;/FQL&gt;&lt;FQL&gt;&lt;Q&gt;MAS-US^P_BETA_LOCIDX(45754,45576,,"SPX")&lt;/Q&gt;&lt;R&gt;1&lt;/R&gt;&lt;C&gt;1&lt;/C&gt;&lt;D xsi:type="xsd:double"&gt;0.7918542&lt;/D&gt;&lt;/FQL&gt;&lt;FQL&gt;&lt;Q&gt;MAS-US^P_BETA_LOCIDX(45751,45575,,"SPX")&lt;/Q&gt;&lt;R&gt;1&lt;/R&gt;&lt;C&gt;1&lt;/C&gt;&lt;D xsi:type="xsd:double"&gt;0.7900363&lt;/D&gt;&lt;/FQL&gt;&lt;FQL&gt;&lt;Q&gt;MAS-US^P_BETA_LOCIDX(45750,45574,,"SPX")&lt;/Q&gt;&lt;R&gt;1&lt;/R&gt;&lt;C&gt;1&lt;/C&gt;&lt;D xsi:type="xsd:double"&gt;0.9350837&lt;/D&gt;&lt;/FQL&gt;&lt;FQL&gt;&lt;Q&gt;MAS-US^P_BETA_LOCIDX(45749,45573,,"SPX")&lt;/Q&gt;&lt;R&gt;1&lt;/R&gt;&lt;C&gt;1&lt;/C&gt;&lt;D xsi:type="xsd:double"&gt;0.6902923&lt;/D&gt;&lt;/FQL&gt;&lt;FQL&gt;&lt;Q&gt;MAS-US^P_BETA_LOCIDX(45748,45572,,"SPX")&lt;/Q&gt;&lt;R&gt;1&lt;/R&gt;&lt;C&gt;1&lt;/C&gt;&lt;D xsi:type="xsd:double"&gt;0.6683315&lt;/D&gt;&lt;/FQL&gt;&lt;FQL&gt;&lt;Q&gt;MAS-US^P_BETA_LOCIDX(45747,45569,,"SPX")&lt;/Q&gt;&lt;R&gt;1&lt;/R&gt;&lt;C&gt;1&lt;/C&gt;&lt;D xsi:type="xsd:double"&gt;0.65449125&lt;/D&gt;&lt;/FQL&gt;&lt;FQL&gt;&lt;Q&gt;MAS-US^P_BETA_LOCIDX(45744,45568,,"SPX")&lt;/Q&gt;&lt;R&gt;1&lt;/R&gt;&lt;C&gt;1&lt;/C&gt;&lt;D xsi:type="xsd:double"&gt;0.64850944&lt;/D&gt;&lt;/FQL&gt;&lt;FQL&gt;&lt;Q&gt;MAS-US^P_BETA_LOCIDX(45743,45567,,"SPX")&lt;/Q&gt;&lt;R&gt;1&lt;/R&gt;&lt;C&gt;1&lt;/C&gt;&lt;D xsi:type="xsd:double"&gt;0.6258105&lt;/D&gt;&lt;/FQL&gt;&lt;FQL&gt;&lt;Q&gt;MAS-US^P_BETA_LOCIDX(45742,45566,,"SPX")&lt;/Q&gt;&lt;R&gt;1&lt;/R&gt;&lt;C&gt;1&lt;/C&gt;&lt;D xsi:type="xsd:double"&gt;0.62175536&lt;/D&gt;&lt;/FQL&gt;&lt;FQL&gt;&lt;Q&gt;MAS-US^P_BETA_LOCIDX(45741,45565,,"SPX")&lt;/Q&gt;&lt;R&gt;1&lt;/R&gt;&lt;C&gt;1&lt;/C&gt;&lt;D xsi:type="xsd:double"&gt;0.63296574&lt;/D&gt;&lt;/FQL&gt;&lt;FQL&gt;&lt;Q&gt;MAS-US^P_BETA_LOCIDX(45740,45562,,"SPX")&lt;/Q&gt;&lt;R&gt;1&lt;/R&gt;&lt;C&gt;1&lt;/C&gt;&lt;D xsi:type="xsd:double"&gt;0.6327722&lt;/D&gt;&lt;/FQL&gt;&lt;FQL&gt;&lt;Q&gt;MAS-US^P_BETA_LOCIDX(45737,45561,,"SPX")&lt;/Q&gt;&lt;R&gt;1&lt;/R&gt;&lt;C&gt;1&lt;/C&gt;&lt;D xsi:type="xsd:double"&gt;0.6233983&lt;/D&gt;&lt;/FQL&gt;&lt;FQL&gt;&lt;Q&gt;MAS-US^P_BETA_LOCIDX(45736,45560,,"SPX")&lt;/Q&gt;&lt;R&gt;1&lt;/R&gt;&lt;C&gt;1&lt;/C&gt;&lt;D xsi:type="xsd:double"&gt;0.62564015&lt;/D&gt;&lt;/FQL&gt;&lt;FQL&gt;&lt;Q&gt;MAS-US^P_BETA_LOCIDX(45735,45559,,"SPX")&lt;/Q&gt;&lt;R&gt;1&lt;/R&gt;&lt;C&gt;1&lt;/C&gt;&lt;D xsi:type="xsd:double"&gt;0.6240349&lt;/D&gt;&lt;/FQL&gt;&lt;FQL&gt;&lt;Q&gt;MAS-US^P_BETA_LOCIDX(45734,45558,,"SPX")&lt;/Q&gt;&lt;R&gt;1&lt;/R&gt;&lt;C&gt;1&lt;/C&gt;&lt;D xsi:type="xsd:double"&gt;0.61665326&lt;/D&gt;&lt;/FQL&gt;&lt;FQL&gt;&lt;Q&gt;MAS-US^P_BETA_LOCIDX(45733,45555,,"SPX")&lt;/Q&gt;&lt;R&gt;1&lt;/R&gt;&lt;C&gt;1&lt;/C&gt;&lt;D xsi:type="xsd:double"&gt;0.62118274&lt;/D&gt;&lt;/FQL&gt;&lt;FQL&gt;&lt;Q&gt;MAS-US^P_BETA_LOCIDX(45730,45554,,"SPX")&lt;/Q&gt;&lt;R&gt;1&lt;/R&gt;&lt;C&gt;1&lt;/C&gt;&lt;D xsi:type="xsd:double"&gt;0.6327856&lt;/D&gt;&lt;/FQL&gt;&lt;FQL&gt;&lt;Q&gt;MAS-US^P_BETA_LOCIDX(45729,45553,,"SPX")&lt;/Q&gt;&lt;R&gt;1&lt;/R&gt;&lt;C&gt;1&lt;/C&gt;&lt;D xsi:type="xsd:double"&gt;0.62161976&lt;/D&gt;&lt;/FQL&gt;&lt;FQL&gt;&lt;Q&gt;MAS-US^P_BETA_LOCIDX(45728,45552,,"SPX")&lt;/Q&gt;&lt;R&gt;1&lt;/R&gt;&lt;C&gt;1&lt;/C&gt;&lt;D xsi:type="xsd:double"&gt;0.59474957&lt;/D&gt;&lt;/FQL&gt;&lt;FQL&gt;&lt;Q&gt;MAS-US^P_BETA_LOCIDX(45727,45551,,"SPX")&lt;/Q&gt;&lt;R&gt;1&lt;/R&gt;&lt;C&gt;1&lt;/C&gt;&lt;D xsi:type="xsd:double"&gt;0.5994172&lt;/D&gt;&lt;/FQL&gt;&lt;FQL&gt;&lt;Q&gt;MAS-US^P_BETA_LOCIDX(45726,45548,,"SPX")&lt;/Q&gt;&lt;R&gt;1&lt;/R&gt;&lt;C&gt;1&lt;/C&gt;&lt;D xsi:type="xsd:double"&gt;0.58298457&lt;/D&gt;&lt;/FQL&gt;&lt;FQL&gt;&lt;Q&gt;MAS-US^P_BETA_LOCIDX(45723,45547,,"SPX")&lt;/Q&gt;&lt;R&gt;1&lt;/R&gt;&lt;C&gt;1&lt;/C&gt;&lt;D xsi:type="xsd:double"&gt;0.5866921&lt;/D&gt;&lt;/FQL&gt;&lt;FQL&gt;&lt;Q&gt;MAS-US^P_BETA_LOCIDX(45722,45546,,"SPX")&lt;/Q&gt;&lt;R&gt;1&lt;/R&gt;&lt;C&gt;1&lt;/C&gt;&lt;D xsi:type="xsd:double"&gt;0.5671508&lt;/D&gt;&lt;/FQL&gt;&lt;FQL&gt;&lt;Q&gt;MAS-US^P_BETA_LOCIDX(45721,45545,,"SPX")&lt;/Q&gt;&lt;R&gt;1&lt;/R&gt;&lt;C&gt;1&lt;/C&gt;&lt;D xsi:type="xsd:double"&gt;0.6157403&lt;/D&gt;&lt;/FQL&gt;&lt;FQL&gt;&lt;Q&gt;MAS-US^P_BETA_LOCIDX(45720,45544,,"SPX")&lt;/Q&gt;&lt;R&gt;1&lt;/R&gt;&lt;C&gt;1&lt;/C&gt;&lt;D xsi:type="xsd:double"&gt;0.5968615&lt;/D&gt;&lt;/FQL&gt;&lt;FQL&gt;&lt;Q&gt;MAS-US^P_BETA_LOCIDX(45719,45541,,"SPX")&lt;/Q&gt;&lt;R&gt;1&lt;/R&gt;&lt;C&gt;1&lt;/C&gt;&lt;D xsi:type="xsd:double"&gt;0.5547842&lt;/D&gt;&lt;/FQL&gt;&lt;FQL&gt;&lt;Q&gt;MAS-US^P_BETA_LOCIDX(45716,45540,,"SPX")&lt;/Q&gt;&lt;R&gt;1&lt;/R&gt;&lt;C&gt;1&lt;/C&gt;&lt;D xsi:type="xsd:double"&gt;0.54464096&lt;/D&gt;&lt;/FQL&gt;&lt;FQL&gt;&lt;Q&gt;MAS-US^P_BETA_LOCIDX(45715,45539,,"SPX")&lt;/Q&gt;&lt;R&gt;1&lt;/R&gt;&lt;C&gt;1&lt;/C&gt;&lt;D xsi:type="xsd:double"&gt;0.54842037&lt;/D&gt;&lt;/FQL&gt;&lt;FQL&gt;&lt;Q&gt;MAS-US^P_BETA_LOCIDX(45714,45538,,"SPX")&lt;/Q&gt;&lt;R&gt;1&lt;/R&gt;&lt;C&gt;1&lt;/C&gt;&lt;D xsi:type="xsd:double"&gt;0.5411797&lt;/D&gt;&lt;/FQL&gt;&lt;FQL&gt;&lt;Q&gt;MAS-US^P_BETA_LOCIDX(45713,45534,,"SPX")&lt;/Q&gt;&lt;R&gt;1&lt;/R&gt;&lt;C&gt;1&lt;/C&gt;&lt;D xsi:type="xsd:double"&gt;0.54601955&lt;/D&gt;&lt;/FQL&gt;&lt;FQL&gt;&lt;Q&gt;MAS-US^P_BETA_LOCIDX(45712,45533,,"SPX")&lt;/Q&gt;&lt;R&gt;1&lt;/R&gt;&lt;C&gt;1&lt;/C&gt;&lt;D xsi:type="xsd:double"&gt;0.5667329&lt;/D&gt;&lt;/FQL&gt;&lt;FQL&gt;&lt;Q&gt;MAS-US^P_BETA_LOCIDX(45709,45532,,"SPX")&lt;/Q&gt;&lt;R&gt;1&lt;/R&gt;&lt;C&gt;1&lt;/C&gt;&lt;D xsi:type="xsd:double"&gt;0.5608998&lt;/D&gt;&lt;/FQL&gt;&lt;FQL&gt;&lt;Q&gt;MAS-US^P_BETA_LOCIDX(45708,45531,,"SPX")&lt;/Q&gt;&lt;R&gt;1&lt;/R&gt;&lt;C&gt;1&lt;/C&gt;&lt;D xsi:type="xsd:double"&gt;0.5377877&lt;/D&gt;&lt;/FQL&gt;&lt;FQL&gt;&lt;Q&gt;MAS-US^P_BETA_LOCIDX(45707,45530,,"SPX")&lt;/Q&gt;&lt;R&gt;1&lt;/R&gt;&lt;C&gt;1&lt;/C&gt;&lt;D xsi:type="xsd:double"&gt;0.5356839&lt;/D&gt;&lt;/FQL&gt;&lt;FQL&gt;&lt;Q&gt;MAS-US^P_BETA_LOCIDX(45706,45527,,"SPX")&lt;/Q&gt;&lt;R&gt;1&lt;/R&gt;&lt;C&gt;1&lt;/C&gt;&lt;D xsi:type="xsd:double"&gt;0.5832291&lt;/D&gt;&lt;/FQL&gt;&lt;FQL&gt;&lt;Q&gt;MAS-US^P_BETA_LOCIDX(45702,45526,,"SPX")&lt;/Q&gt;&lt;R&gt;1&lt;/R&gt;&lt;C&gt;1&lt;/C&gt;&lt;D xsi:type="xsd:double"&gt;0.5887876&lt;/D&gt;&lt;/FQL&gt;&lt;FQL&gt;&lt;Q&gt;MAS-US^P_BETA_LOCIDX(45701,45525,,"SPX")&lt;/Q&gt;&lt;R&gt;1&lt;/R&gt;&lt;C&gt;1&lt;/C&gt;&lt;D xsi:type="xsd:double"&gt;0.5999726&lt;/D&gt;&lt;/FQL&gt;&lt;FQL&gt;&lt;Q&gt;MAS-US^P_BETA_LOCIDX(45700,45524,,"SPX")&lt;/Q&gt;&lt;R&gt;1&lt;/R&gt;&lt;C&gt;1&lt;/C&gt;&lt;D xsi:type="xsd:double"&gt;0.5934992&lt;/D&gt;&lt;/FQL&gt;&lt;FQL&gt;&lt;Q&gt;MAS-US^P_BETA_LOCIDX(45699,45523,,"SPX")&lt;/Q&gt;&lt;R&gt;1&lt;/R&gt;&lt;C&gt;1&lt;/C&gt;&lt;D xsi:type="xsd:double"&gt;0.58756924&lt;/D&gt;&lt;/FQL&gt;&lt;FQL&gt;&lt;Q&gt;MAS-US^P_BETA_LOCIDX(45698,45520,,"SPX")&lt;/Q&gt;&lt;R&gt;1&lt;/R&gt;&lt;C&gt;1&lt;/C&gt;&lt;D xsi:type="xsd:double"&gt;0.5872076&lt;/D&gt;&lt;/FQL&gt;&lt;FQL&gt;&lt;Q&gt;MAS-US^P_BETA_LOCIDX(45695,45519,,"SPX")&lt;/Q&gt;&lt;R&gt;1&lt;/R&gt;&lt;C&gt;1&lt;/C&gt;&lt;D xsi:type="xsd:double"&gt;0.59591776&lt;/D&gt;&lt;/FQL&gt;&lt;FQL&gt;&lt;Q&gt;MAS-US^P_BETA_LOCIDX(45694,45518,,"SPX")&lt;/Q&gt;&lt;R&gt;1&lt;/R&gt;&lt;C&gt;1&lt;/C&gt;&lt;D xsi:type="xsd:double"&gt;0.60591817&lt;/D&gt;&lt;/FQL&gt;&lt;FQL&gt;&lt;Q&gt;MAS-US^P_BETA_LOCIDX(45693,45517,,"SPX")&lt;/Q&gt;&lt;R&gt;1&lt;/R&gt;&lt;C&gt;1&lt;/C&gt;&lt;D xsi:type="xsd:double"&gt;0.64357334&lt;/D&gt;&lt;/FQL&gt;&lt;FQL&gt;&lt;Q&gt;MAS-US^P_BETA_LOCIDX(45692,45516,,"SPX")&lt;/Q&gt;&lt;R&gt;1&lt;/R&gt;&lt;C&gt;1&lt;/C&gt;&lt;D xsi:type="xsd:double"&gt;0.64268726&lt;/D&gt;&lt;/FQL&gt;&lt;FQL&gt;&lt;Q&gt;MAS-US^P_BETA_LOCIDX(45691,45513,,"SPX")&lt;/Q&gt;&lt;R&gt;1&lt;/R&gt;&lt;C&gt;1&lt;/C&gt;&lt;D xsi:type="xsd:double"&gt;0.64578587&lt;/D&gt;&lt;/FQL&gt;&lt;FQL&gt;&lt;Q&gt;MAS-US^P_BETA_LOCIDX(45688,45512,,"SPX")&lt;/Q&gt;&lt;R&gt;1&lt;/R&gt;&lt;C&gt;1&lt;/C&gt;&lt;D xsi:type="xsd:double"&gt;0.61606574&lt;/D&gt;&lt;/FQL&gt;&lt;FQL&gt;&lt;Q&gt;MAS-US^P_BETA_LOCIDX(45687,45511,,"SPX")&lt;/Q&gt;&lt;R&gt;1&lt;/R&gt;&lt;C&gt;1&lt;/C&gt;&lt;D xsi:type="xsd:double"&gt;0.6218325&lt;/D&gt;&lt;/FQL&gt;&lt;FQL&gt;&lt;Q&gt;MAS-US^P_BETA_LOCIDX(45686,45510,,"SPX")&lt;/Q&gt;&lt;R&gt;1&lt;/R&gt;&lt;C&gt;1&lt;/C&gt;&lt;D xsi:type="xsd:double"&gt;0.61511433&lt;/D&gt;&lt;/FQL&gt;&lt;FQL&gt;&lt;Q&gt;MAS-US^P_BETA_LOCIDX(45685,45509,,"SPX")&lt;/Q&gt;&lt;R&gt;1&lt;/R&gt;&lt;C&gt;1&lt;/C&gt;&lt;D xsi:type="xsd:double"&gt;0.6187754&lt;/D&gt;&lt;/FQL&gt;&lt;FQL&gt;&lt;Q&gt;MAS-US^P_BETA_LOCIDX(45684,45506,,"SPX")&lt;/Q&gt;&lt;R&gt;1&lt;/R&gt;&lt;C&gt;1&lt;/C&gt;&lt;D xsi:type="xsd:double"&gt;0.64862865&lt;/D&gt;&lt;/FQL&gt;&lt;FQL&gt;&lt;Q&gt;MAS-US^P_BETA_LOCIDX(45681,45505,,"SPX")&lt;/Q&gt;&lt;R&gt;1&lt;/R&gt;&lt;C&gt;1&lt;/C&gt;&lt;D xsi:type="xsd:double"&gt;0.7343671&lt;/D&gt;&lt;/FQL&gt;&lt;FQL&gt;&lt;Q&gt;MAS-US^P_BETA_LOCIDX(45680,45504,,"SPX")&lt;/Q&gt;&lt;R&gt;1&lt;/R&gt;&lt;C&gt;1&lt;/C&gt;&lt;D xsi:type="xsd:double"&gt;0.70871407&lt;/D&gt;&lt;/FQL&gt;&lt;FQL&gt;&lt;Q&gt;MAS-US^P_BETA_LOCIDX(45679,45503,,"SPX")&lt;/Q&gt;&lt;R&gt;1&lt;/R&gt;&lt;C&gt;1&lt;/C&gt;&lt;D xsi:type="xsd:double"&gt;0.6981386&lt;/D&gt;&lt;/FQL&gt;&lt;FQL&gt;&lt;Q&gt;MAS-US^P_BETA_LOCIDX(45678,45502,,"SPX")&lt;/Q&gt;&lt;R&gt;1&lt;/R&gt;&lt;C&gt;1&lt;/C&gt;&lt;D xsi:type="xsd:double"&gt;0.7006816&lt;/D&gt;&lt;/FQL&gt;&lt;FQL&gt;&lt;Q&gt;MAS-US^P_BETA_LOCIDX(45674,45499,,"SPX")&lt;/Q&gt;&lt;R&gt;1&lt;/R&gt;&lt;C&gt;1&lt;/C&gt;&lt;D xsi:type="xsd:double"&gt;0.71469855&lt;/D&gt;&lt;/FQL&gt;&lt;FQL&gt;&lt;Q&gt;MAS-US^P_BETA_LOCIDX(45673,45498,,"SPX")&lt;/Q&gt;&lt;R&gt;1&lt;/R&gt;&lt;C&gt;1&lt;/C&gt;&lt;D xsi:type="xsd:double"&gt;0.66611236&lt;/D&gt;&lt;/FQL&gt;&lt;FQL&gt;&lt;Q&gt;MAS-US^P_BETA_LOCIDX(45672,45497,,"SPX")&lt;/Q&gt;&lt;R&gt;1&lt;/R&gt;&lt;C&gt;1&lt;/C&gt;&lt;D xsi:type="xsd:double"&gt;0.6556996&lt;/D&gt;&lt;/FQL&gt;&lt;FQL&gt;&lt;Q&gt;MAS-US^P_BETA_LOCIDX(45671,45496,,"SPX")&lt;/Q&gt;&lt;R&gt;1&lt;/R&gt;&lt;C&gt;1&lt;/C&gt;&lt;D xsi:type="xsd:double"&gt;0.65303785&lt;/D&gt;&lt;/FQL&gt;&lt;FQL&gt;&lt;Q&gt;MAS-US^P_BETA_LOCIDX(45670,45495,,"SPX")&lt;/Q&gt;&lt;R&gt;1&lt;/R&gt;&lt;C&gt;1&lt;/C&gt;&lt;D xsi:type="xsd:double"&gt;0.6454828&lt;/D&gt;&lt;/FQL&gt;&lt;FQL&gt;&lt;Q&gt;MAS-US^P_BETA_LOCIDX(45667,45492,,"SPX")&lt;/Q&gt;&lt;R&gt;1&lt;/R&gt;&lt;C&gt;1&lt;/C&gt;&lt;D xsi:type="xsd:double"&gt;0.6470467&lt;/D&gt;&lt;/FQL&gt;&lt;FQL&gt;&lt;Q&gt;MAS-US^P_BETA_LOCIDX(45665,45491,,"SPX")&lt;/Q&gt;&lt;R&gt;1&lt;/R&gt;&lt;C&gt;1&lt;/C&gt;&lt;D xsi:type="xsd:double"&gt;0.6483089&lt;/D&gt;&lt;/FQL&gt;&lt;FQL&gt;&lt;Q&gt;MAS-US^P_BETA_LOCIDX(45664,45490,,"SPX")&lt;/Q&gt;&lt;R&gt;1&lt;/R&gt;&lt;C&gt;1&lt;/C&gt;&lt;D xsi:type="xsd:double"&gt;0.65511686&lt;/D&gt;&lt;/FQL&gt;&lt;FQL&gt;&lt;Q&gt;MAS-US^P_BETA_LOCIDX(45663,45489,,"SPX")&lt;/Q&gt;&lt;R&gt;1&lt;/R&gt;&lt;C&gt;1&lt;/C&gt;&lt;D xsi:type="xsd:double"&gt;0.67018163&lt;/D&gt;&lt;/FQL&gt;&lt;FQL&gt;&lt;Q&gt;MAS-US^P_BETA_LOCIDX(45660,45488,,"SPX")&lt;/Q&gt;&lt;R&gt;1&lt;/R&gt;&lt;C&gt;1&lt;/C&gt;&lt;D xsi:type="xsd:double"&gt;0.66495997&lt;/D&gt;&lt;/FQL&gt;&lt;FQL&gt;&lt;Q&gt;MAS-US^P_BETA_LOCIDX(45659,45485,,"SPX")&lt;/Q&gt;&lt;R&gt;1&lt;/R&gt;&lt;C&gt;1&lt;/C&gt;&lt;D xsi:type="xsd:double"&gt;0.6743876&lt;/D&gt;&lt;/FQL&gt;&lt;FQL&gt;&lt;Q&gt;MAS-US^P_BETA_LOCIDX(45657,45484,,"SPX")&lt;/Q&gt;&lt;R&gt;1&lt;/R&gt;&lt;C&gt;1&lt;/C&gt;&lt;D xsi:type="xsd:double"&gt;0.6241908&lt;/D&gt;&lt;/FQL&gt;&lt;FQL&gt;&lt;Q&gt;MAS-US^P_BETA_LOCIDX(45656,45483,,"SPX")&lt;/Q&gt;&lt;R&gt;1&lt;/R&gt;&lt;C&gt;1&lt;/C&gt;&lt;D xsi:type="xsd:double"&gt;0.6264831&lt;/D&gt;&lt;/FQL&gt;&lt;FQL&gt;&lt;Q&gt;MAS-US^P_BETA_LOCIDX(45653,45482,,"SPX")&lt;/Q&gt;&lt;R&gt;1&lt;/R&gt;&lt;C&gt;1&lt;/C&gt;&lt;D xsi:type="xsd:double"&gt;0.62253296&lt;/D&gt;&lt;/FQL&gt;&lt;FQL&gt;&lt;Q&gt;MAS-US^P_BETA_LOCIDX(45652,45481,,"SPX")&lt;/Q&gt;&lt;R&gt;1&lt;/R&gt;&lt;C&gt;1&lt;/C&gt;&lt;D xsi:type="xsd:double"&gt;0.6209574&lt;/D&gt;&lt;/FQL&gt;&lt;FQL&gt;&lt;Q&gt;MAS-US^P_BETA_LOCIDX(45650,45478,,"SPX")&lt;/Q&gt;&lt;R&gt;1&lt;/R&gt;&lt;C&gt;1&lt;/C&gt;&lt;D xsi:type="xsd:double"&gt;0.61785865&lt;/D&gt;&lt;/FQL&gt;&lt;FQL&gt;&lt;Q&gt;MAS-US^P_BETA_LOCIDX(45649,45476,,"SPX")&lt;/Q&gt;&lt;R&gt;1&lt;/R&gt;&lt;C&gt;1&lt;/C&gt;&lt;D xsi:type="xsd:double"&gt;0.620731&lt;/D&gt;&lt;/FQL&gt;&lt;FQL&gt;&lt;Q&gt;MAS-US^P_BETA_LOCIDX(45646,45475,,"SPX")&lt;/Q&gt;&lt;R&gt;1&lt;/R&gt;&lt;C&gt;1&lt;/C&gt;&lt;D xsi:type="xsd:double"&gt;0.626612&lt;/D&gt;&lt;/FQL&gt;&lt;FQL&gt;&lt;Q&gt;MAS-US^P_BETA_LOCIDX(45645,45474,,"SPX")&lt;/Q&gt;&lt;R&gt;1&lt;/R&gt;&lt;C&gt;1&lt;/C&gt;&lt;D xsi:type="xsd:double"&gt;0.6034554&lt;/D&gt;&lt;/FQL&gt;&lt;FQL&gt;&lt;Q&gt;MAS-US^P_BETA_LOCIDX(45644,45471,,"SPX")&lt;/Q&gt;&lt;R&gt;1&lt;/R&gt;&lt;C&gt;1&lt;/C&gt;&lt;D xsi:type="xsd:double"&gt;0.5979714&lt;/D&gt;&lt;/FQL&gt;&lt;FQL&gt;&lt;Q&gt;MAS-US^P_BETA_LOCIDX(45643,45470,,"SPX")&lt;/Q&gt;&lt;R&gt;1&lt;/R&gt;&lt;C&gt;1&lt;/C&gt;&lt;D xsi:type="xsd:double"&gt;0.5390678&lt;/D&gt;&lt;/FQL&gt;&lt;FQL&gt;&lt;Q&gt;MAS-US^P_BETA_LOCIDX(45642,45469,,"SPX")&lt;/Q&gt;&lt;R&gt;1&lt;/R&gt;&lt;C&gt;1&lt;/C&gt;&lt;D xsi:type="xsd:double"&gt;0.53226894&lt;/D&gt;&lt;/FQL&gt;&lt;FQL&gt;&lt;Q&gt;MAS-US^P_BETA_LOCIDX(45639,45468,,"SPX")&lt;/Q&gt;&lt;R&gt;1&lt;/R&gt;&lt;C&gt;1&lt;/C&gt;&lt;D xsi:type="xsd:double"&gt;0.52315474&lt;/D&gt;&lt;/FQL&gt;&lt;FQL&gt;&lt;Q&gt;MAS-US^P_BETA_LOCIDX(45638,45467,,"SPX")&lt;/Q&gt;&lt;R&gt;1&lt;/R&gt;&lt;C&gt;1&lt;/C&gt;&lt;D xsi:type="xsd:double"&gt;0.5204901&lt;/D&gt;&lt;/FQL&gt;&lt;FQL&gt;&lt;Q&gt;MAS-US^P_BETA_LOCIDX(45637,45464,,"SPX")&lt;/Q&gt;&lt;R&gt;1&lt;/R&gt;&lt;C&gt;1&lt;/C&gt;&lt;D xsi:type="xsd:double"&gt;0.5224251&lt;/D&gt;&lt;/FQL&gt;&lt;FQL&gt;&lt;Q&gt;MAS-US^P_BETA_LOCIDX(45636,45463,,"SPX")&lt;/Q&gt;&lt;R&gt;1&lt;/R&gt;&lt;C&gt;1&lt;/C&gt;&lt;D xsi:type="xsd:double"&gt;0.5328815&lt;/D&gt;&lt;/FQL&gt;&lt;FQL&gt;&lt;Q&gt;MAS-US^P_BETA_LOCIDX(45635,45461,,"SPX")&lt;/Q&gt;&lt;R&gt;1&lt;/R&gt;&lt;C&gt;1&lt;/C&gt;&lt;D xsi:type="xsd:double"&gt;0.5223188&lt;/D&gt;&lt;/FQL&gt;&lt;FQL&gt;&lt;Q&gt;MAS-US^P_BETA_LOCIDX(45632,45460,,"SPX")&lt;/Q&gt;&lt;R&gt;1&lt;/R&gt;&lt;C&gt;1&lt;/C&gt;&lt;D xsi:type="xsd:double"&gt;0.52686185&lt;/D&gt;&lt;/FQL&gt;&lt;FQL&gt;&lt;Q&gt;MAS-US^P_BETA_LOCIDX(45631,45457,,"SPX")&lt;/Q&gt;&lt;R&gt;1&lt;/R&gt;&lt;C&gt;1&lt;/C&gt;&lt;D xsi:type="xsd:double"&gt;0.5288762&lt;/D&gt;&lt;/FQL&gt;&lt;FQL&gt;&lt;Q&gt;MAS-US^P_BETA_LOCIDX(45630,45456,,"SPX")&lt;/Q&gt;&lt;R&gt;1&lt;/R&gt;&lt;C&gt;1&lt;/C&gt;&lt;D xsi:type="xsd:double"&gt;0.53207207&lt;/D&gt;&lt;/FQL&gt;&lt;FQL&gt;&lt;Q&gt;MAS-US^P_BETA_LOCIDX(45629,45455,,"SPX")&lt;/Q&gt;&lt;R&gt;1&lt;/R&gt;&lt;C&gt;1&lt;/C&gt;&lt;D xsi:type="xsd:double"&gt;0.55519754&lt;/D&gt;&lt;/FQL&gt;&lt;FQL&gt;&lt;Q&gt;MAS-US^P_BETA_LOCIDX(45628,45454,,"SPX")&lt;/Q&gt;&lt;R&gt;1&lt;/R&gt;&lt;C&gt;1&lt;/C&gt;&lt;D xsi:type="xsd:double"&gt;0.55499965&lt;/D&gt;&lt;/FQL&gt;&lt;FQL&gt;&lt;Q&gt;MAS-US^P_BETA_LOCIDX(45625,45453,,"SPX")&lt;/Q&gt;&lt;R&gt;1&lt;/R&gt;&lt;C&gt;1&lt;/C&gt;&lt;D xsi:type="xsd:double"&gt;0.55802375&lt;/D&gt;&lt;/FQL&gt;&lt;FQL&gt;&lt;Q&gt;MAS-US^P_BETA_LOCIDX(45623,45450,,"SPX")&lt;/Q&gt;&lt;R&gt;1&lt;/R&gt;&lt;C&gt;1&lt;/C&gt;&lt;D xsi:type="xsd:double"&gt;0.56338984&lt;/D&gt;&lt;/FQL&gt;&lt;FQL&gt;&lt;Q&gt;MAS-US^P_BETA_LOCIDX(45622,45449,,"SPX")&lt;/Q&gt;&lt;R&gt;1&lt;/R&gt;&lt;C&gt;1&lt;/C&gt;&lt;D xsi:type="xsd:double"&gt;0.5634385&lt;/D&gt;&lt;/FQL&gt;&lt;FQL&gt;&lt;Q&gt;MAS-US^P_BETA_LOCIDX(45621,45448,,"SPX")&lt;/Q&gt;&lt;R&gt;1&lt;/R&gt;&lt;C&gt;1&lt;/C&gt;&lt;D xsi:type="xsd:double"&gt;0.5750764&lt;/D&gt;&lt;/FQL&gt;&lt;FQL&gt;&lt;Q&gt;MAS-US^P_BETA_LOCIDX(45618,45447,,"SPX")&lt;/Q&gt;&lt;R&gt;1&lt;/R&gt;&lt;C&gt;1&lt;/C&gt;&lt;D xsi:type="xsd:double"&gt;0.56561077&lt;/D&gt;&lt;/FQL&gt;&lt;FQL&gt;&lt;Q&gt;MAS-US^P_BETA_LOCIDX(45617,45446,,"SPX")&lt;/Q&gt;&lt;R&gt;1&lt;/R&gt;&lt;C&gt;1&lt;/C&gt;&lt;D xsi:type="xsd:double"&gt;0.56375784&lt;/D&gt;&lt;/FQL&gt;&lt;FQL&gt;&lt;Q&gt;MAS-US^P_BETA_LOCIDX(45616,45443,,"SPX")&lt;/Q&gt;&lt;R&gt;1&lt;/R&gt;&lt;C&gt;1&lt;/C&gt;&lt;D xsi:type="xsd:double"&gt;0.5709228&lt;/D&gt;&lt;/FQL&gt;&lt;FQL&gt;&lt;Q&gt;MAS-US^P_BETA_LOCIDX(45615,45442,,"SPX")&lt;/Q&gt;&lt;R&gt;1&lt;/R&gt;&lt;C&gt;1&lt;/C&gt;&lt;D xsi:type="xsd:double"&gt;0.5576289&lt;/D&gt;&lt;/FQL&gt;&lt;FQL&gt;&lt;Q&gt;MAS-US^P_BETA_LOCIDX(45614,45441,,"SPX")&lt;/Q&gt;&lt;R&gt;1&lt;/R&gt;&lt;C&gt;1&lt;/C&gt;&lt;D xsi:type="xsd:double"&gt;0.5614042&lt;/D&gt;&lt;/FQL&gt;&lt;FQL&gt;&lt;Q&gt;MAS-US^P_BETA_LOCIDX(45611,45440,,"SPX")&lt;/Q&gt;&lt;R&gt;1&lt;/R&gt;&lt;C&gt;1&lt;/C&gt;&lt;D xsi:type="xsd:double"&gt;0.5698749&lt;/D&gt;&lt;/FQL&gt;&lt;FQL&gt;&lt;Q&gt;MAS-US^P_BETA_LOCIDX(45610,45436,,"SPX")&lt;/Q&gt;&lt;R&gt;1&lt;/R&gt;&lt;C&gt;1&lt;/C&gt;&lt;D xsi:type="xsd:double"&gt;0.5656199&lt;/D&gt;&lt;/FQL&gt;&lt;FQL&gt;&lt;Q&gt;MAS-US^P_BETA_LOCIDX(45609,45435,,"SPX")&lt;/Q&gt;&lt;R&gt;1&lt;/R&gt;&lt;C&gt;1&lt;/C&gt;&lt;D xsi:type="xsd:double"&gt;0.570897&lt;/D&gt;&lt;/FQL&gt;&lt;FQL&gt;&lt;Q&gt;MAS-US^P_BETA_LOCIDX(45608,45434,,"SPX")&lt;/Q&gt;&lt;R&gt;1&lt;/R&gt;&lt;C&gt;1&lt;/C&gt;&lt;D xsi:type="xsd:double"&gt;0.57460946&lt;/D&gt;&lt;/FQL&gt;&lt;FQL&gt;&lt;Q&gt;MAS-US^P_BETA_LOCIDX(45607,45433,,"SPX")&lt;/Q&gt;&lt;R&gt;1&lt;/R&gt;&lt;C&gt;1&lt;/C&gt;&lt;D xsi:type="xsd:double"&gt;0.56597686&lt;/D&gt;&lt;/FQL&gt;&lt;FQL&gt;&lt;Q&gt;MAS-US^P_BETA_LOCIDX(45604,45432,,"SPX")&lt;/Q&gt;&lt;R&gt;1&lt;/R&gt;&lt;C&gt;1&lt;/C&gt;&lt;D xsi:type="xsd:double"&gt;0.5661004&lt;/D&gt;&lt;/FQL&gt;&lt;FQL&gt;&lt;Q&gt;MAS-US^P_BETA_LOCIDX(45603,45429,,"SPX")&lt;/Q&gt;&lt;R&gt;1&lt;/R&gt;&lt;C&gt;1&lt;/C&gt;&lt;D xsi:type="xsd:double"&gt;0.56418496&lt;/D&gt;&lt;/FQL&gt;&lt;FQL&gt;&lt;Q&gt;MAS-US^P_BETA_LOCIDX(45602,45428,,"SPX")&lt;/Q&gt;&lt;R&gt;1&lt;/R&gt;&lt;C&gt;1&lt;/C&gt;&lt;D xsi:type="xsd:double"&gt;0.57615566&lt;/D&gt;&lt;/FQL&gt;&lt;FQL&gt;&lt;Q&gt;MAS-US^P_BETA_LOCIDX(45601,45427,,"SPX")&lt;/Q&gt;&lt;R&gt;1&lt;/R&gt;&lt;C&gt;1&lt;/C&gt;&lt;D xsi:type="xsd:double"&gt;0.6875489&lt;/D&gt;&lt;/FQL&gt;&lt;FQL&gt;&lt;Q&gt;MAS-US^P_BETA_LOCIDX(45600,45426,,"SPX")&lt;/Q&gt;&lt;R&gt;1&lt;/R&gt;&lt;C&gt;1&lt;/C&gt;&lt;D xsi:type="xsd:double"&gt;0.683362&lt;/D&gt;&lt;/FQL&gt;&lt;FQL&gt;&lt;Q&gt;MAS-US^P_BETA_LOCIDX(45597,45425,,"SPX")&lt;/Q&gt;&lt;R&gt;1&lt;/R&gt;&lt;C&gt;1&lt;/C&gt;&lt;D xsi:type="xsd:double"&gt;0.6899919&lt;/D&gt;&lt;/FQL&gt;&lt;FQL&gt;&lt;Q&gt;MAS-US^P_BETA_LOCIDX(45596,45422,,"SPX")&lt;/Q&gt;&lt;R&gt;1&lt;/R&gt;&lt;C&gt;1&lt;/C&gt;&lt;D xsi:type="xsd:double"&gt;0.69017386&lt;/D&gt;&lt;/FQL&gt;&lt;FQL&gt;&lt;Q&gt;MAS-US^P_BETA_LOCIDX(45595,45421,,"SPX")&lt;/Q&gt;&lt;R&gt;1&lt;/R&gt;&lt;C&gt;1&lt;/C&gt;&lt;D xsi:type="xsd:double"&gt;0.715627&lt;/D&gt;&lt;/FQL&gt;&lt;FQL&gt;&lt;Q&gt;MAS-US^P_BETA_LOCIDX(45594,45420,,"SPX")&lt;/Q&gt;&lt;R&gt;1&lt;/R&gt;&lt;C&gt;1&lt;/C&gt;&lt;D xsi:type="xsd:double"&gt;0.7102971&lt;/D&gt;&lt;/FQL&gt;&lt;FQL&gt;&lt;Q&gt;MAS-US^P_BETA_LOCIDX(45593,45419,,"SPX")&lt;/Q&gt;&lt;R&gt;1&lt;/R&gt;&lt;C&gt;1&lt;/C&gt;&lt;D xsi:type="xsd:double"&gt;0.7110142&lt;/D&gt;&lt;/FQL&gt;&lt;FQL&gt;&lt;Q&gt;MAS-US^P_BETA_LOCIDX(45590,45418,,"SPX")&lt;/Q&gt;&lt;R&gt;1&lt;/R&gt;&lt;C&gt;1&lt;/C&gt;&lt;D xsi:type="xsd:double"&gt;0.7123925&lt;/D&gt;&lt;/FQL&gt;&lt;FQL&gt;&lt;Q&gt;MAS-US^P_BETA_LOCIDX(45589,45415,,"SPX")&lt;/Q&gt;&lt;R&gt;1&lt;/R&gt;&lt;C&gt;1&lt;/C&gt;&lt;D xsi:type="xsd:double"&gt;0.70703256&lt;/D&gt;&lt;/FQL&gt;&lt;FQL&gt;&lt;Q&gt;MAS-US^P_BETA_LOCIDX(45588,45414,,"SPX")&lt;/Q&gt;&lt;R&gt;1&lt;/R&gt;&lt;C&gt;1&lt;/C&gt;&lt;D xsi:type="xsd:double"&gt;0.70459795&lt;/D&gt;&lt;/FQL&gt;&lt;FQL&gt;&lt;Q&gt;MAS-US^P_BETA_LOCIDX(45587,45413,,"SPX")&lt;/Q&gt;&lt;R&gt;1&lt;/R&gt;&lt;C&gt;1&lt;/C&gt;&lt;D xsi:type="xsd:double"&gt;0.7060197&lt;/D&gt;&lt;/FQL&gt;&lt;FQL&gt;&lt;Q&gt;MAS-US^P_BETA_LOCIDX(45586,45412,,"SPX")&lt;/Q&gt;&lt;R&gt;1&lt;/R&gt;&lt;C&gt;1&lt;/C&gt;&lt;D xsi:type="xsd:double"&gt;0.7273184&lt;/D&gt;&lt;/FQL&gt;&lt;FQL&gt;&lt;Q&gt;MAS-US^P_BETA_LOCIDX(45583,45411,,"SPX")&lt;/Q&gt;&lt;R&gt;1&lt;/R&gt;&lt;C&gt;1&lt;/C&gt;&lt;D xsi:type="xsd:double"&gt;0.7210537&lt;/D&gt;&lt;/FQL&gt;&lt;FQL&gt;&lt;Q&gt;MAS-US^P_BETA_LOCIDX(45582,45408,,"SPX")&lt;/Q&gt;&lt;R&gt;1&lt;/R&gt;&lt;C&gt;1&lt;/C&gt;&lt;D xsi:type="xsd:double"&gt;0.71209645&lt;/D&gt;&lt;/FQL&gt;&lt;FQL&gt;&lt;Q&gt;MAS-US^P_BETA_LOCIDX(45581,45407,,"SPX")&lt;/Q&gt;&lt;R&gt;1&lt;/R&gt;&lt;C&gt;1&lt;/C&gt;&lt;D xsi:type="xsd:double"&gt;0.70886624&lt;/D&gt;&lt;/FQL&gt;&lt;FQL&gt;&lt;Q&gt;MAS-US^P_BETA_LOCIDX(45580,45406,,"SPX")&lt;/Q&gt;&lt;R&gt;1&lt;/R&gt;&lt;C&gt;1&lt;/C&gt;&lt;D xsi:type="xsd:double"&gt;0.71378213&lt;/D&gt;&lt;/FQL&gt;&lt;FQL&gt;&lt;Q&gt;MAS-US^P_BETA_LOCIDX(45579,45405,,"SPX")&lt;/Q&gt;&lt;R&gt;1&lt;/R&gt;&lt;C&gt;1&lt;/C&gt;&lt;D xsi:type="xsd:double"&gt;0.72883433&lt;/D&gt;&lt;/FQL&gt;&lt;FQL&gt;&lt;Q&gt;MAS-US^P_BETA_LOCIDX(45576,45404,,"SPX")&lt;/Q&gt;&lt;R&gt;1&lt;/R&gt;&lt;C&gt;1&lt;/C&gt;&lt;D xsi:type="xsd:double"&gt;0.7168098&lt;/D&gt;&lt;/FQL&gt;&lt;FQL&gt;&lt;Q&gt;MAS-US^P_BETA_LOCIDX(45575,45401,,"SPX")&lt;/Q&gt;&lt;R&gt;1&lt;/R&gt;&lt;C&gt;1&lt;/C&gt;&lt;D xsi:type="xsd:double"&gt;0.7149913&lt;/D&gt;&lt;/FQL&gt;&lt;FQL&gt;&lt;Q&gt;MAS-US^P_BETA_LOCIDX(45574,45400,,"SPX")&lt;/Q&gt;&lt;R&gt;1&lt;/R&gt;&lt;C&gt;1&lt;/C&gt;&lt;D xsi:type="xsd:double"&gt;0.71166193&lt;/D&gt;&lt;/FQL&gt;&lt;FQL&gt;&lt;Q&gt;MAS-US^P_BETA_LOCIDX(45573,45399,,"SPX")&lt;/Q&gt;&lt;R&gt;1&lt;/R&gt;&lt;C&gt;1&lt;/C&gt;&lt;D xsi:type="xsd:double"&gt;0.70836407&lt;/D&gt;&lt;/FQL&gt;&lt;FQL&gt;&lt;Q&gt;MAS-US^P_BETA_LOCIDX(45572,45398,,"SPX")&lt;/Q&gt;&lt;R&gt;1&lt;/R&gt;&lt;C&gt;1&lt;/C&gt;&lt;D xsi:type="xsd:double"&gt;0.7133313&lt;/D&gt;&lt;/FQL&gt;&lt;FQL&gt;&lt;Q&gt;MAS-US^P_BETA_LOCIDX(45569,45397,,"SPX")&lt;/Q&gt;&lt;R&gt;1&lt;/R&gt;&lt;C&gt;1&lt;/C&gt;&lt;D xsi:type="xsd:double"&gt;0.72599024&lt;/D&gt;&lt;/FQL&gt;&lt;FQL&gt;&lt;Q&gt;MAS-US^P_BETA_LOCIDX(45568,45394,,"SPX")&lt;/Q&gt;&lt;R&gt;1&lt;/R&gt;&lt;C&gt;1&lt;/C&gt;&lt;D xsi:type="xsd:double"&gt;0.72165626&lt;/D&gt;&lt;/FQL&gt;&lt;FQL&gt;&lt;Q&gt;MAS-US^P_BETA_LOCIDX(45567,45393,,"SPX")&lt;/Q&gt;&lt;R&gt;1&lt;/R&gt;&lt;C&gt;1&lt;/C&gt;&lt;D xsi:type="xsd:double"&gt;0.7117939&lt;/D&gt;&lt;/FQL&gt;&lt;FQL&gt;&lt;Q&gt;MAS-US^P_BETA_LOCIDX(45566,45392,,"SPX")&lt;/Q&gt;&lt;R&gt;1&lt;/R&gt;&lt;C&gt;1&lt;/C&gt;&lt;D xsi:type="xsd:double"&gt;0.74551463&lt;/D&gt;&lt;/FQL&gt;&lt;FQL&gt;&lt;Q&gt;MAS-US^P_BETA_LOCIDX(45565,45391,,"SPX")&lt;/Q&gt;&lt;R&gt;1&lt;/R&gt;&lt;C&gt;1&lt;/C&gt;&lt;D xsi:type="xsd:double"&gt;0.7512396&lt;/D&gt;&lt;/FQL&gt;&lt;FQL&gt;&lt;Q&gt;MAS-US^P_BETA_LOCIDX(45562,45390,,"SPX")&lt;/Q&gt;&lt;R&gt;1&lt;/R&gt;&lt;C&gt;1&lt;/C&gt;&lt;D xsi:type="xsd:double"&gt;0.7504089&lt;/D&gt;&lt;/FQL&gt;&lt;FQL&gt;&lt;Q&gt;MAS-US^P_BETA_LOCIDX(45561,45387,,"SPX")&lt;/Q&gt;&lt;R&gt;1&lt;/R&gt;&lt;C&gt;1&lt;/C&gt;&lt;D xsi:type="xsd:double"&gt;0.746845&lt;/D&gt;&lt;/FQL&gt;&lt;FQL&gt;&lt;Q&gt;MAS-US^P_BETA_LOCIDX(45560,45386,,"SPX")&lt;/Q&gt;&lt;R&gt;1&lt;/R&gt;&lt;C&gt;1&lt;/C&gt;&lt;D xsi:type="xsd:double"&gt;0.7558004&lt;/D&gt;&lt;/FQL&gt;&lt;FQL&gt;&lt;Q&gt;MAS-US^P_BETA_LOCIDX(45559,45385,,"SPX")&lt;/Q&gt;&lt;R&gt;1&lt;/R&gt;&lt;C&gt;1&lt;/C&gt;&lt;D xsi:type="xsd:double"&gt;0.75379175&lt;/D&gt;&lt;/FQL&gt;&lt;FQL&gt;&lt;Q&gt;MAS-US^P_BETA_LOCIDX(45558,45384,,"SPX")&lt;/Q&gt;&lt;R&gt;1&lt;/R&gt;&lt;C&gt;1&lt;/C&gt;&lt;D xsi:type="xsd:double"&gt;0.75401795&lt;/D&gt;&lt;/FQL&gt;&lt;FQL&gt;&lt;Q&gt;MAS-US^P_BETA_LOCIDX(45555,45383,,"SPX")&lt;/Q&gt;&lt;R&gt;1&lt;/R&gt;&lt;C&gt;1&lt;/C&gt;&lt;D xsi:type="xsd:double"&gt;0.75748914&lt;/D&gt;&lt;/FQL&gt;&lt;FQL&gt;&lt;Q&gt;MAS-US^P_BETA_LOCIDX(45554,45379,,"SPX")&lt;/Q&gt;&lt;R&gt;1&lt;/R&gt;&lt;C&gt;1&lt;/C&gt;&lt;D xsi:type="xsd:double"&gt;0.7544321&lt;/D&gt;&lt;/FQL&gt;&lt;FQL&gt;&lt;Q&gt;MAS-US^P_BETA_LOCIDX(45553,45378,,"SPX")&lt;/Q&gt;&lt;R&gt;1&lt;/R&gt;&lt;C&gt;1&lt;/C&gt;&lt;D xsi:type="xsd:double"&gt;0.75213164&lt;/D&gt;&lt;/FQL&gt;&lt;FQL&gt;&lt;Q&gt;MAS-US^P_BETA_LOCIDX(45552,45377,,"SPX")&lt;/Q&gt;&lt;R&gt;1&lt;/R&gt;&lt;C&gt;1&lt;/C&gt;&lt;D xsi:type="xsd:double"&gt;0.75136936&lt;/D&gt;&lt;/FQL&gt;&lt;FQL&gt;&lt;Q&gt;MAS-US^P_BETA_LOCIDX(45551,45376,,"SPX")&lt;/Q&gt;&lt;R&gt;1&lt;/R&gt;&lt;C&gt;1&lt;/C&gt;&lt;D xsi:type="xsd:double"&gt;0.7565038&lt;/D&gt;&lt;/FQL&gt;&lt;FQL&gt;&lt;Q&gt;MAS-US^P_BETA_LOCIDX(45548,45373,,"SPX")&lt;/Q&gt;&lt;R&gt;1&lt;/R&gt;&lt;C&gt;1&lt;/C&gt;&lt;D xsi:type="xsd:double"&gt;0.7587711&lt;/D&gt;&lt;/FQL&gt;&lt;FQL&gt;&lt;Q&gt;MAS-US^P_BETA_LOCIDX(45547,45372,,"SPX")&lt;/Q&gt;&lt;R&gt;1&lt;/R&gt;&lt;C&gt;1&lt;/C&gt;&lt;D xsi:type="xsd:double"&gt;0.75897706&lt;/D&gt;&lt;/FQL&gt;&lt;FQL&gt;&lt;Q&gt;MAS-US^P_BETA_LOCIDX(45546,45371,,"SPX")&lt;/Q&gt;&lt;R&gt;1&lt;/R&gt;&lt;C&gt;1&lt;/C&gt;&lt;D xsi:type="xsd:double"&gt;0.7588183&lt;/D&gt;&lt;/FQL&gt;&lt;FQL&gt;&lt;Q&gt;MAS-US^P_BETA_LOCIDX(45545,45370,,"SPX")&lt;/Q&gt;&lt;R&gt;1&lt;/R&gt;&lt;C&gt;1&lt;/C&gt;&lt;D xsi:type="xsd:double"&gt;0.7819422&lt;/D&gt;&lt;/FQL&gt;&lt;FQL&gt;&lt;Q&gt;MAS-US^P_BETA_LOCIDX(45544,45369,,"SPX")&lt;/Q&gt;&lt;R&gt;1&lt;/R&gt;&lt;C&gt;1&lt;/C&gt;&lt;D xsi:type="xsd:double"&gt;0.77198654&lt;/D&gt;&lt;/FQL&gt;&lt;FQL&gt;&lt;Q&gt;MAS-US^P_BETA_LOCIDX(45541,45366,,"SPX")&lt;/Q&gt;&lt;R&gt;1&lt;/R&gt;&lt;C&gt;1&lt;/C&gt;&lt;D xsi:type="xsd:double"&gt;0.7752794&lt;/D&gt;&lt;/FQL&gt;&lt;FQL&gt;&lt;Q&gt;MAS-US^P_BETA_LOCIDX(45540,45365,,"SPX")&lt;/Q&gt;&lt;R&gt;1&lt;/R&gt;&lt;C&gt;1&lt;/C&gt;&lt;D xsi:type="xsd:double"&gt;0.8082786&lt;/D&gt;&lt;/FQL&gt;&lt;FQL&gt;&lt;Q&gt;MAS-US^P_BETA_LOCIDX(45539,45364,,"SPX")&lt;/Q&gt;&lt;R&gt;1&lt;/R&gt;&lt;C&gt;1&lt;/C&gt;&lt;D xsi:type="xsd:double"&gt;0.80579525&lt;/D&gt;&lt;/FQL&gt;&lt;FQL&gt;&lt;Q&gt;MAS-US^P_BETA_LOCIDX(45538,45363,,"SPX")&lt;/Q&gt;&lt;R&gt;1&lt;/R&gt;&lt;C&gt;1&lt;/C&gt;&lt;D xsi:type="xsd:double"&gt;0.801025&lt;/D&gt;&lt;/FQL&gt;&lt;FQL&gt;&lt;Q&gt;MAS-US^P_BETA_LOCIDX(45534,45362,,"SPX")&lt;/Q&gt;&lt;R&gt;1&lt;/R&gt;&lt;C&gt;1&lt;/C&gt;&lt;D xsi:type="xsd:double"&gt;0.80978245&lt;/D&gt;&lt;/FQL&gt;&lt;FQL&gt;&lt;Q&gt;MAS-US^P_BETA_LOCIDX(45533,45359,,"SPX")&lt;/Q&gt;&lt;R&gt;1&lt;/R&gt;&lt;C&gt;1&lt;/C&gt;&lt;D xsi:type="xsd:double"&gt;0.8067035&lt;/D&gt;&lt;/FQL&gt;&lt;FQL&gt;&lt;Q&gt;MAS-US^P_BETA_LOCIDX(45532,45358,,"SPX")&lt;/Q&gt;&lt;R&gt;1&lt;/R&gt;&lt;C&gt;1&lt;/C&gt;&lt;D xsi:type="xsd:double"&gt;0.80838144&lt;/D&gt;&lt;/FQL&gt;&lt;FQL&gt;&lt;Q&gt;MAS-US^P_BETA_LOCIDX(45531,45357,,"SPX")&lt;/Q&gt;&lt;R&gt;1&lt;/R&gt;&lt;C&gt;1&lt;/C&gt;&lt;D xsi:type="xsd:double"&gt;0.80679137&lt;/D&gt;&lt;/FQL&gt;&lt;FQL&gt;&lt;Q&gt;MAS-US^P_BETA_LOCIDX(45530,45356,,"SPX")&lt;/Q&gt;&lt;R&gt;1&lt;/R&gt;&lt;C&gt;1&lt;/C&gt;&lt;D xsi:type="xsd:double"&gt;0.81943077&lt;/D&gt;&lt;/FQL&gt;&lt;FQL&gt;&lt;Q&gt;MAS-US^P_BETA_LOCIDX(45527,45355,,"SPX")&lt;/Q&gt;&lt;R&gt;1&lt;/R&gt;&lt;C&gt;1&lt;/C&gt;&lt;D xsi:type="xsd:double"&gt;0.8191934&lt;/D&gt;&lt;/FQL&gt;&lt;FQL&gt;&lt;Q&gt;MAS-US^P_BETA_LOCIDX(45526,45352,,"SPX")&lt;/Q&gt;&lt;R&gt;1&lt;/R&gt;&lt;C&gt;1&lt;/C&gt;&lt;D xsi:type="xsd:double"&gt;0.7854616&lt;/D&gt;&lt;/FQL&gt;&lt;FQL&gt;&lt;Q&gt;MAS-US^P_BETA_LOCIDX(45525,45351,,"SPX")&lt;/Q&gt;&lt;R&gt;1&lt;/R&gt;&lt;C&gt;1&lt;/C&gt;&lt;D xsi:type="xsd:double"&gt;0.7838188&lt;/D&gt;&lt;/FQL&gt;&lt;FQL&gt;&lt;Q&gt;MAS-US^P_BETA_LOCIDX(45524,45350,,"SPX")&lt;/Q&gt;&lt;R&gt;1&lt;/R&gt;&lt;C&gt;1&lt;/C&gt;&lt;D xsi:type="xsd:double"&gt;0.7739426&lt;/D&gt;&lt;/FQL&gt;&lt;FQL&gt;&lt;Q&gt;MAS-US^P_BETA_LOCIDX(45523,45349,,"SPX")&lt;/Q&gt;&lt;R&gt;1&lt;/R&gt;&lt;C&gt;1&lt;/C&gt;&lt;D xsi:type="xsd:double"&gt;0.77498996&lt;/D&gt;&lt;/FQL&gt;&lt;FQL&gt;&lt;Q&gt;MAS-US^P_BETA_LOCIDX(45520,45348,,"SPX")&lt;/Q&gt;&lt;R&gt;1&lt;/R&gt;&lt;C&gt;1&lt;/C&gt;&lt;D xsi:type="xsd:double"&gt;0.7679803&lt;/D&gt;&lt;/FQL&gt;&lt;FQL&gt;&lt;Q&gt;MAS-US^P_BETA_LOCIDX(45519,45345,,"SPX")&lt;/Q&gt;&lt;R&gt;1&lt;/R&gt;&lt;C&gt;1&lt;/C&gt;&lt;D xsi:type="xsd:double"&gt;0.7687225&lt;/D&gt;&lt;/FQL&gt;&lt;FQL&gt;&lt;Q&gt;MAS-US^P_BETA_LOCIDX(45518,45344,,"SPX")&lt;/Q&gt;&lt;R&gt;1&lt;/R&gt;&lt;C&gt;1&lt;/C&gt;&lt;D xsi:type="xsd:double"&gt;0.7505348&lt;/D&gt;&lt;/FQL&gt;&lt;FQL&gt;&lt;Q&gt;MAS-US^P_BETA_LOCIDX(45517,45343,,"SPX")&lt;/Q&gt;&lt;R&gt;1&lt;/R&gt;&lt;C&gt;1&lt;/C&gt;&lt;D xsi:type="xsd:double"&gt;0.7447187&lt;/D&gt;&lt;/FQL&gt;&lt;FQL&gt;&lt;Q&gt;MAS-US^P_BETA_LOCIDX(45516,45342,,"SPX")&lt;/Q&gt;&lt;R&gt;1&lt;/R&gt;&lt;C&gt;1&lt;/C&gt;&lt;D xsi:type="xsd:double"&gt;0.69856876&lt;/D&gt;&lt;/FQL&gt;&lt;FQL&gt;&lt;Q&gt;MAS-US^P_BETA_LOCIDX(45513,45338,,"SPX")&lt;/Q&gt;&lt;R&gt;1&lt;/R&gt;&lt;C&gt;1&lt;/C&gt;&lt;D xsi:type="xsd:double"&gt;0.6987959&lt;/D&gt;&lt;/FQL&gt;&lt;FQL&gt;&lt;Q&gt;MAS-US^P_BETA_LOCIDX(45512,45337,,"SPX")&lt;/Q&gt;&lt;R&gt;1&lt;/R&gt;&lt;C&gt;1&lt;/C&gt;&lt;D xsi:type="xsd:double"&gt;0.7009266&lt;/D&gt;&lt;/FQL&gt;&lt;FQL&gt;&lt;Q&gt;MAS-US^P_BETA_LOCIDX(45511,45336,,"SPX")&lt;/Q&gt;&lt;R&gt;1&lt;/R&gt;&lt;C&gt;1&lt;/C&gt;&lt;D xsi:type="xsd:double"&gt;0.72795457&lt;/D&gt;&lt;/FQL&gt;&lt;FQL&gt;&lt;Q&gt;MAS-US^P_BETA_LOCIDX(45510,45335,,"SPX")&lt;/Q&gt;&lt;R&gt;1&lt;/R&gt;&lt;C&gt;1&lt;/C&gt;&lt;D xsi:type="xsd:double"&gt;0.70991325&lt;/D&gt;&lt;/FQL&gt;&lt;FQL&gt;&lt;Q&gt;MAS-US^P_BETA_LOCIDX(45509,45334,,"SPX")&lt;/Q&gt;&lt;R&gt;1&lt;/R&gt;&lt;C&gt;1&lt;/C&gt;&lt;D xsi:type="xsd:double"&gt;0.7093425&lt;/D&gt;&lt;/FQL&gt;&lt;FQL&gt;&lt;Q&gt;MAS-US^P_BETA_LOCIDX(45506,45331,,"SPX")&lt;/Q&gt;&lt;R&gt;1&lt;/R&gt;&lt;C&gt;1&lt;/C&gt;&lt;D xsi:type="xsd:double"&gt;0.70125306&lt;/D&gt;&lt;/FQL&gt;&lt;FQL&gt;&lt;Q&gt;MAS-US^P_BETA_LOCIDX(45505,45330,,"SPX")&lt;/Q&gt;&lt;R&gt;1&lt;/R&gt;&lt;C&gt;1&lt;/C&gt;&lt;D xsi:type="xsd:double"&gt;0.6901639&lt;/D&gt;&lt;/FQL&gt;&lt;FQL&gt;&lt;Q&gt;MAS-US^P_BETA_LOCIDX(45504,45329,,"SPX")&lt;/Q&gt;&lt;R&gt;1&lt;/R&gt;&lt;C&gt;1&lt;/C&gt;&lt;D xsi:type="xsd:double"&gt;0.6835092&lt;/D&gt;&lt;/FQL&gt;&lt;FQL&gt;&lt;Q&gt;MAS-US^P_BETA_LOCIDX(45503,45328,,"SPX")&lt;/Q&gt;&lt;R&gt;1&lt;/R&gt;&lt;C&gt;1&lt;/C&gt;&lt;D xsi:type="xsd:double"&gt;0.7297891&lt;/D&gt;&lt;/FQL&gt;&lt;FQL&gt;&lt;Q&gt;MAS-US^P_BETA_LOCIDX(45502,45327,,"SPX")&lt;/Q&gt;&lt;R&gt;1&lt;/R&gt;&lt;C&gt;1&lt;/C&gt;&lt;D xsi:type="xsd:double"&gt;0.74622977&lt;/D&gt;&lt;/FQL&gt;&lt;FQL&gt;&lt;Q&gt;MAS-US^P_BETA_LOCIDX(45499,45324,,"SPX")&lt;/Q&gt;&lt;R&gt;1&lt;/R&gt;&lt;C&gt;1&lt;/C&gt;&lt;D xsi:type="xsd:double"&gt;0.721761&lt;/D&gt;&lt;/FQL&gt;&lt;FQL&gt;&lt;Q&gt;MAS-US^P_BETA_LOCIDX(45498,45323,,"SPX")&lt;/Q&gt;&lt;R&gt;1&lt;/R&gt;&lt;C&gt;1&lt;/C&gt;&lt;D xsi:type="xsd:double"&gt;0.7342549&lt;/D&gt;&lt;/FQL&gt;&lt;FQL&gt;&lt;Q&gt;MAS-US^P_BETA_LOCIDX(45497,45322,,"SPX")&lt;/Q&gt;&lt;R&gt;1&lt;/R&gt;&lt;C&gt;1&lt;/C&gt;&lt;D xsi:type="xsd:double"&gt;0.82564616&lt;/D&gt;&lt;/FQL&gt;&lt;FQL&gt;&lt;Q&gt;MAS-US^P_BETA_LOCIDX(45496,45321,,"SPX")&lt;/Q&gt;&lt;R&gt;1&lt;/R&gt;&lt;C&gt;1&lt;/C&gt;&lt;D xsi:type="xsd:double"&gt;0.86623615&lt;/D&gt;&lt;/FQL&gt;&lt;FQL&gt;&lt;Q&gt;MAS-US^P_BETA_LOCIDX(45495,45320,,"SPX")&lt;/Q&gt;&lt;R&gt;1&lt;/R&gt;&lt;C&gt;1&lt;/C&gt;&lt;D xsi:type="xsd:double"&gt;0.8693024&lt;/D&gt;&lt;/FQL&gt;&lt;FQL&gt;&lt;Q&gt;MAS-US^P_BETA_LOCIDX(45492,45317,,"SPX")&lt;/Q&gt;&lt;R&gt;1&lt;/R&gt;&lt;C&gt;1&lt;/C&gt;&lt;D xsi:type="xsd:double"&gt;0.88214564&lt;/D&gt;&lt;/FQL&gt;&lt;FQL&gt;&lt;Q&gt;MAS-US^P_BETA_LOCIDX(45491,45316,,"SPX")&lt;/Q&gt;&lt;R&gt;1&lt;/R&gt;&lt;C&gt;1&lt;/C&gt;&lt;D xsi:type="xsd:double"&gt;0.89338976&lt;/D&gt;&lt;/FQL&gt;&lt;FQL&gt;&lt;Q&gt;MAS-US^P_BETA_LOCIDX(45490,45315,,"SPX")&lt;/Q&gt;&lt;R&gt;1&lt;/R&gt;&lt;C&gt;1&lt;/C&gt;&lt;D xsi:type="xsd:double"&gt;0.9119697&lt;/D&gt;&lt;/FQL&gt;&lt;FQL&gt;&lt;Q&gt;MAS-US^P_BETA_LOCIDX(45489,45314,,"SPX")&lt;/Q&gt;&lt;R&gt;1&lt;/R&gt;&lt;C&gt;1&lt;/C&gt;&lt;D xsi:type="xsd:double"&gt;0.89613897&lt;/D&gt;&lt;/FQL&gt;&lt;FQL&gt;&lt;Q&gt;MAS-US^P_BETA_LOCIDX(45488,45313,,"SPX")&lt;/Q&gt;&lt;R&gt;1&lt;/R&gt;&lt;C&gt;1&lt;/C&gt;&lt;D xsi:type="xsd:double"&gt;0.8523058&lt;/D&gt;&lt;/FQL&gt;&lt;FQL&gt;&lt;Q&gt;MAS-US^P_BETA_LOCIDX(45485,45310,,"SPX")&lt;/Q&gt;&lt;R&gt;1&lt;/R&gt;&lt;C&gt;1&lt;/C&gt;&lt;D xsi:type="xsd:double"&gt;0.82917345&lt;/D&gt;&lt;/FQL&gt;&lt;FQL&gt;&lt;Q&gt;MAS-US^P_BETA_LOCIDX(45484,45309,,"SPX")&lt;/Q&gt;&lt;R&gt;1&lt;/R&gt;&lt;C&gt;1&lt;/C&gt;&lt;D xsi:type="xsd:double"&gt;0.8247599&lt;/D&gt;&lt;/FQL&gt;&lt;FQL&gt;&lt;Q&gt;MAS-US^P_BETA_LOCIDX(45483,45308,,"SPX")&lt;/Q&gt;&lt;R&gt;1&lt;/R&gt;&lt;C&gt;1&lt;/C&gt;&lt;D xsi:type="xsd:double"&gt;0.9239015&lt;/D&gt;&lt;/FQL&gt;&lt;FQL&gt;&lt;Q&gt;MAS-US^P_BETA_LOCIDX(45482,45307,,"SPX")&lt;/Q&gt;&lt;R&gt;1&lt;/R&gt;&lt;C&gt;1&lt;/C&gt;&lt;D xsi:type="xsd:double"&gt;0.916834&lt;/D&gt;&lt;/FQL&gt;&lt;FQL&gt;&lt;Q&gt;MAS-US^P_BETA_LOCIDX(45481,45303,,"SPX")&lt;/Q&gt;&lt;R&gt;1&lt;/R&gt;&lt;C&gt;1&lt;/C&gt;&lt;D xsi:type="xsd:double"&gt;0.9178211&lt;/D&gt;&lt;/FQL&gt;&lt;FQL&gt;&lt;Q&gt;MAS-US^P_BETA_LOCIDX(45478,45302,,"SPX")&lt;/Q&gt;&lt;R&gt;1&lt;/R&gt;&lt;C&gt;1&lt;/C&gt;&lt;D xsi:type="xsd:double"&gt;0.9182626&lt;/D&gt;&lt;/FQL&gt;&lt;FQL&gt;&lt;Q&gt;MAS-US^P_BETA_LOCIDX(45476,45301,,"SPX")&lt;/Q&gt;&lt;R&gt;1&lt;/R&gt;&lt;C&gt;1&lt;/C&gt;&lt;D xsi:type="xsd:double"&gt;0.93070275&lt;/D&gt;&lt;/FQL&gt;&lt;FQL&gt;&lt;Q&gt;MAS-US^P_BETA_LOCIDX(45475,45300,,"SPX")&lt;/Q&gt;&lt;R&gt;1&lt;/R&gt;&lt;C&gt;1&lt;/C&gt;&lt;D xsi:type="xsd:double"&gt;0.928267&lt;/D&gt;&lt;/FQL&gt;&lt;FQL&gt;&lt;Q&gt;MAS-US^P_BETA_LOCIDX(45474,45299,,"SPX")&lt;/Q&gt;&lt;R&gt;1&lt;/R&gt;&lt;C&gt;1&lt;/C&gt;&lt;D xsi:type="xsd:double"&gt;0.9683179&lt;/D&gt;&lt;/FQL&gt;&lt;FQL&gt;&lt;Q&gt;MAS-US^P_BETA_LOCIDX(45471,45296,,"SPX")&lt;/Q&gt;&lt;R&gt;1&lt;/R&gt;&lt;C&gt;1&lt;/C&gt;&lt;D xsi:type="xsd:double"&gt;0.97737217&lt;/D&gt;&lt;/FQL&gt;&lt;FQL&gt;&lt;Q&gt;MAS-US^P_BETA_LOCIDX(45470,45295,,"SPX")&lt;/Q&gt;&lt;R&gt;1&lt;/R&gt;&lt;C&gt;1&lt;/C&gt;&lt;D xsi:type="xsd:double"&gt;0.9830589&lt;/D&gt;&lt;/FQL&gt;&lt;FQL&gt;&lt;Q&gt;MAS-US^P_BETA_LOCIDX(45469,45294,,"SPX")&lt;/Q&gt;&lt;R&gt;1&lt;/R&gt;&lt;C&gt;1&lt;/C&gt;&lt;D xsi:type="xsd:double"&gt;1.026152&lt;/D&gt;&lt;/FQL&gt;&lt;FQL&gt;&lt;Q&gt;MAS-US^P_BETA_LOCIDX(45468,45293,,"SPX")&lt;/Q&gt;&lt;R&gt;1&lt;/R&gt;&lt;C&gt;1&lt;/C&gt;&lt;D xsi:type="xsd:double"&gt;1.0241818&lt;/D&gt;&lt;/FQL&gt;&lt;FQL&gt;&lt;Q&gt;MAS-US^P_BETA_LOCIDX(45467,45289,,"SPX")&lt;/Q&gt;&lt;R&gt;1&lt;/R&gt;&lt;C&gt;1&lt;/C&gt;&lt;D xsi:type="xsd:double"&gt;1.0441135&lt;/D&gt;&lt;/FQL&gt;&lt;FQL&gt;&lt;Q&gt;MAS-US^P_BETA_LOCIDX(45464,45288,,"SPX")&lt;/Q&gt;&lt;R&gt;1&lt;/R&gt;&lt;C&gt;1&lt;/C&gt;&lt;D xsi:type="xsd:double"&gt;1.0501465&lt;/D&gt;&lt;/FQL&gt;&lt;FQL&gt;&lt;Q&gt;MAS-US^P_BETA_LOCIDX(45463,45287,,"SPX")&lt;/Q&gt;&lt;R&gt;1&lt;/R&gt;&lt;C&gt;1&lt;/C&gt;&lt;D xsi:type="xsd:double"&gt;1.0485623&lt;/D&gt;&lt;/FQL&gt;&lt;FQL&gt;&lt;Q&gt;MAS-US^P_BETA_LOCIDX(45461,45286,,"SPX")&lt;/Q&gt;&lt;R&gt;1&lt;/R&gt;&lt;C&gt;1&lt;/C&gt;&lt;D xsi:type="xsd:double"&gt;1.0383939&lt;/D&gt;&lt;/FQL&gt;&lt;FQL&gt;&lt;Q&gt;MAS-US^P_BETA_LOCIDX(45460,45282,,"SPX")&lt;/Q&gt;&lt;R&gt;1&lt;/R&gt;&lt;C&gt;1&lt;/C&gt;&lt;D xsi:type="xsd:double"&gt;1.0389842&lt;/D&gt;&lt;/FQL&gt;&lt;FQL&gt;&lt;Q&gt;MAS-US^P_BETA_LOCIDX(45457,45281,,"SPX")&lt;/Q&gt;&lt;R&gt;1&lt;/R&gt;&lt;C&gt;1&lt;/C&gt;&lt;D xsi:type="xsd:double"&gt;1.0331049&lt;/D&gt;&lt;/FQL&gt;&lt;FQL&gt;&lt;Q&gt;MAS-US^P_BETA_LOCIDX(45456,45280,,"SPX")&lt;/Q&gt;&lt;R&gt;1&lt;/R&gt;&lt;C&gt;1&lt;/C&gt;&lt;D xsi:type="xsd:double"&gt;1.0272979&lt;/D&gt;&lt;/FQL&gt;&lt;FQL&gt;&lt;Q&gt;MAS-US^P_BETA_LOCIDX(45455,45279,,"SPX")&lt;/Q&gt;&lt;R&gt;1&lt;/R&gt;&lt;C&gt;1&lt;/C&gt;&lt;D xsi:type="xsd:double"&gt;1.0207642&lt;/D&gt;&lt;/FQL&gt;&lt;FQL&gt;&lt;Q&gt;MAS-US^P_BETA_LOCIDX(45454,45278,,"SPX")&lt;/Q&gt;&lt;R&gt;1&lt;/R&gt;&lt;C&gt;1&lt;/C&gt;&lt;D xsi:type="xsd:double"&gt;0.9888477&lt;/D&gt;&lt;/FQL&gt;&lt;FQL&gt;&lt;Q&gt;MAS-US^P_BETA_LOCIDX(45453,45275,,"SPX")&lt;/Q&gt;&lt;R&gt;1&lt;/R&gt;&lt;C&gt;1&lt;/C&gt;&lt;D xsi:type="xsd:double"&gt;0.9907204&lt;/D&gt;&lt;/FQL&gt;&lt;FQL&gt;&lt;Q&gt;MAS-US^P_BETA_LOCIDX(45450,45274,,"SPX")&lt;/Q&gt;&lt;R&gt;1&lt;/R&gt;&lt;C&gt;1&lt;/C&gt;&lt;D xsi:type="xsd:double"&gt;0.99858224&lt;/D&gt;&lt;/FQL&gt;&lt;FQL&gt;&lt;Q&gt;MAS-US^P_BETA_LOCIDX(45449,45273,,"SPX")&lt;/Q&gt;&lt;R&gt;1&lt;/R&gt;&lt;C&gt;1&lt;/C&gt;&lt;D xsi:type="xsd:double"&gt;1.0306138&lt;/D&gt;&lt;/FQL&gt;&lt;FQL&gt;&lt;Q&gt;MAS-US^P_BETA_LOCIDX(45448,45272,,"SPX")&lt;/Q&gt;&lt;R&gt;1&lt;/R&gt;&lt;C&gt;1&lt;/C&gt;&lt;D xsi:type="xsd:double"&gt;1.0295129&lt;/D&gt;&lt;/FQL&gt;&lt;FQL&gt;&lt;Q&gt;MAS-US^P_BETA_LOCIDX(45447,45271,,"SPX")&lt;/Q&gt;&lt;R&gt;1&lt;/R&gt;&lt;C&gt;1&lt;/C&gt;&lt;D xsi:type="xsd:double"&gt;1.0346481&lt;/D&gt;&lt;/FQL&gt;&lt;FQL&gt;&lt;Q&gt;MAS-US^P_BETA_LOCIDX(45446,45268,,"SPX")&lt;/Q&gt;&lt;R&gt;1&lt;/R&gt;&lt;C&gt;1&lt;/C&gt;&lt;D xsi:type="xsd:double"&gt;1.0387998&lt;/D&gt;&lt;/FQL&gt;&lt;FQL&gt;&lt;Q&gt;MAS-US^P_BETA_LOCIDX(45443,45267,,"SPX")&lt;/Q&gt;&lt;R&gt;1&lt;/R&gt;&lt;C&gt;1&lt;/C&gt;&lt;D xsi:type="xsd:double"&gt;1.0288284&lt;/D&gt;&lt;/FQL&gt;&lt;FQL&gt;&lt;Q&gt;MAS-US^P_BETA_LOCIDX(45442,45266,,"SPX")&lt;/Q&gt;&lt;R&gt;1&lt;/R&gt;&lt;C&gt;1&lt;/C&gt;&lt;D xsi:type="xsd:double"&gt;0.99222755&lt;/D&gt;&lt;/FQL&gt;&lt;FQL&gt;&lt;Q&gt;MAS-US^P_BETA_LOCIDX(45441,45265,,"SPX")&lt;/Q&gt;&lt;R&gt;1&lt;/R&gt;&lt;C&gt;1&lt;/C&gt;&lt;D xsi:type="xsd:double"&gt;1.019415&lt;/D&gt;&lt;/FQL&gt;&lt;FQL&gt;&lt;Q&gt;MAS-US^P_BETA_LOCIDX(45440,45264,,"SPX")&lt;/Q&gt;&lt;R&gt;1&lt;/R&gt;&lt;C&gt;1&lt;/C&gt;&lt;D xsi:type="xsd:double"&gt;1.0159845&lt;/D&gt;&lt;/FQL&gt;&lt;FQL&gt;&lt;Q&gt;MA</t>
        </r>
      </text>
    </comment>
    <comment ref="A17" authorId="0" shapeId="0" xr:uid="{F8FB4999-8F11-4A07-99C1-0448C66170A9}">
      <text>
        <r>
          <rPr>
            <b/>
            <sz val="9"/>
            <color indexed="81"/>
            <rFont val="Tahoma"/>
            <family val="2"/>
          </rPr>
          <t>S-US^P_BETA_LOCIDX(45436,45261,,"SPX")&lt;/Q&gt;&lt;R&gt;1&lt;/R&gt;&lt;C&gt;1&lt;/C&gt;&lt;D xsi:type="xsd:double"&gt;1.0285729&lt;/D&gt;&lt;/FQL&gt;&lt;FQL&gt;&lt;Q&gt;MAS-US^P_BETA_LOCIDX(45435,45260,,"SPX")&lt;/Q&gt;&lt;R&gt;1&lt;/R&gt;&lt;C&gt;1&lt;/C&gt;&lt;D xsi:type="xsd:double"&gt;1.0300624&lt;/D&gt;&lt;/FQL&gt;&lt;FQL&gt;&lt;Q&gt;MAS-US^P_BETA_LOCIDX(45434,45259,,"SPX")&lt;/Q&gt;&lt;R&gt;1&lt;/R&gt;&lt;C&gt;1&lt;/C&gt;&lt;D xsi:type="xsd:double"&gt;1.0244075&lt;/D&gt;&lt;/FQL&gt;&lt;FQL&gt;&lt;Q&gt;MAS-US^P_BETA_LOCIDX(45433,45258,,"SPX")&lt;/Q&gt;&lt;R&gt;1&lt;/R&gt;&lt;C&gt;1&lt;/C&gt;&lt;D xsi:type="xsd:double"&gt;1.02015&lt;/D&gt;&lt;/FQL&gt;&lt;FQL&gt;&lt;Q&gt;MAS-US^P_BETA_LOCIDX(45432,45257,,"SPX")&lt;/Q&gt;&lt;R&gt;1&lt;/R&gt;&lt;C&gt;1&lt;/C&gt;&lt;D xsi:type="xsd:double"&gt;1.0128715&lt;/D&gt;&lt;/FQL&gt;&lt;FQL&gt;&lt;Q&gt;MAS-US^P_BETA_LOCIDX(45429,45254,,"SPX")&lt;/Q&gt;&lt;R&gt;1&lt;/R&gt;&lt;C&gt;1&lt;/C&gt;&lt;D xsi:type="xsd:double"&gt;1.0125067&lt;/D&gt;&lt;/FQL&gt;&lt;FQL&gt;&lt;Q&gt;MAS-US^P_BETA_LOCIDX(45428,45252,,"SPX")&lt;/Q&gt;&lt;R&gt;1&lt;/R&gt;&lt;C&gt;1&lt;/C&gt;&lt;D xsi:type="xsd:double"&gt;1.0122929&lt;/D&gt;&lt;/FQL&gt;&lt;FQL&gt;&lt;Q&gt;MAS-US^P_BETA_LOCIDX(45427,45251,,"SPX")&lt;/Q&gt;&lt;R&gt;1&lt;/R&gt;&lt;C&gt;1&lt;/C&gt;&lt;D xsi:type="xsd:double"&gt;1.0080452&lt;/D&gt;&lt;/FQL&gt;&lt;FQL&gt;&lt;Q&gt;MAS-US^P_BETA_LOCIDX(45426,45250,,"SPX")&lt;/Q&gt;&lt;R&gt;1&lt;/R&gt;&lt;C&gt;1&lt;/C&gt;&lt;D xsi:type="xsd:double"&gt;0.9945946&lt;/D&gt;&lt;/FQL&gt;&lt;FQL&gt;&lt;Q&gt;MAS-US^P_BETA_LOCIDX(45425,45247,,"SPX")&lt;/Q&gt;&lt;R&gt;1&lt;/R&gt;&lt;C&gt;1&lt;/C&gt;&lt;D xsi:type="xsd:double"&gt;0.9951002&lt;/D&gt;&lt;/FQL&gt;&lt;FQL&gt;&lt;Q&gt;MAS-US^P_BETA_LOCIDX(45422,45246,,"SPX")&lt;/Q&gt;&lt;R&gt;1&lt;/R&gt;&lt;C&gt;1&lt;/C&gt;&lt;D xsi:type="xsd:double"&gt;0.98954344&lt;/D&gt;&lt;/FQL&gt;&lt;FQL&gt;&lt;Q&gt;MAS-US^P_BETA_LOCIDX(45421,45245,,"SPX")&lt;/Q&gt;&lt;R&gt;1&lt;/R&gt;&lt;C&gt;1&lt;/C&gt;&lt;D xsi:type="xsd:double"&gt;0.98945767&lt;/D&gt;&lt;/FQL&gt;&lt;FQL&gt;&lt;Q&gt;MAS-US^P_BETA_LOCIDX(45420,45244,,"SPX")&lt;/Q&gt;&lt;R&gt;1&lt;/R&gt;&lt;C&gt;1&lt;/C&gt;&lt;D xsi:type="xsd:double"&gt;1.1083736&lt;/D&gt;&lt;/FQL&gt;&lt;FQL&gt;&lt;Q&gt;MAS-US^P_BETA_LOCIDX(45419,45243,,"SPX")&lt;/Q&gt;&lt;R&gt;1&lt;/R&gt;&lt;C&gt;1&lt;/C&gt;&lt;D xsi:type="xsd:double"&gt;1.1116787&lt;/D&gt;&lt;/FQL&gt;&lt;FQL&gt;&lt;Q&gt;MAS-US^P_BETA_LOCIDX(45418,45240,,"SPX")&lt;/Q&gt;&lt;R&gt;1&lt;/R&gt;&lt;C&gt;1&lt;/C&gt;&lt;D xsi:type="xsd:double"&gt;1.0989275&lt;/D&gt;&lt;/FQL&gt;&lt;FQL&gt;&lt;Q&gt;MAS-US^P_BETA_LOCIDX(45415,45239,,"SPX")&lt;/Q&gt;&lt;R&gt;1&lt;/R&gt;&lt;C&gt;1&lt;/C&gt;&lt;D xsi:type="xsd:double"&gt;1.1142923&lt;/D&gt;&lt;/FQL&gt;&lt;FQL&gt;&lt;Q&gt;MAS-US^P_BETA_LOCIDX(45414,45238,,"SPX")&lt;/Q&gt;&lt;R&gt;1&lt;/R&gt;&lt;C&gt;1&lt;/C&gt;&lt;D xsi:type="xsd:double"&gt;1.1246598&lt;/D&gt;&lt;/FQL&gt;&lt;FQL&gt;&lt;Q&gt;MAS-US^P_BETA_LOCIDX(45413,45237,,"SPX")&lt;/Q&gt;&lt;R&gt;1&lt;/R&gt;&lt;C&gt;1&lt;/C&gt;&lt;D xsi:type="xsd:double"&gt;1.1330504&lt;/D&gt;&lt;/FQL&gt;&lt;FQL&gt;&lt;Q&gt;MAS-US^P_BETA_LOCIDX(45412,45236,,"SPX")&lt;/Q&gt;&lt;R&gt;1&lt;/R&gt;&lt;C&gt;1&lt;/C&gt;&lt;D xsi:type="xsd:double"&gt;1.1360774&lt;/D&gt;&lt;/FQL&gt;&lt;FQL&gt;&lt;Q&gt;MAS-US^P_BETA_LOCIDX(45411,45233,,"SPX")&lt;/Q&gt;&lt;R&gt;1&lt;/R&gt;&lt;C&gt;1&lt;/C&gt;&lt;D xsi:type="xsd:double"&gt;1.1347002&lt;/D&gt;&lt;/FQL&gt;&lt;FQL&gt;&lt;Q&gt;MAS-US^P_BETA_LOCIDX(45408,45232,,"SPX")&lt;/Q&gt;&lt;R&gt;1&lt;/R&gt;&lt;C&gt;1&lt;/C&gt;&lt;D xsi:type="xsd:double"&gt;1.1348194&lt;/D&gt;&lt;/FQL&gt;&lt;FQL&gt;&lt;Q&gt;MAS-US^P_BETA_LOCIDX(45407,45231,,"SPX")&lt;/Q&gt;&lt;R&gt;1&lt;/R&gt;&lt;C&gt;1&lt;/C&gt;&lt;D xsi:type="xsd:double"&gt;1.1517127&lt;/D&gt;&lt;/FQL&gt;&lt;FQL&gt;&lt;Q&gt;MAS-US^P_BETA_LOCIDX(45406,45230,,"SPX")&lt;/Q&gt;&lt;R&gt;1&lt;/R&gt;&lt;C&gt;1&lt;/C&gt;&lt;D xsi:type="xsd:double"&gt;1.1557395&lt;/D&gt;&lt;/FQL&gt;&lt;FQL&gt;&lt;Q&gt;MAS-US^P_BETA_LOCIDX(45405,45229,,"SPX")&lt;/Q&gt;&lt;R&gt;1&lt;/R&gt;&lt;C&gt;1&lt;/C&gt;&lt;D xsi:type="xsd:double"&gt;1.1458806&lt;/D&gt;&lt;/FQL&gt;&lt;FQL&gt;&lt;Q&gt;MAS-US^P_BETA_LOCIDX(45404,45226,,"SPX")&lt;/Q&gt;&lt;R&gt;1&lt;/R&gt;&lt;C&gt;1&lt;/C&gt;&lt;D xsi:type="xsd:double"&gt;1.1529914&lt;/D&gt;&lt;/FQL&gt;&lt;FQL&gt;&lt;Q&gt;MAS-US^P_BETA_LOCIDX(45401,45225,,"SPX")&lt;/Q&gt;&lt;R&gt;1&lt;/R&gt;&lt;C&gt;1&lt;/C&gt;&lt;D xsi:type="xsd:double"&gt;0.9957153&lt;/D&gt;&lt;/FQL&gt;&lt;FQL&gt;&lt;Q&gt;MAS-US^P_BETA_LOCIDX(45400,45224,,"SPX")&lt;/Q&gt;&lt;R&gt;1&lt;/R&gt;&lt;C&gt;1&lt;/C&gt;&lt;D xsi:type="xsd:double"&gt;1.0099932&lt;/D&gt;&lt;/FQL&gt;&lt;FQL&gt;&lt;Q&gt;MAS-US^P_BETA_LOCIDX(45399,45223,,"SPX")&lt;/Q&gt;&lt;R&gt;1&lt;/R&gt;&lt;C&gt;1&lt;/C&gt;&lt;D xsi:type="xsd:double"&gt;0.9889717&lt;/D&gt;&lt;/FQL&gt;&lt;FQL&gt;&lt;Q&gt;MAS-US^P_BETA_LOCIDX(45398,45222,,"SPX")&lt;/Q&gt;&lt;R&gt;1&lt;/R&gt;&lt;C&gt;1&lt;/C&gt;&lt;D xsi:type="xsd:double"&gt;0.99140495&lt;/D&gt;&lt;/FQL&gt;&lt;FQL&gt;&lt;Q&gt;MAS-US^P_BETA_LOCIDX(45397,45219,,"SPX")&lt;/Q&gt;&lt;R&gt;1&lt;/R&gt;&lt;C&gt;1&lt;/C&gt;&lt;D xsi:type="xsd:double"&gt;0.97512746&lt;/D&gt;&lt;/FQL&gt;&lt;FQL&gt;&lt;Q&gt;MAS-US^P_BETA_LOCIDX(45394,45218,,"SPX")&lt;/Q&gt;&lt;R&gt;1&lt;/R&gt;&lt;C&gt;1&lt;/C&gt;&lt;D xsi:type="xsd:double"&gt;0.99228925&lt;/D&gt;&lt;/FQL&gt;&lt;FQL&gt;&lt;Q&gt;MAS-US^P_BETA_LOCIDX(45393,45217,,"SPX")&lt;/Q&gt;&lt;R&gt;1&lt;/R&gt;&lt;C&gt;1&lt;/C&gt;&lt;D xsi:type="xsd:double"&gt;1.0773755&lt;/D&gt;&lt;/FQL&gt;&lt;FQL&gt;&lt;Q&gt;MAS-US^P_BETA_LOCIDX(45392,45216,,"SPX")&lt;/Q&gt;&lt;R&gt;1&lt;/R&gt;&lt;C&gt;1&lt;/C&gt;&lt;D xsi:type="xsd:double"&gt;1.0929806&lt;/D&gt;&lt;/FQL&gt;&lt;FQL&gt;&lt;Q&gt;MAS-US^P_BETA_LOCIDX(45391,45215,,"SPX")&lt;/Q&gt;&lt;R&gt;1&lt;/R&gt;&lt;C&gt;1&lt;/C&gt;&lt;D xsi:type="xsd:double"&gt;1.0667892&lt;/D&gt;&lt;/FQL&gt;&lt;FQL&gt;&lt;Q&gt;MAS-US^P_BETA_LOCIDX(45390,45212,,"SPX")&lt;/Q&gt;&lt;R&gt;1&lt;/R&gt;&lt;C&gt;1&lt;/C&gt;&lt;D xsi:type="xsd:double"&gt;1.0730166&lt;/D&gt;&lt;/FQL&gt;&lt;FQL&gt;&lt;Q&gt;MAS-US^P_BETA_LOCIDX(45387,45211,,"SPX")&lt;/Q&gt;&lt;R&gt;1&lt;/R&gt;&lt;C&gt;1&lt;/C&gt;&lt;D xsi:type="xsd:double"&gt;1.1125203&lt;/D&gt;&lt;/FQL&gt;&lt;FQL&gt;&lt;Q&gt;MAS-US^P_BETA_LOCIDX(45386,45210,,"SPX")&lt;/Q&gt;&lt;R&gt;1&lt;/R&gt;&lt;C&gt;1&lt;/C&gt;&lt;D xsi:type="xsd:double"&gt;1.1331031&lt;/D&gt;&lt;/FQL&gt;&lt;FQL&gt;&lt;Q&gt;MAS-US^P_BETA_LOCIDX(45385,45209,,"SPX")&lt;/Q&gt;&lt;R&gt;1&lt;/R&gt;&lt;C&gt;1&lt;/C&gt;&lt;D xsi:type="xsd:double"&gt;1.1229862&lt;/D&gt;&lt;/FQL&gt;&lt;FQL&gt;&lt;Q&gt;MAS-US^P_BETA_LOCIDX(45384,45208,,"SPX")&lt;/Q&gt;&lt;R&gt;1&lt;/R&gt;&lt;C&gt;1&lt;/C&gt;&lt;D xsi:type="xsd:double"&gt;1.116951&lt;/D&gt;&lt;/FQL&gt;&lt;FQL&gt;&lt;Q&gt;MAS-US^P_BETA_LOCIDX(45383,45205,,"SPX")&lt;/Q&gt;&lt;R&gt;1&lt;/R&gt;&lt;C&gt;1&lt;/C&gt;&lt;D xsi:type="xsd:double"&gt;1.0922408&lt;/D&gt;&lt;/FQL&gt;&lt;FQL&gt;&lt;Q&gt;MAS-US^P_BETA_LOCIDX(45379,45204,,"SPX")&lt;/Q&gt;&lt;R&gt;1&lt;/R&gt;&lt;C&gt;1&lt;/C&gt;&lt;D xsi:type="xsd:double"&gt;1.0842026&lt;/D&gt;&lt;/FQL&gt;&lt;FQL&gt;&lt;Q&gt;MAS-US^P_BETA_LOCIDX(45378,45203,,"SPX")&lt;/Q&gt;&lt;R&gt;1&lt;/R&gt;&lt;C&gt;1&lt;/C&gt;&lt;D xsi:type="xsd:double"&gt;1.0873362&lt;/D&gt;&lt;/FQL&gt;&lt;FQL&gt;&lt;Q&gt;MAS-US^P_BETA_LOCIDX(45377,45202,,"SPX")&lt;/Q&gt;&lt;R&gt;1&lt;/R&gt;&lt;C&gt;1&lt;/C&gt;&lt;D xsi:type="xsd:double"&gt;1.091624&lt;/D&gt;&lt;/FQL&gt;&lt;FQL&gt;&lt;Q&gt;MAS-US^P_BETA_LOCIDX(45376,45201,,"SPX")&lt;/Q&gt;&lt;R&gt;1&lt;/R&gt;&lt;C&gt;1&lt;/C&gt;&lt;D xsi:type="xsd:double"&gt;1.1023759&lt;/D&gt;&lt;/FQL&gt;&lt;FQL&gt;&lt;Q&gt;MAS-US^P_BETA_LOCIDX(45373,45198,,"SPX")&lt;/Q&gt;&lt;R&gt;1&lt;/R&gt;&lt;C&gt;1&lt;/C&gt;&lt;D xsi:type="xsd:double"&gt;1.103266&lt;/D&gt;&lt;/FQL&gt;&lt;FQL&gt;&lt;Q&gt;MAS-US^P_BETA_LOCIDX(45372,45197,,"SPX")&lt;/Q&gt;&lt;R&gt;1&lt;/R&gt;&lt;C&gt;1&lt;/C&gt;&lt;D xsi:type="xsd:double"&gt;1.1052822&lt;/D&gt;&lt;/FQL&gt;&lt;FQL&gt;&lt;Q&gt;MAS-US^P_BETA_LOCIDX(45371,45196,,"SPX")&lt;/Q&gt;&lt;R&gt;1&lt;/R&gt;&lt;C&gt;1&lt;/C&gt;&lt;D xsi:type="xsd:double"&gt;1.0982035&lt;/D&gt;&lt;/FQL&gt;&lt;FQL&gt;&lt;Q&gt;MAS-US^P_BETA_LOCIDX(45370,45195,,"SPX")&lt;/Q&gt;&lt;R&gt;1&lt;/R&gt;&lt;C&gt;1&lt;/C&gt;&lt;D xsi:type="xsd:double"&gt;1.0912963&lt;/D&gt;&lt;/FQL&gt;&lt;FQL&gt;&lt;Q&gt;MAS-US^P_BETA_LOCIDX(45369,45194,,"SPX")&lt;/Q&gt;&lt;R&gt;1&lt;/R&gt;&lt;C&gt;1&lt;/C&gt;&lt;D xsi:type="xsd:double"&gt;1.0825971&lt;/D&gt;&lt;/FQL&gt;&lt;FQL&gt;&lt;Q&gt;MAS-US^P_BETA_LOCIDX(45366,45191,,"SPX")&lt;/Q&gt;&lt;R&gt;1&lt;/R&gt;&lt;C&gt;1&lt;/C&gt;&lt;D xsi:type="xsd:double"&gt;1.095956&lt;/D&gt;&lt;/FQL&gt;&lt;FQL&gt;&lt;Q&gt;MAS-US^P_BETA_LOCIDX(45365,45190,,"SPX")&lt;/Q&gt;&lt;R&gt;1&lt;/R&gt;&lt;C&gt;1&lt;/C&gt;&lt;D xsi:type="xsd:double"&gt;1.1095283&lt;/D&gt;&lt;/FQL&gt;&lt;FQL&gt;&lt;Q&gt;MAS-US^P_BETA_LOCIDX(45364,45189,,"SPX")&lt;/Q&gt;&lt;R&gt;1&lt;/R&gt;&lt;C&gt;1&lt;/C&gt;&lt;D xsi:type="xsd:double"&gt;1.1118681&lt;/D&gt;&lt;/FQL&gt;&lt;FQL&gt;&lt;Q&gt;MAS-US^P_BETA_LOCIDX(45363,45188,,"SPX")&lt;/Q&gt;&lt;R&gt;1&lt;/R&gt;&lt;C&gt;1&lt;/C&gt;&lt;D xsi:type="xsd:double"&gt;1.1049365&lt;/D&gt;&lt;/FQL&gt;&lt;FQL&gt;&lt;Q&gt;MAS-US^P_BETA_LOCIDX(45362,45187,,"SPX")&lt;/Q&gt;&lt;R&gt;1&lt;/R&gt;&lt;C&gt;1&lt;/C&gt;&lt;D xsi:type="xsd:double"&gt;1.1169183&lt;/D&gt;&lt;/FQL&gt;&lt;FQL&gt;&lt;Q&gt;MAS-US^P_BETA_LOCIDX(45359,45184,,"SPX")&lt;/Q&gt;&lt;R&gt;1&lt;/R&gt;&lt;C&gt;1&lt;/C&gt;&lt;D xsi:type="xsd:double"&gt;1.1277372&lt;/D&gt;&lt;/FQL&gt;&lt;FQL&gt;&lt;Q&gt;MAS-US^P_BETA_LOCIDX(45358,45183,,"SPX")&lt;/Q&gt;&lt;R&gt;1&lt;/R&gt;&lt;C&gt;1&lt;/C&gt;&lt;D xsi:type="xsd:double"&gt;1.1264929&lt;/D&gt;&lt;/FQL&gt;&lt;FQL&gt;&lt;Q&gt;MAS-US^P_BETA_LOCIDX(45357,45182,,"SPX")&lt;/Q&gt;&lt;R&gt;1&lt;/R&gt;&lt;C&gt;1&lt;/C&gt;&lt;D xsi:type="xsd:double"&gt;1.1312084&lt;/D&gt;&lt;/FQL&gt;&lt;FQL&gt;&lt;Q&gt;MAS-US^P_BETA_LOCIDX(45356,45181,,"SPX")&lt;/Q&gt;&lt;R&gt;1&lt;/R&gt;&lt;C&gt;1&lt;/C&gt;&lt;D xsi:type="xsd:double"&gt;1.1456517&lt;/D&gt;&lt;/FQL&gt;&lt;FQL&gt;&lt;Q&gt;MAS-US^P_BETA_LOCIDX(45355,45180,,"SPX")&lt;/Q&gt;&lt;R&gt;1&lt;/R&gt;&lt;C&gt;1&lt;/C&gt;&lt;D xsi:type="xsd:double"&gt;1.1339393&lt;/D&gt;&lt;/FQL&gt;&lt;FQL&gt;&lt;Q&gt;MAS-US^P_BETA_LOCIDX(45352,45177,,"SPX")&lt;/Q&gt;&lt;R&gt;1&lt;/R&gt;&lt;C&gt;1&lt;/C&gt;&lt;D xsi:type="xsd:double"&gt;1.1347936&lt;/D&gt;&lt;/FQL&gt;&lt;FQL&gt;&lt;Q&gt;MAS-US^P_BETA_LOCIDX(45351,45176,,"SPX")&lt;/Q&gt;&lt;R&gt;1&lt;/R&gt;&lt;C&gt;1&lt;/C&gt;&lt;D xsi:type="xsd:double"&gt;1.1433634&lt;/D&gt;&lt;/FQL&gt;&lt;FQL&gt;&lt;Q&gt;MAS-US^P_BETA_LOCIDX(45350,45175,,"SPX")&lt;/Q&gt;&lt;R&gt;1&lt;/R&gt;&lt;C&gt;1&lt;/C&gt;&lt;D xsi:type="xsd:double"&gt;1.1313723&lt;/D&gt;&lt;/FQL&gt;&lt;FQL&gt;&lt;Q&gt;MAS-US^P_BETA_LOCIDX(45349,45174,,"SPX")&lt;/Q&gt;&lt;R&gt;1&lt;/R&gt;&lt;C&gt;1&lt;/C&gt;&lt;D xsi:type="xsd:double"&gt;1.1600592&lt;/D&gt;&lt;/FQL&gt;&lt;FQL&gt;&lt;Q&gt;MAS-US^P_BETA_LOCIDX(45348,45170,,"SPX")&lt;/Q&gt;&lt;R&gt;1&lt;/R&gt;&lt;C&gt;1&lt;/C&gt;&lt;D xsi:type="xsd:double"&gt;1.1596066&lt;/D&gt;&lt;/FQL&gt;&lt;FQL&gt;&lt;Q&gt;MAS-US^P_BETA_LOCIDX(45345,45169,,"SPX")&lt;/Q&gt;&lt;R&gt;1&lt;/R&gt;&lt;C&gt;1&lt;/C&gt;&lt;D xsi:type="xsd:double"&gt;1.1638553&lt;/D&gt;&lt;/FQL&gt;&lt;FQL&gt;&lt;Q&gt;MAS-US^P_BETA_LOCIDX(45344,45168,,"SPX")&lt;/Q&gt;&lt;R&gt;1&lt;/R&gt;&lt;C&gt;1&lt;/C&gt;&lt;D xsi:type="xsd:double"&gt;1.1656065&lt;/D&gt;&lt;/FQL&gt;&lt;FQL&gt;&lt;Q&gt;MAS-US^P_BETA_LOCIDX(45343,45167,,"SPX")&lt;/Q&gt;&lt;R&gt;1&lt;/R&gt;&lt;C&gt;1&lt;/C&gt;&lt;D xsi:type="xsd:double"&gt;1.2313306&lt;/D&gt;&lt;/FQL&gt;&lt;FQL&gt;&lt;Q&gt;MAS-US^P_BETA_LOCIDX(45342,45166,,"SPX")&lt;/Q&gt;&lt;R&gt;1&lt;/R&gt;&lt;C&gt;1&lt;/C&gt;&lt;D xsi:type="xsd:double"&gt;1.226681&lt;/D&gt;&lt;/FQL&gt;&lt;FQL&gt;&lt;Q&gt;MAS-US^P_BETA_LOCIDX(45338,45163,,"SPX")&lt;/Q&gt;&lt;R&gt;1&lt;/R&gt;&lt;C&gt;1&lt;/C&gt;&lt;D xsi:type="xsd:double"&gt;1.2391876&lt;/D&gt;&lt;/FQL&gt;&lt;FQL&gt;&lt;Q&gt;MAS-US^P_BETA_LOCIDX(45337,45162,,"SPX")&lt;/Q&gt;&lt;R&gt;1&lt;/R&gt;&lt;C&gt;1&lt;/C&gt;&lt;D xsi:type="xsd:double"&gt;1.2249306&lt;/D&gt;&lt;/FQL&gt;&lt;FQL&gt;&lt;Q&gt;MAS-US^P_BETA_LOCIDX(45336,45161,,"SPX")&lt;/Q&gt;&lt;R&gt;1&lt;/R&gt;&lt;C&gt;1&lt;/C&gt;&lt;D xsi:type="xsd:double"&gt;1.2333195&lt;/D&gt;&lt;/FQL&gt;&lt;FQL&gt;&lt;Q&gt;MAS-US^P_BETA_LOCIDX(45335,45160,,"SPX")&lt;/Q&gt;&lt;R&gt;1&lt;/R&gt;&lt;C&gt;1&lt;/C&gt;&lt;D xsi:type="xsd:double"&gt;1.2309774&lt;/D&gt;&lt;/FQL&gt;&lt;FQL&gt;&lt;Q&gt;MAS-US^P_BETA_LOCIDX(45334,45159,,"SPX")&lt;/Q&gt;&lt;R&gt;1&lt;/R&gt;&lt;C&gt;1&lt;/C&gt;&lt;D xsi:type="xsd:double"&gt;1.2244678&lt;/D&gt;&lt;/FQL&gt;&lt;FQL&gt;&lt;Q&gt;MAS-US^P_BETA_LOCIDX(45331,45156,,"SPX")&lt;/Q&gt;&lt;R&gt;1&lt;/R&gt;&lt;C&gt;1&lt;/C&gt;&lt;D xsi:type="xsd:double"&gt;1.2263111&lt;/D&gt;&lt;/FQL&gt;&lt;FQL&gt;&lt;Q&gt;MAS-US^P_BETA_LOCIDX(45330,45155,,"SPX")&lt;/Q&gt;&lt;R&gt;1&lt;/R&gt;&lt;C&gt;1&lt;/C&gt;&lt;D xsi:type="xsd:double"&gt;1.2616181&lt;/D&gt;&lt;/FQL&gt;&lt;FQL&gt;&lt;Q&gt;MAS-US^P_BETA_LOCIDX(45329,45154,,"SPX")&lt;/Q&gt;&lt;R&gt;1&lt;/R&gt;&lt;C&gt;1&lt;/C&gt;&lt;D xsi:type="xsd:double"&gt;1.2747629&lt;/D&gt;&lt;/FQL&gt;&lt;FQL&gt;&lt;Q&gt;MAS-US^P_BETA_LOCIDX(45328,45153,,"SPX")&lt;/Q&gt;&lt;R&gt;1&lt;/R&gt;&lt;C&gt;1&lt;/C&gt;&lt;D xsi:type="xsd:double"&gt;1.2418022&lt;/D&gt;&lt;/FQL&gt;&lt;FQL&gt;&lt;Q&gt;MAS-US^P_BETA_LOCIDX(45327,45152,,"SPX")&lt;/Q&gt;&lt;R&gt;1&lt;/R&gt;&lt;C&gt;1&lt;/C&gt;&lt;D xsi:type="xsd:double"&gt;1.2422367&lt;/D&gt;&lt;/FQL&gt;&lt;FQL&gt;&lt;Q&gt;MAS-US^P_BETA_LOCIDX(45324,45149,,"SPX")&lt;/Q&gt;&lt;R&gt;1&lt;/R&gt;&lt;C&gt;1&lt;/C&gt;&lt;D xsi:type="xsd:double"&gt;1.2391987&lt;/D&gt;&lt;/FQL&gt;&lt;FQL&gt;&lt;Q&gt;MAS-US^P_BETA_LOCIDX(45323,45148,,"SPX")&lt;/Q&gt;&lt;R&gt;1&lt;/R&gt;&lt;C&gt;1&lt;/C&gt;&lt;D xsi:type="xsd:double"&gt;1.26891&lt;/D&gt;&lt;/FQL&gt;&lt;FQL&gt;&lt;Q&gt;MAS-US^P_BETA_LOCIDX(45322,45147,,"SPX")&lt;/Q&gt;&lt;R&gt;1&lt;/R&gt;&lt;C&gt;1&lt;/C&gt;&lt;D xsi:type="xsd:double"&gt;1.2493443&lt;/D&gt;&lt;/FQL&gt;&lt;FQL&gt;&lt;Q&gt;MAS-US^P_BETA_LOCIDX(45321,45146,,"SPX")&lt;/Q&gt;&lt;R&gt;1&lt;/R&gt;&lt;C&gt;1&lt;/C&gt;&lt;D xsi:type="xsd:double"&gt;1.2545408&lt;/D&gt;&lt;/FQL&gt;&lt;FQL&gt;&lt;Q&gt;MAS-US^P_BETA_LOCIDX(45320,45145,,"SPX")&lt;/Q&gt;&lt;R&gt;1&lt;/R&gt;&lt;C&gt;1&lt;/C&gt;&lt;D xsi:type="xsd:double"&gt;1.2560753&lt;/D&gt;&lt;/FQL&gt;&lt;FQL&gt;&lt;Q&gt;MAS-US^P_BETA_LOCIDX(45317,45142,,"SPX")&lt;/Q&gt;&lt;R&gt;1&lt;/R&gt;&lt;C&gt;1&lt;/C&gt;&lt;D xsi:type="xsd:double"&gt;1.2418399&lt;/D&gt;&lt;/FQL&gt;&lt;FQL&gt;&lt;Q&gt;MAS-US^P_BETA_LOCIDX(45316,45141,,"SPX")&lt;/Q&gt;&lt;R&gt;1&lt;/R&gt;&lt;C&gt;1&lt;/C&gt;&lt;D xsi:type="xsd:double"&gt;1.2506797&lt;/D&gt;&lt;/FQL&gt;&lt;FQL&gt;&lt;Q&gt;MAS-US^P_BETA_LOCIDX(45315,45140,,"SPX")&lt;/Q&gt;&lt;R&gt;1&lt;/R&gt;&lt;C&gt;1&lt;/C&gt;&lt;D xsi:type="xsd:double"&gt;1.232107&lt;/D&gt;&lt;/FQL&gt;&lt;FQL&gt;&lt;Q&gt;MAS-US^P_BETA_LOCIDX(45314,45139,,"SPX")&lt;/Q&gt;&lt;R&gt;1&lt;/R&gt;&lt;C&gt;1&lt;/C&gt;&lt;D xsi:type="xsd:double"&gt;1.2257051&lt;/D&gt;&lt;/FQL&gt;&lt;FQL&gt;&lt;Q&gt;MAS-US^P_BETA_LOCIDX(45313,45138,,"SPX")&lt;/Q&gt;&lt;R&gt;1&lt;/R&gt;&lt;C&gt;1&lt;/C&gt;&lt;D xsi:type="xsd:double"&gt;1.2358822&lt;/D&gt;&lt;/FQL&gt;&lt;FQL&gt;&lt;Q&gt;MAS-US^P_BETA_LOCIDX(45310,45135,,"SPX")&lt;/Q&gt;&lt;R&gt;1&lt;/R&gt;&lt;C&gt;1&lt;/C&gt;&lt;D xsi:type="xsd:double"&gt;1.199297&lt;/D&gt;&lt;/FQL&gt;&lt;FQL&gt;&lt;Q&gt;MAS-US^P_BETA_LOCIDX(45309,45134,,"SPX")&lt;/Q&gt;&lt;R&gt;1&lt;/R&gt;&lt;C&gt;1&lt;/C&gt;&lt;D xsi:type="xsd:double"&gt;1.2152019&lt;/D&gt;&lt;/FQL&gt;&lt;FQL&gt;&lt;Q&gt;MAS-US^P_BETA_LOCIDX(45308,45133,,"SPX")&lt;/Q&gt;&lt;R&gt;1&lt;/R&gt;&lt;C&gt;1&lt;/C&gt;&lt;D xsi:type="xsd:double"&gt;1.2111849&lt;/D&gt;&lt;/FQL&gt;&lt;FQL&gt;&lt;Q&gt;MAS-US^P_BETA_LOCIDX(45307,45132,,"SPX")&lt;/Q&gt;&lt;R&gt;1&lt;/R&gt;&lt;C&gt;1&lt;/C&gt;&lt;D xsi:type="xsd:double"&gt;1.22038&lt;/D&gt;&lt;/FQL&gt;&lt;FQL&gt;&lt;Q&gt;MAS-US^P_BETA_LOCIDX(45303,45131,,"SPX")&lt;/Q&gt;&lt;R&gt;1&lt;/R&gt;&lt;C&gt;1&lt;/C&gt;&lt;D xsi:type="xsd:double"&gt;1.2227482&lt;/D&gt;&lt;/FQL&gt;&lt;FQL&gt;&lt;Q&gt;MAS-US^P_BETA_LOCIDX(45302,45128,,"SPX")&lt;/Q&gt;&lt;R&gt;1&lt;/R&gt;&lt;C&gt;1&lt;/C&gt;&lt;D xsi:type="xsd:double"&gt;1.2235364&lt;/D&gt;&lt;/FQL&gt;&lt;FQL&gt;&lt;Q&gt;MAS-US^P_BETA_LOCIDX(45301,45127,,"SPX")&lt;/Q&gt;&lt;R&gt;1&lt;/R&gt;&lt;C&gt;1&lt;/C&gt;&lt;D xsi:type="xsd:double"&gt;1.2302836&lt;/D&gt;&lt;/FQL&gt;&lt;FQL&gt;&lt;Q&gt;MAS-US^P_BETA_LOCIDX(45300,45126,,"SPX")&lt;/Q&gt;&lt;R&gt;1&lt;/R&gt;&lt;C&gt;1&lt;/C&gt;&lt;D xsi:type="xsd:double"&gt;1.2229371&lt;/D&gt;&lt;/FQL&gt;&lt;FQL&gt;&lt;Q&gt;MAS-US^P_BETA_LOCIDX(45299,45125,,"SPX")&lt;/Q&gt;&lt;R&gt;1&lt;/R&gt;&lt;C&gt;1&lt;/C&gt;&lt;D xsi:type="xsd:double"&gt;1.2210433&lt;/D&gt;&lt;/FQL&gt;&lt;FQL&gt;&lt;Q&gt;MAS-US^P_BETA_LOCIDX(45296,45124,,"SPX")&lt;/Q&gt;&lt;R&gt;1&lt;/R&gt;&lt;C&gt;1&lt;/C&gt;&lt;D xsi:type="xsd:double"&gt;1.2022547&lt;/D&gt;&lt;/FQL&gt;&lt;FQL&gt;&lt;Q&gt;MAS-US^P_BETA_LOCIDX(45295,45121,,"SPX")&lt;/Q&gt;&lt;R&gt;1&lt;/R&gt;&lt;C&gt;1&lt;/C&gt;&lt;D xsi:type="xsd:double"&gt;1.2001168&lt;/D&gt;&lt;/FQL&gt;&lt;FQL&gt;&lt;Q&gt;MAS-US^P_BETA_LOCIDX(45294,45120,,"SPX")&lt;/Q&gt;&lt;R&gt;1&lt;/R&gt;&lt;C&gt;1&lt;/C&gt;&lt;D xsi:type="xsd:double"&gt;1.2109482&lt;/D&gt;&lt;/FQL&gt;&lt;FQL&gt;&lt;Q&gt;MAS-US^P_BETA_LOCIDX(45293,45119,,"SPX")&lt;/Q&gt;&lt;R&gt;1&lt;/R&gt;&lt;C&gt;1&lt;/C&gt;&lt;D xsi:type="xsd:double"&gt;1.1907839&lt;/D&gt;&lt;/FQL&gt;&lt;FQL&gt;&lt;Q&gt;MAS-US^P_BETA_LOCIDX(45289,45118,,"SPX")&lt;/Q&gt;&lt;R&gt;1&lt;/R&gt;&lt;C&gt;1&lt;/C&gt;&lt;D xsi:type="xsd:double"&gt;1.197733&lt;/D&gt;&lt;/FQL&gt;&lt;FQL&gt;&lt;Q&gt;MAS-US^P_BETA_LOCIDX(45288,45117,,"SPX")&lt;/Q&gt;&lt;R&gt;1&lt;/R&gt;&lt;C&gt;1&lt;/C&gt;&lt;D xsi:type="xsd:double"&gt;1.2043788&lt;/D&gt;&lt;/FQL&gt;&lt;FQL&gt;&lt;Q&gt;MAS-US^P_BETA_LOCIDX(45287,45114,,"SPX")&lt;/Q&gt;&lt;R&gt;1&lt;/R&gt;&lt;C&gt;1&lt;/C&gt;&lt;D xsi:type="xsd:double"&gt;1.2027501&lt;/D&gt;&lt;/FQL&gt;&lt;FQL&gt;&lt;Q&gt;MAS-US^P_BETA_LOCIDX(45286,45113,,"SPX")&lt;/Q&gt;&lt;R&gt;1&lt;/R&gt;&lt;C&gt;1&lt;/C&gt;&lt;D xsi:type="xsd:double"&gt;1.2137477&lt;/D&gt;&lt;/FQL&gt;&lt;FQL&gt;&lt;Q&gt;MAS-US^P_BETA_LOCIDX(45282,45112,,"SPX")&lt;/Q&gt;&lt;R&gt;1&lt;/R&gt;&lt;C&gt;1&lt;/C&gt;&lt;D xsi:type="xsd:double"&gt;1.2207783&lt;/D&gt;&lt;/FQL&gt;&lt;FQL&gt;&lt;Q&gt;MAS-US^P_BETA_LOCIDX(45281,45110,,"SPX")&lt;/Q&gt;&lt;R&gt;1&lt;/R&gt;&lt;C&gt;1&lt;/C&gt;&lt;D xsi:type="xsd:double"&gt;1.2205886&lt;/D&gt;&lt;/FQL&gt;&lt;FQL&gt;&lt;Q&gt;MAS-US^P_BETA_LOCIDX(45280,45107,,"SPX")&lt;/Q&gt;&lt;R&gt;1&lt;/R&gt;&lt;C&gt;1&lt;/C&gt;&lt;D xsi:type="xsd:double"&gt;1.206303&lt;/D&gt;&lt;/FQL&gt;&lt;FQL&gt;&lt;Q&gt;MAS-US^P_BETA_LOCIDX(45279,45106,,"SPX")&lt;/Q&gt;&lt;R&gt;1&lt;/R&gt;&lt;C&gt;1&lt;/C&gt;&lt;D xsi:type="xsd:double"&gt;1.2117301&lt;/D&gt;&lt;/FQL&gt;&lt;FQL&gt;&lt;Q&gt;MAS-US^P_BETA_LOCIDX(45278,45105,,"SPX")&lt;/Q&gt;&lt;R&gt;1&lt;/R&gt;&lt;C&gt;1&lt;/C&gt;&lt;D xsi:type="xsd:double"&gt;1.2169211&lt;/D&gt;&lt;/FQL&gt;&lt;FQL&gt;&lt;Q&gt;MAS-US^P_BETA_LOCIDX(45275,45104,,"SPX")&lt;/Q&gt;&lt;R&gt;1&lt;/R&gt;&lt;C&gt;1&lt;/C&gt;&lt;D xsi:type="xsd:double"&gt;1.2477791&lt;/D&gt;&lt;/FQL&gt;&lt;FQL&gt;&lt;Q&gt;MAS-US^P_BETA_LOCIDX(45274,45103,,"SPX")&lt;/Q&gt;&lt;R&gt;1&lt;/R&gt;&lt;C&gt;1&lt;/C&gt;&lt;D xsi:type="xsd:double"&gt;1.2399954&lt;/D&gt;&lt;/FQL&gt;&lt;FQL&gt;&lt;Q&gt;MAS-US^P_BETA_LOCIDX(45273,45100,,"SPX")&lt;/Q&gt;&lt;R&gt;1&lt;/R&gt;&lt;C&gt;1&lt;/C&gt;&lt;D xsi:type="xsd:double"&gt;1.2199695&lt;/D&gt;&lt;/FQL&gt;&lt;FQL&gt;&lt;Q&gt;MAS-US^P_BETA_LOCIDX(45272,45099,,"SPX")&lt;/Q&gt;&lt;R&gt;1&lt;/R&gt;&lt;C&gt;1&lt;/C&gt;&lt;D xsi:type="xsd:double"&gt;1.1839693&lt;/D&gt;&lt;/FQL&gt;&lt;FQL&gt;&lt;Q&gt;MAS-US^P_BETA_LOCIDX(45271,45098,,"SPX")&lt;/Q&gt;&lt;R&gt;1&lt;/R&gt;&lt;C&gt;1&lt;/C&gt;&lt;D xsi:type="xsd:double"&gt;1.1768202&lt;/D&gt;&lt;/FQL&gt;&lt;FQL&gt;&lt;Q&gt;MAS-US^P_BETA_LOCIDX(45268,45097,,"SPX")&lt;/Q&gt;&lt;R&gt;1&lt;/R&gt;&lt;C&gt;1&lt;/C&gt;&lt;D xsi:type="xsd:double"&gt;1.1688046&lt;/D&gt;&lt;/FQL&gt;&lt;FQL&gt;&lt;Q&gt;MAS-US^P_BETA_LOCIDX(45267,45093,,"SPX")&lt;/Q&gt;&lt;R&gt;1&lt;/R&gt;&lt;C&gt;1&lt;/C&gt;&lt;D xsi:type="xsd:double"&gt;1.1700846&lt;/D&gt;&lt;/FQL&gt;&lt;FQL&gt;&lt;Q&gt;MAS-US^P_BETA_LOCIDX(45266,45092,,"SPX")&lt;/Q&gt;&lt;R&gt;1&lt;/R&gt;&lt;C&gt;1&lt;/C&gt;&lt;D xsi:type="xsd:double"&gt;1.1792164&lt;/D&gt;&lt;/FQL&gt;&lt;FQL&gt;&lt;Q&gt;MAS-US^P_BETA_LOCIDX(45265,45091,,"SPX")&lt;/Q&gt;&lt;R&gt;1&lt;/R&gt;&lt;C&gt;1&lt;/C&gt;&lt;D xsi:type="xsd:double"&gt;1.1929067&lt;/D&gt;&lt;/FQL&gt;&lt;FQL&gt;&lt;Q&gt;MAS-US^P_BETA_LOCIDX(45264,45090,,"SPX")&lt;/Q&gt;&lt;R&gt;1&lt;/R&gt;&lt;C&gt;1&lt;/C&gt;&lt;D xsi:type="xsd:double"&gt;1.1979283&lt;/D&gt;&lt;/FQL&gt;&lt;FQL&gt;&lt;Q&gt;MAS-US^P_BETA_LOCIDX(45261,45089,,"SPX")&lt;/Q&gt;&lt;R&gt;1&lt;/R&gt;&lt;C&gt;1&lt;/C&gt;&lt;D xsi:type="xsd:double"&gt;1.2205254&lt;/D&gt;&lt;/FQL&gt;&lt;FQL&gt;&lt;Q&gt;MAS-US^P_BETA_LOCIDX(45260,45086,,"SPX")&lt;/Q&gt;&lt;R&gt;1&lt;/R&gt;&lt;C&gt;1&lt;/C&gt;&lt;D xsi:type="xsd:double"&gt;1.2040178&lt;/D&gt;&lt;/FQL&gt;&lt;FQL&gt;&lt;Q&gt;MAS-US^P_BETA_LOCIDX(45259,45085,,"SPX")&lt;/Q&gt;&lt;R&gt;1&lt;/R&gt;&lt;C&gt;1&lt;/C&gt;&lt;D xsi:type="xsd:double"&gt;1.1952612&lt;/D&gt;&lt;/FQL&gt;&lt;FQL&gt;&lt;Q&gt;MAS-US^P_BETA_LOCIDX(45258,45084,,"SPX")&lt;/Q&gt;&lt;R&gt;1&lt;/R&gt;&lt;C&gt;1&lt;/C&gt;&lt;D xsi:type="xsd:double"&gt;1.1738007&lt;/D&gt;&lt;/FQL&gt;&lt;FQL&gt;&lt;Q&gt;MAS-US^P_BETA_LOCIDX(45257,45083,,"SPX")&lt;/Q&gt;&lt;R&gt;1&lt;/R&gt;&lt;C&gt;1&lt;/C&gt;&lt;D xsi:type="xsd:double"&gt;1.1848611&lt;/D&gt;&lt;/FQL&gt;&lt;FQL&gt;&lt;Q&gt;MAS-US^P_BETA_LOCIDX(45254,45082,,"SPX")&lt;/Q&gt;&lt;R&gt;1&lt;/R&gt;&lt;C&gt;1&lt;/C&gt;&lt;D xsi:type="xsd:double"&gt;1.1928755&lt;/D&gt;&lt;/FQL&gt;&lt;FQL&gt;&lt;Q&gt;MAS-US^P_BETA_LOCIDX(45252,45079,,"SPX")&lt;/Q&gt;&lt;R&gt;1&lt;/R&gt;&lt;C&gt;1&lt;/C&gt;&lt;D xsi:type="xsd:double"&gt;1.2558308&lt;/D&gt;&lt;/FQL&gt;&lt;FQL&gt;&lt;Q&gt;MAS-US^P_BETA_LOCIDX(45251,45078,,"SPX")&lt;/Q&gt;&lt;R&gt;1&lt;/R&gt;&lt;C&gt;1&lt;/C&gt;&lt;D xsi:type="xsd:double"&gt;1.2594699&lt;/D&gt;&lt;/FQL&gt;&lt;FQL&gt;&lt;Q&gt;MAS-US^P_BETA_LOCIDX(45250,45077,,"SPX")&lt;/Q&gt;&lt;R&gt;1&lt;/R&gt;&lt;C&gt;1&lt;/C&gt;&lt;D xsi:type="xsd:double"&gt;1.2787484&lt;/D&gt;&lt;/FQL&gt;&lt;FQL&gt;&lt;Q&gt;MAS-US^P_BETA_LOCIDX(45247,45076,,"SPX")&lt;/Q&gt;&lt;R&gt;1&lt;/R&gt;&lt;C&gt;1&lt;/C&gt;&lt;D xsi:type="xsd:double"&gt;1.2892207&lt;/D&gt;&lt;/FQL&gt;&lt;FQL&gt;&lt;Q&gt;MAS-US^P_BETA_LOCIDX(45246,45072,,"SPX")&lt;/Q&gt;&lt;R&gt;1&lt;/R&gt;&lt;C&gt;1&lt;/C&gt;&lt;D xsi:type="xsd:double"&gt;1.2765036&lt;/D&gt;&lt;/FQL&gt;&lt;FQL&gt;&lt;Q&gt;MAS-US^P_BETA_LOCIDX(45245,45071,,"SPX")&lt;/Q&gt;&lt;R&gt;1&lt;/R&gt;&lt;C&gt;1&lt;/C&gt;&lt;D xsi:type="xsd:double"&gt;1.2621918&lt;/D&gt;&lt;/FQL&gt;&lt;FQL&gt;&lt;Q&gt;MAS-US^P_BETA_LOCIDX(45244,45070,,"SPX")&lt;/Q&gt;&lt;R&gt;1&lt;/R&gt;&lt;C&gt;1&lt;/C&gt;&lt;D xsi:type="xsd:double"&gt;1.270791&lt;/D&gt;&lt;/FQL&gt;&lt;FQL&gt;&lt;Q&gt;MAS-US^P_BETA_LOCIDX(45243,45069,,"SPX")&lt;/Q&gt;&lt;R&gt;1&lt;/R&gt;&lt;C&gt;1&lt;/C&gt;&lt;D xsi:type="xsd:double"&gt;1.1773697&lt;/D&gt;&lt;/FQL&gt;&lt;FQL&gt;&lt;Q&gt;MAS-US^P_BETA_LOCIDX(45240,45068,,"SPX")&lt;/Q&gt;&lt;R&gt;1&lt;/R&gt;&lt;C&gt;1&lt;/C&gt;&lt;D xsi:type="xsd:double"&gt;1.1761392&lt;/D&gt;&lt;/FQL&gt;&lt;FQL&gt;&lt;Q&gt;MAS-US^P_BETA_LOCIDX(45239,45065,,"SPX")&lt;/Q&gt;&lt;R&gt;1&lt;/R&gt;&lt;C&gt;1&lt;/C&gt;&lt;D xsi:type="xsd:double"&gt;1.1949878&lt;/D&gt;&lt;/FQL&gt;&lt;FQL&gt;&lt;Q&gt;MAS-US^P_BETA_LOCIDX(45238,45064,,"SPX")&lt;/Q&gt;&lt;R&gt;1&lt;/R&gt;&lt;C&gt;1&lt;/C&gt;&lt;D xsi:type="xsd:double"&gt;1.1901078&lt;/D&gt;&lt;/FQL&gt;&lt;FQL&gt;&lt;Q&gt;MAS-US^P_BETA_LOCIDX(45237,45063,,"SPX")&lt;/Q&gt;&lt;R&gt;1&lt;/R&gt;&lt;C&gt;1&lt;/C&gt;&lt;D xsi:type="xsd:double"&gt;1.2102613&lt;/D&gt;&lt;/FQL&gt;&lt;FQL&gt;&lt;Q&gt;MAS-US^P_BETA_LOCIDX(45236,45062,,"SPX")&lt;/Q&gt;&lt;R&gt;1&lt;/R&gt;&lt;C&gt;1&lt;/C&gt;&lt;D xsi:type="xsd:double"&gt;1.2179756&lt;/D&gt;&lt;/FQL&gt;&lt;FQL&gt;&lt;Q&gt;MAS-US^P_BETA_LOCIDX(45233,45061,,"SPX")&lt;/Q&gt;&lt;R&gt;1&lt;/R&gt;&lt;C&gt;1&lt;/C&gt;&lt;D xsi:type="xsd:double"&gt;1.2211143&lt;/D&gt;&lt;/FQL&gt;&lt;FQL&gt;&lt;Q&gt;MAS-US^P_BETA_LOCIDX(45232,45058,,"SPX")&lt;/Q&gt;&lt;R&gt;1&lt;/R&gt;&lt;C&gt;1&lt;/C&gt;&lt;D xsi:type="xsd:double"&gt;1.2091647&lt;/D&gt;&lt;/FQL&gt;&lt;FQL&gt;&lt;Q&gt;MAS-US^P_BETA_LOCIDX(45231,45057,,"SPX")&lt;/Q&gt;&lt;R&gt;1&lt;/R&gt;&lt;C&gt;1&lt;/C&gt;&lt;D xsi:type="xsd:double"&gt;1.2140473&lt;/D&gt;&lt;/FQL&gt;&lt;FQL&gt;&lt;Q&gt;MAS-US^P_BETA_LOCIDX(45230,45056,,"SPX")&lt;/Q&gt;&lt;R&gt;1&lt;/R&gt;&lt;C&gt;1&lt;/C&gt;&lt;D xsi:type="xsd:double"&gt;1.2051233&lt;/D&gt;&lt;/FQL&gt;&lt;FQL&gt;&lt;Q&gt;MAS-US^P_BETA_LOCIDX(45229,45055,,"SPX")&lt;/Q&gt;&lt;R&gt;1&lt;/R&gt;&lt;C&gt;1&lt;/C&gt;&lt;D xsi:type="xsd:double"&gt;1.2052066&lt;/D&gt;&lt;/FQL&gt;&lt;FQL&gt;&lt;Q&gt;MAS-US^P_BETA_LOCIDX(45226,45054,,"SPX")&lt;/Q&gt;&lt;R&gt;1&lt;/R&gt;&lt;C&gt;1&lt;/C&gt;&lt;D xsi:type="xsd:double"&gt;1.2033507&lt;/D&gt;&lt;/FQL&gt;&lt;FQL&gt;&lt;Q&gt;MAS-US^P_BETA_LOCIDX(45225,45051,,"SPX")&lt;/Q&gt;&lt;R&gt;1&lt;/R&gt;&lt;C&gt;1&lt;/C&gt;&lt;D xsi:type="xsd:double"&gt;1.1775949&lt;/D&gt;&lt;/FQL&gt;&lt;FQL&gt;&lt;Q&gt;MAS-US^P_BETA_LOCIDX(45224,45050,,"SPX")&lt;/Q&gt;&lt;R&gt;1&lt;/R&gt;&lt;C&gt;1&lt;/C&gt;&lt;D xsi:type="xsd:double"&gt;1.3380815&lt;/D&gt;&lt;/FQL&gt;&lt;FQL&gt;&lt;Q&gt;MAS-US^P_BETA_LOCIDX(45223,45049,,"SPX")&lt;/Q&gt;&lt;R&gt;1&lt;/R&gt;&lt;C&gt;1&lt;/C&gt;&lt;D xsi:type="xsd:double"&gt;1.3255631&lt;/D&gt;&lt;/FQL&gt;&lt;FQL&gt;&lt;Q&gt;MAS-US^P_BETA_LOCIDX(45222,45048,,"SPX")&lt;/Q&gt;&lt;R&gt;1&lt;/R&gt;&lt;C&gt;1&lt;/C&gt;&lt;D xsi:type="xsd:double"&gt;1.3209056&lt;/D&gt;&lt;/FQL&gt;&lt;FQL&gt;&lt;Q&gt;MAS-US^P_BETA_LOCIDX(45219,45047,,"SPX")&lt;/Q&gt;&lt;R&gt;1&lt;/R&gt;&lt;C&gt;1&lt;/C&gt;&lt;D xsi:type="xsd:double"&gt;1.321277&lt;/D&gt;&lt;/FQL&gt;&lt;FQL&gt;&lt;Q&gt;MAS-US^P_BETA_LOCIDX(45218,45044,,"SPX")&lt;/Q&gt;&lt;R&gt;1&lt;/R&gt;&lt;C&gt;1&lt;/C&gt;&lt;D xsi:type="xsd:double"&gt;1.3484373&lt;/D&gt;&lt;/FQL&gt;&lt;FQL&gt;&lt;Q&gt;MAS-US^P_BETA_LOCIDX(45217,45043,,"SPX")&lt;/Q&gt;&lt;R&gt;1&lt;/R&gt;&lt;C&gt;1&lt;/C&gt;&lt;D xsi:type="xsd:double"&gt;1.388554&lt;/D&gt;&lt;/FQL&gt;&lt;FQL&gt;&lt;Q&gt;MAS-US^P_BETA_LOCIDX(45216,45042,,"SPX")&lt;/Q&gt;&lt;R&gt;1&lt;/R&gt;&lt;C&gt;1&lt;/C&gt;&lt;D xsi:type="xsd:double"&gt;1.3451037&lt;/D&gt;&lt;/FQL&gt;&lt;FQL&gt;&lt;Q&gt;MAS-US^P_BETA_LOCIDX(45215,45041,,"SPX")&lt;/Q&gt;&lt;R&gt;1&lt;/R&gt;&lt;C&gt;1&lt;/C&gt;&lt;D xsi:type="xsd:double"&gt;1.3303629&lt;/D&gt;&lt;/FQL&gt;&lt;FQL&gt;&lt;Q&gt;MAS-US^P_BETA_LOCIDX(45212,45040,,"SPX")&lt;/Q&gt;&lt;R&gt;1&lt;/R&gt;&lt;C&gt;1&lt;/C&gt;&lt;D xsi:type="xsd:double"&gt;1.309737&lt;/D&gt;&lt;/FQL&gt;&lt;FQL&gt;&lt;Q&gt;MAS-US^P_BETA_LOCIDX(45211,45037,,"SPX")&lt;/Q&gt;&lt;R&gt;1&lt;/R&gt;&lt;C&gt;1&lt;/C&gt;&lt;D xsi:type="xsd:double"&gt;1.3071117&lt;/D&gt;&lt;/FQL&gt;&lt;FQL&gt;&lt;Q&gt;MAS-US^P_BETA_LOCIDX(45210,45036,,"SPX")&lt;/Q&gt;&lt;R&gt;1&lt;/R&gt;&lt;C&gt;1&lt;/C&gt;&lt;D xsi:type="xsd:double"&gt;1.255596&lt;/D&gt;&lt;/FQL&gt;&lt;FQL&gt;&lt;Q&gt;MAS-US^P_BETA_LOCIDX(45209,45035,,"SPX")&lt;/Q&gt;&lt;R&gt;1&lt;/R&gt;&lt;C&gt;1&lt;/C&gt;&lt;D xsi:type="xsd:double"&gt;1.2473024&lt;/D&gt;&lt;/FQL&gt;&lt;FQL&gt;&lt;Q&gt;MAS-US^P_BETA_LOCIDX(45208,45034,,"SPX")&lt;/Q&gt;&lt;R&gt;1&lt;/R&gt;&lt;C&gt;1&lt;/C&gt;&lt;D xsi:type="xsd:double"&gt;1.2470602&lt;/D&gt;&lt;/FQL&gt;&lt;FQL&gt;&lt;Q&gt;MAS-US^P_BETA_LOCIDX(45205,45033,,"SPX")&lt;/Q&gt;&lt;R&gt;1&lt;/R&gt;&lt;C&gt;1&lt;/C&gt;&lt;D xsi:type="xsd:double"&gt;1.2591877&lt;/D&gt;&lt;/FQL&gt;&lt;FQL&gt;&lt;Q&gt;MAS-US^P_BETA_LOCIDX(45204,45030,,"SPX")&lt;/Q&gt;&lt;R&gt;1&lt;/R&gt;&lt;C&gt;1&lt;/C&gt;&lt;D xsi:type="xsd:double"&gt;1.2873392&lt;/D&gt;&lt;/FQL&gt;&lt;FQL&gt;&lt;Q&gt;MAS-US^P_BETA_LOCIDX(45203,45029,,"SPX")&lt;/Q&gt;&lt;R&gt;1&lt;/R&gt;&lt;C&gt;1&lt;/C&gt;&lt;D xsi:type="xsd:double"&gt;1.2684962&lt;/D&gt;&lt;/FQL&gt;&lt;FQL&gt;&lt;Q&gt;MAS-US^P_BETA_LOCIDX(45202,45028,,"SPX")&lt;/Q&gt;&lt;R&gt;1&lt;/R&gt;&lt;C&gt;1&lt;/C&gt;&lt;D xsi:type="xsd:double"&gt;1.2643697&lt;/D&gt;&lt;/FQL&gt;&lt;FQL&gt;&lt;Q&gt;MAS-US^P_BETA_LOCIDX(45201,45027,,"SPX")&lt;/Q&gt;&lt;R&gt;1&lt;/R&gt;&lt;C&gt;1&lt;/C&gt;&lt;D xsi:type="xsd:double"&gt;1.261645&lt;/D&gt;&lt;/FQL&gt;&lt;FQL&gt;&lt;Q&gt;MAS-US^P_BETA_LOCIDX(45198,45026,,"SPX")&lt;/Q&gt;&lt;R&gt;1&lt;/R&gt;&lt;C&gt;1&lt;/C&gt;&lt;D xsi:type="xsd:double"&gt;1.2616216&lt;/D&gt;&lt;/FQL&gt;&lt;FQL&gt;&lt;Q&gt;MAS-US^P_BETA_LOCIDX(45197,45022,,"SPX")&lt;/Q&gt;&lt;R&gt;1&lt;/R&gt;&lt;C&gt;1&lt;/C&gt;&lt;D xsi:type="xsd:double"&gt;1.2488639&lt;/D&gt;&lt;/FQL&gt;&lt;FQL&gt;&lt;Q&gt;MAS-US^P_BETA_LOCIDX(45196,45021,,"SPX")&lt;/Q&gt;&lt;R&gt;1&lt;/R&gt;&lt;C&gt;1&lt;/C&gt;&lt;D xsi:type="xsd:double"&gt;1.2473987&lt;/D&gt;&lt;/FQL&gt;&lt;FQL&gt;&lt;Q&gt;MAS-US^P_BETA_LOCIDX(45195,45020,,"SPX")&lt;/Q&gt;&lt;R&gt;1&lt;/R&gt;&lt;C&gt;1&lt;/C&gt;&lt;D xsi:type="xsd:double"&gt;1.2674503&lt;/D&gt;&lt;/FQL&gt;&lt;FQL&gt;&lt;Q&gt;MAS-US^P_BETA_LOCIDX(45194,45019,,"SPX")&lt;/Q&gt;&lt;R&gt;1&lt;/R&gt;&lt;C&gt;1&lt;/C&gt;&lt;D xsi:type="xsd:double"&gt;1.282613&lt;/D&gt;&lt;/FQL&gt;&lt;FQL&gt;&lt;Q&gt;MAS-US^P_BETA_LOCIDX(45191,45016,,"SPX")&lt;/Q&gt;&lt;R&gt;1&lt;/R&gt;&lt;C&gt;1&lt;/C&gt;&lt;D xsi:type="xsd:double"&gt;1.3012158&lt;/D&gt;&lt;/FQL&gt;&lt;FQL&gt;&lt;Q&gt;MAS-US^P_BETA_LOCIDX(45190,45015,,"SPX")&lt;/Q&gt;&lt;R&gt;1&lt;/R&gt;&lt;C&gt;1&lt;/C&gt;&lt;D xsi:type="xsd:double"&gt;1.2866503&lt;/D&gt;&lt;/FQL&gt;&lt;FQL&gt;&lt;Q&gt;MAS-US^P_BETA_LOCIDX(45189,45014,,"SPX")&lt;/Q&gt;&lt;R&gt;1&lt;/R&gt;&lt;C&gt;1&lt;/C&gt;&lt;D xsi:type="xsd:double"&gt;1.2886474&lt;/D&gt;&lt;/FQL&gt;&lt;FQL&gt;&lt;Q&gt;MAS-US^P_BETA_LOCIDX(45188,45013,,"SPX")&lt;/Q&gt;&lt;R&gt;1&lt;/R&gt;&lt;C&gt;1&lt;/C&gt;&lt;D xsi:type="xsd:double"&gt;1.2787548&lt;/D&gt;&lt;/FQL&gt;&lt;FQL&gt;&lt;Q&gt;MAS-US^P_BETA_LOCIDX(45187,45012,,"SPX")&lt;/Q&gt;&lt;R&gt;1&lt;/R&gt;&lt;C&gt;1&lt;/C&gt;&lt;D xsi:type="xsd:double"&gt;1.2832191&lt;/D&gt;&lt;/FQL&gt;&lt;FQL&gt;&lt;Q&gt;MAS-US^P_BETA_LOCIDX(45184,45009,,"SPX")&lt;/Q&gt;&lt;R&gt;1&lt;/R&gt;&lt;C&gt;1&lt;/C&gt;&lt;D xsi:type="xsd:double"&gt;1.2727133&lt;/D&gt;&lt;/FQL&gt;&lt;FQL&gt;&lt;Q&gt;MAS-US^P_BETA_LOCIDX(45183,45008,,"SPX")&lt;/Q&gt;&lt;R&gt;1&lt;/R&gt;&lt;C&gt;1&lt;/C&gt;&lt;D xsi:type="xsd:double"&gt;1.2532246&lt;/D&gt;&lt;/FQL&gt;&lt;FQL&gt;&lt;Q&gt;MAS-US^P_BETA_LOCIDX(45182,45007,,"SPX")&lt;/Q&gt;&lt;R&gt;1&lt;/R&gt;&lt;C&gt;1&lt;/C&gt;&lt;D xsi:type="xsd:double"&gt;1.3143114&lt;/D&gt;&lt;/FQL&gt;&lt;FQL&gt;&lt;Q&gt;MAS-US^P_BETA_LOCIDX(45181,45006,,"SPX")&lt;/Q&gt;&lt;R&gt;1&lt;/R&gt;&lt;C&gt;1&lt;/C&gt;&lt;D xsi:type="xsd:double"&gt;1.3272378&lt;/D&gt;&lt;/FQL&gt;&lt;FQL&gt;&lt;Q&gt;MAS-US^P_BETA_LOCIDX(45180,45005,,"SPX")&lt;/Q&gt;&lt;R&gt;1&lt;/R&gt;&lt;C&gt;1&lt;/C&gt;&lt;D xsi:type="xsd:double"&gt;1.3265693&lt;/D&gt;&lt;/FQL&gt;&lt;FQL&gt;&lt;Q&gt;MAS-US^P_BETA_LOCIDX(45177,45002,,"SPX")&lt;/Q&gt;&lt;R&gt;1&lt;/R&gt;&lt;C&gt;1&lt;/C&gt;&lt;D xsi:type="xsd:double"&gt;1.341397&lt;/D&gt;&lt;/FQL&gt;&lt;FQL&gt;&lt;Q&gt;MAS-US^P_BETA_LOCIDX(45176,45001,,"SPX")&lt;/Q&gt;&lt;R&gt;1&lt;/R&gt;&lt;C&gt;1&lt;/C&gt;&lt;D xsi:type="xsd:double"&gt;1.2988564&lt;/D&gt;&lt;/FQL&gt;&lt;FQL&gt;&lt;Q&gt;MAS-US^P_BETA_LOCIDX(45175,45000,,"SPX")&lt;/Q&gt;&lt;R&gt;1&lt;/R&gt;&lt;C&gt;1&lt;/C&gt;&lt;D xsi:type="xsd:double"&gt;1.2919339&lt;/D&gt;&lt;/FQL&gt;&lt;FQL&gt;&lt;Q&gt;MAS-US^P_BETA_LOCIDX(45174,44999,,"SPX")&lt;/Q&gt;&lt;R&gt;1&lt;/R&gt;&lt;C&gt;1&lt;/C&gt;&lt;D xsi:type="xsd:double"&gt;1.2835199&lt;/D&gt;&lt;/FQL&gt;&lt;FQL&gt;&lt;Q&gt;MAS-US^P_BETA_LOCIDX(45170,44998,,"SPX")&lt;/Q&gt;&lt;R&gt;1&lt;/R&gt;&lt;C&gt;1&lt;/C&gt;&lt;D xsi:type="xsd:double"&gt;1.2534771&lt;/D&gt;&lt;/FQL&gt;&lt;FQL&gt;&lt;Q&gt;MAS-US^P_BETA_LOCIDX(45169,44995,,"SPX")&lt;/Q&gt;&lt;R&gt;1&lt;/R&gt;&lt;C&gt;1&lt;/C&gt;&lt;D xsi:type="xsd:double"&gt;1.2534634&lt;/D&gt;&lt;/FQL&gt;&lt;FQL&gt;&lt;Q&gt;MAS-US^P_BETA_LOCIDX(45168,44994,,"SPX")&lt;/Q&gt;&lt;R&gt;1&lt;/R&gt;&lt;C&gt;1&lt;/C&gt;&lt;D xsi:type="xsd:double"&gt;1.2102991&lt;/D&gt;&lt;/FQL&gt;&lt;FQL&gt;&lt;Q&gt;MAS-US^P_BETA_LOCIDX(45167,44993,,"SPX")&lt;/Q&gt;&lt;R&gt;1&lt;/R&gt;&lt;C&gt;1&lt;/C&gt;&lt;D xsi:type="xsd:double"&gt;1.2091563&lt;/D&gt;&lt;/FQL&gt;&lt;FQL&gt;&lt;Q&gt;MAS-US^P_BETA_LOCIDX(45166,44992,,"SPX")&lt;/Q&gt;&lt;R&gt;1&lt;/R&gt;&lt;C&gt;1&lt;/C&gt;&lt;D xsi:type="xsd:double"&gt;1.1853187&lt;/D&gt;&lt;/FQL&gt;&lt;FQL&gt;&lt;Q&gt;MAS-US^P_BETA_LOCIDX(45163,44991,,"SPX")&lt;/Q&gt;&lt;R&gt;1&lt;/R&gt;&lt;C&gt;1&lt;/C&gt;&lt;D xsi:type="xsd:double"&gt;1.1889958&lt;/D&gt;&lt;/FQL&gt;&lt;FQL&gt;&lt;Q&gt;MAS-US^P_BETA_LOCIDX(45162,44988,,"SPX")&lt;/Q&gt;&lt;R&gt;1&lt;/R&gt;&lt;C&gt;1&lt;/C&gt;&lt;D xsi:type="xsd:double"&gt;1.1868678&lt;/D&gt;&lt;/FQL&gt;&lt;FQL&gt;&lt;Q&gt;MAS-US^P_BETA_LOCIDX(45161,44987,,"SPX")&lt;/Q&gt;&lt;R&gt;1&lt;/R&gt;&lt;C&gt;1&lt;/C&gt;&lt;D xsi:type="xsd:double"&gt;1.2010336&lt;/D&gt;&lt;/FQL&gt;&lt;FQL&gt;&lt;Q&gt;MAS-US^P_BETA_LOCIDX(45160,44986,,"SPX")&lt;/Q&gt;&lt;R&gt;1&lt;/R&gt;&lt;C&gt;1&lt;/C&gt;&lt;D xsi:type="xsd:double"&gt;1.2034385&lt;/D&gt;&lt;/FQL&gt;&lt;FQL&gt;&lt;Q&gt;MAS-US^P_BETA_LOCIDX(45159,44985,,"SPX")&lt;/Q&gt;&lt;R&gt;1&lt;/R&gt;&lt;C&gt;1&lt;/C&gt;&lt;D xsi:type="xsd:double"&gt;1.2030797&lt;/D&gt;&lt;/FQL&gt;&lt;FQL&gt;&lt;Q&gt;MAS-US^P_BETA_LOCIDX(45156,44984,,"SPX")&lt;/Q&gt;&lt;R&gt;1&lt;/R&gt;&lt;C&gt;1&lt;/C&gt;&lt;D xsi:type="xsd:double"&gt;1.2175525&lt;/D&gt;&lt;/FQL&gt;&lt;FQL&gt;&lt;Q&gt;MAS-US^P_BETA_LOCIDX(45155,44981,,"SPX")&lt;/Q&gt;&lt;R&gt;1&lt;/R&gt;&lt;C&gt;1&lt;/C&gt;&lt;D xsi:type="xsd:double"&gt;1.221175&lt;/D&gt;&lt;/FQL&gt;&lt;FQL&gt;&lt;Q&gt;MAS-US^P_BETA_LOCIDX(45154,44980,,"SPX")&lt;/Q&gt;&lt;R&gt;1&lt;/R&gt;&lt;C&gt;1&lt;/C&gt;&lt;D xsi:type="xsd:double"&gt;1.201152&lt;/D&gt;&lt;/FQL&gt;&lt;FQL&gt;&lt;Q&gt;MAS-US^P_BETA_LOCIDX(45153,44979,,"SPX")&lt;/Q&gt;&lt;R&gt;1&lt;/R&gt;&lt;C&gt;1&lt;/C&gt;&lt;D xsi:type="xsd:double"&gt;1.1901112&lt;/D&gt;&lt;/FQL&gt;&lt;FQL&gt;&lt;Q&gt;MAS-US^P_BETA_LOCIDX(45152,44978,,"SPX")&lt;/Q&gt;&lt;R&gt;1&lt;/R&gt;&lt;C&gt;1&lt;/C&gt;&lt;D xsi:type="xsd:double"&gt;1.2486097&lt;/D&gt;&lt;/FQL&gt;&lt;FQL&gt;&lt;Q&gt;MAS-US^P_BETA_LOCIDX(45149,44974,,"SPX")&lt;/Q&gt;&lt;R&gt;1&lt;/R&gt;&lt;C&gt;1&lt;/C&gt;&lt;D xsi:type="xsd:double"&gt;1.2508577&lt;/D&gt;&lt;/FQL&gt;&lt;FQL&gt;&lt;Q&gt;MAS-US^P_BETA_LOCIDX(45148,44973,,"SPX")&lt;/Q&gt;&lt;R&gt;1&lt;/R&gt;&lt;C&gt;1&lt;/C&gt;&lt;D xsi:type="xsd:double"&gt;1.2303127&lt;/D&gt;&lt;/FQL&gt;&lt;FQL&gt;&lt;Q&gt;MAS-US^P_BETA_LOCIDX(45147,44972,,"SPX")&lt;/Q&gt;&lt;R&gt;1&lt;/R&gt;&lt;C&gt;1&lt;/C&gt;&lt;D xsi:type="xsd:double"&gt;1.2325308&lt;/D&gt;&lt;/FQL&gt;&lt;FQL&gt;&lt;Q&gt;MAS-US^P_BETA_LOCIDX(45146,44971,,"SPX")&lt;/Q&gt;&lt;R&gt;1&lt;/R&gt;&lt;C&gt;1&lt;/C&gt;&lt;D xsi:type="xsd:double"&gt;1.2355968&lt;/D&gt;&lt;/FQL&gt;&lt;FQL&gt;&lt;Q&gt;MAS-US^P_BETA_LOCIDX(45145,44970,,"SPX")&lt;/Q&gt;&lt;R&gt;1&lt;/R&gt;&lt;C&gt;1&lt;/C&gt;&lt;D xsi:type="xsd:double"&gt;1.2535337&lt;/D&gt;&lt;/FQL&gt;&lt;FQL&gt;&lt;Q&gt;MAS-US^P_BETA_LOCIDX(45142,44967,,"SPX")&lt;/Q&gt;&lt;R&gt;1&lt;/R&gt;&lt;C&gt;1&lt;/C&gt;&lt;D xsi:type="xsd:double"&gt;1.2551136&lt;/D&gt;&lt;/FQL&gt;&lt;FQL&gt;&lt;Q&gt;MAS-US^P_BETA_LOCIDX(45141,44966,,"SPX")&lt;/Q&gt;&lt;R&gt;1&lt;/R&gt;&lt;C&gt;1&lt;/C&gt;&lt;D xsi:type="xsd:double"&gt;1.2502851&lt;/D&gt;&lt;/FQL&gt;&lt;FQL&gt;&lt;Q&gt;MAS-US^P_BETA_LOCIDX(45140,44965,,"SPX")&lt;/Q&gt;&lt;R&gt;1&lt;/R&gt;&lt;C&gt;1&lt;/C&gt;&lt;D xsi:type="xsd:double"&gt;1.233831&lt;/D&gt;&lt;/FQL&gt;&lt;FQL&gt;&lt;Q&gt;MAS-US^P_BETA_LOCIDX(45139,44964,,"SPX")&lt;/Q&gt;&lt;R&gt;1&lt;/R&gt;&lt;C&gt;1&lt;/C&gt;&lt;D xsi:type="xsd:double"&gt;1.2192651&lt;/D&gt;&lt;/FQL&gt;&lt;FQL&gt;&lt;Q&gt;MAS-US^P_BETA_LOCIDX(45138,44963,,"SPX")&lt;/Q&gt;&lt;R&gt;1&lt;/R&gt;&lt;C&gt;1&lt;/C&gt;&lt;D xsi:type="xsd:double"&gt;1.2364409&lt;/D&gt;&lt;/FQL&gt;&lt;FQL&gt;&lt;Q&gt;MAS-US^P_BETA_LOCIDX(45135,44960,,"SPX")&lt;/Q&gt;&lt;R&gt;1&lt;/R&gt;&lt;C&gt;1&lt;/C&gt;&lt;D xsi:type="xsd:double"&gt;1.2506832&lt;/D&gt;&lt;/FQL&gt;&lt;FQL&gt;&lt;Q&gt;MAS-US^P_BETA_LOCIDX(45134,44959,,"SPX")&lt;/Q&gt;&lt;R&gt;1&lt;/R&gt;&lt;C&gt;1&lt;/C&gt;&lt;D xsi:type="xsd:double"&gt;1.3181387&lt;/D&gt;&lt;/FQL&gt;&lt;FQL&gt;&lt;Q&gt;MAS-US^P_BETA_LOCIDX(45133,44958,,"SPX")&lt;/Q&gt;&lt;R&gt;1&lt;/R&gt;&lt;C&gt;1&lt;/C&gt;&lt;D xsi:type="xsd:double"&gt;1.3398372&lt;/D&gt;&lt;/FQL&gt;&lt;FQL&gt;&lt;Q&gt;MAS-US^P_BETA_LOCIDX(45132,44957,,"SPX")&lt;/Q&gt;&lt;R&gt;1&lt;/R&gt;&lt;C&gt;1&lt;/C&gt;&lt;D xsi:type="xsd:double"&gt;1.3988601&lt;/D&gt;&lt;/FQL&gt;&lt;FQL&gt;&lt;Q&gt;MAS-US^P_BETA_LOCIDX(45131,44956,,"SPX")&lt;/Q&gt;&lt;R&gt;1&lt;/R&gt;&lt;C&gt;1&lt;/C&gt;&lt;D xsi:type="xsd:double"&gt;1.3868887&lt;/D&gt;&lt;/FQL&gt;&lt;FQL&gt;&lt;Q&gt;MAS-US^P_BETA_LOCIDX(45128,44953,,"SPX")&lt;/Q&gt;&lt;R&gt;1&lt;/R&gt;&lt;C&gt;1&lt;/C&gt;&lt;D xsi:type="xsd:double"&gt;1.3890207&lt;/D&gt;&lt;/FQL&gt;&lt;FQL&gt;&lt;Q&gt;MAS-US^P_BETA_LOCIDX(45127,44952,,"SPX")&lt;/Q&gt;&lt;R&gt;1&lt;/R&gt;&lt;C&gt;1&lt;/C&gt;&lt;D xsi:type="xsd:double"&gt;1.3548756&lt;/D&gt;&lt;/FQL&gt;&lt;FQL&gt;&lt;Q&gt;MAS-US^P_BETA_LOCIDX(45126,44951,,"SPX")&lt;/Q&gt;&lt;R&gt;1&lt;/R&gt;&lt;C&gt;1&lt;/C&gt;&lt;D xsi:type="xsd:double"&gt;1.3499405&lt;/D&gt;&lt;/FQL&gt;&lt;FQL&gt;&lt;Q&gt;MAS-US^P_BETA_LOCIDX(45125,44950,,"SPX")&lt;/Q&gt;&lt;R&gt;1&lt;/R&gt;&lt;C&gt;1&lt;/C&gt;&lt;D xsi:type="xsd:double"&gt;1.3507804&lt;/D&gt;&lt;/FQL&gt;&lt;FQL&gt;&lt;Q&gt;MAS-US^P_BETA_LOCIDX(45124,44949,,"SPX")&lt;/Q&gt;&lt;R&gt;1&lt;/R&gt;&lt;C&gt;1&lt;/C&gt;&lt;D xsi:type="xsd:double"&gt;1.3581973&lt;/D&gt;&lt;/FQL&gt;&lt;FQL&gt;&lt;Q&gt;MAS-US^P_BETA_LOCIDX(45121,44946,,"SPX")&lt;/Q&gt;&lt;R&gt;1&lt;/R&gt;&lt;C&gt;1&lt;/C&gt;&lt;D xsi:type="xsd:double"&gt;1.383298&lt;/D&gt;&lt;/FQL&gt;&lt;FQL&gt;&lt;Q&gt;MAS-US^P_BETA_LOCIDX(45120,44945,,"SPX")&lt;/Q&gt;&lt;R&gt;1&lt;/R&gt;&lt;C&gt;1&lt;/C&gt;&lt;D xsi:type="xsd:double"&gt;1.4139478&lt;/D&gt;&lt;/FQL&gt;&lt;FQL&gt;&lt;Q&gt;MAS-US^P_BETA_LOCIDX(45119,44944,,"SPX")&lt;/Q&gt;&lt;R&gt;1&lt;/R&gt;&lt;C&gt;1&lt;/C&gt;&lt;D xsi:type="xsd:double"&gt;1.3894305&lt;/D&gt;&lt;/FQL&gt;&lt;FQL&gt;&lt;Q&gt;MAS-US^P_BETA_LOCIDX(45118,44943,,"SPX")&lt;/Q&gt;&lt;R&gt;1&lt;/R&gt;&lt;C&gt;1&lt;/C&gt;&lt;D xsi:type="xsd:double"&gt;1.3872796&lt;/D&gt;&lt;/FQL&gt;&lt;FQL&gt;&lt;Q&gt;MAS-US^P_BETA_LOCIDX(45117,44939,,"SPX")&lt;/Q&gt;&lt;R&gt;1&lt;/R&gt;&lt;C&gt;1&lt;/C&gt;&lt;D xsi:type="xsd:double"&gt;1.3819839&lt;/D&gt;&lt;/FQL&gt;&lt;FQL&gt;&lt;Q&gt;MAS-US^P_BETA_LOCIDX(45114,44938,,"SPX")&lt;/Q&gt;&lt;R&gt;1&lt;/R&gt;&lt;C&gt;1&lt;/C&gt;&lt;D xsi:type="xsd:double"&gt;1.3774562&lt;/D&gt;&lt;/FQL&gt;&lt;FQL&gt;&lt;Q&gt;MAS-US^P_BETA_LOCIDX(45113,44937,,"SPX")&lt;/Q&gt;&lt;R&gt;1&lt;/R&gt;&lt;C&gt;1&lt;/C&gt;&lt;D xsi:type="xsd:double"&gt;1.3795048&lt;/D&gt;&lt;/FQL&gt;&lt;FQL&gt;&lt;Q&gt;MAS-US^P_BETA_LOCIDX(45112,44936,,"SPX")&lt;/Q&gt;&lt;R&gt;1&lt;/R&gt;&lt;C&gt;1&lt;/C&gt;&lt;D xsi:type="xsd:double"&gt;1.3742626&lt;/D&gt;&lt;/FQL&gt;&lt;FQL&gt;&lt;Q&gt;MAS-US^P_BETA_LOCIDX(45110,44935,,"SPX")&lt;/Q&gt;&lt;R&gt;1&lt;/R&gt;&lt;C&gt;1&lt;/C&gt;&lt;D xsi:type="xsd:double"&gt;1.368137&lt;/D&gt;&lt;/FQL&gt;&lt;FQL&gt;&lt;Q&gt;MAS-US^P_BETA_LOCIDX(45107,44932,,"SPX")&lt;/Q&gt;&lt;R&gt;1&lt;/R&gt;&lt;C&gt;1&lt;/C&gt;&lt;D xsi:type="xsd:double"&gt;1.3693013&lt;/D&gt;&lt;/FQL&gt;&lt;FQL&gt;&lt;Q&gt;MAS-US^P_BETA_LOCIDX(45106,44931,,"SPX")&lt;/Q&gt;&lt;R&gt;1&lt;/R&gt;&lt;C&gt;1&lt;/C&gt;&lt;D xsi:type="xsd:double"&gt;1.3817788&lt;/D&gt;&lt;/FQL&gt;&lt;FQL&gt;&lt;Q&gt;MAS-US^P_BETA_LOCIDX(45105,44930,,"SPX")&lt;/Q&gt;&lt;R&gt;1&lt;/R&gt;&lt;C&gt;1&lt;/C&gt;&lt;D xsi:type="xsd:double"&gt;1.3915365&lt;/D&gt;&lt;/FQL&gt;&lt;FQL&gt;&lt;Q&gt;MAS-US^P_BETA_LOCIDX(45104,44929,,"SPX")&lt;/Q&gt;&lt;R&gt;1&lt;/R&gt;&lt;C&gt;1&lt;/C&gt;&lt;D xsi:type="xsd:double"&gt;1.3801041&lt;/D&gt;&lt;/FQL&gt;&lt;FQL&gt;&lt;Q&gt;MAS-US^P_BETA_LOCIDX(45103,44925,,"SPX")&lt;/Q&gt;&lt;R&gt;1&lt;/R&gt;&lt;C&gt;1&lt;/C&gt;&lt;D xsi:type="xsd:double"&gt;1.3709645&lt;/D&gt;&lt;/FQL&gt;&lt;FQL&gt;&lt;Q&gt;MAS-US^P_BETA_LOCIDX(45100,44924,,"SPX")&lt;/Q&gt;&lt;R&gt;1&lt;/R&gt;&lt;C&gt;1&lt;/C&gt;&lt;D xsi:type="xsd:double"&gt;1.375649&lt;/D&gt;&lt;/FQL&gt;&lt;FQL&gt;&lt;Q&gt;MAS-US^P_BETA_LOCIDX(45099,44923,,"SPX")&lt;/Q&gt;&lt;R&gt;1&lt;/R&gt;&lt;C&gt;1&lt;/C&gt;&lt;D xsi:type="xsd:double"&gt;1.3917654&lt;/D&gt;&lt;/FQL&gt;&lt;FQL&gt;&lt;Q&gt;MAS-US^P_BETA_LOCIDX(45098,44922,,"SPX")&lt;/Q&gt;&lt;R&gt;1&lt;/R&gt;&lt;C&gt;1&lt;/C&gt;&lt;D xsi:type="xsd:double"&gt;1.3923169&lt;/D&gt;&lt;/FQL&gt;&lt;FQL&gt;&lt;Q&gt;MAS-US^P_BETA_LOCIDX(45097,44918,,"SPX")&lt;/Q&gt;&lt;R&gt;1&lt;/R&gt;&lt;C&gt;1&lt;/C&gt;&lt;D xsi:type="xsd:double"&gt;1.3967562&lt;/D&gt;&lt;/FQL&gt;&lt;FQL&gt;&lt;Q&gt;MAS-US^P_BETA_LOCIDX(45093,44917,,"SPX")&lt;/Q&gt;&lt;R&gt;1&lt;/R&gt;&lt;C&gt;1&lt;/C&gt;&lt;D xsi:type="xsd:double"&gt;1.3816681&lt;/D&gt;&lt;/FQL&gt;&lt;FQL&gt;&lt;Q&gt;MAS-US^P_BETA_LOCIDX(45092,44916,,"SPX")&lt;/Q&gt;&lt;R&gt;1&lt;/R&gt;&lt;C&gt;1&lt;/C&gt;&lt;D xsi:type="xsd:double"&gt;1.3697484&lt;/D&gt;&lt;/FQL&gt;&lt;FQL&gt;&lt;Q&gt;MAS-US^P_BETA_LOCIDX(45091,44915,,"SPX")&lt;/Q&gt;&lt;R&gt;1&lt;/R&gt;&lt;C&gt;1&lt;/C&gt;&lt;D xsi:type="xsd:double"&gt;1.3734735&lt;/D&gt;&lt;/FQL&gt;&lt;FQL&gt;&lt;Q&gt;MAS-US^P_BETA_LOCIDX(45090,44914,,"SPX")&lt;/Q&gt;&lt;R&gt;1&lt;/R&gt;&lt;C&gt;1&lt;/C&gt;&lt;D xsi:type="xsd:double"&gt;1.3705685&lt;/D&gt;&lt;/FQL&gt;&lt;FQL&gt;&lt;Q&gt;MAS-US^P_BETA_LOCIDX(45089,44911,,"SPX")&lt;/Q&gt;&lt;R&gt;1&lt;/R&gt;&lt;C&gt;1&lt;/C&gt;&lt;D xsi:type="xsd:double"&gt;1.3766942&lt;/D&gt;&lt;/FQL&gt;&lt;FQL&gt;&lt;Q&gt;MAS-US^P_BETA_LOCIDX(45086,44910,,"SPX")&lt;/Q&gt;&lt;R&gt;1&lt;/R&gt;&lt;C&gt;1&lt;/C&gt;&lt;D xsi:type="xsd:double"&gt;1.3642571&lt;/D&gt;&lt;/FQL&gt;&lt;FQL&gt;&lt;Q&gt;MAS-US^P_BETA_LOCIDX(45085,44909,,"SPX")&lt;/Q&gt;&lt;R&gt;1&lt;/R&gt;&lt;C&gt;1&lt;/C&gt;&lt;D xsi:type="xsd:double"&gt;1.3745388&lt;/D&gt;&lt;/FQL&gt;&lt;FQL&gt;&lt;Q&gt;MAS-US^P_BETA_LOCIDX(45084,44908,,"SPX")&lt;/Q&gt;&lt;R&gt;1&lt;/R&gt;&lt;C&gt;1&lt;/C&gt;&lt;D xsi:type="xsd:double"&gt;1.3953164&lt;/D&gt;&lt;/FQL&gt;&lt;FQL&gt;&lt;Q&gt;MAS-US^P_BETA_LOCIDX(45083,44907,,"SPX")&lt;/Q&gt;&lt;R&gt;1&lt;/R&gt;&lt;C&gt;1&lt;/C&gt;&lt;D xsi:type="xsd:double"&gt;1.3953061&lt;/D&gt;&lt;/FQL&gt;&lt;FQL&gt;&lt;Q&gt;MAS-US^P_BETA_LOCIDX(45082,44904,,"SPX")&lt;/Q&gt;&lt;R&gt;1&lt;/R&gt;&lt;C&gt;1&lt;/C&gt;&lt;D xsi:type="xsd:double"&gt;1.3869672&lt;/D&gt;&lt;/FQL&gt;&lt;FQL&gt;&lt;Q&gt;MAS-US^P_BETA_LOCIDX(45079,44903,,"SPX")&lt;/Q&gt;&lt;R&gt;1&lt;/R&gt;&lt;C&gt;1&lt;/C&gt;&lt;D xsi:type="xsd:double"&gt;1.3880186&lt;/D&gt;&lt;/FQL&gt;&lt;FQL&gt;&lt;Q&gt;MAS-US^P_BETA_LOCIDX(45078,44902,,"SPX")&lt;/Q&gt;&lt;R&gt;1&lt;/R&gt;&lt;C&gt;1&lt;/C&gt;&lt;D xsi:type="xsd:double"&gt;1.3496808&lt;/D&gt;&lt;/FQL&gt;&lt;FQL&gt;&lt;Q&gt;MAS-US^P_BETA_LOCIDX(45077,44901,,"SPX")&lt;/Q&gt;&lt;R&gt;1&lt;/R&gt;&lt;C&gt;1&lt;/C&gt;&lt;D xsi:type="xsd:double"&gt;1.3476546&lt;/D&gt;&lt;/FQL&gt;&lt;FQL&gt;&lt;Q&gt;MAS-US^P_BETA_LOCIDX(45076,44900,,"SPX")&lt;/Q&gt;&lt;R&gt;1&lt;/R&gt;&lt;C&gt;1&lt;/C&gt;&lt;D xsi:type="xsd:double"&gt;1.3419949&lt;/D&gt;&lt;/FQL&gt;&lt;FQL&gt;&lt;Q&gt;MAS-US^P_BETA_LOCIDX(45072,44897,,"SPX")&lt;/Q&gt;&lt;R&gt;1&lt;/R&gt;&lt;C&gt;1&lt;/C&gt;&lt;D xsi:type="xsd:double"&gt;1.3434148&lt;/D&gt;&lt;/FQL&gt;&lt;FQL&gt;&lt;Q&gt;MAS-US^P_BETA_LOCIDX(45071,44896,,"SPX")&lt;/Q&gt;&lt;R&gt;1&lt;/R&gt;&lt;C&gt;1&lt;/C&gt;&lt;D xsi:type="xsd:double"&gt;1.3484799&lt;/D&gt;&lt;/FQL&gt;&lt;FQL&gt;&lt;Q&gt;MAS-US^P_BETA_LOCIDX(45070,44895,,"SPX")&lt;/Q&gt;&lt;R&gt;1&lt;/R&gt;&lt;C&gt;1&lt;/C&gt;&lt;D xsi:type="xsd:double"&gt;1.300616&lt;/D&gt;&lt;/FQL&gt;&lt;FQL&gt;&lt;Q&gt;MAS-US^P_BETA_LOCIDX(45069,44894,,"SPX")&lt;/Q&gt;&lt;R&gt;1&lt;/R&gt;&lt;C&gt;1&lt;/C&gt;&lt;D xsi:type="xsd:double"&gt;1.2958714&lt;/D&gt;&lt;/FQL&gt;&lt;FQL&gt;&lt;Q&gt;MAS-US^P_BETA_LOCIDX(45068,44893,,"SPX")&lt;/Q&gt;&lt;R&gt;1&lt;/R&gt;&lt;C&gt;1&lt;/C&gt;&lt;D xsi:type="xsd:double"&gt;1.295976&lt;/D&gt;&lt;/FQL&gt;&lt;FQL&gt;&lt;Q&gt;MAS-US^P_BETA_LOCIDX(45065,44890,,"SPX")&lt;/Q&gt;&lt;R&gt;1&lt;/R&gt;&lt;C&gt;1&lt;/C&gt;&lt;D xsi:type="xsd:double"&gt;1.2955184&lt;/D&gt;&lt;/FQL&gt;&lt;FQL&gt;&lt;Q&gt;MAS-US^P_BETA_LOCIDX(45064,44888,,"SPX")&lt;/Q&gt;&lt;R&gt;1&lt;/R&gt;&lt;C&gt;1&lt;/C&gt;&lt;D xsi:type="xsd:double"&gt;1.2932106&lt;/D&gt;&lt;/FQL&gt;&lt;FQL&gt;&lt;Q&gt;MAS-US^P_BETA_LOCIDX(45063,44887,,"SPX")&lt;/Q&gt;&lt;R&gt;1&lt;/R&gt;&lt;C&gt;1&lt;/C&gt;&lt;D xsi:type="xsd:double"&gt;1.287872&lt;/D&gt;&lt;/FQL&gt;&lt;FQL&gt;&lt;Q&gt;MAS-US^P_BETA_LOCIDX(45062,44886,,"SPX")&lt;/Q&gt;&lt;R&gt;1&lt;/R&gt;&lt;C&gt;1&lt;/C&gt;&lt;D xsi:type="xsd:double"&gt;1.2776688&lt;/D&gt;&lt;/FQL&gt;&lt;FQL&gt;&lt;Q&gt;MAS-US^P_BETA_LOCIDX(45061,44883,,"SPX")&lt;/Q&gt;&lt;R&gt;1&lt;/R&gt;&lt;C&gt;1&lt;/C&gt;&lt;D xsi:type="xsd:double"&gt;1.2764373&lt;/D&gt;&lt;/FQL&gt;&lt;FQL&gt;&lt;Q&gt;MAS-US^P_BETA_LOCIDX(45058,44882,,"SPX")&lt;/Q&gt;&lt;R&gt;1&lt;/R&gt;&lt;C&gt;1&lt;/C&gt;&lt;D xsi:type="xsd:double"&gt;1.2816516&lt;/D&gt;&lt;/FQL&gt;&lt;FQL&gt;&lt;Q&gt;MAS-US^P_BETA_LOCIDX(45057,44881,,"SPX")&lt;/Q&gt;&lt;R&gt;1&lt;/R&gt;&lt;C&gt;1&lt;/C&gt;&lt;D xsi:type="xsd:double"&gt;1.2810715&lt;/D&gt;&lt;/FQL&gt;&lt;FQL&gt;&lt;Q&gt;MAS-US^P_BETA_LOCIDX(45056,44880,,"SPX")&lt;/Q&gt;&lt;R&gt;1&lt;/R&gt;&lt;C&gt;1&lt;/C&gt;&lt;D xsi:type="xsd:double"&gt;1.2880203&lt;/D&gt;&lt;/FQL&gt;&lt;FQL&gt;&lt;Q&gt;MAS-US^P_BETA_LOCIDX(45055,44879,,"SPX")&lt;/Q&gt;&lt;R&gt;1&lt;/R&gt;&lt;C&gt;1&lt;/C&gt;&lt;D xsi:type="xsd:double"&gt;1.3042907&lt;/D&gt;&lt;/FQL&gt;&lt;FQL&gt;&lt;Q&gt;MAS-US^P_BETA_LOCIDX(45054,44876,,"SPX")&lt;/Q&gt;&lt;R&gt;1&lt;/R&gt;&lt;C&gt;1&lt;/C&gt;&lt;D xsi:type="xsd:double"&gt;1.3096672&lt;/D&gt;&lt;/FQL&gt;&lt;FQL&gt;&lt;Q&gt;MAS-US^P_BETA_LOCIDX(45051,44875,,"SPX")&lt;/Q&gt;&lt;R&gt;1&lt;/R&gt;&lt;C&gt;1&lt;/C&gt;&lt;D xsi:type="xsd:double"&gt;1.4501046&lt;/D&gt;&lt;/FQL&gt;&lt;FQL&gt;&lt;Q&gt;MAS-US^P_BETA_LOCIDX(45050,44874,,"SPX")&lt;/Q&gt;&lt;R&gt;1&lt;/R&gt;&lt;C&gt;1&lt;/C&gt;&lt;D xsi:type="xsd:double"&gt;1.4399412&lt;/D&gt;&lt;/FQL&gt;&lt;FQL&gt;&lt;Q&gt;MAS-US^P_BETA_LOCIDX(45049,44873,,"SPX")&lt;/Q&gt;&lt;R&gt;1&lt;/R&gt;&lt;C&gt;1&lt;/C&gt;&lt;D xsi:type="xsd:double"&gt;1.4393522&lt;/D&gt;&lt;/FQL&gt;&lt;FQL&gt;&lt;Q&gt;MAS-US^P_BETA_LOCIDX(45048,44872,,"SPX")&lt;/Q&gt;&lt;R&gt;1&lt;/R&gt;&lt;C&gt;1&lt;/C&gt;&lt;D xsi:type="xsd:double"&gt;1.4525344&lt;/D&gt;&lt;/FQL&gt;&lt;FQL&gt;&lt;Q&gt;MAS-US^P_BETA_LOCIDX(45047,44869,,"SPX")&lt;/Q&gt;&lt;R&gt;1&lt;/R&gt;&lt;C&gt;1&lt;/C&gt;&lt;D xsi:type="xsd:double"&gt;1.4602892&lt;/D&gt;&lt;/FQL&gt;&lt;FQL&gt;&lt;Q&gt;MAS-US^P_BETA_LOCIDX(45044,44868,,"SPX")&lt;/Q&gt;&lt;R&gt;1&lt;/R&gt;&lt;C&gt;1&lt;/C&gt;&lt;D xsi:type="xsd:double"&gt;1.468933&lt;/D&gt;&lt;/FQL&gt;&lt;FQL&gt;&lt;Q&gt;MAS-US^P_BETA_LOCIDX(45043,44867,,"SPX")&lt;/Q&gt;&lt;R&gt;1&lt;/R&gt;&lt;C&gt;1&lt;/C&gt;&lt;D xsi:type="xsd:double"&gt;1.4654653&lt;/D&gt;&lt;/FQL&gt;&lt;FQL&gt;&lt;Q&gt;MAS-US^P_BETA_LOCIDX(45042,44866,,"SPX")&lt;/Q&gt;&lt;R&gt;1&lt;/R&gt;&lt;C&gt;1&lt;/C&gt;&lt;D xsi:type="xsd:double"&gt;1.4549041&lt;/D&gt;&lt;/FQL&gt;&lt;FQL&gt;&lt;Q&gt;MAS-US^P_BETA_LOCIDX(45041,44865,,"SPX")&lt;/Q&gt;&lt;R&gt;1&lt;/R&gt;&lt;C&gt;1&lt;/C&gt;&lt;D xsi:type="xsd:double"&gt;1.4627677&lt;/D&gt;&lt;/FQL&gt;&lt;FQL&gt;&lt;Q&gt;MAS-US^P_BETA_LOCIDX(45040,44862,,"SPX")&lt;/Q&gt;&lt;R&gt;1&lt;/R&gt;&lt;C&gt;1&lt;/C&gt;&lt;D xsi:type="xsd:double"&gt;1.4521769&lt;/D&gt;&lt;/FQL&gt;&lt;FQL&gt;&lt;Q&gt;MAS-US^P_BETA_LOCIDX(45037,44861,,"SPX")&lt;/Q&gt;&lt;R&gt;1&lt;/R&gt;&lt;C&gt;1&lt;/C&gt;&lt;D xsi:type="xsd:double"&gt;1.4446362&lt;/D&gt;&lt;/FQL&gt;&lt;FQL&gt;&lt;Q&gt;MAS-US^P_BETA_LOCIDX(45036,44860,,"SPX")&lt;/Q&gt;&lt;R&gt;1&lt;/R&gt;&lt;C&gt;1&lt;/C&gt;&lt;D xsi:type="xsd:double"&gt;1.466799&lt;/D&gt;&lt;/FQL&gt;&lt;FQL&gt;&lt;Q&gt;MAS-US^P_BETA_LOCIDX(45035,44859,,"SPX")&lt;/Q&gt;&lt;R&gt;1&lt;/R&gt;&lt;C&gt;1&lt;/C&gt;&lt;D xsi:type="xsd:double"&gt;1.4788867&lt;/D&gt;&lt;/FQL&gt;&lt;FQL&gt;&lt;Q&gt;MAS-US^P_BETA_LOCIDX(45034,44858,,"SPX")&lt;/Q&gt;&lt;R&gt;1&lt;/R&gt;&lt;C&gt;1&lt;/C&gt;&lt;D xsi:type="xsd:double"&gt;1.477716&lt;/D&gt;&lt;/FQL&gt;&lt;FQL&gt;&lt;Q&gt;MAS-US^P_BETA_LOCIDX(45033,44855,,"SPX")&lt;/Q&gt;&lt;R&gt;1&lt;/R&gt;&lt;C&gt;1&lt;/C&gt;&lt;D xsi:type="xsd:double"&gt;1.4828774&lt;/D&gt;&lt;/FQL&gt;&lt;FQL&gt;&lt;Q&gt;MAS-US^P_BETA_LOCIDX(45030,44854,,"SPX")&lt;/Q&gt;&lt;R&gt;1&lt;/R&gt;&lt;C&gt;1&lt;/C&gt;&lt;D xsi:type="xsd:double"&gt;1.4934254&lt;/D&gt;&lt;/FQL&gt;&lt;FQL&gt;&lt;Q&gt;MAS-US^P_BETA_LOCIDX(45029,44853,,"SPX")&lt;/Q&gt;&lt;R&gt;1&lt;/R&gt;&lt;C&gt;1&lt;/C&gt;&lt;D xsi:type="xsd:double"&gt;1.5092592&lt;/D&gt;&lt;/FQL&gt;&lt;FQL&gt;&lt;Q&gt;MAS-US^P_BETA_LOCIDX(45028,44852,,"SPX")&lt;/Q&gt;&lt;R&gt;1&lt;/R&gt;&lt;C&gt;1&lt;/C&gt;&lt;D xsi:type="xsd:double"&gt;1.5178143&lt;/D&gt;&lt;/FQL&gt;&lt;FQL&gt;&lt;Q&gt;MAS-US^P_BETA_LOCIDX(45027,44851,,"SPX")&lt;/Q&gt;&lt;R&gt;1&lt;/R&gt;&lt;C&gt;1&lt;/C&gt;&lt;D xsi:type="xsd:double"&gt;1.4927495&lt;/D&gt;&lt;/FQL&gt;&lt;FQL&gt;&lt;Q&gt;MAS-US^P_BETA_LOCIDX(45026,44848,,"SPX")&lt;/Q&gt;&lt;R&gt;1&lt;/R&gt;&lt;C&gt;1&lt;/C&gt;&lt;D xsi:type="xsd:double"&gt;1.4921526&lt;/D&gt;&lt;/FQL&gt;&lt;FQL&gt;&lt;Q&gt;MAS-US^P_BETA_LOCIDX(45022,44847,,"SPX")&lt;/Q&gt;&lt;R&gt;1&lt;/R&gt;&lt;C&gt;1&lt;/C&gt;&lt;D xsi:type="xsd:double"&gt;1.4501563&lt;/D&gt;&lt;/FQL&gt;&lt;FQL&gt;&lt;Q&gt;MAS-US^P_BETA_LOCIDX(45021,44846,,"SPX")&lt;/Q&gt;&lt;R&gt;1&lt;/R&gt;&lt;C&gt;1&lt;/C&gt;&lt;D xsi:type="xsd:double"&gt;1.4516512&lt;/D&gt;&lt;/FQL&gt;&lt;FQL&gt;&lt;Q&gt;MAS-US^P_BETA_LOCIDX(45020,44845,,"SPX")&lt;/Q&gt;&lt;R&gt;1&lt;/R&gt;&lt;C&gt;1&lt;/C&gt;&lt;D xsi:type="xsd:double"&gt;1.4452901&lt;/D&gt;&lt;/FQL&gt;&lt;FQL&gt;&lt;Q&gt;MAS-US^P_BETA_LOCIDX(45019,44844,,"SPX")&lt;/Q&gt;&lt;R&gt;1&lt;/R&gt;&lt;C&gt;1&lt;/C&gt;&lt;D xsi:type="xsd:double"&gt;1.4308715&lt;/D&gt;&lt;/FQL&gt;&lt;FQL&gt;&lt;Q&gt;MAS-US^P_BETA_LOCIDX(45016,44841,,"SPX")&lt;/Q&gt;&lt;R&gt;1&lt;/R&gt;&lt;C&gt;1&lt;/C&gt;&lt;D xsi:type="xsd:double"&gt;1.4275153&lt;/D&gt;&lt;/FQL&gt;&lt;FQL&gt;&lt;Q&gt;MAS-US^P_BETA_LOCIDX(45015,44840,,"SPX")&lt;/Q&gt;&lt;R&gt;1&lt;/R&gt;&lt;C&gt;1&lt;/C&gt;&lt;D xsi:type="xsd:double"&gt;1.4073329&lt;/D&gt;&lt;/FQL&gt;&lt;FQL&gt;&lt;Q&gt;MAS-US^P_BETA_LOCIDX(45014,44839,,"SPX")&lt;/Q&gt;&lt;R&gt;1&lt;/R&gt;&lt;C&gt;1&lt;/C&gt;&lt;D xsi:type="xsd:double"&gt;1.4113345&lt;/D&gt;&lt;/FQL&gt;&lt;FQL&gt;&lt;Q&gt;MAS-US^P_BETA_LOCIDX(45013,44838,,"SPX")&lt;/Q&gt;&lt;R&gt;1&lt;/R&gt;&lt;C&gt;1&lt;/C&gt;&lt;D xsi:type="xsd:double"&gt;1.40584&lt;/</t>
        </r>
      </text>
    </comment>
    <comment ref="A18" authorId="0" shapeId="0" xr:uid="{49A28C34-E16F-4E4A-A37F-3B14C2EBB371}">
      <text>
        <r>
          <rPr>
            <b/>
            <sz val="9"/>
            <color indexed="81"/>
            <rFont val="Tahoma"/>
            <family val="2"/>
          </rPr>
          <t>D&gt;&lt;/FQL&gt;&lt;FQL&gt;&lt;Q&gt;MAS-US^P_BETA_LOCIDX(45012,44837,,"SPX")&lt;/Q&gt;&lt;R&gt;1&lt;/R&gt;&lt;C&gt;1&lt;/C&gt;&lt;D xsi:type="xsd:double"&gt;1.4112241&lt;/D&gt;&lt;/FQL&gt;&lt;FQL&gt;&lt;Q&gt;MAS-US^P_BETA_LOCIDX(45009,44834,,"SPX")&lt;/Q&gt;&lt;R&gt;1&lt;/R&gt;&lt;C&gt;1&lt;/C&gt;&lt;D xsi:type="xsd:double"&gt;1.404603&lt;/D&gt;&lt;/FQL&gt;&lt;FQL&gt;&lt;Q&gt;MAS-US^P_BETA_LOCIDX(45008,44833,,"SPX")&lt;/Q&gt;&lt;R&gt;1&lt;/R&gt;&lt;C&gt;1&lt;/C&gt;&lt;D xsi:type="xsd:double"&gt;1.4096398&lt;/D&gt;&lt;/FQL&gt;&lt;FQL&gt;&lt;Q&gt;MAS-US^P_BETA_LOCIDX(45007,44832,,"SPX")&lt;/Q&gt;&lt;R&gt;1&lt;/R&gt;&lt;C&gt;1&lt;/C&gt;&lt;D xsi:type="xsd:double"&gt;1.4425759&lt;/D&gt;&lt;/FQL&gt;&lt;FQL&gt;&lt;Q&gt;MAS-US^P_BETA_LOCIDX(45006,44831,,"SPX")&lt;/Q&gt;&lt;R&gt;1&lt;/R&gt;&lt;C&gt;1&lt;/C&gt;&lt;D xsi:type="xsd:double"&gt;1.4280466&lt;/D&gt;&lt;/FQL&gt;&lt;FQL&gt;&lt;Q&gt;MAS-US^P_BETA_LOCIDX(45005,44830,,"SPX")&lt;/Q&gt;&lt;R&gt;1&lt;/R&gt;&lt;C&gt;1&lt;/C&gt;&lt;D xsi:type="xsd:double"&gt;1.4302623&lt;/D&gt;&lt;/FQL&gt;&lt;FQL&gt;&lt;Q&gt;MAS-US^P_BETA_LOCIDX(45002,44827,,"SPX")&lt;/Q&gt;&lt;R&gt;1&lt;/R&gt;&lt;C&gt;1&lt;/C&gt;&lt;D xsi:type="xsd:double"&gt;1.4073292&lt;/D&gt;&lt;/FQL&gt;&lt;FQL&gt;&lt;Q&gt;MAS-US^P_BETA_LOCIDX(45001,44826,,"SPX")&lt;/Q&gt;&lt;R&gt;1&lt;/R&gt;&lt;C&gt;1&lt;/C&gt;&lt;D xsi:type="xsd:double"&gt;1.4075865&lt;/D&gt;&lt;/FQL&gt;&lt;FQL&gt;&lt;Q&gt;MAS-US^P_BETA_LOCIDX(45000,44825,,"SPX")&lt;/Q&gt;&lt;R&gt;1&lt;/R&gt;&lt;C&gt;1&lt;/C&gt;&lt;D xsi:type="xsd:double"&gt;1.4153785&lt;/D&gt;&lt;/FQL&gt;&lt;FQL&gt;&lt;Q&gt;MAS-US^P_BETA_LOCIDX(44999,44824,,"SPX")&lt;/Q&gt;&lt;R&gt;1&lt;/R&gt;&lt;C&gt;1&lt;/C&gt;&lt;D xsi:type="xsd:double"&gt;1.4182254&lt;/D&gt;&lt;/FQL&gt;&lt;FQL&gt;&lt;Q&gt;MAS-US^P_BETA_LOCIDX(44998,44823,,"SPX")&lt;/Q&gt;&lt;R&gt;1&lt;/R&gt;&lt;C&gt;1&lt;/C&gt;&lt;D xsi:type="xsd:double"&gt;1.4301641&lt;/D&gt;&lt;/FQL&gt;&lt;FQL&gt;&lt;Q&gt;MAS-US^P_BETA_LOCIDX(44995,44820,,"SPX")&lt;/Q&gt;&lt;R&gt;1&lt;/R&gt;&lt;C&gt;1&lt;/C&gt;&lt;D xsi:type="xsd:double"&gt;1.4287957&lt;/D&gt;&lt;/FQL&gt;&lt;FQL&gt;&lt;Q&gt;MAS-US^P_BETA_LOCIDX(44994,44819,,"SPX")&lt;/Q&gt;&lt;R&gt;1&lt;/R&gt;&lt;C&gt;1&lt;/C&gt;&lt;D xsi:type="xsd:double"&gt;1.4183639&lt;/D&gt;&lt;/FQL&gt;&lt;FQL&gt;&lt;Q&gt;MAS-US^P_BETA_LOCIDX(44993,44818,,"SPX")&lt;/Q&gt;&lt;R&gt;1&lt;/R&gt;&lt;C&gt;1&lt;/C&gt;&lt;D xsi:type="xsd:double"&gt;1.4317873&lt;/D&gt;&lt;/FQL&gt;&lt;FQL&gt;&lt;Q&gt;MAS-US^P_BETA_LOCIDX(44992,44817,,"SPX")&lt;/Q&gt;&lt;R&gt;1&lt;/R&gt;&lt;C&gt;1&lt;/C&gt;&lt;D xsi:type="xsd:double"&gt;1.4324429&lt;/D&gt;&lt;/FQL&gt;&lt;FQL&gt;&lt;Q&gt;MAS-US^P_BETA_LOCIDX(44991,44816,,"SPX")&lt;/Q&gt;&lt;R&gt;1&lt;/R&gt;&lt;C&gt;1&lt;/C&gt;&lt;D xsi:type="xsd:double"&gt;1.4330938&lt;/D&gt;&lt;/FQL&gt;&lt;FQL&gt;&lt;Q&gt;MAS-US^P_BETA_LOCIDX(44988,44813,,"SPX")&lt;/Q&gt;&lt;R&gt;1&lt;/R&gt;&lt;C&gt;1&lt;/C&gt;&lt;D xsi:type="xsd:double"&gt;1.433149&lt;/D&gt;&lt;/FQL&gt;&lt;FQL&gt;&lt;Q&gt;MAS-US^P_BETA_LOCIDX(44987,44812,,"SPX")&lt;/Q&gt;&lt;R&gt;1&lt;/R&gt;&lt;C&gt;1&lt;/C&gt;&lt;D xsi:type="xsd:double"&gt;1.437393&lt;/D&gt;&lt;/FQL&gt;&lt;FQL&gt;&lt;Q&gt;MAS-US^P_BETA_LOCIDX(44986,44811,,"SPX")&lt;/Q&gt;&lt;R&gt;1&lt;/R&gt;&lt;C&gt;1&lt;/C&gt;&lt;D xsi:type="xsd:double"&gt;1.4421809&lt;/D&gt;&lt;/FQL&gt;&lt;FQL&gt;&lt;Q&gt;MAS-US^P_BETA_LOCIDX(44985,44810,,"SPX")&lt;/Q&gt;&lt;R&gt;1&lt;/R&gt;&lt;C&gt;1&lt;/C&gt;&lt;D xsi:type="xsd:double"&gt;1.4414672&lt;/D&gt;&lt;/FQL&gt;&lt;FQL&gt;&lt;Q&gt;MAS-US^P_BETA_LOCIDX(44984,44806,,"SPX")&lt;/Q&gt;&lt;R&gt;1&lt;/R&gt;&lt;C&gt;1&lt;/C&gt;&lt;D xsi:type="xsd:double"&gt;1.443234&lt;/D&gt;&lt;/FQL&gt;&lt;FQL&gt;&lt;Q&gt;MAS-US^P_BETA_LOCIDX(44981,44805,,"SPX")&lt;/Q&gt;&lt;R&gt;1&lt;/R&gt;&lt;C&gt;1&lt;/C&gt;&lt;D xsi:type="xsd:double"&gt;1.4431237&lt;/D&gt;&lt;/FQL&gt;&lt;FQL&gt;&lt;Q&gt;MAS-US^P_BETA_LOCIDX(44980,44804,,"SPX")&lt;/Q&gt;&lt;R&gt;1&lt;/R&gt;&lt;C&gt;1&lt;/C&gt;&lt;D xsi:type="xsd:double"&gt;1.4406996&lt;/D&gt;&lt;/FQL&gt;&lt;FQL&gt;&lt;Q&gt;MAS-US^P_BETA_LOCIDX(44979,44803,,"SPX")&lt;/Q&gt;&lt;R&gt;1&lt;/R&gt;&lt;C&gt;1&lt;/C&gt;&lt;D xsi:type="xsd:double"&gt;1.432167&lt;/D&gt;&lt;/FQL&gt;&lt;FQL&gt;&lt;Q&gt;MAS-US^P_BETA_LOCIDX(44978,44802,,"SPX")&lt;/Q&gt;&lt;R&gt;1&lt;/R&gt;&lt;C&gt;1&lt;/C&gt;&lt;D xsi:type="xsd:double"&gt;1.4312899&lt;/D&gt;&lt;/FQL&gt;&lt;FQL&gt;&lt;Q&gt;MAS-US^P_BETA_LOCIDX(44974,44799,,"SPX")&lt;/Q&gt;&lt;R&gt;1&lt;/R&gt;&lt;C&gt;1&lt;/C&gt;&lt;D xsi:type="xsd:double"&gt;1.4155446&lt;/D&gt;&lt;/FQL&gt;&lt;FQL&gt;&lt;Q&gt;MAS-US^P_BETA_LOCIDX(44973,44798,,"SPX")&lt;/Q&gt;&lt;R&gt;1&lt;/R&gt;&lt;C&gt;1&lt;/C&gt;&lt;D xsi:type="xsd:double"&gt;1.4109164&lt;/D&gt;&lt;/FQL&gt;&lt;FQL&gt;&lt;Q&gt;MAS-US^P_BETA_LOCIDX(44972,44797,,"SPX")&lt;/Q&gt;&lt;R&gt;1&lt;/R&gt;&lt;C&gt;1&lt;/C&gt;&lt;D xsi:type="xsd:double"&gt;1.4174684&lt;/D&gt;&lt;/FQL&gt;&lt;FQL&gt;&lt;Q&gt;MAS-US^P_BETA_LOCIDX(44971,44796,,"SPX")&lt;/Q&gt;&lt;R&gt;1&lt;/R&gt;&lt;C&gt;1&lt;/C&gt;&lt;D xsi:type="xsd:double"&gt;1.4174159&lt;/D&gt;&lt;/FQL&gt;&lt;FQL&gt;&lt;Q&gt;MAS-US^P_BETA_LOCIDX(44970,44795,,"SPX")&lt;/Q&gt;&lt;R&gt;1&lt;/R&gt;&lt;C&gt;1&lt;/C&gt;&lt;D xsi:type="xsd:double"&gt;1.4283129&lt;/D&gt;&lt;/FQL&gt;&lt;FQL&gt;&lt;Q&gt;MAS-US^P_BETA_LOCIDX(44967,44792,,"SPX")&lt;/Q&gt;&lt;R&gt;1&lt;/R&gt;&lt;C&gt;1&lt;/C&gt;&lt;D xsi:type="xsd:double"&gt;1.4228215&lt;/D&gt;&lt;/FQL&gt;&lt;FQL&gt;&lt;Q&gt;MAS-US^P_BETA_LOCIDX(44966,44791,,"SPX")&lt;/Q&gt;&lt;R&gt;1&lt;/R&gt;&lt;C&gt;1&lt;/C&gt;&lt;D xsi:type="xsd:double"&gt;1.4209214&lt;/D&gt;&lt;/FQL&gt;&lt;FQL&gt;&lt;Q&gt;MAS-US^P_BETA_LOCIDX(44965,44790,,"SPX")&lt;/Q&gt;&lt;R&gt;1&lt;/R&gt;&lt;C&gt;1&lt;/C&gt;&lt;D xsi:type="xsd:double"&gt;1.420342&lt;/D&gt;&lt;/FQL&gt;&lt;FQL&gt;&lt;Q&gt;MAS-US^P_BETA_LOCIDX(44964,44789,,"SPX")&lt;/Q&gt;&lt;R&gt;1&lt;/R&gt;&lt;C&gt;1&lt;/C&gt;&lt;D xsi:type="xsd:double"&gt;1.424442&lt;/D&gt;&lt;/FQL&gt;&lt;FQL&gt;&lt;Q&gt;MAS-US^P_BETA_LOCIDX(44963,44788,,"SPX")&lt;/Q&gt;&lt;R&gt;1&lt;/R&gt;&lt;C&gt;1&lt;/C&gt;&lt;D xsi:type="xsd:double"&gt;1.4308554&lt;/D&gt;&lt;/FQL&gt;&lt;FQL&gt;&lt;Q&gt;MAS-US^P_BETA_LOCIDX(44960,44785,,"SPX")&lt;/Q&gt;&lt;R&gt;1&lt;/R&gt;&lt;C&gt;1&lt;/C&gt;&lt;D xsi:type="xsd:double"&gt;1.421344&lt;/D&gt;&lt;/FQL&gt;&lt;FQL&gt;&lt;Q&gt;MAS-US^P_BETA_LOCIDX(44959,44784,,"SPX")&lt;/Q&gt;&lt;R&gt;1&lt;/R&gt;&lt;C&gt;1&lt;/C&gt;&lt;D xsi:type="xsd:double"&gt;1.4172097&lt;/D&gt;&lt;/FQL&gt;&lt;FQL&gt;&lt;Q&gt;MAS-US^P_BETA_LOCIDX(44958,44783,,"SPX")&lt;/Q&gt;&lt;R&gt;1&lt;/R&gt;&lt;C&gt;1&lt;/C&gt;&lt;D xsi:type="xsd:double"&gt;1.4189681&lt;/D&gt;&lt;/FQL&gt;&lt;FQL&gt;&lt;Q&gt;MAS-US^P_BETA_LOCIDX(44957,44782,,"SPX")&lt;/Q&gt;&lt;R&gt;1&lt;/R&gt;&lt;C&gt;1&lt;/C&gt;&lt;D xsi:type="xsd:double"&gt;1.421109&lt;/D&gt;&lt;/FQL&gt;&lt;FQL&gt;&lt;Q&gt;MAS-US^P_BETA_LOCIDX(44956,44781,,"SPX")&lt;/Q&gt;&lt;R&gt;1&lt;/R&gt;&lt;C&gt;1&lt;/C&gt;&lt;D xsi:type="xsd:double"&gt;1.4009806&lt;/D&gt;&lt;/FQL&gt;&lt;FQL&gt;&lt;Q&gt;MAS-US^P_BETA_LOCIDX(44953,44778,,"SPX")&lt;/Q&gt;&lt;R&gt;1&lt;/R&gt;&lt;C&gt;1&lt;/C&gt;&lt;D xsi:type="xsd:double"&gt;1.4038302&lt;/D&gt;&lt;/FQL&gt;&lt;FQL&gt;&lt;Q&gt;MAS-US^P_BETA_LOCIDX(44952,44777,,"SPX")&lt;/Q&gt;&lt;R&gt;1&lt;/R&gt;&lt;C&gt;1&lt;/C&gt;&lt;D xsi:type="xsd:double"&gt;1.4029013&lt;/D&gt;&lt;/FQL&gt;&lt;FQL&gt;&lt;Q&gt;MAS-US^P_BETA_LOCIDX(44951,44776,,"SPX")&lt;/Q&gt;&lt;R&gt;1&lt;/R&gt;&lt;C&gt;1&lt;/C&gt;&lt;D xsi:type="xsd:double"&gt;1.390793&lt;/D&gt;&lt;/FQL&gt;&lt;FQL&gt;&lt;Q&gt;MAS-US^P_BETA_LOCIDX(44950,44775,,"SPX")&lt;/Q&gt;&lt;R&gt;1&lt;/R&gt;&lt;C&gt;1&lt;/C&gt;&lt;D xsi:type="xsd:double"&gt;1.3968327&lt;/D&gt;&lt;/FQL&gt;&lt;FQL&gt;&lt;Q&gt;MAS-US^P_BETA_LOCIDX(44949,44774,,"SPX")&lt;/Q&gt;&lt;R&gt;1&lt;/R&gt;&lt;C&gt;1&lt;/C&gt;&lt;D xsi:type="xsd:double"&gt;1.3970891&lt;/D&gt;&lt;/FQL&gt;&lt;FQL&gt;&lt;Q&gt;MAS-US^P_BETA_LOCIDX(44946,44771,,"SPX")&lt;/Q&gt;&lt;R&gt;1&lt;/R&gt;&lt;C&gt;1&lt;/C&gt;&lt;D xsi:type="xsd:double"&gt;1.3855813&lt;/D&gt;&lt;/FQL&gt;&lt;FQL&gt;&lt;Q&gt;MAS-US^P_BETA_LOCIDX(44945,44770,,"SPX")&lt;/Q&gt;&lt;R&gt;1&lt;/R&gt;&lt;C&gt;1&lt;/C&gt;&lt;D xsi:type="xsd:double"&gt;1.3796742&lt;/D&gt;&lt;/FQL&gt;&lt;FQL&gt;&lt;Q&gt;MAS-US^P_BETA_LOCIDX(44944,44769,,"SPX")&lt;/Q&gt;&lt;R&gt;1&lt;/R&gt;&lt;C&gt;1&lt;/C&gt;&lt;D xsi:type="xsd:double"&gt;1.3130577&lt;/D&gt;&lt;/FQL&gt;&lt;FQL&gt;&lt;Q&gt;MAS-US^P_BETA_LOCIDX(44943,44768,,"SPX")&lt;/Q&gt;&lt;R&gt;1&lt;/R&gt;&lt;C&gt;1&lt;/C&gt;&lt;D xsi:type="xsd:double"&gt;1.3147129&lt;/D&gt;&lt;/FQL&gt;&lt;FQL&gt;&lt;Q&gt;MAS-US^P_BETA_LOCIDX(44939,44767,,"SPX")&lt;/Q&gt;&lt;R&gt;1&lt;/R&gt;&lt;C&gt;1&lt;/C&gt;&lt;D xsi:type="xsd:double"&gt;1.3124921&lt;/D&gt;&lt;/FQL&gt;&lt;FQL&gt;&lt;Q&gt;MAS-US^P_BETA_LOCIDX(44938,44764,,"SPX")&lt;/Q&gt;&lt;R&gt;1&lt;/R&gt;&lt;C&gt;1&lt;/C&gt;&lt;D xsi:type="xsd:double"&gt;1.3081075&lt;/D&gt;&lt;/FQL&gt;&lt;FQL&gt;&lt;Q&gt;MAS-US^P_BETA_LOCIDX(44937,44763,,"SPX")&lt;/Q&gt;&lt;R&gt;1&lt;/R&gt;&lt;C&gt;1&lt;/C&gt;&lt;D xsi:type="xsd:double"&gt;1.3137412&lt;/D&gt;&lt;/FQL&gt;&lt;FQL&gt;&lt;Q&gt;MAS-US^P_BETA_LOCIDX(44936,44762,,"SPX")&lt;/Q&gt;&lt;R&gt;1&lt;/R&gt;&lt;C&gt;1&lt;/C&gt;&lt;D xsi:type="xsd:double"&gt;1.3136765&lt;/D&gt;&lt;/FQL&gt;&lt;FQL&gt;&lt;Q&gt;MAS-US^P_BETA_LOCIDX(44935,44761,,"SPX")&lt;/Q&gt;&lt;R&gt;1&lt;/R&gt;&lt;C&gt;1&lt;/C&gt;&lt;D xsi:type="xsd:double"&gt;1.3011328&lt;/D&gt;&lt;/FQL&gt;&lt;FQL&gt;&lt;Q&gt;MAS-US^P_BETA_LOCIDX(44932,44760,,"SPX")&lt;/Q&gt;&lt;R&gt;1&lt;/R&gt;&lt;C&gt;1&lt;/C&gt;&lt;D xsi:type="xsd:double"&gt;1.3012826&lt;/D&gt;&lt;/FQL&gt;&lt;FQL&gt;&lt;Q&gt;MAS-US^P_BETA_LOCIDX(44931,44757,,"SPX")&lt;/Q&gt;&lt;R&gt;1&lt;/R&gt;&lt;C&gt;1&lt;/C&gt;&lt;D xsi:type="xsd:double"&gt;1.2888938&lt;/D&gt;&lt;/FQL&gt;&lt;FQL&gt;&lt;Q&gt;MAS-US^P_BETA_LOCIDX(44930,44756,,"SPX")&lt;/Q&gt;&lt;R&gt;1&lt;/R&gt;&lt;C&gt;1&lt;/C&gt;&lt;D xsi:type="xsd:double"&gt;1.2902033&lt;/D&gt;&lt;/FQL&gt;&lt;FQL&gt;&lt;Q&gt;MAS-US^P_BETA_LOCIDX(44929,44755,,"SPX")&lt;/Q&gt;&lt;R&gt;1&lt;/R&gt;&lt;C&gt;1&lt;/C&gt;&lt;D xsi:type="xsd:double"&gt;1.2826581&lt;/D&gt;&lt;/FQL&gt;&lt;FQL&gt;&lt;Q&gt;MAS-US^P_BETA_LOCIDX(44925,44754,,"SPX")&lt;/Q&gt;&lt;R&gt;1&lt;/R&gt;&lt;C&gt;1&lt;/C&gt;&lt;D xsi:type="xsd:double"&gt;1.2809365&lt;/D&gt;&lt;/FQL&gt;&lt;FQL&gt;&lt;Q&gt;MAS-US^P_BETA_LOCIDX(44924,44753,,"SPX")&lt;/Q&gt;&lt;R&gt;1&lt;/R&gt;&lt;C&gt;1&lt;/C&gt;&lt;D xsi:type="xsd:double"&gt;1.2722219&lt;/D&gt;&lt;/FQL&gt;&lt;FQL&gt;&lt;Q&gt;MAS-US^P_BETA_LOCIDX(44923,44750,,"SPX")&lt;/Q&gt;&lt;R&gt;1&lt;/R&gt;&lt;C&gt;1&lt;/C&gt;&lt;D xsi:type="xsd:double"&gt;1.270786&lt;/D&gt;&lt;/FQL&gt;&lt;FQL&gt;&lt;Q&gt;MAS-US^P_BETA_LOCIDX(44922,44749,,"SPX")&lt;/Q&gt;&lt;R&gt;1&lt;/R&gt;&lt;C&gt;1&lt;/C&gt;&lt;D xsi:type="xsd:double"&gt;1.2572432&lt;/D&gt;&lt;/FQL&gt;&lt;FQL&gt;&lt;Q&gt;MAS-US^P_BETA_LOCIDX(44918,44748,,"SPX")&lt;/Q&gt;&lt;R&gt;1&lt;/R&gt;&lt;C&gt;1&lt;/C&gt;&lt;D xsi:type="xsd:double"&gt;1.2574764&lt;/D&gt;&lt;/FQL&gt;&lt;FQL&gt;&lt;Q&gt;MAS-US^P_BETA_LOCIDX(44917,44747,,"SPX")&lt;/Q&gt;&lt;R&gt;1&lt;/R&gt;&lt;C&gt;1&lt;/C&gt;&lt;D xsi:type="xsd:double"&gt;1.2590573&lt;/D&gt;&lt;/FQL&gt;&lt;FQL&gt;&lt;Q&gt;MAS-US^P_BETA_LOCIDX(44916,44743,,"SPX")&lt;/Q&gt;&lt;R&gt;1&lt;/R&gt;&lt;C&gt;1&lt;/C&gt;&lt;D xsi:type="xsd:double"&gt;1.2702031&lt;/D&gt;&lt;/FQL&gt;&lt;FQL&gt;&lt;Q&gt;MAS-US^P_BETA_LOCIDX(44915,44742,,"SPX")&lt;/Q&gt;&lt;R&gt;1&lt;/R&gt;&lt;C&gt;1&lt;/C&gt;&lt;D xsi:type="xsd:double"&gt;1.2682973&lt;/D&gt;&lt;/FQL&gt;&lt;FQL&gt;&lt;Q&gt;MAS-US^P_BETA_LOCIDX(44914,44741,,"SPX")&lt;/Q&gt;&lt;R&gt;1&lt;/R&gt;&lt;C&gt;1&lt;/C&gt;&lt;D xsi:type="xsd:double"&gt;1.269088&lt;/D&gt;&lt;/FQL&gt;&lt;FQL&gt;&lt;Q&gt;MAS-US^P_BETA_LOCIDX(44911,44740,,"SPX")&lt;/Q&gt;&lt;R&gt;1&lt;/R&gt;&lt;C&gt;1&lt;/C&gt;&lt;D xsi:type="xsd:double"&gt;1.256617&lt;/D&gt;&lt;/FQL&gt;&lt;FQL&gt;&lt;Q&gt;MAS-US^P_BETA_LOCIDX(44910,44739,,"SPX")&lt;/Q&gt;&lt;R&gt;1&lt;/R&gt;&lt;C&gt;1&lt;/C&gt;&lt;D xsi:type="xsd:double"&gt;1.2527034&lt;/D&gt;&lt;/FQL&gt;&lt;FQL&gt;&lt;Q&gt;MAS-US^P_BETA_LOCIDX(44909,44736,,"SPX")&lt;/Q&gt;&lt;R&gt;1&lt;/R&gt;&lt;C&gt;1&lt;/C&gt;&lt;D xsi:type="xsd:double"&gt;1.2612569&lt;/D&gt;&lt;/FQL&gt;&lt;FQL&gt;&lt;Q&gt;MAS-US^P_BETA_LOCIDX(44908,44735,,"SPX")&lt;/Q&gt;&lt;R&gt;1&lt;/R&gt;&lt;C&gt;1&lt;/C&gt;&lt;D xsi:type="xsd:double"&gt;1.2685318&lt;/D&gt;&lt;/FQL&gt;&lt;FQL&gt;&lt;Q&gt;MAS-US^P_BETA_LOCIDX(44907,44734,,"SPX")&lt;/Q&gt;&lt;R&gt;1&lt;/R&gt;&lt;C&gt;1&lt;/C&gt;&lt;D xsi:type="xsd:double"&gt;1.2617697&lt;/D&gt;&lt;/FQL&gt;&lt;FQL&gt;&lt;Q&gt;MAS-US^P_BETA_LOCIDX(44904,44733,,"SPX")&lt;/Q&gt;&lt;R&gt;1&lt;/R&gt;&lt;C&gt;1&lt;/C&gt;&lt;D xsi:type="xsd:double"&gt;1.2335236&lt;/D&gt;&lt;/FQL&gt;&lt;FQL&gt;&lt;Q&gt;MAS-US^P_BETA_LOCIDX(44903,44729,,"SPX")&lt;/Q&gt;&lt;R&gt;1&lt;/R&gt;&lt;C&gt;1&lt;/C&gt;&lt;D xsi:type="xsd:double"&gt;1.2340921&lt;/D&gt;&lt;/FQL&gt;&lt;FQL&gt;&lt;Q&gt;MAS-US^P_BETA_LOCIDX(44902,44728,,"SPX")&lt;/Q&gt;&lt;R&gt;1&lt;/R&gt;&lt;C&gt;1&lt;/C&gt;&lt;D xsi:type="xsd:double"&gt;1.2598213&lt;/D&gt;&lt;/FQL&gt;&lt;FQL&gt;&lt;Q&gt;MAS-US^P_BETA_LOCIDX(44901,44727,,"SPX")&lt;/Q&gt;&lt;R&gt;1&lt;/R&gt;&lt;C&gt;1&lt;/C&gt;&lt;D xsi:type="xsd:double"&gt;1.2495613&lt;/D&gt;&lt;/FQL&gt;&lt;FQL&gt;&lt;Q&gt;MAS-US^P_BETA_LOCIDX(44900,44726,,"SPX")&lt;/Q&gt;&lt;R&gt;1&lt;/R&gt;&lt;C&gt;1&lt;/C&gt;&lt;D xsi:type="xsd:double"&gt;1.2512734&lt;/D&gt;&lt;/FQL&gt;&lt;FQL&gt;&lt;Q&gt;MAS-US^P_BETA_LOCIDX(44897,44725,,"SPX")&lt;/Q&gt;&lt;R&gt;1&lt;/R&gt;&lt;C&gt;1&lt;/C&gt;&lt;D xsi:type="xsd:double"&gt;1.2407469&lt;/D&gt;&lt;/FQL&gt;&lt;FQL&gt;&lt;Q&gt;MAS-US^P_BETA_LOCIDX(44896,44722,,"SPX")&lt;/Q&gt;&lt;R&gt;1&lt;/R&gt;&lt;C&gt;1&lt;/C&gt;&lt;D xsi:type="xsd:double"&gt;1.2380652&lt;/D&gt;&lt;/FQL&gt;&lt;FQL&gt;&lt;Q&gt;MAS-US^P_BETA_LOCIDX(44895,44721,,"SPX")&lt;/Q&gt;&lt;R&gt;1&lt;/R&gt;&lt;C&gt;1&lt;/C&gt;&lt;D xsi:type="xsd:double"&gt;1.210632&lt;/D&gt;&lt;/FQL&gt;&lt;FQL&gt;&lt;Q&gt;MAS-US^P_BETA_LOCIDX(44894,44720,,"SPX")&lt;/Q&gt;&lt;R&gt;1&lt;/R&gt;&lt;C&gt;1&lt;/C&gt;&lt;D xsi:type="xsd:double"&gt;1.2300125&lt;/D&gt;&lt;/FQL&gt;&lt;FQL&gt;&lt;Q&gt;MAS-US^P_BETA_LOCIDX(44893,44719,,"SPX")&lt;/Q&gt;&lt;R&gt;1&lt;/R&gt;&lt;C&gt;1&lt;/C&gt;&lt;D xsi:type="xsd:double"&gt;1.227286&lt;/D&gt;&lt;/FQL&gt;&lt;FQL&gt;&lt;Q&gt;MAS-US^P_BETA_LOCIDX(44890,44718,,"SPX")&lt;/Q&gt;&lt;R&gt;1&lt;/R&gt;&lt;C&gt;1&lt;/C&gt;&lt;D xsi:type="xsd:double"&gt;1.2266165&lt;/D&gt;&lt;/FQL&gt;&lt;FQL&gt;&lt;Q&gt;MAS-US^P_BETA_LOCIDX(44888,44715,,"SPX")&lt;/Q&gt;&lt;R&gt;1&lt;/R&gt;&lt;C&gt;1&lt;/C&gt;&lt;D xsi:type="xsd:double"&gt;1.220494&lt;/D&gt;&lt;/FQL&gt;&lt;FQL&gt;&lt;Q&gt;MAS-US^P_BETA_LOCIDX(44887,44714,,"SPX")&lt;/Q&gt;&lt;R&gt;1&lt;/R&gt;&lt;C&gt;1&lt;/C&gt;&lt;D xsi:type="xsd:double"&gt;1.2196461&lt;/D&gt;&lt;/FQL&gt;&lt;FQL&gt;&lt;Q&gt;MAS-US^P_BETA_LOCIDX(44886,44713,,"SPX")&lt;/Q&gt;&lt;R&gt;1&lt;/R&gt;&lt;C&gt;1&lt;/C&gt;&lt;D xsi:type="xsd:double"&gt;1.2227802&lt;/D&gt;&lt;/FQL&gt;&lt;FQL&gt;&lt;Q&gt;MAS-US^P_BETA_LOCIDX(44883,44712,,"SPX")&lt;/Q&gt;&lt;R&gt;1&lt;/R&gt;&lt;C&gt;1&lt;/C&gt;&lt;D xsi:type="xsd:double"&gt;1.2249053&lt;/D&gt;&lt;/FQL&gt;&lt;FQL&gt;&lt;Q&gt;MAS-US^P_BETA_LOCIDX(44882,44708,,"SPX")&lt;/Q&gt;&lt;R&gt;1&lt;/R&gt;&lt;C&gt;1&lt;/C&gt;&lt;D xsi:type="xsd:double"&gt;1.2092472&lt;/D&gt;&lt;/FQL&gt;&lt;FQL&gt;&lt;Q&gt;MAS-US^P_BETA_LOCIDX(44881,44707,,"SPX")&lt;/Q&gt;&lt;R&gt;1&lt;/R&gt;&lt;C&gt;1&lt;/C&gt;&lt;D xsi:type="xsd:double"&gt;1.2078743&lt;/D&gt;&lt;/FQL&gt;&lt;FQL&gt;&lt;Q&gt;MAS-US^P_BETA_LOCIDX(44880,44706,,"SPX")&lt;/Q&gt;&lt;R&gt;1&lt;/R&gt;&lt;C&gt;1&lt;/C&gt;&lt;D xsi:type="xsd:double"&gt;1.2108737&lt;/D&gt;&lt;/FQL&gt;&lt;FQL&gt;&lt;Q&gt;MAS-US^P_BETA_LOCIDX(44879,44705,,"SPX")&lt;/Q&gt;&lt;R&gt;1&lt;/R&gt;&lt;C&gt;1&lt;/C&gt;&lt;D xsi:type="xsd:double"&gt;1.2051774&lt;/D&gt;&lt;/FQL&gt;&lt;FQL&gt;&lt;Q&gt;MAS-US^P_BETA_LOCIDX(44876,44704,,"SPX")&lt;/Q&gt;&lt;R&gt;1&lt;/R&gt;&lt;C&gt;1&lt;/C&gt;&lt;D xsi:type="xsd:double"&gt;1.1930468&lt;/D&gt;&lt;/FQL&gt;&lt;FQL&gt;&lt;Q&gt;MAS-US^P_BETA_LOCIDX(44875,44701,,"SPX")&lt;/Q&gt;&lt;R&gt;1&lt;/R&gt;&lt;C&gt;1&lt;/C&gt;&lt;D xsi:type="xsd:double"&gt;1.1907622&lt;/D&gt;&lt;/FQL&gt;&lt;FQL&gt;&lt;Q&gt;MAS-US^P_BETA_LOCIDX(44874,44700,,"SPX")&lt;/Q&gt;&lt;R&gt;1&lt;/R&gt;&lt;C&gt;1&lt;/C&gt;&lt;D xsi:type="xsd:double"&gt;1.0949818&lt;/D&gt;&lt;/FQL&gt;&lt;FQL&gt;&lt;Q&gt;MAS-US^P_BETA_LOCIDX(44873,44699,,"SPX")&lt;/Q&gt;&lt;R&gt;1&lt;/R&gt;&lt;C&gt;1&lt;/C&gt;&lt;D xsi:type="xsd:double"&gt;1.088203&lt;/D&gt;&lt;/FQL&gt;&lt;FQL&gt;&lt;Q&gt;MAS-US^P_BETA_LOCIDX(44872,44698,,"SPX")&lt;/Q&gt;&lt;R&gt;1&lt;/R&gt;&lt;C&gt;1&lt;/C&gt;&lt;D xsi:type="xsd:double"&gt;1.0818253&lt;/D&gt;&lt;/FQL&gt;&lt;FQL&gt;&lt;Q&gt;MAS-US^P_BETA_LOCIDX(44869,44697,,"SPX")&lt;/Q&gt;&lt;R&gt;1&lt;/R&gt;&lt;C&gt;1&lt;/C&gt;&lt;D xsi:type="xsd:double"&gt;1.0765343&lt;/D&gt;&lt;/FQL&gt;&lt;FQL&gt;&lt;Q&gt;MAS-US^P_BETA_LOCIDX(44868,44694,,"SPX")&lt;/Q&gt;&lt;R&gt;1&lt;/R&gt;&lt;C&gt;1&lt;/C&gt;&lt;D xsi:type="xsd:double"&gt;1.0681334&lt;/D&gt;&lt;/FQL&gt;&lt;FQL&gt;&lt;Q&gt;MAS-US^P_BETA_LOCIDX(44867,44693,,"SPX")&lt;/Q&gt;&lt;R&gt;1&lt;/R&gt;&lt;C&gt;1&lt;/C&gt;&lt;D xsi:type="xsd:double"&gt;1.0614997&lt;/D&gt;&lt;/FQL&gt;&lt;FQL&gt;&lt;Q&gt;MAS-US^P_BETA_LOCIDX(44866,44692,,"SPX")&lt;/Q&gt;&lt;R&gt;1&lt;/R&gt;&lt;C&gt;1&lt;/C&gt;&lt;D xsi:type="xsd:double"&gt;1.0546104&lt;/D&gt;&lt;/FQL&gt;&lt;FQL&gt;&lt;Q&gt;MAS-US^P_BETA_LOCIDX(44865,44691,,"SPX")&lt;/Q&gt;&lt;R&gt;1&lt;/R&gt;&lt;C&gt;1&lt;/C&gt;&lt;D xsi:type="xsd:double"&gt;1.0524346&lt;/D&gt;&lt;/FQL&gt;&lt;FQL&gt;&lt;Q&gt;MAS-US^P_BETA_LOCIDX(44862,44690,,"SPX")&lt;/Q&gt;&lt;R&gt;1&lt;/R&gt;&lt;C&gt;1&lt;/C&gt;&lt;D xsi:type="xsd:double"&gt;1.0009093&lt;/D&gt;&lt;/FQL&gt;&lt;FQL&gt;&lt;Q&gt;MAS-US^P_BETA_LOCIDX(44861,44687,,"SPX")&lt;/Q&gt;&lt;R&gt;1&lt;/R&gt;&lt;C&gt;1&lt;/C&gt;&lt;D xsi:type="xsd:double"&gt;1.0036216&lt;/D&gt;&lt;/FQL&gt;&lt;FQL&gt;&lt;Q&gt;MAS-US^P_BETA_LOCIDX(44860,44686,,"SPX")&lt;/Q&gt;&lt;R&gt;1&lt;/R&gt;&lt;C&gt;1&lt;/C&gt;&lt;D xsi:type="xsd:double"&gt;1.001323&lt;/D&gt;&lt;/FQL&gt;&lt;FQL&gt;&lt;Q&gt;MAS-US^P_BETA_LOCIDX(44859,44685,,"SPX")&lt;/Q&gt;&lt;R&gt;1&lt;/R&gt;&lt;C&gt;1&lt;/C&gt;&lt;D xsi:type="xsd:double"&gt;0.99673575&lt;/D&gt;&lt;/FQL&gt;&lt;FQL&gt;&lt;Q&gt;MAS-US^P_BETA_LOCIDX(44858,44684,,"SPX")&lt;/Q&gt;&lt;R&gt;1&lt;/R&gt;&lt;C&gt;1&lt;/C&gt;&lt;D xsi:type="xsd:double"&gt;0.9934111&lt;/D&gt;&lt;/FQL&gt;&lt;FQL&gt;&lt;Q&gt;MAS-US^P_BETA_LOCIDX(44855,44683,,"SPX")&lt;/Q&gt;&lt;R&gt;1&lt;/R&gt;&lt;C&gt;1&lt;/C&gt;&lt;D xsi:type="xsd:double"&gt;0.9919229&lt;/D&gt;&lt;/FQL&gt;&lt;FQL&gt;&lt;Q&gt;MAS-US^P_BETA_LOCIDX(44854,44680,,"SPX")&lt;/Q&gt;&lt;R&gt;1&lt;/R&gt;&lt;C&gt;1&lt;/C&gt;&lt;D xsi:type="xsd:double"&gt;0.9878105&lt;/D&gt;&lt;/FQL&gt;&lt;FQL&gt;&lt;Q&gt;MAS-US^P_BETA_LOCIDX(44853,44679,,"SPX")&lt;/Q&gt;&lt;R&gt;1&lt;/R&gt;&lt;C&gt;1&lt;/C&gt;&lt;D xsi:type="xsd:double"&gt;0.9653206&lt;/D&gt;&lt;/FQL&gt;&lt;FQL&gt;&lt;Q&gt;MAS-US^P_BETA_LOCIDX(44852,44678,,"SPX")&lt;/Q&gt;&lt;R&gt;1&lt;/R&gt;&lt;C&gt;1&lt;/C&gt;&lt;D xsi:type="xsd:double"&gt;0.96156865&lt;/D&gt;&lt;/FQL&gt;&lt;FQL&gt;&lt;Q&gt;MAS-US^P_BETA_LOCIDX(44851,44677,,"SPX")&lt;/Q&gt;&lt;R&gt;1&lt;/R&gt;&lt;C&gt;1&lt;/C&gt;&lt;D xsi:type="xsd:double"&gt;0.92981404&lt;/D&gt;&lt;/FQL&gt;&lt;FQL&gt;&lt;Q&gt;MAS-US^P_BETA_LOCIDX(44848,44676,,"SPX")&lt;/Q&gt;&lt;R&gt;1&lt;/R&gt;&lt;C&gt;1&lt;/C&gt;&lt;D xsi:type="xsd:double"&gt;0.93869823&lt;/D&gt;&lt;/FQL&gt;&lt;FQL&gt;&lt;Q&gt;MAS-US^P_BETA_LOCIDX(44847,44673,,"SPX")&lt;/Q&gt;&lt;R&gt;1&lt;/R&gt;&lt;C&gt;1&lt;/C&gt;&lt;D xsi:type="xsd:double"&gt;0.9280671&lt;/D&gt;&lt;/FQL&gt;&lt;FQL&gt;&lt;Q&gt;MAS-US^P_BETA_LOCIDX(44846,44672,,"SPX")&lt;/Q&gt;&lt;R&gt;1&lt;/R&gt;&lt;C&gt;1&lt;/C&gt;&lt;D xsi:type="xsd:double"&gt;0.93874156&lt;/D&gt;&lt;/FQL&gt;&lt;FQL&gt;&lt;Q&gt;MAS-US^P_BETA_LOCIDX(44845,44671,,"SPX")&lt;/Q&gt;&lt;R&gt;1&lt;/R&gt;&lt;C&gt;1&lt;/C&gt;&lt;D xsi:type="xsd:double"&gt;0.9389716&lt;/D&gt;&lt;/FQL&gt;&lt;FQL&gt;&lt;Q&gt;MAS-US^P_BETA_LOCIDX(44844,44670,,"SPX")&lt;/Q&gt;&lt;R&gt;1&lt;/R&gt;&lt;C&gt;1&lt;/C&gt;&lt;D xsi:type="xsd:double"&gt;0.95046693&lt;/D&gt;&lt;/FQL&gt;&lt;FQL&gt;&lt;Q&gt;MAS-US^P_BETA_LOCIDX(44841,44669,,"SPX")&lt;/Q&gt;&lt;R&gt;1&lt;/R&gt;&lt;C&gt;1&lt;/C&gt;&lt;D xsi:type="xsd:double"&gt;0.9525325&lt;/D&gt;&lt;/FQL&gt;&lt;FQL&gt;&lt;Q&gt;MAS-US^P_BETA_LOCIDX(44840,44665,,"SPX")&lt;/Q&gt;&lt;R&gt;1&lt;/R&gt;&lt;C&gt;1&lt;/C&gt;&lt;D xsi:type="xsd:double"&gt;0.9449473&lt;/D&gt;&lt;/FQL&gt;&lt;FQL&gt;&lt;Q&gt;MAS-US^P_BETA_LOCIDX(44839,44664,,"SPX")&lt;/Q&gt;&lt;R&gt;1&lt;/R&gt;&lt;C&gt;1&lt;/C&gt;&lt;D xsi:type="xsd:double"&gt;0.95248425&lt;/D&gt;&lt;/FQL&gt;&lt;FQL&gt;&lt;Q&gt;MAS-US^P_BETA_LOCIDX(44838,44663,,"SPX")&lt;/Q&gt;&lt;R&gt;1&lt;/R&gt;&lt;C&gt;1&lt;/C&gt;&lt;D xsi:type="xsd:double"&gt;0.9528114&lt;/D&gt;&lt;/FQL&gt;&lt;FQL&gt;&lt;Q&gt;MAS-US^P_BETA_LOCIDX(44837,44662,,"SPX")&lt;/Q&gt;&lt;R&gt;1&lt;/R&gt;&lt;C&gt;1&lt;/C&gt;&lt;D xsi:type="xsd:double"&gt;0.94438845&lt;/D&gt;&lt;/FQL&gt;&lt;FQL&gt;&lt;Q&gt;MAS-US^P_BETA_LOCIDX(44834,44659,,"SPX")&lt;/Q&gt;&lt;R&gt;1&lt;/R&gt;&lt;C&gt;1&lt;/C&gt;&lt;D xsi:type="xsd:double"&gt;0.9320405&lt;/D&gt;&lt;/FQL&gt;&lt;FQL&gt;&lt;Q&gt;MAS-US^P_BETA_LOCIDX(44833,44658,,"SPX")&lt;/Q&gt;&lt;R&gt;1&lt;/R&gt;&lt;C&gt;1&lt;/C&gt;&lt;D xsi:type="xsd:double"&gt;0.93083894&lt;/D&gt;&lt;/FQL&gt;&lt;FQL&gt;&lt;Q&gt;MAS-US^P_BETA_LOCIDX(44832,44657,,"SPX")&lt;/Q&gt;&lt;R&gt;1&lt;/R&gt;&lt;C&gt;1&lt;/C&gt;&lt;D xsi:type="xsd:double"&gt;0.91981274&lt;/D&gt;&lt;/FQL&gt;&lt;FQL&gt;&lt;Q&gt;MAS-US^P_BETA_LOCIDX(44831,44656,,"SPX")&lt;/Q&gt;&lt;R&gt;1&lt;/R&gt;&lt;C&gt;1&lt;/C&gt;&lt;D xsi:type="xsd:double"&gt;0.89176023&lt;/D&gt;&lt;/FQL&gt;&lt;FQL&gt;&lt;Q&gt;MAS-US^P_BETA_LOCIDX(44830,44655,,"SPX")&lt;/Q&gt;&lt;R&gt;1&lt;/R&gt;&lt;C&gt;1&lt;/C&gt;&lt;D xsi:type="xsd:double"&gt;0.8918634&lt;/D&gt;&lt;/FQL&gt;&lt;FQL&gt;&lt;Q&gt;MAS-US^P_BETA_LOCIDX(44827,44652,,"SPX")&lt;/Q&gt;&lt;R&gt;1&lt;/R&gt;&lt;C&gt;1&lt;/C&gt;&lt;D xsi:type="xsd:double"&gt;0.88831425&lt;/D&gt;&lt;/FQL&gt;&lt;FQL&gt;&lt;Q&gt;MAS-US^P_BETA_LOCIDX(44826,44651,,"SPX")&lt;/Q&gt;&lt;R&gt;1&lt;/R&gt;&lt;C&gt;1&lt;/C&gt;&lt;D xsi:type="xsd:double"&gt;0.91224617&lt;/D&gt;&lt;/FQL&gt;&lt;FQL&gt;&lt;Q&gt;MAS-US^P_BETA_LOCIDX(44825,44650,,"SPX")&lt;/Q&gt;&lt;R&gt;1&lt;/R&gt;&lt;C&gt;1&lt;/C&gt;&lt;D xsi:type="xsd:double"&gt;0.9126726&lt;/D&gt;&lt;/FQL&gt;&lt;FQL&gt;&lt;Q&gt;MAS-US^P_BETA_LOCIDX(44824,44649,,"SPX")&lt;/Q&gt;&lt;R&gt;1&lt;/R&gt;&lt;C&gt;1&lt;/C&gt;&lt;D xsi:type="xsd:double"&gt;0.9246437&lt;/D&gt;&lt;/FQL&gt;&lt;FQL&gt;&lt;Q&gt;MAS-US^P_BETA_LOCIDX(44823,44648,,"SPX")&lt;/Q&gt;&lt;R&gt;1&lt;/R&gt;&lt;C&gt;1&lt;/C&gt;&lt;D xsi:type="xsd:double"&gt;0.9218035&lt;/D&gt;&lt;/FQL&gt;&lt;FQL&gt;&lt;Q&gt;MAS-US^P_BETA_LOCIDX(44820,44645,,"SPX")&lt;/Q&gt;&lt;R&gt;1&lt;/R&gt;&lt;C&gt;1&lt;/C&gt;&lt;D xsi:type="xsd:double"&gt;0.9166433&lt;/D&gt;&lt;/FQL&gt;&lt;FQL&gt;&lt;Q&gt;MAS-US^P_BETA_LOCIDX(44819,44644,,"SPX")&lt;/Q&gt;&lt;R&gt;1&lt;/R&gt;&lt;C&gt;1&lt;/C&gt;&lt;D xsi:type="xsd:double"&gt;0.90567935&lt;/D&gt;&lt;/FQL&gt;&lt;FQL&gt;&lt;Q&gt;MAS-US^P_BETA_LOCIDX(44818,44643,,"SPX")&lt;/Q&gt;&lt;R&gt;1&lt;/R&gt;&lt;C&gt;1&lt;/C&gt;&lt;D xsi:type="xsd:double"&gt;0.9201009&lt;/D&gt;&lt;/FQL&gt;&lt;FQL&gt;&lt;Q&gt;MAS-US^P_BETA_LOCIDX(44817,44642,,"SPX")&lt;/Q&gt;&lt;R&gt;1&lt;/R&gt;&lt;C&gt;1&lt;/C&gt;&lt;D xsi:type="xsd:double"&gt;0.9136344&lt;/D&gt;&lt;/FQL&gt;&lt;FQL&gt;&lt;Q&gt;MAS-US^P_BETA_LOCIDX(44816,44641,,"SPX")&lt;/Q&gt;&lt;R&gt;1&lt;/R&gt;&lt;C&gt;1&lt;/C&gt;&lt;D xsi:type="xsd:double"&gt;0.87937075&lt;/D&gt;&lt;/FQL&gt;&lt;FQL&gt;&lt;Q&gt;MAS-US^P_BETA_LOCIDX(44813,44638,,"SPX")&lt;/Q&gt;&lt;R&gt;1&lt;/R&gt;&lt;C&gt;1&lt;/C&gt;&lt;D xsi:type="xsd:double"&gt;0.8790082&lt;/D&gt;&lt;/FQL&gt;&lt;FQL&gt;&lt;Q&gt;MAS-US^P_BETA_LOCIDX(44812,44637,,"SPX")&lt;/Q&gt;&lt;R&gt;1&lt;/R&gt;&lt;C&gt;1&lt;/C&gt;&lt;D xsi:type="xsd:double"&gt;0.87611324&lt;/D&gt;&lt;/FQL&gt;&lt;FQL&gt;&lt;Q&gt;MAS-US^P_BETA_LOCIDX(44811,44636,,"SPX")&lt;/Q&gt;&lt;R&gt;1&lt;/R&gt;&lt;C&gt;1&lt;/C&gt;&lt;D xsi:type="xsd:double"&gt;0.8670682&lt;/D&gt;&lt;/FQL&gt;&lt;FQL&gt;&lt;Q&gt;MAS-US^P_BETA_LOCIDX(44810,44635,,"SPX")&lt;/Q&gt;&lt;R&gt;1&lt;/R&gt;&lt;C&gt;1&lt;/C&gt;&lt;D xsi:type="xsd:double"&gt;0.8639162&lt;/D&gt;&lt;/FQL&gt;&lt;FQL&gt;&lt;Q&gt;MAS-US^P_BETA_LOCIDX(44806,44634,,"SPX")&lt;/Q&gt;&lt;R&gt;1&lt;/R&gt;&lt;C&gt;1&lt;/C&gt;&lt;D xsi:type="xsd:double"&gt;0.85955876&lt;/D&gt;&lt;/FQL&gt;&lt;FQL&gt;&lt;Q&gt;MAS-US^P_BETA_LOCIDX(44805,44631,,"SPX")&lt;/Q&gt;&lt;R&gt;1&lt;/R&gt;&lt;C&gt;1&lt;/C&gt;&lt;D xsi:type="xsd:double"&gt;0.8526095&lt;/D&gt;&lt;/FQL&gt;&lt;FQL&gt;&lt;Q&gt;MAS-US^P_BETA_LOCIDX(44804,44630,,"SPX")&lt;/Q&gt;&lt;R&gt;1&lt;/R&gt;&lt;C&gt;1&lt;/C&gt;&lt;D xsi:type="xsd:double"&gt;0.8533431&lt;/D&gt;&lt;/FQL&gt;&lt;FQL&gt;&lt;Q&gt;MAS-US^P_BETA_LOCIDX(44803,44629,,"SPX")&lt;/Q&gt;&lt;R&gt;1&lt;/R&gt;&lt;C&gt;1&lt;/C&gt;&lt;D xsi:type="xsd:double"&gt;0.861951&lt;/D&gt;&lt;/FQL&gt;&lt;FQL&gt;&lt;Q&gt;MAS-US^P_BETA_LOCIDX(44802,44628,,"SPX")&lt;/Q&gt;&lt;R&gt;1&lt;/R&gt;&lt;C&gt;1&lt;/C&gt;&lt;D xsi:type="xsd:double"&gt;0.8633567&lt;/D&gt;&lt;/FQL&gt;&lt;FQL&gt;&lt;Q&gt;MAS-US^P_BETA_LOCIDX(44799,44627,,"SPX")&lt;/Q&gt;&lt;R&gt;1&lt;/R&gt;&lt;C&gt;1&lt;/C&gt;&lt;D xsi:type="xsd:double"&gt;0.8902008&lt;/D&gt;&lt;/FQL&gt;&lt;FQL&gt;&lt;Q&gt;MAS-US^P_BETA_LOCIDX(44798,44624,,"SPX")&lt;/Q&gt;&lt;R&gt;1&lt;/R&gt;&lt;C&gt;1&lt;/C&gt;&lt;D xsi:type="xsd:double"&gt;0.87797564&lt;/D&gt;&lt;/FQL&gt;&lt;FQL&gt;&lt;Q&gt;MAS-US^P_BETA_LOCIDX(44797,44623,,"SPX")&lt;/Q&gt;&lt;R&gt;1&lt;/R&gt;&lt;C&gt;1&lt;/C&gt;&lt;D xsi:type="xsd:double"&gt;0.8775826&lt;/D&gt;&lt;/FQL&gt;&lt;FQL&gt;&lt;Q&gt;MAS-US^P_BETA_LOCIDX(44796,44622,,"SPX")&lt;/Q&gt;&lt;R&gt;1&lt;/R&gt;&lt;C&gt;1&lt;/C&gt;&lt;D xsi:type="xsd:double"&gt;0.8861995&lt;/D&gt;&lt;/FQL&gt;&lt;FQL&gt;&lt;Q&gt;MAS-US^P_BETA_LOCIDX(44795,44621,,"SPX")&lt;/Q&gt;&lt;R&gt;1&lt;/R&gt;&lt;C&gt;1&lt;/C&gt;&lt;D xsi:type="xsd:double"&gt;0.8919152&lt;/D&gt;&lt;/FQL&gt;&lt;FQL&gt;&lt;Q&gt;MAS-US^P_BETA_LOCIDX(44792,44620,,"SPX")&lt;/Q&gt;&lt;R&gt;1&lt;/R&gt;&lt;C&gt;1&lt;/C&gt;&lt;D xsi:type="xsd:double"&gt;0.8749845&lt;/D&gt;&lt;/FQL&gt;&lt;FQL&gt;&lt;Q&gt;MAS-US^P_BETA_LOCIDX(44791,44617,,"SPX")&lt;/Q&gt;&lt;R&gt;1&lt;/R&gt;&lt;C&gt;1&lt;/C&gt;&lt;D xsi:type="xsd:double"&gt;0.8752769&lt;/D&gt;&lt;/FQL&gt;&lt;FQL&gt;&lt;Q&gt;MAS-US^P_BETA_LOCIDX(44790,44616,,"SPX")&lt;/Q&gt;&lt;R&gt;1&lt;/R&gt;&lt;C&gt;1&lt;/C&gt;&lt;D xsi:type="xsd:double"&gt;0.8712358&lt;/D&gt;&lt;/FQL&gt;&lt;FQL&gt;&lt;Q&gt;MAS-US^P_BETA_LOCIDX(44789,44615,,"SPX")&lt;/Q&gt;&lt;R&gt;1&lt;/R&gt;&lt;C&gt;1&lt;/C&gt;&lt;D xsi:type="xsd:double"&gt;0.8732204&lt;/D&gt;&lt;/FQL&gt;&lt;FQL&gt;&lt;Q&gt;MAS-US^P_BETA_LOCIDX(44788,44614,,"SPX")&lt;/Q&gt;&lt;R&gt;1&lt;/R&gt;&lt;C&gt;1&lt;/C&gt;&lt;D xsi:type="xsd:double"&gt;0.8794051&lt;/D&gt;&lt;/FQL&gt;&lt;FQL&gt;&lt;Q&gt;MAS-US^P_BETA_LOCIDX(44785,44610,,"SPX")&lt;/Q&gt;&lt;R&gt;1&lt;/R&gt;&lt;C&gt;1&lt;/C&gt;&lt;D xsi:type="xsd:double"&gt;0.8794618&lt;/D&gt;&lt;/FQL&gt;&lt;FQL&gt;&lt;Q&gt;MAS-US^P_BETA_LOCIDX(44784,44609,,"SPX")&lt;/Q&gt;&lt;R&gt;1&lt;/R&gt;&lt;C&gt;1&lt;/C&gt;&lt;D xsi:type="xsd:double"&gt;0.8776715&lt;/D&gt;&lt;/FQL&gt;&lt;FQL&gt;&lt;Q&gt;MAS-US^P_BETA_LOCIDX(44783,44608,,"SPX")&lt;/Q&gt;&lt;R&gt;1&lt;/R&gt;&lt;C&gt;1&lt;/C&gt;&lt;D xsi:type="xsd:double"&gt;0.8783388&lt;/D&gt;&lt;/FQL&gt;&lt;FQL&gt;&lt;Q&gt;MAS-US^P_BETA_LOCIDX(44782,44607,,"SPX")&lt;/Q&gt;&lt;R&gt;1&lt;/R&gt;&lt;C&gt;1&lt;/C&gt;&lt;D xsi:type="xsd:double"&gt;0.8571386&lt;/D&gt;&lt;/FQL&gt;&lt;FQL&gt;&lt;Q&gt;MAS-US^P_BETA_LOCIDX(44781,44606,,"SPX")&lt;/Q&gt;&lt;R&gt;1&lt;/R&gt;&lt;C&gt;1&lt;/C&gt;&lt;D xsi:type="xsd:double"&gt;0.8538919&lt;/D&gt;&lt;/FQL&gt;&lt;FQL&gt;&lt;Q&gt;MAS-US^P_BETA_LOCIDX(44778,44603,,"SPX")&lt;/Q&gt;&lt;R&gt;1&lt;/R&gt;&lt;C&gt;1&lt;/C&gt;&lt;D xsi:type="xsd:double"&gt;0.84974337&lt;/D&gt;&lt;/FQL&gt;&lt;FQL&gt;&lt;Q&gt;MAS-US^P_BETA_LOCIDX(44777,44602,,"SPX")&lt;/Q&gt;&lt;R&gt;1&lt;/R&gt;&lt;C&gt;1&lt;/C&gt;&lt;D xsi:type="xsd:double"&gt;0.8624314&lt;/D&gt;&lt;/FQL&gt;&lt;FQL&gt;&lt;Q&gt;MAS-US^P_BETA_LOCIDX(44776,44601,,"SPX")&lt;/Q&gt;&lt;R&gt;1&lt;/R&gt;&lt;C&gt;1&lt;/C&gt;&lt;D xsi:type="xsd:double"&gt;0.8682739&lt;/D&gt;&lt;/FQL&gt;&lt;FQL&gt;&lt;Q&gt;MAS-US^P_BETA_LOCIDX(44775,44600,,"SPX")&lt;/Q&gt;&lt;R&gt;1&lt;/R&gt;&lt;C&gt;1&lt;/C&gt;&lt;D xsi:type="xsd:double"&gt;0.8774892&lt;/D&gt;&lt;/FQL&gt;&lt;FQL&gt;&lt;Q&gt;MAS-US^P_BETA_LOCIDX(44774,44599,,"SPX")&lt;/Q&gt;&lt;R&gt;1&lt;/R&gt;&lt;C&gt;1&lt;/C&gt;&lt;D xsi:type="xsd:double"&gt;0.873758&lt;/D&gt;&lt;/FQL&gt;&lt;FQL&gt;&lt;Q&gt;MAS-US^P_BETA_LOCIDX(45845,45670,,"SPX")&lt;/Q&gt;&lt;R&gt;1&lt;/R&gt;&lt;C&gt;1&lt;/C&gt;&lt;D xsi:type="xsd:double"&gt;1.0225551&lt;/D&gt;&lt;/FQL&gt;&lt;FQL&gt;&lt;Q&gt;CAT-US^P_BETA_LOCIDX(45841,45665,,"SPX")&lt;/Q&gt;&lt;R&gt;1&lt;/R&gt;&lt;C&gt;1&lt;/C&gt;&lt;D xsi:type="xsd:double"&gt;1.1421884&lt;/D&gt;&lt;/FQL&gt;&lt;FQL&gt;&lt;Q&gt;CAT-US^P_BETA_LOCIDX(45840,45664,,"SPX")&lt;/Q&gt;&lt;R&gt;1&lt;/R&gt;&lt;C&gt;1&lt;/C&gt;&lt;D xsi:type="xsd:double"&gt;1.1416014&lt;/D&gt;&lt;/FQL&gt;&lt;FQL&gt;&lt;Q&gt;CAT-US^P_BETA_LOCIDX(45839,45663,,"SPX")&lt;/Q&gt;&lt;R&gt;1&lt;/R&gt;&lt;C&gt;1&lt;/C&gt;&lt;D xsi:type="xsd:double"&gt;1.1386145&lt;/D&gt;&lt;/FQL&gt;&lt;FQL&gt;&lt;Q&gt;CAT-US^P_BETA_LOCIDX(45838,45660,,"SPX")&lt;/Q&gt;&lt;R&gt;1&lt;/R&gt;&lt;C&gt;1&lt;/C&gt;&lt;D xsi:type="xsd:double"&gt;1.1376427&lt;/D&gt;&lt;/FQL&gt;&lt;FQL&gt;&lt;Q&gt;CAT-US^P_BETA_LOCIDX(45835,45659,,"SPX")&lt;/Q&gt;&lt;R&gt;1&lt;/R&gt;&lt;C&gt;1&lt;/C&gt;&lt;D xsi:type="xsd:double"&gt;1.1377168&lt;/D&gt;&lt;/FQL&gt;&lt;FQL&gt;&lt;Q&gt;CAT-US^P_BETA_LOCIDX(45834,45657,,"SPX")&lt;/Q&gt;&lt;R&gt;1&lt;/R&gt;&lt;C&gt;1&lt;/C&gt;&lt;D xsi:type="xsd:double"&gt;1.1368269&lt;/D&gt;&lt;/FQL&gt;&lt;FQL&gt;&lt;Q&gt;CAT-US^P_BETA_LOCIDX(45833,45656,,"SPX")&lt;/Q&gt;&lt;R&gt;1&lt;/R&gt;&lt;C&gt;1&lt;/C&gt;&lt;D xsi:type="xsd:double"&gt;1.1292433&lt;/D&gt;&lt;/FQL&gt;&lt;FQL&gt;&lt;Q&gt;CAT-US^P_BETA_LOCIDX(45832,45653,,"SPX")&lt;/Q&gt;&lt;R&gt;1&lt;/R&gt;&lt;C&gt;1&lt;/C&gt;&lt;D xsi:type="xsd:double"&gt;1.1267842&lt;/D&gt;&lt;/FQL&gt;&lt;FQL&gt;&lt;Q&gt;CAT-US^P_BETA_LOCIDX(45831,45652,,"SPX")&lt;/Q&gt;&lt;R&gt;1&lt;/R&gt;&lt;C&gt;1&lt;/C&gt;&lt;D xsi:type="xsd:double"&gt;1.1245605&lt;/D&gt;&lt;/FQL&gt;&lt;FQL&gt;&lt;Q&gt;CAT-US^P_BETA_LOCIDX(45828,45650,,"SPX")&lt;/Q&gt;&lt;R&gt;1&lt;/R&gt;&lt;C&gt;1&lt;/C&gt;&lt;D xsi:type="xsd:double"&gt;1.120466&lt;/D&gt;&lt;/FQL&gt;&lt;FQL&gt;&lt;Q&gt;CAT-US^P_BETA_LOCIDX(45826,45649,,"SPX")&lt;/Q&gt;&lt;R&gt;1&lt;/R&gt;&lt;C&gt;1&lt;/C&gt;&lt;D xsi:type="xsd:double"&gt;1.1183982&lt;/D&gt;&lt;/FQL&gt;&lt;FQL&gt;&lt;Q&gt;CAT-US^P_BETA_LOCIDX(45825,45646,,"SPX")&lt;/Q&gt;&lt;R&gt;1&lt;/R&gt;&lt;C&gt;1&lt;/C&gt;&lt;D xsi:type="xsd:double"&gt;1.1198783&lt;/D&gt;&lt;/FQL&gt;&lt;FQL&gt;&lt;Q&gt;CAT-US^P_BETA_LOCIDX(45824,45645,,"SPX")&lt;/Q&gt;&lt;R&gt;1&lt;/R&gt;&lt;C&gt;1&lt;/C&gt;&lt;D xsi:type="xsd:double"&gt;1.1191481&lt;/D&gt;&lt;/FQL&gt;&lt;FQL&gt;&lt;Q&gt;CAT-US^P_BETA_LOCIDX(45821,45644,,"SPX")&lt;/Q&gt;&lt;R&gt;1&lt;/R&gt;&lt;C&gt;1&lt;/C&gt;&lt;D xsi:type="xsd:double"&gt;1.1161507&lt;/D&gt;&lt;/FQL&gt;&lt;FQL&gt;&lt;Q&gt;CAT-US^P_BETA_LOCIDX(45820,45643,,"SPX")&lt;/Q&gt;&lt;R&gt;1&lt;/R&gt;&lt;C&gt;1&lt;/C&gt;&lt;D xsi:type="xsd:double"&gt;1.1174079&lt;/D&gt;&lt;/FQL&gt;&lt;FQL&gt;&lt;Q&gt;CAT-US^P_BETA_LOCIDX(45819,45642,,"SPX")&lt;/Q&gt;&lt;R&gt;1&lt;/R&gt;&lt;C&gt;1&lt;/C&gt;&lt;D xsi:type="xsd:double"&gt;1.1176473&lt;/D&gt;&lt;/FQL&gt;&lt;FQL&gt;&lt;Q&gt;CAT-US^P_BETA_LOCIDX(45818,45639,,"SPX")&lt;/Q&gt;&lt;R&gt;1&lt;/R&gt;&lt;C&gt;1&lt;/C&gt;&lt;D xsi:type="xsd:double"&gt;1.1191905&lt;/D&gt;&lt;/FQL&gt;&lt;FQL&gt;&lt;Q&gt;CAT-US^P_BETA_LOCIDX(45817,45638,,"SPX")&lt;/Q&gt;&lt;R&gt;1&lt;/R&gt;&lt;C&gt;1&lt;/C&gt;&lt;D xsi:type="xsd:double"&gt;1.1226153&lt;/D&gt;&lt;/FQL&gt;&lt;FQL&gt;&lt;Q&gt;CAT-US^P_BETA_LOCIDX(45814,45637,,"SPX")&lt;/Q&gt;&lt;R&gt;1&lt;/R&gt;&lt;C&gt;1&lt;/C&gt;&lt;D xsi:type="xsd:double"&gt;1.1202241&lt;/D&gt;&lt;/FQL&gt;&lt;FQL&gt;&lt;Q&gt;CAT-US^P_BETA_LOCIDX(45813,45636,,"SPX")&lt;/Q&gt;&lt;R&gt;1&lt;/R&gt;&lt;C&gt;1&lt;/C&gt;&lt;D xsi:type="xsd:double"&gt;1.1219283&lt;/D&gt;&lt;/FQL&gt;&lt;FQL&gt;&lt;Q&gt;CAT-US^P_BETA_LOCIDX(45812,45635,,"SPX")&lt;/Q&gt;&lt;R&gt;1&lt;/R&gt;&lt;C&gt;1&lt;/C&gt;&lt;D xsi:type="xsd:double"&gt;1.1191417&lt;/D&gt;&lt;/FQL&gt;&lt;FQL&gt;&lt;Q&gt;CAT-US^P_BETA_LOCIDX(45811,45632,,"SPX")&lt;/Q&gt;&lt;R&gt;1&lt;/R&gt;&lt;C&gt;1&lt;/C&gt;&lt;D xsi:type="xsd:double"&gt;1.118977&lt;/D&gt;&lt;/FQL&gt;&lt;FQL&gt;&lt;Q&gt;CAT-US^P_BETA_LOCIDX(45810,45631,,"SPX")&lt;/Q&gt;&lt;R&gt;1&lt;/R&gt;&lt;C&gt;1&lt;/C&gt;&lt;D xsi:type="xsd:double"&gt;1.1179005&lt;/D&gt;&lt;/FQL&gt;&lt;FQL&gt;&lt;Q&gt;CAT-US^P_BETA_LOCIDX(45807,45630,,"SPX")&lt;/Q&gt;&lt;R&gt;1&lt;/R&gt;&lt;C&gt;1&lt;/C&gt;&lt;D xsi:type="xsd:double"&gt;1.1186953&lt;/D&gt;&lt;/FQL&gt;&lt;FQL&gt;&lt;Q&gt;CAT-US^P_BETA_LOCIDX(45806,45629,,"SPX")&lt;/Q&gt;&lt;R&gt;1&lt;/R&gt;&lt;C&gt;1&lt;/C&gt;&lt;D xsi:type="xsd:double"&gt;1.1185551&lt;/D&gt;&lt;/FQL&gt;&lt;FQL&gt;&lt;Q&gt;CAT-US^P_BETA_LOCIDX(45805,45628,,"SPX")&lt;/Q&gt;&lt;R&gt;1&lt;/R&gt;&lt;C&gt;1&lt;/C&gt;&lt;D xsi:type="xsd:double"&gt;1.117235&lt;/D&gt;&lt;/FQL&gt;&lt;FQL&gt;&lt;Q&gt;CAT-US^P_BETA_LOCIDX(45804,45625,,"SPX")&lt;/Q&gt;&lt;R&gt;1&lt;/R&gt;&lt;C&gt;1&lt;/C&gt;&lt;D xsi:type="xsd:double"&gt;1.1176188&lt;/D&gt;&lt;/FQL&gt;&lt;FQL&gt;&lt;Q&gt;CAT-US^P_BETA_LOCIDX(45800,45623,,"SPX")&lt;/Q&gt;&lt;R&gt;1&lt;/R&gt;&lt;C&gt;1&lt;/C&gt;&lt;D xsi:type="xsd:double"&gt;1.1170192&lt;/D&gt;&lt;/FQL&gt;&lt;FQL&gt;&lt;Q&gt;CAT-US^P_BETA_LOCIDX(45799,45622,,"SPX")&lt;/Q&gt;&lt;R&gt;1&lt;/R&gt;&lt;C&gt;1&lt;/C&gt;&lt;D xsi:type="xsd:double"&gt;1.117754&lt;/D&gt;&lt;/FQL&gt;&lt;FQL&gt;&lt;Q&gt;CAT-US^P_BETA_LOCIDX(45798,45621,,"SPX")&lt;/Q&gt;&lt;R&gt;1&lt;/R&gt;&lt;C&gt;1&lt;/C&gt;&lt;D xsi:type="xsd:double"&gt;1.1197886&lt;/D&gt;&lt;/FQL&gt;&lt;FQL&gt;&lt;Q&gt;CAT-US^P_BETA_LOCIDX(45797,45618,,"SPX")&lt;/Q&gt;&lt;R&gt;1&lt;/R&gt;&lt;C&gt;1&lt;/C&gt;&lt;D xsi:type="xsd:double"&gt;1.1212596&lt;/D&gt;&lt;/FQL&gt;&lt;FQL&gt;&lt;Q&gt;CAT-US^P_BETA_LOCIDX(45796,45617,,"SPX")&lt;/Q&gt;&lt;R&gt;1&lt;/R&gt;&lt;C&gt;1&lt;/C&gt;&lt;D xsi:type="xsd:double"&gt;1.1236022&lt;/D&gt;&lt;/FQL&gt;&lt;FQL&gt;&lt;Q&gt;CAT-US^P_BETA_LOCIDX(45793,45616,,"SPX")&lt;/Q&gt;&lt;R&gt;1&lt;/R&gt;&lt;C&gt;1&lt;/C&gt;&lt;D xsi:type="xsd:double"&gt;1.1236879&lt;/D&gt;&lt;/FQL&gt;&lt;FQL&gt;&lt;Q&gt;CAT-US^P_BETA_LOCIDX(45792,45615,,"SPX")&lt;/Q&gt;&lt;R&gt;1&lt;/R&gt;&lt;C&gt;1&lt;/C&gt;&lt;D xsi:type="xsd:double"&gt;1.1216213&lt;/D&gt;&lt;/FQL&gt;&lt;FQL&gt;&lt;Q&gt;CAT-US^P_BETA_LOCIDX(45791,45614,,"SPX")&lt;/Q&gt;&lt;R&gt;1&lt;/R&gt;&lt;C&gt;1&lt;/C&gt;&lt;D xsi:type="xsd:double"&gt;1.1217545&lt;/D&gt;&lt;/FQL&gt;&lt;FQL&gt;&lt;Q&gt;CAT-US^P_BETA_LOCIDX(45790,45611,,"SPX")&lt;/Q&gt;&lt;R&gt;1&lt;/R&gt;&lt;C&gt;1&lt;/C&gt;&lt;D xsi:type="xsd:double"&gt;1.1188539&lt;/D&gt;&lt;/FQL&gt;&lt;FQL&gt;&lt;Q&gt;CAT-US^P_BETA_LOCIDX(45789,45610,,"SPX")&lt;/Q&gt;&lt;R&gt;1&lt;/R&gt;&lt;C&gt;1&lt;/C&gt;&lt;D xsi:type="xsd:double"&gt;1.1117516&lt;/D&gt;&lt;/FQL&gt;&lt;FQL&gt;&lt;Q&gt;CAT-US^P_BETA_LOCIDX(45786,45609,,"SPX")&lt;/Q&gt;&lt;R&gt;1&lt;/R&gt;&lt;C&gt;1&lt;/C&gt;&lt;D xsi:type="xsd:double"&gt;1.0921094&lt;/D&gt;&lt;/FQL&gt;&lt;FQL&gt;&lt;Q&gt;CAT-US^P_BETA_LOCIDX(45785,45608,,"SPX")&lt;/Q&gt;&lt;R&gt;1&lt;/R&gt;&lt;C&gt;1&lt;/C&gt;&lt;D xsi:type="xsd:double"&gt;1.0926142&lt;/D&gt;&lt;/FQL&gt;&lt;FQL&gt;&lt;Q&gt;CAT-US^P_BETA_LOCIDX(45784,45607,,"SPX")&lt;/Q&gt;&lt;R&gt;1&lt;/R&gt;&lt;C&gt;1&lt;/C&gt;&lt;D xsi:type="xsd:double"&gt;1.0914419&lt;/D&gt;&lt;/FQL&gt;&lt;FQL&gt;&lt;Q&gt;CAT-US^P_BETA_LOCIDX(45783,45604,,"SPX")&lt;/Q&gt;&lt;R&gt;1&lt;/R&gt;&lt;C&gt;1&lt;/C&gt;&lt;D xsi:type="xsd:double"&gt;1.0865307&lt;/D&gt;&lt;/FQL&gt;&lt;FQL&gt;&lt;Q&gt;CAT-US^P_BETA_LOCIDX(45782,45603,,"SPX")&lt;/Q&gt;&lt;R&gt;1&lt;/R&gt;&lt;C&gt;1&lt;/C&gt;&lt;D xsi:type="xsd:double"&gt;1.0796955&lt;/D&gt;&lt;/FQL&gt;&lt;FQL&gt;&lt;Q&gt;CAT-US^P_BETA_LOCIDX(45779,45602,,"SPX")&lt;/Q&gt;&lt;R&gt;1&lt;/R&gt;&lt;C&gt;1&lt;/C&gt;&lt;D xsi:type="xsd:double"&gt;1.135698&lt;/D&gt;&lt;/FQL&gt;&lt;FQL&gt;&lt;Q&gt;CAT-US^P_BETA_LOCIDX(45778,45601,,"SPX")&lt;/Q&gt;&lt;R&gt;1&lt;/R&gt;&lt;C&gt;1&lt;/C&gt;&lt;D xsi:type="xsd:double"&gt;1.130081&lt;/D&gt;&lt;/FQL&gt;&lt;FQL&gt;&lt;Q&gt;CAT-US^P_BETA_LOCIDX(45777,45600,,"SPX")&lt;/Q&gt;&lt;R&gt;1&lt;/R&gt;&lt;C&gt;1&lt;/C&gt;&lt;D xsi:type="xsd:double"&gt;1.1283607&lt;/D&gt;&lt;/FQL&gt;&lt;FQL&gt;&lt;Q&gt;CAT-US^P_BETA_LOCIDX(45776,45597,,"SPX")&lt;/Q&gt;&lt;R&gt;1&lt;/R&gt;&lt;C&gt;1&lt;/C&gt;&lt;D xsi:type="xsd:double"&gt;1.1288974&lt;/D&gt;&lt;/FQL&gt;&lt;FQL&gt;&lt;Q&gt;CAT-US^P_BETA_LOCIDX(45775,45596,,"SPX")&lt;/Q&gt;&lt;R&gt;1&lt;/R&gt;&lt;C&gt;1&lt;/C&gt;&lt;D xsi:type="xsd:double"&gt;1.1206867&lt;/D&gt;&lt;/FQL&gt;&lt;FQL&gt;&lt;Q&gt;CAT-US^P_BETA_LOCIDX(45772,45595,,"SPX")&lt;/Q&gt;&lt;R&gt;1&lt;/R&gt;&lt;C&gt;1&lt;/C&gt;&lt;D xsi:type="xsd:double"&gt;1.1223004&lt;/D&gt;&lt;/FQL&gt;&lt;FQL&gt;&lt;Q&gt;CAT-US^P_BETA_LOCIDX(45771,45594,,"SPX")&lt;/Q&gt;&lt;R&gt;1&lt;/R&gt;&lt;C&gt;1&lt;/C&gt;&lt;D xsi:type="xsd:double"&gt;1.123948&lt;/D&gt;&lt;/FQL&gt;&lt;FQL&gt;&lt;Q&gt;CAT-US^P_BETA_LOCIDX(45770,45593,,"SPX")&lt;/Q&gt;&lt;R&gt;1&lt;/R&gt;&lt;C&gt;1&lt;/C&gt;&lt;D xsi:type="xsd:double"&gt;1.113363&lt;/D&gt;&lt;/FQL&gt;&lt;FQL&gt;&lt;Q&gt;CAT-US^P_BETA_LOCIDX(45769,45590,,"SPX")&lt;/Q&gt;&lt;R&gt;1&lt;/R&gt;&lt;C&gt;1&lt;/C&gt;&lt;D xsi:type="xsd:double"&gt;1.1141987&lt;/D&gt;&lt;/FQL&gt;&lt;FQL&gt;&lt;Q&gt;CAT-US^P_BETA_LOCIDX(45768,45589,,"SPX")&lt;/Q&gt;&lt;R&gt;1&lt;/R&gt;&lt;C&gt;1&lt;/C&gt;&lt;D xsi:type="xsd:double"&gt;1.1182817&lt;/D&gt;&lt;/FQL&gt;&lt;FQL&gt;&lt;Q&gt;CAT-US^P_BETA_LOCIDX(45764,45588,,"SPX")&lt;/Q&gt;&lt;R&gt;1&lt;/R&gt;&lt;C&gt;1&lt;/C&gt;&lt;D xsi:type="xsd:double"&gt;1.1129165&lt;/D&gt;&lt;/FQL&gt;&lt;FQL&gt;&lt;Q&gt;CAT-US^P_BETA_LOCIDX(45763,45587,,"SPX")&lt;/Q&gt;&lt;R&gt;1&lt;/R&gt;&lt;C&gt;1&lt;/C&gt;&lt;D xsi:type="xsd:double"&gt;1.1118104&lt;/D&gt;&lt;/FQL&gt;&lt;FQL&gt;&lt;Q&gt;CAT-US^P_BETA_LOCIDX(45762,45586,,"SPX")&lt;/Q&gt;&lt;R&gt;1&lt;/R&gt;&lt;C&gt;1&lt;/C&gt;&lt;D xsi:type="xsd:double"&gt;1.124475&lt;/D&gt;&lt;/FQL&gt;&lt;FQL&gt;&lt;Q&gt;CAT-US^P_BETA_LOCIDX(45761,45583,,"SPX")&lt;/Q&gt;&lt;R&gt;1&lt;/R&gt;&lt;C&gt;1&lt;/C&gt;&lt;D xsi:type="xsd:double"&gt;1.1231562&lt;/D&gt;&lt;/FQL&gt;&lt;FQL&gt;&lt;Q&gt;CAT-US^P_BETA_LOCIDX(45758,45582,,"SPX")&lt;/Q&gt;&lt;R&gt;1&lt;/R&gt;&lt;C&gt;1&lt;/C&gt;&lt;D xsi:type="xsd:double"&gt;1.1204833&lt;/D&gt;&lt;/FQL&gt;&lt;FQL&gt;&lt;Q&gt;CAT-US^P_BETA_LOCIDX(45757,45581,,"SPX")&lt;/Q&gt;&lt;R&gt;1&lt;/R&gt;&lt;C&gt;1&lt;/C&gt;&lt;D xsi:type="xsd:double"&gt;1.1255233&lt;/D&gt;&lt;/FQL&gt;&lt;FQL&gt;&lt;Q&gt;CAT-US^P_BETA_LOCIDX(45756,45580,,"SPX")&lt;/Q&gt;&lt;R&gt;1&lt;/R&gt;&lt;C&gt;1&lt;/C&gt;&lt;D xsi:type="xsd:double"&gt;1.1283308&lt;/D&gt;&lt;/FQL&gt;&lt;FQL&gt;&lt;Q&gt;CAT-US^P_BETA_LOCIDX(45755,45579,,"SPX")&lt;/Q&gt;&lt;R&gt;1&lt;/R&gt;&lt;C&gt;1&lt;/C&gt;&lt;D xsi:type="xsd:double"&gt;1.1560724&lt;/D&gt;&lt;/FQL&gt;&lt;FQL&gt;&lt;Q&gt;CAT-US^P_BETA_LOCIDX(45754,45576,,"SPX")&lt;/Q&gt;&lt;R&gt;1&lt;/R&gt;&lt;C&gt;1&lt;/C&gt;&lt;D xsi:type="xsd:double"&gt;1.1577613&lt;/D&gt;&lt;/FQL&gt;&lt;FQL&gt;&lt;Q&gt;CAT-US^P_BETA_LOCIDX(45751,45575,,"SPX")&lt;/Q&gt;&lt;R&gt;1&lt;/R&gt;&lt;C&gt;1&lt;/C&gt;&lt;D xsi:type="xsd:double"&gt;1.1554666&lt;/D&gt;&lt;/FQL&gt;&lt;FQL&gt;&lt;Q&gt;CAT-US^P_BETA_LOCIDX(45750,45574,,"SPX")&lt;/Q&gt;&lt;R&gt;1&lt;/R&gt;&lt;C&gt;1&lt;/C&gt;&lt;D xsi:type="xsd:double"&gt;1.2243406&lt;/D&gt;&lt;/FQL&gt;&lt;FQL&gt;&lt;Q&gt;CAT-US^P_BETA_LOCIDX(45749,45573,,"SPX")&lt;/Q&gt;&lt;R&gt;1&lt;/R&gt;&lt;C&gt;1&lt;/C&gt;&lt;D xsi:type="xsd:double"&gt;1.065029&lt;/D&gt;&lt;/FQL&gt;&lt;FQL&gt;&lt;Q&gt;CAT-US^P_BETA_LOCIDX(45748,45572,,"SPX")&lt;/Q&gt;&lt;R&gt;1&lt;/R&gt;&lt;C&gt;1&lt;/C&gt;&lt;D xsi:type="xsd:double"&gt;1.047155&lt;/D&gt;&lt;/FQL&gt;&lt;FQL&gt;&lt;Q&gt;CAT-US^P_BETA_LOCIDX(45747,45569,,"SPX")&lt;/Q&gt;&lt;R&gt;1&lt;/R&gt;&lt;C&gt;1&lt;/C&gt;&lt;D xsi:type="xsd:double"&gt;1.0536832&lt;/D&gt;&lt;/FQL&gt;&lt;FQL&gt;&lt;Q&gt;CAT-US^P_BETA_LOCIDX(45744,45568,,"SPX")&lt;/Q&gt;&lt;R&gt;1&lt;/R&gt;&lt;C&gt;1&lt;/C&gt;&lt;D xsi:type="xsd:double"&gt;1.0567945&lt;/D&gt;&lt;/FQL&gt;&lt;FQL&gt;&lt;Q&gt;CAT-US^P_BETA_LOCIDX(45743,45567,,"SPX")&lt;/Q&gt;&lt;R&gt;1&lt;/R&gt;&lt;C&gt;1&lt;/C&gt;&lt;D xsi:type="xsd:double"&gt;1.0441496&lt;/D&gt;&lt;/FQL&gt;&lt;FQL&gt;&lt;Q&gt;CAT-US^P_BETA_LOCIDX(45742,45566,,"SPX")&lt;/Q&gt;&lt;R&gt;1&lt;/R&gt;&lt;C&gt;1&lt;/C&gt;&lt;D xsi:type="xsd:double"&gt;1.0306354&lt;/D&gt;&lt;/FQL&gt;&lt;FQL&gt;&lt;Q&gt;CAT-US^P_BETA_LOCIDX(45741,45565,,"SPX")&lt;/Q&gt;&lt;R&gt;1&lt;/R&gt;&lt;C&gt;1&lt;/C&gt;&lt;D xsi:type="xsd:double"&gt;1.038518&lt;/D&gt;&lt;/FQL&gt;&lt;FQL&gt;&lt;Q&gt;CAT-US^P_BETA_LOCIDX(45740,45562,,"SPX")&lt;/Q&gt;&lt;R&gt;1&lt;/R&gt;&lt;C&gt;1&lt;/C&gt;&lt;D xsi:type="xsd:double"&gt;1.0378183&lt;/D&gt;&lt;/FQL&gt;&lt;FQL&gt;&lt;Q&gt;CAT-US^P_BETA_LOCIDX(45737,45561,,"SPX")&lt;/Q&gt;&lt;R&gt;1&lt;/R&gt;&lt;C&gt;1&lt;/C&gt;&lt;D xsi:type="xsd:double"&gt;1.0504473&lt;/D&gt;&lt;/FQL&gt;&lt;FQL&gt;&lt;Q&gt;CAT-US^P_BETA_LOCIDX(45736,45560,,"SPX")&lt;/Q&gt;&lt;R&gt;1&lt;/R&gt;&lt;C&gt;1&lt;/C&gt;&lt;D xsi:type="xsd:double"&gt;1.0538473&lt;/D&gt;&lt;/FQL&gt;&lt;FQL&gt;&lt;Q&gt;CAT-US^P_BETA_LOCIDX(45735,45559,,"SPX")&lt;/Q&gt;&lt;R&gt;1&lt;/R&gt;&lt;C&gt;1&lt;/C&gt;&lt;D xsi:type="xsd:double"&gt;1.0631816&lt;/D&gt;&lt;/FQL&gt;&lt;FQL&gt;&lt;Q&gt;CAT-US^P_BETA_LOCIDX(45734,45558,,"SPX")&lt;/Q&gt;&lt;R&gt;1&lt;/R&gt;&lt;C&gt;1&lt;/C&gt;&lt;D xsi:type="xsd:double"&gt;1.0705012&lt;/D&gt;&lt;/FQL&gt;&lt;FQL&gt;&lt;Q&gt;CAT-US^P_BETA_LOCIDX(45733,45555,,"SPX")&lt;/Q&gt;&lt;R&gt;1&lt;/R&gt;&lt;C&gt;1&lt;/C&gt;&lt;D xsi:type="xsd:double"&gt;1.0662521&lt;/D&gt;&lt;/FQL&gt;&lt;FQL&gt;&lt;Q&gt;CAT-US^P_BETA_LOCIDX(45730,45554,,"SPX")&lt;/Q&gt;&lt;R&gt;1&lt;/R&gt;&lt;C&gt;1&lt;/C&gt;&lt;D xsi:type="xsd:double"&gt;1.124549&lt;/D&gt;&lt;/FQL&gt;&lt;FQL&gt;&lt;Q&gt;CAT-US^P_BETA_LOCIDX(45729,45553,,"SPX")&lt;/Q&gt;&lt;R&gt;1&lt;/R&gt;&lt;C&gt;1&lt;/C&gt;&lt;D xsi:type="xsd:double"&gt;1.1332101&lt;/D&gt;&lt;/FQL&gt;&lt;FQL&gt;&lt;Q&gt;CAT-US^P_BETA_LOCIDX(45728,45552,,"SPX")&lt;/Q&gt;&lt;R&gt;1&lt;/R&gt;&lt;C&gt;1&lt;/C&gt;&lt;D xsi:type="xsd:double"&gt;1.1363378&lt;/D&gt;&lt;/FQL&gt;&lt;FQL&gt;&lt;Q&gt;CAT-US^P_BETA_LOCIDX(45727,45551,,"SPX")&lt;/Q&gt;&lt;R&gt;1&lt;/R&gt;&lt;C&gt;1&lt;/C&gt;&lt;D xsi:type="xsd:double"&gt;1.14303&lt;/D&gt;&lt;/FQL&gt;&lt;FQL&gt;&lt;Q&gt;CAT-US^P_BETA_LOCIDX(45726,45548,,"SPX")&lt;/Q&gt;&lt;R&gt;1&lt;/R&gt;&lt;C&gt;1&lt;/C&gt;&lt;D xsi:type="xsd:double"&gt;1.1432427&lt;/D&gt;&lt;/FQL&gt;&lt;FQL&gt;&lt;Q&gt;CAT-US^P_BETA_LOCIDX(45723,45547,,"SPX")&lt;/Q&gt;&lt;R&gt;1&lt;/R&gt;&lt;C&gt;1&lt;/C&gt;&lt;D xsi:type="xsd:double"&gt;1.2016933&lt;/D&gt;&lt;/FQL&gt;&lt;FQL&gt;&lt;Q&gt;CAT-US^P_BETA_LOCIDX(45722,45546,,"SPX")&lt;/Q&gt;&lt;R&gt;1&lt;/R&gt;&lt;C&gt;1&lt;/C&gt;&lt;D xsi:type="xsd:double"&gt;1.1758021&lt;/D&gt;&lt;/FQL&gt;&lt;FQL&gt;&lt;Q&gt;CAT-US^P_BETA_LOCIDX(45721,45545,,"SPX")&lt;/Q&gt;&lt;R&gt;1&lt;/R&gt;&lt;C&gt;1&lt;/C&gt;&lt;D xsi:type="xsd:double"&gt;1.2400953&lt;/D&gt;&lt;/FQL&gt;&lt;FQL&gt;&lt;Q&gt;CAT-US^P_BETA_LOCIDX(45720,45544,,"SPX")&lt;/Q&gt;&lt;R&gt;1&lt;/R&gt;&lt;C&gt;1&lt;/C&gt;&lt;D xsi:type="xsd:double"&gt;1.2102584&lt;/D&gt;&lt;/FQL&gt;&lt;FQL&gt;&lt;Q&gt;CAT-US^P_BETA_LOCIDX(45719,45541,,"SPX")&lt;/Q&gt;&lt;R&gt;1&lt;/R&gt;&lt;C&gt;1&lt;/C&gt;&lt;D xsi:type="xsd:double"&gt;1.1897118&lt;/D&gt;&lt;/FQL&gt;&lt;FQL&gt;&lt;Q&gt;CAT-US^P_BETA_LOCIDX(45716,45540,,"SPX")&lt;/Q&gt;&lt;R&gt;1&lt;/R&gt;&lt;C&gt;1&lt;/C&gt;&lt;D xsi:type="xsd:double"&gt;1.1611184&lt;/D&gt;&lt;/FQL&gt;&lt;FQL&gt;&lt;Q&gt;CAT-US^P_BETA_LOCIDX(45715,45539,,"SPX")&lt;/Q&gt;&lt;R&gt;1&lt;/R&gt;&lt;C&gt;1&lt;/C&gt;&lt;D xsi:type="xsd:double"&gt;1.1763744&lt;/D&gt;&lt;/FQL&gt;&lt;FQL&gt;&lt;Q&gt;CAT-US^P_BETA_LOCIDX(45714,45538,,"SPX")&lt;/Q&gt;&lt;R&gt;1&lt;/R&gt;&lt;C&gt;1&lt;/C&gt;&lt;D xsi:type="xsd:double"&gt;1.2549578&lt;/D&gt;&lt;/FQL&gt;&lt;FQL&gt;&lt;Q&gt;CAT-US^P_BETA_LOCIDX(45713,45534,,"SPX")&lt;/Q&gt;&lt;R&gt;1&lt;/R&gt;&lt;C&gt;1&lt;/C&gt;&lt;D xsi:type="xsd:double"&gt;1.2559661&lt;/D&gt;&lt;/FQL&gt;&lt;FQL&gt;&lt;Q&gt;CAT-US^P_BETA_LOCIDX(45712,45533,,"SPX")&lt;/Q&gt;&lt;R&gt;1&lt;/R&gt;&lt;C&gt;1&lt;/C&gt;&lt;D xsi:type="xsd:double"&gt;1.2665038&lt;/D&gt;&lt;/FQL&gt;&lt;FQL&gt;&lt;Q&gt;CAT-US^P_BETA_LOCIDX(45709,45532,,"SPX")&lt;/Q&gt;&lt;R&gt;1&lt;/R&gt;&lt;C&gt;1&lt;/C&gt;&lt;D xsi:type="xsd:double"&gt;1.2691735&lt;/D&gt;&lt;/FQL&gt;&lt;FQL&gt;&lt;Q&gt;CAT-US^P_BETA_LOCIDX(45708,45531,,"SPX")&lt;/Q&gt;&lt;R&gt;1&lt;/R&gt;&lt;C&gt;1&lt;/C&gt;&lt;D xsi:type="xsd:double"&gt;1.2604542&lt;/D&gt;&lt;/FQL&gt;&lt;FQL&gt;&lt;Q&gt;CAT-US^P_BETA_LOCIDX(45707,45530,,"SPX")&lt;/Q&gt;&lt;R&gt;1&lt;/R&gt;&lt;C&gt;1&lt;/C&gt;&lt;D xsi:type="xsd:double"&gt;1.2506505&lt;/D&gt;&lt;/FQL&gt;&lt;FQL&gt;&lt;Q&gt;CAT-US^P_BETA_LOCIDX(45706,45527,,"SPX")&lt;/Q&gt;&lt;R&gt;1&lt;/R&gt;&lt;C&gt;1&lt;/C&gt;&lt;D xsi:type="xsd:double"&gt;1.2573211&lt;/D&gt;&lt;/FQL&gt;&lt;FQL&gt;&lt;Q&gt;CAT-US^P_BETA_LOCIDX(45702,45526,,"SPX")&lt;/Q&gt;&lt;R&gt;1&lt;/R&gt;&lt;C&gt;1&lt;/C&gt;&lt;D xsi:type="xsd:double"&gt;1.2447453&lt;/D&gt;&lt;/FQL&gt;&lt;FQL&gt;&lt;Q&gt;CAT-US^P_BETA_LOCIDX(45701,45525,,"SPX")&lt;/Q&gt;&lt;R&gt;1&lt;/R&gt;&lt;C&gt;1&lt;/C&gt;&lt;D xsi:type="xsd:double"&gt;1.2420895&lt;/D&gt;&lt;/FQL&gt;&lt;FQL&gt;&lt;Q&gt;CAT-US^P_BETA_LOCIDX(45700,45524,,"SPX")&lt;/Q&gt;&lt;R&gt;1&lt;/R&gt;&lt;C&gt;1&lt;/C&gt;&lt;D xsi:type="xsd:double"&gt;1.2523252&lt;/D&gt;&lt;/FQL&gt;&lt;FQL&gt;&lt;Q&gt;CAT-US^P_BETA_LOCIDX(45699,45523,,"SPX")&lt;/Q&gt;&lt;R&gt;1&lt;/R&gt;&lt;C&gt;1&lt;/C&gt;&lt;D xsi:type="xsd:double"&gt;1.2315679&lt;/D&gt;&lt;/FQL&gt;&lt;FQL&gt;&lt;Q&gt;CAT-US^P_BETA_LOCIDX(45698,45520,,"SPX")&lt;/Q&gt;&lt;R&gt;1&lt;/R&gt;&lt;C&gt;1&lt;/C&gt;&lt;D xsi:type="xsd:double"&gt;1.2300826&lt;/D&gt;&lt;/FQL&gt;&lt;FQL&gt;&lt;Q&gt;CAT-US^P_BETA_LOCIDX(45695,45519,,"SPX")&lt;/Q&gt;&lt;R&gt;1&lt;/R&gt;&lt;C&gt;1&lt;/C&gt;&lt;D xsi:type="xsd:double"&gt;1.245869&lt;/D&gt;&lt;/FQL&gt;&lt;FQL&gt;&lt;Q&gt;CAT-US^P_BETA_LOCIDX(45694,45518,,"SPX")&lt;/Q&gt;&lt;R&gt;1&lt;/R&gt;&lt;C&gt;1&lt;/C&gt;&lt;D xsi:type="xsd:double"&gt;1.2533854&lt;/D&gt;&lt;/FQL&gt;&lt;FQL&gt;&lt;Q&gt;CAT-US^P_BETA_LOCIDX(45693,45517,,"SPX")&lt;/Q&gt;&lt;R&gt;1&lt;/R&gt;&lt;C&gt;1&lt;/C&gt;&lt;D xsi:type="xsd:double"&gt;1.2242199&lt;/D&gt;&lt;/FQL&gt;&lt;FQL&gt;&lt;Q&gt;CAT-US^P_BETA_LOCIDX(45692,45516,,"SPX")&lt;/Q&gt;&lt;R&gt;1&lt;/R&gt;&lt;C&gt;1&lt;/C&gt;&lt;D xsi:type="xsd:double"&gt;1.2295486&lt;/D&gt;&lt;/FQL&gt;&lt;FQL&gt;&lt;Q&gt;CAT-US^P_BETA_LOCIDX(45691,45513,,"SPX")&lt;/Q&gt;&lt;R&gt;1&lt;/R&gt;&lt;C&gt;1&lt;/C&gt;&lt;D xsi:type="xsd:double"&gt;1.2356627&lt;/D&gt;&lt;/FQL&gt;&lt;FQL&gt;&lt;Q&gt;CAT-US^P_BETA_LOCIDX(45688,45512,,"SPX")&lt;/Q&gt;&lt;R&gt;1&lt;/R&gt;&lt;C&gt;1&lt;/C&gt;&lt;D xsi:type="xsd:double"&gt;1.2278692&lt;/D&gt;&lt;/FQL&gt;&lt;FQL&gt;&lt;Q&gt;CAT-US^P_BETA_LOCIDX(45687,45511,,"SPX")&lt;/Q&gt;&lt;R&gt;1&lt;/R&gt;&lt;C&gt;1&lt;/C&gt;&lt;D xsi:type="xsd:double"&gt;1.2172676&lt;/D&gt;&lt;/FQL&gt;&lt;FQL&gt;&lt;Q&gt;CAT-US^P_BETA_LOCIDX(45686,45510,,"SPX")&lt;/Q&gt;&lt;R&gt;1&lt;/R&gt;&lt;C&gt;1&lt;/C&gt;&lt;D xsi:type="xsd:double"&gt;1.2613282&lt;/D&gt;&lt;/FQL&gt;&lt;FQL&gt;&lt;Q&gt;CAT-US^P_BETA_LOCIDX(45685,45509,,"SPX")&lt;/Q&gt;&lt;R&gt;1&lt;/R&gt;&lt;C&gt;1&lt;/C&gt;&lt;D xsi:type="xsd:double"&gt;1.1874206&lt;/D&gt;&lt;/FQL&gt;&lt;FQL&gt;&lt;Q&gt;CAT-US^P_BETA_LOCIDX(45684,45506,,"SPX")&lt;/Q&gt;&lt;R&gt;1&lt;/R&gt;&lt;C&gt;1&lt;/C&gt;&lt;D xsi:type="xsd:double"&gt;1.2288487&lt;/D&gt;&lt;/FQL&gt;&lt;FQL&gt;&lt;Q&gt;CAT-US^P_BETA_LOCIDX(45681,45505,,"SPX")&lt;/Q&gt;&lt;R&gt;1&lt;/R&gt;&lt;C&gt;1&lt;/C&gt;&lt;D xsi:type="xsd:double"&gt;1.2463336&lt;/D&gt;&lt;/FQL&gt;&lt;FQL&gt;&lt;Q&gt;CAT-US^P_BETA_LOCIDX(45680,45504,,"SPX")&lt;/Q&gt;&lt;R&gt;1&lt;/R&gt;&lt;C&gt;1&lt;/C&gt;&lt;D xsi:type="xsd:double"&gt;1.2382778&lt;/D&gt;&lt;/FQL&gt;&lt;FQL&gt;&lt;Q&gt;CAT-US^P_BETA_LOCIDX(45679,45503,,"SPX")&lt;/Q&gt;&lt;R&gt;1&lt;/R&gt;&lt;C&gt;1&lt;/C&gt;&lt;D xsi:type="xsd:double"&gt;1.232952&lt;/D&gt;&lt;/FQL&gt;&lt;FQL&gt;&lt;Q&gt;CAT-US^P_BETA_LOCIDX(45678,45502,,"SPX")&lt;/Q&gt;&lt;R&gt;1&lt;/R&gt;&lt;C&gt;1&lt;/C&gt;&lt;D xsi:type="xsd:double"&gt;1.2382154&lt;/D&gt;&lt;/FQL&gt;&lt;FQL&gt;&lt;Q&gt;CAT-US^P_BETA_LOCIDX(45674,45499,,"SPX")&lt;/Q&gt;&lt;R&gt;1&lt;/R&gt;&lt;C&gt;1&lt;/C&gt;&lt;D xsi:type="xsd:double"&gt;1.2257898&lt;/D&gt;&lt;/FQL&gt;&lt;FQL&gt;&lt;Q&gt;CAT-US^P_BETA_LOCIDX(45673,45498,,"SPX")&lt;/Q&gt;&lt;R&gt;1&lt;/R&gt;&lt;C&gt;1&lt;/C&gt;&lt;D xsi:type="xsd:double"&gt;1.2052424&lt;/D&gt;&lt;/FQL&gt;&lt;FQL&gt;&lt;Q&gt;CAT-US^P_BETA_LOCIDX(45672,45497,,"SPX")&lt;/Q&gt;&lt;R&gt;1&lt;/R&gt;&lt;C&gt;1&lt;/C&gt;&lt;D xsi:type="xsd:double"&gt;1.2005883&lt;/D&gt;&lt;/FQL&gt;&lt;FQL&gt;&lt;Q&gt;CAT-US^P_BETA_LOCIDX(45671,45496,,"SPX")&lt;/Q&gt;&lt;R&gt;1&lt;/R&gt;&lt;C&gt;1&lt;/C&gt;&lt;D xsi:type="xsd:double"&gt;1.2256281&lt;/D&gt;&lt;/FQL&gt;&lt;FQL&gt;&lt;Q&gt;CAT-US^P_BETA_LOCIDX(45670,45495,,"SPX")&lt;/Q&gt;&lt;R&gt;1&lt;/R&gt;&lt;C&gt;1&lt;/C&gt;&lt;D xsi:type="xsd:double"&gt;1.2114584&lt;/D&gt;&lt;/FQL&gt;&lt;FQL&gt;&lt;Q&gt;CAT-US^P_BETA_LOCIDX(45667,45492,,"SPX")&lt;/Q&gt;&lt;R&gt;1&lt;/R&gt;&lt;C&gt;1&lt;/C&gt;&lt;D xsi:type="xsd:double"&gt;1.2190136&lt;/D&gt;&lt;/FQL&gt;&lt;FQL&gt;&lt;Q&gt;CAT-US^P_BETA_LOCIDX(45665,45491,,"SPX")&lt;/Q&gt;&lt;R&gt;1&lt;/R&gt;&lt;C&gt;1&lt;/C&gt;&lt;D xsi:type="xsd:double"&gt;1.2012649&lt;/D&gt;&lt;/FQL&gt;&lt;FQL&gt;&lt;Q&gt;CAT-US^P_BETA_LOCIDX(45664,45490,,"SPX")&lt;/Q&gt;&lt;R&gt;1&lt;/R&gt;&lt;C&gt;1&lt;/C&gt;&lt;D xsi:type="xsd:double"&gt;1.1889582&lt;/D&gt;&lt;/FQL&gt;&lt;FQL&gt;&lt;Q&gt;CAT-US^P_BETA_LOCIDX(45663,45489,,"SPX")&lt;/Q&gt;&lt;R&gt;1&lt;/R&gt;&lt;C&gt;1&lt;/C&gt;&lt;D xsi:type="xsd:double"&gt;1.2209125&lt;/D&gt;&lt;/FQL&gt;&lt;FQL&gt;&lt;Q&gt;CAT-US^P_BETA_LOCIDX(45660,45488,,"SPX")&lt;/Q&gt;&lt;R&gt;1&lt;/R&gt;&lt;C&gt;1&lt;/C&gt;&lt;D xsi:type="xsd:double"&gt;1.2297897&lt;/D&gt;&lt;/FQL&gt;&lt;FQL&gt;&lt;Q&gt;CAT-US^P_BETA_LOCIDX(45659,45485,,"SPX")&lt;/Q&gt;&lt;R&gt;1&lt;/R&gt;&lt;C&gt;1&lt;/C&gt;&lt;D xsi:type="xsd:double"&gt;1.2385042&lt;/D&gt;&lt;/FQL&gt;&lt;FQL&gt;&lt;Q&gt;CAT-US^P_BETA_LOCIDX(45657,45484,,"SPX")&lt;/Q&gt;&lt;R&gt;1&lt;/R&gt;&lt;C&gt;1&lt;/C&gt;&lt;D xsi:type="xsd:double"&gt;1.2201809&lt;/D&gt;&lt;/FQL&gt;&lt;FQL&gt;&lt;Q&gt;CAT-US^P_BETA_LOCIDX(45656,45483,,"SPX")&lt;/Q&gt;&lt;R&gt;1&lt;/R&gt;&lt;C&gt;1&lt;/C&gt;&lt;D x</t>
        </r>
      </text>
    </comment>
    <comment ref="A19" authorId="0" shapeId="0" xr:uid="{2E52F547-AD7F-47C8-B6F7-4B7475B99B86}">
      <text>
        <r>
          <rPr>
            <b/>
            <sz val="9"/>
            <color indexed="81"/>
            <rFont val="Tahoma"/>
            <family val="2"/>
          </rPr>
          <t>si:type="xsd:double"&gt;1.2168338&lt;/D&gt;&lt;/FQL&gt;&lt;FQL&gt;&lt;Q&gt;CAT-US^P_BETA_LOCIDX(45653,45482,,"SPX")&lt;/Q&gt;&lt;R&gt;1&lt;/R&gt;&lt;C&gt;1&lt;/C&gt;&lt;D xsi:type="xsd:double"&gt;1.2251484&lt;/D&gt;&lt;/FQL&gt;&lt;FQL&gt;&lt;Q&gt;CAT-US^P_BETA_LOCIDX(45652,45481,,"SPX")&lt;/Q&gt;&lt;R&gt;1&lt;/R&gt;&lt;C&gt;1&lt;/C&gt;&lt;D xsi:type="xsd:double"&gt;1.2335918&lt;/D&gt;&lt;/FQL&gt;&lt;FQL&gt;&lt;Q&gt;CAT-US^P_BETA_LOCIDX(45650,45478,,"SPX")&lt;/Q&gt;&lt;R&gt;1&lt;/R&gt;&lt;C&gt;1&lt;/C&gt;&lt;D xsi:type="xsd:double"&gt;1.2270107&lt;/D&gt;&lt;/FQL&gt;&lt;FQL&gt;&lt;Q&gt;CAT-US^P_BETA_LOCIDX(45649,45476,,"SPX")&lt;/Q&gt;&lt;R&gt;1&lt;/R&gt;&lt;C&gt;1&lt;/C&gt;&lt;D xsi:type="xsd:double"&gt;1.2360888&lt;/D&gt;&lt;/FQL&gt;&lt;FQL&gt;&lt;Q&gt;CAT-US^P_BETA_LOCIDX(45646,45475,,"SPX")&lt;/Q&gt;&lt;R&gt;1&lt;/R&gt;&lt;C&gt;1&lt;/C&gt;&lt;D xsi:type="xsd:double"&gt;1.2368091&lt;/D&gt;&lt;/FQL&gt;&lt;FQL&gt;&lt;Q&gt;CAT-US^P_BETA_LOCIDX(45645,45474,,"SPX")&lt;/Q&gt;&lt;R&gt;1&lt;/R&gt;&lt;C&gt;1&lt;/C&gt;&lt;D xsi:type="xsd:double"&gt;1.231343&lt;/D&gt;&lt;/FQL&gt;&lt;FQL&gt;&lt;Q&gt;CAT-US^P_BETA_LOCIDX(45644,45471,,"SPX")&lt;/Q&gt;&lt;R&gt;1&lt;/R&gt;&lt;C&gt;1&lt;/C&gt;&lt;D xsi:type="xsd:double"&gt;1.2193961&lt;/D&gt;&lt;/FQL&gt;&lt;FQL&gt;&lt;Q&gt;CAT-US^P_BETA_LOCIDX(45643,45470,,"SPX")&lt;/Q&gt;&lt;R&gt;1&lt;/R&gt;&lt;C&gt;1&lt;/C&gt;&lt;D xsi:type="xsd:double"&gt;1.2329985&lt;/D&gt;&lt;/FQL&gt;&lt;FQL&gt;&lt;Q&gt;CAT-US^P_BETA_LOCIDX(45642,45469,,"SPX")&lt;/Q&gt;&lt;R&gt;1&lt;/R&gt;&lt;C&gt;1&lt;/C&gt;&lt;D xsi:type="xsd:double"&gt;1.2306718&lt;/D&gt;&lt;/FQL&gt;&lt;FQL&gt;&lt;Q&gt;CAT-US^P_BETA_LOCIDX(45639,45468,,"SPX")&lt;/Q&gt;&lt;R&gt;1&lt;/R&gt;&lt;C&gt;1&lt;/C&gt;&lt;D xsi:type="xsd:double"&gt;1.2292116&lt;/D&gt;&lt;/FQL&gt;&lt;FQL&gt;&lt;Q&gt;CAT-US^P_BETA_LOCIDX(45638,45467,,"SPX")&lt;/Q&gt;&lt;R&gt;1&lt;/R&gt;&lt;C&gt;1&lt;/C&gt;&lt;D xsi:type="xsd:double"&gt;1.2246133&lt;/D&gt;&lt;/FQL&gt;&lt;FQL&gt;&lt;Q&gt;CAT-US^P_BETA_LOCIDX(45637,45464,,"SPX")&lt;/Q&gt;&lt;R&gt;1&lt;/R&gt;&lt;C&gt;1&lt;/C&gt;&lt;D xsi:type="xsd:double"&gt;1.2148895&lt;/D&gt;&lt;/FQL&gt;&lt;FQL&gt;&lt;Q&gt;CAT-US^P_BETA_LOCIDX(45636,45463,,"SPX")&lt;/Q&gt;&lt;R&gt;1&lt;/R&gt;&lt;C&gt;1&lt;/C&gt;&lt;D xsi:type="xsd:double"&gt;1.2168192&lt;/D&gt;&lt;/FQL&gt;&lt;FQL&gt;&lt;Q&gt;CAT-US^P_BETA_LOCIDX(45635,45461,,"SPX")&lt;/Q&gt;&lt;R&gt;1&lt;/R&gt;&lt;C&gt;1&lt;/C&gt;&lt;D xsi:type="xsd:double"&gt;1.2071444&lt;/D&gt;&lt;/FQL&gt;&lt;FQL&gt;&lt;Q&gt;CAT-US^P_BETA_LOCIDX(45632,45460,,"SPX")&lt;/Q&gt;&lt;R&gt;1&lt;/R&gt;&lt;C&gt;1&lt;/C&gt;&lt;D xsi:type="xsd:double"&gt;1.2156446&lt;/D&gt;&lt;/FQL&gt;&lt;FQL&gt;&lt;Q&gt;CAT-US^P_BETA_LOCIDX(45631,45457,,"SPX")&lt;/Q&gt;&lt;R&gt;1&lt;/R&gt;&lt;C&gt;1&lt;/C&gt;&lt;D xsi:type="xsd:double"&gt;1.2186068&lt;/D&gt;&lt;/FQL&gt;&lt;FQL&gt;&lt;Q&gt;CAT-US^P_BETA_LOCIDX(45630,45456,,"SPX")&lt;/Q&gt;&lt;R&gt;1&lt;/R&gt;&lt;C&gt;1&lt;/C&gt;&lt;D xsi:type="xsd:double"&gt;1.2138277&lt;/D&gt;&lt;/FQL&gt;&lt;FQL&gt;&lt;Q&gt;CAT-US^P_BETA_LOCIDX(45629,45455,,"SPX")&lt;/Q&gt;&lt;R&gt;1&lt;/R&gt;&lt;C&gt;1&lt;/C&gt;&lt;D xsi:type="xsd:double"&gt;1.2124254&lt;/D&gt;&lt;/FQL&gt;&lt;FQL&gt;&lt;Q&gt;CAT-US^P_BETA_LOCIDX(45628,45454,,"SPX")&lt;/Q&gt;&lt;R&gt;1&lt;/R&gt;&lt;C&gt;1&lt;/C&gt;&lt;D xsi:type="xsd:double"&gt;1.2097547&lt;/D&gt;&lt;/FQL&gt;&lt;FQL&gt;&lt;Q&gt;CAT-US^P_BETA_LOCIDX(45625,45453,,"SPX")&lt;/Q&gt;&lt;R&gt;1&lt;/R&gt;&lt;C&gt;1&lt;/C&gt;&lt;D xsi:type="xsd:double"&gt;1.2114557&lt;/D&gt;&lt;/FQL&gt;&lt;FQL&gt;&lt;Q&gt;CAT-US^P_BETA_LOCIDX(45623,45450,,"SPX")&lt;/Q&gt;&lt;R&gt;1&lt;/R&gt;&lt;C&gt;1&lt;/C&gt;&lt;D xsi:type="xsd:double"&gt;1.2115895&lt;/D&gt;&lt;/FQL&gt;&lt;FQL&gt;&lt;Q&gt;CAT-US^P_BETA_LOCIDX(45622,45449,,"SPX")&lt;/Q&gt;&lt;R&gt;1&lt;/R&gt;&lt;C&gt;1&lt;/C&gt;&lt;D xsi:type="xsd:double"&gt;1.2087337&lt;/D&gt;&lt;/FQL&gt;&lt;FQL&gt;&lt;Q&gt;CAT-US^P_BETA_LOCIDX(45621,45448,,"SPX")&lt;/Q&gt;&lt;R&gt;1&lt;/R&gt;&lt;C&gt;1&lt;/C&gt;&lt;D xsi:type="xsd:double"&gt;1.198614&lt;/D&gt;&lt;/FQL&gt;&lt;FQL&gt;&lt;Q&gt;CAT-US^P_BETA_LOCIDX(45618,45447,,"SPX")&lt;/Q&gt;&lt;R&gt;1&lt;/R&gt;&lt;C&gt;1&lt;/C&gt;&lt;D xsi:type="xsd:double"&gt;1.1942745&lt;/D&gt;&lt;/FQL&gt;&lt;FQL&gt;&lt;Q&gt;CAT-US^P_BETA_LOCIDX(45617,45446,,"SPX")&lt;/Q&gt;&lt;R&gt;1&lt;/R&gt;&lt;C&gt;1&lt;/C&gt;&lt;D xsi:type="xsd:double"&gt;1.1897057&lt;/D&gt;&lt;/FQL&gt;&lt;FQL&gt;&lt;Q&gt;CAT-US^P_BETA_LOCIDX(45616,45443,,"SPX")&lt;/Q&gt;&lt;R&gt;1&lt;/R&gt;&lt;C&gt;1&lt;/C&gt;&lt;D xsi:type="xsd:double"&gt;1.1733074&lt;/D&gt;&lt;/FQL&gt;&lt;FQL&gt;&lt;Q&gt;CAT-US^P_BETA_LOCIDX(45615,45442,,"SPX")&lt;/Q&gt;&lt;R&gt;1&lt;/R&gt;&lt;C&gt;1&lt;/C&gt;&lt;D xsi:type="xsd:double"&gt;1.1648868&lt;/D&gt;&lt;/FQL&gt;&lt;FQL&gt;&lt;Q&gt;CAT-US^P_BETA_LOCIDX(45614,45441,,"SPX")&lt;/Q&gt;&lt;R&gt;1&lt;/R&gt;&lt;C&gt;1&lt;/C&gt;&lt;D xsi:type="xsd:double"&gt;1.1826512&lt;/D&gt;&lt;/FQL&gt;&lt;FQL&gt;&lt;Q&gt;CAT-US^P_BETA_LOCIDX(45611,45440,,"SPX")&lt;/Q&gt;&lt;R&gt;1&lt;/R&gt;&lt;C&gt;1&lt;/C&gt;&lt;D xsi:type="xsd:double"&gt;1.1843597&lt;/D&gt;&lt;/FQL&gt;&lt;FQL&gt;&lt;Q&gt;CAT-US^P_BETA_LOCIDX(45610,45436,,"SPX")&lt;/Q&gt;&lt;R&gt;1&lt;/R&gt;&lt;C&gt;1&lt;/C&gt;&lt;D xsi:type="xsd:double"&gt;1.1870325&lt;/D&gt;&lt;/FQL&gt;&lt;FQL&gt;&lt;Q&gt;CAT-US^P_BETA_LOCIDX(45609,45435,,"SPX")&lt;/Q&gt;&lt;R&gt;1&lt;/R&gt;&lt;C&gt;1&lt;/C&gt;&lt;D xsi:type="xsd:double"&gt;1.1990186&lt;/D&gt;&lt;/FQL&gt;&lt;FQL&gt;&lt;Q&gt;CAT-US^P_BETA_LOCIDX(45608,45434,,"SPX")&lt;/Q&gt;&lt;R&gt;1&lt;/R&gt;&lt;C&gt;1&lt;/C&gt;&lt;D xsi:type="xsd:double"&gt;1.199838&lt;/D&gt;&lt;/FQL&gt;&lt;FQL&gt;&lt;Q&gt;CAT-US^P_BETA_LOCIDX(45607,45433,,"SPX")&lt;/Q&gt;&lt;R&gt;1&lt;/R&gt;&lt;C&gt;1&lt;/C&gt;&lt;D xsi:type="xsd:double"&gt;1.195445&lt;/D&gt;&lt;/FQL&gt;&lt;FQL&gt;&lt;Q&gt;CAT-US^P_BETA_LOCIDX(45604,45432,,"SPX")&lt;/Q&gt;&lt;R&gt;1&lt;/R&gt;&lt;C&gt;1&lt;/C&gt;&lt;D xsi:type="xsd:double"&gt;1.1952463&lt;/D&gt;&lt;/FQL&gt;&lt;FQL&gt;&lt;Q&gt;CAT-US^P_BETA_LOCIDX(45603,45429,,"SPX")&lt;/Q&gt;&lt;R&gt;1&lt;/R&gt;&lt;C&gt;1&lt;/C&gt;&lt;D xsi:type="xsd:double"&gt;1.2079967&lt;/D&gt;&lt;/FQL&gt;&lt;FQL&gt;&lt;Q&gt;CAT-US^P_BETA_LOCIDX(45602,45428,,"SPX")&lt;/Q&gt;&lt;R&gt;1&lt;/R&gt;&lt;C&gt;1&lt;/C&gt;&lt;D xsi:type="xsd:double"&gt;1.2381527&lt;/D&gt;&lt;/FQL&gt;&lt;FQL&gt;&lt;Q&gt;CAT-US^P_BETA_LOCIDX(45601,45427,,"SPX")&lt;/Q&gt;&lt;R&gt;1&lt;/R&gt;&lt;C&gt;1&lt;/C&gt;&lt;D xsi:type="xsd:double"&gt;1.0614337&lt;/D&gt;&lt;/FQL&gt;&lt;FQL&gt;&lt;Q&gt;CAT-US^P_BETA_LOCIDX(45600,45426,,"SPX")&lt;/Q&gt;&lt;R&gt;1&lt;/R&gt;&lt;C&gt;1&lt;/C&gt;&lt;D xsi:type="xsd:double"&gt;1.0535444&lt;/D&gt;&lt;/FQL&gt;&lt;FQL&gt;&lt;Q&gt;CAT-US^P_BETA_LOCIDX(45597,45425,,"SPX")&lt;/Q&gt;&lt;R&gt;1&lt;/R&gt;&lt;C&gt;1&lt;/C&gt;&lt;D xsi:type="xsd:double"&gt;1.0506103&lt;/D&gt;&lt;/FQL&gt;&lt;FQL&gt;&lt;Q&gt;CAT-US^P_BETA_LOCIDX(45596,45422,,"SPX")&lt;/Q&gt;&lt;R&gt;1&lt;/R&gt;&lt;C&gt;1&lt;/C&gt;&lt;D xsi:type="xsd:double"&gt;1.0493382&lt;/D&gt;&lt;/FQL&gt;&lt;FQL&gt;&lt;Q&gt;CAT-US^P_BETA_LOCIDX(45595,45421,,"SPX")&lt;/Q&gt;&lt;R&gt;1&lt;/R&gt;&lt;C&gt;1&lt;/C&gt;&lt;D xsi:type="xsd:double"&gt;1.0869187&lt;/D&gt;&lt;/FQL&gt;&lt;FQL&gt;&lt;Q&gt;CAT-US^P_BETA_LOCIDX(45594,45420,,"SPX")&lt;/Q&gt;&lt;R&gt;1&lt;/R&gt;&lt;C&gt;1&lt;/C&gt;&lt;D xsi:type="xsd:double"&gt;1.0773791&lt;/D&gt;&lt;/FQL&gt;&lt;FQL&gt;&lt;Q&gt;CAT-US^P_BETA_LOCIDX(45593,45419,,"SPX")&lt;/Q&gt;&lt;R&gt;1&lt;/R&gt;&lt;C&gt;1&lt;/C&gt;&lt;D xsi:type="xsd:double"&gt;1.0784512&lt;/D&gt;&lt;/FQL&gt;&lt;FQL&gt;&lt;Q&gt;CAT-US^P_BETA_LOCIDX(45590,45418,,"SPX")&lt;/Q&gt;&lt;R&gt;1&lt;/R&gt;&lt;C&gt;1&lt;/C&gt;&lt;D xsi:type="xsd:double"&gt;1.08205&lt;/D&gt;&lt;/FQL&gt;&lt;FQL&gt;&lt;Q&gt;CAT-US^P_BETA_LOCIDX(45589,45415,,"SPX")&lt;/Q&gt;&lt;R&gt;1&lt;/R&gt;&lt;C&gt;1&lt;/C&gt;&lt;D xsi:type="xsd:double"&gt;1.0676832&lt;/D&gt;&lt;/FQL&gt;&lt;FQL&gt;&lt;Q&gt;CAT-US^P_BETA_LOCIDX(45588,45414,,"SPX")&lt;/Q&gt;&lt;R&gt;1&lt;/R&gt;&lt;C&gt;1&lt;/C&gt;&lt;D xsi:type="xsd:double"&gt;1.0708808&lt;/D&gt;&lt;/FQL&gt;&lt;FQL&gt;&lt;Q&gt;CAT-US^P_BETA_LOCIDX(45587,45413,,"SPX")&lt;/Q&gt;&lt;R&gt;1&lt;/R&gt;&lt;C&gt;1&lt;/C&gt;&lt;D xsi:type="xsd:double"&gt;1.0785128&lt;/D&gt;&lt;/FQL&gt;&lt;FQL&gt;&lt;Q&gt;CAT-US^P_BETA_LOCIDX(45586,45412,,"SPX")&lt;/Q&gt;&lt;R&gt;1&lt;/R&gt;&lt;C&gt;1&lt;/C&gt;&lt;D xsi:type="xsd:double"&gt;1.1317605&lt;/D&gt;&lt;/FQL&gt;&lt;FQL&gt;&lt;Q&gt;CAT-US^P_BETA_LOCIDX(45583,45411,,"SPX")&lt;/Q&gt;&lt;R&gt;1&lt;/R&gt;&lt;C&gt;1&lt;/C&gt;&lt;D xsi:type="xsd:double"&gt;1.1331744&lt;/D&gt;&lt;/FQL&gt;&lt;FQL&gt;&lt;Q&gt;CAT-US^P_BETA_LOCIDX(45582,45408,,"SPX")&lt;/Q&gt;&lt;R&gt;1&lt;/R&gt;&lt;C&gt;1&lt;/C&gt;&lt;D xsi:type="xsd:double"&gt;1.1399052&lt;/D&gt;&lt;/FQL&gt;&lt;FQL&gt;&lt;Q&gt;CAT-US^P_BETA_LOCIDX(45581,45407,,"SPX")&lt;/Q&gt;&lt;R&gt;1&lt;/R&gt;&lt;C&gt;1&lt;/C&gt;&lt;D xsi:type="xsd:double"&gt;1.1851498&lt;/D&gt;&lt;/FQL&gt;&lt;FQL&gt;&lt;Q&gt;CAT-US^P_BETA_LOCIDX(45580,45406,,"SPX")&lt;/Q&gt;&lt;R&gt;1&lt;/R&gt;&lt;C&gt;1&lt;/C&gt;&lt;D xsi:type="xsd:double"&gt;1.1810012&lt;/D&gt;&lt;/FQL&gt;&lt;FQL&gt;&lt;Q&gt;CAT-US^P_BETA_LOCIDX(45579,45405,,"SPX")&lt;/Q&gt;&lt;R&gt;1&lt;/R&gt;&lt;C&gt;1&lt;/C&gt;&lt;D xsi:type="xsd:double"&gt;1.1781324&lt;/D&gt;&lt;/FQL&gt;&lt;FQL&gt;&lt;Q&gt;CAT-US^P_BETA_LOCIDX(45576,45404,,"SPX")&lt;/Q&gt;&lt;R&gt;1&lt;/R&gt;&lt;C&gt;1&lt;/C&gt;&lt;D xsi:type="xsd:double"&gt;1.1985439&lt;/D&gt;&lt;/FQL&gt;&lt;FQL&gt;&lt;Q&gt;CAT-US^P_BETA_LOCIDX(45575,45401,,"SPX")&lt;/Q&gt;&lt;R&gt;1&lt;/R&gt;&lt;C&gt;1&lt;/C&gt;&lt;D xsi:type="xsd:double"&gt;1.1926254&lt;/D&gt;&lt;/FQL&gt;&lt;FQL&gt;&lt;Q&gt;CAT-US^P_BETA_LOCIDX(45574,45400,,"SPX")&lt;/Q&gt;&lt;R&gt;1&lt;/R&gt;&lt;C&gt;1&lt;/C&gt;&lt;D xsi:type="xsd:double"&gt;1.1933893&lt;/D&gt;&lt;/FQL&gt;&lt;FQL&gt;&lt;Q&gt;CAT-US^P_BETA_LOCIDX(45573,45399,,"SPX")&lt;/Q&gt;&lt;R&gt;1&lt;/R&gt;&lt;C&gt;1&lt;/C&gt;&lt;D xsi:type="xsd:double"&gt;1.1816212&lt;/D&gt;&lt;/FQL&gt;&lt;FQL&gt;&lt;Q&gt;CAT-US^P_BETA_LOCIDX(45572,45398,,"SPX")&lt;/Q&gt;&lt;R&gt;1&lt;/R&gt;&lt;C&gt;1&lt;/C&gt;&lt;D xsi:type="xsd:double"&gt;1.2223423&lt;/D&gt;&lt;/FQL&gt;&lt;FQL&gt;&lt;Q&gt;CAT-US^P_BETA_LOCIDX(45569,45397,,"SPX")&lt;/Q&gt;&lt;R&gt;1&lt;/R&gt;&lt;C&gt;1&lt;/C&gt;&lt;D xsi:type="xsd:double"&gt;1.2251664&lt;/D&gt;&lt;/FQL&gt;&lt;FQL&gt;&lt;Q&gt;CAT-US^P_BETA_LOCIDX(45568,45394,,"SPX")&lt;/Q&gt;&lt;R&gt;1&lt;/R&gt;&lt;C&gt;1&lt;/C&gt;&lt;D xsi:type="xsd:double"&gt;1.2186837&lt;/D&gt;&lt;/FQL&gt;&lt;FQL&gt;&lt;Q&gt;CAT-US^P_BETA_LOCIDX(45567,45393,,"SPX")&lt;/Q&gt;&lt;R&gt;1&lt;/R&gt;&lt;C&gt;1&lt;/C&gt;&lt;D xsi:type="xsd:double"&gt;1.2104824&lt;/D&gt;&lt;/FQL&gt;&lt;FQL&gt;&lt;Q&gt;CAT-US^P_BETA_LOCIDX(45566,45392,,"SPX")&lt;/Q&gt;&lt;R&gt;1&lt;/R&gt;&lt;C&gt;1&lt;/C&gt;&lt;D xsi:type="xsd:double"&gt;1.1964709&lt;/D&gt;&lt;/FQL&gt;&lt;FQL&gt;&lt;Q&gt;CAT-US^P_BETA_LOCIDX(45565,45391,,"SPX")&lt;/Q&gt;&lt;R&gt;1&lt;/R&gt;&lt;C&gt;1&lt;/C&gt;&lt;D xsi:type="xsd:double"&gt;1.2134&lt;/D&gt;&lt;/FQL&gt;&lt;FQL&gt;&lt;Q&gt;CAT-US^P_BETA_LOCIDX(45562,45390,,"SPX")&lt;/Q&gt;&lt;R&gt;1&lt;/R&gt;&lt;C&gt;1&lt;/C&gt;&lt;D xsi:type="xsd:double"&gt;1.2171652&lt;/D&gt;&lt;/FQL&gt;&lt;FQL&gt;&lt;Q&gt;CAT-US^P_BETA_LOCIDX(45561,45387,,"SPX")&lt;/Q&gt;&lt;R&gt;1&lt;/R&gt;&lt;C&gt;1&lt;/C&gt;&lt;D xsi:type="xsd:double"&gt;1.2325826&lt;/D&gt;&lt;/FQL&gt;&lt;FQL&gt;&lt;Q&gt;CAT-US^P_BETA_LOCIDX(45560,45386,,"SPX")&lt;/Q&gt;&lt;R&gt;1&lt;/R&gt;&lt;C&gt;1&lt;/C&gt;&lt;D xsi:type="xsd:double"&gt;1.2223831&lt;/D&gt;&lt;/FQL&gt;&lt;FQL&gt;&lt;Q&gt;CAT-US^P_BETA_LOCIDX(45559,45385,,"SPX")&lt;/Q&gt;&lt;R&gt;1&lt;/R&gt;&lt;C&gt;1&lt;/C&gt;&lt;D xsi:type="xsd:double"&gt;1.2181624&lt;/D&gt;&lt;/FQL&gt;&lt;FQL&gt;&lt;Q&gt;CAT-US^P_BETA_LOCIDX(45558,45384,,"SPX")&lt;/Q&gt;&lt;R&gt;1&lt;/R&gt;&lt;C&gt;1&lt;/C&gt;&lt;D xsi:type="xsd:double"&gt;1.2001098&lt;/D&gt;&lt;/FQL&gt;&lt;FQL&gt;&lt;Q&gt;CAT-US^P_BETA_LOCIDX(45555,45383,,"SPX")&lt;/Q&gt;&lt;R&gt;1&lt;/R&gt;&lt;C&gt;1&lt;/C&gt;&lt;D xsi:type="xsd:double"&gt;1.2005837&lt;/D&gt;&lt;/FQL&gt;&lt;FQL&gt;&lt;Q&gt;CAT-US^P_BETA_LOCIDX(45554,45379,,"SPX")&lt;/Q&gt;&lt;R&gt;1&lt;/R&gt;&lt;C&gt;1&lt;/C&gt;&lt;D xsi:type="xsd:double"&gt;1.1980736&lt;/D&gt;&lt;/FQL&gt;&lt;FQL&gt;&lt;Q&gt;CAT-US^P_BETA_LOCIDX(45553,45378,,"SPX")&lt;/Q&gt;&lt;R&gt;1&lt;/R&gt;&lt;C&gt;1&lt;/C&gt;&lt;D xsi:type="xsd:double"&gt;1.1520222&lt;/D&gt;&lt;/FQL&gt;&lt;FQL&gt;&lt;Q&gt;CAT-US^P_BETA_LOCIDX(45552,45377,,"SPX")&lt;/Q&gt;&lt;R&gt;1&lt;/R&gt;&lt;C&gt;1&lt;/C&gt;&lt;D xsi:type="xsd:double"&gt;1.1532595&lt;/D&gt;&lt;/FQL&gt;&lt;FQL&gt;&lt;Q&gt;CAT-US^P_BETA_LOCIDX(45551,45376,,"SPX")&lt;/Q&gt;&lt;R&gt;1&lt;/R&gt;&lt;C&gt;1&lt;/C&gt;&lt;D xsi:type="xsd:double"&gt;1.1547443&lt;/D&gt;&lt;/FQL&gt;&lt;FQL&gt;&lt;Q&gt;CAT-US^P_BETA_LOCIDX(45548,45373,,"SPX")&lt;/Q&gt;&lt;R&gt;1&lt;/R&gt;&lt;C&gt;1&lt;/C&gt;&lt;D xsi:type="xsd:double"&gt;1.157725&lt;/D&gt;&lt;/FQL&gt;&lt;FQL&gt;&lt;Q&gt;CAT-US^P_BETA_LOCIDX(45547,45372,,"SPX")&lt;/Q&gt;&lt;R&gt;1&lt;/R&gt;&lt;C&gt;1&lt;/C&gt;&lt;D xsi:type="xsd:double"&gt;1.1573627&lt;/D&gt;&lt;/FQL&gt;&lt;FQL&gt;&lt;Q&gt;CAT-US^P_BETA_LOCIDX(45546,45371,,"SPX")&lt;/Q&gt;&lt;R&gt;1&lt;/R&gt;&lt;C&gt;1&lt;/C&gt;&lt;D xsi:type="xsd:double"&gt;1.1507196&lt;/D&gt;&lt;/FQL&gt;&lt;FQL&gt;&lt;Q&gt;CAT-US^P_BETA_LOCIDX(45545,45370,,"SPX")&lt;/Q&gt;&lt;R&gt;1&lt;/R&gt;&lt;C&gt;1&lt;/C&gt;&lt;D xsi:type="xsd:double"&gt;1.1608969&lt;/D&gt;&lt;/FQL&gt;&lt;FQL&gt;&lt;Q&gt;CAT-US^P_BETA_LOCIDX(45544,45369,,"SPX")&lt;/Q&gt;&lt;R&gt;1&lt;/R&gt;&lt;C&gt;1&lt;/C&gt;&lt;D xsi:type="xsd:double"&gt;1.1677215&lt;/D&gt;&lt;/FQL&gt;&lt;FQL&gt;&lt;Q&gt;CAT-US^P_BETA_LOCIDX(45541,45366,,"SPX")&lt;/Q&gt;&lt;R&gt;1&lt;/R&gt;&lt;C&gt;1&lt;/C&gt;&lt;D xsi:type="xsd:double"&gt;1.1472809&lt;/D&gt;&lt;/FQL&gt;&lt;FQL&gt;&lt;Q&gt;CAT-US^P_BETA_LOCIDX(45540,45365,,"SPX")&lt;/Q&gt;&lt;R&gt;1&lt;/R&gt;&lt;C&gt;1&lt;/C&gt;&lt;D xsi:type="xsd:double"&gt;1.1619126&lt;/D&gt;&lt;/FQL&gt;&lt;FQL&gt;&lt;Q&gt;CAT-US^P_BETA_LOCIDX(45539,45364,,"SPX")&lt;/Q&gt;&lt;R&gt;1&lt;/R&gt;&lt;C&gt;1&lt;/C&gt;&lt;D xsi:type="xsd:double"&gt;1.155025&lt;/D&gt;&lt;/FQL&gt;&lt;FQL&gt;&lt;Q&gt;CAT-US^P_BETA_LOCIDX(45538,45363,,"SPX")&lt;/Q&gt;&lt;R&gt;1&lt;/R&gt;&lt;C&gt;1&lt;/C&gt;&lt;D xsi:type="xsd:double"&gt;1.1459477&lt;/D&gt;&lt;/FQL&gt;&lt;FQL&gt;&lt;Q&gt;CAT-US^P_BETA_LOCIDX(45534,45362,,"SPX")&lt;/Q&gt;&lt;R&gt;1&lt;/R&gt;&lt;C&gt;1&lt;/C&gt;&lt;D xsi:type="xsd:double"&gt;1.0943245&lt;/D&gt;&lt;/FQL&gt;&lt;FQL&gt;&lt;Q&gt;CAT-US^P_BETA_LOCIDX(45533,45359,,"SPX")&lt;/Q&gt;&lt;R&gt;1&lt;/R&gt;&lt;C&gt;1&lt;/C&gt;&lt;D xsi:type="xsd:double"&gt;1.0878655&lt;/D&gt;&lt;/FQL&gt;&lt;FQL&gt;&lt;Q&gt;CAT-US^P_BETA_LOCIDX(45532,45358,,"SPX")&lt;/Q&gt;&lt;R&gt;1&lt;/R&gt;&lt;C&gt;1&lt;/C&gt;&lt;D xsi:type="xsd:double"&gt;1.0922501&lt;/D&gt;&lt;/FQL&gt;&lt;FQL&gt;&lt;Q&gt;CAT-US^P_BETA_LOCIDX(45531,45357,,"SPX")&lt;/Q&gt;&lt;R&gt;1&lt;/R&gt;&lt;C&gt;1&lt;/C&gt;&lt;D xsi:type="xsd:double"&gt;1.0916806&lt;/D&gt;&lt;/FQL&gt;&lt;FQL&gt;&lt;Q&gt;CAT-US^P_BETA_LOCIDX(45530,45356,,"SPX")&lt;/Q&gt;&lt;R&gt;1&lt;/R&gt;&lt;C&gt;1&lt;/C&gt;&lt;D xsi:type="xsd:double"&gt;1.0966336&lt;/D&gt;&lt;/FQL&gt;&lt;FQL&gt;&lt;Q&gt;CAT-US^P_BETA_LOCIDX(45527,45355,,"SPX")&lt;/Q&gt;&lt;R&gt;1&lt;/R&gt;&lt;C&gt;1&lt;/C&gt;&lt;D xsi:type="xsd:double"&gt;1.1004992&lt;/D&gt;&lt;/FQL&gt;&lt;FQL&gt;&lt;Q&gt;CAT-US^P_BETA_LOCIDX(45526,45352,,"SPX")&lt;/Q&gt;&lt;R&gt;1&lt;/R&gt;&lt;C&gt;1&lt;/C&gt;&lt;D xsi:type="xsd:double"&gt;1.0930988&lt;/D&gt;&lt;/FQL&gt;&lt;FQL&gt;&lt;Q&gt;CAT-US^P_BETA_LOCIDX(45525,45351,,"SPX")&lt;/Q&gt;&lt;R&gt;1&lt;/R&gt;&lt;C&gt;1&lt;/C&gt;&lt;D xsi:type="xsd:double"&gt;1.1078972&lt;/D&gt;&lt;/FQL&gt;&lt;FQL&gt;&lt;Q&gt;CAT-US^P_BETA_LOCIDX(45524,45350,,"SPX")&lt;/Q&gt;&lt;R&gt;1&lt;/R&gt;&lt;C&gt;1&lt;/C&gt;&lt;D xsi:type="xsd:double"&gt;1.1075065&lt;/D&gt;&lt;/FQL&gt;&lt;FQL&gt;&lt;Q&gt;CAT-US^P_BETA_LOCIDX(45523,45349,,"SPX")&lt;/Q&gt;&lt;R&gt;1&lt;/R&gt;&lt;C&gt;1&lt;/C&gt;&lt;D xsi:type="xsd:double"&gt;1.1076108&lt;/D&gt;&lt;/FQL&gt;&lt;FQL&gt;&lt;Q&gt;CAT-US^P_BETA_LOCIDX(45520,45348,,"SPX")&lt;/Q&gt;&lt;R&gt;1&lt;/R&gt;&lt;C&gt;1&lt;/C&gt;&lt;D xsi:type="xsd:double"&gt;1.1102586&lt;/D&gt;&lt;/FQL&gt;&lt;FQL&gt;&lt;Q&gt;CAT-US^P_BETA_LOCIDX(45519,45345,,"SPX")&lt;/Q&gt;&lt;R&gt;1&lt;/R&gt;&lt;C&gt;1&lt;/C&gt;&lt;D xsi:type="xsd:double"&gt;1.1112808&lt;/D&gt;&lt;/FQL&gt;&lt;FQL&gt;&lt;Q&gt;CAT-US^P_BETA_LOCIDX(45518,45344,,"SPX")&lt;/Q&gt;&lt;R&gt;1&lt;/R&gt;&lt;C&gt;1&lt;/C&gt;&lt;D xsi:type="xsd:double"&gt;1.0805154&lt;/D&gt;&lt;/FQL&gt;&lt;FQL&gt;&lt;Q&gt;CAT-US^P_BETA_LOCIDX(45517,45343,,"SPX")&lt;/Q&gt;&lt;R&gt;1&lt;/R&gt;&lt;C&gt;1&lt;/C&gt;&lt;D xsi:type="xsd:double"&gt;1.0839373&lt;/D&gt;&lt;/FQL&gt;&lt;FQL&gt;&lt;Q&gt;CAT-US^P_BETA_LOCIDX(45516,45342,,"SPX")&lt;/Q&gt;&lt;R&gt;1&lt;/R&gt;&lt;C&gt;1&lt;/C&gt;&lt;D xsi:type="xsd:double"&gt;1.1200705&lt;/D&gt;&lt;/FQL&gt;&lt;FQL&gt;&lt;Q&gt;CAT-US^P_BETA_LOCIDX(45513,45338,,"SPX")&lt;/Q&gt;&lt;R&gt;1&lt;/R&gt;&lt;C&gt;1&lt;/C&gt;&lt;D xsi:type="xsd:double"&gt;1.1183585&lt;/D&gt;&lt;/FQL&gt;&lt;FQL&gt;&lt;Q&gt;CAT-US^P_BETA_LOCIDX(45512,45337,,"SPX")&lt;/Q&gt;&lt;R&gt;1&lt;/R&gt;&lt;C&gt;1&lt;/C&gt;&lt;D xsi:type="xsd:double"&gt;1.126854&lt;/D&gt;&lt;/FQL&gt;&lt;FQL&gt;&lt;Q&gt;CAT-US^P_BETA_LOCIDX(45511,45336,,"SPX")&lt;/Q&gt;&lt;R&gt;1&lt;/R&gt;&lt;C&gt;1&lt;/C&gt;&lt;D xsi:type="xsd:double"&gt;1.1112508&lt;/D&gt;&lt;/FQL&gt;&lt;FQL&gt;&lt;Q&gt;CAT-US^P_BETA_LOCIDX(45510,45335,,"SPX")&lt;/Q&gt;&lt;R&gt;1&lt;/R&gt;&lt;C&gt;1&lt;/C&gt;&lt;D xsi:type="xsd:double"&gt;1.140567&lt;/D&gt;&lt;/FQL&gt;&lt;FQL&gt;&lt;Q&gt;CAT-US^P_BETA_LOCIDX(45509,45334,,"SPX")&lt;/Q&gt;&lt;R&gt;1&lt;/R&gt;&lt;C&gt;1&lt;/C&gt;&lt;D xsi:type="xsd:double"&gt;1.1129923&lt;/D&gt;&lt;/FQL&gt;&lt;FQL&gt;&lt;Q&gt;CAT-US^P_BETA_LOCIDX(45506,45331,,"SPX")&lt;/Q&gt;&lt;R&gt;1&lt;/R&gt;&lt;C&gt;1&lt;/C&gt;&lt;D xsi:type="xsd:double"&gt;1.1923692&lt;/D&gt;&lt;/FQL&gt;&lt;FQL&gt;&lt;Q&gt;CAT-US^P_BETA_LOCIDX(45505,45330,,"SPX")&lt;/Q&gt;&lt;R&gt;1&lt;/R&gt;&lt;C&gt;1&lt;/C&gt;&lt;D xsi:type="xsd:double"&gt;1.1633142&lt;/D&gt;&lt;/FQL&gt;&lt;FQL&gt;&lt;Q&gt;CAT-US^P_BETA_LOCIDX(45504,45329,,"SPX")&lt;/Q&gt;&lt;R&gt;1&lt;/R&gt;&lt;C&gt;1&lt;/C&gt;&lt;D xsi:type="xsd:double"&gt;1.0939847&lt;/D&gt;&lt;/FQL&gt;&lt;FQL&gt;&lt;Q&gt;CAT-US^P_BETA_LOCIDX(45503,45328,,"SPX")&lt;/Q&gt;&lt;R&gt;1&lt;/R&gt;&lt;C&gt;1&lt;/C&gt;&lt;D xsi:type="xsd:double"&gt;1.1042218&lt;/D&gt;&lt;/FQL&gt;&lt;FQL&gt;&lt;Q&gt;CAT-US^P_BETA_LOCIDX(45502,45327,,"SPX")&lt;/Q&gt;&lt;R&gt;1&lt;/R&gt;&lt;C&gt;1&lt;/C&gt;&lt;D xsi:type="xsd:double"&gt;1.0856647&lt;/D&gt;&lt;/FQL&gt;&lt;FQL&gt;&lt;Q&gt;CAT-US^P_BETA_LOCIDX(45499,45324,,"SPX")&lt;/Q&gt;&lt;R&gt;1&lt;/R&gt;&lt;C&gt;1&lt;/C&gt;&lt;D xsi:type="xsd:double"&gt;1.1057531&lt;/D&gt;&lt;/FQL&gt;&lt;FQL&gt;&lt;Q&gt;CAT-US^P_BETA_LOCIDX(45498,45323,,"SPX")&lt;/Q&gt;&lt;R&gt;1&lt;/R&gt;&lt;C&gt;1&lt;/C&gt;&lt;D xsi:type="xsd:double"&gt;1.1167761&lt;/D&gt;&lt;/FQL&gt;&lt;FQL&gt;&lt;Q&gt;CAT-US^P_BETA_LOCIDX(45497,45322,,"SPX")&lt;/Q&gt;&lt;R&gt;1&lt;/R&gt;&lt;C&gt;1&lt;/C&gt;&lt;D xsi:type="xsd:double"&gt;1.1368724&lt;/D&gt;&lt;/FQL&gt;&lt;FQL&gt;&lt;Q&gt;CAT-US^P_BETA_LOCIDX(45496,45321,,"SPX")&lt;/Q&gt;&lt;R&gt;1&lt;/R&gt;&lt;C&gt;1&lt;/C&gt;&lt;D xsi:type="xsd:double"&gt;1.146761&lt;/D&gt;&lt;/FQL&gt;&lt;FQL&gt;&lt;Q&gt;CAT-US^P_BETA_LOCIDX(45495,45320,,"SPX")&lt;/Q&gt;&lt;R&gt;1&lt;/R&gt;&lt;C&gt;1&lt;/C&gt;&lt;D xsi:type="xsd:double"&gt;1.1472925&lt;/D&gt;&lt;/FQL&gt;&lt;FQL&gt;&lt;Q&gt;CAT-US^P_BETA_LOCIDX(45492,45317,,"SPX")&lt;/Q&gt;&lt;R&gt;1&lt;/R&gt;&lt;C&gt;1&lt;/C&gt;&lt;D xsi:type="xsd:double"&gt;1.1688715&lt;/D&gt;&lt;/FQL&gt;&lt;FQL&gt;&lt;Q&gt;CAT-US^P_BETA_LOCIDX(45491,45316,,"SPX")&lt;/Q&gt;&lt;R&gt;1&lt;/R&gt;&lt;C&gt;1&lt;/C&gt;&lt;D xsi:type="xsd:double"&gt;1.1673403&lt;/D&gt;&lt;/FQL&gt;&lt;FQL&gt;&lt;Q&gt;CAT-US^P_BETA_LOCIDX(45490,45315,,"SPX")&lt;/Q&gt;&lt;R&gt;1&lt;/R&gt;&lt;C&gt;1&lt;/C&gt;&lt;D xsi:type="xsd:double"&gt;1.172992&lt;/D&gt;&lt;/FQL&gt;&lt;FQL&gt;&lt;Q&gt;CAT-US^P_BETA_LOCIDX(45489,45314,,"SPX")&lt;/Q&gt;&lt;R&gt;1&lt;/R&gt;&lt;C&gt;1&lt;/C&gt;&lt;D xsi:type="xsd:double"&gt;1.1953279&lt;/D&gt;&lt;/FQL&gt;&lt;FQL&gt;&lt;Q&gt;CAT-US^P_BETA_LOCIDX(45488,45313,,"SPX")&lt;/Q&gt;&lt;R&gt;1&lt;/R&gt;&lt;C&gt;1&lt;/C&gt;&lt;D xsi:type="xsd:double"&gt;1.1630561&lt;/D&gt;&lt;/FQL&gt;&lt;FQL&gt;&lt;Q&gt;CAT-US^P_BETA_LOCIDX(45485,45310,,"SPX")&lt;/Q&gt;&lt;R&gt;1&lt;/R&gt;&lt;C&gt;1&lt;/C&gt;&lt;D xsi:type="xsd:double"&gt;1.1505194&lt;/D&gt;&lt;/FQL&gt;&lt;FQL&gt;&lt;Q&gt;CAT-US^P_BETA_LOCIDX(45484,45309,,"SPX")&lt;/Q&gt;&lt;R&gt;1&lt;/R&gt;&lt;C&gt;1&lt;/C&gt;&lt;D xsi:type="xsd:double"&gt;1.1472876&lt;/D&gt;&lt;/FQL&gt;&lt;FQL&gt;&lt;Q&gt;CAT-US^P_BETA_LOCIDX(45483,45308,,"SPX")&lt;/Q&gt;&lt;R&gt;1&lt;/R&gt;&lt;C&gt;1&lt;/C&gt;&lt;D xsi:type="xsd:double"&gt;1.212403&lt;/D&gt;&lt;/FQL&gt;&lt;FQL&gt;&lt;Q&gt;CAT-US^P_BETA_LOCIDX(45482,45307,,"SPX")&lt;/Q&gt;&lt;R&gt;1&lt;/R&gt;&lt;C&gt;1&lt;/C&gt;&lt;D xsi:type="xsd:double"&gt;1.2255194&lt;/D&gt;&lt;/FQL&gt;&lt;FQL&gt;&lt;Q&gt;CAT-US^P_BETA_LOCIDX(45481,45303,,"SPX")&lt;/Q&gt;&lt;R&gt;1&lt;/R&gt;&lt;C&gt;1&lt;/C&gt;&lt;D xsi:type="xsd:double"&gt;1.2251508&lt;/D&gt;&lt;/FQL&gt;&lt;FQL&gt;&lt;Q&gt;CAT-US^P_BETA_LOCIDX(45478,45302,,"SPX")&lt;/Q&gt;&lt;R&gt;1&lt;/R&gt;&lt;C&gt;1&lt;/C&gt;&lt;D xsi:type="xsd:double"&gt;1.2263515&lt;/D&gt;&lt;/FQL&gt;&lt;FQL&gt;&lt;Q&gt;CAT-US^P_BETA_LOCIDX(45476,45301,,"SPX")&lt;/Q&gt;&lt;R&gt;1&lt;/R&gt;&lt;C&gt;1&lt;/C&gt;&lt;D xsi:type="xsd:double"&gt;1.2342308&lt;/D&gt;&lt;/FQL&gt;&lt;FQL&gt;&lt;Q&gt;CAT-US^P_BETA_LOCIDX(45475,45300,,"SPX")&lt;/Q&gt;&lt;R&gt;1&lt;/R&gt;&lt;C&gt;1&lt;/C&gt;&lt;D xsi:type="xsd:double"&gt;1.23092&lt;/D&gt;&lt;/FQL&gt;&lt;FQL&gt;&lt;Q&gt;CAT-US^P_BETA_LOCIDX(45474,45299,,"SPX")&lt;/Q&gt;&lt;R&gt;1&lt;/R&gt;&lt;C&gt;1&lt;/C&gt;&lt;D xsi:type="xsd:double"&gt;1.2282037&lt;/D&gt;&lt;/FQL&gt;&lt;FQL&gt;&lt;Q&gt;CAT-US^P_BETA_LOCIDX(45471,45296,,"SPX")&lt;/Q&gt;&lt;R&gt;1&lt;/R&gt;&lt;C&gt;1&lt;/C&gt;&lt;D xsi:type="xsd:double"&gt;1.2328268&lt;/D&gt;&lt;/FQL&gt;&lt;FQL&gt;&lt;Q&gt;CAT-US^P_BETA_LOCIDX(45470,45295,,"SPX")&lt;/Q&gt;&lt;R&gt;1&lt;/R&gt;&lt;C&gt;1&lt;/C&gt;&lt;D xsi:type="xsd:double"&gt;1.245666&lt;/D&gt;&lt;/FQL&gt;&lt;FQL&gt;&lt;Q&gt;CAT-US^P_BETA_LOCIDX(45469,45294,,"SPX")&lt;/Q&gt;&lt;R&gt;1&lt;/R&gt;&lt;C&gt;1&lt;/C&gt;&lt;D xsi:type="xsd:double"&gt;1.2764876&lt;/D&gt;&lt;/FQL&gt;&lt;FQL&gt;&lt;Q&gt;CAT-US^P_BETA_LOCIDX(45468,45293,,"SPX")&lt;/Q&gt;&lt;R&gt;1&lt;/R&gt;&lt;C&gt;1&lt;/C&gt;&lt;D xsi:type="xsd:double"&gt;1.27951&lt;/D&gt;&lt;/FQL&gt;&lt;FQL&gt;&lt;Q&gt;CAT-US^P_BETA_LOCIDX(45467,45289,,"SPX")&lt;/Q&gt;&lt;R&gt;1&lt;/R&gt;&lt;C&gt;1&lt;/C&gt;&lt;D xsi:type="xsd:double"&gt;1.2857559&lt;/D&gt;&lt;/FQL&gt;&lt;FQL&gt;&lt;Q&gt;CAT-US^P_BETA_LOCIDX(45464,45288,,"SPX")&lt;/Q&gt;&lt;R&gt;1&lt;/R&gt;&lt;C&gt;1&lt;/C&gt;&lt;D xsi:type="xsd:double"&gt;1.2945763&lt;/D&gt;&lt;/FQL&gt;&lt;FQL&gt;&lt;Q&gt;CAT-US^P_BETA_LOCIDX(45463,45287,,"SPX")&lt;/Q&gt;&lt;R&gt;1&lt;/R&gt;&lt;C&gt;1&lt;/C&gt;&lt;D xsi:type="xsd:double"&gt;1.2942812&lt;/D&gt;&lt;/FQL&gt;&lt;FQL&gt;&lt;Q&gt;CAT-US^P_BETA_LOCIDX(45461,45286,,"SPX")&lt;/Q&gt;&lt;R&gt;1&lt;/R&gt;&lt;C&gt;1&lt;/C&gt;&lt;D xsi:type="xsd:double"&gt;1.3122172&lt;/D&gt;&lt;/FQL&gt;&lt;FQL&gt;&lt;Q&gt;CAT-US^P_BETA_LOCIDX(45460,45282,,"SPX")&lt;/Q&gt;&lt;R&gt;1&lt;/R&gt;&lt;C&gt;1&lt;/C&gt;&lt;D xsi:type="xsd:double"&gt;1.3108026&lt;/D&gt;&lt;/FQL&gt;&lt;FQL&gt;&lt;Q&gt;CAT-US^P_BETA_LOCIDX(45457,45281,,"SPX")&lt;/Q&gt;&lt;R&gt;1&lt;/R&gt;&lt;C&gt;1&lt;/C&gt;&lt;D xsi:type="xsd:double"&gt;1.2994219&lt;/D&gt;&lt;/FQL&gt;&lt;FQL&gt;&lt;Q&gt;CAT-US^P_BETA_LOCIDX(45456,45280,,"SPX")&lt;/Q&gt;&lt;R&gt;1&lt;/R&gt;&lt;C&gt;1&lt;/C&gt;&lt;D xsi:type="xsd:double"&gt;1.2726324&lt;/D&gt;&lt;/FQL&gt;&lt;FQL&gt;&lt;Q&gt;CAT-US^P_BETA_LOCIDX(45455,45279,,"SPX")&lt;/Q&gt;&lt;R&gt;1&lt;/R&gt;&lt;C&gt;1&lt;/C&gt;&lt;D xsi:type="xsd:double"&gt;1.2894286&lt;/D&gt;&lt;/FQL&gt;&lt;FQL&gt;&lt;Q&gt;CAT-US^P_BETA_LOCIDX(45454,45278,,"SPX")&lt;/Q&gt;&lt;R&gt;1&lt;/R&gt;&lt;C&gt;1&lt;/C&gt;&lt;D xsi:type="xsd:double"&gt;1.2942272&lt;/D&gt;&lt;/FQL&gt;&lt;FQL&gt;&lt;Q&gt;CAT-US^P_BETA_LOCIDX(45453,45275,,"SPX")&lt;/Q&gt;&lt;R&gt;1&lt;/R&gt;&lt;C&gt;1&lt;/C&gt;&lt;D xsi:type="xsd:double"&gt;1.2966638&lt;/D&gt;&lt;/FQL&gt;&lt;FQL&gt;&lt;Q&gt;CAT-US^P_BETA_LOCIDX(45450,45274,,"SPX")&lt;/Q&gt;&lt;R&gt;1&lt;/R&gt;&lt;C&gt;1&lt;/C&gt;&lt;D xsi:type="xsd:double"&gt;1.3133773&lt;/D&gt;&lt;/FQL&gt;&lt;FQL&gt;&lt;Q&gt;CAT-US^P_BETA_LOCIDX(45449,45273,,"SPX")&lt;/Q&gt;&lt;R&gt;1&lt;/R&gt;&lt;C&gt;1&lt;/C&gt;&lt;D xsi:type="xsd:double"&gt;1.3284724&lt;/D&gt;&lt;/FQL&gt;&lt;FQL&gt;&lt;Q&gt;CAT-US^P_BETA_LOCIDX(45448,45272,,"SPX")&lt;/Q&gt;&lt;R&gt;1&lt;/R&gt;&lt;C&gt;1&lt;/C&gt;&lt;D xsi:type="xsd:double"&gt;1.3250166&lt;/D&gt;&lt;/FQL&gt;&lt;FQL&gt;&lt;Q&gt;CAT-US^P_BETA_LOCIDX(45447,45271,,"SPX")&lt;/Q&gt;&lt;R&gt;1&lt;/R&gt;&lt;C&gt;1&lt;/C&gt;&lt;D xsi:type="xsd:double"&gt;1.3437971&lt;/D&gt;&lt;/FQL&gt;&lt;FQL&gt;&lt;Q&gt;CAT-US^P_BETA_LOCIDX(45446,45268,,"SPX")&lt;/Q&gt;&lt;R&gt;1&lt;/R&gt;&lt;C&gt;1&lt;/C&gt;&lt;D xsi:type="xsd:double"&gt;1.3455762&lt;/D&gt;&lt;/FQL&gt;&lt;FQL&gt;&lt;Q&gt;CAT-US^P_BETA_LOCIDX(45443,45267,,"SPX")&lt;/Q&gt;&lt;R&gt;1&lt;/R&gt;&lt;C&gt;1&lt;/C&gt;&lt;D xsi:type="xsd:double"&gt;1.3385775&lt;/D&gt;&lt;/FQL&gt;&lt;FQL&gt;&lt;Q&gt;CAT-US^P_BETA_LOCIDX(45442,45266,,"SPX")&lt;/Q&gt;&lt;R&gt;1&lt;/R&gt;&lt;C&gt;1&lt;/C&gt;&lt;D xsi:type="xsd:double"&gt;1.3480334&lt;/D&gt;&lt;/FQL&gt;&lt;FQL&gt;&lt;Q&gt;CAT-US^P_BETA_LOCIDX(45441,45265,,"SPX")&lt;/Q&gt;&lt;R&gt;1&lt;/R&gt;&lt;C&gt;1&lt;/C&gt;&lt;D xsi:type="xsd:double"&gt;1.3604058&lt;/D&gt;&lt;/FQL&gt;&lt;FQL&gt;&lt;Q&gt;CAT-US^P_BETA_LOCIDX(45440,45264,,"SPX")&lt;/Q&gt;&lt;R&gt;1&lt;/R&gt;&lt;C&gt;1&lt;/C&gt;&lt;D xsi:type="xsd:double"&gt;1.3399005&lt;/D&gt;&lt;/FQL&gt;&lt;FQL&gt;&lt;Q&gt;CAT-US^P_BETA_LOCIDX(45436,45261,,"SPX")&lt;/Q&gt;&lt;R&gt;1&lt;/R&gt;&lt;C&gt;1&lt;/C&gt;&lt;D xsi:type="xsd:double"&gt;1.350481&lt;/D&gt;&lt;/FQL&gt;&lt;FQL&gt;&lt;Q&gt;CAT-US^P_BETA_LOCIDX(45435,45260,,"SPX")&lt;/Q&gt;&lt;R&gt;1&lt;/R&gt;&lt;C&gt;1&lt;/C&gt;&lt;D xsi:type="xsd:double"&gt;1.3655516&lt;/D&gt;&lt;/FQL&gt;&lt;FQL&gt;&lt;Q&gt;CAT-US^P_BETA_LOCIDX(45434,45259,,"SPX")&lt;/Q&gt;&lt;R&gt;1&lt;/R&gt;&lt;C&gt;1&lt;/C&gt;&lt;D xsi:type="xsd:double"&gt;1.3535903&lt;/D&gt;&lt;/FQL&gt;&lt;FQL&gt;&lt;Q&gt;CAT-US^P_BETA_LOCIDX(45433,45258,,"SPX")&lt;/Q&gt;&lt;R&gt;1&lt;/R&gt;&lt;C&gt;1&lt;/C&gt;&lt;D xsi:type="xsd:double"&gt;1.3492054&lt;/D&gt;&lt;/FQL&gt;&lt;FQL&gt;&lt;Q&gt;CAT-US^P_BETA_LOCIDX(45432,45257,,"SPX")&lt;/Q&gt;&lt;R&gt;1&lt;/R&gt;&lt;C&gt;1&lt;/C&gt;&lt;D xsi:type="xsd:double"&gt;1.3516334&lt;/D&gt;&lt;/FQL&gt;&lt;FQL&gt;&lt;Q&gt;CAT-US^P_BETA_LOCIDX(45429,45254,,"SPX")&lt;/Q&gt;&lt;R&gt;1&lt;/R&gt;&lt;C&gt;1&lt;/C&gt;&lt;D xsi:type="xsd:double"&gt;1.3522332&lt;/D&gt;&lt;/FQL&gt;&lt;FQL&gt;&lt;Q&gt;CAT-US^P_BETA_LOCIDX(45428,45252,,"SPX")&lt;/Q&gt;&lt;R&gt;1&lt;/R&gt;&lt;C&gt;1&lt;/C&gt;&lt;D xsi:type="xsd:double"&gt;1.3426763&lt;/D&gt;&lt;/FQL&gt;&lt;FQL&gt;&lt;Q&gt;CAT-US^P_BETA_LOCIDX(45427,45251,,"SPX")&lt;/Q&gt;&lt;R&gt;1&lt;/R&gt;&lt;C&gt;1&lt;/C&gt;&lt;D xsi:type="xsd:double"&gt;1.3299185&lt;/D&gt;&lt;/FQL&gt;&lt;FQL&gt;&lt;Q&gt;CAT-US^P_BETA_LOCIDX(45426,45250,,"SPX")&lt;/Q&gt;&lt;R&gt;1&lt;/R&gt;&lt;C&gt;1&lt;/C&gt;&lt;D xsi:type="xsd:double"&gt;1.3283355&lt;/D&gt;&lt;/FQL&gt;&lt;FQL&gt;&lt;Q&gt;CAT-US^P_BETA_LOCIDX(45425,45247,,"SPX")&lt;/Q&gt;&lt;R&gt;1&lt;/R&gt;&lt;C&gt;1&lt;/C&gt;&lt;D xsi:type="xsd:double"&gt;1.3307079&lt;/D&gt;&lt;/FQL&gt;&lt;FQL&gt;&lt;Q&gt;CAT-US^P_BETA_LOCIDX(45422,45246,,"SPX")&lt;/Q&gt;&lt;R&gt;1&lt;/R&gt;&lt;C&gt;1&lt;/C&gt;&lt;D xsi:type="xsd:double"&gt;1.3319567&lt;/D&gt;&lt;/FQL&gt;&lt;FQL&gt;&lt;Q&gt;CAT-US^P_BETA_LOCIDX(45421,45245,,"SPX")&lt;/Q&gt;&lt;R&gt;1&lt;/R&gt;&lt;C&gt;1&lt;/C&gt;&lt;D xsi:type="xsd:double"&gt;1.3321891&lt;/D&gt;&lt;/FQL&gt;&lt;FQL&gt;&lt;Q&gt;CAT-US^P_BETA_LOCIDX(45420,45244,,"SPX")&lt;/Q&gt;&lt;R&gt;1&lt;/R&gt;&lt;C&gt;1&lt;/C&gt;&lt;D xsi:type="xsd:double"&gt;1.3206528&lt;/D&gt;&lt;/FQL&gt;&lt;FQL&gt;&lt;Q&gt;CAT-US^P_BETA_LOCIDX(45419,45243,,"SPX")&lt;/Q&gt;&lt;R&gt;1&lt;/R&gt;&lt;C&gt;1&lt;/C&gt;&lt;D xsi:type="xsd:double"&gt;1.3170446&lt;/D&gt;&lt;/FQL&gt;&lt;FQL&gt;&lt;Q&gt;CAT-US^P_BETA_LOCIDX(45418,45240,,"SPX")&lt;/Q&gt;&lt;R&gt;1&lt;/R&gt;&lt;C&gt;1&lt;/C&gt;&lt;D xsi:type="xsd:double"&gt;1.3210465&lt;/D&gt;&lt;/FQL&gt;&lt;FQL&gt;&lt;Q&gt;CAT-US^P_BETA_LOCIDX(45415,45239,,"SPX")&lt;/Q&gt;&lt;R&gt;1&lt;/R&gt;&lt;C&gt;1&lt;/C&gt;&lt;D xsi:type="xsd:double"&gt;1.309794&lt;/D&gt;&lt;/FQL&gt;&lt;FQL&gt;&lt;Q&gt;CAT-US^P_BETA_LOCIDX(45414,45238,,"SPX")&lt;/Q&gt;&lt;R&gt;1&lt;/R&gt;&lt;C&gt;1&lt;/C&gt;&lt;D xsi:type="xsd:double"&gt;1.3359302&lt;/D&gt;&lt;/FQL&gt;&lt;FQL&gt;&lt;Q&gt;CAT-US^P_BETA_LOCIDX(45413,45237,,"SPX")&lt;/Q&gt;&lt;R&gt;1&lt;/R&gt;&lt;C&gt;1&lt;/C&gt;&lt;D xsi:type="xsd:double"&gt;1.331139&lt;/D&gt;&lt;/FQL&gt;&lt;FQL&gt;&lt;Q&gt;CAT-US^P_BETA_LOCIDX(45412,45236,,"SPX")&lt;/Q&gt;&lt;R&gt;1&lt;/R&gt;&lt;C&gt;1&lt;/C&gt;&lt;D xsi:type="xsd:double"&gt;1.3243161&lt;/D&gt;&lt;/FQL&gt;&lt;FQL&gt;&lt;Q&gt;CAT-US^P_BETA_LOCIDX(45411,45233,,"SPX")&lt;/Q&gt;&lt;R&gt;1&lt;/R&gt;&lt;C&gt;1&lt;/C&gt;&lt;D xsi:type="xsd:double"&gt;1.2434008&lt;/D&gt;&lt;/FQL&gt;&lt;FQL&gt;&lt;Q&gt;CAT-US^P_BETA_LOCIDX(45408,45232,,"SPX")&lt;/Q&gt;&lt;R&gt;1&lt;/R&gt;&lt;C&gt;1&lt;/C&gt;&lt;D xsi:type="xsd:double"&gt;1.2584443&lt;/D&gt;&lt;/FQL&gt;&lt;FQL&gt;&lt;Q&gt;CAT-US^P_BETA_LOCIDX(45407,45231,,"SPX")&lt;/Q&gt;&lt;R&gt;1&lt;/R&gt;&lt;C&gt;1&lt;/C&gt;&lt;D xsi:type="xsd:double"&gt;1.2722328&lt;/D&gt;&lt;/FQL&gt;&lt;FQL&gt;&lt;Q&gt;CAT-US^P_BETA_LOCIDX(45406,45230,,"SPX")&lt;/Q&gt;&lt;R&gt;1&lt;/R&gt;&lt;C&gt;1&lt;/C&gt;&lt;D xsi:type="xsd:double"&gt;1.1434953&lt;/D&gt;&lt;/FQL&gt;&lt;FQL&gt;&lt;Q&gt;CAT-US^P_BETA_LOCIDX(45405,45229,,"SPX")&lt;/Q&gt;&lt;R&gt;1&lt;/R&gt;&lt;C&gt;1&lt;/C&gt;&lt;D xsi:type="xsd:double"&gt;1.1428231&lt;/D&gt;&lt;/FQL&gt;&lt;FQL&gt;&lt;Q&gt;CAT-US^P_BETA_LOCIDX(45404,45226,,"SPX")&lt;/Q&gt;&lt;R&gt;1&lt;/R&gt;&lt;C&gt;1&lt;/C&gt;&lt;D xsi:type="xsd:double"&gt;1.1547139&lt;/D&gt;&lt;/FQL&gt;&lt;FQL&gt;&lt;Q&gt;CAT-US^P_BETA_LOCIDX(45401,45225,,"SPX")&lt;/Q&gt;&lt;R&gt;1&lt;/R&gt;&lt;C&gt;1&lt;/C&gt;&lt;D xsi:type="xsd:double"&gt;1.1543896&lt;/D&gt;&lt;/FQL&gt;&lt;FQL&gt;&lt;Q&gt;CAT-US^P_BETA_LOCIDX(45400,45224,,"SPX")&lt;/Q&gt;&lt;R&gt;1&lt;/R&gt;&lt;C&gt;1&lt;/C&gt;&lt;D xsi:type="xsd:double"&gt;1.1620402&lt;/D&gt;&lt;/FQL&gt;&lt;FQL&gt;&lt;Q&gt;CAT-US^P_BETA_LOCIDX(45399,45223,,"SPX")&lt;/Q&gt;&lt;R&gt;1&lt;/R&gt;&lt;C&gt;1&lt;/C&gt;&lt;D xsi:type="xsd:double"&gt;1.1612004&lt;/D&gt;&lt;/FQL&gt;&lt;FQL&gt;&lt;Q&gt;CAT-US^P_BETA_LOCIDX(45398,45222,,"SPX")&lt;/Q&gt;&lt;R&gt;1&lt;/R&gt;&lt;C&gt;1&lt;/C&gt;&lt;D xsi:type="xsd:double"&gt;1.1657926&lt;/D&gt;&lt;/FQL&gt;&lt;FQL&gt;&lt;Q&gt;CAT-US^P_BETA_LOCIDX(45397,45219,,"SPX")&lt;/Q&gt;&lt;R&gt;1&lt;/R&gt;&lt;C&gt;1&lt;/C&gt;&lt;D xsi:type="xsd:double"&gt;1.163272&lt;/D&gt;&lt;/FQL&gt;&lt;FQL&gt;&lt;Q&gt;CAT-US^P_BETA_LOCIDX(45394,45218,,"SPX")&lt;/Q&gt;&lt;R&gt;1&lt;/R&gt;&lt;C&gt;1&lt;/C&gt;&lt;D xsi:type="xsd:double"&gt;1.2043419&lt;/D&gt;&lt;/FQL&gt;&lt;FQL&gt;&lt;Q&gt;CAT-US^P_BETA_LOCIDX(45393,45217,,"SPX")&lt;/Q&gt;&lt;R&gt;1&lt;/R&gt;&lt;C&gt;1&lt;/C&gt;&lt;D xsi:type="xsd:double"&gt;1.2821591&lt;/D&gt;&lt;/FQL&gt;&lt;FQL&gt;&lt;Q&gt;CAT-US^P_BETA_LOCIDX(45392,45216,,"SPX")&lt;/Q&gt;&lt;R&gt;1&lt;/R&gt;&lt;C&gt;1&lt;/C&gt;&lt;D xsi:type="xsd:double"&gt;1.2908173&lt;/D&gt;&lt;/FQL&gt;&lt;FQL&gt;&lt;Q&gt;CAT-US^P_BETA_LOCIDX(45391,45215,,"SPX")&lt;/Q&gt;&lt;R&gt;1&lt;/R&gt;&lt;C&gt;1&lt;/C&gt;&lt;D xsi:type="xsd:double"&gt;1.3054681&lt;/D&gt;&lt;/FQL&gt;&lt;FQL&gt;&lt;Q&gt;CAT-US^P_BETA_LOCIDX(45390,45212,,"SPX")&lt;/Q&gt;&lt;R&gt;1&lt;/R&gt;&lt;C&gt;1&lt;/C&gt;&lt;D xsi:type="xsd:double"&gt;1.305868&lt;/D&gt;&lt;/FQL&gt;&lt;FQL&gt;&lt;Q&gt;CAT-US^P_BETA_LOCIDX(45387,45211,,"SPX")&lt;/Q&gt;&lt;R&gt;1&lt;/R&gt;&lt;C&gt;1&lt;/C&gt;&lt;D xsi:type="xsd:double"&gt;1.3067849&lt;/D&gt;&lt;/FQL&gt;&lt;FQL&gt;&lt;Q&gt;CAT-US^P_BETA_LOCIDX(45386,45210,,"SPX")&lt;/Q&gt;&lt;R&gt;1&lt;/R&gt;&lt;C&gt;1&lt;/C&gt;&lt;D xsi:type="xsd:double"&gt;1.2874757&lt;/D&gt;&lt;/FQL&gt;&lt;FQL&gt;&lt;Q&gt;CAT-US^P_BETA_LOCIDX(45385,45209,,"SPX")&lt;/Q&gt;&lt;R&gt;1&lt;/R&gt;&lt;C&gt;1&lt;/C&gt;&lt;D xsi:type="xsd:double"&gt;1.2851069&lt;/D&gt;&lt;/FQL&gt;&lt;FQL&gt;&lt;Q&gt;CAT-US^P_BETA_LOCIDX(45384,45208,,"SPX")&lt;/Q&gt;&lt;R&gt;1&lt;/R&gt;&lt;C&gt;1&lt;/C&gt;&lt;D xsi:type="xsd:double"&gt;1.2955995&lt;/D&gt;&lt;/FQL&gt;&lt;FQL&gt;&lt;Q&gt;CAT-US^P_BETA_LOCIDX(45383,45205,,"SPX")&lt;/Q&gt;&lt;R&gt;1&lt;/R&gt;&lt;C&gt;1&lt;/C&gt;&lt;D xsi:type="xsd:double"&gt;1.3191628&lt;/D&gt;&lt;/FQL&gt;&lt;FQL&gt;&lt;Q&gt;CAT-US^P_BETA_LOCIDX(45379,45204,,"SPX")&lt;/Q&gt;&lt;R&gt;1&lt;/R&gt;&lt;C&gt;1&lt;/C&gt;&lt;D xsi:type="xsd:double"&gt;1.3232687&lt;/D&gt;&lt;/FQL&gt;&lt;FQL&gt;&lt;Q&gt;CAT-US^P_BETA_LOCIDX(45378,45203,,"SPX")&lt;/Q&gt;&lt;R&gt;1&lt;/R&gt;&lt;C&gt;1&lt;/C&gt;&lt;D xsi:type="xsd:double"&gt;1.2974991&lt;/D&gt;&lt;/FQL&gt;&lt;FQL&gt;&lt;Q&gt;CAT-US^P_BETA_LOCIDX(45377,45202,,"SPX")&lt;/Q&gt;&lt;R&gt;1&lt;/R&gt;&lt;C&gt;1&lt;/C&gt;&lt;D xsi:type="xsd:double"&gt;1.2671022&lt;/D&gt;&lt;/FQL&gt;&lt;FQL&gt;&lt;Q&gt;CAT-US^P_BETA_LOCIDX(45376,45201,,"SPX")&lt;/Q&gt;&lt;R&gt;1&lt;/R&gt;&lt;C&gt;1&lt;/C&gt;&lt;D xsi:type="xsd:double"&gt;1.271448&lt;/D&gt;&lt;/FQL&gt;&lt;FQL&gt;&lt;Q&gt;CAT-US^P_BETA_LOCIDX(45373,45198,,"SPX")&lt;/Q&gt;&lt;R&gt;1&lt;/R&gt;&lt;C&gt;1&lt;/C&gt;&lt;D xsi:type="xsd:double"&gt;1.2754923&lt;/D&gt;&lt;/FQL&gt;&lt;FQL&gt;&lt;Q&gt;CAT-US^P_BETA_LOCIDX(45372,45197,,"SPX")&lt;/Q&gt;&lt;R&gt;1&lt;/R&gt;&lt;C&gt;1&lt;/C&gt;&lt;D xsi:type="xsd:double"&gt;1.2711134&lt;/D&gt;&lt;/FQL&gt;&lt;FQL&gt;&lt;Q&gt;CAT-US^P_BETA_LOCIDX(45371,45196,,"SPX")&lt;/Q&gt;&lt;R&gt;1&lt;/R&gt;&lt;C&gt;1&lt;/C&gt;&lt;D xsi:type="xsd:double"&gt;1.2641675&lt;/D&gt;&lt;/FQL&gt;&lt;FQL&gt;&lt;Q&gt;CAT-US^P_BETA_LOCIDX(45370,45195,,"SPX")&lt;/Q&gt;&lt;R&gt;1&lt;/R&gt;&lt;C&gt;1&lt;/C&gt;&lt;D xsi:type="xsd:double"&gt;1.2665977&lt;/D&gt;&lt;/FQL&gt;&lt;FQL&gt;&lt;Q&gt;CAT-US^P_BETA_LOCIDX(45369,45194,,"SPX")&lt;/Q&gt;&lt;R&gt;1&lt;/R&gt;&lt;C&gt;1&lt;/C&gt;&lt;D xsi:type="xsd:double"&gt;1.267355&lt;/D&gt;&lt;/FQL&gt;&lt;FQL&gt;&lt;Q&gt;CAT-US^P_BETA_LOCIDX(45366,45191,,"SPX")&lt;/Q&gt;&lt;R&gt;1&lt;/R&gt;&lt;C&gt;1&lt;/C&gt;&lt;D xsi:type="xsd:double"&gt;1.2594696&lt;/D&gt;&lt;/FQL&gt;&lt;FQL&gt;&lt;Q&gt;CAT-US^P_BETA_LOCIDX(45365,45190,,"SPX")&lt;/Q&gt;&lt;R&gt;1&lt;/R&gt;&lt;C&gt;1&lt;/C&gt;&lt;D xsi:type="xsd:double"&gt;1.293713&lt;/D&gt;&lt;/FQL&gt;&lt;FQL&gt;&lt;Q&gt;CAT-US^P_BETA_LOCIDX(45364,45189,,"SPX")&lt;/Q&gt;&lt;R&gt;1&lt;/R&gt;&lt;C&gt;1&lt;/C&gt;&lt;D xsi:type="xsd:double"&gt;1.2839191&lt;/D&gt;&lt;/FQL&gt;&lt;FQL&gt;&lt;Q&gt;CAT-US^P_BETA_LOCIDX(45363,45188,,"SPX")&lt;/Q&gt;&lt;R&gt;1&lt;/R&gt;&lt;C&gt;1&lt;/C&gt;&lt;D xsi:type="xsd:double"&gt;1.2917392&lt;/D&gt;&lt;/FQL&gt;&lt;FQL&gt;&lt;Q&gt;CAT-US^P_BETA_LOCIDX(45362,45187,,"SPX")&lt;/Q&gt;&lt;R&gt;1&lt;/R&gt;&lt;C&gt;1&lt;/C&gt;&lt;D xsi:type="xsd:double"&gt;1.3025932&lt;/D&gt;&lt;/FQL&gt;&lt;FQL&gt;&lt;Q&gt;CAT-US^P_BETA_LOCIDX(45359,45184,,"SPX")&lt;/Q&gt;&lt;R&gt;1&lt;/R&gt;&lt;C&gt;1&lt;/C&gt;&lt;D xsi:type="xsd:double"&gt;1.2921996&lt;/D&gt;&lt;/FQL&gt;&lt;FQL&gt;&lt;Q&gt;CAT-US^P_BETA_LOCIDX(45358,45183,,"SPX")&lt;/Q&gt;&lt;R&gt;1&lt;/R&gt;&lt;C&gt;1&lt;/C&gt;&lt;D xsi:type="xsd:double"&gt;1.311162&lt;/D&gt;&lt;/FQL&gt;&lt;FQL&gt;&lt;Q&gt;CAT-US^P_BETA_LOCIDX(45357,45182,,"SPX")&lt;/Q&gt;&lt;R&gt;1&lt;/R&gt;&lt;C&gt;1&lt;/C&gt;&lt;D xsi:type="xsd:double"&gt;1.3109777&lt;/D&gt;&lt;/FQL&gt;&lt;FQL&gt;&lt;Q&gt;CAT-US^P_BETA_LOCIDX(45356,45181,,"SPX")&lt;/Q&gt;&lt;R&gt;1&lt;/R&gt;&lt;C&gt;1&lt;/C&gt;&lt;D xsi:type="xsd:double"&gt;1.3049781&lt;/D&gt;&lt;/FQL&gt;&lt;FQL&gt;&lt;Q&gt;CAT-US^P_BETA_LOCIDX(45355,45180,,"SPX")&lt;/Q&gt;&lt;R&gt;1&lt;/R&gt;&lt;C&gt;1&lt;/C&gt;&lt;D xsi:type="xsd:double"&gt;1.2938981&lt;/D&gt;&lt;/FQL&gt;&lt;FQL&gt;&lt;Q&gt;CAT-US^P_BETA_LOCIDX(45352,45177,,"SPX")&lt;/Q&gt;&lt;R&gt;1&lt;/R&gt;&lt;C&gt;1&lt;/C&gt;&lt;D xsi:type="xsd:double"&gt;1.2964624&lt;/D&gt;&lt;/FQL&gt;&lt;FQL&gt;&lt;Q&gt;CAT-US^P_BETA_LOCIDX(45351,45176,,"SPX")&lt;/Q&gt;&lt;R&gt;1&lt;/R&gt;&lt;C&gt;1&lt;/C&gt;&lt;D xsi:type="xsd:double"&gt;1.2993797&lt;/D&gt;&lt;/FQL&gt;&lt;FQL&gt;&lt;Q&gt;CAT-US^P_BETA_LOCIDX(45350,45175,,"SPX")&lt;/Q&gt;&lt;R&gt;1&lt;/R&gt;&lt;C&gt;1&lt;/C&gt;&lt;D xsi:type="xsd:double"&gt;1.2797579&lt;/D&gt;&lt;/FQL&gt;&lt;FQL&gt;&lt;Q&gt;CAT-US^P_BETA_LOCIDX(45349,45174,,"SPX")&lt;/Q&gt;&lt;R&gt;1&lt;/R&gt;&lt;C&gt;1&lt;/C&gt;&lt;D xsi:type="xsd:double"&gt;1.2909672&lt;/D&gt;&lt;/FQL&gt;&lt;FQL&gt;&lt;Q&gt;CAT-US^P_BETA_LOCIDX(45348,45170,,"SPX")&lt;/Q&gt;&lt;R&gt;1&lt;/R&gt;&lt;C&gt;1&lt;/C&gt;&lt;D xsi:type="xsd:double"&gt;1.292322&lt;/D&gt;&lt;/FQL&gt;&lt;FQL&gt;&lt;Q&gt;CAT-US^P_BETA_LOCIDX(45345,45169,,"SPX")&lt;/Q&gt;&lt;R&gt;1&lt;/R&gt;&lt;C&gt;1&lt;/C&gt;&lt;D xsi:type="xsd:double"&gt;1.2997619&lt;/D&gt;&lt;/FQL&gt;&lt;FQL&gt;&lt;Q&gt;CAT-US^P_BETA_LOCIDX(45344,45168,,"SPX")&lt;/Q&gt;&lt;R&gt;1&lt;/R&gt;&lt;C&gt;1&lt;/C&gt;&lt;D xsi:type="xsd:double"&gt;1.3016057&lt;/D&gt;&lt;/FQL&gt;&lt;FQL&gt;&lt;Q&gt;CAT-US^P_BETA_LOCIDX(45343,45167,,"SPX")&lt;/Q&gt;&lt;R&gt;1&lt;/R&gt;&lt;C&gt;1&lt;/C&gt;&lt;D xsi:type="xsd:double"&gt;1.3376844&lt;/D&gt;&lt;/FQL&gt;&lt;FQL&gt;&lt;Q&gt;CAT-US^P_BETA_LOCIDX(45342,45166,,"SPX")&lt;/Q&gt;&lt;R&gt;1&lt;/R&gt;&lt;C&gt;1&lt;/C&gt;&lt;D xsi:type="xsd:double"&gt;1.3372176&lt;/D&gt;&lt;/FQL&gt;&lt;FQL&gt;&lt;Q&gt;CAT-US^P_BETA_LOCIDX(45338,45163,,"SPX")&lt;/Q&gt;&lt;R&gt;1&lt;/R&gt;&lt;C&gt;1&lt;/C&gt;&lt;D xsi:type="xsd:double"&gt;1.3214641&lt;/D&gt;&lt;/FQL&gt;&lt;FQL&gt;&lt;Q&gt;CAT-US^P_BETA_LOCIDX(45337,45162,,"SPX")&lt;/Q&gt;&lt;R&gt;1&lt;/R&gt;&lt;C&gt;1&lt;/C&gt;&lt;D xsi:type="xsd:double"&gt;1.3152435&lt;/D&gt;&lt;/FQL&gt;&lt;FQL&gt;&lt;Q&gt;CAT-US^P_BETA_LOCIDX(45336,45161,,"SPX")&lt;/Q&gt;&lt;R&gt;1&lt;/R&gt;&lt;C&gt;1&lt;/C&gt;&lt;D xsi:type="xsd:double"&gt;1.3009365&lt;/D&gt;&lt;/FQL&gt;&lt;FQL&gt;&lt;Q&gt;CAT-US^P_BETA_LOCIDX(45335,45160,,"SPX")&lt;/Q&gt;&lt;R&gt;1&lt;/R&gt;&lt;C&gt;1&lt;/C&gt;&lt;D xsi:type="xsd:double"&gt;1.3042104&lt;/D&gt;&lt;/FQL&gt;&lt;FQL&gt;&lt;Q&gt;CAT-US^P_BETA_LOCIDX(45334,45159,,"SPX")&lt;/Q&gt;&lt;R&gt;1&lt;/R&gt;&lt;C&gt;1&lt;/C&gt;&lt;D xsi:type="xsd:double"&gt;1.2724438&lt;/D&gt;&lt;/FQL&gt;&lt;FQL&gt;&lt;Q&gt;CAT-US^P_BETA_LOCIDX(45331,45156,,"SPX")&lt;/Q&gt;&lt;R&gt;1&lt;/R&gt;&lt;C&gt;1&lt;/C&gt;&lt;D xsi:type="xsd:double"&gt;1.278268&lt;/D&gt;&lt;/FQL&gt;&lt;FQL&gt;&lt;Q&gt;CAT-US^P_BETA_LOCIDX(45330,45155,,"SPX")&lt;/Q&gt;&lt;R&gt;1&lt;/R&gt;&lt;C&gt;1&lt;/C&gt;&lt;D xsi:type="xsd:double"&gt;1.2773678&lt;/D&gt;&lt;/FQL&gt;&lt;FQL&gt;&lt;Q&gt;CAT-US^P_BETA_LOCIDX(45329,45154,,"SPX")&lt;/Q&gt;&lt;R&gt;1&lt;/R&gt;&lt;C&gt;1&lt;/C&gt;&lt;D xsi:type="xsd:double"&gt;1.2779295&lt;/D&gt;&lt;/FQL&gt;&lt;FQL&gt;&lt;Q&gt;CAT-US^P_BETA_LOCIDX(45328,45153,,"SPX")&lt;/Q&gt;&lt;R&gt;1&lt;/R&gt;&lt;C&gt;1&lt;/C&gt;&lt;D xsi:type="xsd:double"&gt;1.3052703&lt;/D&gt;&lt;/FQL&gt;&lt;FQL&gt;&lt;Q&gt;CAT-US^P_BETA_LOCIDX(45327,45152,,"SPX")&lt;/Q&gt;&lt;R&gt;1&lt;/R&gt;&lt;C&gt;1&lt;/C&gt;&lt;D xsi:type="xsd:double"&gt;1.2980747&lt;/D&gt;&lt;/FQL&gt;&lt;FQL&gt;&lt;Q&gt;CAT-US^P_BETA_LOCIDX(45324,45149,,"SPX")&lt;/Q&gt;&lt;R&gt;1&lt;/R&gt;&lt;C&gt;1&lt;/C&gt;&lt;D xsi:type="xsd:double"&gt;1.3104665&lt;/D&gt;&lt;/FQL&gt;&lt;FQL&gt;&lt;Q&gt;CAT-US^P_BETA_LOCIDX(45323,45148,,"SPX")&lt;/Q&gt;&lt;R&gt;1&lt;/R&gt;&lt;C&gt;1&lt;/C&gt;&lt;D xsi:type="xsd:double"&gt;1.2959466&lt;/D&gt;&lt;/FQL&gt;&lt;FQL&gt;&lt;Q&gt;CAT-US^P_BETA_LOCIDX(45322,45147,,"SPX")&lt;/Q&gt;&lt;R&gt;1&lt;/R&gt;&lt;C&gt;1&lt;/C&gt;&lt;D xsi:type="xsd:double"&gt;1.2636056&lt;/D&gt;&lt;/FQL&gt;&lt;FQL&gt;&lt;Q&gt;CAT-US^P_BETA_LOCIDX(45321,45146,,"SPX")&lt;/Q&gt;&lt;R&gt;1&lt;/R&gt;&lt;C&gt;1&lt;/C&gt;&lt;D xsi:type="xsd:double"&gt;1.2714062&lt;/D&gt;&lt;/FQL&gt;&lt;FQL&gt;&lt;Q&gt;CAT-US^P_BETA_LOCIDX(45320,45145,,"SPX")&lt;/Q&gt;&lt;R&gt;1&lt;/R&gt;&lt;C&gt;1&lt;/C&gt;&lt;D xsi:type="xsd:double"&gt;1.2820716&lt;/D&gt;&lt;/FQL&gt;&lt;FQL&gt;&lt;Q&gt;CAT-US^P_BETA_LOCIDX(45317,45142,,"SPX")&lt;/Q&gt;&lt;R&gt;1&lt;/R&gt;&lt;C&gt;1&lt;/C&gt;&lt;D xsi:type="xsd:double"&gt;1.2886403&lt;/D&gt;&lt;/FQL&gt;&lt;FQL&gt;&lt;Q&gt;CAT-US^P_BETA_LOCIDX(45316,45141,,"SPX")&lt;/Q&gt;&lt;R&gt;1&lt;/R&gt;&lt;C&gt;1&lt;/C&gt;&lt;D xsi:type="xsd:double"&gt;1.2966942&lt;/D&gt;&lt;/FQL&gt;&lt;FQL&gt;&lt;Q&gt;CAT-US^P_BETA_LOCIDX(45315,45140,,"SPX")&lt;/Q&gt;&lt;R&gt;1&lt;/R&gt;&lt;C&gt;1&lt;/C&gt;&lt;D xsi:type="xsd:double"&gt;1.2459322&lt;/D&gt;&lt;/FQL&gt;&lt;FQL&gt;&lt;Q&gt;CAT-US^P_BETA_LOCIDX(45314,45139,,"SPX")&lt;/Q&gt;&lt;R&gt;1&lt;/R&gt;&lt;C&gt;1&lt;/C&gt;&lt;D xsi:type="xsd:double"&gt;1.2024076&lt;/D&gt;&lt;/FQL&gt;&lt;FQL&gt;&lt;Q&gt;CAT-US^P_BETA_LOCIDX(45313,45138,,"SPX")&lt;/Q&gt;&lt;R&gt;1&lt;/R&gt;&lt;C&gt;1&lt;/C&gt;&lt;D xsi:type="xsd:double"&gt;1.2058746&lt;/D&gt;&lt;/FQL&gt;&lt;FQL&gt;&lt;Q&gt;CAT-US^P_BETA_LOCIDX(45310,45135,,"SPX")&lt;/Q&gt;&lt;R&gt;1&lt;/R&gt;&lt;C&gt;1&lt;/C&gt;&lt;D xsi:type="xsd:double"&gt;1.1982385&lt;/D&gt;&lt;/FQL&gt;&lt;FQL&gt;&lt;Q&gt;CAT-US^P_BETA_LOCIDX(45309,45134,,"SPX")&lt;/Q&gt;&lt;R&gt;1&lt;/R&gt;&lt;C&gt;1&lt;/C&gt;&lt;D xsi:type="xsd:double"&gt;1.1962578&lt;/D&gt;&lt;/FQL&gt;&lt;FQL&gt;&lt;Q&gt;CAT-US^P_BETA_LOCIDX(45308,45133,,"SPX")&lt;/Q&gt;&lt;R&gt;1&lt;/R&gt;&lt;C&gt;1&lt;/C&gt;&lt;D xsi:type="xsd:double"&gt;1.1962895&lt;/D&gt;&lt;/FQL&gt;&lt;FQL&gt;&lt;Q&gt;CAT-US^P_BETA_LOCIDX(45307,45132,,"SPX")&lt;/Q&gt;&lt;R&gt;1&lt;/R&gt;&lt;C&gt;1&lt;/C&gt;&lt;D xsi:type="xsd:double"&gt;1.177515&lt;/D&gt;&lt;/FQL&gt;&lt;FQL&gt;&lt;Q&gt;CAT-US^P_BETA_LOCIDX(45303,45131,,"SPX")&lt;/Q&gt;&lt;R&gt;1&lt;/R&gt;&lt;C&gt;1&lt;/C&gt;&lt;D xsi:type="xsd:double"&gt;1.173803&lt;/D&gt;&lt;/FQL&gt;&lt;FQL&gt;&lt;Q&gt;CAT-US^P_BETA_LOCIDX(45302,45128,,"SPX")&lt;/Q&gt;&lt;R&gt;1&lt;/R&gt;&lt;C&gt;1&lt;/C&gt;&lt;D xsi:type="xsd:double"&gt;1.1744063&lt;/D&gt;&lt;/FQL&gt;&lt;FQL&gt;&lt;Q&gt;CAT-US^P_BETA_LOCIDX(45301,45127,,"SPX")&lt;/Q&gt;&lt;R&gt;1&lt;/R&gt;&lt;C&gt;1&lt;/C&gt;&lt;D xsi:type="xsd:double"&gt;1.172583&lt;/D&gt;&lt;/FQL&gt;&lt;FQL&gt;&lt;Q&gt;CAT-US^P_BETA_LOCIDX(45300,45126,,"SPX")&lt;/Q&gt;&lt;R&gt;1&lt;/R&gt;&lt;C&gt;1&lt;/C&gt;&lt;D xsi:type="xsd:double"&gt;1.1732527&lt;/D&gt;&lt;/FQL&gt;&lt;FQL&gt;&lt;Q&gt;CAT-US^P_BETA_LOCIDX(45299,45125,,"SPX")&lt;/Q&gt;&lt;R&gt;1&lt;/R&gt;&lt;C&gt;1&lt;/C&gt;&lt;D xsi:type="xsd:double"&gt;1.1892368&lt;/D&gt;&lt;/FQL&gt;&lt;FQL&gt;&lt;Q&gt;CAT-US^P_BETA_LOCIDX(45296,45124,,"SPX")&lt;/Q&gt;&lt;R&gt;1&lt;/R&gt;&lt;C&gt;1&lt;/C&gt;&lt;D xsi:type="xsd:double"&gt;1.2027684&lt;/D&gt;&lt;/FQL&gt;&lt;FQL&gt;&lt;Q&gt;CAT-US^P_BETA_LOCIDX(45295,45121,,"SPX")&lt;/Q&gt;&lt;R&gt;1&lt;/R&gt;&lt;C&gt;1&lt;/C&gt;&lt;D xsi:type="xsd:double"&gt;1.2012858&lt;/D&gt;&lt;/FQL&gt;&lt;FQL&gt;&lt;Q&gt;CAT-US^P_BETA_LOCIDX(45294,45120,,"SPX")&lt;/Q&gt;&lt;R&gt;1&lt;/R&gt;&lt;C&gt;1&lt;/C&gt;&lt;D xsi:type="xsd:double"&gt;1.2046899&lt;/D&gt;&lt;/FQL&gt;&lt;FQL&gt;&lt;Q&gt;CAT-US^P_BETA_LOCIDX(45293,45119,,"SPX")&lt;/Q&gt;&lt;R&gt;1&lt;/R&gt;&lt;C&gt;1&lt;/C&gt;&lt;D xsi:type="xsd:double"&gt;1.1722609&lt;/D&gt;&lt;/FQL&gt;&lt;FQL&gt;&lt;Q&gt;CAT-US^P_BETA_LOCIDX(45289,45118,,"SPX")&lt;/Q&gt;&lt;R&gt;1&lt;/R&gt;&lt;C&gt;1&lt;/C&gt;&lt;D xsi:type="xsd:double"&gt;1.1753923&lt;/D&gt;&lt;/FQL&gt;&lt;FQL&gt;&lt;Q&gt;CAT-US^P_BETA_LOCIDX(45288,45117,,"SPX")&lt;/Q&gt;&lt;R&gt;1&lt;/R&gt;&lt;C&gt;1&lt;/C&gt;&lt;D xsi:type="xsd:double"&gt;1.1774342&lt;/D&gt;&lt;/FQL&gt;&lt;FQL&gt;&lt;Q&gt;CAT-US^P_BETA_LOCIDX(45287,45114,,"SPX")&lt;/Q&gt;&lt;R&gt;1&lt;/R&gt;&lt;C&gt;1&lt;/C&gt;&lt;D xsi:type="xsd:double"&gt;1.1654803&lt;/D&gt;&lt;/FQL&gt;&lt;FQL&gt;&lt;Q&gt;CAT-US^P_BETA_LOCIDX(45286,45113,,"SPX")&lt;/Q&gt;&lt;R&gt;1&lt;/R&gt;&lt;C&gt;1&lt;/C&gt;&lt;D xsi:type="xsd:double"&gt;1.176659&lt;/D&gt;&lt;/FQL&gt;&lt;FQL&gt;&lt;Q&gt;CAT-US^P_BETA_LOCIDX(45282,45112,,"SPX")&lt;/Q&gt;&lt;R&gt;1&lt;/R&gt;&lt;C&gt;1&lt;/C&gt;&lt;D xsi:type="xsd:double"&gt;1.1732855&lt;/D&gt;&lt;/FQL&gt;&lt;FQL&gt;&lt;Q&gt;CAT-US^P_BETA_LOCIDX(45281,45110,,"SPX")&lt;/Q&gt;&lt;R&gt;1&lt;/R&gt;&lt;C&gt;1&lt;/C&gt;&lt;D xsi:type="xsd:double"&gt;1.1738545&lt;/D&gt;&lt;/FQL&gt;&lt;FQL&gt;&lt;Q&gt;CAT-US^P_BETA_LOCIDX(45280,45107,,"SPX")&lt;/Q&gt;&lt;R&gt;1&lt;/R&gt;&lt;C&gt;1&lt;/C&gt;&lt;D xsi:type="xsd:double"&gt;1.1771562&lt;/D&gt;&lt;/FQL&gt;&lt;FQL&gt;&lt;Q&gt;CAT-US^P_BETA_LOCIDX(45279,45106,,"SPX")&lt;/Q&gt;&lt;R&gt;1&lt;/R&gt;&lt;C&gt;1&lt;/C&gt;&lt;D xsi:type="xsd:double"&gt;1.1919085&lt;/D&gt;&lt;/FQL&gt;&lt;FQL&gt;&lt;Q&gt;CAT-US^P_BETA_LOCIDX(45278,45105,,"SPX")&lt;/Q&gt;&lt;R&gt;1&lt;/R&gt;&lt;C&gt;1&lt;/C&gt;&lt;D xsi:type="xsd:double"&gt;1.1770922&lt;/D&gt;&lt;/FQL&gt;&lt;FQL&gt;&lt;Q&gt;CAT-US^P_BETA_LOCIDX(45275,45104,,"SPX")&lt;/Q&gt;&lt;R&gt;1&lt;/R&gt;&lt;C&gt;1&lt;/C&gt;&lt;D xsi:type="xsd:double"&gt;1.1831937&lt;/D&gt;&lt;/FQL&gt;&lt;FQL&gt;&lt;Q&gt;CAT-US^P_BETA_LOCIDX(45274,45103,,"SPX")&lt;/Q&gt;&lt;R&gt;1&lt;/R&gt;&lt;C&gt;1&lt;/C&gt;&lt;D xsi:type="xsd:double"&gt;1.1713383&lt;/D&gt;&lt;/FQL&gt;&lt;FQL&gt;&lt;Q&gt;CAT-US^P_BETA_LOCIDX(45273,45100,,"SPX")&lt;/Q&gt;&lt;R&gt;1&lt;/R&gt;&lt;C&gt;1&lt;/C&gt;&lt;D xsi:type="xsd:double"&gt;1.1581919&lt;/D&gt;&lt;/FQL&gt;&lt;FQL&gt;&lt;Q&gt;CAT-US^P_BETA_LOCIDX(45272,45099,,"SPX")&lt;/Q&gt;&lt;R&gt;1&lt;/R&gt;&lt;C&gt;1&lt;/C&gt;&lt;D xsi:type="xsd:double"&gt;1.129678&lt;/D&gt;&lt;/FQL&gt;&lt;FQL&gt;&lt;Q&gt;CAT-US^P_BETA_LOCIDX(45271,45098,,"SPX")&lt;/Q&gt;&lt;R&gt;1&lt;/R&gt;&lt;C&gt;1&lt;/C&gt;&lt;D xsi:type="xsd:double"&gt;1.1256244&lt;/D&gt;&lt;/FQL&gt;&lt;FQL&gt;&lt;Q&gt;CAT-US^P_BETA_LOCIDX(45268,45097,,"SPX")&lt;/Q&gt;&lt;R&gt;1&lt;/R&gt;&lt;C&gt;1&lt;/C&gt;&lt;D xsi:type="xsd:double"&gt;1.134448&lt;/D&gt;&lt;/FQL&gt;&lt;FQL&gt;&lt;Q&gt;CAT-US^P_BETA_LOCIDX(45267,45093,,"SPX")&lt;/Q&gt;&lt;R&gt;1&lt;/R&gt;&lt;C&gt;1&lt;/C&gt;&lt;D xsi:type="xsd:double"&gt;1.1360258&lt;/D&gt;&lt;/FQL&gt;&lt;FQL&gt;&lt;Q&gt;CAT-US^P_BETA_LOCIDX(45266,45092,,"SPX")&lt;/Q&gt;&lt;R&gt;1&lt;/R&gt;&lt;C&gt;1&lt;/C&gt;&lt;D xsi:type="xsd:double"&gt;1.1471831&lt;/D&gt;&lt;/FQL&gt;&lt;FQL&gt;&lt;Q&gt;CAT-US^P_BETA_LOCIDX(45265,45091,,"SPX")&lt;/Q&gt;&lt;R&gt;1&lt;/R&gt;&lt;C&gt;1&lt;/C&gt;&lt;D xsi:type="xsd:double"&gt;1.1513867&lt;/D&gt;&lt;/FQL&gt;&lt;FQL&gt;&lt;Q&gt;CAT-US^P_BETA_LOCIDX(45264,45090,,"SPX")&lt;/Q&gt;&lt;R&gt;1&lt;/R&gt;&lt;C&gt;1&lt;/C&gt;&lt;D xsi:type="xsd:double"&gt;1.1749797&lt;/D&gt;&lt;/FQL&gt;&lt;FQL&gt;&lt;Q&gt;CAT-US^P_BETA_LOCIDX(45261,45089,,"SPX")&lt;/Q&gt;&lt;R&gt;1&lt;/R&gt;&lt;C&gt;1&lt;/C&gt;&lt;D xsi:type="xsd:double"&gt;1.17492&lt;/D&gt;&lt;/FQL&gt;&lt;FQL&gt;&lt;Q&gt;CAT-US^P_BETA_LOCIDX(45260,45086,,"SPX")&lt;/Q&gt;&lt;R&gt;1&lt;/R&gt;&lt;C&gt;1&lt;/C&gt;&lt;D xsi:type="xsd:double"&gt;1.1613202&lt;/D&gt;&lt;/FQL&gt;&lt;FQL&gt;&lt;Q&gt;CAT-US^P_BETA_LOCIDX(45259,45085,,"SPX")&lt;/Q&gt;&lt;R&gt;1&lt;/R&gt;&lt;C&gt;1&lt;/C&gt;&lt;D xsi:type="xsd:double"&gt;1.1509103999999999&lt;/D&gt;&lt;/FQL&gt;&lt;FQL&gt;&lt;Q&gt;CAT-US^P_BETA_LOCIDX(45258,45084,,"SPX")&lt;/Q&gt;&lt;R&gt;1&lt;/R&gt;&lt;C&gt;1&lt;/C&gt;&lt;D xsi:type="xsd:double"&gt;1.1245011&lt;/D&gt;&lt;/FQL&gt;&lt;FQL&gt;&lt;Q&gt;CAT-US^P_BETA_LOCIDX(45257,45083,,"SPX")&lt;/Q&gt;&lt;R&gt;1&lt;/R&gt;&lt;C&gt;1&lt;/C&gt;&lt;D xsi:type="xsd:double"&gt;1.1289022&lt;/D&gt;&lt;/FQL&gt;&lt;FQL&gt;&lt;Q&gt;CAT-US^P_BETA_LOCIDX(45254,45082,,"SPX")&lt;/Q&gt;&lt;R&gt;1&lt;/R&gt;&lt;C&gt;1&lt;/C&gt;&lt;D xsi:type="xsd:double"&gt;1.1359329&lt;/D&gt;&lt;/FQL&gt;&lt;FQL&gt;&lt;Q&gt;CAT-US^P_BETA_LOCIDX(45252,45079,,"SPX")&lt;/Q&gt;&lt;R&gt;1&lt;/R&gt;&lt;C&gt;1&lt;/C&gt;&lt;D xsi:type="xsd:double"&gt;1.2719356&lt;/D&gt;&lt;/FQL&gt;&lt;FQL&gt;&lt;Q&gt;CAT-US^P_BETA_LOCIDX(45251,45078,,"SPX")&lt;/Q&gt;&lt;R&gt;1&lt;/R&gt;&lt;C&gt;1&lt;/C&gt;&lt;D xsi:type="xsd:double"&gt;1.2852061&lt;/D&gt;&lt;/FQL&gt;&lt;FQL&gt;&lt;Q&gt;CAT-US^P_BETA_LOCIDX(45250,45077,,"SPX")&lt;/Q&gt;&lt;R&gt;1&lt;/R&gt;&lt;C&gt;1&lt;/C&gt;&lt;D xsi:type="xsd:double"&gt;1.2967081&lt;/D&gt;&lt;/FQL&gt;&lt;FQL&gt;&lt;Q&gt;CAT-US^P_BETA_LOCIDX(45247,45076,,"SPX")&lt;/Q&gt;&lt;R&gt;1&lt;/R&gt;&lt;C&gt;1&lt;/C&gt;&lt;D xsi:type="xsd:double"&gt;1.3178041&lt;/D&gt;&lt;/FQL&gt;&lt;FQL&gt;&lt;Q&gt;CAT-US^P_BETA_LOCIDX(45246,45072,,"SPX")&lt;/Q&gt;&lt;R&gt;1&lt;/R&gt;&lt;C&gt;1&lt;/C&gt;&lt;D xsi:type="xsd:double"&gt;1.3000952&lt;/D&gt;&lt;/FQL&gt;&lt;FQL&gt;&lt;Q&gt;CAT-US^P_BETA_LOCIDX(45245,45071,,"SPX")&lt;/Q&gt;&lt;R&gt;1&lt;/R&gt;&lt;C&gt;1&lt;/C&gt;&lt;D xsi:type="xsd:double"&gt;1.2889451&lt;/D&gt;&lt;/FQL&gt;&lt;FQL&gt;&lt;Q&gt;CAT-US^P_BETA_LOCIDX(45244,45070,,"SPX")&lt;/Q&gt;&lt;R&gt;1&lt;/R&gt;&lt;C&gt;1&lt;/C&gt;&lt;D xsi:type="xsd:double"&gt;1.2936581&lt;/D&gt;&lt;/FQL&gt;&lt;FQL&gt;&lt;Q&gt;CAT-US^P_BETA_LOCIDX(45243,45069,,"SPX")&lt;/Q&gt;&lt;R&gt;1&lt;/R&gt;&lt;C&gt;1&lt;/C&gt;&lt;D xsi:type="xsd:double"&gt;1.281358&lt;/D&gt;&lt;/FQL&gt;&lt;FQL&gt;&lt;Q&gt;CAT-US^P_BETA_LOCIDX(45240,45068,,"SPX")&lt;/Q&gt;&lt;R&gt;1&lt;/R&gt;&lt;C&gt;1&lt;/C&gt;&lt;D xsi:type="xsd:double"&gt;1.2831185&lt;/D&gt;&lt;/FQL&gt;&lt;FQL&gt;&lt;Q&gt;CAT-US^P_BETA_LOCIDX(45239,45065,,"SPX")&lt;/Q&gt;&lt;R&gt;1&lt;/R&gt;&lt;C&gt;1&lt;/C&gt;&lt;D xsi:type="xsd:double"&gt;1.2757283&lt;/D&gt;&lt;/FQL&gt;&lt;FQL&gt;&lt;Q&gt;CAT-US^P_BETA_LOCIDX(45238,45064,,"SPX")&lt;/Q&gt;&lt;R&gt;1&lt;/R&gt;&lt;C&gt;1&lt;/C&gt;&lt;D xsi:type="xsd:double"&gt;1.2842683&lt;/D&gt;&lt;/FQL&gt;&lt;FQL&gt;&lt;Q&gt;CAT-US^P_BETA_LOCIDX(45237,45063,,"SPX")&lt;/Q&gt;&lt;R&gt;1&lt;/R&gt;&lt;C&gt;1&lt;/C&gt;&lt;D xsi:type="xsd:double"&gt;1.297454&lt;/D&gt;&lt;/FQL&gt;&lt;FQL&gt;&lt;Q&gt;CAT-US^P_BETA_LOCIDX(45236,45062,,"SPX")&lt;/Q&gt;&lt;R&gt;1&lt;/R&gt;&lt;C&gt;1&lt;/C&gt;&lt;D xsi:type="xsd:double"&gt;1.3150816&lt;/D&gt;&lt;/FQL&gt;&lt;FQL&gt;&lt;Q&gt;CAT-US^P_BETA_LOCIDX(45233,45061,,"SPX")&lt;/Q&gt;&lt;R&gt;1&lt;/R&gt;&lt;C&gt;1&lt;/C&gt;&lt;D xsi:type="xsd:double"&gt;1.3188599&lt;/D&gt;&lt;/FQL&gt;&lt;FQL&gt;&lt;Q&gt;CAT-US^P_BETA_LOCIDX(45232,45058,,"SPX")&lt;/Q&gt;&lt;R&gt;1&lt;/R&gt;&lt;C&gt;1&lt;/C&gt;&lt;D xsi:type="xsd:double"&gt;1.3273076&lt;/D&gt;&lt;/FQL&gt;&lt;FQL&gt;&lt;Q&gt;CAT-US^P_BETA_LOCIDX(45231,45057,,"SPX")&lt;/Q&gt;&lt;R&gt;1&lt;/R&gt;&lt;C&gt;1&lt;/C&gt;&lt;D xsi:type="xsd:double"&gt;1.3149892&lt;/D&gt;&lt;/FQL&gt;&lt;FQL&gt;&lt;Q&gt;CAT-US^P_BETA_LOCIDX(45230,45056,,"SPX")&lt;/Q&gt;&lt;R&gt;1&lt;/R&gt;&lt;C&gt;1&lt;/C&gt;&lt;D xsi:type="xsd:double"&gt;1.2917804&lt;/D&gt;&lt;/FQL&gt;&lt;FQL&gt;&lt;Q&gt;CAT-US^P_BETA_LOCIDX(45229,45055,,"SPX")&lt;/Q&gt;&lt;R&gt;</t>
        </r>
      </text>
    </comment>
    <comment ref="A20" authorId="0" shapeId="0" xr:uid="{6AEC3116-BB99-4364-8FC8-5B2C6615ECE7}">
      <text>
        <r>
          <rPr>
            <b/>
            <sz val="9"/>
            <color indexed="81"/>
            <rFont val="Tahoma"/>
            <family val="2"/>
          </rPr>
          <t>1&lt;/R&gt;&lt;C&gt;1&lt;/C&gt;&lt;D xsi:type="xsd:double"&gt;1.3669411&lt;/D&gt;&lt;/FQL&gt;&lt;FQL&gt;&lt;Q&gt;CAT-US^P_BETA_LOCIDX(45226,45054,,"SPX")&lt;/Q&gt;&lt;R&gt;1&lt;/R&gt;&lt;C&gt;1&lt;/C&gt;&lt;D xsi:type="xsd:double"&gt;1.3712176&lt;/D&gt;&lt;/FQL&gt;&lt;FQL&gt;&lt;Q&gt;CAT-US^P_BETA_LOCIDX(45225,45051,,"SPX")&lt;/Q&gt;&lt;R&gt;1&lt;/R&gt;&lt;C&gt;1&lt;/C&gt;&lt;D xsi:type="xsd:double"&gt;1.3523885&lt;/D&gt;&lt;/FQL&gt;&lt;FQL&gt;&lt;Q&gt;CAT-US^P_BETA_LOCIDX(45224,45050,,"SPX")&lt;/Q&gt;&lt;R&gt;1&lt;/R&gt;&lt;C&gt;1&lt;/C&gt;&lt;D xsi:type="xsd:double"&gt;1.3789498&lt;/D&gt;&lt;/FQL&gt;&lt;FQL&gt;&lt;Q&gt;CAT-US^P_BETA_LOCIDX(45223,45049,,"SPX")&lt;/Q&gt;&lt;R&gt;1&lt;/R&gt;&lt;C&gt;1&lt;/C&gt;&lt;D xsi:type="xsd:double"&gt;1.3672419&lt;/D&gt;&lt;/FQL&gt;&lt;FQL&gt;&lt;Q&gt;CAT-US^P_BETA_LOCIDX(45222,45048,,"SPX")&lt;/Q&gt;&lt;R&gt;1&lt;/R&gt;&lt;C&gt;1&lt;/C&gt;&lt;D xsi:type="xsd:double"&gt;1.3601284&lt;/D&gt;&lt;/FQL&gt;&lt;FQL&gt;&lt;Q&gt;CAT-US^P_BETA_LOCIDX(45219,45047,,"SPX")&lt;/Q&gt;&lt;R&gt;1&lt;/R&gt;&lt;C&gt;1&lt;/C&gt;&lt;D xsi:type="xsd:double"&gt;1.3589548&lt;/D&gt;&lt;/FQL&gt;&lt;FQL&gt;&lt;Q&gt;CAT-US^P_BETA_LOCIDX(45218,45044,,"SPX")&lt;/Q&gt;&lt;R&gt;1&lt;/R&gt;&lt;C&gt;1&lt;/C&gt;&lt;D xsi:type="xsd:double"&gt;1.3726907&lt;/D&gt;&lt;/FQL&gt;&lt;FQL&gt;&lt;Q&gt;CAT-US^P_BETA_LOCIDX(45217,45043,,"SPX")&lt;/Q&gt;&lt;R&gt;1&lt;/R&gt;&lt;C&gt;1&lt;/C&gt;&lt;D xsi:type="xsd:double"&gt;1.2489326&lt;/D&gt;&lt;/FQL&gt;&lt;FQL&gt;&lt;Q&gt;CAT-US^P_BETA_LOCIDX(45216,45042,,"SPX")&lt;/Q&gt;&lt;R&gt;1&lt;/R&gt;&lt;C&gt;1&lt;/C&gt;&lt;D xsi:type="xsd:double"&gt;1.1812778&lt;/D&gt;&lt;/FQL&gt;&lt;FQL&gt;&lt;Q&gt;CAT-US^P_BETA_LOCIDX(45215,45041,,"SPX")&lt;/Q&gt;&lt;R&gt;1&lt;/R&gt;&lt;C&gt;1&lt;/C&gt;&lt;D xsi:type="xsd:double"&gt;1.1915818&lt;/D&gt;&lt;/FQL&gt;&lt;FQL&gt;&lt;Q&gt;CAT-US^P_BETA_LOCIDX(45212,45040,,"SPX")&lt;/Q&gt;&lt;R&gt;1&lt;/R&gt;&lt;C&gt;1&lt;/C&gt;&lt;D xsi:type="xsd:double"&gt;1.1972305&lt;/D&gt;&lt;/FQL&gt;&lt;FQL&gt;&lt;Q&gt;CAT-US^P_BETA_LOCIDX(45211,45037,,"SPX")&lt;/Q&gt;&lt;R&gt;1&lt;/R&gt;&lt;C&gt;1&lt;/C&gt;&lt;D xsi:type="xsd:double"&gt;1.1952455&lt;/D&gt;&lt;/FQL&gt;&lt;FQL&gt;&lt;Q&gt;CAT-US^P_BETA_LOCIDX(45210,45036,,"SPX")&lt;/Q&gt;&lt;R&gt;1&lt;/R&gt;&lt;C&gt;1&lt;/C&gt;&lt;D xsi:type="xsd:double"&gt;1.194165&lt;/D&gt;&lt;/FQL&gt;&lt;FQL&gt;&lt;Q&gt;CAT-US^P_BETA_LOCIDX(45209,45035,,"SPX")&lt;/Q&gt;&lt;R&gt;1&lt;/R&gt;&lt;C&gt;1&lt;/C&gt;&lt;D xsi:type="xsd:double"&gt;1.1989845&lt;/D&gt;&lt;/FQL&gt;&lt;FQL&gt;&lt;Q&gt;CAT-US^P_BETA_LOCIDX(45208,45034,,"SPX")&lt;/Q&gt;&lt;R&gt;1&lt;/R&gt;&lt;C&gt;1&lt;/C&gt;&lt;D xsi:type="xsd:double"&gt;1.1991341&lt;/D&gt;&lt;/FQL&gt;&lt;FQL&gt;&lt;Q&gt;CAT-US^P_BETA_LOCIDX(45205,45033,,"SPX")&lt;/Q&gt;&lt;R&gt;1&lt;/R&gt;&lt;C&gt;1&lt;/C&gt;&lt;D xsi:type="xsd:double"&gt;1.1899302&lt;/D&gt;&lt;/FQL&gt;&lt;FQL&gt;&lt;Q&gt;CAT-US^P_BETA_LOCIDX(45204,45030,,"SPX")&lt;/Q&gt;&lt;R&gt;1&lt;/R&gt;&lt;C&gt;1&lt;/C&gt;&lt;D xsi:type="xsd:double"&gt;1.177336&lt;/D&gt;&lt;/FQL&gt;&lt;FQL&gt;&lt;Q&gt;CAT-US^P_BETA_LOCIDX(45203,45029,,"SPX")&lt;/Q&gt;&lt;R&gt;1&lt;/R&gt;&lt;C&gt;1&lt;/C&gt;&lt;D xsi:type="xsd:double"&gt;1.1507542&lt;/D&gt;&lt;/FQL&gt;&lt;FQL&gt;&lt;Q&gt;CAT-US^P_BETA_LOCIDX(45202,45028,,"SPX")&lt;/Q&gt;&lt;R&gt;1&lt;/R&gt;&lt;C&gt;1&lt;/C&gt;&lt;D xsi:type="xsd:double"&gt;1.1790179&lt;/D&gt;&lt;/FQL&gt;&lt;FQL&gt;&lt;Q&gt;CAT-US^P_BETA_LOCIDX(45201,45027,,"SPX")&lt;/Q&gt;&lt;R&gt;1&lt;/R&gt;&lt;C&gt;1&lt;/C&gt;&lt;D xsi:type="xsd:double"&gt;1.1878617&lt;/D&gt;&lt;/FQL&gt;&lt;FQL&gt;&lt;Q&gt;CAT-US^P_BETA_LOCIDX(45198,45026,,"SPX")&lt;/Q&gt;&lt;R&gt;1&lt;/R&gt;&lt;C&gt;1&lt;/C&gt;&lt;D xsi:type="xsd:double"&gt;1.1902132&lt;/D&gt;&lt;/FQL&gt;&lt;FQL&gt;&lt;Q&gt;CAT-US^P_BETA_LOCIDX(45197,45022,,"SPX")&lt;/Q&gt;&lt;R&gt;1&lt;/R&gt;&lt;C&gt;1&lt;/C&gt;&lt;D xsi:type="xsd:double"&gt;1.1718504&lt;/D&gt;&lt;/FQL&gt;&lt;FQL&gt;&lt;Q&gt;CAT-US^P_BETA_LOCIDX(45196,45021,,"SPX")&lt;/Q&gt;&lt;R&gt;1&lt;/R&gt;&lt;C&gt;1&lt;/C&gt;&lt;D xsi:type="xsd:double"&gt;1.1757604&lt;/D&gt;&lt;/FQL&gt;&lt;FQL&gt;&lt;Q&gt;CAT-US^P_BETA_LOCIDX(45195,45020,,"SPX")&lt;/Q&gt;&lt;R&gt;1&lt;/R&gt;&lt;C&gt;1&lt;/C&gt;&lt;D xsi:type="xsd:double"&gt;1.2229769&lt;/D&gt;&lt;/FQL&gt;&lt;FQL&gt;&lt;Q&gt;CAT-US^P_BETA_LOCIDX(45194,45019,,"SPX")&lt;/Q&gt;&lt;R&gt;1&lt;/R&gt;&lt;C&gt;1&lt;/C&gt;&lt;D xsi:type="xsd:double"&gt;1.2214426&lt;/D&gt;&lt;/FQL&gt;&lt;FQL&gt;&lt;Q&gt;CAT-US^P_BETA_LOCIDX(45191,45016,,"SPX")&lt;/Q&gt;&lt;R&gt;1&lt;/R&gt;&lt;C&gt;1&lt;/C&gt;&lt;D xsi:type="xsd:double"&gt;1.223265&lt;/D&gt;&lt;/FQL&gt;&lt;FQL&gt;&lt;Q&gt;CAT-US^P_BETA_LOCIDX(45190,45015,,"SPX")&lt;/Q&gt;&lt;R&gt;1&lt;/R&gt;&lt;C&gt;1&lt;/C&gt;&lt;D xsi:type="xsd:double"&gt;1.2248551&lt;/D&gt;&lt;/FQL&gt;&lt;FQL&gt;&lt;Q&gt;CAT-US^P_BETA_LOCIDX(45189,45014,,"SPX")&lt;/Q&gt;&lt;R&gt;1&lt;/R&gt;&lt;C&gt;1&lt;/C&gt;&lt;D xsi:type="xsd:double"&gt;1.2001503&lt;/D&gt;&lt;/FQL&gt;&lt;FQL&gt;&lt;Q&gt;CAT-US^P_BETA_LOCIDX(45188,45013,,"SPX")&lt;/Q&gt;&lt;R&gt;1&lt;/R&gt;&lt;C&gt;1&lt;/C&gt;&lt;D xsi:type="xsd:double"&gt;1.2066096&lt;/D&gt;&lt;/FQL&gt;&lt;FQL&gt;&lt;Q&gt;CAT-US^P_BETA_LOCIDX(45187,45012,,"SPX")&lt;/Q&gt;&lt;R&gt;1&lt;/R&gt;&lt;C&gt;1&lt;/C&gt;&lt;D xsi:type="xsd:double"&gt;1.205235&lt;/D&gt;&lt;/FQL&gt;&lt;FQL&gt;&lt;Q&gt;CAT-US^P_BETA_LOCIDX(45184,45009,,"SPX")&lt;/Q&gt;&lt;R&gt;1&lt;/R&gt;&lt;C&gt;1&lt;/C&gt;&lt;D xsi:type="xsd:double"&gt;1.1910977&lt;/D&gt;&lt;/FQL&gt;&lt;FQL&gt;&lt;Q&gt;CAT-US^P_BETA_LOCIDX(45183,45008,,"SPX")&lt;/Q&gt;&lt;R&gt;1&lt;/R&gt;&lt;C&gt;1&lt;/C&gt;&lt;D xsi:type="xsd:double"&gt;1.19228&lt;/D&gt;&lt;/FQL&gt;&lt;FQL&gt;&lt;Q&gt;CAT-US^P_BETA_LOCIDX(45182,45007,,"SPX")&lt;/Q&gt;&lt;R&gt;1&lt;/R&gt;&lt;C&gt;1&lt;/C&gt;&lt;D xsi:type="xsd:double"&gt;1.1857584&lt;/D&gt;&lt;/FQL&gt;&lt;FQL&gt;&lt;Q&gt;CAT-US^P_BETA_LOCIDX(45181,45006,,"SPX")&lt;/Q&gt;&lt;R&gt;1&lt;/R&gt;&lt;C&gt;1&lt;/C&gt;&lt;D xsi:type="xsd:double"&gt;1.19555&lt;/D&gt;&lt;/FQL&gt;&lt;FQL&gt;&lt;Q&gt;CAT-US^P_BETA_LOCIDX(45180,45005,,"SPX")&lt;/Q&gt;&lt;R&gt;1&lt;/R&gt;&lt;C&gt;1&lt;/C&gt;&lt;D xsi:type="xsd:double"&gt;1.2168348&lt;/D&gt;&lt;/FQL&gt;&lt;FQL&gt;&lt;Q&gt;CAT-US^P_BETA_LOCIDX(45177,45002,,"SPX")&lt;/Q&gt;&lt;R&gt;1&lt;/R&gt;&lt;C&gt;1&lt;/C&gt;&lt;D xsi:type="xsd:double"&gt;1.2340417&lt;/D&gt;&lt;/FQL&gt;&lt;FQL&gt;&lt;Q&gt;CAT-US^P_BETA_LOCIDX(45176,45001,,"SPX")&lt;/Q&gt;&lt;R&gt;1&lt;/R&gt;&lt;C&gt;1&lt;/C&gt;&lt;D xsi:type="xsd:double"&gt;1.1950166&lt;/D&gt;&lt;/FQL&gt;&lt;FQL&gt;&lt;Q&gt;CAT-US^P_BETA_LOCIDX(45175,45000,,"SPX")&lt;/Q&gt;&lt;R&gt;1&lt;/R&gt;&lt;C&gt;1&lt;/C&gt;&lt;D xsi:type="xsd:double"&gt;1.229105&lt;/D&gt;&lt;/FQL&gt;&lt;FQL&gt;&lt;Q&gt;CAT-US^P_BETA_LOCIDX(45174,44999,,"SPX")&lt;/Q&gt;&lt;R&gt;1&lt;/R&gt;&lt;C&gt;1&lt;/C&gt;&lt;D xsi:type="xsd:double"&gt;1.2076316&lt;/D&gt;&lt;/FQL&gt;&lt;FQL&gt;&lt;Q&gt;CAT-US^P_BETA_LOCIDX(45170,44998,,"SPX")&lt;/Q&gt;&lt;R&gt;1&lt;/R&gt;&lt;C&gt;1&lt;/C&gt;&lt;D xsi:type="xsd:double"&gt;1.2020564&lt;/D&gt;&lt;/FQL&gt;&lt;FQL&gt;&lt;Q&gt;CAT-US^P_BETA_LOCIDX(45169,44995,,"SPX")&lt;/Q&gt;&lt;R&gt;1&lt;/R&gt;&lt;C&gt;1&lt;/C&gt;&lt;D xsi:type="xsd:double"&gt;1.2900851&lt;/D&gt;&lt;/FQL&gt;&lt;FQL&gt;&lt;Q&gt;CAT-US^P_BETA_LOCIDX(45168,44994,,"SPX")&lt;/Q&gt;&lt;R&gt;1&lt;/R&gt;&lt;C&gt;1&lt;/C&gt;&lt;D xsi:type="xsd:double"&gt;1.3081974&lt;/D&gt;&lt;/FQL&gt;&lt;FQL&gt;&lt;Q&gt;CAT-US^P_BETA_LOCIDX(45167,44993,,"SPX")&lt;/Q&gt;&lt;R&gt;1&lt;/R&gt;&lt;C&gt;1&lt;/C&gt;&lt;D xsi:type="xsd:double"&gt;1.3074058&lt;/D&gt;&lt;/FQL&gt;&lt;FQL&gt;&lt;Q&gt;CAT-US^P_BETA_LOCIDX(45166,44992,,"SPX")&lt;/Q&gt;&lt;R&gt;1&lt;/R&gt;&lt;C&gt;1&lt;/C&gt;&lt;D xsi:type="xsd:double"&gt;1.3297123&lt;/D&gt;&lt;/FQL&gt;&lt;FQL&gt;&lt;Q&gt;CAT-US^P_BETA_LOCIDX(45163,44991,,"SPX")&lt;/Q&gt;&lt;R&gt;1&lt;/R&gt;&lt;C&gt;1&lt;/C&gt;&lt;D xsi:type="xsd:double"&gt;1.3297112&lt;/D&gt;&lt;/FQL&gt;&lt;FQL&gt;&lt;Q&gt;CAT-US^P_BETA_LOCIDX(45162,44988,,"SPX")&lt;/Q&gt;&lt;R&gt;1&lt;/R&gt;&lt;C&gt;1&lt;/C&gt;&lt;D xsi:type="xsd:double"&gt;1.3098121&lt;/D&gt;&lt;/FQL&gt;&lt;FQL&gt;&lt;Q&gt;CAT-US^P_BETA_LOCIDX(45161,44987,,"SPX")&lt;/Q&gt;&lt;R&gt;1&lt;/R&gt;&lt;C&gt;1&lt;/C&gt;&lt;D xsi:type="xsd:double"&gt;1.321847&lt;/D&gt;&lt;/FQL&gt;&lt;FQL&gt;&lt;Q&gt;CAT-US^P_BETA_LOCIDX(45160,44986,,"SPX")&lt;/Q&gt;&lt;R&gt;1&lt;/R&gt;&lt;C&gt;1&lt;/C&gt;&lt;D xsi:type="xsd:double"&gt;1.293996&lt;/D&gt;&lt;/FQL&gt;&lt;FQL&gt;&lt;Q&gt;CAT-US^P_BETA_LOCIDX(45159,44985,,"SPX")&lt;/Q&gt;&lt;R&gt;1&lt;/R&gt;&lt;C&gt;1&lt;/C&gt;&lt;D xsi:type="xsd:double"&gt;1.2901397&lt;/D&gt;&lt;/FQL&gt;&lt;FQL&gt;&lt;Q&gt;CAT-US^P_BETA_LOCIDX(45156,44984,,"SPX")&lt;/Q&gt;&lt;R&gt;1&lt;/R&gt;&lt;C&gt;1&lt;/C&gt;&lt;D xsi:type="xsd:double"&gt;1.3040462&lt;/D&gt;&lt;/FQL&gt;&lt;FQL&gt;&lt;Q&gt;CAT-US^P_BETA_LOCIDX(45155,44981,,"SPX")&lt;/Q&gt;&lt;R&gt;1&lt;/R&gt;&lt;C&gt;1&lt;/C&gt;&lt;D xsi:type="xsd:double"&gt;1.2947478&lt;/D&gt;&lt;/FQL&gt;&lt;FQL&gt;&lt;Q&gt;CAT-US^P_BETA_LOCIDX(45154,44980,,"SPX")&lt;/Q&gt;&lt;R&gt;1&lt;/R&gt;&lt;C&gt;1&lt;/C&gt;&lt;D xsi:type="xsd:double"&gt;1.3040072&lt;/D&gt;&lt;/FQL&gt;&lt;FQL&gt;&lt;Q&gt;CAT-US^P_BETA_LOCIDX(45153,44979,,"SPX")&lt;/Q&gt;&lt;R&gt;1&lt;/R&gt;&lt;C&gt;1&lt;/C&gt;&lt;D xsi:type="xsd:double"&gt;1.3064369&lt;/D&gt;&lt;/FQL&gt;&lt;FQL&gt;&lt;Q&gt;CAT-US^P_BETA_LOCIDX(45152,44978,,"SPX")&lt;/Q&gt;&lt;R&gt;1&lt;/R&gt;&lt;C&gt;1&lt;/C&gt;&lt;D xsi:type="xsd:double"&gt;1.2970458&lt;/D&gt;&lt;/FQL&gt;&lt;FQL&gt;&lt;Q&gt;CAT-US^P_BETA_LOCIDX(45149,44974,,"SPX")&lt;/Q&gt;&lt;R&gt;1&lt;/R&gt;&lt;C&gt;1&lt;/C&gt;&lt;D xsi:type="xsd:double"&gt;1.2996851&lt;/D&gt;&lt;/FQL&gt;&lt;FQL&gt;&lt;Q&gt;CAT-US^P_BETA_LOCIDX(45148,44973,,"SPX")&lt;/Q&gt;&lt;R&gt;1&lt;/R&gt;&lt;C&gt;1&lt;/C&gt;&lt;D xsi:type="xsd:double"&gt;1.2852386&lt;/D&gt;&lt;/FQL&gt;&lt;FQL&gt;&lt;Q&gt;CAT-US^P_BETA_LOCIDX(45147,44972,,"SPX")&lt;/Q&gt;&lt;R&gt;1&lt;/R&gt;&lt;C&gt;1&lt;/C&gt;&lt;D xsi:type="xsd:double"&gt;1.2886648&lt;/D&gt;&lt;/FQL&gt;&lt;FQL&gt;&lt;Q&gt;CAT-US^P_BETA_LOCIDX(45146,44971,,"SPX")&lt;/Q&gt;&lt;R&gt;1&lt;/R&gt;&lt;C&gt;1&lt;/C&gt;&lt;D xsi:type="xsd:double"&gt;1.3045249&lt;/D&gt;&lt;/FQL&gt;&lt;FQL&gt;&lt;Q&gt;CAT-US^P_BETA_LOCIDX(45145,44970,,"SPX")&lt;/Q&gt;&lt;R&gt;1&lt;/R&gt;&lt;C&gt;1&lt;/C&gt;&lt;D xsi:type="xsd:double"&gt;1.2930416&lt;/D&gt;&lt;/FQL&gt;&lt;FQL&gt;&lt;Q&gt;CAT-US^P_BETA_LOCIDX(45142,44967,,"SPX")&lt;/Q&gt;&lt;R&gt;1&lt;/R&gt;&lt;C&gt;1&lt;/C&gt;&lt;D xsi:type="xsd:double"&gt;1.2862797&lt;/D&gt;&lt;/FQL&gt;&lt;FQL&gt;&lt;Q&gt;CAT-US^P_BETA_LOCIDX(45141,44966,,"SPX")&lt;/Q&gt;&lt;R&gt;1&lt;/R&gt;&lt;C&gt;1&lt;/C&gt;&lt;D xsi:type="xsd:double"&gt;1.2769212&lt;/D&gt;&lt;/FQL&gt;&lt;FQL&gt;&lt;Q&gt;CAT-US^P_BETA_LOCIDX(45140,44965,,"SPX")&lt;/Q&gt;&lt;R&gt;1&lt;/R&gt;&lt;C&gt;1&lt;/C&gt;&lt;D xsi:type="xsd:double"&gt;1.2541872&lt;/D&gt;&lt;/FQL&gt;&lt;FQL&gt;&lt;Q&gt;CAT-US^P_BETA_LOCIDX(45139,44964,,"SPX")&lt;/Q&gt;&lt;R&gt;1&lt;/R&gt;&lt;C&gt;1&lt;/C&gt;&lt;D xsi:type="xsd:double"&gt;1.2432741&lt;/D&gt;&lt;/FQL&gt;&lt;FQL&gt;&lt;Q&gt;CAT-US^P_BETA_LOCIDX(45138,44963,,"SPX")&lt;/Q&gt;&lt;R&gt;1&lt;/R&gt;&lt;C&gt;1&lt;/C&gt;&lt;D xsi:type="xsd:double"&gt;1.2641114&lt;/D&gt;&lt;/FQL&gt;&lt;FQL&gt;&lt;Q&gt;CAT-US^P_BETA_LOCIDX(45135,44960,,"SPX")&lt;/Q&gt;&lt;R&gt;1&lt;/R&gt;&lt;C&gt;1&lt;/C&gt;&lt;D xsi:type="xsd:double"&gt;1.228835&lt;/D&gt;&lt;/FQL&gt;&lt;FQL&gt;&lt;Q&gt;CAT-US^P_BETA_LOCIDX(45134,44959,,"SPX")&lt;/Q&gt;&lt;R&gt;1&lt;/R&gt;&lt;C&gt;1&lt;/C&gt;&lt;D xsi:type="xsd:double"&gt;1.1725997&lt;/D&gt;&lt;/FQL&gt;&lt;FQL&gt;&lt;Q&gt;CAT-US^P_BETA_LOCIDX(45133,44958,,"SPX")&lt;/Q&gt;&lt;R&gt;1&lt;/R&gt;&lt;C&gt;1&lt;/C&gt;&lt;D xsi:type="xsd:double"&gt;1.1541524&lt;/D&gt;&lt;/FQL&gt;&lt;FQL&gt;&lt;Q&gt;CAT-US^P_BETA_LOCIDX(45132,44957,,"SPX")&lt;/Q&gt;&lt;R&gt;1&lt;/R&gt;&lt;C&gt;1&lt;/C&gt;&lt;D xsi:type="xsd:double"&gt;1.0713904&lt;/D&gt;&lt;/FQL&gt;&lt;FQL&gt;&lt;Q&gt;CAT-US^P_BETA_LOCIDX(45131,44956,,"SPX")&lt;/Q&gt;&lt;R&gt;1&lt;/R&gt;&lt;C&gt;1&lt;/C&gt;&lt;D xsi:type="xsd:double"&gt;1.064267&lt;/D&gt;&lt;/FQL&gt;&lt;FQL&gt;&lt;Q&gt;CAT-US^P_BETA_LOCIDX(45128,44953,,"SPX")&lt;/Q&gt;&lt;R&gt;1&lt;/R&gt;&lt;C&gt;1&lt;/C&gt;&lt;D xsi:type="xsd:double"&gt;1.0644068&lt;/D&gt;&lt;/FQL&gt;&lt;FQL&gt;&lt;Q&gt;CAT-US^P_BETA_LOCIDX(45127,44952,,"SPX")&lt;/Q&gt;&lt;R&gt;1&lt;/R&gt;&lt;C&gt;1&lt;/C&gt;&lt;D xsi:type="xsd:double"&gt;1.067331&lt;/D&gt;&lt;/FQL&gt;&lt;FQL&gt;&lt;Q&gt;CAT-US^P_BETA_LOCIDX(45126,44951,,"SPX")&lt;/Q&gt;&lt;R&gt;1&lt;/R&gt;&lt;C&gt;1&lt;/C&gt;&lt;D xsi:type="xsd:double"&gt;1.0682708&lt;/D&gt;&lt;/FQL&gt;&lt;FQL&gt;&lt;Q&gt;CAT-US^P_BETA_LOCIDX(45125,44950,,"SPX")&lt;/Q&gt;&lt;R&gt;1&lt;/R&gt;&lt;C&gt;1&lt;/C&gt;&lt;D xsi:type="xsd:double"&gt;1.0648612&lt;/D&gt;&lt;/FQL&gt;&lt;FQL&gt;&lt;Q&gt;CAT-US^P_BETA_LOCIDX(45124,44949,,"SPX")&lt;/Q&gt;&lt;R&gt;1&lt;/R&gt;&lt;C&gt;1&lt;/C&gt;&lt;D xsi:type="xsd:double"&gt;1.0528557&lt;/D&gt;&lt;/FQL&gt;&lt;FQL&gt;&lt;Q&gt;CAT-US^P_BETA_LOCIDX(45121,44946,,"SPX")&lt;/Q&gt;&lt;R&gt;1&lt;/R&gt;&lt;C&gt;1&lt;/C&gt;&lt;D xsi:type="xsd:double"&gt;1.0458895&lt;/D&gt;&lt;/FQL&gt;&lt;FQL&gt;&lt;Q&gt;CAT-US^P_BETA_LOCIDX(45120,44945,,"SPX")&lt;/Q&gt;&lt;R&gt;1&lt;/R&gt;&lt;C&gt;1&lt;/C&gt;&lt;D xsi:type="xsd:double"&gt;1.0643024&lt;/D&gt;&lt;/FQL&gt;&lt;FQL&gt;&lt;Q&gt;CAT-US^P_BETA_LOCIDX(45119,44944,,"SPX")&lt;/Q&gt;&lt;R&gt;1&lt;/R&gt;&lt;C&gt;1&lt;/C&gt;&lt;D xsi:type="xsd:double"&gt;1.0564418&lt;/D&gt;&lt;/FQL&gt;&lt;FQL&gt;&lt;Q&gt;CAT-US^P_BETA_LOCIDX(45118,44943,,"SPX")&lt;/Q&gt;&lt;R&gt;1&lt;/R&gt;&lt;C&gt;1&lt;/C&gt;&lt;D xsi:type="xsd:double"&gt;1.0608022&lt;/D&gt;&lt;/FQL&gt;&lt;FQL&gt;&lt;Q&gt;CAT-US^P_BETA_LOCIDX(45117,44939,,"SPX")&lt;/Q&gt;&lt;R&gt;1&lt;/R&gt;&lt;C&gt;1&lt;/C&gt;&lt;D xsi:type="xsd:double"&gt;1.0578741&lt;/D&gt;&lt;/FQL&gt;&lt;FQL&gt;&lt;Q&gt;CAT-US^P_BETA_LOCIDX(45114,44938,,"SPX")&lt;/Q&gt;&lt;R&gt;1&lt;/R&gt;&lt;C&gt;1&lt;/C&gt;&lt;D xsi:type="xsd:double"&gt;1.0596696&lt;/D&gt;&lt;/FQL&gt;&lt;FQL&gt;&lt;Q&gt;CAT-US^P_BETA_LOCIDX(45113,44937,,"SPX")&lt;/Q&gt;&lt;R&gt;1&lt;/R&gt;&lt;C&gt;1&lt;/C&gt;&lt;D xsi:type="xsd:double"&gt;1.0544899&lt;/D&gt;&lt;/FQL&gt;&lt;FQL&gt;&lt;Q&gt;CAT-US^P_BETA_LOCIDX(45112,44936,,"SPX")&lt;/Q&gt;&lt;R&gt;1&lt;/R&gt;&lt;C&gt;1&lt;/C&gt;&lt;D xsi:type="xsd:double"&gt;1.0530157&lt;/D&gt;&lt;/FQL&gt;&lt;FQL&gt;&lt;Q&gt;CAT-US^P_BETA_LOCIDX(45110,44935,,"SPX")&lt;/Q&gt;&lt;R&gt;1&lt;/R&gt;&lt;C&gt;1&lt;/C&gt;&lt;D xsi:type="xsd:double"&gt;1.0521734&lt;/D&gt;&lt;/FQL&gt;&lt;FQL&gt;&lt;Q&gt;CAT-US^P_BETA_LOCIDX(45107,44932,,"SPX")&lt;/Q&gt;&lt;R&gt;1&lt;/R&gt;&lt;C&gt;1&lt;/C&gt;&lt;D xsi:type="xsd:double"&gt;1.079701&lt;/D&gt;&lt;/FQL&gt;&lt;FQL&gt;&lt;Q&gt;CAT-US^P_BETA_LOCIDX(45106,44931,,"SPX")&lt;/Q&gt;&lt;R&gt;1&lt;/R&gt;&lt;C&gt;1&lt;/C&gt;&lt;D xsi:type="xsd:double"&gt;1.0733377&lt;/D&gt;&lt;/FQL&gt;&lt;FQL&gt;&lt;Q&gt;CAT-US^P_BETA_LOCIDX(45105,44930,,"SPX")&lt;/Q&gt;&lt;R&gt;1&lt;/R&gt;&lt;C&gt;1&lt;/C&gt;&lt;D xsi:type="xsd:double"&gt;1.0734301&lt;/D&gt;&lt;/FQL&gt;&lt;FQL&gt;&lt;Q&gt;CAT-US^P_BETA_LOCIDX(45104,44929,,"SPX")&lt;/Q&gt;&lt;R&gt;1&lt;/R&gt;&lt;C&gt;1&lt;/C&gt;&lt;D xsi:type="xsd:double"&gt;1.0731179&lt;/D&gt;&lt;/FQL&gt;&lt;FQL&gt;&lt;Q&gt;CAT-US^P_BETA_LOCIDX(45103,44925,,"SPX")&lt;/Q&gt;&lt;R&gt;1&lt;/R&gt;&lt;C&gt;1&lt;/C&gt;&lt;D xsi:type="xsd:double"&gt;1.0680614&lt;/D&gt;&lt;/FQL&gt;&lt;FQL&gt;&lt;Q&gt;CAT-US^P_BETA_LOCIDX(45100,44924,,"SPX")&lt;/Q&gt;&lt;R&gt;1&lt;/R&gt;&lt;C&gt;1&lt;/C&gt;&lt;D xsi:type="xsd:double"&gt;1.0546634&lt;/D&gt;&lt;/FQL&gt;&lt;FQL&gt;&lt;Q&gt;CAT-US^P_BETA_LOCIDX(45099,44923,,"SPX")&lt;/Q&gt;&lt;R&gt;1&lt;/R&gt;&lt;C&gt;1&lt;/C&gt;&lt;D xsi:type="xsd:double"&gt;1.0541537&lt;/D&gt;&lt;/FQL&gt;&lt;FQL&gt;&lt;Q&gt;CAT-US^P_BETA_LOCIDX(45098,44922,,"SPX")&lt;/Q&gt;&lt;R&gt;1&lt;/R&gt;&lt;C&gt;1&lt;/C&gt;&lt;D xsi:type="xsd:double"&gt;1.0496551&lt;/D&gt;&lt;/FQL&gt;&lt;FQL&gt;&lt;Q&gt;CAT-US^P_BETA_LOCIDX(45097,44918,,"SPX")&lt;/Q&gt;&lt;R&gt;1&lt;/R&gt;&lt;C&gt;1&lt;/C&gt;&lt;D xsi:type="xsd:double"&gt;1.0565675&lt;/D&gt;&lt;/FQL&gt;&lt;FQL&gt;&lt;Q&gt;CAT-US^P_BETA_LOCIDX(45093,44917,,"SPX")&lt;/Q&gt;&lt;R&gt;1&lt;/R&gt;&lt;C&gt;1&lt;/C&gt;&lt;D xsi:type="xsd:double"&gt;1.0522053&lt;/D&gt;&lt;/FQL&gt;&lt;FQL&gt;&lt;Q&gt;CAT-US^P_BETA_LOCIDX(45092,44916,,"SPX")&lt;/Q&gt;&lt;R&gt;1&lt;/R&gt;&lt;C&gt;1&lt;/C&gt;&lt;D xsi:type="xsd:double"&gt;1.066752&lt;/D&gt;&lt;/FQL&gt;&lt;FQL&gt;&lt;Q&gt;CAT-US^P_BETA_LOCIDX(45091,44915,,"SPX")&lt;/Q&gt;&lt;R&gt;1&lt;/R&gt;&lt;C&gt;1&lt;/C&gt;&lt;D xsi:type="xsd:double"&gt;1.0607641&lt;/D&gt;&lt;/FQL&gt;&lt;FQL&gt;&lt;Q&gt;CAT-US^P_BETA_LOCIDX(45090,44914,,"SPX")&lt;/Q&gt;&lt;R&gt;1&lt;/R&gt;&lt;C&gt;1&lt;/C&gt;&lt;D xsi:type="xsd:double"&gt;1.0526359&lt;/D&gt;&lt;/FQL&gt;&lt;FQL&gt;&lt;Q&gt;CAT-US^P_BETA_LOCIDX(45089,44911,,"SPX")&lt;/Q&gt;&lt;R&gt;1&lt;/R&gt;&lt;C&gt;1&lt;/C&gt;&lt;D xsi:type="xsd:double"&gt;1.0151558&lt;/D&gt;&lt;/FQL&gt;&lt;FQL&gt;&lt;Q&gt;CAT-US^P_BETA_LOCIDX(45086,44910,,"SPX")&lt;/Q&gt;&lt;R&gt;1&lt;/R&gt;&lt;C&gt;1&lt;/C&gt;&lt;D xsi:type="xsd:double"&gt;0.991289&lt;/D&gt;&lt;/FQL&gt;&lt;FQL&gt;&lt;Q&gt;CAT-US^P_BETA_LOCIDX(45085,44909,,"SPX")&lt;/Q&gt;&lt;R&gt;1&lt;/R&gt;&lt;C&gt;1&lt;/C&gt;&lt;D xsi:type="xsd:double"&gt;0.9899447&lt;/D&gt;&lt;/FQL&gt;&lt;FQL&gt;&lt;Q&gt;CAT-US^P_BETA_LOCIDX(45084,44908,,"SPX")&lt;/Q&gt;&lt;R&gt;1&lt;/R&gt;&lt;C&gt;1&lt;/C&gt;&lt;D xsi:type="xsd:double"&gt;0.9971263&lt;/D&gt;&lt;/FQL&gt;&lt;FQL&gt;&lt;Q&gt;CAT-US^P_BETA_LOCIDX(45083,44907,,"SPX")&lt;/Q&gt;&lt;R&gt;1&lt;/R&gt;&lt;C&gt;1&lt;/C&gt;&lt;D xsi:type="xsd:double"&gt;1.0274876&lt;/D&gt;&lt;/FQL&gt;&lt;FQL&gt;&lt;Q&gt;CAT-US^P_BETA_LOCIDX(45082,44904,,"SPX")&lt;/Q&gt;&lt;R&gt;1&lt;/R&gt;&lt;C&gt;1&lt;/C&gt;&lt;D xsi:type="xsd:double"&gt;1.0301996&lt;/D&gt;&lt;/FQL&gt;&lt;FQL&gt;&lt;Q&gt;CAT-US^P_BETA_LOCIDX(45079,44903,,"SPX")&lt;/Q&gt;&lt;R&gt;1&lt;/R&gt;&lt;C&gt;1&lt;/C&gt;&lt;D xsi:type="xsd:double"&gt;1.0274652&lt;/D&gt;&lt;/FQL&gt;&lt;FQL&gt;&lt;Q&gt;CAT-US^P_BETA_LOCIDX(45078,44902,,"SPX")&lt;/Q&gt;&lt;R&gt;1&lt;/R&gt;&lt;C&gt;1&lt;/C&gt;&lt;D xsi:type="xsd:double"&gt;0.942113&lt;/D&gt;&lt;/FQL&gt;&lt;FQL&gt;&lt;Q&gt;CAT-US^P_BETA_LOCIDX(45077,44901,,"SPX")&lt;/Q&gt;&lt;R&gt;1&lt;/R&gt;&lt;C&gt;1&lt;/C&gt;&lt;D xsi:type="xsd:double"&gt;0.9402899&lt;/D&gt;&lt;/FQL&gt;&lt;FQL&gt;&lt;Q&gt;CAT-US^P_BETA_LOCIDX(45076,44900,,"SPX")&lt;/Q&gt;&lt;R&gt;1&lt;/R&gt;&lt;C&gt;1&lt;/C&gt;&lt;D xsi:type="xsd:double"&gt;0.928852&lt;/D&gt;&lt;/FQL&gt;&lt;FQL&gt;&lt;Q&gt;CAT-US^P_BETA_LOCIDX(45072,44897,,"SPX")&lt;/Q&gt;&lt;R&gt;1&lt;/R&gt;&lt;C&gt;1&lt;/C&gt;&lt;D xsi:type="xsd:double"&gt;0.9281467&lt;/D&gt;&lt;/FQL&gt;&lt;FQL&gt;&lt;Q&gt;CAT-US^P_BETA_LOCIDX(45071,44896,,"SPX")&lt;/Q&gt;&lt;R&gt;1&lt;/R&gt;&lt;C&gt;1&lt;/C&gt;&lt;D xsi:type="xsd:double"&gt;0.93088746&lt;/D&gt;&lt;/FQL&gt;&lt;FQL&gt;&lt;Q&gt;CAT-US^P_BETA_LOCIDX(45070,44895,,"SPX")&lt;/Q&gt;&lt;R&gt;1&lt;/R&gt;&lt;C&gt;1&lt;/C&gt;&lt;D xsi:type="xsd:double"&gt;0.88091385&lt;/D&gt;&lt;/FQL&gt;&lt;FQL&gt;&lt;Q&gt;CAT-US^P_BETA_LOCIDX(45069,44894,,"SPX")&lt;/Q&gt;&lt;R&gt;1&lt;/R&gt;&lt;C&gt;1&lt;/C&gt;&lt;D xsi:type="xsd:double"&gt;0.874541&lt;/D&gt;&lt;/FQL&gt;&lt;FQL&gt;&lt;Q&gt;CAT-US^P_BETA_LOCIDX(45068,44893,,"SPX")&lt;/Q&gt;&lt;R&gt;1&lt;/R&gt;&lt;C&gt;1&lt;/C&gt;&lt;D xsi:type="xsd:double"&gt;0.877718&lt;/D&gt;&lt;/FQL&gt;&lt;FQL&gt;&lt;Q&gt;CAT-US^P_BETA_LOCIDX(45065,44890,,"SPX")&lt;/Q&gt;&lt;R&gt;1&lt;/R&gt;&lt;C&gt;1&lt;/C&gt;&lt;D xsi:type="xsd:double"&gt;0.8778947&lt;/D&gt;&lt;/FQL&gt;&lt;FQL&gt;&lt;Q&gt;CAT-US^P_BETA_LOCIDX(45064,44888,,"SPX")&lt;/Q&gt;&lt;R&gt;1&lt;/R&gt;&lt;C&gt;1&lt;/C&gt;&lt;D xsi:type="xsd:double"&gt;0.875865&lt;/D&gt;&lt;/FQL&gt;&lt;FQL&gt;&lt;Q&gt;CAT-US^P_BETA_LOCIDX(45063,44887,,"SPX")&lt;/Q&gt;&lt;R&gt;1&lt;/R&gt;&lt;C&gt;1&lt;/C&gt;&lt;D xsi:type="xsd:double"&gt;0.88358814&lt;/D&gt;&lt;/FQL&gt;&lt;FQL&gt;&lt;Q&gt;CAT-US^P_BETA_LOCIDX(45062,44886,,"SPX")&lt;/Q&gt;&lt;R&gt;1&lt;/R&gt;&lt;C&gt;1&lt;/C&gt;&lt;D xsi:type="xsd:double"&gt;0.8682038&lt;/D&gt;&lt;/FQL&gt;&lt;FQL&gt;&lt;Q&gt;CAT-US^P_BETA_LOCIDX(45061,44883,,"SPX")&lt;/Q&gt;&lt;R&gt;1&lt;/R&gt;&lt;C&gt;1&lt;/C&gt;&lt;D xsi:type="xsd:double"&gt;0.8617901&lt;/D&gt;&lt;/FQL&gt;&lt;FQL&gt;&lt;Q&gt;CAT-US^P_BETA_LOCIDX(45058,44882,,"SPX")&lt;/Q&gt;&lt;R&gt;1&lt;/R&gt;&lt;C&gt;1&lt;/C&gt;&lt;D xsi:type="xsd:double"&gt;0.86176544&lt;/D&gt;&lt;/FQL&gt;&lt;FQL&gt;&lt;Q&gt;CAT-US^P_BETA_LOCIDX(45057,44881,,"SPX")&lt;/Q&gt;&lt;R&gt;1&lt;/R&gt;&lt;C&gt;1&lt;/C&gt;&lt;D xsi:type="xsd:double"&gt;0.8625064&lt;/D&gt;&lt;/FQL&gt;&lt;FQL&gt;&lt;Q&gt;CAT-US^P_BETA_LOCIDX(45056,44880,,"SPX")&lt;/Q&gt;&lt;R&gt;1&lt;/R&gt;&lt;C&gt;1&lt;/C&gt;&lt;D xsi:type="xsd:double"&gt;0.8511241&lt;/D&gt;&lt;/FQL&gt;&lt;FQL&gt;&lt;Q&gt;CAT-US^P_BETA_LOCIDX(45055,44879,,"SPX")&lt;/Q&gt;&lt;R&gt;1&lt;/R&gt;&lt;C&gt;1&lt;/C&gt;&lt;D xsi:type="xsd:double"&gt;0.84624773&lt;/D&gt;&lt;/FQL&gt;&lt;FQL&gt;&lt;Q&gt;CAT-US^P_BETA_LOCIDX(45054,44876,,"SPX")&lt;/Q&gt;&lt;R&gt;1&lt;/R&gt;&lt;C&gt;1&lt;/C&gt;&lt;D xsi:type="xsd:double"&gt;0.8529367&lt;/D&gt;&lt;/FQL&gt;&lt;FQL&gt;&lt;Q&gt;CAT-US^P_BETA_LOCIDX(45051,44875,,"SPX")&lt;/Q&gt;&lt;R&gt;1&lt;/R&gt;&lt;C&gt;1&lt;/C&gt;&lt;D xsi:type="xsd:double"&gt;0.7990726&lt;/D&gt;&lt;/FQL&gt;&lt;FQL&gt;&lt;Q&gt;CAT-US^P_BETA_LOCIDX(45050,44874,,"SPX")&lt;/Q&gt;&lt;R&gt;1&lt;/R&gt;&lt;C&gt;1&lt;/C&gt;&lt;D xsi:type="xsd:double"&gt;0.7908974&lt;/D&gt;&lt;/FQL&gt;&lt;FQL&gt;&lt;Q&gt;CAT-US^P_BETA_LOCIDX(45049,44873,,"SPX")&lt;/Q&gt;&lt;R&gt;1&lt;/R&gt;&lt;C&gt;1&lt;/C&gt;&lt;D xsi:type="xsd:double"&gt;0.78281695&lt;/D&gt;&lt;/FQL&gt;&lt;FQL&gt;&lt;Q&gt;CAT-US^P_BETA_LOCIDX(45048,44872,,"SPX")&lt;/Q&gt;&lt;R&gt;1&lt;/R&gt;&lt;C&gt;1&lt;/C&gt;&lt;D xsi:type="xsd:double"&gt;0.7851645&lt;/D&gt;&lt;/FQL&gt;&lt;FQL&gt;&lt;Q&gt;CAT-US^P_BETA_LOCIDX(45047,44869,,"SPX")&lt;/Q&gt;&lt;R&gt;1&lt;/R&gt;&lt;C&gt;1&lt;/C&gt;&lt;D xsi:type="xsd:double"&gt;0.8084472&lt;/D&gt;&lt;/FQL&gt;&lt;FQL&gt;&lt;Q&gt;CAT-US^P_BETA_LOCIDX(45044,44868,,"SPX")&lt;/Q&gt;&lt;R&gt;1&lt;/R&gt;&lt;C&gt;1&lt;/C&gt;&lt;D xsi:type="xsd:double"&gt;0.78579396&lt;/D&gt;&lt;/FQL&gt;&lt;FQL&gt;&lt;Q&gt;CAT-US^P_BETA_LOCIDX(45043,44867,,"SPX")&lt;/Q&gt;&lt;R&gt;1&lt;/R&gt;&lt;C&gt;1&lt;/C&gt;&lt;D xsi:type="xsd:double"&gt;0.7761732&lt;/D&gt;&lt;/FQL&gt;&lt;FQL&gt;&lt;Q&gt;CAT-US^P_BETA_LOCIDX(45042,44866,,"SPX")&lt;/Q&gt;&lt;R&gt;1&lt;/R&gt;&lt;C&gt;1&lt;/C&gt;&lt;D xsi:type="xsd:double"&gt;0.7994968&lt;/D&gt;&lt;/FQL&gt;&lt;FQL&gt;&lt;Q&gt;CAT-US^P_BETA_LOCIDX(45041,44865,,"SPX")&lt;/Q&gt;&lt;R&gt;1&lt;/R&gt;&lt;C&gt;1&lt;/C&gt;&lt;D xsi:type="xsd:double"&gt;0.800776&lt;/D&gt;&lt;/FQL&gt;&lt;FQL&gt;&lt;Q&gt;CAT-US^P_BETA_LOCIDX(45040,44862,,"SPX")&lt;/Q&gt;&lt;R&gt;1&lt;/R&gt;&lt;C&gt;1&lt;/C&gt;&lt;D xsi:type="xsd:double"&gt;0.8127558&lt;/D&gt;&lt;/FQL&gt;&lt;FQL&gt;&lt;Q&gt;CAT-US^P_BETA_LOCIDX(45037,44861,,"SPX")&lt;/Q&gt;&lt;R&gt;1&lt;/R&gt;&lt;C&gt;1&lt;/C&gt;&lt;D xsi:type="xsd:double"&gt;0.77973366&lt;/D&gt;&lt;/FQL&gt;&lt;FQL&gt;&lt;Q&gt;CAT-US^P_BETA_LOCIDX(45036,44860,,"SPX")&lt;/Q&gt;&lt;R&gt;1&lt;/R&gt;&lt;C&gt;1&lt;/C&gt;&lt;D xsi:type="xsd:double"&gt;0.7723004&lt;/D&gt;&lt;/FQL&gt;&lt;FQL&gt;&lt;Q&gt;CAT-US^P_BETA_LOCIDX(45035,44859,,"SPX")&lt;/Q&gt;&lt;R&gt;1&lt;/R&gt;&lt;C&gt;1&lt;/C&gt;&lt;D xsi:type="xsd:double"&gt;0.7742822&lt;/D&gt;&lt;/FQL&gt;&lt;FQL&gt;&lt;Q&gt;CAT-US^P_BETA_LOCIDX(45034,44858,,"SPX")&lt;/Q&gt;&lt;R&gt;1&lt;/R&gt;&lt;C&gt;1&lt;/C&gt;&lt;D xsi:type="xsd:double"&gt;0.7713082&lt;/D&gt;&lt;/FQL&gt;&lt;FQL&gt;&lt;Q&gt;CAT-US^P_BETA_LOCIDX(45033,44855,,"SPX")&lt;/Q&gt;&lt;R&gt;1&lt;/R&gt;&lt;C&gt;1&lt;/C&gt;&lt;D xsi:type="xsd:double"&gt;0.8150453&lt;/D&gt;&lt;/FQL&gt;&lt;FQL&gt;&lt;Q&gt;CAT-US^P_BETA_LOCIDX(45030,44854,,"SPX")&lt;/Q&gt;&lt;R&gt;1&lt;/R&gt;&lt;C&gt;1&lt;/C&gt;&lt;D xsi:type="xsd:double"&gt;0.8224632&lt;/D&gt;&lt;/FQL&gt;&lt;FQL&gt;&lt;Q&gt;CAT-US^P_BETA_LOCIDX(45029,44853,,"SPX")&lt;/Q&gt;&lt;R&gt;1&lt;/R&gt;&lt;C&gt;1&lt;/C&gt;&lt;D xsi:type="xsd:double"&gt;0.82019836&lt;/D&gt;&lt;/FQL&gt;&lt;FQL&gt;&lt;Q&gt;CAT-US^P_BETA_LOCIDX(45028,44852,,"SPX")&lt;/Q&gt;&lt;R&gt;1&lt;/R&gt;&lt;C&gt;1&lt;/C&gt;&lt;D xsi:type="xsd:double"&gt;0.8275438&lt;/D&gt;&lt;/FQL&gt;&lt;FQL&gt;&lt;Q&gt;CAT-US^P_BETA_LOCIDX(45027,44851,,"SPX")&lt;/Q&gt;&lt;R&gt;1&lt;/R&gt;&lt;C&gt;1&lt;/C&gt;&lt;D xsi:type="xsd:double"&gt;0.81676614&lt;/D&gt;&lt;/FQL&gt;&lt;FQL&gt;&lt;Q&gt;CAT-US^P_BETA_LOCIDX(45026,44848,,"SPX")&lt;/Q&gt;&lt;R&gt;1&lt;/R&gt;&lt;C&gt;1&lt;/C&gt;&lt;D xsi:type="xsd:double"&gt;0.8291947&lt;/D&gt;&lt;/FQL&gt;&lt;FQL&gt;&lt;Q&gt;CAT-US^P_BETA_LOCIDX(45022,44847,,"SPX")&lt;/Q&gt;&lt;R&gt;1&lt;/R&gt;&lt;C&gt;1&lt;/C&gt;&lt;D xsi:type="xsd:double"&gt;0.827081&lt;/D&gt;&lt;/FQL&gt;&lt;FQL&gt;&lt;Q&gt;CAT-US^P_BETA_LOCIDX(45021,44846,,"SPX")&lt;/Q&gt;&lt;R&gt;1&lt;/R&gt;&lt;C&gt;1&lt;/C&gt;&lt;D xsi:type="xsd:double"&gt;0.8297942&lt;/D&gt;&lt;/FQL&gt;&lt;FQL&gt;&lt;Q&gt;CAT-US^P_BETA_LOCIDX(45020,44845,,"SPX")&lt;/Q&gt;&lt;R&gt;1&lt;/R&gt;&lt;C&gt;1&lt;/C&gt;&lt;D xsi:type="xsd:double"&gt;0.8225821&lt;/D&gt;&lt;/FQL&gt;&lt;FQL&gt;&lt;Q&gt;CAT-US^P_BETA_LOCIDX(45019,44844,,"SPX")&lt;/Q&gt;&lt;R&gt;1&lt;/R&gt;&lt;C&gt;1&lt;/C&gt;&lt;D xsi:type="xsd:double"&gt;0.80007017&lt;/D&gt;&lt;/FQL&gt;&lt;FQL&gt;&lt;Q&gt;CAT-US^P_BETA_LOCIDX(45016,44841,,"SPX")&lt;/Q&gt;&lt;R&gt;1&lt;/R&gt;&lt;C&gt;1&lt;/C&gt;&lt;D xsi:type="xsd:double"&gt;0.780577&lt;/D&gt;&lt;/FQL&gt;&lt;FQL&gt;&lt;Q&gt;CAT-US^P_BETA_LOCIDX(45015,44840,,"SPX")&lt;/Q&gt;&lt;R&gt;1&lt;/R&gt;&lt;C&gt;1&lt;/C&gt;&lt;D xsi:type="xsd:double"&gt;0.77164656&lt;/D&gt;&lt;/FQL&gt;&lt;FQL&gt;&lt;Q&gt;CAT-US^P_BETA_LOCIDX(45014,44839,,"SPX")&lt;/Q&gt;&lt;R&gt;1&lt;/R&gt;&lt;C&gt;1&lt;/C&gt;&lt;D xsi:type="xsd:double"&gt;0.77229834&lt;/D&gt;&lt;/FQL&gt;&lt;FQL&gt;&lt;Q&gt;CAT-US^P_BETA_LOCIDX(45013,44838,,"SPX")&lt;/Q&gt;&lt;R&gt;1&lt;/R&gt;&lt;C&gt;1&lt;/C&gt;&lt;D xsi:type="xsd:double"&gt;0.8056171&lt;/D&gt;&lt;/FQL&gt;&lt;FQL&gt;&lt;Q&gt;CAT-US^P_BETA_LOCIDX(45012,44837,,"SPX")&lt;/Q&gt;&lt;R&gt;1&lt;/R&gt;&lt;C&gt;1&lt;/C&gt;&lt;D xsi:type="xsd:double"&gt;0.83066595&lt;/D&gt;&lt;/FQL&gt;&lt;FQL&gt;&lt;Q&gt;CAT-US^P_BETA_LOCIDX(45009,44834,,"SPX")&lt;/Q&gt;&lt;R&gt;1&lt;/R&gt;&lt;C&gt;1&lt;/C&gt;&lt;D xsi:type="xsd:double"&gt;0.8307564&lt;/D&gt;&lt;/FQL&gt;&lt;FQL&gt;&lt;Q&gt;CAT-US^P_BETA_LOCIDX(45008,44833,,"SPX")&lt;/Q&gt;&lt;R&gt;1&lt;/R&gt;&lt;C&gt;1&lt;/C&gt;&lt;D xsi:type="xsd:double"&gt;0.83012253&lt;/D&gt;&lt;/FQL&gt;&lt;FQL&gt;&lt;Q&gt;CAT-US^P_BETA_LOCIDX(45007,44832,,"SPX")&lt;/Q&gt;&lt;R&gt;1&lt;/R&gt;&lt;C&gt;1&lt;/C&gt;&lt;D xsi:type="xsd:double"&gt;0.8427436&lt;/D&gt;&lt;/FQL&gt;&lt;FQL&gt;&lt;Q&gt;CAT-US^P_BETA_LOCIDX(45006,44831,,"SPX")&lt;/Q&gt;&lt;R&gt;1&lt;/R&gt;&lt;C&gt;1&lt;/C&gt;&lt;D xsi:type="xsd:double"&gt;0.83506244&lt;/D&gt;&lt;/FQL&gt;&lt;FQL&gt;&lt;Q&gt;CAT-US^P_BETA_LOCIDX(45005,44830,,"SPX")&lt;/Q&gt;&lt;R&gt;1&lt;/R&gt;&lt;C&gt;1&lt;/C&gt;&lt;D xsi:type="xsd:double"&gt;0.83239836&lt;/D&gt;&lt;/FQL&gt;&lt;FQL&gt;&lt;Q&gt;CAT-US^P_BETA_LOCIDX(45002,44827,,"SPX")&lt;/Q&gt;&lt;R&gt;1&lt;/R&gt;&lt;C&gt;1&lt;/C&gt;&lt;D xsi:type="xsd:double"&gt;0.8458617&lt;/D&gt;&lt;/FQL&gt;&lt;FQL&gt;&lt;Q&gt;CAT-US^P_BETA_LOCIDX(45001,44826,,"SPX")&lt;/Q&gt;&lt;R&gt;1&lt;/R&gt;&lt;C&gt;1&lt;/C&gt;&lt;D xsi:type="xsd:double"&gt;0.84224296&lt;/D&gt;&lt;/FQL&gt;&lt;FQL&gt;&lt;Q&gt;CAT-US^P_BETA_LOCIDX(45000,44825,,"SPX")&lt;/Q&gt;&lt;R&gt;1&lt;/R&gt;&lt;C&gt;1&lt;/C&gt;&lt;D xsi:type="xsd:double"&gt;0.865904&lt;/D&gt;&lt;/FQL&gt;&lt;FQL&gt;&lt;Q&gt;CAT-US^P_BETA_LOCIDX(44999,44824,,"SPX")&lt;/Q&gt;&lt;R&gt;1&lt;/R&gt;&lt;C&gt;1&lt;/C&gt;&lt;D xsi:type="xsd:double"&gt;0.8629315&lt;/D&gt;&lt;/FQL&gt;&lt;FQL&gt;&lt;Q&gt;CAT-US^P_BETA_LOCIDX(44998,44823,,"SPX")&lt;/Q&gt;&lt;R&gt;1&lt;/R&gt;&lt;C&gt;1&lt;/C&gt;&lt;D xsi:type="xsd:double"&gt;0.87350565&lt;/D&gt;&lt;/FQL&gt;&lt;FQL&gt;&lt;Q&gt;CAT-US^P_BETA_LOCIDX(44995,44820,,"SPX")&lt;/Q&gt;&lt;R&gt;1&lt;/R&gt;&lt;C&gt;1&lt;/C&gt;&lt;D xsi:type="xsd:double"&gt;0.8766596&lt;/D&gt;&lt;/FQL&gt;&lt;FQL&gt;&lt;Q&gt;CAT-US^P_BETA_LOCIDX(44994,44819,,"SPX")&lt;/Q&gt;&lt;R&gt;1&lt;/R&gt;&lt;C&gt;1&lt;/C&gt;&lt;D xsi:type="xsd:double"&gt;0.8483468&lt;/D&gt;&lt;/FQL&gt;&lt;FQL&gt;&lt;Q&gt;CAT-US^P_BETA_LOCIDX(44993,44818,,"SPX")&lt;/Q&gt;&lt;R&gt;1&lt;/R&gt;&lt;C&gt;1&lt;/C&gt;&lt;D xsi:type="xsd:double"&gt;0.83291703&lt;/D&gt;&lt;/FQL&gt;&lt;FQL&gt;&lt;Q&gt;CAT-US^P_BETA_LOCIDX(44992,44817,,"SPX")&lt;/Q&gt;&lt;R&gt;1&lt;/R&gt;&lt;C&gt;1&lt;/C&gt;&lt;D xsi:type="xsd:double"&gt;0.84761095&lt;/D&gt;&lt;/FQL&gt;&lt;FQL&gt;&lt;Q&gt;CAT-US^P_BETA_LOCIDX(44991,44816,,"SPX")&lt;/Q&gt;&lt;R&gt;1&lt;/R&gt;&lt;C&gt;1&lt;/C&gt;&lt;D xsi:type="xsd:double"&gt;0.8364583&lt;/D&gt;&lt;/FQL&gt;&lt;FQL&gt;&lt;Q&gt;CAT-US^P_BETA_LOCIDX(44988,44813,,"SPX")&lt;/Q&gt;&lt;R&gt;1&lt;/R&gt;&lt;C&gt;1&lt;/C&gt;&lt;D xsi:type="xsd:double"&gt;0.84860116&lt;/D&gt;&lt;/FQL&gt;&lt;FQL&gt;&lt;Q&gt;CAT-US^P_BETA_LOCIDX(44987,44812,,"SPX")&lt;/Q&gt;&lt;R&gt;1&lt;/R&gt;&lt;C&gt;1&lt;/C&gt;&lt;D xsi:type="xsd:double"&gt;0.8524618&lt;/D&gt;&lt;/FQL&gt;&lt;FQL&gt;&lt;Q&gt;CAT-US^P_BETA_LOCIDX(44986,44811,,"SPX")&lt;/Q&gt;&lt;R&gt;1&lt;/R&gt;&lt;C&gt;1&lt;/C&gt;&lt;D xsi:type="xsd:double"&gt;0.83807516&lt;/D&gt;&lt;/FQL&gt;&lt;FQL&gt;&lt;Q&gt;CAT-US^P_BETA_LOCIDX(44985,44810,,"SPX")&lt;/Q&gt;&lt;R&gt;1&lt;/R&gt;&lt;C&gt;1&lt;/C&gt;&lt;D xsi:type="xsd:double"&gt;0.8460529&lt;/D&gt;&lt;/FQL&gt;&lt;FQL&gt;&lt;Q&gt;CAT-US^P_BETA_LOCIDX(44984,44806,,"SPX")&lt;/Q&gt;&lt;R&gt;1&lt;/R&gt;&lt;C&gt;1&lt;/C&gt;&lt;D xsi:type="xsd:double"&gt;0.84677273&lt;/D&gt;&lt;/FQL&gt;&lt;FQL&gt;&lt;Q&gt;CAT-US^P_BETA_LOCIDX(44981,44805,,"SPX")&lt;/Q&gt;&lt;R&gt;1&lt;/R&gt;&lt;C&gt;1&lt;/C&gt;&lt;D xsi:type="xsd:double"&gt;0.84342104&lt;/D&gt;&lt;/FQL&gt;&lt;FQL&gt;&lt;Q&gt;CAT-US^P_BETA_LOCIDX(44980,44804,,"SPX")&lt;/Q&gt;&lt;R&gt;1&lt;/R&gt;&lt;C&gt;1&lt;/C&gt;&lt;D xsi:type="xsd:double"&gt;0.8455439&lt;/D&gt;&lt;/FQL&gt;&lt;FQL&gt;&lt;Q&gt;CAT-US^P_BETA_LOCIDX(44979,44803,,"SPX")&lt;/Q&gt;&lt;R&gt;1&lt;/R&gt;&lt;C&gt;1&lt;/C&gt;&lt;D xsi:type="xsd:double"&gt;0.8549906&lt;/D&gt;&lt;/FQL&gt;&lt;FQL&gt;&lt;Q&gt;CAT-US^P_BETA_LOCIDX(44978,44802,,"SPX")&lt;/Q&gt;&lt;R&gt;1&lt;/R&gt;&lt;C&gt;1&lt;/C&gt;&lt;D xsi:type="xsd:double"&gt;0.85339534&lt;/D&gt;&lt;/FQL&gt;&lt;FQL&gt;&lt;Q&gt;CAT-US^P_BETA_LOCIDX(44974,44799,,"SPX")&lt;/Q&gt;&lt;R&gt;1&lt;/R&gt;&lt;C&gt;1&lt;/C&gt;&lt;D xsi:type="xsd:double"&gt;0.8537726&lt;/D&gt;&lt;/FQL&gt;&lt;FQL&gt;&lt;Q&gt;CAT-US^P_BETA_LOCIDX(44973,44798,,"SPX")&lt;/Q&gt;&lt;R&gt;1&lt;/R&gt;&lt;C&gt;1&lt;/C&gt;&lt;D xsi:type="xsd:double"&gt;0.85997546&lt;/D&gt;&lt;/FQL&gt;&lt;FQL&gt;&lt;Q&gt;CAT-US^P_BETA_LOCIDX(44972,44797,,"SPX")&lt;/Q&gt;&lt;R&gt;1&lt;/R&gt;&lt;C&gt;1&lt;/C&gt;&lt;D xsi:type="xsd:double"&gt;0.8582867&lt;/D&gt;&lt;/FQL&gt;&lt;FQL&gt;&lt;Q&gt;CAT-US^P_BETA_LOCIDX(44971,44796,,"SPX")&lt;/Q&gt;&lt;R&gt;1&lt;/R&gt;&lt;C&gt;1&lt;/C&gt;&lt;D xsi:type="xsd:double"&gt;0.85425186&lt;/D&gt;&lt;/FQL&gt;&lt;FQL&gt;&lt;Q&gt;CAT-US^P_BETA_LOCIDX(44970,44795,,"SPX")&lt;/Q&gt;&lt;R&gt;1&lt;/R&gt;&lt;C&gt;1&lt;/C&gt;&lt;D xsi:type="xsd:double"&gt;0.85697293&lt;/D&gt;&lt;/FQL&gt;&lt;FQL&gt;&lt;Q&gt;CAT-US^P_BETA_LOCIDX(44967,44792,,"SPX")&lt;/Q&gt;&lt;R&gt;1&lt;/R&gt;&lt;C&gt;1&lt;/C&gt;&lt;D xsi:type="xsd:double"&gt;0.8615722&lt;/D&gt;&lt;/FQL&gt;&lt;FQL&gt;&lt;Q&gt;CAT-US^P_BETA_LOCIDX(44966,44791,,"SPX")&lt;/Q&gt;&lt;R&gt;1&lt;/R&gt;&lt;C&gt;1&lt;/C&gt;&lt;D xsi:type="xsd:double"&gt;0.86172825&lt;/D&gt;&lt;/FQL&gt;&lt;FQL&gt;&lt;Q&gt;CAT-US^P_BETA_LOCIDX(44965,44790,,"SPX")&lt;/Q&gt;&lt;R&gt;1&lt;/R&gt;&lt;C&gt;1&lt;/C&gt;&lt;D xsi:type="xsd:double"&gt;0.8611458&lt;/D&gt;&lt;/FQL&gt;&lt;FQL&gt;&lt;Q&gt;CAT-US^P_BETA_LOCIDX(44964,44789,,"SPX")&lt;/Q&gt;&lt;R&gt;1&lt;/R&gt;&lt;C&gt;1&lt;/C&gt;&lt;D xsi:type="xsd:double"&gt;0.86319524&lt;/D&gt;&lt;/FQL&gt;&lt;FQL&gt;&lt;Q&gt;CAT-US^P_BETA_LOCIDX(44963,44788,,"SPX")&lt;/Q&gt;&lt;R&gt;1&lt;/R&gt;&lt;C&gt;1&lt;/C&gt;&lt;D xsi:type="xsd:double"&gt;0.8719999&lt;/D&gt;&lt;/FQL&gt;&lt;FQL&gt;&lt;Q&gt;CAT-US^P_BETA_LOCIDX(44960,44785,,"SPX")&lt;/Q&gt;&lt;R&gt;1&lt;/R&gt;&lt;C&gt;1&lt;/C&gt;&lt;D xsi:type="xsd:double"&gt;0.87426215&lt;/D&gt;&lt;/FQL&gt;&lt;FQL&gt;&lt;Q&gt;CAT-US^P_BETA_LOCIDX(44959,44784,,"SPX")&lt;/Q&gt;&lt;R&gt;1&lt;/R&gt;&lt;C&gt;1&lt;/C&gt;&lt;D xsi:type="xsd:double"&gt;0.8812991&lt;/D&gt;&lt;/FQL&gt;&lt;FQL&gt;&lt;Q&gt;CAT-US^P_BETA_LOCIDX(44958,44783,,"SPX")&lt;/Q&gt;&lt;R&gt;1&lt;/R&gt;&lt;C&gt;1&lt;/C&gt;&lt;D xsi:type="xsd:double"&gt;0.90378946&lt;/D&gt;&lt;/FQL&gt;&lt;FQL&gt;&lt;Q&gt;CAT-US^P_BETA_LOCIDX(44957,44782,,"SPX")&lt;/Q&gt;&lt;R&gt;1&lt;/R&gt;&lt;C&gt;1&lt;/C&gt;&lt;D xsi:type="xsd:double"&gt;0.9126599&lt;/D&gt;&lt;/FQL&gt;&lt;FQL&gt;&lt;Q&gt;CAT-US^P_BETA_LOCIDX(44956,44781,,"SPX")&lt;/Q&gt;&lt;R&gt;1&lt;/R&gt;&lt;C&gt;1&lt;/C&gt;&lt;D xsi:type="xsd:double"&gt;0.94229084&lt;/D&gt;&lt;/FQL&gt;&lt;FQL&gt;&lt;Q&gt;CAT-US^P_BETA_LOCIDX(44953,44778,,"SPX")&lt;/Q&gt;&lt;R&gt;1&lt;/R&gt;&lt;C&gt;1&lt;/C&gt;&lt;D xsi:type="xsd:double"&gt;0.94056594&lt;/D&gt;&lt;/FQL&gt;&lt;FQL&gt;&lt;Q&gt;CAT-US^P_BETA_LOCIDX(44952,44777,,"SPX")&lt;/Q&gt;&lt;R&gt;1&lt;/R&gt;&lt;C&gt;1&lt;/C&gt;&lt;D xsi:type="xsd:double"&gt;0.9401516&lt;/D&gt;&lt;/FQL&gt;&lt;FQL&gt;&lt;Q&gt;CAT-US^P_BETA_LOCIDX(44951,44776,,"SPX")&lt;/Q&gt;&lt;R&gt;1&lt;/R&gt;&lt;C&gt;1&lt;/C&gt;&lt;D xsi:type="xsd:double"&gt;0.92671615&lt;/D&gt;&lt;/FQL&gt;&lt;FQL&gt;&lt;Q&gt;CAT-US^P_BETA_LOCIDX(44950,44775,,"SPX")&lt;/Q&gt;&lt;R&gt;1&lt;/R&gt;&lt;C&gt;1&lt;/C&gt;&lt;D xsi:type="xsd:double"&gt;0.94084775&lt;/D&gt;&lt;/FQL&gt;&lt;FQL&gt;&lt;Q&gt;CAT-US^P_BETA_LOCIDX(44949,44774,,"SPX")&lt;/Q&gt;&lt;R&gt;1&lt;/R&gt;&lt;C&gt;1&lt;/C&gt;&lt;D xsi:type="xsd:double"&gt;0.943053&lt;/D&gt;&lt;/FQL&gt;&lt;FQL&gt;&lt;Q&gt;CAT-US^P_BETA_LOCIDX(44946,44771,,"SPX")&lt;/Q&gt;&lt;R&gt;1&lt;/R&gt;&lt;C&gt;1&lt;/C&gt;&lt;D xsi:type="xsd:double"&gt;0.96590805&lt;/D&gt;&lt;/FQL&gt;&lt;FQL&gt;&lt;Q&gt;CAT-US^P_BETA_LOCIDX(44945,44770,,"SPX")&lt;/Q&gt;&lt;R&gt;1&lt;/R&gt;&lt;C&gt;1&lt;/C&gt;&lt;D xsi:type="xsd:double"&gt;0.96932614&lt;/D&gt;&lt;/FQL&gt;&lt;FQL&gt;&lt;Q&gt;CAT-US^P_BETA_LOCIDX(44944,44769,,"SPX")&lt;/Q&gt;&lt;R&gt;1&lt;/R&gt;&lt;C&gt;1&lt;/C&gt;&lt;D xsi:type="xsd:double"&gt;0.9565502&lt;/D&gt;&lt;/FQL&gt;&lt;FQL&gt;&lt;Q&gt;CAT-US^P_BETA_LOCIDX(44943,44768,,"SPX")&lt;/Q&gt;&lt;R&gt;1&lt;/R&gt;&lt;C&gt;1&lt;/C&gt;&lt;D xsi:type="xsd:double"&gt;0.9534588&lt;/D&gt;&lt;/FQL&gt;&lt;FQL&gt;&lt;Q&gt;CAT-US^P_BETA_LOCIDX(44939,44767,,"SPX")&lt;/Q&gt;&lt;R&gt;1&lt;/R&gt;&lt;C&gt;1&lt;/C&gt;&lt;D xsi:type="xsd:double"&gt;0.953248&lt;/D&gt;&lt;/FQL&gt;&lt;FQL&gt;&lt;Q&gt;CAT-US^P_BETA_LOCIDX(44938,44764,,"SPX")&lt;/Q&gt;&lt;R&gt;1&lt;/R&gt;&lt;C&gt;1&lt;/C&gt;&lt;D xsi:type="xsd:double"&gt;0.9549153&lt;/D&gt;&lt;/FQL&gt;&lt;FQL&gt;&lt;Q&gt;CAT-US^P_BETA_LOCIDX(44937,44763,,"SPX")&lt;/Q&gt;&lt;R&gt;1&lt;/R&gt;&lt;C&gt;1&lt;/C&gt;&lt;D xsi:type="xsd:double"&gt;0.9510176&lt;/D&gt;&lt;/FQL&gt;&lt;FQL&gt;&lt;Q&gt;CAT-US^P_BETA_LOCIDX(44936,44762,,"SPX")&lt;/Q&gt;&lt;R&gt;1&lt;/R&gt;&lt;C&gt;1&lt;/C&gt;&lt;D xsi:type="xsd:double"&gt;0.95669097&lt;/D&gt;&lt;/FQL&gt;&lt;FQL&gt;&lt;Q&gt;CAT-US^P_BETA_LOCIDX(44935,44761,,"SPX")&lt;/Q&gt;&lt;R&gt;1&lt;/R&gt;&lt;C&gt;1&lt;/C&gt;&lt;D xsi:type="xsd:double"&gt;0.9605194&lt;/D&gt;&lt;/FQL&gt;&lt;FQL&gt;&lt;Q&gt;CAT-US^P_BETA_LOCIDX(44932,44760,,"SPX")&lt;/Q&gt;&lt;R&gt;1&lt;/R&gt;&lt;C&gt;1&lt;/C&gt;&lt;D xsi:type="xsd:double"&gt;0.9582807&lt;/D&gt;&lt;/FQL&gt;&lt;FQL&gt;&lt;Q&gt;CAT-US^P_BETA_LOCIDX(44931,44757,,"SPX")&lt;/Q&gt;&lt;R&gt;1&lt;/R&gt;&lt;C&gt;1&lt;/C&gt;&lt;D xsi:type="xsd:double"&gt;0.9482336&lt;/D&gt;&lt;/FQL&gt;&lt;FQL&gt;&lt;Q&gt;CAT-US^P_BETA_LOCIDX(44930,44756,,"SPX")&lt;/Q&gt;&lt;R&gt;1&lt;/R&gt;&lt;C&gt;1&lt;/C&gt;&lt;D xsi:type="xsd:double"&gt;0.9526196&lt;/D&gt;&lt;/FQL&gt;&lt;FQL&gt;&lt;Q&gt;CAT-US^P_BETA_LOCIDX(44929,44755,,"SPX")&lt;/Q&gt;&lt;R&gt;1&lt;/R&gt;&lt;C&gt;1&lt;/C&gt;&lt;D xsi:type="xsd:double"&gt;0.9528306&lt;/D&gt;&lt;/FQL&gt;&lt;FQL&gt;&lt;Q&gt;CAT-US^P_BETA_LOCIDX(44925,44754,,"SPX")&lt;/Q&gt;&lt;R&gt;1&lt;/R&gt;&lt;C&gt;1&lt;/C&gt;&lt;D xsi:type="xsd:double"&gt;0.95148104&lt;/D&gt;&lt;/FQL&gt;&lt;FQL&gt;&lt;Q&gt;CAT-US^P_BETA_LOCIDX(44924,44753,,"SPX")&lt;/Q&gt;&lt;R&gt;1&lt;/R&gt;&lt;C&gt;1&lt;/C&gt;&lt;D xsi:type="xsd:double"&gt;0.9574856&lt;/D&gt;&lt;/FQL&gt;&lt;FQL&gt;&lt;Q&gt;CAT-US^P_BETA_LOCIDX(44923,44750,,"SPX")&lt;/Q&gt;&lt;R&gt;1&lt;/R&gt;&lt;C&gt;1&lt;/C&gt;&lt;D xsi:type="xsd:double"&gt;0.96834403&lt;/D&gt;&lt;/FQL&gt;&lt;FQL&gt;&lt;Q&gt;CAT-US^P_BETA_LOCIDX(44922,44749,,"SPX")&lt;/Q&gt;&lt;R&gt;1&lt;/R&gt;&lt;C&gt;1&lt;/C&gt;&lt;D xsi:type="xsd:double"&gt;0.9817327&lt;/D&gt;&lt;/FQL&gt;&lt;FQL&gt;&lt;Q&gt;CAT-US^P_BETA_LOCIDX(44918,44748,,"SPX")&lt;/Q&gt;&lt;R&gt;1&lt;/R&gt;&lt;C&gt;1&lt;/C&gt;&lt;D xsi:type="xsd:double"&gt;0.9821197&lt;/D&gt;&lt;/FQL&gt;&lt;FQL&gt;&lt;Q&gt;CAT-US^P_BETA_LOCIDX(44917,44747,,"SPX")&lt;/Q&gt;&lt;R&gt;1&lt;/R&gt;&lt;C&gt;1&lt;/C&gt;&lt;D xsi:type="xsd:double"&gt;0.9801681&lt;/D&gt;&lt;/FQL&gt;&lt;FQL&gt;&lt;Q&gt;CAT-US^P_BETA_LOCIDX(44916,44743,,"SPX")&lt;/Q&gt;&lt;R&gt;1&lt;/R&gt;&lt;C&gt;1&lt;/C&gt;&lt;D xsi:type="xsd:double"&gt;0.9709661&lt;/D&gt;&lt;/FQL&gt;&lt;FQL&gt;&lt;Q&gt;CAT-US^P_BETA_LOCIDX(44915,44742,,"SPX")&lt;/Q&gt;&lt;R&gt;1&lt;/R&gt;&lt;C&gt;1&lt;/C&gt;&lt;D xsi:type="xsd:double"&gt;0.9713203&lt;/D&gt;&lt;/FQL&gt;&lt;FQL&gt;&lt;Q&gt;CAT-US^P_BETA_LOCIDX(44914,44741,,"SPX")&lt;/Q&gt;&lt;R&gt;1&lt;/R&gt;&lt;C&gt;1&lt;/C&gt;&lt;D xsi:type="xsd:double"&gt;0.9716943&lt;/D&gt;&lt;/FQL&gt;&lt;FQL&gt;&lt;Q&gt;CAT-US^P_BETA_LOCIDX(44911,44740,,"SPX")&lt;/Q&gt;&lt;R&gt;1&lt;/R&gt;&lt;C&gt;1&lt;/C&gt;&lt;D xsi:type="xsd:double"&gt;0.96055704&lt;/D&gt;&lt;/FQL&gt;&lt;FQL&gt;&lt;Q&gt;CAT-US^P_BETA_LOCIDX(44910,44739,,"SPX")&lt;/Q&gt;&lt;R&gt;1&lt;/R&gt;&lt;C&gt;1&lt;/C&gt;&lt;D xsi:type="xsd:double"&gt;0.9666486&lt;/D&gt;&lt;/FQL&gt;&lt;FQL&gt;&lt;Q&gt;CAT-US^P_BETA_LOCIDX(44909,44736,,"SPX")&lt;/Q&gt;&lt;R&gt;1&lt;/R&gt;&lt;C&gt;1&lt;/C&gt;&lt;D xsi:type="xsd:double"&gt;0.97976655&lt;/D&gt;&lt;/FQL&gt;&lt;FQL&gt;&lt;Q&gt;CAT-US^P_BETA_LOCIDX(44908,44735,,"SPX")&lt;/Q&gt;&lt;R&gt;1&lt;/R&gt;&lt;C&gt;1&lt;/C&gt;&lt;D xsi:type="xsd:double"&gt;0.959725&lt;/D&gt;&lt;/FQL&gt;&lt;FQL&gt;&lt;Q&gt;CAT-US^P_BETA_LOCIDX(44907,44734,,"SPX")&lt;/Q&gt;&lt;R&gt;1&lt;/R&gt;&lt;C&gt;1&lt;/C&gt;&lt;D xsi:type="xsd:double"&gt;0.96233624&lt;/D&gt;&lt;/FQL&gt;&lt;FQL&gt;&lt;Q&gt;CAT-US^P_BETA_LOCIDX(44904,44733,,"SPX")&lt;/Q&gt;&lt;R&gt;1&lt;/R&gt;&lt;C&gt;1&lt;/C&gt;&lt;D xsi:type="xsd:double"&gt;0.9523707&lt;/D&gt;&lt;/FQL&gt;&lt;FQL&gt;&lt;Q&gt;CAT-US^P_BETA_LOCIDX(44903,44729,,"SPX")&lt;/Q&gt;&lt;R&gt;1&lt;/R&gt;&lt;C&gt;1&lt;/C&gt;&lt;D xsi:type="xsd:double"&gt;0.9487035&lt;/D&gt;&lt;/FQL&gt;&lt;FQL&gt;&lt;Q&gt;CAT-US^P_BETA_LOCIDX(44902,44728,,"SPX")&lt;/Q&gt;&lt;R&gt;1&lt;/R&gt;&lt;C&gt;1&lt;/C&gt;&lt;D xsi:type="xsd:double"&gt;0.9774144&lt;/D&gt;&lt;/FQL&gt;&lt;FQL&gt;&lt;Q&gt;CAT-US^P_BETA_LOCIDX(44901,44727,,"SPX")&lt;/Q&gt;&lt;R&gt;1&lt;/R&gt;&lt;C&gt;1&lt;/C&gt;&lt;D xsi:type="xsd:double"&gt;0.9686565&lt;/D&gt;&lt;/FQL&gt;&lt;FQL&gt;&lt;Q&gt;CAT-US^P_BETA_LOCIDX(44900,44726,,"SPX")&lt;/Q&gt;&lt;R&gt;1&lt;/R&gt;&lt;C&gt;1&lt;/C&gt;&lt;D xsi:type="xsd:double"&gt;0.9656281&lt;/D&gt;&lt;/FQL&gt;&lt;FQL&gt;&lt;Q&gt;CAT-US^P_BETA_LOCIDX(44897,44725,,"SPX")&lt;/Q&gt;&lt;R&gt;1&lt;/R&gt;&lt;C&gt;1&lt;/C&gt;&lt;D xsi:type="xsd:double"&gt;0.96896464&lt;/D&gt;&lt;/FQL&gt;&lt;FQL&gt;&lt;Q&gt;CAT-US^P_BETA_LOCIDX(44896,44722,,"SPX")&lt;/Q&gt;&lt;R&gt;1&lt;/R&gt;&lt;C&gt;1&lt;/C&gt;&lt;D xsi:type="xsd:double"&gt;0.9791521&lt;/D&gt;&lt;/FQL&gt;&lt;FQL&gt;&lt;Q&gt;CAT-US^P_BETA_LOCIDX(44895,44721,,"SPX")&lt;/Q&gt;&lt;R&gt;1&lt;/R&gt;&lt;C&gt;1&lt;/C&gt;&lt;D xsi:type="xsd:double"&gt;0.9820526&lt;/D&gt;&lt;/FQL&gt;&lt;FQL&gt;&lt;Q&gt;CAT-US^P_BETA_LOCIDX(44894,44720,,"SPX")&lt;/Q&gt;&lt;R&gt;1&lt;/R&gt;&lt;C&gt;1&lt;/C&gt;&lt;D xsi:type="xsd:double"&gt;1.0008649&lt;/D&gt;&lt;/FQL&gt;&lt;FQL&gt;&lt;Q&gt;CAT-US^P_BETA_LOCIDX(44893,44719,,"SPX")&lt;/Q&gt;&lt;R&gt;1&lt;/R&gt;&lt;C&gt;1&lt;/C&gt;&lt;D xsi:type="xsd:double"&gt;1.0031389&lt;/D&gt;&lt;/FQL&gt;&lt;FQL&gt;&lt;Q&gt;CAT-US^P_BETA_LOCIDX(44890,44718,,"SPX")&lt;/Q&gt;&lt;R&gt;1&lt;/R&gt;&lt;C&gt;1&lt;/C&gt;&lt;D xsi:type="xsd:double"&gt;1.0032187&lt;/D&gt;&lt;/FQL&gt;&lt;FQL&gt;&lt;Q&gt;CAT-US^P_BETA_LOCIDX(44888,44715,,"SPX")&lt;/Q&gt;&lt;R&gt;1&lt;/R&gt;&lt;C&gt;1&lt;/C&gt;&lt;D xsi:type="xsd:double"&gt;0.98763007&lt;/D&gt;&lt;/FQL&gt;&lt;FQL&gt;&lt;Q&gt;CAT-US^P_BETA_LOCIDX(44887,44714,,"SPX")&lt;/Q&gt;&lt;R&gt;1&lt;/R&gt;&lt;C&gt;1&lt;/C&gt;&lt;D xsi:type="xsd:double"&gt;0.9843291&lt;/D&gt;&lt;/FQL&gt;&lt;FQL&gt;&lt;Q&gt;CAT-US^P_BETA_LOCIDX(44886,44713,,"SPX")&lt;/Q&gt;&lt;R&gt;1&lt;/R&gt;&lt;C&gt;1&lt;/C&gt;&lt;D xsi:type="xsd:double"&gt;0.9774498&lt;/D&gt;&lt;/FQL&gt;&lt;FQL&gt;&lt;Q&gt;CAT-US^P_BETA_LOCIDX(44883,44712,,"SPX")&lt;/Q&gt;&lt;R&gt;1&lt;/R&gt;&lt;C&gt;1&lt;/C&gt;&lt;D xsi:type="xsd:double"&gt;0.97833914&lt;/D&gt;&lt;/FQL&gt;&lt;FQL&gt;&lt;Q&gt;CAT-US^P_BETA_LOCIDX(44882,44708,,"SPX")&lt;/Q&gt;&lt;R&gt;1&lt;/R&gt;&lt;C&gt;1&lt;/C&gt;&lt;D xsi:type="xsd:double"&gt;0.9738911&lt;/D&gt;&lt;/FQL&gt;&lt;FQL&gt;&lt;Q&gt;CAT-US^P_BETA_LOCIDX(44881,44707,,"SPX")&lt;/Q&gt;&lt;R&gt;1&lt;/R&gt;&lt;C&gt;1&lt;/C&gt;&lt;D xsi:type="xsd:double"&gt;0.97144264&lt;/D&gt;&lt;/FQL&gt;&lt;FQL&gt;&lt;Q&gt;CAT-US^P_BETA_LOCIDX(44880,44706,,"SPX")&lt;/Q&gt;&lt;R&gt;1&lt;/R&gt;&lt;C&gt;1&lt;/C&gt;&lt;D xsi:type="xsd:double"&gt;0.97306246&lt;/D&gt;&lt;/FQL&gt;&lt;FQL&gt;&lt;Q&gt;CAT-US^P_BETA_LOCIDX(44879,44705,,"SPX")&lt;/Q&gt;&lt;R&gt;1&lt;/R&gt;&lt;C&gt;1&lt;/C&gt;&lt;D xsi:type="xsd:double"&gt;0.974233&lt;/D&gt;&lt;/FQL&gt;&lt;FQL&gt;&lt;Q&gt;CAT-US^P_BETA_LOCIDX(44876,44704,,"SPX")&lt;/Q&gt;&lt;R&gt;1&lt;/R&gt;&lt;C&gt;1&lt;/C&gt;&lt;D xsi:type="xsd:double"&gt;0.9836884&lt;/D&gt;&lt;/FQL&gt;&lt;FQL&gt;&lt;Q&gt;CAT-US^P_BETA_LOCIDX(44875,44701,,"SPX")&lt;/Q&gt;&lt;R&gt;1&lt;/R&gt;&lt;C&gt;1&lt;/C&gt;&lt;D xsi:type="xsd:double"&gt;0.98185956&lt;/D&gt;&lt;/FQL&gt;&lt;FQL&gt;&lt;Q&gt;CAT-US^P_BETA_LOCIDX(44874,44700,,"SPX")&lt;/Q&gt;&lt;R&gt;1&lt;/R&gt;&lt;C&gt;1&lt;/C&gt;&lt;D xsi:type="xsd:double"&gt;1.0309414&lt;/D&gt;&lt;/FQL&gt;&lt;FQL&gt;&lt;Q&gt;CAT-US^P_BETA_LOCIDX(44873,44699,,"SPX")&lt;/Q&gt;&lt;R&gt;1&lt;/R&gt;&lt;C&gt;1&lt;/C&gt;&lt;D xsi:type="xsd:double"&gt;1.0099789&lt;/D&gt;&lt;/FQL&gt;&lt;FQL&gt;&lt;Q&gt;CAT-US^P_BETA_LOCIDX(44872,44698,,"SPX")&lt;/Q&gt;&lt;R&gt;1&lt;/R&gt;&lt;C&gt;1&lt;/C&gt;&lt;D xsi:type="xsd:double"&gt;1.0149754&lt;/D&gt;&lt;/FQL&gt;&lt;FQL&gt;&lt;Q&gt;CAT-US^P_BETA_LOCIDX(44869,44697,,"SPX")&lt;/Q&gt;&lt;R&gt;1&lt;/R&gt;&lt;C&gt;1&lt;/C&gt;&lt;D xsi:type="xsd:double"&gt;1.0156406&lt;/D&gt;&lt;/FQL&gt;&lt;FQL&gt;&lt;Q&gt;CAT-US^P_BETA_LOCIDX(44868,44694,,"SPX")&lt;/Q&gt;&lt;R&gt;1&lt;/R&gt;&lt;C&gt;1&lt;/C&gt;&lt;D xsi:type="xsd:double"&gt;0.9890283&lt;/D&gt;&lt;/FQL&gt;&lt;FQL&gt;&lt;Q&gt;CAT-US^P_BETA_LOCIDX(44867,44693,,"SPX")&lt;/Q&gt;&lt;R&gt;1&lt;/R&gt;&lt;C&gt;1&lt;/C&gt;&lt;D xsi:type="xsd:double"&gt;1.0001483&lt;/D&gt;&lt;/FQL&gt;&lt;FQL&gt;&lt;Q&gt;CAT-US^P_BETA_LOCIDX(44866,44692,,"SPX")&lt;/Q&gt;&lt;R&gt;1&lt;/R&gt;&lt;C&gt;1&lt;/C&gt;&lt;D xsi:type="xsd:double"&gt;0.9906112&lt;/D&gt;&lt;/FQL&gt;&lt;FQL&gt;&lt;Q&gt;CAT-US^P_BETA_LOCIDX(44865,44691,,"SPX")&lt;/Q&gt;&lt;R&gt;1&lt;/R&gt;&lt;C&gt;1&lt;/C&gt;&lt;D xsi:type="xsd:double"&gt;0.9905767&lt;/D&gt;&lt;/FQL&gt;&lt;FQL&gt;&lt;Q&gt;CAT-US^P_BETA_LOCIDX(44862,44690,,"SPX")&lt;/Q&gt;&lt;R&gt;1&lt;/R&gt;&lt;C&gt;1&lt;/C&gt;&lt;D xsi:type="xsd:double"&gt;0.9973473&lt;/D&gt;&lt;/FQL&gt;&lt;FQL&gt;&lt;Q&gt;CAT-US^P_BETA_LOCIDX(44861,44687,,"SPX")&lt;/Q&gt;&lt;R&gt;1&lt;/R&gt;&lt;C&gt;1&lt;/C&gt;&lt;D xsi:type="xsd:double"&gt;0.99031055&lt;/D&gt;&lt;/FQL&gt;&lt;FQL&gt;&lt;Q&gt;CAT-US^P_BETA_LOCIDX(44860,44686,,"SPX")&lt;/Q&gt;&lt;R&gt;1&lt;/R&gt;&lt;C&gt;1&lt;/C&gt;&lt;D xsi:type="xsd:double"&gt;0.9989654&lt;/D&gt;&lt;/FQL&gt;&lt;FQL&gt;&lt;Q&gt;CAT-US^P_BETA_LOCIDX(44859,44685,,"SPX")&lt;/Q&gt;&lt;R&gt;1&lt;/R&gt;&lt;C&gt;1&lt;/C&gt;&lt;D xsi:type="xsd:double"&gt;1.0143044&lt;/D&gt;&lt;/FQL&gt;&lt;FQL&gt;&lt;Q&gt;CAT-US^P_BETA_LOCIDX(44858,44684,,"SPX")&lt;/Q&gt;&lt;R&gt;1&lt;/R&gt;&lt;C&gt;1&lt;/C&gt;&lt;D xsi:type="xsd:double"&gt;1.0136614&lt;/D&gt;&lt;/FQL&gt;&lt;FQL&gt;&lt;Q&gt;CAT-US^P_BETA_LOCIDX(44855,44683,,"SPX")&lt;/Q&gt;&lt;R&gt;1&lt;/R&gt;&lt;C&gt;1&lt;/C&gt;&lt;D xsi:type="xsd:double"&gt;1.0164871&lt;/D&gt;&lt;/FQL&gt;&lt;FQL&gt;&lt;Q&gt;CAT-US^P_BETA_LOCIDX(44854,44680,,"SPX")&lt;/Q&gt;&lt;R&gt;1&lt;/R&gt;&lt;C&gt;1&lt;/C&gt;&lt;D xsi:type="xsd:double"&gt;0.9636663&lt;/D&gt;&lt;/FQL&gt;&lt;FQL&gt;&lt;Q&gt;CAT-US^P_BETA_LOCIDX(44853,44679,,"SPX")&lt;/Q&gt;&lt;R&gt;1&lt;/R&gt;&lt;C&gt;1&lt;/C&gt;&lt;D xsi:type="xsd:double"&gt;0.9367376&lt;/D&gt;&lt;/FQL&gt;&lt;FQL&gt;&lt;Q&gt;CAT-US^P_BETA_LOCIDX(44852,44678,,"SPX")&lt;/Q&gt;&lt;R&gt;1&lt;/R&gt;&lt;C&gt;1&lt;/C&gt;&lt;D xsi:type="xsd:double"&gt;0.9400852&lt;/D&gt;&lt;/FQL&gt;&lt;FQL&gt;&lt;Q&gt;CAT-US^P_BETA_LOCIDX(44851,44677,,"SPX")&lt;/Q&gt;&lt;R&gt;1&lt;/R&gt;&lt;C&gt;1&lt;/C&gt;&lt;D xsi:type="xsd:double"&gt;0.9407569&lt;/D&gt;&lt;/FQL&gt;&lt;FQL&gt;&lt;Q&gt;CAT-US^P_BETA_LOCIDX(44848,44676,,"SPX")&lt;/Q&gt;&lt;R&gt;1&lt;/R&gt;&lt;C&gt;1&lt;/C&gt;&lt;D xsi:type="xsd:double"&gt;0.9485904&lt;/D&gt;&lt;/FQL&gt;&lt;FQL&gt;&lt;Q&gt;CAT-US^P_BETA_LOCIDX(44847,44673,,"SPX")&lt;/Q&gt;&lt;R&gt;1&lt;/R&gt;&lt;C&gt;1&lt;/C&gt;&lt;D xsi:type="xsd:double"&gt;0.98035914&lt;/D&gt;&lt;/FQL&gt;&lt;FQL&gt;&lt;Q&gt;CAT-US^P_BETA_LOCIDX(44846,44672,,"SPX")&lt;/Q&gt;&lt;R&gt;1&lt;/R&gt;&lt;C&gt;1&lt;/C&gt;&lt;D xsi:type="xsd:double"&gt;0.9827645&lt;/D&gt;&lt;/FQL&gt;&lt;FQL&gt;&lt;Q&gt;CAT-US^P_BETA_LOCIDX(44845,44671,,"SPX")&lt;/Q&gt;&lt;R&gt;1&lt;/R&gt;&lt;C&gt;1&lt;/C&gt;&lt;D xsi:type="xsd:double"&gt;0.98330694&lt;/D&gt;&lt;/FQL&gt;&lt;FQL&gt;&lt;Q&gt;CAT-US^P_BETA_LOCIDX(44844,44670,,"SPX")&lt;/Q&gt;&lt;R&gt;1&lt;/R&gt;&lt;C&gt;1&lt;/C&gt;&lt;D xsi:type="xsd:double"&gt;0.9821318&lt;/D&gt;&lt;/FQL&gt;&lt;FQL&gt;&lt;Q&gt;CAT-US^P_BETA_LOCIDX(44841,44669,,"SPX")&lt;/Q&gt;&lt;R&gt;1&lt;/R&gt;&lt;C&gt;1&lt;/C&gt;&lt;D xsi:type="xsd:double"&gt;0.985104&lt;/D&gt;&lt;/FQL&gt;&lt;FQL&gt;&lt;Q&gt;CAT-US^P_BETA_LOCIDX(44840,44665,,"SPX")&lt;/Q&gt;&lt;R&gt;1&lt;/R&gt;&lt;C&gt;1&lt;/C&gt;&lt;D xsi:type="xsd:double"&gt;0.9835646&lt;/D&gt;&lt;/FQL&gt;&lt;FQL&gt;&lt;Q&gt;CAT-US^P_BETA_LOCIDX(44839,44664,,"SPX")&lt;/Q&gt;&lt;R&gt;1&lt;/R&gt;&lt;C&gt;1&lt;/C&gt;&lt;D xsi:type="xsd:double"&gt;0.9857527&lt;/D&gt;&lt;/FQL&gt;&lt;FQL&gt;&lt;Q&gt;CAT-US^P_BETA_LOCIDX(44838,44663,,"SPX")&lt;/Q&gt;&lt;R&gt;1&lt;/R&gt;&lt;C&gt;1&lt;/C&gt;&lt;D xsi:type="xsd:double"&gt;0.9851484&lt;/D&gt;&lt;/FQL&gt;&lt;FQL&gt;&lt;Q&gt;CAT-US^P_BETA_LOCIDX(44837,44662,,"SPX")&lt;/Q&gt;&lt;R&gt;1&lt;/R&gt;&lt;C&gt;1&lt;/C&gt;&lt;D xsi:type="xsd:double"&gt;0.95965225&lt;/D&gt;&lt;/FQL&gt;&lt;FQL&gt;&lt;Q&gt;CAT-US^P_BETA_LOCIDX(44834,44659,,"SPX")&lt;/Q&gt;&lt;R&gt;1&lt;/R&gt;&lt;C&gt;1&lt;/C&gt;&lt;D xsi:type="xsd:double"&gt;0.9423022&lt;/D&gt;&lt;/FQL&gt;&lt;FQL&gt;&lt;Q&gt;CAT-US^P_BETA_LOCIDX(44833,44658,,"SPX")&lt;/Q&gt;&lt;R&gt;1&lt;/R&gt;&lt;C&gt;1&lt;/C&gt;&lt;D xsi:type="xsd:double"&gt;0.9429156&lt;/D&gt;&lt;/FQL&gt;&lt;FQL&gt;&lt;Q&gt;CAT-US^P_BETA_LOCIDX(44832,44657,,"SPX")&lt;/Q&gt;&lt;R&gt;1&lt;/R&gt;&lt;C&gt;1&lt;/C&gt;&lt;D xsi:type="xsd:double"&gt;0.9460894&lt;/D&gt;&lt;/FQL&gt;&lt;FQL&gt;&lt;Q&gt;CAT-US^P_BETA_LOCIDX(44831,44656,,"SPX")&lt;/Q&gt;&lt;R&gt;1&lt;/R&gt;&lt;C&gt;1&lt;/C&gt;&lt;D xsi:type="xsd:double"&gt;0.9390339&lt;/D&gt;&lt;/FQL&gt;&lt;FQL&gt;&lt;Q&gt;CAT-US^P_BETA_LOCIDX(44830,44655,,"SPX")&lt;/Q&gt;&lt;R&gt;1&lt;/R&gt;&lt;C&gt;1&lt;/C&gt;&lt;D xsi:type="xsd:double"&gt;0.9383269&lt;/D&gt;&lt;/FQL&gt;&lt;FQL&gt;&lt;Q&gt;CAT-US^P_BETA_LOCIDX(44827,44652,,"SPX")&lt;/Q&gt;&lt;R&gt;1&lt;/R&gt;&lt;C&gt;1&lt;/C&gt;&lt;D xsi:type="xsd:double"&gt;0.9357742&lt;/D&gt;&lt;/FQL&gt;&lt;FQL&gt;&lt;Q&gt;CAT-US^P_BETA_LOCIDX(44826,44651,,"SPX")&lt;/Q&gt;&lt;R&gt;1&lt;/R&gt;&lt;C&gt;1&lt;/C&gt;&lt;D xsi:type="xsd:double"&gt;0.918479&lt;/D&gt;&lt;/FQL&gt;&lt;FQL&gt;&lt;Q&gt;CAT-US^P_BETA_LOCIDX(44825,44650,,"SPX")&lt;/Q&gt;&lt;R&gt;1&lt;/R&gt;&lt;C&gt;1&lt;/C&gt;&lt;D xsi:type="xsd:double"&gt;0.9160287&lt;/D&gt;&lt;/FQL&gt;&lt;FQL&gt;&lt;Q&gt;CAT-US^P_BETA_LOCIDX(44824,44649,,"SPX")&lt;/Q&gt;&lt;R&gt;1&lt;/R&gt;&lt;C&gt;1&lt;/C&gt;&lt;D xsi:type="xsd:double"&gt;0.89996576&lt;/D&gt;&lt;/FQL&gt;&lt;FQL&gt;&lt;Q&gt;CAT-US^P_BETA_LOCIDX(44823,44648,,"SPX")&lt;/Q&gt;&lt;R&gt;1&lt;/R&gt;&lt;C&gt;1&lt;/C&gt;&lt;D xsi:type="xsd:double"&gt;0.89229447&lt;/D&gt;&lt;/FQL&gt;&lt;FQL&gt;&lt;Q&gt;CAT-US^P_BETA_LOCIDX(44820,44645,,"SPX")&lt;/Q&gt;&lt;R&gt;1&lt;/R&gt;&lt;C&gt;1&lt;/C&gt;&lt;D xsi:type="xsd:double"&gt;0.89008915&lt;/D&gt;&lt;/FQL&gt;&lt;FQL&gt;&lt;Q&gt;CAT-US^P_BETA_LOCIDX(44819,44644,,"SPX")&lt;/Q&gt;&lt;R&gt;1&lt;/R&gt;&lt;C&gt;1&lt;/C&gt;&lt;D xsi:type="xsd:double"&gt;0.8818919&lt;/D&gt;&lt;/FQL&gt;&lt;FQL&gt;&lt;Q&gt;CAT-US^P_BETA_LOCIDX(44818,44643,,"SPX")&lt;/Q&gt;&lt;R&gt;1&lt;/R&gt;&lt;C&gt;1&lt;/C&gt;&lt;D xsi:type="xsd:double"&gt;0.8781134&lt;/D&gt;&lt;/FQL&gt;&lt;FQL&gt;&lt;Q&gt;CAT-US^P_BETA_LOCIDX(44817,44642,,"SPX")&lt;/Q&gt;&lt;R&gt;1&lt;/R&gt;&lt;C&gt;1&lt;/C&gt;&lt;D xsi:type="xsd:double"&gt;0.8725392&lt;/D&gt;&lt;/FQL&gt;&lt;FQL&gt;&lt;Q&gt;CAT-US^P_BETA_LOCIDX(44816,44641,,"SPX")&lt;/Q&gt;&lt;R&gt;1&lt;/R&gt;&lt;C&gt;1&lt;/C&gt;&lt;D xsi:type="xsd:double"&gt;0.86692&lt;/D&gt;&lt;/FQL&gt;&lt;FQL&gt;&lt;Q&gt;CAT-US^P_BETA_LOCIDX(44813,44638,,"SPX")&lt;/Q&gt;&lt;R&gt;1&lt;/R&gt;&lt;C&gt;1&lt;/C&gt;&lt;D xsi:type="xsd:double"&gt;0.8585937&lt;/D&gt;&lt;/FQL&gt;&lt;FQL&gt;&lt;Q&gt;CAT-US^P_BETA_LOCIDX(44812,44637,,"SPX")&lt;/Q&gt;&lt;R&gt;1&lt;/R&gt;&lt;C&gt;1&lt;/C&gt;&lt;D xsi:type="xsd:double"&gt;0.85350674&lt;/D&gt;&lt;/FQL&gt;&lt;FQL&gt;&lt;Q&gt;CAT-US^P_BETA_LOCIDX(44811,44636,,"SPX")&lt;/Q&gt;&lt;R&gt;1&lt;/R&gt;&lt;C&gt;1&lt;/C&gt;&lt;D xsi:type="xsd:double"&gt;0.83551705&lt;/D&gt;&lt;/FQL&gt;&lt;FQL&gt;&lt;Q&gt;CAT-US^P_BETA_LOCIDX(44810,44635,,"SPX")&lt;/Q&gt;&lt;R&gt;1&lt;/R&gt;&lt;C&gt;1&lt;/C&gt;&lt;D xsi:type="xsd:double"&gt;0.83490336&lt;/D&gt;&lt;/FQL&gt;&lt;FQL&gt;&lt;Q&gt;CAT-US^P_BETA_LOCIDX(44806,44634,,"SPX")&lt;/Q&gt;&lt;R&gt;1&lt;/R&gt;&lt;C&gt;1&lt;/C&gt;&lt;D xsi:type="xsd:double"&gt;0.83293104&lt;/D&gt;&lt;/FQL&gt;&lt;FQL&gt;&lt;Q&gt;CAT-US^P_BETA_LOCIDX(44805,44631,,"SPX")&lt;/Q&gt;&lt;R&gt;1&lt;/R&gt;&lt;C&gt;1&lt;/C&gt;&lt;D xsi:type="xsd:double"&gt;0.8220286&lt;/D&gt;&lt;/FQL&gt;&lt;FQL&gt;&lt;Q&gt;CAT-US^P_BETA_LOCIDX(44804,44630,,"SPX")&lt;/Q&gt;&lt;R&gt;1&lt;/R&gt;&lt;C&gt;1&lt;/C&gt;&lt;D xsi:type="xsd:doub</t>
        </r>
      </text>
    </comment>
    <comment ref="A21" authorId="0" shapeId="0" xr:uid="{741BDF1A-14A2-4E44-8B3F-E5BA9E4BDE68}">
      <text>
        <r>
          <rPr>
            <b/>
            <sz val="9"/>
            <color indexed="81"/>
            <rFont val="Tahoma"/>
            <family val="2"/>
          </rPr>
          <t>le"&gt;0.8219649&lt;/D&gt;&lt;/FQL&gt;&lt;FQL&gt;&lt;Q&gt;CAT-US^P_BETA_LOCIDX(44803,44629,,"SPX")&lt;/Q&gt;&lt;R&gt;1&lt;/R&gt;&lt;C&gt;1&lt;/C&gt;&lt;D xsi:type="xsd:double"&gt;0.8014935&lt;/D&gt;&lt;/FQL&gt;&lt;FQL&gt;&lt;Q&gt;CAT-US^P_BETA_LOCIDX(44802,44628,,"SPX")&lt;/Q&gt;&lt;R&gt;1&lt;/R&gt;&lt;C&gt;1&lt;/C&gt;&lt;D xsi:type="xsd:double"&gt;0.7780489&lt;/D&gt;&lt;/FQL&gt;&lt;FQL&gt;&lt;Q&gt;CAT-US^P_BETA_LOCIDX(44799,44627,,"SPX")&lt;/Q&gt;&lt;R&gt;1&lt;/R&gt;&lt;C&gt;1&lt;/C&gt;&lt;D xsi:type="xsd:double"&gt;0.7519106&lt;/D&gt;&lt;/FQL&gt;&lt;FQL&gt;&lt;Q&gt;CAT-US^P_BETA_LOCIDX(44798,44624,,"SPX")&lt;/Q&gt;&lt;R&gt;1&lt;/R&gt;&lt;C&gt;1&lt;/C&gt;&lt;D xsi:type="xsd:double"&gt;0.7377915&lt;/D&gt;&lt;/FQL&gt;&lt;FQL&gt;&lt;Q&gt;CAT-US^P_BETA_LOCIDX(44797,44623,,"SPX")&lt;/Q&gt;&lt;R&gt;1&lt;/R&gt;&lt;C&gt;1&lt;/C&gt;&lt;D xsi:type="xsd:double"&gt;0.7286133&lt;/D&gt;&lt;/FQL&gt;&lt;FQL&gt;&lt;Q&gt;CAT-US^P_BETA_LOCIDX(44796,44622,,"SPX")&lt;/Q&gt;&lt;R&gt;1&lt;/R&gt;&lt;C&gt;1&lt;/C&gt;&lt;D xsi:type="xsd:double"&gt;0.7558435&lt;/D&gt;&lt;/FQL&gt;&lt;FQL&gt;&lt;Q&gt;CAT-US^P_BETA_LOCIDX(44795,44621,,"SPX")&lt;/Q&gt;&lt;R&gt;1&lt;/R&gt;&lt;C&gt;1&lt;/C&gt;&lt;D xsi:type="xsd:double"&gt;0.7652196&lt;/D&gt;&lt;/FQL&gt;&lt;FQL&gt;&lt;Q&gt;CAT-US^P_BETA_LOCIDX(44792,44620,,"SPX")&lt;/Q&gt;&lt;R&gt;1&lt;/R&gt;&lt;C&gt;1&lt;/C&gt;&lt;D xsi:type="xsd:double"&gt;0.76204085&lt;/D&gt;&lt;/FQL&gt;&lt;FQL&gt;&lt;Q&gt;CAT-US^P_BETA_LOCIDX(44791,44617,,"SPX")&lt;/Q&gt;&lt;R&gt;1&lt;/R&gt;&lt;C&gt;1&lt;/C&gt;&lt;D xsi:type="xsd:double"&gt;0.75838286&lt;/D&gt;&lt;/FQL&gt;&lt;FQL&gt;&lt;Q&gt;CAT-US^P_BETA_LOCIDX(44790,44616,,"SPX")&lt;/Q&gt;&lt;R&gt;1&lt;/R&gt;&lt;C&gt;1&lt;/C&gt;&lt;D xsi:type="xsd:double"&gt;0.74680287&lt;/D&gt;&lt;/FQL&gt;&lt;FQL&gt;&lt;Q&gt;CAT-US^P_BETA_LOCIDX(44789,44615,,"SPX")&lt;/Q&gt;&lt;R&gt;1&lt;/R&gt;&lt;C&gt;1&lt;/C&gt;&lt;D xsi:type="xsd:double"&gt;0.7525121&lt;/D&gt;&lt;/FQL&gt;&lt;FQL&gt;&lt;Q&gt;CAT-US^P_BETA_LOCIDX(44788,44614,,"SPX")&lt;/Q&gt;&lt;R&gt;1&lt;/R&gt;&lt;C&gt;1&lt;/C&gt;&lt;D xsi:type="xsd:double"&gt;0.75099844&lt;/D&gt;&lt;/FQL&gt;&lt;FQL&gt;&lt;Q&gt;CAT-US^P_BETA_LOCIDX(44785,44610,,"SPX")&lt;/Q&gt;&lt;R&gt;1&lt;/R&gt;&lt;C&gt;1&lt;/C&gt;&lt;D xsi:type="xsd:double"&gt;0.7542599&lt;/D&gt;&lt;/FQL&gt;&lt;FQL&gt;&lt;Q&gt;CAT-US^P_BETA_LOCIDX(44784,44609,,"SPX")&lt;/Q&gt;&lt;R&gt;1&lt;/R&gt;&lt;C&gt;1&lt;/C&gt;&lt;D xsi:type="xsd:double"&gt;0.77289146&lt;/D&gt;&lt;/FQL&gt;&lt;FQL&gt;&lt;Q&gt;CAT-US^P_BETA_LOCIDX(44783,44608,,"SPX")&lt;/Q&gt;&lt;R&gt;1&lt;/R&gt;&lt;C&gt;1&lt;/C&gt;&lt;D xsi:type="xsd:double"&gt;0.77309805&lt;/D&gt;&lt;/FQL&gt;&lt;FQL&gt;&lt;Q&gt;CAT-US^P_BETA_LOCIDX(44782,44607,,"SPX")&lt;/Q&gt;&lt;R&gt;1&lt;/R&gt;&lt;C&gt;1&lt;/C&gt;&lt;D xsi:type="xsd:double"&gt;0.76969683&lt;/D&gt;&lt;/FQL&gt;&lt;FQL&gt;&lt;Q&gt;CAT-US^P_BETA_LOCIDX(44781,44606,,"SPX")&lt;/Q&gt;&lt;R&gt;1&lt;/R&gt;&lt;C&gt;1&lt;/C&gt;&lt;D xsi:type="xsd:double"&gt;0.7706938&lt;/D&gt;&lt;/FQL&gt;&lt;FQL&gt;&lt;Q&gt;CAT-US^P_BETA_LOCIDX(44778,44603,,"SPX")&lt;/Q&gt;&lt;R&gt;1&lt;/R&gt;&lt;C&gt;1&lt;/C&gt;&lt;D xsi:type="xsd:double"&gt;0.76731724&lt;/D&gt;&lt;/FQL&gt;&lt;FQL&gt;&lt;Q&gt;CAT-US^P_BETA_LOCIDX(44777,44602,,"SPX")&lt;/Q&gt;&lt;R&gt;1&lt;/R&gt;&lt;C&gt;1&lt;/C&gt;&lt;D xsi:type="xsd:double"&gt;0.761194&lt;/D&gt;&lt;/FQL&gt;&lt;FQL&gt;&lt;Q&gt;CAT-US^P_BETA_LOCIDX(44776,44601,,"SPX")&lt;/Q&gt;&lt;R&gt;1&lt;/R&gt;&lt;C&gt;1&lt;/C&gt;&lt;D xsi:type="xsd:double"&gt;0.7609533&lt;/D&gt;&lt;/FQL&gt;&lt;FQL&gt;&lt;Q&gt;CAT-US^P_BETA_LOCIDX(44775,44600,,"SPX")&lt;/Q&gt;&lt;R&gt;1&lt;/R&gt;&lt;C&gt;1&lt;/C&gt;&lt;D xsi:type="xsd:double"&gt;0.7696636&lt;/D&gt;&lt;/FQL&gt;&lt;FQL&gt;&lt;Q&gt;CAT-US^P_BETA_LOCIDX(44774,44599,,"SPX")&lt;/Q&gt;&lt;R&gt;1&lt;/R&gt;&lt;C&gt;1&lt;/C&gt;&lt;D xsi:type="xsd:double"&gt;0.75817806&lt;/D&gt;&lt;/FQL&gt;&lt;FQL&gt;&lt;Q&gt;CAT-US^P_BETA_LOCIDX(45845,45670,,"SPX")&lt;/Q&gt;&lt;R&gt;1&lt;/R&gt;&lt;C&gt;1&lt;/C&gt;&lt;D xsi:type="xsd:double"&gt;1.1386212&lt;/D&gt;&lt;/FQL&gt;&lt;FQL&gt;&lt;Q&gt;TSM-US^P_BETA_LOCIDX(45841,45665,,"SPX")&lt;/Q&gt;&lt;R&gt;1&lt;/R&gt;&lt;C&gt;1&lt;/C&gt;&lt;D xsi:type="xsd:double"&gt;1.469121&lt;/D&gt;&lt;/FQL&gt;&lt;FQL&gt;&lt;Q&gt;TSM-US^P_BETA_LOCIDX(45840,45664,,"SPX")&lt;/Q&gt;&lt;R&gt;1&lt;/R&gt;&lt;C&gt;1&lt;/C&gt;&lt;D xsi:type="xsd:double"&gt;1.4805121&lt;/D&gt;&lt;/FQL&gt;&lt;FQL&gt;&lt;Q&gt;TSM-US^P_BETA_LOCIDX(45839,45663,,"SPX")&lt;/Q&gt;&lt;R&gt;1&lt;/R&gt;&lt;C&gt;1&lt;/C&gt;&lt;D xsi:type="xsd:double"&gt;1.483841&lt;/D&gt;&lt;/FQL&gt;&lt;FQL&gt;&lt;Q&gt;TSM-US^P_BETA_LOCIDX(45838,45660,,"SPX")&lt;/Q&gt;&lt;R&gt;1&lt;/R&gt;&lt;C&gt;1&lt;/C&gt;&lt;D xsi:type="xsd:double"&gt;1.4900249&lt;/D&gt;&lt;/FQL&gt;&lt;FQL&gt;&lt;Q&gt;TSM-US^P_BETA_LOCIDX(45835,45659,,"SPX")&lt;/Q&gt;&lt;R&gt;1&lt;/R&gt;&lt;C&gt;1&lt;/C&gt;&lt;D xsi:type="xsd:double"&gt;1.4905938&lt;/D&gt;&lt;/FQL&gt;&lt;FQL&gt;&lt;Q&gt;TSM-US^P_BETA_LOCIDX(45834,45657,,"SPX")&lt;/Q&gt;&lt;R&gt;1&lt;/R&gt;&lt;C&gt;1&lt;/C&gt;&lt;D xsi:type="xsd:double"&gt;1.4901333&lt;/D&gt;&lt;/FQL&gt;&lt;FQL&gt;&lt;Q&gt;TSM-US^P_BETA_LOCIDX(45833,45656,,"SPX")&lt;/Q&gt;&lt;R&gt;1&lt;/R&gt;&lt;C&gt;1&lt;/C&gt;&lt;D xsi:type="xsd:double"&gt;1.48856&lt;/D&gt;&lt;/FQL&gt;&lt;FQL&gt;&lt;Q&gt;TSM-US^P_BETA_LOCIDX(45832,45653,,"SPX")&lt;/Q&gt;&lt;R&gt;1&lt;/R&gt;&lt;C&gt;1&lt;/C&gt;&lt;D xsi:type="xsd:double"&gt;1.4853247&lt;/D&gt;&lt;/FQL&gt;&lt;FQL&gt;&lt;Q&gt;TSM-US^P_BETA_LOCIDX(45831,45652,,"SPX")&lt;/Q&gt;&lt;R&gt;1&lt;/R&gt;&lt;C&gt;1&lt;/C&gt;&lt;D xsi:type="xsd:double"&gt;1.4745136&lt;/D&gt;&lt;/FQL&gt;&lt;FQL&gt;&lt;Q&gt;TSM-US^P_BETA_LOCIDX(45828,45650,,"SPX")&lt;/Q&gt;&lt;R&gt;1&lt;/R&gt;&lt;C&gt;1&lt;/C&gt;&lt;D xsi:type="xsd:double"&gt;1.4698409&lt;/D&gt;&lt;/FQL&gt;&lt;FQL&gt;&lt;Q&gt;TSM-US^P_BETA_LOCIDX(45826,45649,,"SPX")&lt;/Q&gt;&lt;R&gt;1&lt;/R&gt;&lt;C&gt;1&lt;/C&gt;&lt;D xsi:type="xsd:double"&gt;1.4784336&lt;/D&gt;&lt;/FQL&gt;&lt;FQL&gt;&lt;Q&gt;TSM-US^P_BETA_LOCIDX(45825,45646,,"SPX")&lt;/Q&gt;&lt;R&gt;1&lt;/R&gt;&lt;C&gt;1&lt;/C&gt;&lt;D xsi:type="xsd:double"&gt;1.4770348&lt;/D&gt;&lt;/FQL&gt;&lt;FQL&gt;&lt;Q&gt;TSM-US^P_BETA_LOCIDX(45824,45645,,"SPX")&lt;/Q&gt;&lt;R&gt;1&lt;/R&gt;&lt;C&gt;1&lt;/C&gt;&lt;D xsi:type="xsd:double"&gt;1.4781841&lt;/D&gt;&lt;/FQL&gt;&lt;FQL&gt;&lt;Q&gt;TSM-US^P_BETA_LOCIDX(45821,45644,,"SPX")&lt;/Q&gt;&lt;R&gt;1&lt;/R&gt;&lt;C&gt;1&lt;/C&gt;&lt;D xsi:type="xsd:double"&gt;1.4587469&lt;/D&gt;&lt;/FQL&gt;&lt;FQL&gt;&lt;Q&gt;TSM-US^P_BETA_LOCIDX(45820,45643,,"SPX")&lt;/Q&gt;&lt;R&gt;1&lt;/R&gt;&lt;C&gt;1&lt;/C&gt;&lt;D xsi:type="xsd:double"&gt;1.4574198&lt;/D&gt;&lt;/FQL&gt;&lt;FQL&gt;&lt;Q&gt;TSM-US^P_BETA_LOCIDX(45819,45642,,"SPX")&lt;/Q&gt;&lt;R&gt;1&lt;/R&gt;&lt;C&gt;1&lt;/C&gt;&lt;D xsi:type="xsd:double"&gt;1.4574126&lt;/D&gt;&lt;/FQL&gt;&lt;FQL&gt;&lt;Q&gt;TSM-US^P_BETA_LOCIDX(45818,45639,,"SPX")&lt;/Q&gt;&lt;R&gt;1&lt;/R&gt;&lt;C&gt;1&lt;/C&gt;&lt;D xsi:type="xsd:double"&gt;1.4582368&lt;/D&gt;&lt;/FQL&gt;&lt;FQL&gt;&lt;Q&gt;TSM-US^P_BETA_LOCIDX(45817,45638,,"SPX")&lt;/Q&gt;&lt;R&gt;1&lt;/R&gt;&lt;C&gt;1&lt;/C&gt;&lt;D xsi:type="xsd:double"&gt;1.4567952&lt;/D&gt;&lt;/FQL&gt;&lt;FQL&gt;&lt;Q&gt;TSM-US^P_BETA_LOCIDX(45814,45637,,"SPX")&lt;/Q&gt;&lt;R&gt;1&lt;/R&gt;&lt;C&gt;1&lt;/C&gt;&lt;D xsi:type="xsd:double"&gt;1.4568785&lt;/D&gt;&lt;/FQL&gt;&lt;FQL&gt;&lt;Q&gt;TSM-US^P_BETA_LOCIDX(45813,45636,,"SPX")&lt;/Q&gt;&lt;R&gt;1&lt;/R&gt;&lt;C&gt;1&lt;/C&gt;&lt;D xsi:type="xsd:double"&gt;1.4625111&lt;/D&gt;&lt;/FQL&gt;&lt;FQL&gt;&lt;Q&gt;TSM-US^P_BETA_LOCIDX(45812,45635,,"SPX")&lt;/Q&gt;&lt;R&gt;1&lt;/R&gt;&lt;C&gt;1&lt;/C&gt;&lt;D xsi:type="xsd:double"&gt;1.4667647&lt;/D&gt;&lt;/FQL&gt;&lt;FQL&gt;&lt;Q&gt;TSM-US^P_BETA_LOCIDX(45811,45632,,"SPX")&lt;/Q&gt;&lt;R&gt;1&lt;/R&gt;&lt;C&gt;1&lt;/C&gt;&lt;D xsi:type="xsd:double"&gt;1.465802&lt;/D&gt;&lt;/FQL&gt;&lt;FQL&gt;&lt;Q&gt;TSM-US^P_BETA_LOCIDX(45810,45631,,"SPX")&lt;/Q&gt;&lt;R&gt;1&lt;/R&gt;&lt;C&gt;1&lt;/C&gt;&lt;D xsi:type="xsd:double"&gt;1.4634831&lt;/D&gt;&lt;/FQL&gt;&lt;FQL&gt;&lt;Q&gt;TSM-US^P_BETA_LOCIDX(45807,45630,,"SPX")&lt;/Q&gt;&lt;R&gt;1&lt;/R&gt;&lt;C&gt;1&lt;/C&gt;&lt;D xsi:type="xsd:double"&gt;1.4632376&lt;/D&gt;&lt;/FQL&gt;&lt;FQL&gt;&lt;Q&gt;TSM-US^P_BETA_LOCIDX(45806,45629,,"SPX")&lt;/Q&gt;&lt;R&gt;1&lt;/R&gt;&lt;C&gt;1&lt;/C&gt;&lt;D xsi:type="xsd:double"&gt;1.4636114&lt;/D&gt;&lt;/FQL&gt;&lt;FQL&gt;&lt;Q&gt;TSM-US^P_BETA_LOCIDX(45805,45628,,"SPX")&lt;/Q&gt;&lt;R&gt;1&lt;/R&gt;&lt;C&gt;1&lt;/C&gt;&lt;D xsi:type="xsd:double"&gt;1.4679356&lt;/D&gt;&lt;/FQL&gt;&lt;FQL&gt;&lt;Q&gt;TSM-US^P_BETA_LOCIDX(45804,45625,,"SPX")&lt;/Q&gt;&lt;R&gt;1&lt;/R&gt;&lt;C&gt;1&lt;/C&gt;&lt;D xsi:type="xsd:double"&gt;1.469649&lt;/D&gt;&lt;/FQL&gt;&lt;FQL&gt;&lt;Q&gt;TSM-US^P_BETA_LOCIDX(45800,45623,,"SPX")&lt;/Q&gt;&lt;R&gt;1&lt;/R&gt;&lt;C&gt;1&lt;/C&gt;&lt;D xsi:type="xsd:double"&gt;1.472&lt;/D&gt;&lt;/FQL&gt;&lt;FQL&gt;&lt;Q&gt;TSM-US^P_BETA_LOCIDX(45799,45622,,"SPX")&lt;/Q&gt;&lt;R&gt;1&lt;/R&gt;&lt;C&gt;1&lt;/C&gt;&lt;D xsi:type="xsd:double"&gt;1.4658934&lt;/D&gt;&lt;/FQL&gt;&lt;FQL&gt;&lt;Q&gt;TSM-US^P_BETA_LOCIDX(45798,45621,,"SPX")&lt;/Q&gt;&lt;R&gt;1&lt;/R&gt;&lt;C&gt;1&lt;/C&gt;&lt;D xsi:type="xsd:double"&gt;1.4628491&lt;/D&gt;&lt;/FQL&gt;&lt;FQL&gt;&lt;Q&gt;TSM-US^P_BETA_LOCIDX(45797,45618,,"SPX")&lt;/Q&gt;&lt;R&gt;1&lt;/R&gt;&lt;C&gt;1&lt;/C&gt;&lt;D xsi:type="xsd:double"&gt;1.469446&lt;/D&gt;&lt;/FQL&gt;&lt;FQL&gt;&lt;Q&gt;TSM-US^P_BETA_LOCIDX(45796,45617,,"SPX")&lt;/Q&gt;&lt;R&gt;1&lt;/R&gt;&lt;C&gt;1&lt;/C&gt;&lt;D xsi:type="xsd:double"&gt;1.4713936&lt;/D&gt;&lt;/FQL&gt;&lt;FQL&gt;&lt;Q&gt;TSM-US^P_BETA_LOCIDX(45793,45616,,"SPX")&lt;/Q&gt;&lt;R&gt;1&lt;/R&gt;&lt;C&gt;1&lt;/C&gt;&lt;D xsi:type="xsd:double"&gt;1.4715642&lt;/D&gt;&lt;/FQL&gt;&lt;FQL&gt;&lt;Q&gt;TSM-US^P_BETA_LOCIDX(45792,45615,,"SPX")&lt;/Q&gt;&lt;R&gt;1&lt;/R&gt;&lt;C&gt;1&lt;/C&gt;&lt;D xsi:type="xsd:double"&gt;1.4748172&lt;/D&gt;&lt;/FQL&gt;&lt;FQL&gt;&lt;Q&gt;TSM-US^P_BETA_LOCIDX(45791,45614,,"SPX")&lt;/Q&gt;&lt;R&gt;1&lt;/R&gt;&lt;C&gt;1&lt;/C&gt;&lt;D xsi:type="xsd:double"&gt;1.4763163&lt;/D&gt;&lt;/FQL&gt;&lt;FQL&gt;&lt;Q&gt;TSM-US^P_BETA_LOCIDX(45790,45611,,"SPX")&lt;/Q&gt;&lt;R&gt;1&lt;/R&gt;&lt;C&gt;1&lt;/C&gt;&lt;D xsi:type="xsd:double"&gt;1.473701&lt;/D&gt;&lt;/FQL&gt;&lt;FQL&gt;&lt;Q&gt;TSM-US^P_BETA_LOCIDX(45789,45610,,"SPX")&lt;/Q&gt;&lt;R&gt;1&lt;/R&gt;&lt;C&gt;1&lt;/C&gt;&lt;D xsi:type="xsd:double"&gt;1.4634272&lt;/D&gt;&lt;/FQL&gt;&lt;FQL&gt;&lt;Q&gt;TSM-US^P_BETA_LOCIDX(45786,45609,,"SPX")&lt;/Q&gt;&lt;R&gt;1&lt;/R&gt;&lt;C&gt;1&lt;/C&gt;&lt;D xsi:type="xsd:double"&gt;1.4499763&lt;/D&gt;&lt;/FQL&gt;&lt;FQL&gt;&lt;Q&gt;TSM-US^P_BETA_LOCIDX(45785,45608,,"SPX")&lt;/Q&gt;&lt;R&gt;1&lt;/R&gt;&lt;C&gt;1&lt;/C&gt;&lt;D xsi:type="xsd:double"&gt;1.4507852&lt;/D&gt;&lt;/FQL&gt;&lt;FQL&gt;&lt;Q&gt;TSM-US^P_BETA_LOCIDX(45784,45607,,"SPX")&lt;/Q&gt;&lt;R&gt;1&lt;/R&gt;&lt;C&gt;1&lt;/C&gt;&lt;D xsi:type="xsd:double"&gt;1.4500053&lt;/D&gt;&lt;/FQL&gt;&lt;FQL&gt;&lt;Q&gt;TSM-US^P_BETA_LOCIDX(45783,45604,,"SPX")&lt;/Q&gt;&lt;R&gt;1&lt;/R&gt;&lt;C&gt;1&lt;/C&gt;&lt;D xsi:type="xsd:double"&gt;1.4480449&lt;/D&gt;&lt;/FQL&gt;&lt;FQL&gt;&lt;Q&gt;TSM-US^P_BETA_LOCIDX(45782,45603,,"SPX")&lt;/Q&gt;&lt;R&gt;1&lt;/R&gt;&lt;C&gt;1&lt;/C&gt;&lt;D xsi:type="xsd:double"&gt;1.4533151&lt;/D&gt;&lt;/FQL&gt;&lt;FQL&gt;&lt;Q&gt;TSM-US^P_BETA_LOCIDX(45779,45602,,"SPX")&lt;/Q&gt;&lt;R&gt;1&lt;/R&gt;&lt;C&gt;1&lt;/C&gt;&lt;D xsi:type="xsd:double"&gt;1.4076807&lt;/D&gt;&lt;/FQL&gt;&lt;FQL&gt;&lt;Q&gt;TSM-US^P_BETA_LOCIDX(45778,45601,,"SPX")&lt;/Q&gt;&lt;R&gt;1&lt;/R&gt;&lt;C&gt;1&lt;/C&gt;&lt;D xsi:type="xsd:double"&gt;1.400755&lt;/D&gt;&lt;/FQL&gt;&lt;FQL&gt;&lt;Q&gt;TSM-US^P_BETA_LOCIDX(45777,45600,,"SPX")&lt;/Q&gt;&lt;R&gt;1&lt;/R&gt;&lt;C&gt;1&lt;/C&gt;&lt;D xsi:type="xsd:double"&gt;1.3948166&lt;/D&gt;&lt;/FQL&gt;&lt;FQL&gt;&lt;Q&gt;TSM-US^P_BETA_LOCIDX(45776,45597,,"SPX")&lt;/Q&gt;&lt;R&gt;1&lt;/R&gt;&lt;C&gt;1&lt;/C&gt;&lt;D xsi:type="xsd:double"&gt;1.3952585&lt;/D&gt;&lt;/FQL&gt;&lt;FQL&gt;&lt;Q&gt;TSM-US^P_BETA_LOCIDX(45775,45596,,"SPX")&lt;/Q&gt;&lt;R&gt;1&lt;/R&gt;&lt;C&gt;1&lt;/C&gt;&lt;D xsi:type="xsd:double"&gt;1.3914388&lt;/D&gt;&lt;/FQL&gt;&lt;FQL&gt;&lt;Q&gt;TSM-US^P_BETA_LOCIDX(45772,45595,,"SPX")&lt;/Q&gt;&lt;R&gt;1&lt;/R&gt;&lt;C&gt;1&lt;/C&gt;&lt;D xsi:type="xsd:double"&gt;1.3925537&lt;/D&gt;&lt;/FQL&gt;&lt;FQL&gt;&lt;Q&gt;TSM-US^P_BETA_LOCIDX(45771,45594,,"SPX")&lt;/Q&gt;&lt;R&gt;1&lt;/R&gt;&lt;C&gt;1&lt;/C&gt;&lt;D xsi:type="xsd:double"&gt;1.3943522&lt;/D&gt;&lt;/FQL&gt;&lt;FQL&gt;&lt;Q&gt;TSM-US^P_BETA_LOCIDX(45770,45593,,"SPX")&lt;/Q&gt;&lt;R&gt;1&lt;/R&gt;&lt;C&gt;1&lt;/C&gt;&lt;D xsi:type="xsd:double"&gt;1.3800111&lt;/D&gt;&lt;/FQL&gt;&lt;FQL&gt;&lt;Q&gt;TSM-US^P_BETA_LOCIDX(45769,45590,,"SPX")&lt;/Q&gt;&lt;R&gt;1&lt;/R&gt;&lt;C&gt;1&lt;/C&gt;&lt;D xsi:type="xsd:double"&gt;1.3679104&lt;/D&gt;&lt;/FQL&gt;&lt;FQL&gt;&lt;Q&gt;TSM-US^P_BETA_LOCIDX(45768,45589,,"SPX")&lt;/Q&gt;&lt;R&gt;1&lt;/R&gt;&lt;C&gt;1&lt;/C&gt;&lt;D xsi:type="xsd:double"&gt;1.3751632&lt;/D&gt;&lt;/FQL&gt;&lt;FQL&gt;&lt;Q&gt;TSM-US^P_BETA_LOCIDX(45764,45588,,"SPX")&lt;/Q&gt;&lt;R&gt;1&lt;/R&gt;&lt;C&gt;1&lt;/C&gt;&lt;D xsi:type="xsd:double"&gt;1.3736991&lt;/D&gt;&lt;/FQL&gt;&lt;FQL&gt;&lt;Q&gt;TSM-US^P_BETA_LOCIDX(45763,45587,,"SPX")&lt;/Q&gt;&lt;R&gt;1&lt;/R&gt;&lt;C&gt;1&lt;/C&gt;&lt;D xsi:type="xsd:double"&gt;1.373587&lt;/D&gt;&lt;/FQL&gt;&lt;FQL&gt;&lt;Q&gt;TSM-US^P_BETA_LOCIDX(45762,45586,,"SPX")&lt;/Q&gt;&lt;R&gt;1&lt;/R&gt;&lt;C&gt;1&lt;/C&gt;&lt;D xsi:type="xsd:double"&gt;1.3695849&lt;/D&gt;&lt;/FQL&gt;&lt;FQL&gt;&lt;Q&gt;TSM-US^P_BETA_LOCIDX(45761,45583,,"SPX")&lt;/Q&gt;&lt;R&gt;1&lt;/R&gt;&lt;C&gt;1&lt;/C&gt;&lt;D xsi:type="xsd:double"&gt;1.3651881&lt;/D&gt;&lt;/FQL&gt;&lt;FQL&gt;&lt;Q&gt;TSM-US^P_BETA_LOCIDX(45758,45582,,"SPX")&lt;/Q&gt;&lt;R&gt;1&lt;/R&gt;&lt;C&gt;1&lt;/C&gt;&lt;D xsi:type="xsd:double"&gt;1.372488&lt;/D&gt;&lt;/FQL&gt;&lt;FQL&gt;&lt;Q&gt;TSM-US^P_BETA_LOCIDX(45757,45581,,"SPX")&lt;/Q&gt;&lt;R&gt;1&lt;/R&gt;&lt;C&gt;1&lt;/C&gt;&lt;D xsi:type="xsd:double"&gt;1.3610257&lt;/D&gt;&lt;/FQL&gt;&lt;FQL&gt;&lt;Q&gt;TSM-US^P_BETA_LOCIDX(45756,45580,,"SPX")&lt;/Q&gt;&lt;R&gt;1&lt;/R&gt;&lt;C&gt;1&lt;/C&gt;&lt;D xsi:type="xsd:double"&gt;1.3646917&lt;/D&gt;&lt;/FQL&gt;&lt;FQL&gt;&lt;Q&gt;TSM-US^P_BETA_LOCIDX(45755,45579,,"SPX")&lt;/Q&gt;&lt;R&gt;1&lt;/R&gt;&lt;C&gt;1&lt;/C&gt;&lt;D xsi:type="xsd:double"&gt;1.4025612&lt;/D&gt;&lt;/FQL&gt;&lt;FQL&gt;&lt;Q&gt;TSM-US^P_BETA_LOCIDX(45754,45576,,"SPX")&lt;/Q&gt;&lt;R&gt;1&lt;/R&gt;&lt;C&gt;1&lt;/C&gt;&lt;D xsi:type="xsd:double"&gt;1.4013093&lt;/D&gt;&lt;/FQL&gt;&lt;FQL&gt;&lt;Q&gt;TSM-US^P_BETA_LOCIDX(45751,45575,,"SPX")&lt;/Q&gt;&lt;R&gt;1&lt;/R&gt;&lt;C&gt;1&lt;/C&gt;&lt;D xsi:type="xsd:double"&gt;1.4015155&lt;/D&gt;&lt;/FQL&gt;&lt;FQL&gt;&lt;Q&gt;TSM-US^P_BETA_LOCIDX(45750,45574,,"SPX")&lt;/Q&gt;&lt;R&gt;1&lt;/R&gt;&lt;C&gt;1&lt;/C&gt;&lt;D xsi:type="xsd:double"&gt;1.4792125&lt;/D&gt;&lt;/FQL&gt;&lt;FQL&gt;&lt;Q&gt;TSM-US^P_BETA_LOCIDX(45749,45573,,"SPX")&lt;/Q&gt;&lt;R&gt;1&lt;/R&gt;&lt;C&gt;1&lt;/C&gt;&lt;D xsi:type="xsd:double"&gt;1.452081&lt;/D&gt;&lt;/FQL&gt;&lt;FQL&gt;&lt;Q&gt;TSM-US^P_BETA_LOCIDX(45748,45572,,"SPX")&lt;/Q&gt;&lt;R&gt;1&lt;/R&gt;&lt;C&gt;1&lt;/C&gt;&lt;D xsi:type="xsd:double"&gt;1.420976&lt;/D&gt;&lt;/FQL&gt;&lt;FQL&gt;&lt;Q&gt;TSM-US^P_BETA_LOCIDX(45747,45569,,"SPX")&lt;/Q&gt;&lt;R&gt;1&lt;/R&gt;&lt;C&gt;1&lt;/C&gt;&lt;D xsi:type="xsd:double"&gt;1.4139795&lt;/D&gt;&lt;/FQL&gt;&lt;FQL&gt;&lt;Q&gt;TSM-US^P_BETA_LOCIDX(45744,45568,,"SPX")&lt;/Q&gt;&lt;R&gt;1&lt;/R&gt;&lt;C&gt;1&lt;/C&gt;&lt;D xsi:type="xsd:double"&gt;1.412211&lt;/D&gt;&lt;/FQL&gt;&lt;FQL&gt;&lt;Q&gt;TSM-US^P_BETA_LOCIDX(45743,45567,,"SPX")&lt;/Q&gt;&lt;R&gt;1&lt;/R&gt;&lt;C&gt;1&lt;/C&gt;&lt;D xsi:type="xsd:double"&gt;1.4326888&lt;/D&gt;&lt;/FQL&gt;&lt;FQL&gt;&lt;Q&gt;TSM-US^P_BETA_LOCIDX(45742,45566,,"SPX")&lt;/Q&gt;&lt;R&gt;1&lt;/R&gt;&lt;C&gt;1&lt;/C&gt;&lt;D xsi:type="xsd:double"&gt;1.4203937&lt;/D&gt;&lt;/FQL&gt;&lt;FQL&gt;&lt;Q&gt;TSM-US^P_BETA_LOCIDX(45741,45565,,"SPX")&lt;/Q&gt;&lt;R&gt;1&lt;/R&gt;&lt;C&gt;1&lt;/C&gt;&lt;D xsi:type="xsd:double"&gt;1.3779658&lt;/D&gt;&lt;/FQL&gt;&lt;FQL&gt;&lt;Q&gt;TSM-US^P_BETA_LOCIDX(45740,45562,,"SPX")&lt;/Q&gt;&lt;R&gt;1&lt;/R&gt;&lt;C&gt;1&lt;/C&gt;&lt;D xsi:type="xsd:double"&gt;1.3848488&lt;/D&gt;&lt;/FQL&gt;&lt;FQL&gt;&lt;Q&gt;TSM-US^P_BETA_LOCIDX(45737,45561,,"SPX")&lt;/Q&gt;&lt;R&gt;1&lt;/R&gt;&lt;C&gt;1&lt;/C&gt;&lt;D xsi:type="xsd:double"&gt;1.3919243&lt;/D&gt;&lt;/FQL&gt;&lt;FQL&gt;&lt;Q&gt;TSM-US^P_BETA_LOCIDX(45736,45560,,"SPX")&lt;/Q&gt;&lt;R&gt;1&lt;/R&gt;&lt;C&gt;1&lt;/C&gt;&lt;D xsi:type="xsd:double"&gt;1.3915892&lt;/D&gt;&lt;/FQL&gt;&lt;FQL&gt;&lt;Q&gt;TSM-US^P_BETA_LOCIDX(45735,45559,,"SPX")&lt;/Q&gt;&lt;R&gt;1&lt;/R&gt;&lt;C&gt;1&lt;/C&gt;&lt;D xsi:type="xsd:double"&gt;1.4071444&lt;/D&gt;&lt;/FQL&gt;&lt;FQL&gt;&lt;Q&gt;TSM-US^P_BETA_LOCIDX(45734,45558,,"SPX")&lt;/Q&gt;&lt;R&gt;1&lt;/R&gt;&lt;C&gt;1&lt;/C&gt;&lt;D xsi:type="xsd:double"&gt;1.4209241&lt;/D&gt;&lt;/FQL&gt;&lt;FQL&gt;&lt;Q&gt;TSM-US^P_BETA_LOCIDX(45733,45555,,"SPX")&lt;/Q&gt;&lt;R&gt;1&lt;/R&gt;&lt;C&gt;1&lt;/C&gt;&lt;D xsi:type="xsd:double"&gt;1.4195306&lt;/D&gt;&lt;/FQL&gt;&lt;FQL&gt;&lt;Q&gt;TSM-US^P_BETA_LOCIDX(45730,45554,,"SPX")&lt;/Q&gt;&lt;R&gt;1&lt;/R&gt;&lt;C&gt;1&lt;/C&gt;&lt;D xsi:type="xsd:double"&gt;1.469184&lt;/D&gt;&lt;/FQL&gt;&lt;FQL&gt;&lt;Q&gt;TSM-US^P_BETA_LOCIDX(45729,45553,,"SPX")&lt;/Q&gt;&lt;R&gt;1&lt;/R&gt;&lt;C&gt;1&lt;/C&gt;&lt;D xsi:type="xsd:double"&gt;1.5091891&lt;/D&gt;&lt;/FQL&gt;&lt;FQL&gt;&lt;Q&gt;TSM-US^P_BETA_LOCIDX(45728,45552,,"SPX")&lt;/Q&gt;&lt;R&gt;1&lt;/R&gt;&lt;C&gt;1&lt;/C&gt;&lt;D xsi:type="xsd:double"&gt;1.4910334&lt;/D&gt;&lt;/FQL&gt;&lt;FQL&gt;&lt;Q&gt;TSM-US^P_BETA_LOCIDX(45727,45551,,"SPX")&lt;/Q&gt;&lt;R&gt;1&lt;/R&gt;&lt;C&gt;1&lt;/C&gt;&lt;D xsi:type="xsd:double"&gt;1.4719906&lt;/D&gt;&lt;/FQL&gt;&lt;FQL&gt;&lt;Q&gt;TSM-US^P_BETA_LOCIDX(45726,45548,,"SPX")&lt;/Q&gt;&lt;R&gt;1&lt;/R&gt;&lt;C&gt;1&lt;/C&gt;&lt;D xsi:type="xsd:double"&gt;1.4816511&lt;/D&gt;&lt;/FQL&gt;&lt;FQL&gt;&lt;Q&gt;TSM-US^P_BETA_LOCIDX(45723,45547,,"SPX")&lt;/Q&gt;&lt;R&gt;1&lt;/R&gt;&lt;C&gt;1&lt;/C&gt;&lt;D xsi:type="xsd:double"&gt;1.488849&lt;/D&gt;&lt;/FQL&gt;&lt;FQL&gt;&lt;Q&gt;TSM-US^P_BETA_LOCIDX(45722,45546,,"SPX")&lt;/Q&gt;&lt;R&gt;1&lt;/R&gt;&lt;C&gt;1&lt;/C&gt;&lt;D xsi:type="xsd:double"&gt;1.5297188&lt;/D&gt;&lt;/FQL&gt;&lt;FQL&gt;&lt;Q&gt;TSM-US^P_BETA_LOCIDX(45721,45545,,"SPX")&lt;/Q&gt;&lt;R&gt;1&lt;/R&gt;&lt;C&gt;1&lt;/C&gt;&lt;D xsi:type="xsd:double"&gt;1.4807523&lt;/D&gt;&lt;/FQL&gt;&lt;FQL&gt;&lt;Q&gt;TSM-US^P_BETA_LOCIDX(45720,45544,,"SPX")&lt;/Q&gt;&lt;R&gt;1&lt;/R&gt;&lt;C&gt;1&lt;/C&gt;&lt;D xsi:type="xsd:double"&gt;1.5000948&lt;/D&gt;&lt;/FQL&gt;&lt;FQL&gt;&lt;Q&gt;TSM-US^P_BETA_LOCIDX(45719,45541,,"SPX")&lt;/Q&gt;&lt;R&gt;1&lt;/R&gt;&lt;C&gt;1&lt;/C&gt;&lt;D xsi:type="xsd:double"&gt;1.6300155&lt;/D&gt;&lt;/FQL&gt;&lt;FQL&gt;&lt;Q&gt;TSM-US^P_BETA_LOCIDX(45716,45540,,"SPX")&lt;/Q&gt;&lt;R&gt;1&lt;/R&gt;&lt;C&gt;1&lt;/C&gt;&lt;D xsi:type="xsd:double"&gt;1.5881178&lt;/D&gt;&lt;/FQL&gt;&lt;FQL&gt;&lt;Q&gt;TSM-US^P_BETA_LOCIDX(45715,45539,,"SPX")&lt;/Q&gt;&lt;R&gt;1&lt;/R&gt;&lt;C&gt;1&lt;/C&gt;&lt;D xsi:type="xsd:double"&gt;1.6453451&lt;/D&gt;&lt;/FQL&gt;&lt;FQL&gt;&lt;Q&gt;TSM-US^P_BETA_LOCIDX(45714,45538,,"SPX")&lt;/Q&gt;&lt;R&gt;1&lt;/R&gt;&lt;C&gt;1&lt;/C&gt;&lt;D xsi:type="xsd:double"&gt;1.6392192&lt;/D&gt;&lt;/FQL&gt;&lt;FQL&gt;&lt;Q&gt;TSM-US^P_BETA_LOCIDX(45713,45534,,"SPX")&lt;/Q&gt;&lt;R&gt;1&lt;/R&gt;&lt;C&gt;1&lt;/C&gt;&lt;D xsi:type="xsd:double"&gt;1.6380428&lt;/D&gt;&lt;/FQL&gt;&lt;FQL&gt;&lt;Q&gt;TSM-US^P_BETA_LOCIDX(45712,45533,,"SPX")&lt;/Q&gt;&lt;R&gt;1&lt;/R&gt;&lt;C&gt;1&lt;/C&gt;&lt;D xsi:type="xsd:double"&gt;1.6349328&lt;/D&gt;&lt;/FQL&gt;&lt;FQL&gt;&lt;Q&gt;TSM-US^P_BETA_LOCIDX(45709,45532,,"SPX")&lt;/Q&gt;&lt;R&gt;1&lt;/R&gt;&lt;C&gt;1&lt;/C&gt;&lt;D xsi:type="xsd:double"&gt;1.6154737&lt;/D&gt;&lt;/FQL&gt;&lt;FQL&gt;&lt;Q&gt;TSM-US^P_BETA_LOCIDX(45708,45531,,"SPX")&lt;/Q&gt;&lt;R&gt;1&lt;/R&gt;&lt;C&gt;1&lt;/C&gt;&lt;D xsi:type="xsd:double"&gt;1.6580818&lt;/D&gt;&lt;/FQL&gt;&lt;FQL&gt;&lt;Q&gt;TSM-US^P_BETA_LOCIDX(45707,45530,,"SPX")&lt;/Q&gt;&lt;R&gt;1&lt;/R&gt;&lt;C&gt;1&lt;/C&gt;&lt;D xsi:type="xsd:double"&gt;1.6640314&lt;/D&gt;&lt;/FQL&gt;&lt;FQL&gt;&lt;Q&gt;TSM-US^P_BETA_LOCIDX(45706,45527,,"SPX")&lt;/Q&gt;&lt;R&gt;1&lt;/R&gt;&lt;C&gt;1&lt;/C&gt;&lt;D xsi:type="xsd:double"&gt;1.6801666&lt;/D&gt;&lt;/FQL&gt;&lt;FQL&gt;&lt;Q&gt;TSM-US^P_BETA_LOCIDX(45702,45526,,"SPX")&lt;/Q&gt;&lt;R&gt;1&lt;/R&gt;&lt;C&gt;1&lt;/C&gt;&lt;D xsi:type="xsd:double"&gt;1.7012072&lt;/D&gt;&lt;/FQL&gt;&lt;FQL&gt;&lt;Q&gt;TSM-US^P_BETA_LOCIDX(45701,45525,,"SPX")&lt;/Q&gt;&lt;R&gt;1&lt;/R&gt;&lt;C&gt;1&lt;/C&gt;&lt;D xsi:type="xsd:double"&gt;1.697149&lt;/D&gt;&lt;/FQL&gt;&lt;FQL&gt;&lt;Q&gt;TSM-US^P_BETA_LOCIDX(45700,45524,,"SPX")&lt;/Q&gt;&lt;R&gt;1&lt;/R&gt;&lt;C&gt;1&lt;/C&gt;&lt;D xsi:type="xsd:double"&gt;1.7547091&lt;/D&gt;&lt;/FQL&gt;&lt;FQL&gt;&lt;Q&gt;TSM-US^P_BETA_LOCIDX(45699,45523,,"SPX")&lt;/Q&gt;&lt;R&gt;1&lt;/R&gt;&lt;C&gt;1&lt;/C&gt;&lt;D xsi:type="xsd:double"&gt;1.736899&lt;/D&gt;&lt;/FQL&gt;&lt;FQL&gt;&lt;Q&gt;TSM-US^P_BETA_LOCIDX(45698,45520,,"SPX")&lt;/Q&gt;&lt;R&gt;1&lt;/R&gt;&lt;C&gt;1&lt;/C&gt;&lt;D xsi:type="xsd:double"&gt;1.736945&lt;/D&gt;&lt;/FQL&gt;&lt;FQL&gt;&lt;Q&gt;TSM-US^P_BETA_LOCIDX(45695,45519,,"SPX")&lt;/Q&gt;&lt;R&gt;1&lt;/R&gt;&lt;C&gt;1&lt;/C&gt;&lt;D xsi:type="xsd:double"&gt;1.7295368&lt;/D&gt;&lt;/FQL&gt;&lt;FQL&gt;&lt;Q&gt;TSM-US^P_BETA_LOCIDX(45694,45518,,"SPX")&lt;/Q&gt;&lt;R&gt;1&lt;/R&gt;&lt;C&gt;1&lt;/C&gt;&lt;D xsi:type="xsd:double"&gt;1.7151605&lt;/D&gt;&lt;/FQL&gt;&lt;FQL&gt;&lt;Q&gt;TSM-US^P_BETA_LOCIDX(45693,45517,,"SPX")&lt;/Q&gt;&lt;R&gt;1&lt;/R&gt;&lt;C&gt;1&lt;/C&gt;&lt;D xsi:type="xsd:double"&gt;1.7119637&lt;/D&gt;&lt;/FQL&gt;&lt;FQL&gt;&lt;Q&gt;TSM-US^P_BETA_LOCIDX(45692,45516,,"SPX")&lt;/Q&gt;&lt;R&gt;1&lt;/R&gt;&lt;C&gt;1&lt;/C&gt;&lt;D xsi:type="xsd:double"&gt;1.706215&lt;/D&gt;&lt;/FQL&gt;&lt;FQL&gt;&lt;Q&gt;TSM-US^P_BETA_LOCIDX(45691,45513,,"SPX")&lt;/Q&gt;&lt;R&gt;1&lt;/R&gt;&lt;C&gt;1&lt;/C&gt;&lt;D xsi:type="xsd:double"&gt;1.7028358&lt;/D&gt;&lt;/FQL&gt;&lt;FQL&gt;&lt;Q&gt;TSM-US^P_BETA_LOCIDX(45688,45512,,"SPX")&lt;/Q&gt;&lt;R&gt;1&lt;/R&gt;&lt;C&gt;1&lt;/C&gt;&lt;D xsi:type="xsd:double"&gt;1.7248694&lt;/D&gt;&lt;/FQL&gt;&lt;FQL&gt;&lt;Q&gt;TSM-US^P_BETA_LOCIDX(45687,45511,,"SPX")&lt;/Q&gt;&lt;R&gt;1&lt;/R&gt;&lt;C&gt;1&lt;/C&gt;&lt;D xsi:type="xsd:double"&gt;1.7239679&lt;/D&gt;&lt;/FQL&gt;&lt;FQL&gt;&lt;Q&gt;TSM-US^P_BETA_LOCIDX(45686,45510,,"SPX")&lt;/Q&gt;&lt;R&gt;1&lt;/R&gt;&lt;C&gt;1&lt;/C&gt;&lt;D xsi:type="xsd:double"&gt;1.7490376&lt;/D&gt;&lt;/FQL&gt;&lt;FQL&gt;&lt;Q&gt;TSM-US^P_BETA_LOCIDX(45685,45509,,"SPX")&lt;/Q&gt;&lt;R&gt;1&lt;/R&gt;&lt;C&gt;1&lt;/C&gt;&lt;D xsi:type="xsd:double"&gt;1.6247755&lt;/D&gt;&lt;/FQL&gt;&lt;FQL&gt;&lt;Q&gt;TSM-US^P_BETA_LOCIDX(45684,45506,,"SPX")&lt;/Q&gt;&lt;R&gt;1&lt;/R&gt;&lt;C&gt;1&lt;/C&gt;&lt;D xsi:type="xsd:double"&gt;1.6407535&lt;/D&gt;&lt;/FQL&gt;&lt;FQL&gt;&lt;Q&gt;TSM-US^P_BETA_LOCIDX(45681,45505,,"SPX")&lt;/Q&gt;&lt;R&gt;1&lt;/R&gt;&lt;C&gt;1&lt;/C&gt;&lt;D xsi:type="xsd:double"&gt;1.5015736&lt;/D&gt;&lt;/FQL&gt;&lt;FQL&gt;&lt;Q&gt;TSM-US^P_BETA_LOCIDX(45680,45504,,"SPX")&lt;/Q&gt;&lt;R&gt;1&lt;/R&gt;&lt;C&gt;1&lt;/C&gt;&lt;D xsi:type="xsd:double"&gt;1.56918&lt;/D&gt;&lt;/FQL&gt;&lt;FQL&gt;&lt;Q&gt;TSM-US^P_BETA_LOCIDX(45679,45503,,"SPX")&lt;/Q&gt;&lt;R&gt;1&lt;/R&gt;&lt;C&gt;1&lt;/C&gt;&lt;D xsi:type="xsd:double"&gt;1.5876873&lt;/D&gt;&lt;/FQL&gt;&lt;FQL&gt;&lt;Q&gt;TSM-US^P_BETA_LOCIDX(45678,45502,,"SPX")&lt;/Q&gt;&lt;R&gt;1&lt;/R&gt;&lt;C&gt;1&lt;/C&gt;&lt;D xsi:type="xsd:double"&gt;1.5829144&lt;/D&gt;&lt;/FQL&gt;&lt;FQL&gt;&lt;Q&gt;TSM-US^P_BETA_LOCIDX(45674,45499,,"SPX")&lt;/Q&gt;&lt;R&gt;1&lt;/R&gt;&lt;C&gt;1&lt;/C&gt;&lt;D xsi:type="xsd:double"&gt;1.5592107&lt;/D&gt;&lt;/FQL&gt;&lt;FQL&gt;&lt;Q&gt;TSM-US^P_BETA_LOCIDX(45673,45498,,"SPX")&lt;/Q&gt;&lt;R&gt;1&lt;/R&gt;&lt;C&gt;1&lt;/C&gt;&lt;D xsi:type="xsd:double"&gt;1.583304&lt;/D&gt;&lt;/FQL&gt;&lt;FQL&gt;&lt;Q&gt;TSM-US^P_BETA_LOCIDX(45672,45497,,"SPX")&lt;/Q&gt;&lt;R&gt;1&lt;/R&gt;&lt;C&gt;1&lt;/C&gt;&lt;D xsi:type="xsd:double"&gt;1.6483192&lt;/D&gt;&lt;/FQL&gt;&lt;FQL&gt;&lt;Q&gt;TSM-US^P_BETA_LOCIDX(45671,45496,,"SPX")&lt;/Q&gt;&lt;R&gt;1&lt;/R&gt;&lt;C&gt;1&lt;/C&gt;&lt;D xsi:type="xsd:double"&gt;1.6556115&lt;/D&gt;&lt;/FQL&gt;&lt;FQL&gt;&lt;Q&gt;TSM-US^P_BETA_LOCIDX(45670,45495,,"SPX")&lt;/Q&gt;&lt;R&gt;1&lt;/R&gt;&lt;C&gt;1&lt;/C&gt;&lt;D xsi:type="xsd:double"&gt;1.6584423&lt;/D&gt;&lt;/FQL&gt;&lt;FQL&gt;&lt;Q&gt;TSM-US^P_BETA_LOCIDX(45667,45492,,"SPX")&lt;/Q&gt;&lt;R&gt;1&lt;/R&gt;&lt;C&gt;1&lt;/C&gt;&lt;D xsi:type="xsd:double"&gt;1.6807994&lt;/D&gt;&lt;/FQL&gt;&lt;FQL&gt;&lt;Q&gt;TSM-US^P_BETA_LOCIDX(45665,45491,,"SPX")&lt;/Q&gt;&lt;R&gt;1&lt;/R&gt;&lt;C&gt;1&lt;/C&gt;&lt;D xsi:type="xsd:double"&gt;1.7162052&lt;/D&gt;&lt;/FQL&gt;&lt;FQL&gt;&lt;Q&gt;TSM-US^P_BETA_LOCIDX(45664,45490,,"SPX")&lt;/Q&gt;&lt;R&gt;1&lt;/R&gt;&lt;C&gt;1&lt;/C&gt;&lt;D xsi:type="xsd:double"&gt;1.7980248&lt;/D&gt;&lt;/FQL&gt;&lt;FQL&gt;&lt;Q&gt;TSM-US^P_BETA_LOCIDX(45663,45489,,"SPX")&lt;/Q&gt;&lt;R&gt;1&lt;/R&gt;&lt;C&gt;1&lt;/C&gt;&lt;D xsi:type="xsd:double"&gt;1.7709292&lt;/D&gt;&lt;/FQL&gt;&lt;FQL&gt;&lt;Q&gt;TSM-US^P_BETA_LOCIDX(45660,45488,,"SPX")&lt;/Q&gt;&lt;R&gt;1&lt;/R&gt;&lt;C&gt;1&lt;/C&gt;&lt;D xsi:type="xsd:double"&gt;1.745303&lt;/D&gt;&lt;/FQL&gt;&lt;FQL&gt;&lt;Q&gt;TSM-US^P_BETA_LOCIDX(45659,45485,,"SPX")&lt;/Q&gt;&lt;R&gt;1&lt;/R&gt;&lt;C&gt;1&lt;/C&gt;&lt;D xsi:type="xsd:double"&gt;1.732939&lt;/D&gt;&lt;/FQL&gt;&lt;FQL&gt;&lt;Q&gt;TSM-US^P_BETA_LOCIDX(45657,45484,,"SPX")&lt;/Q&gt;&lt;R&gt;1&lt;/R&gt;&lt;C&gt;1&lt;/C&gt;&lt;D xsi:type="xsd:double"&gt;1.7567465&lt;/D&gt;&lt;/FQL&gt;&lt;FQL&gt;&lt;Q&gt;TSM-US^P_BETA_LOCIDX(45656,45483,,"SPX")&lt;/Q&gt;&lt;R&gt;1&lt;/R&gt;&lt;C&gt;1&lt;/C&gt;&lt;D xsi:type="xsd:double"&gt;1.7701137&lt;/D&gt;&lt;/FQL&gt;&lt;FQL&gt;&lt;Q&gt;TSM-US^P_BETA_LOCIDX(45653,45482,,"SPX")&lt;/Q&gt;&lt;R&gt;1&lt;/R&gt;&lt;C&gt;1&lt;/C&gt;&lt;D xsi:type="xsd:double"&gt;1.7841381&lt;/D&gt;&lt;/FQL&gt;&lt;FQL&gt;&lt;Q&gt;TSM-US^P_BETA_LOCIDX(45652,45481,,"SPX")&lt;/Q&gt;&lt;R&gt;1&lt;/R&gt;&lt;C&gt;1&lt;/C&gt;&lt;D xsi:type="xsd:double"&gt;1.7996111&lt;/D&gt;&lt;/FQL&gt;&lt;FQL&gt;&lt;Q&gt;TSM-US^P_BETA_LOCIDX(45650,45478,,"SPX")&lt;/Q&gt;&lt;R&gt;1&lt;/R&gt;&lt;C&gt;1&lt;/C&gt;&lt;D xsi:type="xsd:double"&gt;1.7971481&lt;/D&gt;&lt;/FQL&gt;&lt;FQL&gt;&lt;Q&gt;TSM-US^P_BETA_LOCIDX(45649,45476,,"SPX")&lt;/Q&gt;&lt;R&gt;1&lt;/R&gt;&lt;C&gt;1&lt;/C&gt;&lt;D xsi:type="xsd:double"&gt;1.8361591&lt;/D&gt;&lt;/FQL&gt;&lt;FQL&gt;&lt;Q&gt;TSM-US^P_BETA_LOCIDX(45646,45475,,"SPX")&lt;/Q&gt;&lt;R&gt;1&lt;/R&gt;&lt;C&gt;1&lt;/C&gt;&lt;D xsi:type="xsd:double"&gt;1.8153503&lt;/D&gt;&lt;/FQL&gt;&lt;FQL&gt;&lt;Q&gt;TSM-US^P_BETA_LOCIDX(45645,45474,,"SPX")&lt;/Q&gt;&lt;R&gt;1&lt;/R&gt;&lt;C&gt;1&lt;/C&gt;&lt;D xsi:type="xsd:double"&gt;1.8195754&lt;/D&gt;&lt;/FQL&gt;&lt;FQL&gt;&lt;Q&gt;TSM-US^P_BETA_LOCIDX(45644,45471,,"SPX")&lt;/Q&gt;&lt;R&gt;1&lt;/R&gt;&lt;C&gt;1&lt;/C&gt;&lt;D xsi:type="xsd:double"&gt;1.8095094&lt;/D&gt;&lt;/FQL&gt;&lt;FQL&gt;&lt;Q&gt;TSM-US^P_BETA_LOCIDX(45643,45470,,"SPX")&lt;/Q&gt;&lt;R&gt;1&lt;/R&gt;&lt;C&gt;1&lt;/C&gt;&lt;D xsi:type="xsd:double"&gt;1.9038422&lt;/D&gt;&lt;/FQL&gt;&lt;FQL&gt;&lt;Q&gt;TSM-US^P_BETA_LOCIDX(45642,45469,,"SPX")&lt;/Q&gt;&lt;R&gt;1&lt;/R&gt;&lt;C&gt;1&lt;/C&gt;&lt;D xsi:type="xsd:double"&gt;1.9031862&lt;/D&gt;&lt;/FQL&gt;&lt;FQL&gt;&lt;Q&gt;TSM-US^P_BETA_LOCIDX(45639,45468,,"SPX")&lt;/Q&gt;&lt;R&gt;1&lt;/R&gt;&lt;C&gt;1&lt;/C&gt;&lt;D xsi:type="xsd:double"&gt;1.9107519&lt;/D&gt;&lt;/FQL&gt;&lt;FQL&gt;&lt;Q&gt;TSM-US^P_BETA_LOCIDX(45638,45467,,"SPX")&lt;/Q&gt;&lt;R&gt;1&lt;/R&gt;&lt;C&gt;1&lt;/C&gt;&lt;D xsi:type="xsd:double"&gt;1.929008&lt;/D&gt;&lt;/FQL&gt;&lt;FQL&gt;&lt;Q&gt;TSM-US^P_BETA_LOCIDX(45637,45464,,"SPX")&lt;/Q&gt;&lt;R&gt;1&lt;/R&gt;&lt;C&gt;1&lt;/C&gt;&lt;D xsi:type="xsd:double"&gt;1.926589&lt;/D&gt;&lt;/FQL&gt;&lt;FQL&gt;&lt;Q&gt;TSM-US^P_BETA_LOCIDX(45636,45463,,"SPX")&lt;/Q&gt;&lt;R&gt;1&lt;/R&gt;&lt;C&gt;1&lt;/C&gt;&lt;D xsi:type="xsd:double"&gt;1.9347947&lt;/D&gt;&lt;/FQL&gt;&lt;FQL&gt;&lt;Q&gt;TSM-US^P_BETA_LOCIDX(45635,45461,,"SPX")&lt;/Q&gt;&lt;R&gt;1&lt;/R&gt;&lt;C&gt;1&lt;/C&gt;&lt;D xsi:type="xsd:double"&gt;1.9235622&lt;/D&gt;&lt;/FQL&gt;&lt;FQL&gt;&lt;Q&gt;TSM-US^P_BETA_LOCIDX(45632,45460,,"SPX")&lt;/Q&gt;&lt;R&gt;1&lt;/R&gt;&lt;C&gt;1&lt;/C&gt;&lt;D xsi:type="xsd:double"&gt;1.9279426&lt;/D&gt;&lt;/FQL&gt;&lt;FQL&gt;&lt;Q&gt;TSM-US^P_BETA_LOCIDX(45631,45457,,"SPX")&lt;/Q&gt;&lt;R&gt;1&lt;/R&gt;&lt;C&gt;1&lt;/C&gt;&lt;D xsi:type="xsd:double"&gt;1.9300619&lt;/D&gt;&lt;/FQL&gt;&lt;FQL&gt;&lt;Q&gt;TSM-US^P_BETA_LOCIDX(45630,45456,,"SPX")&lt;/Q&gt;&lt;R&gt;1&lt;/R&gt;&lt;C&gt;1&lt;/C&gt;&lt;D xsi:type="xsd:double"&gt;1.9364018&lt;/D&gt;&lt;/FQL&gt;&lt;FQL&gt;&lt;Q&gt;TSM-US^P_BETA_LOCIDX(45629,45455,,"SPX")&lt;/Q&gt;&lt;R&gt;1&lt;/R&gt;&lt;C&gt;1&lt;/C&gt;&lt;D xsi:type="xsd:double"&gt;1.9613376&lt;/D&gt;&lt;/FQL&gt;&lt;FQL&gt;&lt;Q&gt;TSM-US^P_BETA_LOCIDX(45628,45454,,"SPX")&lt;/Q&gt;&lt;R&gt;1&lt;/R&gt;&lt;C&gt;1&lt;/C&gt;&lt;D xsi:type="xsd:double"&gt;1.9590415&lt;/D&gt;&lt;/FQL&gt;&lt;FQL&gt;&lt;Q&gt;TSM-US^P_BETA_LOCIDX(45625,45453,,"SPX")&lt;/Q&gt;&lt;R&gt;1&lt;/R&gt;&lt;C&gt;1&lt;/C&gt;&lt;D xsi:type="xsd:double"&gt;1.9544857&lt;/D&gt;&lt;/FQL&gt;&lt;FQL&gt;&lt;Q&gt;TSM-US^P_BETA_LOCIDX(45623,45450,,"SPX")&lt;/Q&gt;&lt;R&gt;1&lt;/R&gt;&lt;C&gt;1&lt;/C&gt;&lt;D xsi:type="xsd:double"&gt;1.945711&lt;/D&gt;&lt;/FQL&gt;&lt;FQL&gt;&lt;Q&gt;TSM-US^P_BETA_LOCIDX(45622,45449,,"SPX")&lt;/Q&gt;&lt;R&gt;1&lt;/R&gt;&lt;C&gt;1&lt;/C&gt;&lt;D xsi:type="xsd:double"&gt;1.9427798&lt;/D&gt;&lt;/FQL&gt;&lt;FQL&gt;&lt;Q&gt;TSM-US^P_BETA_LOCIDX(45621,45448,,"SPX")&lt;/Q&gt;&lt;R&gt;1&lt;/R&gt;&lt;C&gt;1&lt;/C&gt;&lt;D xsi:type="xsd:double"&gt;2.0079849&lt;/D&gt;&lt;/FQL&gt;&lt;FQL&gt;&lt;Q&gt;TSM-US^P_BETA_LOCIDX(45618,45447,,"SPX")&lt;/Q&gt;&lt;R&gt;1&lt;/R&gt;&lt;C&gt;1&lt;/C&gt;&lt;D xsi:type="xsd:double"&gt;2.0141943&lt;/D&gt;&lt;/FQL&gt;&lt;FQL&gt;&lt;Q&gt;TSM-US^P_BETA_LOCIDX(45617,45446,,"SPX")&lt;/Q&gt;&lt;R&gt;1&lt;/R&gt;&lt;C&gt;1&lt;/C&gt;&lt;D xsi:type="xsd:double"&gt;2.0180223&lt;/D&gt;&lt;/FQL&gt;&lt;FQL&gt;&lt;Q&gt;TSM-US^P_BETA_LOCIDX(45616,45443,,"SPX")&lt;/Q&gt;&lt;R&gt;1&lt;/R&gt;&lt;C&gt;1&lt;/C&gt;&lt;D xsi:type="xsd:double"&gt;1.9931728&lt;/D&gt;&lt;/FQL&gt;&lt;FQL&gt;&lt;Q&gt;TSM-US^P_BETA_LOCIDX(45615,45442,,"SPX")&lt;/Q&gt;&lt;R&gt;1&lt;/R&gt;&lt;C&gt;1&lt;/C&gt;&lt;D xsi:type="xsd:double"&gt;1.990103&lt;/D&gt;&lt;/FQL&gt;&lt;FQL&gt;&lt;Q&gt;TSM-US^P_BETA_LOCIDX(45614,45441,,"SPX")&lt;/Q&gt;&lt;R&gt;1&lt;/R&gt;&lt;C&gt;1&lt;/C&gt;&lt;D xsi:type="xsd:double"&gt;2.0047092&lt;/D&gt;&lt;/FQL&gt;&lt;FQL&gt;&lt;Q&gt;TSM-US^P_BETA_LOCIDX(45611,45440,,"SPX")&lt;/Q&gt;&lt;R&gt;1&lt;/R&gt;&lt;C&gt;1&lt;/C&gt;&lt;D xsi:type="xsd:double"&gt;2.0049484&lt;/D&gt;&lt;/FQL&gt;&lt;FQL&gt;&lt;Q&gt;TSM-US^P_BETA_LOCIDX(45610,45436,,"SPX")&lt;/Q&gt;&lt;R&gt;1&lt;/R&gt;&lt;C&gt;1&lt;/C&gt;&lt;D xsi:type="xsd:double"&gt;2.0296905&lt;/D&gt;&lt;/FQL&gt;&lt;FQL&gt;&lt;Q&gt;TSM-US^P_BETA_LOCIDX(45609,45435,,"SPX")&lt;/Q&gt;&lt;R&gt;1&lt;/R&gt;&lt;C&gt;1&lt;/C&gt;&lt;D xsi:type="xsd:double"&gt;2.0274045&lt;/D&gt;&lt;/FQL&gt;&lt;FQL&gt;&lt;Q&gt;TSM-US^P_BETA_LOCIDX(45608,45434,,"SPX")&lt;/Q&gt;&lt;R&gt;1&lt;/R&gt;&lt;C&gt;1&lt;/C&gt;&lt;D xsi:type="xsd:double"&gt;2.015885&lt;/D&gt;&lt;/FQL&gt;&lt;FQL&gt;&lt;Q&gt;TSM-US^P_BETA_LOCIDX(45607,45433,,"SPX")&lt;/Q&gt;&lt;R&gt;1&lt;/R&gt;&lt;C&gt;1&lt;/C&gt;&lt;D xsi:type="xsd:double"&gt;2.0124319&lt;/D&gt;&lt;/FQL&gt;&lt;FQL&gt;&lt;Q&gt;TSM-US^P_BETA_LOCIDX(45604,45432,,"SPX")&lt;/Q&gt;&lt;R&gt;1&lt;/R&gt;&lt;C&gt;1&lt;/C&gt;&lt;D xsi:type="xsd:double"&gt;2.0119255&lt;/D&gt;&lt;/FQL&gt;&lt;FQL&gt;&lt;Q&gt;TSM-US^P_BETA_LOCIDX(45603,45429,,"SPX")&lt;/Q&gt;&lt;R&gt;1&lt;/R&gt;&lt;C&gt;1&lt;/C&gt;&lt;D xsi:type="xsd:double"&gt;2.014329&lt;/D&gt;&lt;/FQL&gt;&lt;FQL&gt;&lt;Q&gt;TSM-US^P_BETA_LOCIDX(45602,45428,,"SPX")&lt;/Q&gt;&lt;R&gt;1&lt;/R&gt;&lt;C&gt;1&lt;/C&gt;&lt;D xsi:type="xsd:double"&gt;2.0016115&lt;/D&gt;&lt;/FQL&gt;&lt;FQL&gt;&lt;Q&gt;TSM-US^P_BETA_LOCIDX(45601,45427,,"SPX")&lt;/Q&gt;&lt;R&gt;1&lt;/R&gt;&lt;C&gt;1&lt;/C&gt;&lt;D xsi:type="xsd:double"&gt;2.1895585&lt;/D&gt;&lt;/FQL&gt;&lt;FQL&gt;&lt;Q&gt;TSM-US^P_BETA_LOCIDX(45600,45426,,"SPX")&lt;/Q&gt;&lt;R&gt;1&lt;/R&gt;&lt;C&gt;1&lt;/C&gt;&lt;D xsi:type="xsd:double"&gt;2.210516&lt;/D&gt;&lt;/FQL&gt;&lt;FQL&gt;&lt;Q&gt;TSM-US^P_BETA_LOCIDX(45597,45425,,"SPX")&lt;/Q&gt;&lt;R&gt;1&lt;/R&gt;&lt;C&gt;1&lt;/C&gt;&lt;D xsi:type="xsd:double"&gt;2.2121594&lt;/D&gt;&lt;/FQL&gt;&lt;FQL&gt;&lt;Q&gt;TSM-US^P_BETA_LOCIDX(45596,45422,,"SPX")&lt;/Q&gt;&lt;R&gt;1&lt;/R&gt;&lt;C&gt;1&lt;/C&gt;&lt;D xsi:type="xsd:double"&gt;2.2153568&lt;/D&gt;&lt;/FQL&gt;&lt;FQL&gt;&lt;Q&gt;TSM-US^P_BETA_LOCIDX(45595,45421,,"SPX")&lt;/Q&gt;&lt;R&gt;1&lt;/R&gt;&lt;C&gt;1&lt;/C&gt;&lt;D xsi:type="xsd:double"&gt;2.2558148&lt;/D&gt;&lt;/FQL&gt;&lt;FQL&gt;&lt;Q&gt;TSM-US^P_BETA_LOCIDX(45594,45420,,"SPX")&lt;/Q&gt;&lt;R&gt;1&lt;/R&gt;&lt;C&gt;1&lt;/C&gt;&lt;D xsi:type="xsd:double"&gt;2.2504601&lt;/D&gt;&lt;/FQL&gt;&lt;FQL&gt;&lt;Q&gt;TSM-US^P_BETA_LOCIDX(45593,45419,,"SPX")&lt;/Q&gt;&lt;R&gt;1&lt;/R&gt;&lt;C&gt;1&lt;/C&gt;&lt;D xsi:type="xsd:double"&gt;2.2491987&lt;/D&gt;&lt;/FQL&gt;&lt;FQL&gt;&lt;Q&gt;TSM-US^P_BETA_LOCIDX(45590,45418,,"SPX")&lt;/Q&gt;&lt;R&gt;1&lt;/R&gt;&lt;C&gt;1&lt;/C&gt;&lt;D xsi:type="xsd:double"&gt;2.2416523&lt;/D&gt;&lt;/FQL&gt;&lt;FQL&gt;&lt;Q&gt;TSM-US^P_BETA_LOCIDX(45589,45415,,"SPX")&lt;/Q&gt;&lt;R&gt;1&lt;/R&gt;&lt;C&gt;1&lt;/C&gt;&lt;D xsi:type="xsd:double"&gt;2.2608714&lt;/D&gt;&lt;/FQL&gt;&lt;FQL&gt;&lt;Q&gt;TSM-US^P_BETA_LOCIDX(45588,45414,,"SPX")&lt;/Q&gt;&lt;R&gt;1&lt;/R&gt;&lt;C&gt;1&lt;/C&gt;&lt;D xsi:type="xsd:double"&gt;2.2515323&lt;/D&gt;&lt;/FQL&gt;&lt;FQL&gt;&lt;Q&gt;TSM-US^P_BETA_LOCIDX(45587,45413,,"SPX")&lt;/Q&gt;&lt;R&gt;1&lt;/R&gt;&lt;C&gt;1&lt;/C&gt;&lt;D xsi:type="xsd:double"&gt;2.29942&lt;/D&gt;&lt;/FQL&gt;&lt;FQL&gt;&lt;Q&gt;TSM-US^P_BETA_LOCIDX(45586,45412,,"SPX")&lt;/Q&gt;&lt;R&gt;1&lt;/R&gt;&lt;C&gt;1&lt;/C&gt;&lt;D xsi:type="xsd:double"&gt;2.240492&lt;/D&gt;&lt;/FQL&gt;&lt;FQL&gt;&lt;Q&gt;TSM-US^P_BETA_LOCIDX(45583,45411,,"SPX")&lt;/Q&gt;&lt;R&gt;1&lt;/R&gt;&lt;C&gt;1&lt;/C&gt;&lt;D xsi:type="xsd:double"&gt;2.2421768&lt;/D&gt;&lt;/FQL&gt;&lt;FQL&gt;&lt;Q&gt;TSM-US^P_BETA_LOCIDX(45582,45408,,"SPX")&lt;/Q&gt;&lt;R&gt;1&lt;/R&gt;&lt;C&gt;1&lt;/C&gt;&lt;D xsi:type="xsd:double"&gt;2.2414727&lt;/D&gt;&lt;/FQL&gt;&lt;FQL&gt;&lt;Q&gt;TSM-US^P_BETA_LOCIDX(45581,45407,,"SPX")&lt;/Q&gt;&lt;R&gt;1&lt;/R&gt;&lt;C&gt;1&lt;/C&gt;&lt;D xsi:type="xsd:double"&gt;2.2323241&lt;/D&gt;&lt;/FQL&gt;&lt;FQL&gt;&lt;Q&gt;TSM-US^P_BETA_LOCIDX(45580,45406,,"SPX")&lt;/Q&gt;&lt;R&gt;1&lt;/R&gt;&lt;C&gt;1&lt;/C&gt;&lt;D xsi:type="xsd:double"&gt;2.2366362&lt;/D&gt;&lt;/FQL&gt;&lt;FQL&gt;&lt;Q&gt;TSM-US^P_BETA_LOCIDX(45579,45405,,"SPX")&lt;/Q&gt;&lt;R&gt;1&lt;/R&gt;&lt;C&gt;1&lt;/C&gt;&lt;D xsi:type="xsd:double"&gt;2.2274177&lt;/D&gt;&lt;/FQL&gt;&lt;FQL&gt;&lt;Q&gt;TSM-US^P_BETA_LOCIDX(45576,45404,,"SPX")&lt;/Q&gt;&lt;R&gt;1&lt;/R&gt;&lt;C&gt;1&lt;/C&gt;&lt;D xsi:type="xsd:double"&gt;2.2317991&lt;/D&gt;&lt;/FQL&gt;&lt;FQL&gt;&lt;Q&gt;TSM-US^P_BETA_LOCIDX(45575,45401,,"SPX")&lt;/Q&gt;&lt;R&gt;1&lt;/R&gt;&lt;C&gt;1&lt;/C&gt;&lt;D xsi:type="xsd:double"&gt;2.2428782&lt;/D&gt;&lt;/FQL&gt;&lt;FQL&gt;&lt;Q&gt;TSM-US^P_BETA_LOCIDX(45574,45400,,"SPX")&lt;/Q&gt;&lt;R&gt;1&lt;/R&gt;&lt;C&gt;1&lt;/C&gt;&lt;D xsi:type="xsd:double"&gt;2.259467&lt;/D&gt;&lt;/FQL&gt;&lt;FQL&gt;&lt;Q&gt;TSM-US^P_BETA_LOCIDX(45573,45399,,"SPX")&lt;/Q&gt;&lt;R&gt;1&lt;/R&gt;&lt;C&gt;1&lt;/C&gt;&lt;D xsi:type="xsd:double"&gt;2.260669&lt;/D&gt;&lt;/FQL&gt;&lt;FQL&gt;&lt;Q&gt;TSM-US^P_BETA_LOCIDX(45572,45398,,"SPX")&lt;/Q&gt;&lt;R&gt;1&lt;/R&gt;&lt;C&gt;1&lt;/C&gt;&lt;D xsi:type="xsd:double"&gt;2.2740998&lt;/D&gt;&lt;/FQL&gt;&lt;FQL&gt;&lt;Q&gt;TSM-US^P_BETA_LOCIDX(45569,45397,,"SPX")&lt;/Q&gt;&lt;R&gt;1&lt;/R&gt;&lt;C&gt;1&lt;/C&gt;&lt;D xsi:type="xsd:double"&gt;2.308047&lt;/D&gt;&lt;/FQL&gt;&lt;FQL&gt;&lt;Q&gt;TSM-US^P_BETA_LOCIDX(45568,45394,,"SPX")&lt;/Q&gt;&lt;R&gt;1&lt;/R&gt;&lt;C&gt;1&lt;/C&gt;&lt;D xsi:type="xsd:double"&gt;2.3157182&lt;/D&gt;&lt;/FQL&gt;&lt;FQL&gt;&lt;Q&gt;TSM-US^P_BETA_LOCIDX(45567,45393,,"SPX")&lt;/Q&gt;&lt;R&gt;1&lt;/R&gt;&lt;C&gt;1&lt;/C&gt;&lt;D xsi:type="xsd:double"&gt;2.3148785&lt;/D&gt;&lt;/FQL&gt;&lt;FQL&gt;&lt;Q&gt;TSM-US^P_BETA_LOCIDX(45566,45392,,"SPX")&lt;/Q&gt;&lt;R&gt;1&lt;/R&gt;&lt;C&gt;1&lt;/C&gt;&lt;D xsi:type="xsd:double"&gt;2.2843084&lt;/D&gt;&lt;/FQL&gt;&lt;FQL&gt;&lt;Q&gt;TSM-US^P_BETA_LOCIDX(45565,45391,,"SPX")&lt;/Q&gt;&lt;R&gt;1&lt;/R&gt;&lt;C&gt;1&lt;/C&gt;&lt;D xsi:type="xsd:double"&gt;2.2995076&lt;/D&gt;&lt;/FQL&gt;&lt;FQL&gt;&lt;Q&gt;TSM-US^P_BETA_LOCIDX(45562,45390,,"SPX")&lt;/Q&gt;&lt;R&gt;1&lt;/R&gt;&lt;C&gt;1&lt;/C&gt;&lt;D xsi:type="xsd:double"&gt;2.3111637&lt;/D&gt;&lt;/FQL&gt;&lt;FQL&gt;&lt;Q&gt;TSM-US^P_BETA_LOCIDX(45561,45387,,"SPX")&lt;/Q&gt;&lt;R&gt;1&lt;/R&gt;&lt;C&gt;1&lt;/C&gt;&lt;D xsi:type="xsd:double"&gt;2.2840548&lt;/D&gt;&lt;/FQL&gt;&lt;FQL&gt;&lt;Q&gt;TSM-US^P_BETA_LOCIDX(45560,45386,,"SPX")&lt;/Q&gt;&lt;R&gt;1&lt;/R&gt;&lt;C&gt;1&lt;/C&gt;&lt;D xsi:type="xsd:double"&gt;2.262476&lt;/D&gt;&lt;/FQL&gt;&lt;FQL&gt;&lt;Q&gt;TSM-US^P_BETA_LOCIDX(45559,45385,,"SPX")&lt;/Q&gt;&lt;R&gt;1&lt;/R&gt;&lt;C&gt;1&lt;/C&gt;&lt;D xsi:type="xsd:double"&gt;2.2644722&lt;/D&gt;&lt;/FQL&gt;&lt;FQL&gt;&lt;Q&gt;TSM-US^P_BETA_LOCIDX(45558,45384,,"SPX")&lt;/Q&gt;&lt;R&gt;1&lt;/R&gt;&lt;C&gt;1&lt;/C&gt;&lt;D xsi:type="xsd:double"&gt;2.2516356&lt;/D&gt;&lt;/FQL&gt;&lt;FQL&gt;&lt;Q&gt;TSM-US^P_BETA_LOCIDX(45555,45383,,"SPX")&lt;/Q&gt;&lt;R&gt;1&lt;/R&gt;&lt;C&gt;1&lt;/C&gt;&lt;D xsi:type="xsd:double"&gt;2.23895&lt;/D&gt;&lt;/FQL&gt;&lt;FQL&gt;&lt;Q&gt;TSM-US^P_BETA_LOCIDX(45554,45379,,"SPX")&lt;/Q&gt;&lt;R&gt;1&lt;/R&gt;&lt;C&gt;1&lt;/C&gt;&lt;D xsi:type="xsd:double"&gt;2.236065&lt;/D&gt;&lt;/FQL&gt;&lt;FQL&gt;&lt;Q&gt;TSM-US^P_BETA_LOCIDX(45553,45378,,"SPX")&lt;/Q&gt;&lt;R&gt;1&lt;/R&gt;&lt;C&gt;1&lt;/C&gt;&lt;D xsi:type="xsd:double"&gt;2.176773&lt;/D&gt;&lt;/FQL&gt;&lt;FQL&gt;&lt;Q&gt;TSM-US^P_BETA_LOCIDX(45552,45377,,"SPX")&lt;/Q&gt;&lt;R&gt;1&lt;/R&gt;&lt;C&gt;1&lt;/C&gt;&lt;D xsi:type="xsd:double"&gt;2.180654&lt;/D&gt;&lt;/FQL&gt;&lt;FQL&gt;&lt;Q&gt;TSM-US^P_BETA_LOCIDX(45551,45376,,"SPX")&lt;/Q&gt;&lt;R&gt;1&lt;/R&gt;&lt;C&gt;1&lt;/C&gt;&lt;D xsi:type="xsd:double"&gt;2.1784492&lt;/D&gt;&lt;/FQL&gt;&lt;FQL&gt;&lt;Q&gt;TSM-US^P_BETA_LOCIDX(45548,45373,,"SPX")&lt;/Q&gt;&lt;R&gt;1&lt;/R&gt;&lt;C&gt;1&lt;/C&gt;&lt;D xsi:type="xsd:double"&gt;2.1777194&lt;/D&gt;&lt;/FQL&gt;&lt;FQL&gt;&lt;Q&gt;TSM-US^P_BETA_LOCIDX(45547,45372,,"SPX")&lt;/Q&gt;&lt;R&gt;1&lt;/R&gt;&lt;C&gt;1&lt;/C&gt;&lt;D xsi:type="xsd:double"&gt;2.184708&lt;/D&gt;&lt;/FQL&gt;&lt;FQL&gt;&lt;Q&gt;TSM-US^P_BETA_LOCIDX(45546,45371,,"SPX")&lt;/Q&gt;&lt;R&gt;1&lt;/R&gt;&lt;C&gt;1&lt;/C&gt;&lt;D xsi:type="xsd:double"&gt;2.1866555&lt;/D&gt;&lt;/FQL&gt;&lt;FQL&gt;&lt;Q&gt;TSM-US^P_BETA_LOCIDX(45545,45370,,"SPX")&lt;/Q&gt;&lt;R&gt;1&lt;/R&gt;&lt;C&gt;1&lt;/C&gt;&lt;D xsi:type="xsd:double"&gt;2.1440766&lt;/D&gt;&lt;/FQL&gt;&lt;FQL&gt;&lt;Q&gt;TSM-US^P_BETA_LOCIDX(45544,45369,,"SPX")&lt;/Q&gt;&lt;R&gt;1&lt;/R&gt;&lt;C&gt;1&lt;/C&gt;&lt;D xsi:type="xsd:double"&gt;2.1386998&lt;/D&gt;&lt;/FQL&gt;&lt;FQL&gt;&lt;Q&gt;TSM-US^P_BETA_LOCIDX(45541,45366,,"SPX")&lt;/Q&gt;&lt;R&gt;1&lt;/R&gt;&lt;C&gt;1&lt;/C&gt;&lt;D xsi:type="xsd:double"&gt;2.1267986&lt;/D&gt;&lt;/FQL&gt;&lt;FQL&gt;&lt;Q&gt;TSM-US^P_BETA_LOCIDX(45540,45365,,"SPX")&lt;/Q&gt;&lt;R&gt;1&lt;/R&gt;&lt;C&gt;1&lt;/C&gt;&lt;D xsi:type="xsd:double"&gt;2.1196642&lt;/D&gt;&lt;/FQL&gt;&lt;FQL&gt;&lt;Q&gt;TSM-US^P_BETA_LOCIDX(45539,45364,,"SPX")&lt;/Q&gt;&lt;R&gt;1&lt;/R&gt;&lt;C&gt;1&lt;/C&gt;&lt;D xsi:type="xsd:double"&gt;2.1333067&lt;/D&gt;&lt;/FQL&gt;&lt;FQL&gt;&lt;Q&gt;TSM-US^P_BETA_LOCIDX(45538,45363,,"SPX")&lt;/Q&gt;&lt;R&gt;1&lt;/R&gt;&lt;C&gt;1&lt;/C&gt;&lt;D xsi:type="xsd:double"&gt;2.1531842&lt;/D&gt;&lt;/FQL&gt;&lt;FQL&gt;&lt;Q&gt;TSM-US^P_BETA_LOCIDX(45534,45362,,"SPX")&lt;/Q&gt;&lt;R&gt;1&lt;/R&gt;&lt;C&gt;1&lt;/C&gt;&lt;D xsi:type="xsd:double"&gt;2.1106133&lt;/D&gt;&lt;/FQL&gt;&lt;FQL&gt;&lt;Q&gt;TSM-US^P_BETA_LOCIDX(45533,45359,,"SPX")&lt;/Q&gt;&lt;R&gt;1&lt;/R&gt;&lt;C&gt;1&lt;/C&gt;&lt;D xsi:type="xsd:double"&gt;2.122343&lt;/D&gt;&lt;/FQL&gt;&lt;FQL&gt;&lt;Q&gt;TSM-US^P_BETA_LOCIDX(45532,45358,,"SPX")&lt;/Q&gt;&lt;R&gt;1&lt;/R&gt;&lt;C&gt;1&lt;/C&gt;&lt;D xsi:type="xsd:double"&gt;2.1601987&lt;/D&gt;&lt;/FQL&gt;&lt;FQL&gt;&lt;Q&gt;TSM-US^P_BETA_LOCIDX(45531,45357,,"SPX")&lt;/Q&gt;&lt;R&gt;1&lt;/R&gt;&lt;C&gt;1&lt;/C&gt;&lt;D xsi:type="xsd:double"&gt;2.1843026&lt;/D&gt;&lt;/FQL&gt;&lt;FQL&gt;&lt;Q&gt;TSM-US^P_BETA_LOCIDX(45530,45356,,"SPX")&lt;/Q&gt;&lt;R&gt;1&lt;/R&gt;&lt;C&gt;1&lt;/C&gt;&lt;D xsi:type="xsd:double"&gt;2.1863406&lt;/D&gt;&lt;/FQL&gt;&lt;FQL&gt;&lt;Q&gt;TSM-US^P_BETA_LOCIDX(45527,45355,,"SPX")&lt;/Q&gt;&lt;R&gt;1&lt;/R&gt;&lt;C&gt;1&lt;/C&gt;&lt;D xsi:type="xsd:double"&gt;2.1747844&lt;/D&gt;&lt;/FQL&gt;&lt;FQL&gt;&lt;Q&gt;TSM-US^P_BETA_LOCIDX(45526,45352,,"SPX")&lt;/Q&gt;&lt;R&gt;1&lt;/R&gt;&lt;C&gt;1&lt;/C&gt;&lt;D xsi:type="xsd:double"&gt;2.190385&lt;/D&gt;&lt;/FQL&gt;&lt;FQL&gt;&lt;Q&gt;TSM-US^P_BETA_LOCIDX(45525,45351,,"SPX")&lt;/Q&gt;&lt;R&gt;1&lt;/R&gt;&lt;C&gt;1&lt;/C&gt;&lt;D xsi:type="xsd:double"&gt;2.1765325&lt;/D&gt;&lt;/FQL&gt;&lt;FQL&gt;&lt;Q&gt;TSM-US^P_BETA_LOCIDX(45524,45350,,"SPX")&lt;/Q&gt;&lt;R&gt;1&lt;/R&gt;&lt;C&gt;1&lt;/C&gt;&lt;D xsi:type="xsd:double"&gt;2.1843698&lt;/D&gt;&lt;/FQL&gt;&lt;FQL&gt;&lt;Q&gt;TSM-US^P_BETA_LOCIDX(45523,45349,,"SPX")&lt;/Q&gt;&lt;R&gt;1&lt;/R&gt;&lt;C&gt;1&lt;/C&gt;&lt;D xsi:type="xsd:double"&gt;2.1765397&lt;/D&gt;&lt;/FQL&gt;&lt;FQL&gt;&lt;Q&gt;TSM-US^P_BETA_LOCIDX(45520,45348,,"SPX")&lt;/Q&gt;&lt;R&gt;1&lt;/R&gt;&lt;C&gt;1&lt;/C&gt;&lt;D xsi:type="xsd:double"&gt;2.186425&lt;/D&gt;&lt;/FQL&gt;&lt;FQL&gt;&lt;Q&gt;TSM-US^P_BETA_LOCIDX(45519,45345,,"SPX")&lt;/Q&gt;&lt;R&gt;1&lt;/R&gt;&lt;C&gt;1&lt;/C&gt;&lt;D xsi:type="xsd:double"&gt;2.1866837&lt;/D&gt;&lt;/FQL&gt;&lt;FQL&gt;&lt;Q&gt;TSM-US^P_BETA_LOCIDX(45518,45344,,"SPX")&lt;/Q&gt;&lt;R&gt;1&lt;/R&gt;&lt;C&gt;1&lt;/C&gt;&lt;D xsi:type="xsd:double"&gt;2.1671445&lt;/D&gt;&lt;/FQL&gt;&lt;FQL&gt;&lt;Q&gt;TSM-US^P_BETA_LOCIDX(45517,45343,,"SPX")&lt;/Q&gt;&lt;R&gt;1&lt;/R&gt;&lt;C&gt;1&lt;/C&gt;&lt;D xsi:type="xsd:double"&gt;2.1756501&lt;/D&gt;&lt;/FQL&gt;&lt;FQL&gt;&lt;Q&gt;TSM-US^P_BETA_LOCIDX(45516,45342,,"SPX")&lt;/Q&gt;&lt;R&gt;1&lt;/R&gt;&lt;C&gt;1&lt;/C&gt;&lt;D xsi:type="xsd:double"&gt;2.1951296&lt;/D&gt;&lt;/FQL&gt;&lt;FQL&gt;&lt;Q&gt;TSM-US^P_BETA_LOCIDX(45513,45338,,"SPX")&lt;/Q&gt;&lt;R&gt;1&lt;/R&gt;&lt;C&gt;1&lt;/C&gt;&lt;D xsi:type="xsd:double"&gt;2.2012715&lt;/D&gt;&lt;/FQL&gt;&lt;FQL&gt;&lt;Q&gt;TSM-US^P_BETA_LOCIDX(45512,45337,,"SPX")&lt;/Q&gt;&lt;R&gt;1&lt;/R&gt;&lt;C&gt;1&lt;/C&gt;&lt;D xsi:type="xsd:double"&gt;2.188567&lt;/D&gt;&lt;/FQL&gt;&lt;FQL&gt;&lt;Q&gt;TSM-US^P_BETA_LOCIDX(45511,45336,,"SPX")&lt;/Q&gt;&lt;R&gt;1&lt;/R&gt;&lt;C&gt;1&lt;/C&gt;&lt;D xsi:type="xsd:double"&gt;2.148722&lt;/D&gt;&lt;/FQL&gt;&lt;FQL&gt;&lt;Q&gt;TSM-US^P_BETA_LOCIDX(45510,45335,,"SPX")&lt;/Q&gt;&lt;R&gt;1&lt;/R&gt;&lt;C&gt;1&lt;/C&gt;&lt;D xsi:type="xsd:double"&gt;2.1517496&lt;/D&gt;&lt;/FQL&gt;&lt;FQL&gt;&lt;Q&gt;TSM-US^P_BETA_LOCIDX(45509,45334,,"SPX")&lt;/Q&gt;&lt;R&gt;1&lt;/R&gt;&lt;C&gt;1&lt;/C&gt;&lt;D xsi:type="xsd:double"&gt;2.1187847&lt;/D&gt;&lt;/FQL&gt;&lt;FQL&gt;&lt;Q&gt;TSM-US^P_BETA_LOCIDX(45506,45331,,"SPX")&lt;/Q&gt;&lt;R&gt;1&lt;/R&gt;&lt;C&gt;1&lt;/C&gt;&lt;D xsi:type="xsd:double"&gt;2.3355896&lt;/D&gt;&lt;/FQL&gt;&lt;FQL&gt;&lt;Q&gt;TSM-US^P_BETA_LOCIDX(45505,45330,,"SPX")&lt;/Q&gt;&lt;R&gt;1&lt;/R&gt;&lt;C&gt;1&lt;/C&gt;&lt;D xsi:type="xsd:double"&gt;2.3046675&lt;/D&gt;&lt;/FQL&gt;&lt;FQL&gt;&lt;Q&gt;TSM-US^P_BETA_LOCIDX(45504,45329,,"SPX")&lt;/Q&gt;&lt;R&gt;1&lt;/R&gt;&lt;C&gt;1&lt;/C&gt;&lt;D xsi:type="xsd:double"&gt;2.3016357&lt;/D&gt;&lt;/FQL&gt;&lt;FQL&gt;&lt;Q&gt;TSM-US^P_BETA_LOCIDX(45503,45328,,"SPX")&lt;/Q&gt;&lt;R&gt;1&lt;/R&gt;&lt;C&gt;1&lt;/C&gt;&lt;D xsi:type="xsd:double"&gt;2.2112012&lt;/D&gt;&lt;/FQL&gt;&lt;FQL&gt;&lt;Q&gt;TSM-US^P_BETA_LOCIDX(45502,45327,,"SPX")&lt;/Q&gt;&lt;R&gt;1&lt;/R&gt;&lt;C&gt;1&lt;/C&gt;&lt;D xsi:type="xsd:double"&gt;2.1655712&lt;/D&gt;&lt;/FQL&gt;&lt;FQL&gt;&lt;Q&gt;TSM-US^P_BETA_LOCIDX(45499,45324,,"SPX")&lt;/Q&gt;&lt;R&gt;1&lt;/R&gt;&lt;C&gt;1&lt;/C&gt;&lt;D xsi:type="xsd:double"&gt;2.1596017&lt;/D&gt;&lt;/FQL&gt;&lt;FQL&gt;&lt;Q&gt;TSM-US^P_BETA_LOCIDX(45498,45323,,"SPX")&lt;/Q&gt;&lt;R&gt;1&lt;/R&gt;&lt;C&gt;1&lt;/C&gt;&lt;D xsi:type="xsd:double"&gt;2.137737&lt;/D&gt;&lt;/FQL&gt;&lt;FQL&gt;&lt;Q&gt;TSM-US^P_BETA_LOCIDX(45497,45322,,"SPX")&lt;/Q&gt;&lt;R&gt;1&lt;/R&gt;&lt;C&gt;1&lt;/C&gt;&lt;D xsi:type="xsd:double"&gt;2.1323826&lt;/D&gt;&lt;/FQL&gt;&lt;FQL&gt;&lt;Q&gt;TSM-US^P_BETA_LOCIDX(45496,45321,,"SPX")&lt;/Q&gt;&lt;R&gt;1&lt;/R&gt;&lt;C&gt;1&lt;/C&gt;&lt;D xsi:type="xsd:double"&gt;2.088702&lt;/D&gt;&lt;/FQL&gt;&lt;FQL&gt;&lt;Q&gt;TSM-US^P_BETA_LOCIDX(45495,45320,,"SPX")&lt;/Q&gt;&lt;R&gt;1&lt;/R&gt;&lt;C&gt;1&lt;/C&gt;&lt;D xsi:type="xsd:double"&gt;2.0690107&lt;/D&gt;&lt;/FQL&gt;&lt;FQL&gt;&lt;Q&gt;TSM-US^P_BETA_LOCIDX(45492,45317,,"SPX")&lt;/Q&gt;&lt;R&gt;1&lt;/R&gt;&lt;C&gt;1&lt;/C&gt;&lt;D xsi:type="xsd:double"&gt;2.0703182&lt;/D&gt;&lt;/FQL&gt;&lt;FQL&gt;&lt;Q&gt;TSM-US^P_BETA_LOCIDX(45491,45316,,"SPX")&lt;/Q&gt;&lt;R&gt;1&lt;/R&gt;&lt;C&gt;1&lt;/C&gt;&lt;D xsi:type="xsd:double"&gt;2.0294538&lt;/D&gt;&lt;/FQL&gt;&lt;FQL&gt;&lt;Q&gt;TSM-US^P_BETA_LOCIDX(45490,45315,,"SPX")&lt;/Q&gt;&lt;R&gt;1&lt;/R&gt;&lt;C&gt;1&lt;/C&gt;&lt;D xsi:type="xsd:double"&gt;2.058432&lt;/D&gt;&lt;/FQL&gt;&lt;FQL&gt;&lt;Q&gt;TSM-US^P_BETA_LOCIDX(45489,45314,,"SPX")&lt;/Q&gt;&lt;R&gt;1&lt;/R&gt;&lt;C&gt;1&lt;/C&gt;&lt;D xsi:type="xsd:double"&gt;1.9084266&lt;/D&gt;&lt;/FQL&gt;&lt;FQL&gt;&lt;Q&gt;TSM-US^P_BETA_LOCIDX(45488,45313,,"SPX")&lt;/Q&gt;&lt;R&gt;1&lt;/R&gt;&lt;C&gt;1&lt;/C&gt;&lt;D xsi:type="xsd:double"&gt;1.9149517&lt;/D&gt;&lt;/FQL&gt;&lt;FQL&gt;&lt;Q&gt;TSM-US^P_BETA_LOCIDX(45485,45310,,"SPX")&lt;/Q&gt;&lt;R&gt;1&lt;/R&gt;&lt;C&gt;1&lt;/C&gt;&lt;D xsi:type="xsd:double"&gt;1.8894&lt;/D&gt;&lt;/FQL&gt;&lt;FQL&gt;&lt;Q&gt;TSM-US^P_BETA_LOCIDX(45484,45309,,"SPX")&lt;/Q&gt;&lt;R&gt;1&lt;/R&gt;&lt;C&gt;1&lt;/C&gt;&lt;D xsi:type="xsd:double"&gt;1.9957631&lt;/D&gt;&lt;/FQL&gt;&lt;FQL&gt;&lt;Q&gt;TSM-US^P_BETA_LOCIDX(45483,45308,,"SPX")&lt;/Q&gt;&lt;R&gt;1&lt;/R&gt;&lt;C&gt;1&lt;/C&gt;&lt;D xsi:type="xsd:double"&gt;1.9314052&lt;/D&gt;&lt;/FQL&gt;&lt;FQL&gt;&lt;Q&gt;TSM-US^P_BETA_LOCIDX(45482,45307,,"SPX")&lt;/Q&gt;&lt;R&gt;1&lt;/R&gt;&lt;C&gt;1&lt;/C&gt;&lt;D xsi:type="xsd:double"&gt;1.901603&lt;/D&gt;&lt;/FQL&gt;&lt;FQL&gt;&lt;Q&gt;TSM-US^P_BETA_LOCIDX(45481,45303,,"SPX")&lt;/Q&gt;&lt;R&gt;1&lt;/R&gt;&lt;C&gt;1&lt;/C&gt;&lt;D xsi:type="xsd:double"&gt;1.9004077&lt;/D&gt;&lt;/FQL&gt;&lt;FQL&gt;&lt;Q&gt;TSM-US^P_BETA_LOCIDX(45478,45302,,"SPX")&lt;/Q&gt;&lt;R&gt;1&lt;/R&gt;&lt;C&gt;1&lt;/C&gt;&lt;D xsi:type="xsd:double"&gt;1.8999397&lt;/D&gt;&lt;/FQL&gt;&lt;FQL&gt;&lt;Q&gt;TSM-US^P_BETA_LOCIDX(45476,45301,,"SPX")&lt;/Q&gt;&lt;R&gt;1&lt;/R&gt;&lt;C&gt;1&lt;/C&gt;&lt;D xsi:type="xsd:double"&gt;1.8837932&lt;/D&gt;&lt;/FQL&gt;&lt;FQL&gt;&lt;Q&gt;TSM-US^P_BETA_LOCIDX(45475,45300,,"SPX")&lt;/Q&gt;&lt;R&gt;1&lt;/R&gt;&lt;C&gt;1&lt;/C&gt;&lt;D xsi:type="xsd:double"&gt;1.8663268&lt;/D&gt;&lt;/FQL&gt;&lt;FQL&gt;&lt;Q&gt;TSM-US^P_BETA_LOCIDX(45474,45299,,"SPX")&lt;/Q&gt;&lt;R&gt;1&lt;/R&gt;&lt;C&gt;1&lt;/C&gt;&lt;D xsi:type="xsd:double"&gt;1.8556877&lt;/D&gt;&lt;/FQL&gt;&lt;FQL&gt;&lt;Q&gt;TSM-US^P_BETA_LOCIDX(45471,45296,,"SPX")&lt;/Q&gt;&lt;R&gt;1&lt;/R&gt;&lt;C&gt;1&lt;/C&gt;&lt;D xsi:type="xsd:double"&gt;1.8596543&lt;/D&gt;&lt;/FQL&gt;&lt;FQL&gt;&lt;Q&gt;TSM-US^P_BETA_LOCIDX(45470,45295,,"SPX")&lt;/Q&gt;&lt;R&gt;1&lt;/R&gt;&lt;C&gt;1&lt;/C&gt;&lt;D xsi:type="xsd:double"&gt;1.8828433&lt;/D&gt;&lt;/FQL&gt;&lt;FQL&gt;&lt;Q&gt;TSM-US^P_BETA_LOCIDX(45469,45294,,"SPX")&lt;/Q&gt;&lt;R&gt;1&lt;/R&gt;&lt;C&gt;1&lt;/C&gt;&lt;D xsi:type="xsd:double"&gt;1.8834958&lt;/D&gt;&lt;/FQL&gt;&lt;FQL&gt;&lt;Q&gt;TSM-US^P_BETA_LOCIDX(45468,45293,,"SPX")&lt;/Q&gt;&lt;R&gt;1&lt;/R&gt;&lt;C&gt;1&lt;/C&gt;&lt;D xsi:type="xsd:double"&gt;1.9029973&lt;/D&gt;&lt;/FQL&gt;&lt;FQL&gt;&lt;Q&gt;TSM-US^P_BETA_LOCIDX(45467,45289,,"SPX")&lt;/Q&gt;&lt;R&gt;1&lt;/R&gt;&lt;C&gt;1&lt;/C&gt;&lt;D xsi:type="xsd:double"&gt;1.8959811&lt;/D&gt;&lt;/FQL&gt;&lt;FQL&gt;&lt;Q&gt;TSM-US^P_BETA_LOCIDX(45464,45288,,"SPX")&lt;/Q&gt;&lt;R&gt;1&lt;/R&gt;&lt;C&gt;1&lt;/C&gt;&lt;D xsi:type="xsd:double"&gt;1.8724746&lt;/D&gt;&lt;/FQL&gt;&lt;FQL&gt;&lt;Q&gt;TSM-US^P_BETA_LOCIDX(45463,45287,,"SPX")&lt;/Q&gt;&lt;R&gt;1&lt;/R&gt;&lt;C&gt;1&lt;/C&gt;&lt;D xsi:type="xsd:double"&gt;1.8686383&lt;/D&gt;&lt;/FQL&gt;&lt;FQL&gt;&lt;Q&gt;TSM-US^P_BETA_LOCIDX(45461,45286,,"SPX")&lt;/Q&gt;&lt;R&gt;1&lt;/R&gt;&lt;C&gt;1&lt;/C&gt;&lt;D xsi:type="xsd:double"&gt;1.8553194&lt;/D&gt;&lt;/FQL&gt;&lt;FQL&gt;&lt;Q&gt;TSM-US^P_BETA_LOCIDX(45460,45282,,"SPX")&lt;/Q&gt;&lt;R&gt;1&lt;/R&gt;&lt;C&gt;1&lt;/C&gt;&lt;D xsi:type="xsd:double"&gt;1.8537807&lt;/D&gt;&lt;/FQL&gt;&lt;FQL&gt;&lt;Q&gt;TSM-US^P_BETA_LOCIDX(45457,45281,,"SPX")&lt;/Q&gt;&lt;R&gt;1&lt;/R&gt;&lt;C&gt;1&lt;/C&gt;&lt;D xsi:type="xsd:double"&gt;1.8470846&lt;/D&gt;&lt;/FQL&gt;&lt;FQL&gt;&lt;Q&gt;TSM-US^P_BETA_LOCIDX(45456,45280,,"SPX")&lt;/Q&gt;&lt;R&gt;1&lt;/R&gt;&lt;C&gt;1&lt;/C&gt;&lt;D xsi:type="xsd:double"&gt;1.879178&lt;/D&gt;&lt;/FQL&gt;&lt;FQL&gt;&lt;Q&gt;TSM-US^P_BETA_LOCIDX(45455,45279,,"SPX")&lt;/Q&gt;&lt;R&gt;1&lt;/R&gt;&lt;C&gt;1&lt;/C&gt;&lt;D xsi:type="xsd:double"&gt;1.8771938&lt;/D&gt;&lt;/FQL&gt;&lt;FQL&gt;&lt;Q&gt;TSM-US^P_BETA_LOCIDX(45454,45278,,"SPX")&lt;/Q&gt;&lt;R&gt;1&lt;/R&gt;&lt;C&gt;1&lt;/C&gt;&lt;D xsi:type="xsd:double"&gt;1.840613&lt;/D&gt;&lt;/FQL&gt;&lt;FQL&gt;&lt;Q&gt;TSM-US^P_BETA_LOCIDX(45453,45275,,"SPX")&lt;/Q&gt;&lt;R&gt;1&lt;/R&gt;&lt;C&gt;1&lt;/C&gt;&lt;D xsi:type="xsd:double"&gt;1.8488747&lt;/D&gt;&lt;/FQL&gt;&lt;FQL&gt;&lt;Q&gt;TSM-US^P_BETA_LOCIDX(45450,45274,,"SPX")&lt;/Q&gt;&lt;R&gt;1&lt;/R&gt;&lt;C&gt;1&lt;/C&gt;&lt;D xsi:type="xsd:double"&gt;1.8463513&lt;/D&gt;&lt;/FQL&gt;&lt;FQL&gt;&lt;Q&gt;TSM-US^P_BETA_LOCIDX(45449,45273,,"SPX")&lt;/Q&gt;&lt;R&gt;1&lt;/R&gt;&lt;C&gt;1&lt;/C&gt;&lt;D xsi:type="xsd:double"&gt;1.8053536&lt;/D&gt;&lt;/FQL&gt;&lt;FQL&gt;&lt;Q&gt;TSM-US^P_BETA_LOCIDX(45448,45272,,"SPX")&lt;/Q&gt;&lt;R&gt;1&lt;/R&gt;&lt;C&gt;1&lt;/C&gt;&lt;D xsi:type="xsd:double"&gt;1</t>
        </r>
      </text>
    </comment>
    <comment ref="A22" authorId="0" shapeId="0" xr:uid="{57CFA35E-F7D6-48CC-A836-C88C13195121}">
      <text>
        <r>
          <rPr>
            <b/>
            <sz val="9"/>
            <color indexed="81"/>
            <rFont val="Tahoma"/>
            <family val="2"/>
          </rPr>
          <t>.8015631&lt;/D&gt;&lt;/FQL&gt;&lt;FQL&gt;&lt;Q&gt;TSM-US^P_BETA_LOCIDX(45447,45271,,"SPX")&lt;/Q&gt;&lt;R&gt;1&lt;/R&gt;&lt;C&gt;1&lt;/C&gt;&lt;D xsi:type="xsd:double"&gt;1.7180241&lt;/D&gt;&lt;/FQL&gt;&lt;FQL&gt;&lt;Q&gt;TSM-US^P_BETA_LOCIDX(45446,45268,,"SPX")&lt;/Q&gt;&lt;R&gt;1&lt;/R&gt;&lt;C&gt;1&lt;/C&gt;&lt;D xsi:type="xsd:double"&gt;1.7200425&lt;/D&gt;&lt;/FQL&gt;&lt;FQL&gt;&lt;Q&gt;TSM-US^P_BETA_LOCIDX(45443,45267,,"SPX")&lt;/Q&gt;&lt;R&gt;1&lt;/R&gt;&lt;C&gt;1&lt;/C&gt;&lt;D xsi:type="xsd:double"&gt;1.7195737&lt;/D&gt;&lt;/FQL&gt;&lt;FQL&gt;&lt;Q&gt;TSM-US^P_BETA_LOCIDX(45442,45266,,"SPX")&lt;/Q&gt;&lt;R&gt;1&lt;/R&gt;&lt;C&gt;1&lt;/C&gt;&lt;D xsi:type="xsd:double"&gt;1.737609&lt;/D&gt;&lt;/FQL&gt;&lt;FQL&gt;&lt;Q&gt;TSM-US^P_BETA_LOCIDX(45441,45265,,"SPX")&lt;/Q&gt;&lt;R&gt;1&lt;/R&gt;&lt;C&gt;1&lt;/C&gt;&lt;D xsi:type="xsd:double"&gt;1.7381917&lt;/D&gt;&lt;/FQL&gt;&lt;FQL&gt;&lt;Q&gt;TSM-US^P_BETA_LOCIDX(45440,45264,,"SPX")&lt;/Q&gt;&lt;R&gt;1&lt;/R&gt;&lt;C&gt;1&lt;/C&gt;&lt;D xsi:type="xsd:double"&gt;1.7166325&lt;/D&gt;&lt;/FQL&gt;&lt;FQL&gt;&lt;Q&gt;TSM-US^P_BETA_LOCIDX(45436,45261,,"SPX")&lt;/Q&gt;&lt;R&gt;1&lt;/R&gt;&lt;C&gt;1&lt;/C&gt;&lt;D xsi:type="xsd:double"&gt;1.7159649&lt;/D&gt;&lt;/FQL&gt;&lt;FQL&gt;&lt;Q&gt;TSM-US^P_BETA_LOCIDX(45435,45260,,"SPX")&lt;/Q&gt;&lt;R&gt;1&lt;/R&gt;&lt;C&gt;1&lt;/C&gt;&lt;D xsi:type="xsd:double"&gt;1.7009404&lt;/D&gt;&lt;/FQL&gt;&lt;FQL&gt;&lt;Q&gt;TSM-US^P_BETA_LOCIDX(45434,45259,,"SPX")&lt;/Q&gt;&lt;R&gt;1&lt;/R&gt;&lt;C&gt;1&lt;/C&gt;&lt;D xsi:type="xsd:double"&gt;1.7225176&lt;/D&gt;&lt;/FQL&gt;&lt;FQL&gt;&lt;Q&gt;TSM-US^P_BETA_LOCIDX(45433,45258,,"SPX")&lt;/Q&gt;&lt;R&gt;1&lt;/R&gt;&lt;C&gt;1&lt;/C&gt;&lt;D xsi:type="xsd:double"&gt;1.7355245&lt;/D&gt;&lt;/FQL&gt;&lt;FQL&gt;&lt;Q&gt;TSM-US^P_BETA_LOCIDX(45432,45257,,"SPX")&lt;/Q&gt;&lt;R&gt;1&lt;/R&gt;&lt;C&gt;1&lt;/C&gt;&lt;D xsi:type="xsd:double"&gt;1.7392888&lt;/D&gt;&lt;/FQL&gt;&lt;FQL&gt;&lt;Q&gt;TSM-US^P_BETA_LOCIDX(45429,45254,,"SPX")&lt;/Q&gt;&lt;R&gt;1&lt;/R&gt;&lt;C&gt;1&lt;/C&gt;&lt;D xsi:type="xsd:double"&gt;1.7411704&lt;/D&gt;&lt;/FQL&gt;&lt;FQL&gt;&lt;Q&gt;TSM-US^P_BETA_LOCIDX(45428,45252,,"SPX")&lt;/Q&gt;&lt;R&gt;1&lt;/R&gt;&lt;C&gt;1&lt;/C&gt;&lt;D xsi:type="xsd:double"&gt;1.738024&lt;/D&gt;&lt;/FQL&gt;&lt;FQL&gt;&lt;Q&gt;TSM-US^P_BETA_LOCIDX(45427,45251,,"SPX")&lt;/Q&gt;&lt;R&gt;1&lt;/R&gt;&lt;C&gt;1&lt;/C&gt;&lt;D xsi:type="xsd:double"&gt;1.7343997&lt;/D&gt;&lt;/FQL&gt;&lt;FQL&gt;&lt;Q&gt;TSM-US^P_BETA_LOCIDX(45426,45250,,"SPX")&lt;/Q&gt;&lt;R&gt;1&lt;/R&gt;&lt;C&gt;1&lt;/C&gt;&lt;D xsi:type="xsd:double"&gt;1.719394&lt;/D&gt;&lt;/FQL&gt;&lt;FQL&gt;&lt;Q&gt;TSM-US^P_BETA_LOCIDX(45425,45247,,"SPX")&lt;/Q&gt;&lt;R&gt;1&lt;/R&gt;&lt;C&gt;1&lt;/C&gt;&lt;D xsi:type="xsd:double"&gt;1.7017001&lt;/D&gt;&lt;/FQL&gt;&lt;FQL&gt;&lt;Q&gt;TSM-US^P_BETA_LOCIDX(45422,45246,,"SPX")&lt;/Q&gt;&lt;R&gt;1&lt;/R&gt;&lt;C&gt;1&lt;/C&gt;&lt;D xsi:type="xsd:double"&gt;1.6964821&lt;/D&gt;&lt;/FQL&gt;&lt;FQL&gt;&lt;Q&gt;TSM-US^P_BETA_LOCIDX(45421,45245,,"SPX")&lt;/Q&gt;&lt;R&gt;1&lt;/R&gt;&lt;C&gt;1&lt;/C&gt;&lt;D xsi:type="xsd:double"&gt;1.6932622&lt;/D&gt;&lt;/FQL&gt;&lt;FQL&gt;&lt;Q&gt;TSM-US^P_BETA_LOCIDX(45420,45244,,"SPX")&lt;/Q&gt;&lt;R&gt;1&lt;/R&gt;&lt;C&gt;1&lt;/C&gt;&lt;D xsi:type="xsd:double"&gt;1.680276&lt;/D&gt;&lt;/FQL&gt;&lt;FQL&gt;&lt;Q&gt;TSM-US^P_BETA_LOCIDX(45419,45243,,"SPX")&lt;/Q&gt;&lt;R&gt;1&lt;/R&gt;&lt;C&gt;1&lt;/C&gt;&lt;D xsi:type="xsd:double"&gt;1.6878047&lt;/D&gt;&lt;/FQL&gt;&lt;FQL&gt;&lt;Q&gt;TSM-US^P_BETA_LOCIDX(45418,45240,,"SPX")&lt;/Q&gt;&lt;R&gt;1&lt;/R&gt;&lt;C&gt;1&lt;/C&gt;&lt;D xsi:type="xsd:double"&gt;1.7702826&lt;/D&gt;&lt;/FQL&gt;&lt;FQL&gt;&lt;Q&gt;TSM-US^P_BETA_LOCIDX(45415,45239,,"SPX")&lt;/Q&gt;&lt;R&gt;1&lt;/R&gt;&lt;C&gt;1&lt;/C&gt;&lt;D xsi:type="xsd:double"&gt;1.7722179&lt;/D&gt;&lt;/FQL&gt;&lt;FQL&gt;&lt;Q&gt;TSM-US^P_BETA_LOCIDX(45414,45238,,"SPX")&lt;/Q&gt;&lt;R&gt;1&lt;/R&gt;&lt;C&gt;1&lt;/C&gt;&lt;D xsi:type="xsd:double"&gt;1.7436869&lt;/D&gt;&lt;/FQL&gt;&lt;FQL&gt;&lt;Q&gt;TSM-US^P_BETA_LOCIDX(45413,45237,,"SPX")&lt;/Q&gt;&lt;R&gt;1&lt;/R&gt;&lt;C&gt;1&lt;/C&gt;&lt;D xsi:type="xsd:double"&gt;1.7515374&lt;/D&gt;&lt;/FQL&gt;&lt;FQL&gt;&lt;Q&gt;TSM-US^P_BETA_LOCIDX(45412,45236,,"SPX")&lt;/Q&gt;&lt;R&gt;1&lt;/R&gt;&lt;C&gt;1&lt;/C&gt;&lt;D xsi:type="xsd:double"&gt;1.7420113&lt;/D&gt;&lt;/FQL&gt;&lt;FQL&gt;&lt;Q&gt;TSM-US^P_BETA_LOCIDX(45411,45233,,"SPX")&lt;/Q&gt;&lt;R&gt;1&lt;/R&gt;&lt;C&gt;1&lt;/C&gt;&lt;D xsi:type="xsd:double"&gt;1.7898495&lt;/D&gt;&lt;/FQL&gt;&lt;FQL&gt;&lt;Q&gt;TSM-US^P_BETA_LOCIDX(45408,45232,,"SPX")&lt;/Q&gt;&lt;R&gt;1&lt;/R&gt;&lt;C&gt;1&lt;/C&gt;&lt;D xsi:type="xsd:double"&gt;1.7786369&lt;/D&gt;&lt;/FQL&gt;&lt;FQL&gt;&lt;Q&gt;TSM-US^P_BETA_LOCIDX(45407,45231,,"SPX")&lt;/Q&gt;&lt;R&gt;1&lt;/R&gt;&lt;C&gt;1&lt;/C&gt;&lt;D xsi:type="xsd:double"&gt;1.7844229&lt;/D&gt;&lt;/FQL&gt;&lt;FQL&gt;&lt;Q&gt;TSM-US^P_BETA_LOCIDX(45406,45230,,"SPX")&lt;/Q&gt;&lt;R&gt;1&lt;/R&gt;&lt;C&gt;1&lt;/C&gt;&lt;D xsi:type="xsd:double"&gt;1.8116201&lt;/D&gt;&lt;/FQL&gt;&lt;FQL&gt;&lt;Q&gt;TSM-US^P_BETA_LOCIDX(45405,45229,,"SPX")&lt;/Q&gt;&lt;R&gt;1&lt;/R&gt;&lt;C&gt;1&lt;/C&gt;&lt;D xsi:type="xsd:double"&gt;1.7740713&lt;/D&gt;&lt;/FQL&gt;&lt;FQL&gt;&lt;Q&gt;TSM-US^P_BETA_LOCIDX(45404,45226,,"SPX")&lt;/Q&gt;&lt;R&gt;1&lt;/R&gt;&lt;C&gt;1&lt;/C&gt;&lt;D xsi:type="xsd:double"&gt;1.77266&lt;/D&gt;&lt;/FQL&gt;&lt;FQL&gt;&lt;Q&gt;TSM-US^P_BETA_LOCIDX(45401,45225,,"SPX")&lt;/Q&gt;&lt;R&gt;1&lt;/R&gt;&lt;C&gt;1&lt;/C&gt;&lt;D xsi:type="xsd:double"&gt;1.7339162&lt;/D&gt;&lt;/FQL&gt;&lt;FQL&gt;&lt;Q&gt;TSM-US^P_BETA_LOCIDX(45400,45224,,"SPX")&lt;/Q&gt;&lt;R&gt;1&lt;/R&gt;&lt;C&gt;1&lt;/C&gt;&lt;D xsi:type="xsd:double"&gt;1.7502409&lt;/D&gt;&lt;/FQL&gt;&lt;FQL&gt;&lt;Q&gt;TSM-US^P_BETA_LOCIDX(45399,45223,,"SPX")&lt;/Q&gt;&lt;R&gt;1&lt;/R&gt;&lt;C&gt;1&lt;/C&gt;&lt;D xsi:type="xsd:double"&gt;1.7168936&lt;/D&gt;&lt;/FQL&gt;&lt;FQL&gt;&lt;Q&gt;TSM-US^P_BETA_LOCIDX(45398,45222,,"SPX")&lt;/Q&gt;&lt;R&gt;1&lt;/R&gt;&lt;C&gt;1&lt;/C&gt;&lt;D xsi:type="xsd:double"&gt;1.7208487&lt;/D&gt;&lt;/FQL&gt;&lt;FQL&gt;&lt;Q&gt;TSM-US^P_BETA_LOCIDX(45397,45219,,"SPX")&lt;/Q&gt;&lt;R&gt;1&lt;/R&gt;&lt;C&gt;1&lt;/C&gt;&lt;D xsi:type="xsd:double"&gt;1.7137798&lt;/D&gt;&lt;/FQL&gt;&lt;FQL&gt;&lt;Q&gt;TSM-US^P_BETA_LOCIDX(45394,45218,,"SPX")&lt;/Q&gt;&lt;R&gt;1&lt;/R&gt;&lt;C&gt;1&lt;/C&gt;&lt;D xsi:type="xsd:double"&gt;1.6418331&lt;/D&gt;&lt;/FQL&gt;&lt;FQL&gt;&lt;Q&gt;TSM-US^P_BETA_LOCIDX(45393,45217,,"SPX")&lt;/Q&gt;&lt;R&gt;1&lt;/R&gt;&lt;C&gt;1&lt;/C&gt;&lt;D xsi:type="xsd:double"&gt;1.6063925&lt;/D&gt;&lt;/FQL&gt;&lt;FQL&gt;&lt;Q&gt;TSM-US^P_BETA_LOCIDX(45392,45216,,"SPX")&lt;/Q&gt;&lt;R&gt;1&lt;/R&gt;&lt;C&gt;1&lt;/C&gt;&lt;D xsi:type="xsd:double"&gt;1.614129&lt;/D&gt;&lt;/FQL&gt;&lt;FQL&gt;&lt;Q&gt;TSM-US^P_BETA_LOCIDX(45391,45215,,"SPX")&lt;/Q&gt;&lt;R&gt;1&lt;/R&gt;&lt;C&gt;1&lt;/C&gt;&lt;D xsi:type="xsd:double"&gt;1.6321532&lt;/D&gt;&lt;/FQL&gt;&lt;FQL&gt;&lt;Q&gt;TSM-US^P_BETA_LOCIDX(45390,45212,,"SPX")&lt;/Q&gt;&lt;R&gt;1&lt;/R&gt;&lt;C&gt;1&lt;/C&gt;&lt;D xsi:type="xsd:double"&gt;1.6472692&lt;/D&gt;&lt;/FQL&gt;&lt;FQL&gt;&lt;Q&gt;TSM-US^P_BETA_LOCIDX(45387,45211,,"SPX")&lt;/Q&gt;&lt;R&gt;1&lt;/R&gt;&lt;C&gt;1&lt;/C&gt;&lt;D xsi:type="xsd:double"&gt;1.6337504&lt;/D&gt;&lt;/FQL&gt;&lt;FQL&gt;&lt;Q&gt;TSM-US^P_BETA_LOCIDX(45386,45210,,"SPX")&lt;/Q&gt;&lt;R&gt;1&lt;/R&gt;&lt;C&gt;1&lt;/C&gt;&lt;D xsi:type="xsd:double"&gt;1.6481612&lt;/D&gt;&lt;/FQL&gt;&lt;FQL&gt;&lt;Q&gt;TSM-US^P_BETA_LOCIDX(45385,45209,,"SPX")&lt;/Q&gt;&lt;R&gt;1&lt;/R&gt;&lt;C&gt;1&lt;/C&gt;&lt;D xsi:type="xsd:double"&gt;1.658287&lt;/D&gt;&lt;/FQL&gt;&lt;FQL&gt;&lt;Q&gt;TSM-US^P_BETA_LOCIDX(45384,45208,,"SPX")&lt;/Q&gt;&lt;R&gt;1&lt;/R&gt;&lt;C&gt;1&lt;/C&gt;&lt;D xsi:type="xsd:double"&gt;1.6473547&lt;/D&gt;&lt;/FQL&gt;&lt;FQL&gt;&lt;Q&gt;TSM-US^P_BETA_LOCIDX(45383,45205,,"SPX")&lt;/Q&gt;&lt;R&gt;1&lt;/R&gt;&lt;C&gt;1&lt;/C&gt;&lt;D xsi:type="xsd:double"&gt;1.6580521&lt;/D&gt;&lt;/FQL&gt;&lt;FQL&gt;&lt;Q&gt;TSM-US^P_BETA_LOCIDX(45379,45204,,"SPX")&lt;/Q&gt;&lt;R&gt;1&lt;/R&gt;&lt;C&gt;1&lt;/C&gt;&lt;D xsi:type="xsd:double"&gt;1.6810846&lt;/D&gt;&lt;/FQL&gt;&lt;FQL&gt;&lt;Q&gt;TSM-US^P_BETA_LOCIDX(45378,45203,,"SPX")&lt;/Q&gt;&lt;R&gt;1&lt;/R&gt;&lt;C&gt;1&lt;/C&gt;&lt;D xsi:type="xsd:double"&gt;1.6803576&lt;/D&gt;&lt;/FQL&gt;&lt;FQL&gt;&lt;Q&gt;TSM-US^P_BETA_LOCIDX(45377,45202,,"SPX")&lt;/Q&gt;&lt;R&gt;1&lt;/R&gt;&lt;C&gt;1&lt;/C&gt;&lt;D xsi:type="xsd:double"&gt;1.7225853&lt;/D&gt;&lt;/FQL&gt;&lt;FQL&gt;&lt;Q&gt;TSM-US^P_BETA_LOCIDX(45376,45201,,"SPX")&lt;/Q&gt;&lt;R&gt;1&lt;/R&gt;&lt;C&gt;1&lt;/C&gt;&lt;D xsi:type="xsd:double"&gt;1.7164274&lt;/D&gt;&lt;/FQL&gt;&lt;FQL&gt;&lt;Q&gt;TSM-US^P_BETA_LOCIDX(45373,45198,,"SPX")&lt;/Q&gt;&lt;R&gt;1&lt;/R&gt;&lt;C&gt;1&lt;/C&gt;&lt;D xsi:type="xsd:double"&gt;1.7115661&lt;/D&gt;&lt;/FQL&gt;&lt;FQL&gt;&lt;Q&gt;TSM-US^P_BETA_LOCIDX(45372,45197,,"SPX")&lt;/Q&gt;&lt;R&gt;1&lt;/R&gt;&lt;C&gt;1&lt;/C&gt;&lt;D xsi:type="xsd:double"&gt;1.7157326&lt;/D&gt;&lt;/FQL&gt;&lt;FQL&gt;&lt;Q&gt;TSM-US^P_BETA_LOCIDX(45371,45196,,"SPX")&lt;/Q&gt;&lt;R&gt;1&lt;/R&gt;&lt;C&gt;1&lt;/C&gt;&lt;D xsi:type="xsd:double"&gt;1.7099302&lt;/D&gt;&lt;/FQL&gt;&lt;FQL&gt;&lt;Q&gt;TSM-US^P_BETA_LOCIDX(45370,45195,,"SPX")&lt;/Q&gt;&lt;R&gt;1&lt;/R&gt;&lt;C&gt;1&lt;/C&gt;&lt;D xsi:type="xsd:double"&gt;1.7098236&lt;/D&gt;&lt;/FQL&gt;&lt;FQL&gt;&lt;Q&gt;TSM-US^P_BETA_LOCIDX(45369,45194,,"SPX")&lt;/Q&gt;&lt;R&gt;1&lt;/R&gt;&lt;C&gt;1&lt;/C&gt;&lt;D xsi:type="xsd:double"&gt;1.7244372&lt;/D&gt;&lt;/FQL&gt;&lt;FQL&gt;&lt;Q&gt;TSM-US^P_BETA_LOCIDX(45366,45191,,"SPX")&lt;/Q&gt;&lt;R&gt;1&lt;/R&gt;&lt;C&gt;1&lt;/C&gt;&lt;D xsi:type="xsd:double"&gt;1.7323138&lt;/D&gt;&lt;/FQL&gt;&lt;FQL&gt;&lt;Q&gt;TSM-US^P_BETA_LOCIDX(45365,45190,,"SPX")&lt;/Q&gt;&lt;R&gt;1&lt;/R&gt;&lt;C&gt;1&lt;/C&gt;&lt;D xsi:type="xsd:double"&gt;1.7097806&lt;/D&gt;&lt;/FQL&gt;&lt;FQL&gt;&lt;Q&gt;TSM-US^P_BETA_LOCIDX(45364,45189,,"SPX")&lt;/Q&gt;&lt;R&gt;1&lt;/R&gt;&lt;C&gt;1&lt;/C&gt;&lt;D xsi:type="xsd:double"&gt;1.6945709&lt;/D&gt;&lt;/FQL&gt;&lt;FQL&gt;&lt;Q&gt;TSM-US^P_BETA_LOCIDX(45363,45188,,"SPX")&lt;/Q&gt;&lt;R&gt;1&lt;/R&gt;&lt;C&gt;1&lt;/C&gt;&lt;D xsi:type="xsd:double"&gt;1.6908144&lt;/D&gt;&lt;/FQL&gt;&lt;FQL&gt;&lt;Q&gt;TSM-US^P_BETA_LOCIDX(45362,45187,,"SPX")&lt;/Q&gt;&lt;R&gt;1&lt;/R&gt;&lt;C&gt;1&lt;/C&gt;&lt;D xsi:type="xsd:double"&gt;1.6655985&lt;/D&gt;&lt;/FQL&gt;&lt;FQL&gt;&lt;Q&gt;TSM-US^P_BETA_LOCIDX(45359,45184,,"SPX")&lt;/Q&gt;&lt;R&gt;1&lt;/R&gt;&lt;C&gt;1&lt;/C&gt;&lt;D xsi:type="xsd:double"&gt;1.6609484&lt;/D&gt;&lt;/FQL&gt;&lt;FQL&gt;&lt;Q&gt;TSM-US^P_BETA_LOCIDX(45358,45183,,"SPX")&lt;/Q&gt;&lt;R&gt;1&lt;/R&gt;&lt;C&gt;1&lt;/C&gt;&lt;D xsi:type="xsd:double"&gt;1.6356034&lt;/D&gt;&lt;/FQL&gt;&lt;FQL&gt;&lt;Q&gt;TSM-US^P_BETA_LOCIDX(45357,45182,,"SPX")&lt;/Q&gt;&lt;R&gt;1&lt;/R&gt;&lt;C&gt;1&lt;/C&gt;&lt;D xsi:type="xsd:double"&gt;1.5898598&lt;/D&gt;&lt;/FQL&gt;&lt;FQL&gt;&lt;Q&gt;TSM-US^P_BETA_LOCIDX(45356,45181,,"SPX")&lt;/Q&gt;&lt;R&gt;1&lt;/R&gt;&lt;C&gt;1&lt;/C&gt;&lt;D xsi:type="xsd:double"&gt;1.5510038&lt;/D&gt;&lt;/FQL&gt;&lt;FQL&gt;&lt;Q&gt;TSM-US^P_BETA_LOCIDX(45355,45180,,"SPX")&lt;/Q&gt;&lt;R&gt;1&lt;/R&gt;&lt;C&gt;1&lt;/C&gt;&lt;D xsi:type="xsd:double"&gt;1.5242813&lt;/D&gt;&lt;/FQL&gt;&lt;FQL&gt;&lt;Q&gt;TSM-US^P_BETA_LOCIDX(45352,45177,,"SPX")&lt;/Q&gt;&lt;R&gt;1&lt;/R&gt;&lt;C&gt;1&lt;/C&gt;&lt;D xsi:type="xsd:double"&gt;1.5353565&lt;/D&gt;&lt;/FQL&gt;&lt;FQL&gt;&lt;Q&gt;TSM-US^P_BETA_LOCIDX(45351,45176,,"SPX")&lt;/Q&gt;&lt;R&gt;1&lt;/R&gt;&lt;C&gt;1&lt;/C&gt;&lt;D xsi:type="xsd:double"&gt;1.5215105&lt;/D&gt;&lt;/FQL&gt;&lt;FQL&gt;&lt;Q&gt;TSM-US^P_BETA_LOCIDX(45350,45175,,"SPX")&lt;/Q&gt;&lt;R&gt;1&lt;/R&gt;&lt;C&gt;1&lt;/C&gt;&lt;D xsi:type="xsd:double"&gt;1.5387167&lt;/D&gt;&lt;/FQL&gt;&lt;FQL&gt;&lt;Q&gt;TSM-US^P_BETA_LOCIDX(45349,45174,,"SPX")&lt;/Q&gt;&lt;R&gt;1&lt;/R&gt;&lt;C&gt;1&lt;/C&gt;&lt;D xsi:type="xsd:double"&gt;1.5202773&lt;/D&gt;&lt;/FQL&gt;&lt;FQL&gt;&lt;Q&gt;TSM-US^P_BETA_LOCIDX(45348,45170,,"SPX")&lt;/Q&gt;&lt;R&gt;1&lt;/R&gt;&lt;C&gt;1&lt;/C&gt;&lt;D xsi:type="xsd:double"&gt;1.5213412&lt;/D&gt;&lt;/FQL&gt;&lt;FQL&gt;&lt;Q&gt;TSM-US^P_BETA_LOCIDX(45345,45169,,"SPX")&lt;/Q&gt;&lt;R&gt;1&lt;/R&gt;&lt;C&gt;1&lt;/C&gt;&lt;D xsi:type="xsd:double"&gt;1.5347795&lt;/D&gt;&lt;/FQL&gt;&lt;FQL&gt;&lt;Q&gt;TSM-US^P_BETA_LOCIDX(45344,45168,,"SPX")&lt;/Q&gt;&lt;R&gt;1&lt;/R&gt;&lt;C&gt;1&lt;/C&gt;&lt;D xsi:type="xsd:double"&gt;1.5308354&lt;/D&gt;&lt;/FQL&gt;&lt;FQL&gt;&lt;Q&gt;TSM-US^P_BETA_LOCIDX(45343,45167,,"SPX")&lt;/Q&gt;&lt;R&gt;1&lt;/R&gt;&lt;C&gt;1&lt;/C&gt;&lt;D xsi:type="xsd:double"&gt;1.5180213&lt;/D&gt;&lt;/FQL&gt;&lt;FQL&gt;&lt;Q&gt;TSM-US^P_BETA_LOCIDX(45342,45166,,"SPX")&lt;/Q&gt;&lt;R&gt;1&lt;/R&gt;&lt;C&gt;1&lt;/C&gt;&lt;D xsi:type="xsd:double"&gt;1.5174234&lt;/D&gt;&lt;/FQL&gt;&lt;FQL&gt;&lt;Q&gt;TSM-US^P_BETA_LOCIDX(45338,45163,,"SPX")&lt;/Q&gt;&lt;R&gt;1&lt;/R&gt;&lt;C&gt;1&lt;/C&gt;&lt;D xsi:type="xsd:double"&gt;1.5103008&lt;/D&gt;&lt;/FQL&gt;&lt;FQL&gt;&lt;Q&gt;TSM-US^P_BETA_LOCIDX(45337,45162,,"SPX")&lt;/Q&gt;&lt;R&gt;1&lt;/R&gt;&lt;C&gt;1&lt;/C&gt;&lt;D xsi:type="xsd:double"&gt;1.4972941&lt;/D&gt;&lt;/FQL&gt;&lt;FQL&gt;&lt;Q&gt;TSM-US^P_BETA_LOCIDX(45336,45161,,"SPX")&lt;/Q&gt;&lt;R&gt;1&lt;/R&gt;&lt;C&gt;1&lt;/C&gt;&lt;D xsi:type="xsd:double"&gt;1.5106146&lt;/D&gt;&lt;/FQL&gt;&lt;FQL&gt;&lt;Q&gt;TSM-US^P_BETA_LOCIDX(45335,45160,,"SPX")&lt;/Q&gt;&lt;R&gt;1&lt;/R&gt;&lt;C&gt;1&lt;/C&gt;&lt;D xsi:type="xsd:double"&gt;1.5137563&lt;/D&gt;&lt;/FQL&gt;&lt;FQL&gt;&lt;Q&gt;TSM-US^P_BETA_LOCIDX(45334,45159,,"SPX")&lt;/Q&gt;&lt;R&gt;1&lt;/R&gt;&lt;C&gt;1&lt;/C&gt;&lt;D xsi:type="xsd:double"&gt;1.51097&lt;/D&gt;&lt;/FQL&gt;&lt;FQL&gt;&lt;Q&gt;TSM-US^P_BETA_LOCIDX(45331,45156,,"SPX")&lt;/Q&gt;&lt;R&gt;1&lt;/R&gt;&lt;C&gt;1&lt;/C&gt;&lt;D xsi:type="xsd:double"&gt;1.5060562&lt;/D&gt;&lt;/FQL&gt;&lt;FQL&gt;&lt;Q&gt;TSM-US^P_BETA_LOCIDX(45330,45155,,"SPX")&lt;/Q&gt;&lt;R&gt;1&lt;/R&gt;&lt;C&gt;1&lt;/C&gt;&lt;D xsi:type="xsd:double"&gt;1.5050634&lt;/D&gt;&lt;/FQL&gt;&lt;FQL&gt;&lt;Q&gt;TSM-US^P_BETA_LOCIDX(45329,45154,,"SPX")&lt;/Q&gt;&lt;R&gt;1&lt;/R&gt;&lt;C&gt;1&lt;/C&gt;&lt;D xsi:type="xsd:double"&gt;1.4958544&lt;/D&gt;&lt;/FQL&gt;&lt;FQL&gt;&lt;Q&gt;TSM-US^P_BETA_LOCIDX(45328,45153,,"SPX")&lt;/Q&gt;&lt;R&gt;1&lt;/R&gt;&lt;C&gt;1&lt;/C&gt;&lt;D xsi:type="xsd:double"&gt;1.4582633&lt;/D&gt;&lt;/FQL&gt;&lt;FQL&gt;&lt;Q&gt;TSM-US^P_BETA_LOCIDX(45327,45152,,"SPX")&lt;/Q&gt;&lt;R&gt;1&lt;/R&gt;&lt;C&gt;1&lt;/C&gt;&lt;D xsi:type="xsd:double"&gt;1.4598&lt;/D&gt;&lt;/FQL&gt;&lt;FQL&gt;&lt;Q&gt;TSM-US^P_BETA_LOCIDX(45324,45149,,"SPX")&lt;/Q&gt;&lt;R&gt;1&lt;/R&gt;&lt;C&gt;1&lt;/C&gt;&lt;D xsi:type="xsd:double"&gt;1.4855422&lt;/D&gt;&lt;/FQL&gt;&lt;FQL&gt;&lt;Q&gt;TSM-US^P_BETA_LOCIDX(45323,45148,,"SPX")&lt;/Q&gt;&lt;R&gt;1&lt;/R&gt;&lt;C&gt;1&lt;/C&gt;&lt;D xsi:type="xsd:double"&gt;1.4784796&lt;/D&gt;&lt;/FQL&gt;&lt;FQL&gt;&lt;Q&gt;TSM-US^P_BETA_LOCIDX(45322,45147,,"SPX")&lt;/Q&gt;&lt;R&gt;1&lt;/R&gt;&lt;C&gt;1&lt;/C&gt;&lt;D xsi:type="xsd:double"&gt;1.4999541&lt;/D&gt;&lt;/FQL&gt;&lt;FQL&gt;&lt;Q&gt;TSM-US^P_BETA_LOCIDX(45321,45146,,"SPX")&lt;/Q&gt;&lt;R&gt;1&lt;/R&gt;&lt;C&gt;1&lt;/C&gt;&lt;D xsi:type="xsd:double"&gt;1.5020137&lt;/D&gt;&lt;/FQL&gt;&lt;FQL&gt;&lt;Q&gt;TSM-US^P_BETA_LOCIDX(45320,45145,,"SPX")&lt;/Q&gt;&lt;R&gt;1&lt;/R&gt;&lt;C&gt;1&lt;/C&gt;&lt;D xsi:type="xsd:double"&gt;1.4852308&lt;/D&gt;&lt;/FQL&gt;&lt;FQL&gt;&lt;Q&gt;TSM-US^P_BETA_LOCIDX(45317,45142,,"SPX")&lt;/Q&gt;&lt;R&gt;1&lt;/R&gt;&lt;C&gt;1&lt;/C&gt;&lt;D xsi:type="xsd:double"&gt;1.4819226&lt;/D&gt;&lt;/FQL&gt;&lt;FQL&gt;&lt;Q&gt;TSM-US^P_BETA_LOCIDX(45316,45141,,"SPX")&lt;/Q&gt;&lt;R&gt;1&lt;/R&gt;&lt;C&gt;1&lt;/C&gt;&lt;D xsi:type="xsd:double"&gt;1.4854401&lt;/D&gt;&lt;/FQL&gt;&lt;FQL&gt;&lt;Q&gt;TSM-US^P_BETA_LOCIDX(45315,45140,,"SPX")&lt;/Q&gt;&lt;R&gt;1&lt;/R&gt;&lt;C&gt;1&lt;/C&gt;&lt;D xsi:type="xsd:double"&gt;1.5073737&lt;/D&gt;&lt;/FQL&gt;&lt;FQL&gt;&lt;Q&gt;TSM-US^P_BETA_LOCIDX(45314,45139,,"SPX")&lt;/Q&gt;&lt;R&gt;1&lt;/R&gt;&lt;C&gt;1&lt;/C&gt;&lt;D xsi:type="xsd:double"&gt;1.5085363&lt;/D&gt;&lt;/FQL&gt;&lt;FQL&gt;&lt;Q&gt;TSM-US^P_BETA_LOCIDX(45313,45138,,"SPX")&lt;/Q&gt;&lt;R&gt;1&lt;/R&gt;&lt;C&gt;1&lt;/C&gt;&lt;D xsi:type="xsd:double"&gt;1.5040017&lt;/D&gt;&lt;/FQL&gt;&lt;FQL&gt;&lt;Q&gt;TSM-US^P_BETA_LOCIDX(45310,45135,,"SPX")&lt;/Q&gt;&lt;R&gt;1&lt;/R&gt;&lt;C&gt;1&lt;/C&gt;&lt;D xsi:type="xsd:double"&gt;1.5073043&lt;/D&gt;&lt;/FQL&gt;&lt;FQL&gt;&lt;Q&gt;TSM-US^P_BETA_LOCIDX(45309,45134,,"SPX")&lt;/Q&gt;&lt;R&gt;1&lt;/R&gt;&lt;C&gt;1&lt;/C&gt;&lt;D xsi:type="xsd:double"&gt;1.5138519&lt;/D&gt;&lt;/FQL&gt;&lt;FQL&gt;&lt;Q&gt;TSM-US^P_BETA_LOCIDX(45308,45133,,"SPX")&lt;/Q&gt;&lt;R&gt;1&lt;/R&gt;&lt;C&gt;1&lt;/C&gt;&lt;D xsi:type="xsd:double"&gt;1.4082593&lt;/D&gt;&lt;/FQL&gt;&lt;FQL&gt;&lt;Q&gt;TSM-US^P_BETA_LOCIDX(45307,45132,,"SPX")&lt;/Q&gt;&lt;R&gt;1&lt;/R&gt;&lt;C&gt;1&lt;/C&gt;&lt;D xsi:type="xsd:double"&gt;1.4331383&lt;/D&gt;&lt;/FQL&gt;&lt;FQL&gt;&lt;Q&gt;TSM-US^P_BETA_LOCIDX(45303,45131,,"SPX")&lt;/Q&gt;&lt;R&gt;1&lt;/R&gt;&lt;C&gt;1&lt;/C&gt;&lt;D xsi:type="xsd:double"&gt;1.4418018&lt;/D&gt;&lt;/FQL&gt;&lt;FQL&gt;&lt;Q&gt;TSM-US^P_BETA_LOCIDX(45302,45128,,"SPX")&lt;/Q&gt;&lt;R&gt;1&lt;/R&gt;&lt;C&gt;1&lt;/C&gt;&lt;D xsi:type="xsd:double"&gt;1.4419656&lt;/D&gt;&lt;/FQL&gt;&lt;FQL&gt;&lt;Q&gt;TSM-US^P_BETA_LOCIDX(45301,45127,,"SPX")&lt;/Q&gt;&lt;R&gt;1&lt;/R&gt;&lt;C&gt;1&lt;/C&gt;&lt;D xsi:type="xsd:double"&gt;1.4860435&lt;/D&gt;&lt;/FQL&gt;&lt;FQL&gt;&lt;Q&gt;TSM-US^P_BETA_LOCIDX(45300,45126,,"SPX")&lt;/Q&gt;&lt;R&gt;1&lt;/R&gt;&lt;C&gt;1&lt;/C&gt;&lt;D xsi:type="xsd:double"&gt;1.499518&lt;/D&gt;&lt;/FQL&gt;&lt;FQL&gt;&lt;Q&gt;TSM-US^P_BETA_LOCIDX(45299,45125,,"SPX")&lt;/Q&gt;&lt;R&gt;1&lt;/R&gt;&lt;C&gt;1&lt;/C&gt;&lt;D xsi:type="xsd:double"&gt;1.4738172&lt;/D&gt;&lt;/FQL&gt;&lt;FQL&gt;&lt;Q&gt;TSM-US^P_BETA_LOCIDX(45296,45124,,"SPX")&lt;/Q&gt;&lt;R&gt;1&lt;/R&gt;&lt;C&gt;1&lt;/C&gt;&lt;D xsi:type="xsd:double"&gt;1.4561114&lt;/D&gt;&lt;/FQL&gt;&lt;FQL&gt;&lt;Q&gt;TSM-US^P_BETA_LOCIDX(45295,45121,,"SPX")&lt;/Q&gt;&lt;R&gt;1&lt;/R&gt;&lt;C&gt;1&lt;/C&gt;&lt;D xsi:type="xsd:double"&gt;1.4557853&lt;/D&gt;&lt;/FQL&gt;&lt;FQL&gt;&lt;Q&gt;TSM-US^P_BETA_LOCIDX(45294,45120,,"SPX")&lt;/Q&gt;&lt;R&gt;1&lt;/R&gt;&lt;C&gt;1&lt;/C&gt;&lt;D xsi:type="xsd:double"&gt;1.4587913&lt;/D&gt;&lt;/FQL&gt;&lt;FQL&gt;&lt;Q&gt;TSM-US^P_BETA_LOCIDX(45293,45119,,"SPX")&lt;/Q&gt;&lt;R&gt;1&lt;/R&gt;&lt;C&gt;1&lt;/C&gt;&lt;D xsi:type="xsd:double"&gt;1.4743692&lt;/D&gt;&lt;/FQL&gt;&lt;FQL&gt;&lt;Q&gt;TSM-US^P_BETA_LOCIDX(45289,45118,,"SPX")&lt;/Q&gt;&lt;R&gt;1&lt;/R&gt;&lt;C&gt;1&lt;/C&gt;&lt;D xsi:type="xsd:double"&gt;1.4654413&lt;/D&gt;&lt;/FQL&gt;&lt;FQL&gt;&lt;Q&gt;TSM-US^P_BETA_LOCIDX(45288,45117,,"SPX")&lt;/Q&gt;&lt;R&gt;1&lt;/R&gt;&lt;C&gt;1&lt;/C&gt;&lt;D xsi:type="xsd:double"&gt;1.4623995&lt;/D&gt;&lt;/FQL&gt;&lt;FQL&gt;&lt;Q&gt;TSM-US^P_BETA_LOCIDX(45287,45114,,"SPX")&lt;/Q&gt;&lt;R&gt;1&lt;/R&gt;&lt;C&gt;1&lt;/C&gt;&lt;D xsi:type="xsd:double"&gt;1.4553915&lt;/D&gt;&lt;/FQL&gt;&lt;FQL&gt;&lt;Q&gt;TSM-US^P_BETA_LOCIDX(45286,45113,,"SPX")&lt;/Q&gt;&lt;R&gt;1&lt;/R&gt;&lt;C&gt;1&lt;/C&gt;&lt;D xsi:type="xsd:double"&gt;1.4600524&lt;/D&gt;&lt;/FQL&gt;&lt;FQL&gt;&lt;Q&gt;TSM-US^P_BETA_LOCIDX(45282,45112,,"SPX")&lt;/Q&gt;&lt;R&gt;1&lt;/R&gt;&lt;C&gt;1&lt;/C&gt;&lt;D xsi:type="xsd:double"&gt;1.4629345&lt;/D&gt;&lt;/FQL&gt;&lt;FQL&gt;&lt;Q&gt;TSM-US^P_BETA_LOCIDX(45281,45110,,"SPX")&lt;/Q&gt;&lt;R&gt;1&lt;/R&gt;&lt;C&gt;1&lt;/C&gt;&lt;D xsi:type="xsd:double"&gt;1.464189&lt;/D&gt;&lt;/FQL&gt;&lt;FQL&gt;&lt;Q&gt;TSM-US^P_BETA_LOCIDX(45280,45107,,"SPX")&lt;/Q&gt;&lt;R&gt;1&lt;/R&gt;&lt;C&gt;1&lt;/C&gt;&lt;D xsi:type="xsd:double"&gt;1.4232514&lt;/D&gt;&lt;/FQL&gt;&lt;FQL&gt;&lt;Q&gt;TSM-US^P_BETA_LOCIDX(45279,45106,,"SPX")&lt;/Q&gt;&lt;R&gt;1&lt;/R&gt;&lt;C&gt;1&lt;/C&gt;&lt;D xsi:type="xsd:double"&gt;1.382067&lt;/D&gt;&lt;/FQL&gt;&lt;FQL&gt;&lt;Q&gt;TSM-US^P_BETA_LOCIDX(45278,45105,,"SPX")&lt;/Q&gt;&lt;R&gt;1&lt;/R&gt;&lt;C&gt;1&lt;/C&gt;&lt;D xsi:type="xsd:double"&gt;1.3823628&lt;/D&gt;&lt;/FQL&gt;&lt;FQL&gt;&lt;Q&gt;TSM-US^P_BETA_LOCIDX(45275,45104,,"SPX")&lt;/Q&gt;&lt;R&gt;1&lt;/R&gt;&lt;C&gt;1&lt;/C&gt;&lt;D xsi:type="xsd:double"&gt;1.3908759&lt;/D&gt;&lt;/FQL&gt;&lt;FQL&gt;&lt;Q&gt;TSM-US^P_BETA_LOCIDX(45274,45103,,"SPX")&lt;/Q&gt;&lt;R&gt;1&lt;/R&gt;&lt;C&gt;1&lt;/C&gt;&lt;D xsi:type="xsd:double"&gt;1.3983966&lt;/D&gt;&lt;/FQL&gt;&lt;FQL&gt;&lt;Q&gt;TSM-US^P_BETA_LOCIDX(45273,45100,,"SPX")&lt;/Q&gt;&lt;R&gt;1&lt;/R&gt;&lt;C&gt;1&lt;/C&gt;&lt;D xsi:type="xsd:double"&gt;1.3958027&lt;/D&gt;&lt;/FQL&gt;&lt;FQL&gt;&lt;Q&gt;TSM-US^P_BETA_LOCIDX(45272,45099,,"SPX")&lt;/Q&gt;&lt;R&gt;1&lt;/R&gt;&lt;C&gt;1&lt;/C&gt;&lt;D xsi:type="xsd:double"&gt;1.4274304&lt;/D&gt;&lt;/FQL&gt;&lt;FQL&gt;&lt;Q&gt;TSM-US^P_BETA_LOCIDX(45271,45098,,"SPX")&lt;/Q&gt;&lt;R&gt;1&lt;/R&gt;&lt;C&gt;1&lt;/C&gt;&lt;D xsi:type="xsd:double"&gt;1.4397315&lt;/D&gt;&lt;/FQL&gt;&lt;FQL&gt;&lt;Q&gt;TSM-US^P_BETA_LOCIDX(45268,45097,,"SPX")&lt;/Q&gt;&lt;R&gt;1&lt;/R&gt;&lt;C&gt;1&lt;/C&gt;&lt;D xsi:type="xsd:double"&gt;1.4375999&lt;/D&gt;&lt;/FQL&gt;&lt;FQL&gt;&lt;Q&gt;TSM-US^P_BETA_LOCIDX(45267,45093,,"SPX")&lt;/Q&gt;&lt;R&gt;1&lt;/R&gt;&lt;C&gt;1&lt;/C&gt;&lt;D xsi:type="xsd:double"&gt;1.4342289&lt;/D&gt;&lt;/FQL&gt;&lt;FQL&gt;&lt;Q&gt;TSM-US^P_BETA_LOCIDX(45266,45092,,"SPX")&lt;/Q&gt;&lt;R&gt;1&lt;/R&gt;&lt;C&gt;1&lt;/C&gt;&lt;D xsi:type="xsd:double"&gt;1.3623205&lt;/D&gt;&lt;/FQL&gt;&lt;FQL&gt;&lt;Q&gt;TSM-US^P_BETA_LOCIDX(45265,45091,,"SPX")&lt;/Q&gt;&lt;R&gt;1&lt;/R&gt;&lt;C&gt;1&lt;/C&gt;&lt;D xsi:type="xsd:double"&gt;1.3747643&lt;/D&gt;&lt;/FQL&gt;&lt;FQL&gt;&lt;Q&gt;TSM-US^P_BETA_LOCIDX(45264,45090,,"SPX")&lt;/Q&gt;&lt;R&gt;1&lt;/R&gt;&lt;C&gt;1&lt;/C&gt;&lt;D xsi:type="xsd:double"&gt;1.364056&lt;/D&gt;&lt;/FQL&gt;&lt;FQL&gt;&lt;Q&gt;TSM-US^P_BETA_LOCIDX(45261,45089,,"SPX")&lt;/Q&gt;&lt;R&gt;1&lt;/R&gt;&lt;C&gt;1&lt;/C&gt;&lt;D xsi:type="xsd:double"&gt;1.3972836&lt;/D&gt;&lt;/FQL&gt;&lt;FQL&gt;&lt;Q&gt;TSM-US^P_BETA_LOCIDX(45260,45086,,"SPX")&lt;/Q&gt;&lt;R&gt;1&lt;/R&gt;&lt;C&gt;1&lt;/C&gt;&lt;D xsi:type="xsd:double"&gt;1.3953884&lt;/D&gt;&lt;/FQL&gt;&lt;FQL&gt;&lt;Q&gt;TSM-US^P_BETA_LOCIDX(45259,45085,,"SPX")&lt;/Q&gt;&lt;R&gt;1&lt;/R&gt;&lt;C&gt;1&lt;/C&gt;&lt;D xsi:type="xsd:double"&gt;1.3956876&lt;/D&gt;&lt;/FQL&gt;&lt;FQL&gt;&lt;Q&gt;TSM-US^P_BETA_LOCIDX(45258,45084,,"SPX")&lt;/Q&gt;&lt;R&gt;1&lt;/R&gt;&lt;C&gt;1&lt;/C&gt;&lt;D xsi:type="xsd:double"&gt;1.3911531&lt;/D&gt;&lt;/FQL&gt;&lt;FQL&gt;&lt;Q&gt;TSM-US^P_BETA_LOCIDX(45257,45083,,"SPX")&lt;/Q&gt;&lt;R&gt;1&lt;/R&gt;&lt;C&gt;1&lt;/C&gt;&lt;D xsi:type="xsd:double"&gt;1.3948909&lt;/D&gt;&lt;/FQL&gt;&lt;FQL&gt;&lt;Q&gt;TSM-US^P_BETA_LOCIDX(45254,45082,,"SPX")&lt;/Q&gt;&lt;R&gt;1&lt;/R&gt;&lt;C&gt;1&lt;/C&gt;&lt;D xsi:type="xsd:double"&gt;1.3959026&lt;/D&gt;&lt;/FQL&gt;&lt;FQL&gt;&lt;Q&gt;TSM-US^P_BETA_LOCIDX(45252,45079,,"SPX")&lt;/Q&gt;&lt;R&gt;1&lt;/R&gt;&lt;C&gt;1&lt;/C&gt;&lt;D xsi:type="xsd:double"&gt;1.3582878&lt;/D&gt;&lt;/FQL&gt;&lt;FQL&gt;&lt;Q&gt;TSM-US^P_BETA_LOCIDX(45251,45078,,"SPX")&lt;/Q&gt;&lt;R&gt;1&lt;/R&gt;&lt;C&gt;1&lt;/C&gt;&lt;D xsi:type="xsd:double"&gt;1.3461109&lt;/D&gt;&lt;/FQL&gt;&lt;FQL&gt;&lt;Q&gt;TSM-US^P_BETA_LOCIDX(45250,45077,,"SPX")&lt;/Q&gt;&lt;R&gt;1&lt;/R&gt;&lt;C&gt;1&lt;/C&gt;&lt;D xsi:type="xsd:double"&gt;1.3650241&lt;/D&gt;&lt;/FQL&gt;&lt;FQL&gt;&lt;Q&gt;TSM-US^P_BETA_LOCIDX(45247,45076,,"SPX")&lt;/Q&gt;&lt;R&gt;1&lt;/R&gt;&lt;C&gt;1&lt;/C&gt;&lt;D xsi:type="xsd:double"&gt;1.3711835&lt;/D&gt;&lt;/FQL&gt;&lt;FQL&gt;&lt;Q&gt;TSM-US^P_BETA_LOCIDX(45246,45072,,"SPX")&lt;/Q&gt;&lt;R&gt;1&lt;/R&gt;&lt;C&gt;1&lt;/C&gt;&lt;D xsi:type="xsd:double"&gt;1.3799634&lt;/D&gt;&lt;/FQL&gt;&lt;FQL&gt;&lt;Q&gt;TSM-US^P_BETA_LOCIDX(45245,45071,,"SPX")&lt;/Q&gt;&lt;R&gt;1&lt;/R&gt;&lt;C&gt;1&lt;/C&gt;&lt;D xsi:type="xsd:double"&gt;1.5019811&lt;/D&gt;&lt;/FQL&gt;&lt;FQL&gt;&lt;Q&gt;TSM-US^P_BETA_LOCIDX(45244,45070,,"SPX")&lt;/Q&gt;&lt;R&gt;1&lt;/R&gt;&lt;C&gt;1&lt;/C&gt;&lt;D xsi:type="xsd:double"&gt;1.4937488&lt;/D&gt;&lt;/FQL&gt;&lt;FQL&gt;&lt;Q&gt;TSM-US^P_BETA_LOCIDX(45243,45069,,"SPX")&lt;/Q&gt;&lt;R&gt;1&lt;/R&gt;&lt;C&gt;1&lt;/C&gt;&lt;D xsi:type="xsd:double"&gt;1.4957024&lt;/D&gt;&lt;/FQL&gt;&lt;FQL&gt;&lt;Q&gt;TSM-US^P_BETA_LOCIDX(45240,45068,,"SPX")&lt;/Q&gt;&lt;R&gt;1&lt;/R&gt;&lt;C&gt;1&lt;/C&gt;&lt;D xsi:type="xsd:double"&gt;1.4944202&lt;/D&gt;&lt;/FQL&gt;&lt;FQL&gt;&lt;Q&gt;TSM-US^P_BETA_LOCIDX(45239,45065,,"SPX")&lt;/Q&gt;&lt;R&gt;1&lt;/R&gt;&lt;C&gt;1&lt;/C&gt;&lt;D xsi:type="xsd:double"&gt;1.4031316&lt;/D&gt;&lt;/FQL&gt;&lt;FQL&gt;&lt;Q&gt;TSM-US^P_BETA_LOCIDX(45238,45064,,"SPX")&lt;/Q&gt;&lt;R&gt;1&lt;/R&gt;&lt;C&gt;1&lt;/C&gt;&lt;D xsi:type="xsd:double"&gt;1.4213779&lt;/D&gt;&lt;/FQL&gt;&lt;FQL&gt;&lt;Q&gt;TSM-US^P_BETA_LOCIDX(45237,45063,,"SPX")&lt;/Q&gt;&lt;R&gt;1&lt;/R&gt;&lt;C&gt;1&lt;/C&gt;&lt;D xsi:type="xsd:double"&gt;1.4901167&lt;/D&gt;&lt;/FQL&gt;&lt;FQL&gt;&lt;Q&gt;TSM-US^P_BETA_LOCIDX(45236,45062,,"SPX")&lt;/Q&gt;&lt;R&gt;1&lt;/R&gt;&lt;C&gt;1&lt;/C&gt;&lt;D xsi:type="xsd:double"&gt;1.4803314&lt;/D&gt;&lt;/FQL&gt;&lt;FQL&gt;&lt;Q&gt;TSM-US^P_BETA_LOCIDX(45233,45061,,"SPX")&lt;/Q&gt;&lt;R&gt;1&lt;/R&gt;&lt;C&gt;1&lt;/C&gt;&lt;D xsi:type="xsd:double"&gt;1.4871137&lt;/D&gt;&lt;/FQL&gt;&lt;FQL&gt;&lt;Q&gt;TSM-US^P_BETA_LOCIDX(45232,45058,,"SPX")&lt;/Q&gt;&lt;R&gt;1&lt;/R&gt;&lt;C&gt;1&lt;/C&gt;&lt;D xsi:type="xsd:double"&gt;1.4861951&lt;/D&gt;&lt;/FQL&gt;&lt;FQL&gt;&lt;Q&gt;TSM-US^P_BETA_LOCIDX(45231,45057,,"SPX")&lt;/Q&gt;&lt;R&gt;1&lt;/R&gt;&lt;C&gt;1&lt;/C&gt;&lt;D xsi:type="xsd:double"&gt;1.4843127&lt;/D&gt;&lt;/FQL&gt;&lt;FQL&gt;&lt;Q&gt;TSM-US^P_BETA_LOCIDX(45230,45056,,"SPX")&lt;/Q&gt;&lt;R&gt;1&lt;/R&gt;&lt;C&gt;1&lt;/C&gt;&lt;D xsi:type="xsd:double"&gt;1.4760739&lt;/D&gt;&lt;/FQL&gt;&lt;FQL&gt;&lt;Q&gt;TSM-US^P_BETA_LOCIDX(45229,45055,,"SPX")&lt;/Q&gt;&lt;R&gt;1&lt;/R&gt;&lt;C&gt;1&lt;/C&gt;&lt;D xsi:type="xsd:double"&gt;1.4819416&lt;/D&gt;&lt;/FQL&gt;&lt;FQL&gt;&lt;Q&gt;TSM-US^P_BETA_LOCIDX(45226,45054,,"SPX")&lt;/Q&gt;&lt;R&gt;1&lt;/R&gt;&lt;C&gt;1&lt;/C&gt;&lt;D xsi:type="xsd:double"&gt;1.5150409&lt;/D&gt;&lt;/FQL&gt;&lt;FQL&gt;&lt;Q&gt;TSM-US^P_BETA_LOCIDX(45225,45051,,"SPX")&lt;/Q&gt;&lt;R&gt;1&lt;/R&gt;&lt;C&gt;1&lt;/C&gt;&lt;D xsi:type="xsd:double"&gt;1.4784402&lt;/D&gt;&lt;/FQL&gt;&lt;FQL&gt;&lt;Q&gt;TSM-US^P_BETA_LOCIDX(45224,45050,,"SPX")&lt;/Q&gt;&lt;R&gt;1&lt;/R&gt;&lt;C&gt;1&lt;/C&gt;&lt;D xsi:type="xsd:double"&gt;1.4834774&lt;/D&gt;&lt;/FQL&gt;&lt;FQL&gt;&lt;Q&gt;TSM-US^P_BETA_LOCIDX(45223,45049,,"SPX")&lt;/Q&gt;&lt;R&gt;1&lt;/R&gt;&lt;C&gt;1&lt;/C&gt;&lt;D xsi:type="xsd:double"&gt;1.4233408&lt;/D&gt;&lt;/FQL&gt;&lt;FQL&gt;&lt;Q&gt;TSM-US^P_BETA_LOCIDX(45222,45048,,"SPX")&lt;/Q&gt;&lt;R&gt;1&lt;/R&gt;&lt;C&gt;1&lt;/C&gt;&lt;D xsi:type="xsd:double"&gt;1.422247&lt;/D&gt;&lt;/FQL&gt;&lt;FQL&gt;&lt;Q&gt;TSM-US^P_BETA_LOCIDX(45219,45047,,"SPX")&lt;/Q&gt;&lt;R&gt;1&lt;/R&gt;&lt;C&gt;1&lt;/C&gt;&lt;D xsi:type="xsd:double"&gt;1.4224297&lt;/D&gt;&lt;/FQL&gt;&lt;FQL&gt;&lt;Q&gt;TSM-US^P_BETA_LOCIDX(45218,45044,,"SPX")&lt;/Q&gt;&lt;R&gt;1&lt;/R&gt;&lt;C&gt;1&lt;/C&gt;&lt;D xsi:type="xsd:double"&gt;1.4163873&lt;/D&gt;&lt;/FQL&gt;&lt;FQL&gt;&lt;Q&gt;TSM-US^P_BETA_LOCIDX(45217,45043,,"SPX")&lt;/Q&gt;&lt;R&gt;1&lt;/R&gt;&lt;C&gt;1&lt;/C&gt;&lt;D xsi:type="xsd:double"&gt;1.4503864&lt;/D&gt;&lt;/FQL&gt;&lt;FQL&gt;&lt;Q&gt;TSM-US^P_BETA_LOCIDX(45216,45042,,"SPX")&lt;/Q&gt;&lt;R&gt;1&lt;/R&gt;&lt;C&gt;1&lt;/C&gt;&lt;D xsi:type="xsd:double"&gt;1.4555076&lt;/D&gt;&lt;/FQL&gt;&lt;FQL&gt;&lt;Q&gt;TSM-US^P_BETA_LOCIDX(45215,45041,,"SPX")&lt;/Q&gt;&lt;R&gt;1&lt;/R&gt;&lt;C&gt;1&lt;/C&gt;&lt;D xsi:type="xsd:double"&gt;1.4670916&lt;/D&gt;&lt;/FQL&gt;&lt;FQL&gt;&lt;Q&gt;TSM-US^P_BETA_LOCIDX(45212,45040,,"SPX")&lt;/Q&gt;&lt;R&gt;1&lt;/R&gt;&lt;C&gt;1&lt;/C&gt;&lt;D xsi:type="xsd:double"&gt;1.4775484&lt;/D&gt;&lt;/FQL&gt;&lt;FQL&gt;&lt;Q&gt;TSM-US^P_BETA_LOCIDX(45211,45037,,"SPX")&lt;/Q&gt;&lt;R&gt;1&lt;/R&gt;&lt;C&gt;1&lt;/C&gt;&lt;D xsi:type="xsd:double"&gt;1.4629706&lt;/D&gt;&lt;/FQL&gt;&lt;FQL&gt;&lt;Q&gt;TSM-US^P_BETA_LOCIDX(45210,45036,,"SPX")&lt;/Q&gt;&lt;R&gt;1&lt;/R&gt;&lt;C&gt;1&lt;/C&gt;&lt;D xsi:type="xsd:double"&gt;1.4454716&lt;/D&gt;&lt;/FQL&gt;&lt;FQL&gt;&lt;Q&gt;TSM-US^P_BETA_LOCIDX(45209,45035,,"SPX")&lt;/Q&gt;&lt;R&gt;1&lt;/R&gt;&lt;C&gt;1&lt;/C&gt;&lt;D xsi:type="xsd:double"&gt;1.4408585&lt;/D&gt;&lt;/FQL&gt;&lt;FQL&gt;&lt;Q&gt;TSM-US^P_BETA_LOCIDX(45208,45034,,"SPX")&lt;/Q&gt;&lt;R&gt;1&lt;/R&gt;&lt;C&gt;1&lt;/C&gt;&lt;D xsi:type="xsd:double"&gt;1.4328914&lt;/D&gt;&lt;/FQL&gt;&lt;FQL&gt;&lt;Q&gt;TSM-US^P_BETA_LOCIDX(45205,45033,,"SPX")&lt;/Q&gt;&lt;R&gt;1&lt;/R&gt;&lt;C&gt;1&lt;/C&gt;&lt;D xsi:type="xsd:double"&gt;1.4460051&lt;/D&gt;&lt;/FQL&gt;&lt;FQL&gt;&lt;Q&gt;TSM-US^P_BETA_LOCIDX(45204,45030,,"SPX")&lt;/Q&gt;&lt;R&gt;1&lt;/R&gt;&lt;C&gt;1&lt;/C&gt;&lt;D xsi:type="xsd:double"&gt;1.4279387&lt;/D&gt;&lt;/FQL&gt;&lt;FQL&gt;&lt;Q&gt;TSM-US^P_BETA_LOCIDX(45203,45029,,"SPX")&lt;/Q&gt;&lt;R&gt;1&lt;/R&gt;&lt;C&gt;1&lt;/C&gt;&lt;D xsi:type="xsd:double"&gt;1.396699&lt;/D&gt;&lt;/FQL&gt;&lt;FQL&gt;&lt;Q&gt;TSM-US^P_BETA_LOCIDX(45202,45028,,"SPX")&lt;/Q&gt;&lt;R&gt;1&lt;/R&gt;&lt;C&gt;1&lt;/C&gt;&lt;D xsi:type="xsd:double"&gt;1.4059566&lt;/D&gt;&lt;/FQL&gt;&lt;FQL&gt;&lt;Q&gt;TSM-US^P_BETA_LOCIDX(45201,45027,,"SPX")&lt;/Q&gt;&lt;R&gt;1&lt;/R&gt;&lt;C&gt;1&lt;/C&gt;&lt;D xsi:type="xsd:double"&gt;1.3930541&lt;/D&gt;&lt;/FQL&gt;&lt;FQL&gt;&lt;Q&gt;TSM-US^P_BETA_LOCIDX(45198,45026,,"SPX")&lt;/Q&gt;&lt;R&gt;1&lt;/R&gt;&lt;C&gt;1&lt;/C&gt;&lt;D xsi:type="xsd:double"&gt;1.3920991&lt;/D&gt;&lt;/FQL&gt;&lt;FQL&gt;&lt;Q&gt;TSM-US^P_BETA_LOCIDX(45197,45022,,"SPX")&lt;/Q&gt;&lt;R&gt;1&lt;/R&gt;&lt;C&gt;1&lt;/C&gt;&lt;D xsi:type="xsd:double"&gt;1.3952041&lt;/D&gt;&lt;/FQL&gt;&lt;FQL&gt;&lt;Q&gt;TSM-US^P_BETA_LOCIDX(45196,45021,,"SPX")&lt;/Q&gt;&lt;R&gt;1&lt;/R&gt;&lt;C&gt;1&lt;/C&gt;&lt;D xsi:type="xsd:double"&gt;1.3995485&lt;/D&gt;&lt;/FQL&gt;&lt;FQL&gt;&lt;Q&gt;TSM-US^P_BETA_LOCIDX(45195,45020,,"SPX")&lt;/Q&gt;&lt;R&gt;1&lt;/R&gt;&lt;C&gt;1&lt;/C&gt;&lt;D xsi:type="xsd:double"&gt;1.3979658&lt;/D&gt;&lt;/FQL&gt;&lt;FQL&gt;&lt;Q&gt;TSM-US^P_BETA_LOCIDX(45194,45019,,"SPX")&lt;/Q&gt;&lt;R&gt;1&lt;/R&gt;&lt;C&gt;1&lt;/C&gt;&lt;D xsi:type="xsd:double"&gt;1.3924034&lt;/D&gt;&lt;/FQL&gt;&lt;FQL&gt;&lt;Q&gt;TSM-US^P_BETA_LOCIDX(45191,45016,,"SPX")&lt;/Q&gt;&lt;R&gt;1&lt;/R&gt;&lt;C&gt;1&lt;/C&gt;&lt;D xsi:type="xsd:double"&gt;1.3622837&lt;/D&gt;&lt;/FQL&gt;&lt;FQL&gt;&lt;Q&gt;TSM-US^P_BETA_LOCIDX(45190,45015,,"SPX")&lt;/Q&gt;&lt;R&gt;1&lt;/R&gt;&lt;C&gt;1&lt;/C&gt;&lt;D xsi:type="xsd:double"&gt;1.3579863&lt;/D&gt;&lt;/FQL&gt;&lt;FQL&gt;&lt;Q&gt;TSM-US^P_BETA_LOCIDX(45189,45014,,"SPX")&lt;/Q&gt;&lt;R&gt;1&lt;/R&gt;&lt;C&gt;1&lt;/C&gt;&lt;D xsi:type="xsd:double"&gt;1.3696936&lt;/D&gt;&lt;/FQL&gt;&lt;FQL&gt;&lt;Q&gt;TSM-US^P_BETA_LOCIDX(45188,45013,,"SPX")&lt;/Q&gt;&lt;R&gt;1&lt;/R&gt;&lt;C&gt;1&lt;/C&gt;&lt;D xsi:type="xsd:double"&gt;1.3747281&lt;/D&gt;&lt;/FQL&gt;&lt;FQL&gt;&lt;Q&gt;TSM-US^P_BETA_LOCIDX(45187,45012,,"SPX")&lt;/Q&gt;&lt;R&gt;1&lt;/R&gt;&lt;C&gt;1&lt;/C&gt;&lt;D xsi:type="xsd:double"&gt;1.370487&lt;/D&gt;&lt;/FQL&gt;&lt;FQL&gt;&lt;Q&gt;TSM-US^P_BETA_LOCIDX(45184,45009,,"SPX")&lt;/Q&gt;&lt;R&gt;1&lt;/R&gt;&lt;C&gt;1&lt;/C&gt;&lt;D xsi:type="xsd:double"&gt;1.3512073&lt;/D&gt;&lt;/FQL&gt;&lt;FQL&gt;&lt;Q&gt;TSM-US^P_BETA_LOCIDX(45183,45008,,"SPX")&lt;/Q&gt;&lt;R&gt;1&lt;/R&gt;&lt;C&gt;1&lt;/C&gt;&lt;D xsi:type="xsd:double"&gt;1.3432595&lt;/D&gt;&lt;/FQL&gt;&lt;FQL&gt;&lt;Q&gt;TSM-US^P_BETA_LOCIDX(45182,45007,,"SPX")&lt;/Q&gt;&lt;R&gt;1&lt;/R&gt;&lt;C&gt;1&lt;/C&gt;&lt;D xsi:type="xsd:double"&gt;1.2821649&lt;/D&gt;&lt;/FQL&gt;&lt;FQL&gt;&lt;Q&gt;TSM-US^P_BETA_LOCIDX(45181,45006,,"SPX")&lt;/Q&gt;&lt;R&gt;1&lt;/R&gt;&lt;C&gt;1&lt;/C&gt;&lt;D xsi:type="xsd:double"&gt;1.3041308&lt;/D&gt;&lt;/FQL&gt;&lt;FQL&gt;&lt;Q&gt;TSM-US^P_BETA_LOCIDX(45180,45005,,"SPX")&lt;/Q&gt;&lt;R&gt;1&lt;/R&gt;&lt;C&gt;1&lt;/C&gt;&lt;D xsi:type="xsd:double"&gt;1.3188318&lt;/D&gt;&lt;/FQL&gt;&lt;FQL&gt;&lt;Q&gt;TSM-US^P_BETA_LOCIDX(45177,45002,,"SPX")&lt;/Q&gt;&lt;R&gt;1&lt;/R&gt;&lt;C&gt;1&lt;/C&gt;&lt;D xsi:type="xsd:double"&gt;1.2929336&lt;/D&gt;&lt;/FQL&gt;&lt;FQL&gt;&lt;Q&gt;TSM-US^P_BETA_LOCIDX(45176,45001,,"SPX")&lt;/Q&gt;&lt;R&gt;1&lt;/R&gt;&lt;C&gt;1&lt;/C&gt;&lt;D xsi:type="xsd:double"&gt;1.3135068&lt;/D&gt;&lt;/FQL&gt;&lt;FQL&gt;&lt;Q&gt;TSM-US^P_BETA_LOCIDX(45175,45000,,"SPX")&lt;/Q&gt;&lt;R&gt;1&lt;/R&gt;&lt;C&gt;1&lt;/C&gt;&lt;D xsi:type="xsd:double"&gt;1.3240291&lt;/D&gt;&lt;/FQL&gt;&lt;FQL&gt;&lt;Q&gt;TSM-US^P_BETA_LOCIDX(45174,44999,,"SPX")&lt;/Q&gt;&lt;R&gt;1&lt;/R&gt;&lt;C&gt;1&lt;/C&gt;&lt;D xsi:type="xsd:double"&gt;1.2999234&lt;/D&gt;&lt;/FQL&gt;&lt;FQL&gt;&lt;Q&gt;TSM-US^P_BETA_LOCIDX(45170,44998,,"SPX")&lt;/Q&gt;&lt;R&gt;1&lt;/R&gt;&lt;C&gt;1&lt;/C&gt;&lt;D xsi:type="xsd:double"&gt;1.3135333&lt;/D&gt;&lt;/FQL&gt;&lt;FQL&gt;&lt;Q&gt;TSM-US^P_BETA_LOCIDX(45169,44995,,"SPX")&lt;/Q&gt;&lt;R&gt;1&lt;/R&gt;&lt;C&gt;1&lt;/C&gt;&lt;D xsi:type="xsd:double"&gt;1.3103359&lt;/D&gt;&lt;/FQL&gt;&lt;FQL&gt;&lt;Q&gt;TSM-US^P_BETA_LOCIDX(45168,44994,,"SPX")&lt;/Q&gt;&lt;R&gt;1&lt;/R&gt;&lt;C&gt;1&lt;/C&gt;&lt;D xsi:type="xsd:double"&gt;1.2974954&lt;/D&gt;&lt;/FQL&gt;&lt;FQL&gt;&lt;Q&gt;TSM-US^P_BETA_LOCIDX(45167,44993,,"SPX")&lt;/Q&gt;&lt;R&gt;1&lt;/R&gt;&lt;C&gt;1&lt;/C&gt;&lt;D xsi:type="xsd:double"&gt;1.3012971&lt;/D&gt;&lt;/FQL&gt;&lt;FQL&gt;&lt;Q&gt;TSM-US^P_BETA_LOCIDX(45166,44992,,"SPX")&lt;/Q&gt;&lt;R&gt;1&lt;/R&gt;&lt;C&gt;1&lt;/C&gt;&lt;D xsi:type="xsd:double"&gt;1.2874203&lt;/D&gt;&lt;/FQL&gt;&lt;FQL&gt;&lt;Q&gt;TSM-US^P_BETA_LOCIDX(45163,44991,,"SPX")&lt;/Q&gt;&lt;R&gt;1&lt;/R&gt;&lt;C&gt;1&lt;/C&gt;&lt;D xsi:type="xsd:double"&gt;1.2859743&lt;/D&gt;&lt;/FQL&gt;&lt;FQL&gt;&lt;Q&gt;TSM-US^P_BETA_LOCIDX(45162,44988,,"SPX")&lt;/Q&gt;&lt;R&gt;1&lt;/R&gt;&lt;C&gt;1&lt;/C&gt;&lt;D xsi:type="xsd:double"&gt;1.2643635&lt;/D&gt;&lt;/FQL&gt;&lt;FQL&gt;&lt;Q&gt;TSM-US^P_BETA_LOCIDX(45161,44987,,"SPX")&lt;/Q&gt;&lt;R&gt;1&lt;/R&gt;&lt;C&gt;1&lt;/C&gt;&lt;D xsi:type="xsd:double"&gt;1.2617167&lt;/D&gt;&lt;/FQL&gt;&lt;FQL&gt;&lt;Q&gt;TSM-US^P_BETA_LOCIDX(45160,44986,,"SPX")&lt;/Q&gt;&lt;R&gt;1&lt;/R&gt;&lt;C&gt;1&lt;/C&gt;&lt;D xsi:type="xsd:double"&gt;1.2346607&lt;/D&gt;&lt;/FQL&gt;&lt;FQL&gt;&lt;Q&gt;TSM-US^P_BETA_LOCIDX(45159,44985,,"SPX")&lt;/Q&gt;&lt;R&gt;1&lt;/R&gt;&lt;C&gt;1&lt;/C&gt;&lt;D xsi:type="xsd:double"&gt;1.2340617&lt;/D&gt;&lt;/FQL&gt;&lt;FQL&gt;&lt;Q&gt;TSM-US^P_BETA_LOCIDX(45156,44984,,"SPX")&lt;/Q&gt;&lt;R&gt;1&lt;/R&gt;&lt;C&gt;1&lt;/C&gt;&lt;D xsi:type="xsd:double"&gt;1.223948&lt;/D&gt;&lt;/FQL&gt;&lt;FQL&gt;&lt;Q&gt;TSM-US^P_BETA_LOCIDX(45155,44981,,"SPX")&lt;/Q&gt;&lt;R&gt;1&lt;/R&gt;&lt;C&gt;1&lt;/C&gt;&lt;D xsi:type="xsd:double"&gt;1.2357503&lt;/D&gt;&lt;/FQL&gt;&lt;FQL&gt;&lt;Q&gt;TSM-US^P_BETA_LOCIDX(45154,44980,,"SPX")&lt;/Q&gt;&lt;R&gt;1&lt;/R&gt;&lt;C&gt;1&lt;/C&gt;&lt;D xsi:type="xsd:double"&gt;1.2638829&lt;/D&gt;&lt;/FQL&gt;&lt;FQL&gt;&lt;Q&gt;TSM-US^P_BETA_LOCIDX(45153,44979,,"SPX")&lt;/Q&gt;&lt;R&gt;1&lt;/R&gt;&lt;C&gt;1&lt;/C&gt;&lt;D xsi:type="xsd:double"&gt;1.2784847&lt;/D&gt;&lt;/FQL&gt;&lt;FQL&gt;&lt;Q&gt;TSM-US^P_BETA_LOCIDX(45152,44978,,"SPX")&lt;/Q&gt;&lt;R&gt;1&lt;/R&gt;&lt;C&gt;1&lt;/C&gt;&lt;D xsi:type="xsd:double"&gt;1.2820784&lt;/D&gt;&lt;/FQL&gt;&lt;FQL&gt;&lt;Q&gt;TSM-US^P_BETA_LOCIDX(45149,44974,,"SPX")&lt;/Q&gt;&lt;R&gt;1&lt;/R&gt;&lt;C&gt;1&lt;/C&gt;&lt;D xsi:type="xsd:double"&gt;1.2806238&lt;/D&gt;&lt;/FQL&gt;&lt;FQL&gt;&lt;Q&gt;TSM-US^P_BETA_LOCIDX(45148,44973,,"SPX")&lt;/Q&gt;&lt;R&gt;1&lt;/R&gt;&lt;C&gt;1&lt;/C&gt;&lt;D xsi:type="xsd:double"&gt;1.2793845&lt;/D&gt;&lt;/FQL&gt;&lt;FQL&gt;&lt;Q&gt;TSM-US^P_BETA_LOCIDX(45147,44972,,"SPX")&lt;/Q&gt;&lt;R&gt;1&lt;/R&gt;&lt;C&gt;1&lt;/C&gt;&lt;D xsi:type="xsd:double"&gt;1.2651453&lt;/D&gt;&lt;/FQL&gt;&lt;FQL&gt;&lt;Q&gt;TSM-US^P_BETA_LOCIDX(45146,44971,,"SPX")&lt;/Q&gt;&lt;R&gt;1&lt;/R&gt;&lt;C&gt;1&lt;/C&gt;&lt;D xsi:type="xsd:double"&gt;1.2669135&lt;/D&gt;&lt;/FQL&gt;&lt;FQL&gt;&lt;Q&gt;TSM-US^P_BETA_LOCIDX(45145,44970,,"SPX")&lt;/Q&gt;&lt;R&gt;1&lt;/R&gt;&lt;C&gt;1&lt;/C&gt;&lt;D xsi:type="xsd:double"&gt;1.2509103&lt;/D&gt;&lt;/FQL&gt;&lt;FQL&gt;&lt;Q&gt;TSM-US^P_BETA_LOCIDX(45142,44967,,"SPX")&lt;/Q&gt;&lt;R&gt;1&lt;/R&gt;&lt;C&gt;1&lt;/C&gt;&lt;D xsi:type="xsd:double"&gt;1.2569656&lt;/D&gt;&lt;/FQL&gt;&lt;FQL&gt;&lt;Q&gt;TSM-US^P_BETA_LOCIDX(45141,44966,,"SPX")&lt;/Q&gt;&lt;R&gt;1&lt;/R&gt;&lt;C&gt;1&lt;/C&gt;&lt;D xsi:type="xsd:double"&gt;1.2272846&lt;/D&gt;&lt;/FQL&gt;&lt;FQL&gt;&lt;Q&gt;TSM-US^P_BETA_LOCIDX(45140,44965,,"SPX")&lt;/Q&gt;&lt;R&gt;1&lt;/R&gt;&lt;C&gt;1&lt;/C&gt;&lt;D xsi:type="xsd:double"&gt;1.2093763&lt;/D&gt;&lt;/FQL&gt;&lt;FQL&gt;&lt;Q&gt;TSM-US^P_BETA_LOCIDX(45139,44964,,"SPX")&lt;/Q&gt;&lt;R&gt;1&lt;/R&gt;&lt;C&gt;1&lt;/C&gt;&lt;D xsi:type="xsd:double"&gt;1.2123508&lt;/D&gt;&lt;/FQL&gt;&lt;FQL&gt;&lt;Q&gt;TSM-US^P_BETA_LOCIDX(45138,44963,,"SPX")&lt;/Q&gt;&lt;R&gt;1&lt;/R&gt;&lt;C&gt;1&lt;/C&gt;&lt;D xsi:type="xsd:double"&gt;1.2296923&lt;/D&gt;&lt;/FQL&gt;&lt;FQL&gt;&lt;Q&gt;TSM-US^P_BETA_LOCIDX(45135,44960,,"SPX")&lt;/Q&gt;&lt;R&gt;1&lt;/R&gt;&lt;C&gt;1&lt;/C&gt;&lt;D xsi:type="xsd:double"&gt;1.2411019&lt;/D&gt;&lt;/FQL&gt;&lt;FQL&gt;&lt;Q&gt;TSM-US^P_BETA_LOCIDX(45134,44959,,"SPX")&lt;/Q&gt;&lt;R&gt;1&lt;/R&gt;&lt;C&gt;1&lt;/C&gt;&lt;D xsi:type="xsd:double"&gt;1.2413381&lt;/D&gt;&lt;/FQL&gt;&lt;FQL&gt;&lt;Q&gt;TSM-US^P_BETA_LOCIDX(45133,44958,,"SPX")&lt;/Q&gt;&lt;R&gt;1&lt;/R&gt;&lt;C&gt;1&lt;/C&gt;&lt;D xsi:type="xsd:double"&gt;1.258446&lt;/D&gt;&lt;/FQL&gt;&lt;FQL&gt;&lt;Q&gt;TSM-US^P_BETA_LOCIDX(45132,44957,,"SPX")&lt;/Q&gt;&lt;R&gt;1&lt;/R&gt;&lt;C&gt;1&lt;/C&gt;&lt;D xsi:type="xsd:double"&gt;1.2221279&lt;/D&gt;&lt;/FQL&gt;&lt;FQL&gt;&lt;Q&gt;TSM-US^P_BETA_LOCIDX(45131,44956,,"SPX")&lt;/Q&gt;&lt;R&gt;1&lt;/R&gt;&lt;C&gt;1&lt;/C&gt;&lt;D xsi:type="xsd:double"&gt;1.195314&lt;/D&gt;&lt;/FQL&gt;&lt;FQL&gt;&lt;Q&gt;TSM-US^P_BETA_LOCIDX(45128,44953,,"SPX")&lt;/Q&gt;&lt;R&gt;1&lt;/R&gt;&lt;C&gt;1&lt;/C&gt;&lt;D xsi:type="xsd:double"&gt;1.1925075&lt;/D&gt;&lt;/FQL&gt;&lt;FQL&gt;&lt;Q&gt;TSM-US^P_BETA_LOCIDX(45127,44952,,"SPX")&lt;/Q&gt;&lt;R&gt;1&lt;/R&gt;&lt;C&gt;1&lt;/C&gt;&lt;D xsi:type="xsd:double"&gt;1.1905777&lt;/D&gt;&lt;/FQL&gt;&lt;FQL&gt;&lt;Q&gt;TSM-US^P_BETA_LOCIDX(45126,44951,,"SPX")&lt;/Q&gt;&lt;R&gt;1&lt;/R&gt;&lt;C&gt;1&lt;/C&gt;&lt;D xsi:type="xsd:double"&gt;1.1565367&lt;/D&gt;&lt;/FQL&gt;&lt;FQL&gt;&lt;Q&gt;TSM-US^P_BETA_LOCIDX(45125,44950,,"SPX")&lt;/Q&gt;&lt;R&gt;1&lt;/R&gt;&lt;C&gt;1&lt;/C&gt;&lt;D xsi:type="xsd:double"&gt;1.1590953&lt;/D&gt;&lt;/FQL&gt;&lt;FQL&gt;&lt;Q&gt;TSM-US^P_BETA_LOCIDX(45124,44949,,"SPX")&lt;/Q&gt;&lt;R&gt;1&lt;/R&gt;&lt;C&gt;1&lt;/C&gt;&lt;D xsi:type="xsd:double"&gt;1.2202356&lt;/D&gt;&lt;/FQL&gt;&lt;FQL&gt;&lt;Q&gt;TSM-US^P_BETA_LOCIDX(45121,44946,,"SPX")&lt;/Q&gt;&lt;R&gt;1&lt;/R&gt;&lt;C&gt;1&lt;/C&gt;&lt;D xsi:type="xsd:double"&gt;1.235248&lt;/D&gt;&lt;/FQL&gt;&lt;FQL&gt;&lt;Q&gt;TSM-US^P_BETA_LOCIDX(45120,44945,,"SPX")&lt;/Q&gt;&lt;R&gt;1&lt;/R&gt;&lt;C&gt;1&lt;/C&gt;&lt;D xsi:type="xsd:double"&gt;1.2370733&lt;/D&gt;&lt;/FQL&gt;&lt;FQL&gt;&lt;Q&gt;TSM-US^P_BETA_LOCIDX(45119,44944,,"SPX")&lt;/Q&gt;&lt;R&gt;1&lt;/R&gt;&lt;C&gt;1&lt;/C&gt;&lt;D xsi:type="xsd:double"&gt;1.1901779&lt;/D&gt;&lt;/FQL&gt;&lt;FQL&gt;&lt;Q&gt;TSM-US^P_BETA_LOCIDX(45118,44943,,"SPX")&lt;/Q&gt;&lt;R&gt;1&lt;/R&gt;&lt;C&gt;1&lt;/C&gt;&lt;D xsi:type="xsd:double"&gt;1.1701294&lt;/D&gt;&lt;/FQL&gt;&lt;FQL&gt;&lt;Q&gt;TSM-US^P_BETA_LOCIDX(45117,44939,,"SPX")&lt;/Q&gt;&lt;R&gt;1&lt;/R&gt;&lt;C&gt;1&lt;/C&gt;&lt;D xsi:type="xsd:double"&gt;1.1635942&lt;/D&gt;&lt;/FQL&gt;&lt;FQL&gt;&lt;Q&gt;TSM-US^P_BETA_LOCIDX(45114,44938,,"SPX")&lt;/Q&gt;&lt;R&gt;1&lt;/R&gt;&lt;C&gt;1&lt;/C&gt;&lt;D xsi:type="xsd:double"&gt;1.1807284&lt;/D&gt;&lt;/FQL&gt;&lt;FQL&gt;&lt;Q&gt;TSM-US^P_BETA_LOCIDX(45113,44937,,"SPX")&lt;/Q&gt;&lt;R&gt;1&lt;/R&gt;&lt;C&gt;1&lt;/C&gt;&lt;D xsi:type="xsd:double"&gt;1.1730324&lt;/D&gt;&lt;/FQL&gt;&lt;FQL&gt;&lt;Q&gt;TSM-US^P_BETA_LOCIDX(45112,44936,,"SPX")&lt;/Q&gt;&lt;R&gt;1&lt;/R&gt;&lt;C&gt;1&lt;/C&gt;&lt;D xsi:type="xsd:double"&gt;1.1681939&lt;/D&gt;&lt;/FQL&gt;&lt;FQL&gt;&lt;Q&gt;TSM-US^P_BETA_LOCIDX(45110,44935,,"SPX")&lt;/Q&gt;&lt;R&gt;1&lt;/R&gt;&lt;C&gt;1&lt;/C&gt;&lt;D xsi:type="xsd:double"&gt;1.1560457&lt;/D&gt;&lt;/FQL&gt;&lt;FQL&gt;&lt;Q&gt;TSM-US^P_BETA_LOCIDX(45107,44932,,"SPX")&lt;/Q&gt;&lt;R&gt;1&lt;/R&gt;&lt;C&gt;1&lt;/C&gt;&lt;D xsi:type="xsd:double"&gt;1.1634094&lt;/D&gt;&lt;/FQL&gt;&lt;FQL&gt;&lt;Q&gt;TSM-US^P_BETA_LOCIDX(45106,44931,,"SPX")&lt;/Q&gt;&lt;R&gt;1&lt;/R&gt;&lt;C&gt;1&lt;/C&gt;&lt;D xsi:type="xsd:double"&gt;1.1712914&lt;/D&gt;&lt;/FQL&gt;&lt;FQL&gt;&lt;Q&gt;TSM-US^P_BETA_LOCIDX(45105,44930,,"SPX")&lt;/Q&gt;&lt;R&gt;1&lt;/R&gt;&lt;C&gt;1&lt;/C&gt;&lt;D xsi:type="xsd:double"&gt;1.1875541&lt;/D&gt;&lt;/FQL&gt;&lt;FQL&gt;&lt;Q&gt;TSM-US^P_BETA_LOCIDX(45104,44929,,"SPX")&lt;/Q&gt;&lt;R&gt;1&lt;/R&gt;&lt;C&gt;1&lt;/C&gt;&lt;D xsi:type="xsd:double"&gt;1.1871897&lt;/D&gt;&lt;/FQL&gt;&lt;FQL&gt;&lt;Q&gt;TSM-US^P_BETA_LOCIDX(45103,44925,,"SPX")&lt;/Q&gt;&lt;R&gt;1&lt;/R&gt;&lt;C&gt;1&lt;/C&gt;&lt;D xsi:type="xsd:double"&gt;1.1889452&lt;/D&gt;&lt;/FQL&gt;&lt;FQL&gt;&lt;Q&gt;TSM-US^P_BETA_LOCIDX(45100,44924,,"SPX")&lt;/Q&gt;&lt;R&gt;1&lt;/R&gt;&lt;C&gt;1&lt;/C&gt;&lt;D xsi:type="xsd:double"&gt;1.2102101&lt;/D&gt;&lt;/FQL&gt;&lt;FQL&gt;&lt;Q&gt;TSM-US^P_BETA_LOCIDX(45099,44923,,"SPX")&lt;/Q&gt;&lt;R&gt;1&lt;/R&gt;&lt;C&gt;1&lt;/C&gt;&lt;D xsi:type="xsd:double"&gt;1.2117507&lt;/D&gt;&lt;/FQL&gt;&lt;FQL&gt;&lt;Q&gt;TSM-US^P_BETA_LOCIDX(45098,44922,,"SPX")&lt;/Q&gt;&lt;R&gt;1&lt;/R&gt;&lt;C&gt;1&lt;/C&gt;&lt;D xsi:type="xsd:double"&gt;1.2116929&lt;/D&gt;&lt;/FQL&gt;&lt;FQL&gt;&lt;Q&gt;TSM-US^P_BETA_LOCIDX(45097,44918,,"SPX")&lt;/Q&gt;&lt;R&gt;1&lt;/R&gt;&lt;C&gt;1&lt;/C&gt;&lt;D xsi:type="xsd:double"&gt;1.194528&lt;/D&gt;&lt;/FQL&gt;&lt;FQL&gt;&lt;Q&gt;TSM-US^P_BETA_LOCIDX(45093,44917,,"SPX")&lt;/Q&gt;&lt;R&gt;1&lt;/R&gt;&lt;C&gt;1&lt;/C&gt;&lt;D xsi:type="xsd:double"&gt;1.2060187&lt;/D&gt;&lt;/FQL&gt;&lt;FQL&gt;&lt;Q&gt;TSM-US^P_BETA_LOCIDX(45092,44916,,"SPX")&lt;/Q&gt;&lt;R&gt;1&lt;/R&gt;&lt;C&gt;1&lt;/C&gt;&lt;D xsi:type="xsd:double"&gt;1.20566&lt;/D&gt;&lt;/FQL&gt;&lt;FQL&gt;&lt;Q&gt;TSM-US^P_BETA_LOCIDX(45091,44915,,"SPX")&lt;/Q&gt;&lt;R&gt;1&lt;/R&gt;&lt;C&gt;1&lt;/C&gt;&lt;D xsi:type="xsd:double"&gt;1.2441304&lt;/D&gt;&lt;/FQL&gt;&lt;FQL&gt;&lt;Q&gt;TSM-US^P_BETA_LOCIDX(45090,44914,,"SPX")&lt;/Q&gt;&lt;R&gt;1&lt;/R&gt;&lt;C&gt;1&lt;/C&gt;&lt;D xsi:type="xsd:double"&gt;1.2376639&lt;/D&gt;&lt;/FQL&gt;&lt;FQL&gt;&lt;Q&gt;TSM-US^P_BETA_LOCIDX(45089,44911,,"SPX")&lt;/Q&gt;&lt;R&gt;1&lt;/R&gt;&lt;C&gt;1&lt;/C&gt;&lt;D xsi:type="xsd:double"&gt;1.2500513&lt;/D&gt;&lt;/FQL&gt;&lt;FQL&gt;&lt;Q&gt;TSM-US^P_BETA_LOCIDX(45086,44910,,"SPX")&lt;/Q&gt;&lt;R&gt;1&lt;/R&gt;&lt;C&gt;1&lt;/C&gt;&lt;D xsi:type="xsd:double"&gt;1.2303119&lt;/D&gt;&lt;/FQL&gt;&lt;FQL&gt;&lt;Q&gt;TSM-US^P_BETA_LOCIDX(45085,44909,,"SPX")&lt;/Q&gt;&lt;R&gt;1&lt;/R&gt;&lt;C&gt;1&lt;/C&gt;&lt;D xsi:type="xsd:double"&gt;1.2291576&lt;/D&gt;&lt;/FQL&gt;&lt;FQL&gt;&lt;Q&gt;TSM-US^P_BETA_LOCIDX(45084,44908,,"SPX")&lt;/Q&gt;&lt;R&gt;1&lt;/R&gt;&lt;C&gt;1&lt;/C&gt;&lt;D xsi:type="xsd:double"&gt;1.2297933&lt;/D&gt;&lt;/FQL&gt;&lt;FQL&gt;&lt;Q&gt;TSM-US^P_BETA_LOCIDX(45083,44907,,"SPX")&lt;/Q&gt;&lt;R&gt;1&lt;/R&gt;&lt;C&gt;1&lt;/C&gt;&lt;D xsi:type="xsd:double"&gt;1.2072195&lt;/D&gt;&lt;/FQL&gt;&lt;FQL&gt;&lt;Q&gt;TSM-US^P_BETA_LOCIDX(45082,44904,,"SPX")&lt;/Q&gt;&lt;R&gt;1&lt;/R&gt;&lt;C&gt;1&lt;/C&gt;&lt;D xsi:type="xsd:double"&gt;1.2007855&lt;/D&gt;&lt;/FQL&gt;&lt;FQL&gt;&lt;Q&gt;TSM-US^P_BETA_LOCIDX(45079,44903,,"SPX")&lt;/Q&gt;&lt;R&gt;1&lt;/R&gt;&lt;C&gt;1&lt;/C&gt;&lt;D xsi:type="xsd:double"&gt;1.2045478&lt;/D&gt;&lt;/FQL&gt;&lt;FQL&gt;&lt;Q&gt;TSM-US^P_BETA_LOCIDX(45078,44902,,"SPX")&lt;/Q&gt;&lt;R&gt;1&lt;/R&gt;&lt;C&gt;1&lt;/C&gt;&lt;D xsi:type="xsd:double"&gt;1.226507&lt;/D&gt;&lt;/FQL&gt;&lt;FQL&gt;&lt;Q&gt;TSM-US^P_BETA_LOCIDX(45077,44901,,"SPX")&lt;/Q&gt;&lt;R&gt;1&lt;/R&gt;&lt;C&gt;1&lt;/C&gt;&lt;D xsi:type="xsd:double"&gt;1.2465234&lt;/D&gt;&lt;/FQL&gt;&lt;FQL&gt;&lt;Q&gt;TSM-US^P_BETA_LOCIDX(45076,44900,,"SPX")&lt;/Q&gt;&lt;R&gt;1&lt;/R&gt;&lt;C&gt;1&lt;/C&gt;&lt;D xsi:type="xsd:double"&gt;1.1978439&lt;/D&gt;&lt;/FQL&gt;&lt;FQL&gt;&lt;Q&gt;TSM-US^P_BETA_LOCIDX(45072,44897,,"SPX")&lt;/Q&gt;&lt;R&gt;1&lt;/R&gt;&lt;C&gt;1&lt;/C&gt;&lt;D xsi:type="xsd:double"&gt;1.1993396&lt;/D&gt;&lt;/FQL&gt;&lt;FQL&gt;&lt;Q&gt;TSM-US^P_BETA_LOCIDX(45071,44896,,"SPX")&lt;/Q&gt;&lt;R&gt;1&lt;/R&gt;&lt;C&gt;1&lt;/C&gt;&lt;D xsi:type="xsd:double"&gt;1.1942497&lt;/D&gt;&lt;/FQL&gt;&lt;FQL&gt;&lt;Q&gt;TSM-US^P_BETA_LOCIDX(45070,44895,,"SPX")&lt;/Q&gt;&lt;R&gt;1&lt;/R&gt;&lt;C&gt;1&lt;/C&gt;&lt;D xsi:type="xsd:double"&gt;1.1407301&lt;/D&gt;&lt;/FQL&gt;&lt;FQL&gt;&lt;Q&gt;TSM-US^P_BETA_LOCIDX(45069,44894,,"SPX")&lt;/Q&gt;&lt;R&gt;1&lt;/R&gt;&lt;C&gt;1&lt;/C&gt;&lt;D xsi:type="xsd:double"&gt;1.1428635&lt;/D&gt;&lt;/FQL&gt;&lt;FQL&gt;&lt;Q&gt;TSM-US^P_BETA_LOCIDX(45068,44893,,"SPX")&lt;/Q&gt;&lt;R&gt;1&lt;/R&gt;&lt;C&gt;1&lt;/C&gt;&lt;D xsi:type="xsd:double"&gt;1.1534544&lt;/D&gt;&lt;/FQL&gt;&lt;FQL&gt;&lt;Q&gt;TSM-US^P_BETA_LOCIDX(45065,44890,,"SPX")&lt;/Q&gt;&lt;R&gt;1&lt;/R&gt;&lt;C&gt;1&lt;/C&gt;&lt;D xsi:type="xsd:double"&gt;1.1536568&lt;/D&gt;&lt;/FQL&gt;&lt;FQL&gt;&lt;Q&gt;TSM-US^P_BETA_LOCIDX(45064,44888,,"SPX")&lt;/Q&gt;&lt;R&gt;1&lt;/R&gt;&lt;C&gt;1&lt;/C&gt;&lt;D xsi:type="xsd:double"&gt;1.1474667&lt;/D&gt;&lt;/FQL&gt;&lt;FQL&gt;&lt;Q&gt;TSM-US^P_BETA_LOCIDX(45063,44887,,"SPX")&lt;/Q&gt;&lt;R&gt;1&lt;/R&gt;&lt;C&gt;1&lt;/C&gt;&lt;D xsi:type="xsd:double"&gt;1.1586351&lt;/D&gt;&lt;/FQL&gt;&lt;FQL&gt;&lt;Q&gt;TSM-US^P_BETA_LOCIDX(45062,44886,,"SPX")&lt;/Q&gt;&lt;R&gt;1&lt;/R&gt;&lt;C&gt;1&lt;/C&gt;&lt;D xsi:type="xsd:double"&gt;1.1271966&lt;/D&gt;&lt;/FQL&gt;&lt;FQL&gt;&lt;Q&gt;TSM-US^P_BETA_LOCIDX(45061,44883,,"SPX")&lt;/Q&gt;&lt;R&gt;1&lt;/R&gt;&lt;C&gt;1&lt;/C&gt;&lt;D xsi:type="xsd:double"&gt;1.1337664&lt;/D&gt;&lt;/FQL&gt;&lt;FQL&gt;&lt;Q&gt;TSM-US^P_BETA_LOCIDX(45058,44882,,"SPX")&lt;/Q&gt;&lt;R&gt;1&lt;/R&gt;&lt;C&gt;1&lt;/C&gt;&lt;D xsi:type="xsd:double"&gt;1.1211475&lt;/D&gt;&lt;/FQL&gt;&lt;FQL&gt;&lt;Q&gt;TSM-US^P_BETA_LOCIDX(45057,44881,,"SPX")&lt;/Q&gt;&lt;R&gt;1&lt;/R&gt;&lt;C&gt;1&lt;/C&gt;&lt;D xsi:type="xsd:double"&gt;1.1237134&lt;/D&gt;&lt;/FQL&gt;&lt;FQL&gt;&lt;Q&gt;TSM-US^P_BETA_LOCIDX(45056,44880,,"SPX")&lt;/Q&gt;&lt;R&gt;1&lt;/R&gt;&lt;C&gt;1&lt;/C&gt;&lt;D xsi:type="xsd:double"&gt;1.1826437&lt;/D&gt;&lt;/FQL&gt;&lt;FQL&gt;&lt;Q&gt;TSM-US^P_BETA_LOCIDX(45055,44879,,"SPX")&lt;/Q&gt;&lt;R&gt;1&lt;/R&gt;&lt;C&gt;1&lt;/C&gt;&lt;D xsi:type="xsd:double"&gt;1.1884301&lt;/D&gt;&lt;/FQL&gt;&lt;FQL&gt;&lt;Q&gt;TSM-US^P_BETA_LOCIDX(45054,44876,,"SPX")&lt;/Q&gt;&lt;R&gt;1&lt;/R&gt;&lt;C&gt;1&lt;/C&gt;&lt;D xsi:type="xsd:double"&gt;1.2084751&lt;/D&gt;&lt;/FQL&gt;&lt;FQL&gt;&lt;Q&gt;TSM-US^P_BETA_LOCIDX(45051,44875,,"SPX")&lt;/Q&gt;&lt;R&gt;1&lt;/R&gt;&lt;C&gt;1&lt;/C&gt;&lt;D xsi:type="xsd:double"&gt;1.2822471&lt;/D&gt;&lt;/FQL&gt;&lt;FQL&gt;&lt;Q&gt;TSM-US^P_BETA_LOCIDX(45050,44874,,"SPX")&lt;/Q&gt;&lt;R&gt;1&lt;/R&gt;&lt;C&gt;1&lt;/C&gt;&lt;D xsi:type="xsd:double"&gt;1.2573444&lt;/D&gt;&lt;/FQL&gt;&lt;FQL&gt;&lt;Q&gt;TSM-US^P_BETA_LOCIDX(45049,44873,,"SPX")&lt;/Q&gt;&lt;R&gt;1&lt;/R&gt;&lt;C&gt;1&lt;/C&gt;&lt;D xsi:type="xsd:double"&gt;1.2740518&lt;/D&gt;&lt;/FQL&gt;&lt;FQL&gt;&lt;Q&gt;TSM-US^P_BETA_LOCIDX(45048,44872,,"SPX")&lt;/Q&gt;&lt;R&gt;1&lt;/R&gt;&lt;C&gt;1&lt;/C&gt;&lt;D xsi:type="xsd:double"&gt;1.2708297&lt;/D&gt;&lt;/FQL&gt;&lt;FQL&gt;&lt;Q&gt;TSM-US^P_BETA_LOCIDX(45047,44869,,"SPX")&lt;/Q&gt;&lt;R&gt;1&lt;/R&gt;&lt;C&gt;1&lt;/C&gt;&lt;D xsi:type="xsd:double"&gt;1.2853523&lt;/D&gt;&lt;/FQL&gt;&lt;FQL&gt;&lt;Q&gt;TSM-US^P_BETA_LOCIDX(45044,44868,,"SPX")&lt;/Q&gt;&lt;R&gt;1&lt;/R&gt;&lt;C&gt;1&lt;/C&gt;&lt;D xsi:type="xsd:double"&gt;1.2793423&lt;/D&gt;&lt;/FQL&gt;&lt;FQL&gt;&lt;Q&gt;TSM-US^P_BETA_LOCIDX(45043,44867,,"SPX")&lt;/Q&gt;&lt;R&gt;1&lt;/R&gt;&lt;C&gt;1&lt;/C&gt;&lt;D xsi:type="xsd:double"&gt;1.2618608&lt;/D&gt;&lt;/FQL&gt;&lt;FQL&gt;&lt;Q&gt;TSM-US^P_BETA_LOCIDX(45042,44866,,"SPX")&lt;/Q&gt;&lt;R&gt;1&lt;/R&gt;&lt;C&gt;1&lt;/C&gt;&lt;D xsi:type="xsd:double"&gt;1.2717607&lt;/D&gt;&lt;/FQL&gt;&lt;FQL&gt;&lt;Q&gt;TSM-US^P_BETA_LOCIDX(45041,44865,,"SPX")&lt;/Q&gt;&lt;R&gt;1&lt;/R&gt;&lt;C&gt;1&lt;/C&gt;&lt;D xsi:type="xsd:double"&gt;1.2723714&lt;/D&gt;&lt;/FQL&gt;&lt;FQL&gt;&lt;Q&gt;TSM-US^P_BETA_LOCIDX(45040,44862,,"SPX")&lt;/Q&gt;&lt;R&gt;1&lt;/R&gt;&lt;C&gt;1&lt;/C&gt;&lt;D xsi:type="xsd:double"&gt;1.2401311&lt;/D&gt;&lt;/FQL&gt;&lt;FQL&gt;&lt;Q&gt;TSM-US^P_BETA_LOCIDX(45037,44861,,"SPX")&lt;/Q&gt;&lt;R&gt;1&lt;/R&gt;&lt;C&gt;1&lt;/C&gt;&lt;D xsi:type="xsd:double"&gt;1.2373117&lt;/D&gt;&lt;/FQL&gt;&lt;FQL&gt;&lt;Q&gt;TSM-US^P_BETA_LOCIDX(45036,44860,,"SPX")&lt;/Q&gt;&lt;R&gt;1&lt;/R&gt;&lt;C&gt;1&lt;/C&gt;&lt;D xsi:type="xsd:double"&gt;1.2371179&lt;/D&gt;&lt;/FQL&gt;&lt;FQL&gt;&lt;Q&gt;TSM-US^P_BETA_LOCIDX(45035,44859,,"SPX")&lt;/Q&gt;&lt;R&gt;1&lt;/R&gt;&lt;C&gt;1&lt;/C&gt;&lt;D xsi:type="xsd:double"&gt;1.2256223&lt;/D&gt;&lt;/FQL&gt;&lt;FQL&gt;&lt;Q&gt;TSM-US^P_BETA_LOCIDX(45034,44858,,"SPX")&lt;/Q&gt;&lt;R&gt;1&lt;/R&gt;&lt;C&gt;1&lt;/C&gt;&lt;D xsi:type="xsd:double"&gt;1.1898082&lt;/D&gt;&lt;/FQL&gt;&lt;FQL&gt;&lt;Q&gt;TSM-US^P_BETA_LOCIDX(45033,44855,,"SPX")&lt;/Q&gt;&lt;R&gt;1&lt;/R&gt;&lt;C&gt;1&lt;/C&gt;&lt;D xsi:type="xsd:double"&gt;1.1549628&lt;/D&gt;&lt;/FQL&gt;&lt;FQL&gt;&lt;Q&gt;TSM-US^P_BETA_LOCIDX(45030,44854,,"SPX")&lt;/Q&gt;&lt;R&gt;1&lt;/R&gt;&lt;C&gt;1&lt;/C&gt;&lt;D xsi:type="xsd:double"&gt;1.151382&lt;/D&gt;&lt;/FQL&gt;&lt;FQL&gt;&lt;Q&gt;TSM-US^P_BETA_LOCIDX(45029,44853,,"SPX")&lt;/Q&gt;&lt;R&gt;1&lt;/R&gt;&lt;C&gt;1&lt;/C&gt;&lt;D xsi:type="xsd:double"&gt;1.1495788&lt;/D&gt;&lt;/FQL&gt;&lt;FQL&gt;&lt;Q&gt;TSM-US^P_BETA_LOCIDX(45028,44852,,"SPX")&lt;/Q&gt;&lt;R&gt;1&lt;/R&gt;&lt;C&gt;1&lt;/C&gt;&lt;D xsi:type="xsd:double"&gt;1.1404884&lt;/D&gt;&lt;/FQL&gt;&lt;FQL&gt;&lt;Q&gt;TSM-US^P_BETA_LOCIDX(45027,44851,,"SPX")&lt;/Q&gt;&lt;R&gt;1&lt;/R&gt;&lt;C&gt;1&lt;/C&gt;&lt;D xsi:type="xsd:double"&gt;1.1110315&lt;/D&gt;&lt;/FQL&gt;&lt;FQL&gt;&lt;Q&gt;TSM-US^P_BETA_LOCIDX(45026,44848,,"SPX")&lt;/Q&gt;&lt;R&gt;1&lt;/R&gt;&lt;C&gt;1&lt;/C&gt;&lt;D xsi:type="xsd:double"&gt;1.131628&lt;/D&gt;&lt;/FQL&gt;&lt;FQL&gt;&lt;Q&gt;TSM-US^P_BETA_LOCIDX(45022,44847,,"SPX")&lt;/Q&gt;&lt;R&gt;1&lt;/R&gt;&lt;C&gt;1&lt;/C&gt;&lt;D xsi:type="xsd:double"&gt;1.1417706&lt;/D&gt;&lt;/FQL&gt;&lt;FQL&gt;&lt;Q&gt;TSM-US^P_BETA_LOCIDX(45021,44846,,"SPX")&lt;/Q&gt;&lt;R&gt;1&lt;/R&gt;&lt;C&gt;1&lt;/C&gt;&lt;D xsi</t>
        </r>
      </text>
    </comment>
    <comment ref="A23" authorId="0" shapeId="0" xr:uid="{ADA3FCE7-AB65-458A-A917-ABF4B8A196ED}">
      <text>
        <r>
          <rPr>
            <b/>
            <sz val="9"/>
            <color indexed="81"/>
            <rFont val="Tahoma"/>
            <family val="2"/>
          </rPr>
          <t>:type="xsd:double"&gt;1.1396224&lt;/D&gt;&lt;/FQL&gt;&lt;FQL&gt;&lt;Q&gt;TSM-US^P_BETA_LOCIDX(45020,44845,,"SPX")&lt;/Q&gt;&lt;R&gt;1&lt;/R&gt;&lt;C&gt;1&lt;/C&gt;&lt;D xsi:type="xsd:double"&gt;1.1565952&lt;/D&gt;&lt;/FQL&gt;&lt;FQL&gt;&lt;Q&gt;TSM-US^P_BETA_LOCIDX(45019,44844,,"SPX")&lt;/Q&gt;&lt;R&gt;1&lt;/R&gt;&lt;C&gt;1&lt;/C&gt;&lt;D xsi:type="xsd:double"&gt;1.1671666&lt;/D&gt;&lt;/FQL&gt;&lt;FQL&gt;&lt;Q&gt;TSM-US^P_BETA_LOCIDX(45016,44841,,"SPX")&lt;/Q&gt;&lt;R&gt;1&lt;/R&gt;&lt;C&gt;1&lt;/C&gt;&lt;D xsi:type="xsd:double"&gt;1.210884&lt;/D&gt;&lt;/FQL&gt;&lt;FQL&gt;&lt;Q&gt;TSM-US^P_BETA_LOCIDX(45015,44840,,"SPX")&lt;/Q&gt;&lt;R&gt;1&lt;/R&gt;&lt;C&gt;1&lt;/C&gt;&lt;D xsi:type="xsd:double"&gt;1.2143309&lt;/D&gt;&lt;/FQL&gt;&lt;FQL&gt;&lt;Q&gt;TSM-US^P_BETA_LOCIDX(45014,44839,,"SPX")&lt;/Q&gt;&lt;R&gt;1&lt;/R&gt;&lt;C&gt;1&lt;/C&gt;&lt;D xsi:type="xsd:double"&gt;1.2141246&lt;/D&gt;&lt;/FQL&gt;&lt;FQL&gt;&lt;Q&gt;TSM-US^P_BETA_LOCIDX(45013,44838,,"SPX")&lt;/Q&gt;&lt;R&gt;1&lt;/R&gt;&lt;C&gt;1&lt;/C&gt;&lt;D xsi:type="xsd:double"&gt;1.2302526&lt;/D&gt;&lt;/FQL&gt;&lt;FQL&gt;&lt;Q&gt;TSM-US^P_BETA_LOCIDX(45012,44837,,"SPX")&lt;/Q&gt;&lt;R&gt;1&lt;/R&gt;&lt;C&gt;1&lt;/C&gt;&lt;D xsi:type="xsd:double"&gt;1.2037653&lt;/D&gt;&lt;/FQL&gt;&lt;FQL&gt;&lt;Q&gt;TSM-US^P_BETA_LOCIDX(45009,44834,,"SPX")&lt;/Q&gt;&lt;R&gt;1&lt;/R&gt;&lt;C&gt;1&lt;/C&gt;&lt;D xsi:type="xsd:double"&gt;1.2002919&lt;/D&gt;&lt;/FQL&gt;&lt;FQL&gt;&lt;Q&gt;TSM-US^P_BETA_LOCIDX(45008,44833,,"SPX")&lt;/Q&gt;&lt;R&gt;1&lt;/R&gt;&lt;C&gt;1&lt;/C&gt;&lt;D xsi:type="xsd:double"&gt;1.2217444&lt;/D&gt;&lt;/FQL&gt;&lt;FQL&gt;&lt;Q&gt;TSM-US^P_BETA_LOCIDX(45007,44832,,"SPX")&lt;/Q&gt;&lt;R&gt;1&lt;/R&gt;&lt;C&gt;1&lt;/C&gt;&lt;D xsi:type="xsd:double"&gt;1.1886755&lt;/D&gt;&lt;/FQL&gt;&lt;FQL&gt;&lt;Q&gt;TSM-US^P_BETA_LOCIDX(45006,44831,,"SPX")&lt;/Q&gt;&lt;R&gt;1&lt;/R&gt;&lt;C&gt;1&lt;/C&gt;&lt;D xsi:type="xsd:double"&gt;1.2033254&lt;/D&gt;&lt;/FQL&gt;&lt;FQL&gt;&lt;Q&gt;TSM-US^P_BETA_LOCIDX(45005,44830,,"SPX")&lt;/Q&gt;&lt;R&gt;1&lt;/R&gt;&lt;C&gt;1&lt;/C&gt;&lt;D xsi:type="xsd:double"&gt;1.1978803&lt;/D&gt;&lt;/FQL&gt;&lt;FQL&gt;&lt;Q&gt;TSM-US^P_BETA_LOCIDX(45002,44827,,"SPX")&lt;/Q&gt;&lt;R&gt;1&lt;/R&gt;&lt;C&gt;1&lt;/C&gt;&lt;D xsi:type="xsd:double"&gt;1.2028608&lt;/D&gt;&lt;/FQL&gt;&lt;FQL&gt;&lt;Q&gt;TSM-US^P_BETA_LOCIDX(45001,44826,,"SPX")&lt;/Q&gt;&lt;R&gt;1&lt;/R&gt;&lt;C&gt;1&lt;/C&gt;&lt;D xsi:type="xsd:double"&gt;1.2140087&lt;/D&gt;&lt;/FQL&gt;&lt;FQL&gt;&lt;Q&gt;TSM-US^P_BETA_LOCIDX(45000,44825,,"SPX")&lt;/Q&gt;&lt;R&gt;1&lt;/R&gt;&lt;C&gt;1&lt;/C&gt;&lt;D xsi:type="xsd:double"&gt;1.2029735&lt;/D&gt;&lt;/FQL&gt;&lt;FQL&gt;&lt;Q&gt;TSM-US^P_BETA_LOCIDX(44999,44824,,"SPX")&lt;/Q&gt;&lt;R&gt;1&lt;/R&gt;&lt;C&gt;1&lt;/C&gt;&lt;D xsi:type="xsd:double"&gt;1.1905274&lt;/D&gt;&lt;/FQL&gt;&lt;FQL&gt;&lt;Q&gt;TSM-US^P_BETA_LOCIDX(44998,44823,,"SPX")&lt;/Q&gt;&lt;R&gt;1&lt;/R&gt;&lt;C&gt;1&lt;/C&gt;&lt;D xsi:type="xsd:double"&gt;1.191334&lt;/D&gt;&lt;/FQL&gt;&lt;FQL&gt;&lt;Q&gt;TSM-US^P_BETA_LOCIDX(44995,44820,,"SPX")&lt;/Q&gt;&lt;R&gt;1&lt;/R&gt;&lt;C&gt;1&lt;/C&gt;&lt;D xsi:type="xsd:double"&gt;1.1898006&lt;/D&gt;&lt;/FQL&gt;&lt;FQL&gt;&lt;Q&gt;TSM-US^P_BETA_LOCIDX(44994,44819,,"SPX")&lt;/Q&gt;&lt;R&gt;1&lt;/R&gt;&lt;C&gt;1&lt;/C&gt;&lt;D xsi:type="xsd:double"&gt;1.1927309&lt;/D&gt;&lt;/FQL&gt;&lt;FQL&gt;&lt;Q&gt;TSM-US^P_BETA_LOCIDX(44993,44818,,"SPX")&lt;/Q&gt;&lt;R&gt;1&lt;/R&gt;&lt;C&gt;1&lt;/C&gt;&lt;D xsi:type="xsd:double"&gt;1.1929814&lt;/D&gt;&lt;/FQL&gt;&lt;FQL&gt;&lt;Q&gt;TSM-US^P_BETA_LOCIDX(44992,44817,,"SPX")&lt;/Q&gt;&lt;R&gt;1&lt;/R&gt;&lt;C&gt;1&lt;/C&gt;&lt;D xsi:type="xsd:double"&gt;1.1745055&lt;/D&gt;&lt;/FQL&gt;&lt;FQL&gt;&lt;Q&gt;TSM-US^P_BETA_LOCIDX(44991,44816,,"SPX")&lt;/Q&gt;&lt;R&gt;1&lt;/R&gt;&lt;C&gt;1&lt;/C&gt;&lt;D xsi:type="xsd:double"&gt;1.1774418&lt;/D&gt;&lt;/FQL&gt;&lt;FQL&gt;&lt;Q&gt;TSM-US^P_BETA_LOCIDX(44988,44813,,"SPX")&lt;/Q&gt;&lt;R&gt;1&lt;/R&gt;&lt;C&gt;1&lt;/C&gt;&lt;D xsi:type="xsd:double"&gt;1.175703&lt;/D&gt;&lt;/FQL&gt;&lt;FQL&gt;&lt;Q&gt;TSM-US^P_BETA_LOCIDX(44987,44812,,"SPX")&lt;/Q&gt;&lt;R&gt;1&lt;/R&gt;&lt;C&gt;1&lt;/C&gt;&lt;D xsi:type="xsd:double"&gt;1.1819528&lt;/D&gt;&lt;/FQL&gt;&lt;FQL&gt;&lt;Q&gt;TSM-US^P_BETA_LOCIDX(44986,44811,,"SPX")&lt;/Q&gt;&lt;R&gt;1&lt;/R&gt;&lt;C&gt;1&lt;/C&gt;&lt;D xsi:type="xsd:double"&gt;1.1652137&lt;/D&gt;&lt;/FQL&gt;&lt;FQL&gt;&lt;Q&gt;TSM-US^P_BETA_LOCIDX(44985,44810,,"SPX")&lt;/Q&gt;&lt;R&gt;1&lt;/R&gt;&lt;C&gt;1&lt;/C&gt;&lt;D xsi:type="xsd:double"&gt;1.1704843&lt;/D&gt;&lt;/FQL&gt;&lt;FQL&gt;&lt;Q&gt;TSM-US^P_BETA_LOCIDX(44984,44806,,"SPX")&lt;/Q&gt;&lt;R&gt;1&lt;/R&gt;&lt;C&gt;1&lt;/C&gt;&lt;D xsi:type="xsd:double"&gt;1.1692716&lt;/D&gt;&lt;/FQL&gt;&lt;FQL&gt;&lt;Q&gt;TSM-US^P_BETA_LOCIDX(44981,44805,,"SPX")&lt;/Q&gt;&lt;R&gt;1&lt;/R&gt;&lt;C&gt;1&lt;/C&gt;&lt;D xsi:type="xsd:double"&gt;1.1680001&lt;/D&gt;&lt;/FQL&gt;&lt;FQL&gt;&lt;Q&gt;TSM-US^P_BETA_LOCIDX(44980,44804,,"SPX")&lt;/Q&gt;&lt;R&gt;1&lt;/R&gt;&lt;C&gt;1&lt;/C&gt;&lt;D xsi:type="xsd:double"&gt;1.1585605&lt;/D&gt;&lt;/FQL&gt;&lt;FQL&gt;&lt;Q&gt;TSM-US^P_BETA_LOCIDX(44979,44803,,"SPX")&lt;/Q&gt;&lt;R&gt;1&lt;/R&gt;&lt;C&gt;1&lt;/C&gt;&lt;D xsi:type="xsd:double"&gt;1.1469351&lt;/D&gt;&lt;/FQL&gt;&lt;FQL&gt;&lt;Q&gt;TSM-US^P_BETA_LOCIDX(44978,44802,,"SPX")&lt;/Q&gt;&lt;R&gt;1&lt;/R&gt;&lt;C&gt;1&lt;/C&gt;&lt;D xsi:type="xsd:double"&gt;1.1505717&lt;/D&gt;&lt;/FQL&gt;&lt;FQL&gt;&lt;Q&gt;TSM-US^P_BETA_LOCIDX(44974,44799,,"SPX")&lt;/Q&gt;&lt;R&gt;1&lt;/R&gt;&lt;C&gt;1&lt;/C&gt;&lt;D xsi:type="xsd:double"&gt;1.139031&lt;/D&gt;&lt;/FQL&gt;&lt;FQL&gt;&lt;Q&gt;TSM-US^P_BETA_LOCIDX(44973,44798,,"SPX")&lt;/Q&gt;&lt;R&gt;1&lt;/R&gt;&lt;C&gt;1&lt;/C&gt;&lt;D xsi:type="xsd:double"&gt;1.142148&lt;/D&gt;&lt;/FQL&gt;&lt;FQL&gt;&lt;Q&gt;TSM-US^P_BETA_LOCIDX(44972,44797,,"SPX")&lt;/Q&gt;&lt;R&gt;1&lt;/R&gt;&lt;C&gt;1&lt;/C&gt;&lt;D xsi:type="xsd:double"&gt;1.1378009&lt;/D&gt;&lt;/FQL&gt;&lt;FQL&gt;&lt;Q&gt;TSM-US^P_BETA_LOCIDX(44971,44796,,"SPX")&lt;/Q&gt;&lt;R&gt;1&lt;/R&gt;&lt;C&gt;1&lt;/C&gt;&lt;D xsi:type="xsd:double"&gt;1.1428034&lt;/D&gt;&lt;/FQL&gt;&lt;FQL&gt;&lt;Q&gt;TSM-US^P_BETA_LOCIDX(44970,44795,,"SPX")&lt;/Q&gt;&lt;R&gt;1&lt;/R&gt;&lt;C&gt;1&lt;/C&gt;&lt;D xsi:type="xsd:double"&gt;1.1424307&lt;/D&gt;&lt;/FQL&gt;&lt;FQL&gt;&lt;Q&gt;TSM-US^P_BETA_LOCIDX(44967,44792,,"SPX")&lt;/Q&gt;&lt;R&gt;1&lt;/R&gt;&lt;C&gt;1&lt;/C&gt;&lt;D xsi:type="xsd:double"&gt;1.1501226&lt;/D&gt;&lt;/FQL&gt;&lt;FQL&gt;&lt;Q&gt;TSM-US^P_BETA_LOCIDX(44966,44791,,"SPX")&lt;/Q&gt;&lt;R&gt;1&lt;/R&gt;&lt;C&gt;1&lt;/C&gt;&lt;D xsi:type="xsd:double"&gt;1.151488&lt;/D&gt;&lt;/FQL&gt;&lt;FQL&gt;&lt;Q&gt;TSM-US^P_BETA_LOCIDX(44965,44790,,"SPX")&lt;/Q&gt;&lt;R&gt;1&lt;/R&gt;&lt;C&gt;1&lt;/C&gt;&lt;D xsi:type="xsd:double"&gt;1.1632862&lt;/D&gt;&lt;/FQL&gt;&lt;FQL&gt;&lt;Q&gt;TSM-US^P_BETA_LOCIDX(44964,44789,,"SPX")&lt;/Q&gt;&lt;R&gt;1&lt;/R&gt;&lt;C&gt;1&lt;/C&gt;&lt;D xsi:type="xsd:double"&gt;1.1654768&lt;/D&gt;&lt;/FQL&gt;&lt;FQL&gt;&lt;Q&gt;TSM-US^P_BETA_LOCIDX(44963,44788,,"SPX")&lt;/Q&gt;&lt;R&gt;1&lt;/R&gt;&lt;C&gt;1&lt;/C&gt;&lt;D xsi:type="xsd:double"&gt;1.1587603&lt;/D&gt;&lt;/FQL&gt;&lt;FQL&gt;&lt;Q&gt;TSM-US^P_BETA_LOCIDX(44960,44785,,"SPX")&lt;/Q&gt;&lt;R&gt;1&lt;/R&gt;&lt;C&gt;1&lt;/C&gt;&lt;D xsi:type="xsd:double"&gt;1.1493195&lt;/D&gt;&lt;/FQL&gt;&lt;FQL&gt;&lt;Q&gt;TSM-US^P_BETA_LOCIDX(44959,44784,,"SPX")&lt;/Q&gt;&lt;R&gt;1&lt;/R&gt;&lt;C&gt;1&lt;/C&gt;&lt;D xsi:type="xsd:double"&gt;1.1451893&lt;/D&gt;&lt;/FQL&gt;&lt;FQL&gt;&lt;Q&gt;TSM-US^P_BETA_LOCIDX(44958,44783,,"SPX")&lt;/Q&gt;&lt;R&gt;1&lt;/R&gt;&lt;C&gt;1&lt;/C&gt;&lt;D xsi:type="xsd:double"&gt;1.1563383&lt;/D&gt;&lt;/FQL&gt;&lt;FQL&gt;&lt;Q&gt;TSM-US^P_BETA_LOCIDX(44957,44782,,"SPX")&lt;/Q&gt;&lt;R&gt;1&lt;/R&gt;&lt;C&gt;1&lt;/C&gt;&lt;D xsi:type="xsd:double"&gt;1.1573397&lt;/D&gt;&lt;/FQL&gt;&lt;FQL&gt;&lt;Q&gt;TSM-US^P_BETA_LOCIDX(44956,44781,,"SPX")&lt;/Q&gt;&lt;R&gt;1&lt;/R&gt;&lt;C&gt;1&lt;/C&gt;&lt;D xsi:type="xsd:double"&gt;1.1709037&lt;/D&gt;&lt;/FQL&gt;&lt;FQL&gt;&lt;Q&gt;TSM-US^P_BETA_LOCIDX(44953,44778,,"SPX")&lt;/Q&gt;&lt;R&gt;1&lt;/R&gt;&lt;C&gt;1&lt;/C&gt;&lt;D xsi:type="xsd:double"&gt;1.1762704&lt;/D&gt;&lt;/FQL&gt;&lt;FQL&gt;&lt;Q&gt;TSM-US^P_BETA_LOCIDX(44952,44777,,"SPX")&lt;/Q&gt;&lt;R&gt;1&lt;/R&gt;&lt;C&gt;1&lt;/C&gt;&lt;D xsi:type="xsd:double"&gt;1.1762131&lt;/D&gt;&lt;/FQL&gt;&lt;FQL&gt;&lt;Q&gt;TSM-US^P_BETA_LOCIDX(44951,44776,,"SPX")&lt;/Q&gt;&lt;R&gt;1&lt;/R&gt;&lt;C&gt;1&lt;/C&gt;&lt;D xsi:type="xsd:double"&gt;1.168744&lt;/D&gt;&lt;/FQL&gt;&lt;FQL&gt;&lt;Q&gt;TSM-US^P_BETA_LOCIDX(44950,44775,,"SPX")&lt;/Q&gt;&lt;R&gt;1&lt;/R&gt;&lt;C&gt;1&lt;/C&gt;&lt;D xsi:type="xsd:double"&gt;1.1676941&lt;/D&gt;&lt;/FQL&gt;&lt;FQL&gt;&lt;Q&gt;TSM-US^P_BETA_LOCIDX(44949,44774,,"SPX")&lt;/Q&gt;&lt;R&gt;1&lt;/R&gt;&lt;C&gt;1&lt;/C&gt;&lt;D xsi:type="xsd:double"&gt;1.1697876&lt;/D&gt;&lt;/FQL&gt;&lt;FQL&gt;&lt;Q&gt;TSM-US^P_BETA_LOCIDX(44946,44771,,"SPX")&lt;/Q&gt;&lt;R&gt;1&lt;/R&gt;&lt;C&gt;1&lt;/C&gt;&lt;D xsi:type="xsd:double"&gt;1.1423509&lt;/D&gt;&lt;/FQL&gt;&lt;FQL&gt;&lt;Q&gt;TSM-US^P_BETA_LOCIDX(44945,44770,,"SPX")&lt;/Q&gt;&lt;R&gt;1&lt;/R&gt;&lt;C&gt;1&lt;/C&gt;&lt;D xsi:type="xsd:double"&gt;1.1351316&lt;/D&gt;&lt;/FQL&gt;&lt;FQL&gt;&lt;Q&gt;TSM-US^P_BETA_LOCIDX(44944,44769,,"SPX")&lt;/Q&gt;&lt;R&gt;1&lt;/R&gt;&lt;C&gt;1&lt;/C&gt;&lt;D xsi:type="xsd:double"&gt;1.1417484&lt;/D&gt;&lt;/FQL&gt;&lt;FQL&gt;&lt;Q&gt;TSM-US^P_BETA_LOCIDX(44943,44768,,"SPX")&lt;/Q&gt;&lt;R&gt;1&lt;/R&gt;&lt;C&gt;1&lt;/C&gt;&lt;D xsi:type="xsd:double"&gt;1.1595443&lt;/D&gt;&lt;/FQL&gt;&lt;FQL&gt;&lt;Q&gt;TSM-US^P_BETA_LOCIDX(44939,44767,,"SPX")&lt;/Q&gt;&lt;R&gt;1&lt;/R&gt;&lt;C&gt;1&lt;/C&gt;&lt;D xsi:type="xsd:double"&gt;1.1617712&lt;/D&gt;&lt;/FQL&gt;&lt;FQL&gt;&lt;Q&gt;TSM-US^P_BETA_LOCIDX(44938,44764,,"SPX")&lt;/Q&gt;&lt;R&gt;1&lt;/R&gt;&lt;C&gt;1&lt;/C&gt;&lt;D xsi:type="xsd:double"&gt;1.1650227&lt;/D&gt;&lt;/FQL&gt;&lt;FQL&gt;&lt;Q&gt;TSM-US^P_BETA_LOCIDX(44937,44763,,"SPX")&lt;/Q&gt;&lt;R&gt;1&lt;/R&gt;&lt;C&gt;1&lt;/C&gt;&lt;D xsi:type="xsd:double"&gt;1.1584663&lt;/D&gt;&lt;/FQL&gt;&lt;FQL&gt;&lt;Q&gt;TSM-US^P_BETA_LOCIDX(44936,44762,,"SPX")&lt;/Q&gt;&lt;R&gt;1&lt;/R&gt;&lt;C&gt;1&lt;/C&gt;&lt;D xsi:type="xsd:double"&gt;1.1621495&lt;/D&gt;&lt;/FQL&gt;&lt;FQL&gt;&lt;Q&gt;TSM-US^P_BETA_LOCIDX(44935,44761,,"SPX")&lt;/Q&gt;&lt;R&gt;1&lt;/R&gt;&lt;C&gt;1&lt;/C&gt;&lt;D xsi:type="xsd:double"&gt;1.1599904&lt;/D&gt;&lt;/FQL&gt;&lt;FQL&gt;&lt;Q&gt;TSM-US^P_BETA_LOCIDX(44932,44760,,"SPX")&lt;/Q&gt;&lt;R&gt;1&lt;/R&gt;&lt;C&gt;1&lt;/C&gt;&lt;D xsi:type="xsd:double"&gt;1.1654903&lt;/D&gt;&lt;/FQL&gt;&lt;FQL&gt;&lt;Q&gt;TSM-US^P_BETA_LOCIDX(44931,44757,,"SPX")&lt;/Q&gt;&lt;R&gt;1&lt;/R&gt;&lt;C&gt;1&lt;/C&gt;&lt;D xsi:type="xsd:double"&gt;1.162501&lt;/D&gt;&lt;/FQL&gt;&lt;FQL&gt;&lt;Q&gt;TSM-US^P_BETA_LOCIDX(44930,44756,,"SPX")&lt;/Q&gt;&lt;R&gt;1&lt;/R&gt;&lt;C&gt;1&lt;/C&gt;&lt;D xsi:type="xsd:double"&gt;1.1613494&lt;/D&gt;&lt;/FQL&gt;&lt;FQL&gt;&lt;Q&gt;TSM-US^P_BETA_LOCIDX(44929,44755,,"SPX")&lt;/Q&gt;&lt;R&gt;1&lt;/R&gt;&lt;C&gt;1&lt;/C&gt;&lt;D xsi:type="xsd:double"&gt;1.1492332&lt;/D&gt;&lt;/FQL&gt;&lt;FQL&gt;&lt;Q&gt;TSM-US^P_BETA_LOCIDX(44925,44754,,"SPX")&lt;/Q&gt;&lt;R&gt;1&lt;/R&gt;&lt;C&gt;1&lt;/C&gt;&lt;D xsi:type="xsd:double"&gt;1.1452274&lt;/D&gt;&lt;/FQL&gt;&lt;FQL&gt;&lt;Q&gt;TSM-US^P_BETA_LOCIDX(44924,44753,,"SPX")&lt;/Q&gt;&lt;R&gt;1&lt;/R&gt;&lt;C&gt;1&lt;/C&gt;&lt;D xsi:type="xsd:double"&gt;1.1505384&lt;/D&gt;&lt;/FQL&gt;&lt;FQL&gt;&lt;Q&gt;TSM-US^P_BETA_LOCIDX(44923,44750,,"SPX")&lt;/Q&gt;&lt;R&gt;1&lt;/R&gt;&lt;C&gt;1&lt;/C&gt;&lt;D xsi:type="xsd:double"&gt;1.1365801&lt;/D&gt;&lt;/FQL&gt;&lt;FQL&gt;&lt;Q&gt;TSM-US^P_BETA_LOCIDX(44922,44749,,"SPX")&lt;/Q&gt;&lt;R&gt;1&lt;/R&gt;&lt;C&gt;1&lt;/C&gt;&lt;D xsi:type="xsd:double"&gt;1.1637949&lt;/D&gt;&lt;/FQL&gt;&lt;FQL&gt;&lt;Q&gt;TSM-US^P_BETA_LOCIDX(44918,44748,,"SPX")&lt;/Q&gt;&lt;R&gt;1&lt;/R&gt;&lt;C&gt;1&lt;/C&gt;&lt;D xsi:type="xsd:double"&gt;1.1618297&lt;/D&gt;&lt;/FQL&gt;&lt;FQL&gt;&lt;Q&gt;TSM-US^P_BETA_LOCIDX(44917,44747,,"SPX")&lt;/Q&gt;&lt;R&gt;1&lt;/R&gt;&lt;C&gt;1&lt;/C&gt;&lt;D xsi:type="xsd:double"&gt;1.1637015&lt;/D&gt;&lt;/FQL&gt;&lt;FQL&gt;&lt;Q&gt;TSM-US^P_BETA_LOCIDX(44916,44743,,"SPX")&lt;/Q&gt;&lt;R&gt;1&lt;/R&gt;&lt;C&gt;1&lt;/C&gt;&lt;D xsi:type="xsd:double"&gt;1.1321708&lt;/D&gt;&lt;/FQL&gt;&lt;FQL&gt;&lt;Q&gt;TSM-US^P_BETA_LOCIDX(44915,44742,,"SPX")&lt;/Q&gt;&lt;R&gt;1&lt;/R&gt;&lt;C&gt;1&lt;/C&gt;&lt;D xsi:type="xsd:double"&gt;1.1342149&lt;/D&gt;&lt;/FQL&gt;&lt;FQL&gt;&lt;Q&gt;TSM-US^P_BETA_LOCIDX(44914,44741,,"SPX")&lt;/Q&gt;&lt;R&gt;1&lt;/R&gt;&lt;C&gt;1&lt;/C&gt;&lt;D xsi:type="xsd:double"&gt;1.1346694&lt;/D&gt;&lt;/FQL&gt;&lt;FQL&gt;&lt;Q&gt;TSM-US^P_BETA_LOCIDX(44911,44740,,"SPX")&lt;/Q&gt;&lt;R&gt;1&lt;/R&gt;&lt;C&gt;1&lt;/C&gt;&lt;D xsi:type="xsd:double"&gt;1.133069&lt;/D&gt;&lt;/FQL&gt;&lt;FQL&gt;&lt;Q&gt;TSM-US^P_BETA_LOCIDX(44910,44739,,"SPX")&lt;/Q&gt;&lt;R&gt;1&lt;/R&gt;&lt;C&gt;1&lt;/C&gt;&lt;D xsi:type="xsd:double"&gt;1.1311517&lt;/D&gt;&lt;/FQL&gt;&lt;FQL&gt;&lt;Q&gt;TSM-US^P_BETA_LOCIDX(44909,44736,,"SPX")&lt;/Q&gt;&lt;R&gt;1&lt;/R&gt;&lt;C&gt;1&lt;/C&gt;&lt;D xsi:type="xsd:double"&gt;1.1157076&lt;/D&gt;&lt;/FQL&gt;&lt;FQL&gt;&lt;Q&gt;TSM-US^P_BETA_LOCIDX(44908,44735,,"SPX")&lt;/Q&gt;&lt;R&gt;1&lt;/R&gt;&lt;C&gt;1&lt;/C&gt;&lt;D xsi:type="xsd:double"&gt;1.1096452&lt;/D&gt;&lt;/FQL&gt;&lt;FQL&gt;&lt;Q&gt;TSM-US^P_BETA_LOCIDX(44907,44734,,"SPX")&lt;/Q&gt;&lt;R&gt;1&lt;/R&gt;&lt;C&gt;1&lt;/C&gt;&lt;D xsi:type="xsd:double"&gt;1.1127197&lt;/D&gt;&lt;/FQL&gt;&lt;FQL&gt;&lt;Q&gt;TSM-US^P_BETA_LOCIDX(44904,44733,,"SPX")&lt;/Q&gt;&lt;R&gt;1&lt;/R&gt;&lt;C&gt;1&lt;/C&gt;&lt;D xsi:type="xsd:double"&gt;1.1189246&lt;/D&gt;&lt;/FQL&gt;&lt;FQL&gt;&lt;Q&gt;TSM-US^P_BETA_LOCIDX(44903,44729,,"SPX")&lt;/Q&gt;&lt;R&gt;1&lt;/R&gt;&lt;C&gt;1&lt;/C&gt;&lt;D xsi:type="xsd:double"&gt;1.1214628&lt;/D&gt;&lt;/FQL&gt;&lt;FQL&gt;&lt;Q&gt;TSM-US^P_BETA_LOCIDX(44902,44728,,"SPX")&lt;/Q&gt;&lt;R&gt;1&lt;/R&gt;&lt;C&gt;1&lt;/C&gt;&lt;D xsi:type="xsd:double"&gt;1.1352891&lt;/D&gt;&lt;/FQL&gt;&lt;FQL&gt;&lt;Q&gt;TSM-US^P_BETA_LOCIDX(44901,44727,,"SPX")&lt;/Q&gt;&lt;R&gt;1&lt;/R&gt;&lt;C&gt;1&lt;/C&gt;&lt;D xsi:type="xsd:double"&gt;1.1386024&lt;/D&gt;&lt;/FQL&gt;&lt;FQL&gt;&lt;Q&gt;TSM-US^P_BETA_LOCIDX(44900,44726,,"SPX")&lt;/Q&gt;&lt;R&gt;1&lt;/R&gt;&lt;C&gt;1&lt;/C&gt;&lt;D xsi:type="xsd:double"&gt;1.1305423&lt;/D&gt;&lt;/FQL&gt;&lt;FQL&gt;&lt;Q&gt;TSM-US^P_BETA_LOCIDX(44897,44725,,"SPX")&lt;/Q&gt;&lt;R&gt;1&lt;/R&gt;&lt;C&gt;1&lt;/C&gt;&lt;D xsi:type="xsd:double"&gt;1.1321688&lt;/D&gt;&lt;/FQL&gt;&lt;FQL&gt;&lt;Q&gt;TSM-US^P_BETA_LOCIDX(44896,44722,,"SPX")&lt;/Q&gt;&lt;R&gt;1&lt;/R&gt;&lt;C&gt;1&lt;/C&gt;&lt;D xsi:type="xsd:double"&gt;1.1218685&lt;/D&gt;&lt;/FQL&gt;&lt;FQL&gt;&lt;Q&gt;TSM-US^P_BETA_LOCIDX(44895,44721,,"SPX")&lt;/Q&gt;&lt;R&gt;1&lt;/R&gt;&lt;C&gt;1&lt;/C&gt;&lt;D xsi:type="xsd:double"&gt;1.1222982&lt;/D&gt;&lt;/FQL&gt;&lt;FQL&gt;&lt;Q&gt;TSM-US^P_BETA_LOCIDX(44894,44720,,"SPX")&lt;/Q&gt;&lt;R&gt;1&lt;/R&gt;&lt;C&gt;1&lt;/C&gt;&lt;D xsi:type="xsd:double"&gt;1.1066188&lt;/D&gt;&lt;/FQL&gt;&lt;FQL&gt;&lt;Q&gt;TSM-US^P_BETA_LOCIDX(44893,44719,,"SPX")&lt;/Q&gt;&lt;R&gt;1&lt;/R&gt;&lt;C&gt;1&lt;/C&gt;&lt;D xsi:type="xsd:double"&gt;1.106157&lt;/D&gt;&lt;/FQL&gt;&lt;FQL&gt;&lt;Q&gt;TSM-US^P_BETA_LOCIDX(44890,44718,,"SPX")&lt;/Q&gt;&lt;R&gt;1&lt;/R&gt;&lt;C&gt;1&lt;/C&gt;&lt;D xsi:type="xsd:double"&gt;1.100478&lt;/D&gt;&lt;/FQL&gt;&lt;FQL&gt;&lt;Q&gt;TSM-US^P_BETA_LOCIDX(44888,44715,,"SPX")&lt;/Q&gt;&lt;R&gt;1&lt;/R&gt;&lt;C&gt;1&lt;/C&gt;&lt;D xsi:type="xsd:double"&gt;1.1047304&lt;/D&gt;&lt;/FQL&gt;&lt;FQL&gt;&lt;Q&gt;TSM-US^P_BETA_LOCIDX(44887,44714,,"SPX")&lt;/Q&gt;&lt;R&gt;1&lt;/R&gt;&lt;C&gt;1&lt;/C&gt;&lt;D xsi:type="xsd:double"&gt;1.1055306&lt;/D&gt;&lt;/FQL&gt;&lt;FQL&gt;&lt;Q&gt;TSM-US^P_BETA_LOCIDX(44886,44713,,"SPX")&lt;/Q&gt;&lt;R&gt;1&lt;/R&gt;&lt;C&gt;1&lt;/C&gt;&lt;D xsi:type="xsd:double"&gt;1.096324&lt;/D&gt;&lt;/FQL&gt;&lt;FQL&gt;&lt;Q&gt;TSM-US^P_BETA_LOCIDX(44883,44712,,"SPX")&lt;/Q&gt;&lt;R&gt;1&lt;/R&gt;&lt;C&gt;1&lt;/C&gt;&lt;D xsi:type="xsd:double"&gt;1.0887283&lt;/D&gt;&lt;/FQL&gt;&lt;FQL&gt;&lt;Q&gt;TSM-US^P_BETA_LOCIDX(44882,44708,,"SPX")&lt;/Q&gt;&lt;R&gt;1&lt;/R&gt;&lt;C&gt;1&lt;/C&gt;&lt;D xsi:type="xsd:double"&gt;1.0911404&lt;/D&gt;&lt;/FQL&gt;&lt;FQL&gt;&lt;Q&gt;TSM-US^P_BETA_LOCIDX(44881,44707,,"SPX")&lt;/Q&gt;&lt;R&gt;1&lt;/R&gt;&lt;C&gt;1&lt;/C&gt;&lt;D xsi:type="xsd:double"&gt;1.0847778&lt;/D&gt;&lt;/FQL&gt;&lt;FQL&gt;&lt;Q&gt;TSM-US^P_BETA_LOCIDX(44880,44706,,"SPX")&lt;/Q&gt;&lt;R&gt;1&lt;/R&gt;&lt;C&gt;1&lt;/C&gt;&lt;D xsi:type="xsd:double"&gt;1.0868703&lt;/D&gt;&lt;/FQL&gt;&lt;FQL&gt;&lt;Q&gt;TSM-US^P_BETA_LOCIDX(44879,44705,,"SPX")&lt;/Q&gt;&lt;R&gt;1&lt;/R&gt;&lt;C&gt;1&lt;/C&gt;&lt;D xsi:type="xsd:double"&gt;1.0656453&lt;/D&gt;&lt;/FQL&gt;&lt;FQL&gt;&lt;Q&gt;TSM-US^P_BETA_LOCIDX(44876,44704,,"SPX")&lt;/Q&gt;&lt;R&gt;1&lt;/R&gt;&lt;C&gt;1&lt;/C&gt;&lt;D xsi:type="xsd:double"&gt;1.0589347&lt;/D&gt;&lt;/FQL&gt;&lt;FQL&gt;&lt;Q&gt;TSM-US^P_BETA_LOCIDX(44875,44701,,"SPX")&lt;/Q&gt;&lt;R&gt;1&lt;/R&gt;&lt;C&gt;1&lt;/C&gt;&lt;D xsi:type="xsd:double"&gt;1.0490849&lt;/D&gt;&lt;/FQL&gt;&lt;FQL&gt;&lt;Q&gt;TSM-US^P_BETA_LOCIDX(44874,44700,,"SPX")&lt;/Q&gt;&lt;R&gt;1&lt;/R&gt;&lt;C&gt;1&lt;/C&gt;&lt;D xsi:type="xsd:double"&gt;0.98182774&lt;/D&gt;&lt;/FQL&gt;&lt;FQL&gt;&lt;Q&gt;TSM-US^P_BETA_LOCIDX(44873,44699,,"SPX")&lt;/Q&gt;&lt;R&gt;1&lt;/R&gt;&lt;C&gt;1&lt;/C&gt;&lt;D xsi:type="xsd:double"&gt;0.98098284&lt;/D&gt;&lt;/FQL&gt;&lt;FQL&gt;&lt;Q&gt;TSM-US^P_BETA_LOCIDX(44872,44698,,"SPX")&lt;/Q&gt;&lt;R&gt;1&lt;/R&gt;&lt;C&gt;1&lt;/C&gt;&lt;D xsi:type="xsd:double"&gt;0.9845852&lt;/D&gt;&lt;/FQL&gt;&lt;FQL&gt;&lt;Q&gt;TSM-US^P_BETA_LOCIDX(44869,44697,,"SPX")&lt;/Q&gt;&lt;R&gt;1&lt;/R&gt;&lt;C&gt;1&lt;/C&gt;&lt;D xsi:type="xsd:double"&gt;0.9854033&lt;/D&gt;&lt;/FQL&gt;&lt;FQL&gt;&lt;Q&gt;TSM-US^P_BETA_LOCIDX(44868,44694,,"SPX")&lt;/Q&gt;&lt;R&gt;1&lt;/R&gt;&lt;C&gt;1&lt;/C&gt;&lt;D xsi:type="xsd:double"&gt;0.98660684&lt;/D&gt;&lt;/FQL&gt;&lt;FQL&gt;&lt;Q&gt;TSM-US^P_BETA_LOCIDX(44867,44693,,"SPX")&lt;/Q&gt;&lt;R&gt;1&lt;/R&gt;&lt;C&gt;1&lt;/C&gt;&lt;D xsi:type="xsd:double"&gt;0.9896242&lt;/D&gt;&lt;/FQL&gt;&lt;FQL&gt;&lt;Q&gt;TSM-US^P_BETA_LOCIDX(44866,44692,,"SPX")&lt;/Q&gt;&lt;R&gt;1&lt;/R&gt;&lt;C&gt;1&lt;/C&gt;&lt;D xsi:type="xsd:double"&gt;0.9938367&lt;/D&gt;&lt;/FQL&gt;&lt;FQL&gt;&lt;Q&gt;TSM-US^P_BETA_LOCIDX(44865,44691,,"SPX")&lt;/Q&gt;&lt;R&gt;1&lt;/R&gt;&lt;C&gt;1&lt;/C&gt;&lt;D xsi:type="xsd:double"&gt;0.9963241&lt;/D&gt;&lt;/FQL&gt;&lt;FQL&gt;&lt;Q&gt;TSM-US^P_BETA_LOCIDX(44862,44690,,"SPX")&lt;/Q&gt;&lt;R&gt;1&lt;/R&gt;&lt;C&gt;1&lt;/C&gt;&lt;D xsi:type="xsd:double"&gt;1.0102028&lt;/D&gt;&lt;/FQL&gt;&lt;FQL&gt;&lt;Q&gt;TSM-US^P_BETA_LOCIDX(44861,44687,,"SPX")&lt;/Q&gt;&lt;R&gt;1&lt;/R&gt;&lt;C&gt;1&lt;/C&gt;&lt;D xsi:type="xsd:double"&gt;1.0138316&lt;/D&gt;&lt;/FQL&gt;&lt;FQL&gt;&lt;Q&gt;TSM-US^P_BETA_LOCIDX(44860,44686,,"SPX")&lt;/Q&gt;&lt;R&gt;1&lt;/R&gt;&lt;C&gt;1&lt;/C&gt;&lt;D xsi:type="xsd:double"&gt;1.0170641&lt;/D&gt;&lt;/FQL&gt;&lt;FQL&gt;&lt;Q&gt;TSM-US^P_BETA_LOCIDX(44859,44685,,"SPX")&lt;/Q&gt;&lt;R&gt;1&lt;/R&gt;&lt;C&gt;1&lt;/C&gt;&lt;D xsi:type="xsd:double"&gt;1.0158061&lt;/D&gt;&lt;/FQL&gt;&lt;FQL&gt;&lt;Q&gt;TSM-US^P_BETA_LOCIDX(44858,44684,,"SPX")&lt;/Q&gt;&lt;R&gt;1&lt;/R&gt;&lt;C&gt;1&lt;/C&gt;&lt;D xsi:type="xsd:double"&gt;1.0238101&lt;/D&gt;&lt;/FQL&gt;&lt;FQL&gt;&lt;Q&gt;TSM-US^P_BETA_LOCIDX(44855,44683,,"SPX")&lt;/Q&gt;&lt;R&gt;1&lt;/R&gt;&lt;C&gt;1&lt;/C&gt;&lt;D xsi:type="xsd:double"&gt;1.0439944&lt;/D&gt;&lt;/FQL&gt;&lt;FQL&gt;&lt;Q&gt;TSM-US^P_BETA_LOCIDX(44854,44680,,"SPX")&lt;/Q&gt;&lt;R&gt;1&lt;/R&gt;&lt;C&gt;1&lt;/C&gt;&lt;D xsi:type="xsd:double"&gt;1.041994&lt;/D&gt;&lt;/FQL&gt;&lt;FQL&gt;&lt;Q&gt;TSM-US^P_BETA_LOCIDX(44853,44679,,"SPX")&lt;/Q&gt;&lt;R&gt;1&lt;/R&gt;&lt;C&gt;1&lt;/C&gt;&lt;D xsi:type="xsd:double"&gt;1.0680013&lt;/D&gt;&lt;/FQL&gt;&lt;FQL&gt;&lt;Q&gt;TSM-US^P_BETA_LOCIDX(44852,44678,,"SPX")&lt;/Q&gt;&lt;R&gt;1&lt;/R&gt;&lt;C&gt;1&lt;/C&gt;&lt;D xsi:type="xsd:double"&gt;1.0669743&lt;/D&gt;&lt;/FQL&gt;&lt;FQL&gt;&lt;Q&gt;TSM-US^P_BETA_LOCIDX(44851,44677,,"SPX")&lt;/Q&gt;&lt;R&gt;1&lt;/R&gt;&lt;C&gt;1&lt;/C&gt;&lt;D xsi:type="xsd:double"&gt;1.0809195&lt;/D&gt;&lt;/FQL&gt;&lt;FQL&gt;&lt;Q&gt;TSM-US^P_BETA_LOCIDX(44848,44676,,"SPX")&lt;/Q&gt;&lt;R&gt;1&lt;/R&gt;&lt;C&gt;1&lt;/C&gt;&lt;D xsi:type="xsd:double"&gt;1.0911506&lt;/D&gt;&lt;/FQL&gt;&lt;FQL&gt;&lt;Q&gt;TSM-US^P_BETA_LOCIDX(44847,44673,,"SPX")&lt;/Q&gt;&lt;R&gt;1&lt;/R&gt;&lt;C&gt;1&lt;/C&gt;&lt;D xsi:type="xsd:double"&gt;1.0730277&lt;/D&gt;&lt;/FQL&gt;&lt;FQL&gt;&lt;Q&gt;TSM-US^P_BETA_LOCIDX(44846,44672,,"SPX")&lt;/Q&gt;&lt;R&gt;1&lt;/R&gt;&lt;C&gt;1&lt;/C&gt;&lt;D xsi:type="xsd:double"&gt;1.0607376&lt;/D&gt;&lt;/FQL&gt;&lt;FQL&gt;&lt;Q&gt;TSM-US^P_BETA_LOCIDX(44845,44671,,"SPX")&lt;/Q&gt;&lt;R&gt;1&lt;/R&gt;&lt;C&gt;1&lt;/C&gt;&lt;D xsi:type="xsd:double"&gt;1.0614378&lt;/D&gt;&lt;/FQL&gt;&lt;FQL&gt;&lt;Q&gt;TSM-US^P_BETA_LOCIDX(44844,44670,,"SPX")&lt;/Q&gt;&lt;R&gt;1&lt;/R&gt;&lt;C&gt;1&lt;/C&gt;&lt;D xsi:type="xsd:double"&gt;1.0490925&lt;/D&gt;&lt;/FQL&gt;&lt;FQL&gt;&lt;Q&gt;TSM-US^P_BETA_LOCIDX(44841,44669,,"SPX")&lt;/Q&gt;&lt;R&gt;1&lt;/R&gt;&lt;C&gt;1&lt;/C&gt;&lt;D xsi:type="xsd:double"&gt;1.0448582&lt;/D&gt;&lt;/FQL&gt;&lt;FQL&gt;&lt;Q&gt;TSM-US^P_BETA_LOCIDX(44840,44665,,"SPX")&lt;/Q&gt;&lt;R&gt;1&lt;/R&gt;&lt;C&gt;1&lt;/C&gt;&lt;D xsi:type="xsd:double"&gt;1.0244281&lt;/D&gt;&lt;/FQL&gt;&lt;FQL&gt;&lt;Q&gt;TSM-US^P_BETA_LOCIDX(44839,44664,,"SPX")&lt;/Q&gt;&lt;R&gt;1&lt;/R&gt;&lt;C&gt;1&lt;/C&gt;&lt;D xsi:type="xsd:double"&gt;1.0391179&lt;/D&gt;&lt;/FQL&gt;&lt;FQL&gt;&lt;Q&gt;TSM-US^P_BETA_LOCIDX(44838,44663,,"SPX")&lt;/Q&gt;&lt;R&gt;1&lt;/R&gt;&lt;C&gt;1&lt;/C&gt;&lt;D xsi:type="xsd:double"&gt;1.0396227&lt;/D&gt;&lt;/FQL&gt;&lt;FQL&gt;&lt;Q&gt;TSM-US^P_BETA_LOCIDX(44837,44662,,"SPX")&lt;/Q&gt;&lt;R&gt;1&lt;/R&gt;&lt;C&gt;1&lt;/C&gt;&lt;D xsi:type="xsd:double"&gt;1.0179615&lt;/D&gt;&lt;/FQL&gt;&lt;FQL&gt;&lt;Q&gt;TSM-US^P_BETA_LOCIDX(44834,44659,,"SPX")&lt;/Q&gt;&lt;R&gt;1&lt;/R&gt;&lt;C&gt;1&lt;/C&gt;&lt;D xsi:type="xsd:double"&gt;1.0318207&lt;/D&gt;&lt;/FQL&gt;&lt;FQL&gt;&lt;Q&gt;TSM-US^P_BETA_LOCIDX(44833,44658,,"SPX")&lt;/Q&gt;&lt;R&gt;1&lt;/R&gt;&lt;C&gt;1&lt;/C&gt;&lt;D xsi:type="xsd:double"&gt;1.0327098&lt;/D&gt;&lt;/FQL&gt;&lt;FQL&gt;&lt;Q&gt;TSM-US^P_BETA_LOCIDX(44832,44657,,"SPX")&lt;/Q&gt;&lt;R&gt;1&lt;/R&gt;&lt;C&gt;1&lt;/C&gt;&lt;D xsi:type="xsd:double"&gt;1.0224437&lt;/D&gt;&lt;/FQL&gt;&lt;FQL&gt;&lt;Q&gt;TSM-US^P_BETA_LOCIDX(44831,44656,,"SPX")&lt;/Q&gt;&lt;R&gt;1&lt;/R&gt;&lt;C&gt;1&lt;/C&gt;&lt;D xsi:type="xsd:double"&gt;1.047775&lt;/D&gt;&lt;/FQL&gt;&lt;FQL&gt;&lt;Q&gt;TSM-US^P_BETA_LOCIDX(44830,44655,,"SPX")&lt;/Q&gt;&lt;R&gt;1&lt;/R&gt;&lt;C&gt;1&lt;/C&gt;&lt;D xsi:type="xsd:double"&gt;1.0516983&lt;/D&gt;&lt;/FQL&gt;&lt;FQL&gt;&lt;Q&gt;TSM-US^P_BETA_LOCIDX(44827,44652,,"SPX")&lt;/Q&gt;&lt;R&gt;1&lt;/R&gt;&lt;C&gt;1&lt;/C&gt;&lt;D xsi:type="xsd:double"&gt;1.0489067&lt;/D&gt;&lt;/FQL&gt;&lt;FQL&gt;&lt;Q&gt;TSM-US^P_BETA_LOCIDX(44826,44651,,"SPX")&lt;/Q&gt;&lt;R&gt;1&lt;/R&gt;&lt;C&gt;1&lt;/C&gt;&lt;D xsi:type="xsd:double"&gt;1.0494049&lt;/D&gt;&lt;/FQL&gt;&lt;FQL&gt;&lt;Q&gt;TSM-US^P_BETA_LOCIDX(44825,44650,,"SPX")&lt;/Q&gt;&lt;R&gt;1&lt;/R&gt;&lt;C&gt;1&lt;/C&gt;&lt;D xsi:type="xsd:double"&gt;1.0496217&lt;/D&gt;&lt;/FQL&gt;&lt;FQL&gt;&lt;Q&gt;TSM-US^P_BETA_LOCIDX(44824,44649,,"SPX")&lt;/Q&gt;&lt;R&gt;1&lt;/R&gt;&lt;C&gt;1&lt;/C&gt;&lt;D xsi:type="xsd:double"&gt;1.0599539&lt;/D&gt;&lt;/FQL&gt;&lt;FQL&gt;&lt;Q&gt;TSM-US^P_BETA_LOCIDX(44823,44648,,"SPX")&lt;/Q&gt;&lt;R&gt;1&lt;/R&gt;&lt;C&gt;1&lt;/C&gt;&lt;D xsi:type="xsd:double"&gt;1.0610994&lt;/D&gt;&lt;/FQL&gt;&lt;FQL&gt;&lt;Q&gt;TSM-US^P_BETA_LOCIDX(44820,44645,,"SPX")&lt;/Q&gt;&lt;R&gt;1&lt;/R&gt;&lt;C&gt;1&lt;/C&gt;&lt;D xsi:type="xsd:double"&gt;1.0583837&lt;/D&gt;&lt;/FQL&gt;&lt;FQL&gt;&lt;Q&gt;TSM-US^P_BETA_LOCIDX(44819,44644,,"SPX")&lt;/Q&gt;&lt;R&gt;1&lt;/R&gt;&lt;C&gt;1&lt;/C&gt;&lt;D xsi:type="xsd:double"&gt;1.0653235&lt;/D&gt;&lt;/FQL&gt;&lt;FQL&gt;&lt;Q&gt;TSM-US^P_BETA_LOCIDX(44818,44643,,"SPX")&lt;/Q&gt;&lt;R&gt;1&lt;/R&gt;&lt;C&gt;1&lt;/C&gt;&lt;D xsi:type="xsd:double"&gt;1.0631896&lt;/D&gt;&lt;/FQL&gt;&lt;FQL&gt;&lt;Q&gt;TSM-US^P_BETA_LOCIDX(44817,44642,,"SPX")&lt;/Q&gt;&lt;R&gt;1&lt;/R&gt;&lt;C&gt;1&lt;/C&gt;&lt;D xsi:type="xsd:double"&gt;1.0580324&lt;/D&gt;&lt;/FQL&gt;&lt;FQL&gt;&lt;Q&gt;TSM-US^P_BETA_LOCIDX(44816,44641,,"SPX")&lt;/Q&gt;&lt;R&gt;1&lt;/R&gt;&lt;C&gt;1&lt;/C&gt;&lt;D xsi:type="xsd:double"&gt;1.0676981&lt;/D&gt;&lt;/FQL&gt;&lt;FQL&gt;&lt;Q&gt;TSM-US^P_BETA_LOCIDX(44813,44638,,"SPX")&lt;/Q&gt;&lt;R&gt;1&lt;/R&gt;&lt;C&gt;1&lt;/C&gt;&lt;D xsi:type="xsd:double"&gt;1.0647578&lt;/D&gt;&lt;/FQL&gt;&lt;FQL&gt;&lt;Q&gt;TSM-US^P_BETA_LOCIDX(44812,44637,,"SPX")&lt;/Q&gt;&lt;R&gt;1&lt;/R&gt;&lt;C&gt;1&lt;/C&gt;&lt;D xsi:type="xsd:double"&gt;1.0621611&lt;/D&gt;&lt;/FQL&gt;&lt;FQL&gt;&lt;Q&gt;TSM-US^P_BETA_LOCIDX(44811,44636,,"SPX")&lt;/Q&gt;&lt;R&gt;1&lt;/R&gt;&lt;C&gt;1&lt;/C&gt;&lt;D xsi:type="xsd:double"&gt;1.0729277&lt;/D&gt;&lt;/FQL&gt;&lt;FQL&gt;&lt;Q&gt;TSM-US^P_BETA_LOCIDX(44810,44635,,"SPX")&lt;/Q&gt;&lt;R&gt;1&lt;/R&gt;&lt;C&gt;1&lt;/C&gt;&lt;D xsi:type="xsd:double"&gt;1.0904295&lt;/D&gt;&lt;/FQL&gt;&lt;FQL&gt;&lt;Q&gt;TSM-US^P_BETA_LOCIDX(44806,44634,,"SPX")&lt;/Q&gt;&lt;R&gt;1&lt;/R&gt;&lt;C&gt;1&lt;/C&gt;&lt;D xsi:type="xsd:double"&gt;1.0925857&lt;/D&gt;&lt;/FQL&gt;&lt;FQL&gt;&lt;Q&gt;TSM-US^P_BETA_LOCIDX(44805,44631,,"SPX")&lt;/Q&gt;&lt;R&gt;1&lt;/R&gt;&lt;C&gt;1&lt;/C&gt;&lt;D xsi:type="xsd:double"&gt;1.0979327&lt;/D&gt;&lt;/FQL&gt;&lt;FQL&gt;&lt;Q&gt;TSM-US^P_BETA_LOCIDX(44804,44630,,"SPX")&lt;/Q&gt;&lt;R&gt;1&lt;/R&gt;&lt;C&gt;1&lt;/C&gt;&lt;D xsi:type="xsd:double"&gt;1.1011435&lt;/D&gt;&lt;/FQL&gt;&lt;FQL&gt;&lt;Q&gt;TSM-US^P_BETA_LOCIDX(44803,44629,,"SPX")&lt;/Q&gt;&lt;R&gt;1&lt;/R&gt;&lt;C&gt;1&lt;/C&gt;&lt;D xsi:type="xsd:double"&gt;1.1249478&lt;/D&gt;&lt;/FQL&gt;&lt;FQL&gt;&lt;Q&gt;TSM-US^P_BETA_LOCIDX(44802,44628,,"SPX")&lt;/Q&gt;&lt;R&gt;1&lt;/R&gt;&lt;C&gt;1&lt;/C&gt;&lt;D xsi:type="xsd:double"&gt;1.125725&lt;/D&gt;&lt;/FQL&gt;&lt;FQL&gt;&lt;Q&gt;TSM-US^P_BETA_LOCIDX(44799,44627,,"SPX")&lt;/Q&gt;&lt;R&gt;1&lt;/R&gt;&lt;C&gt;1&lt;/C&gt;&lt;D xsi:type="xsd:double"&gt;1.1427945&lt;/D&gt;&lt;/FQL&gt;&lt;FQL&gt;&lt;Q&gt;TSM-US^P_BETA_LOCIDX(44798,44624,,"SPX")&lt;/Q&gt;&lt;R&gt;1&lt;/R&gt;&lt;C&gt;1&lt;/C&gt;&lt;D xsi:type="xsd:double"&gt;1.1574838&lt;/D&gt;&lt;/FQL&gt;&lt;FQL&gt;&lt;Q&gt;TSM-US^P_BETA_LOCIDX(44797,44623,,"SPX")&lt;/Q&gt;&lt;R&gt;1&lt;/R&gt;&lt;C&gt;1&lt;/C&gt;&lt;D xsi:type="xsd:double"&gt;1.1532824&lt;/D&gt;&lt;/FQL&gt;&lt;FQL&gt;&lt;Q&gt;TSM-US^P_BETA_LOCIDX(44796,44622,,"SPX")&lt;/Q&gt;&lt;R&gt;1&lt;/R&gt;&lt;C&gt;1&lt;/C&gt;&lt;D xsi:type="xsd:double"&gt;1.1504185&lt;/D&gt;&lt;/FQL&gt;&lt;FQL&gt;&lt;Q&gt;TSM-US^P_BETA_LOCIDX(44795,44621,,"SPX")&lt;/Q&gt;&lt;R&gt;1&lt;/R&gt;&lt;C&gt;1&lt;/C&gt;&lt;D xsi:type="xsd:double"&gt;1.1364954&lt;/D&gt;&lt;/FQL&gt;&lt;FQL&gt;&lt;Q&gt;TSM-US^P_BETA_LOCIDX(44792,44620,,"SPX")&lt;/Q&gt;&lt;R&gt;1&lt;/R&gt;&lt;C&gt;1&lt;/C&gt;&lt;D xsi:type="xsd:double"&gt;1.1413662&lt;/D&gt;&lt;/FQL&gt;&lt;FQL&gt;&lt;Q&gt;TSM-US^P_BETA_LOCIDX(44791,44617,,"SPX")&lt;/Q&gt;&lt;R&gt;1&lt;/R&gt;&lt;C&gt;1&lt;/C&gt;&lt;D xsi:type="xsd:double"&gt;1.1157917&lt;/D&gt;&lt;/FQL&gt;&lt;FQL&gt;&lt;Q&gt;TSM-US^P_BETA_LOCIDX(44790,44616,,"SPX")&lt;/Q&gt;&lt;R&gt;1&lt;/R&gt;&lt;C&gt;1&lt;/C&gt;&lt;D xsi:type="xsd:double"&gt;1.0911454&lt;/D&gt;&lt;/FQL&gt;&lt;FQL&gt;&lt;Q&gt;TSM-US^P_BETA_LOCIDX(44789,44615,,"SPX")&lt;/Q&gt;&lt;R&gt;1&lt;/R&gt;&lt;C&gt;1&lt;/C&gt;&lt;D xsi:type="xsd:double"&gt;1.0831674&lt;/D&gt;&lt;/FQL&gt;&lt;FQL&gt;&lt;Q&gt;TSM-US^P_BETA_LOCIDX(44788,44614,,"SPX")&lt;/Q&gt;&lt;R&gt;1&lt;/R&gt;&lt;C&gt;1&lt;/C&gt;&lt;D xsi:type="xsd:double"&gt;1.0866581&lt;/D&gt;&lt;/FQL&gt;&lt;FQL&gt;&lt;Q&gt;TSM-US^P_BETA_LOCIDX(44785,44610,,"SPX")&lt;/Q&gt;&lt;R&gt;1&lt;/R&gt;&lt;C&gt;1&lt;/C&gt;&lt;D xsi:type="xsd:double"&gt;1.0845243&lt;/D&gt;&lt;/FQL&gt;&lt;FQL&gt;&lt;Q&gt;TSM-US^P_BETA_LOCIDX(44784,44609,,"SPX")&lt;/Q&gt;&lt;R&gt;1&lt;/R&gt;&lt;C&gt;1&lt;/C&gt;&lt;D xsi:type="xsd:double"&gt;1.0898732&lt;/D&gt;&lt;/FQL&gt;&lt;FQL&gt;&lt;Q&gt;TSM-US^P_BETA_LOCIDX(44783,44608,,"SPX")&lt;/Q&gt;&lt;R&gt;1&lt;/R&gt;&lt;C&gt;1&lt;/C&gt;&lt;D xsi:type="xsd:double"&gt;1.0897449&lt;/D&gt;&lt;/FQL&gt;&lt;FQL&gt;&lt;Q&gt;TSM-US^P_BETA_LOCIDX(44782,44607,,"SPX")&lt;/Q&gt;&lt;R&gt;1&lt;/R&gt;&lt;C&gt;1&lt;/C&gt;&lt;D xsi:type="xsd:double"&gt;1.0888885&lt;/D&gt;&lt;/FQL&gt;&lt;FQL&gt;&lt;Q&gt;TSM-US^P_BETA_LOCIDX(44781,44606,,"SPX")&lt;/Q&gt;&lt;R&gt;1&lt;/R&gt;&lt;C&gt;1&lt;/C&gt;&lt;D xsi:type="xsd:double"&gt;1.086236&lt;/D&gt;&lt;/FQL&gt;&lt;FQL&gt;&lt;Q&gt;TSM-US^P_BETA_LOCIDX(44778,44603,,"SPX")&lt;/Q&gt;&lt;R&gt;1&lt;/R&gt;&lt;C&gt;1&lt;/C&gt;&lt;D xsi:type="xsd:double"&gt;1.090189&lt;/D&gt;&lt;/FQL&gt;&lt;FQL&gt;&lt;Q&gt;TSM-US^P_BETA_LOCIDX(44777,44602,,"SPX")&lt;/Q&gt;&lt;R&gt;1&lt;/R&gt;&lt;C&gt;1&lt;/C&gt;&lt;D xsi:type="xsd:double"&gt;1.0821772&lt;/D&gt;&lt;/FQL&gt;&lt;FQL&gt;&lt;Q&gt;TSM-US^P_BETA_LOCIDX(44776,44601,,"SPX")&lt;/Q&gt;&lt;R&gt;1&lt;/R&gt;&lt;C&gt;1&lt;/C&gt;&lt;D xsi:type="xsd:double"&gt;1.0827249&lt;/D&gt;&lt;/FQL&gt;&lt;FQL&gt;&lt;Q&gt;TSM-US^P_BETA_LOCIDX(44775,44600,,"SPX")&lt;/Q&gt;&lt;R&gt;1&lt;/R&gt;&lt;C&gt;1&lt;/C&gt;&lt;D xsi:type="xsd:double"&gt;1.0890636&lt;/D&gt;&lt;/FQL&gt;&lt;FQL&gt;&lt;Q&gt;TSM-US^P_BETA_LOCIDX(44774,44599,,"SPX")&lt;/Q&gt;&lt;R&gt;1&lt;/R&gt;&lt;C&gt;1&lt;/C&gt;&lt;D xsi:type="xsd:double"&gt;1.0886062&lt;/D&gt;&lt;/FQL&gt;&lt;FQL&gt;&lt;Q&gt;TSM-US^P_BETA_LOCIDX(45845,45670,,"SPX")&lt;/Q&gt;&lt;R&gt;1&lt;/R&gt;&lt;C&gt;1&lt;/C&gt;&lt;D xsi:type="xsd:double"&gt;1.4896824&lt;/D&gt;&lt;/FQL&gt;&lt;FQL&gt;&lt;Q&gt;FIX-US^P_BETA_LOCIDX(45841,45665,,"SPX")&lt;/Q&gt;&lt;R&gt;1&lt;/R&gt;&lt;C&gt;1&lt;/C&gt;&lt;D xsi:type="xsd:double"&gt;1.7657659&lt;/D&gt;&lt;/FQL&gt;&lt;FQL&gt;&lt;Q&gt;FIX-US^P_BETA_LOCIDX(45840,45664,,"SPX")&lt;/Q&gt;&lt;R&gt;1&lt;/R&gt;&lt;C&gt;1&lt;/C&gt;&lt;D xsi:type="xsd:double"&gt;1.7599282&lt;/D&gt;&lt;/FQL&gt;&lt;FQL&gt;&lt;Q&gt;FIX-US^P_BETA_LOCIDX(45839,45663,,"SPX")&lt;/Q&gt;&lt;R&gt;1&lt;/R&gt;&lt;C&gt;1&lt;/C&gt;&lt;D xsi:type="xsd:double"&gt;1.7600057&lt;/D&gt;&lt;/FQL&gt;&lt;FQL&gt;&lt;Q&gt;FIX-US^P_BETA_LOCIDX(45838,45660,,"SPX")&lt;/Q&gt;&lt;R&gt;1&lt;/R&gt;&lt;C&gt;1&lt;/C&gt;&lt;D xsi:type="xsd:double"&gt;1.7681465&lt;/D&gt;&lt;/FQL&gt;&lt;FQL&gt;&lt;Q&gt;FIX-US^P_BETA_LOCIDX(45835,45659,,"SPX")&lt;/Q&gt;&lt;R&gt;1&lt;/R&gt;&lt;C&gt;1&lt;/C&gt;&lt;D xsi:type="xsd:double"&gt;1.7683308&lt;/D&gt;&lt;/FQL&gt;&lt;FQL&gt;&lt;Q&gt;FIX-US^P_BETA_LOCIDX(45834,45657,,"SPX")&lt;/Q&gt;&lt;R&gt;1&lt;/R&gt;&lt;C&gt;1&lt;/C&gt;&lt;D xsi:type="xsd:double"&gt;1.7651706&lt;/D&gt;&lt;/FQL&gt;&lt;FQL&gt;&lt;Q&gt;FIX-US^P_BETA_LOCIDX(45833,45656,,"SPX")&lt;/Q&gt;&lt;R&gt;1&lt;/R&gt;&lt;C&gt;1&lt;/C&gt;&lt;D xsi:type="xsd:double"&gt;1.7607899&lt;/D&gt;&lt;/FQL&gt;&lt;FQL&gt;&lt;Q&gt;FIX-US^P_BETA_LOCIDX(45832,45653,,"SPX")&lt;/Q&gt;&lt;R&gt;1&lt;/R&gt;&lt;C&gt;1&lt;/C&gt;&lt;D xsi:type="xsd:double"&gt;1.7598553&lt;/D&gt;&lt;/FQL&gt;&lt;FQL&gt;&lt;Q&gt;FIX-US^P_BETA_LOCIDX(45831,45652,,"SPX")&lt;/Q&gt;&lt;R&gt;1&lt;/R&gt;&lt;C&gt;1&lt;/C&gt;&lt;D xsi:type="xsd:double"&gt;1.76013&lt;/D&gt;&lt;/FQL&gt;&lt;FQL&gt;&lt;Q&gt;FIX-US^P_BETA_LOCIDX(45828,45650,,"SPX")&lt;/Q&gt;&lt;R&gt;1&lt;/R&gt;&lt;C&gt;1&lt;/C&gt;&lt;D xsi:type="xsd:double"&gt;1.7578878&lt;/D&gt;&lt;/FQL&gt;&lt;FQL&gt;&lt;Q&gt;FIX-US^P_BETA_LOCIDX(45826,45649,,"SPX")&lt;/Q&gt;&lt;R&gt;1&lt;/R&gt;&lt;C&gt;1&lt;/C&gt;&lt;D xsi:type="xsd:double"&gt;1.7526948&lt;/D&gt;&lt;/FQL&gt;&lt;FQL&gt;&lt;Q&gt;FIX-US^P_BETA_LOCIDX(45825,45646,,"SPX")&lt;/Q&gt;&lt;R&gt;1&lt;/R&gt;&lt;C&gt;1&lt;/C&gt;&lt;D xsi:type="xsd:double"&gt;1.7479815&lt;/D&gt;&lt;/FQL&gt;&lt;FQL&gt;&lt;Q&gt;FIX-US^P_BETA_LOCIDX(45824,45645,,"SPX")&lt;/Q&gt;&lt;R&gt;1&lt;/R&gt;&lt;C&gt;1&lt;/C&gt;&lt;D xsi:type="xsd:double"&gt;1.7483938&lt;/D&gt;&lt;/FQL&gt;&lt;FQL&gt;&lt;Q&gt;FIX-US^P_BETA_LOCIDX(45821,45644,,"SPX")&lt;/Q&gt;&lt;R&gt;1&lt;/R&gt;&lt;C&gt;1&lt;/C&gt;&lt;D xsi:type="xsd:double"&gt;1.7457594&lt;/D&gt;&lt;/FQL&gt;&lt;FQL&gt;&lt;Q&gt;FIX-US^P_BETA_LOCIDX(45820,45643,,"SPX")&lt;/Q&gt;&lt;R&gt;1&lt;/R&gt;&lt;C&gt;1&lt;/C&gt;&lt;D xsi:type="xsd:double"&gt;1.747954&lt;/D&gt;&lt;/FQL&gt;&lt;FQL&gt;&lt;Q&gt;FIX-US^P_BETA_LOCIDX(45819,45642,,"SPX")&lt;/Q&gt;&lt;R&gt;1&lt;/R&gt;&lt;C&gt;1&lt;/C&gt;&lt;D xsi:type="xsd:double"&gt;1.7469878&lt;/D&gt;&lt;/FQL&gt;&lt;FQL&gt;&lt;Q&gt;FIX-US^P_BETA_LOCIDX(45818,45639,,"SPX")&lt;/Q&gt;&lt;R&gt;1&lt;/R&gt;&lt;C&gt;1&lt;/C&gt;&lt;D xsi:type="xsd:double"&gt;1.7491542&lt;/D&gt;&lt;/FQL&gt;&lt;FQL&gt;&lt;Q&gt;FIX-US^P_BETA_LOCIDX(45817,45638,,"SPX")&lt;/Q&gt;&lt;R&gt;1&lt;/R&gt;&lt;C&gt;1&lt;/C&gt;&lt;D xsi:type="xsd:double"&gt;1.7558177&lt;/D&gt;&lt;/FQL&gt;&lt;FQL&gt;&lt;Q&gt;FIX-US^P_BETA_LOCIDX(45814,45637,,"SPX")&lt;/Q&gt;&lt;R&gt;1&lt;/R&gt;&lt;C&gt;1&lt;/C&gt;&lt;D xsi:type="xsd:double"&gt;1.7598736&lt;/D&gt;&lt;/FQL&gt;&lt;FQL&gt;&lt;Q&gt;FIX-US^P_BETA_LOCIDX(45813,45636,,"SPX")&lt;/Q&gt;&lt;R&gt;1&lt;/R&gt;&lt;C&gt;1&lt;/C&gt;&lt;D xsi:type="xsd:double"&gt;1.7592062&lt;/D&gt;&lt;/FQL&gt;&lt;FQL&gt;&lt;Q&gt;FIX-US^P_BETA_LOCIDX(45812,45635,,"SPX")&lt;/Q&gt;&lt;R&gt;1&lt;/R&gt;&lt;C&gt;1&lt;/C&gt;&lt;D xsi:type="xsd:double"&gt;1.7730289&lt;/D&gt;&lt;/FQL&gt;&lt;FQL&gt;&lt;Q&gt;FIX-US^P_BETA_LOCIDX(45811,45632,,"SPX")&lt;/Q&gt;&lt;R&gt;1&lt;/R&gt;&lt;C&gt;1&lt;/C&gt;&lt;D xsi:type="xsd:double"&gt;1.7725337&lt;/D&gt;&lt;/FQL&gt;&lt;FQL&gt;&lt;Q&gt;FIX-US^P_BETA_LOCIDX(45810,45631,,"SPX")&lt;/Q&gt;&lt;R&gt;1&lt;/R&gt;&lt;C&gt;1&lt;/C&gt;&lt;D xsi:type="xsd:double"&gt;1.7668887&lt;/D&gt;&lt;/FQL&gt;&lt;FQL&gt;&lt;Q&gt;FIX-US^P_BETA_LOCIDX(45807,45630,,"SPX")&lt;/Q&gt;&lt;R&gt;1&lt;/R&gt;&lt;C&gt;1&lt;/C&gt;&lt;D xsi:type="xsd:double"&gt;1.7681723&lt;/D&gt;&lt;/FQL&gt;&lt;FQL&gt;&lt;Q&gt;FIX-US^P_BETA_LOCIDX(45806,45629,,"SPX")&lt;/Q&gt;&lt;R&gt;1&lt;/R&gt;&lt;C&gt;1&lt;/C&gt;&lt;D xsi:type="xsd:double"&gt;1.7683655&lt;/D&gt;&lt;/FQL&gt;&lt;FQL&gt;&lt;Q&gt;FIX-US^P_BETA_LOCIDX(45805,45628,,"SPX")&lt;/Q&gt;&lt;R&gt;1&lt;/R&gt;&lt;C&gt;1&lt;/C&gt;&lt;D xsi:type="xsd:double"&gt;1.7678219&lt;/D&gt;&lt;/FQL&gt;&lt;FQL&gt;&lt;Q&gt;FIX-US^P_BETA_LOCIDX(45804,45625,,"SPX")&lt;/Q&gt;&lt;R&gt;1&lt;/R&gt;&lt;C&gt;1&lt;/C&gt;&lt;D xsi:type="xsd:double"&gt;1.7667862&lt;/D&gt;&lt;/FQL&gt;&lt;FQL&gt;&lt;Q&gt;FIX-US^P_BETA_LOCIDX(45800,45623,,"SPX")&lt;/Q&gt;&lt;R&gt;1&lt;/R&gt;&lt;C&gt;1&lt;/C&gt;&lt;D xsi:type="xsd:double"&gt;1.7756736&lt;/D&gt;&lt;/FQL&gt;&lt;FQL&gt;&lt;Q&gt;FIX-US^P_BETA_LOCIDX(45799,45622,,"SPX")&lt;/Q&gt;&lt;R&gt;1&lt;/R&gt;&lt;C&gt;1&lt;/C&gt;&lt;D xsi:type="xsd:double"&gt;1.7842189&lt;/D&gt;&lt;/FQL&gt;&lt;FQL&gt;&lt;Q&gt;FIX-US^P_BETA_LOCIDX(45798,45621,,"SPX")&lt;/Q&gt;&lt;R&gt;1&lt;/R&gt;&lt;C&gt;1&lt;/C&gt;&lt;D xsi:type="xsd:double"&gt;1.784377&lt;/D&gt;&lt;/FQL&gt;&lt;FQL&gt;&lt;Q&gt;FIX-US^P_BETA_LOCIDX(45797,45618,,"SPX")&lt;/Q&gt;&lt;R&gt;1&lt;/R&gt;&lt;C&gt;1&lt;/C&gt;&lt;D xsi:type="xsd:double"&gt;1.7909756&lt;/D&gt;&lt;/FQL&gt;&lt;FQL&gt;&lt;Q&gt;FIX-US^P_BETA_LOCIDX(45796,45617,,"SPX")&lt;/Q&gt;&lt;R&gt;1&lt;/R&gt;&lt;C&gt;1&lt;/C&gt;&lt;D xsi:type="xsd:double"&gt;1.795925&lt;/D&gt;&lt;/FQL&gt;&lt;FQL&gt;&lt;Q&gt;FIX-US^P_BETA_LOCIDX(45793,45616,,"SPX")&lt;/Q&gt;&lt;R&gt;1&lt;/R&gt;&lt;C&gt;1&lt;/C&gt;&lt;D xsi:type="xsd:double"&gt;1.7960457&lt;/D&gt;&lt;/FQL&gt;&lt;FQL&gt;&lt;Q&gt;FIX-US^P_BETA_LOCIDX(45792,45615,,"SPX")&lt;/Q&gt;&lt;R&gt;1&lt;/R&gt;&lt;C&gt;1&lt;/C&gt;&lt;D xsi:type="xsd:double"&gt;1.8005894&lt;/D&gt;&lt;/FQL&gt;&lt;FQL&gt;&lt;Q&gt;FIX-US^P_BETA_LOCIDX(45791,45614,,"SPX")&lt;/Q&gt;&lt;R&gt;1&lt;/R&gt;&lt;C&gt;1&lt;/C&gt;&lt;D xsi:type="xsd:double"&gt;1.8036658&lt;/D&gt;&lt;/FQL&gt;&lt;FQL&gt;&lt;Q&gt;FIX-US^P_BETA_LOCIDX(45790,45611,,"SPX")&lt;/Q&gt;&lt;R&gt;1&lt;/R&gt;&lt;C&gt;1&lt;/C&gt;&lt;D xsi:type="xsd:double"&gt;1.7874804&lt;/D&gt;&lt;/FQL&gt;&lt;FQL&gt;&lt;Q&gt;FIX-US^P_BETA_LOCIDX(45789,45610,,"SPX")&lt;/Q&gt;&lt;R&gt;1&lt;/R&gt;&lt;C&gt;1&lt;/C&gt;&lt;D xsi:type="xsd:double"&gt;1.7848555&lt;/D&gt;&lt;/FQL&gt;&lt;FQL&gt;&lt;Q&gt;FIX-US^P_BETA_LOCIDX(45786,45609,,"SPX")&lt;/Q&gt;&lt;R&gt;1&lt;/R&gt;&lt;C&gt;1&lt;/C&gt;&lt;D xsi:type="xsd:double"&gt;1.807817&lt;/D&gt;&lt;/FQL&gt;&lt;FQL&gt;&lt;Q&gt;FIX-US^P_BETA_LOCIDX(45785,45608,,"SPX")&lt;/Q&gt;&lt;R&gt;1&lt;/R&gt;&lt;C&gt;1&lt;/C&gt;&lt;D xsi:type="xsd:double"&gt;1.8080307&lt;/D&gt;&lt;/FQL&gt;&lt;FQL&gt;&lt;Q&gt;FIX-US^P_BETA_LOCIDX(45784,45607,,"SPX")&lt;/Q&gt;&lt;R&gt;1&lt;/R&gt;&lt;C&gt;1&lt;/C&gt;&lt;D xsi:type="xsd:double"&gt;1.8073658&lt;/D&gt;&lt;/FQL&gt;&lt;FQL&gt;&lt;Q&gt;FIX-US^P_BETA_LOCIDX(45783,45604,,"SPX")&lt;/Q&gt;&lt;R&gt;1&lt;/R&gt;&lt;C&gt;1&lt;/C&gt;&lt;D xsi:type="xsd:double"&gt;1.8127675&lt;/D&gt;&lt;/FQL&gt;&lt;FQL&gt;&lt;Q&gt;FIX-US^P_BETA_LOCIDX(45782,45603,,"SPX")&lt;/Q&gt;&lt;R&gt;1&lt;/R&gt;&lt;C&gt;1&lt;/C&gt;&lt;D xsi:type="xsd:double"&gt;1.811885&lt;/D&gt;&lt;/FQL&gt;&lt;FQL&gt;&lt;Q&gt;FIX-US^P_BETA_LOCIDX(45779,45602,,"SPX")&lt;/Q&gt;&lt;R&gt;1&lt;/R&gt;&lt;C&gt;1&lt;/C&gt;&lt;D xsi:type="xsd:double"&gt;1.8305514&lt;/D&gt;&lt;/FQL&gt;&lt;FQL&gt;&lt;Q&gt;FIX-US^P_BETA_LOCIDX(45778,45601,,"SPX")&lt;/Q&gt;&lt;R&gt;1&lt;/R&gt;&lt;C&gt;1&lt;/C&gt;&lt;D xsi:type="xsd:double"&gt;1.8403031&lt;/D&gt;&lt;/FQL&gt;&lt;FQL&gt;&lt;Q&gt;FIX-US^P_BETA_LOCIDX(45777,45600,,"SPX")&lt;/Q&gt;&lt;R&gt;1&lt;/R&gt;&lt;C&gt;1&lt;/C&gt;&lt;D xsi:type="xsd:double"&gt;1.8318073&lt;/D&gt;&lt;/FQL&gt;&lt;FQL&gt;&lt;Q&gt;FIX-US^P_BETA_LOCIDX(45776,45597,,"SPX")&lt;/Q&gt;&lt;R&gt;1&lt;/R&gt;&lt;C&gt;1&lt;/C&gt;&lt;D xsi:type="xsd:double"&gt;1.8312154&lt;/D&gt;&lt;/FQL&gt;&lt;FQL&gt;&lt;Q&gt;FIX-US^P_BETA_LOCIDX(45775,45596,,"SPX")&lt;/Q&gt;&lt;R&gt;1&lt;/R&gt;&lt;C&gt;1&lt;/C&gt;&lt;D xsi:type="xsd:double"&gt;1.8097677&lt;/D&gt;&lt;/FQL&gt;&lt;FQL&gt;&lt;Q&gt;FIX-US^P_BETA_LOCIDX(45772,45595,,"SPX")&lt;/Q&gt;&lt;R&gt;1&lt;/R&gt;&lt;C&gt;1&lt;/C&gt;&lt;D xsi:type="xsd:double"&gt;1.8112228&lt;/D&gt;&lt;/FQL&gt;&lt;FQL&gt;&lt;Q&gt;FIX-US^P_BETA_LOCIDX(45771,45594,,"SPX")&lt;/Q&gt;&lt;R&gt;1&lt;/R&gt;&lt;C&gt;1&lt;/C&gt;&lt;D xsi:type="xsd:double"&gt;1.8009732&lt;/D&gt;&lt;/FQL&gt;&lt;FQL&gt;&lt;Q&gt;FIX-US^P_BETA_LOCIDX(45770,45593,,"SPX")&lt;/Q&gt;&lt;R&gt;1&lt;/R&gt;&lt;C&gt;1&lt;/C&gt;&lt;D xsi:type="xsd:double"&gt;1.7914459&lt;/D&gt;&lt;/FQL&gt;&lt;FQL&gt;&lt;Q&gt;FIX-US^P_BETA_LOCIDX(45769,45590,,"SPX")&lt;/Q&gt;&lt;R&gt;1&lt;/R&gt;&lt;C&gt;1&lt;/C&gt;&lt;D xsi:type="xsd:double"&gt;1.7815964&lt;/D&gt;&lt;/FQL&gt;&lt;FQL&gt;&lt;Q&gt;FIX-US^P_BETA_LOCIDX(45768,45589,,"SPX")&lt;/Q&gt;&lt;R&gt;1&lt;/R&gt;&lt;C&gt;1&lt;/C&gt;&lt;D xsi:type="xsd:double"&gt;1.7893127&lt;/D&gt;&lt;/FQL&gt;&lt;FQL&gt;&lt;Q&gt;FIX-US^P_BETA_LOCIDX(45764,45588,,"SPX")&lt;/Q&gt;&lt;R&gt;1&lt;/R&gt;&lt;C&gt;1&lt;/C&gt;&lt;D xsi:type="xsd:double"&gt;1.7735182&lt;/D&gt;&lt;/FQL&gt;&lt;FQL&gt;&lt;Q&gt;FIX-US^P_BETA_LOCIDX(45763,45587,,"SPX")&lt;/Q&gt;&lt;R&gt;1&lt;/R&gt;&lt;C&gt;1&lt;/C&gt;&lt;D xsi:type="xsd:double"&gt;1.7738019&lt;/D&gt;&lt;/FQL&gt;&lt;FQL&gt;&lt;Q&gt;FIX-US^P_BETA_LOCIDX(45762,45586,,"SPX")&lt;/Q&gt;&lt;R&gt;1&lt;/R&gt;&lt;C&gt;1&lt;/C&gt;&lt;D xsi:type="xsd:double"&gt;1.7887956&lt;/D&gt;&lt;/FQL&gt;&lt;FQL&gt;&lt;Q&gt;FIX-US^P_BETA_LOCIDX(45761,45583,,"SPX")&lt;/Q&gt;&lt;R&gt;1&lt;/R&gt;&lt;C&gt;1&lt;/C&gt;&lt;D xsi:type="xsd:double"&gt;1.7875372&lt;/D&gt;&lt;/FQL&gt;&lt;FQL&gt;&lt;Q&gt;FIX-US^P_BETA_LOCIDX(45758,45582,,"SPX")&lt;/Q&gt;&lt;R&gt;1&lt;/R&gt;&lt;C&gt;1&lt;/C&gt;&lt;D xsi:type="xsd:double"&gt;1.789822&lt;/D&gt;&lt;/FQL&gt;&lt;FQL&gt;&lt;Q&gt;FIX-US^P_BETA_LOCIDX(45757,45581,,"SPX")&lt;/Q&gt;&lt;R&gt;1&lt;/R&gt;&lt;C&gt;1&lt;/C&gt;&lt;D xsi:type="xsd:double"&gt;1.7880212&lt;/D&gt;&lt;/FQL&gt;&lt;FQL&gt;&lt;Q&gt;FIX-US^P_BETA_LOCIDX(45756,45580,,"SPX")&lt;/Q&gt;&lt;R&gt;1&lt;/R&gt;&lt;C&gt;1&lt;/C&gt;&lt;D xsi:type="xsd:double"&gt;1.797712&lt;/D&gt;&lt;/FQL&gt;&lt;FQL&gt;&lt;Q&gt;FIX-US^P_BETA_LOCIDX(45755,45579,,"SPX")&lt;/Q&gt;&lt;R&gt;1&lt;/R&gt;&lt;C&gt;1&lt;/C&gt;&lt;D xsi:type="xsd:double"&gt;1.9691982&lt;/D&gt;&lt;/FQL&gt;&lt;FQL&gt;&lt;Q&gt;FIX-US^P_BETA_LOCIDX(45754,45576,,"SPX")&lt;/Q&gt;&lt;R&gt;1&lt;/R&gt;&lt;C&gt;1&lt;/C&gt;&lt;D xsi:type="xsd:double"&gt;2.0009565&lt;/D&gt;&lt;/FQL&gt;&lt;FQL&gt;&lt;Q&gt;FIX-US^P_BETA_LOCIDX(45751,45575,,"SPX")&lt;/Q&gt;&lt;R&gt;1&lt;/R&gt;&lt;C&gt;1&lt;/C&gt;&lt;D xsi:type="xsd:double"&gt;2.0059674&lt;/D&gt;&lt;/FQL&gt;&lt;FQL&gt;&lt;Q&gt;FIX-US^P_BETA_LOCIDX(45750,45574,,"SPX")&lt;/Q&gt;&lt;R&gt;1&lt;/R&gt;&lt;C&gt;1&lt;/C&gt;&lt;D xsi:type="xsd:double"&gt;2.3514774&lt;/D&gt;&lt;/FQL&gt;&lt;FQL&gt;&lt;Q&gt;FIX-US^P_BETA_LOCIDX(45749,45573,,"SPX")&lt;/Q&gt;&lt;R&gt;1&lt;/R&gt;&lt;C&gt;1&lt;/C&gt;&lt;D xsi:type="xsd:double"&gt;2.4406044&lt;/D&gt;&lt;/FQL&gt;&lt;FQL&gt;&lt;Q&gt;FIX-US^P_BETA_LOCIDX(45748,45572,,"SPX")&lt;/Q&gt;&lt;R&gt;1&lt;/R&gt;&lt;C&gt;1&lt;/C&gt;&lt;D xsi:type="xsd:double"&gt;2.3943174&lt;/D&gt;&lt;/FQL&gt;&lt;FQL&gt;&lt;Q&gt;FIX-US^P_BETA_LOCIDX(45747,45569,,"SPX")&lt;/Q&gt;&lt;R&gt;1&lt;/R&gt;&lt;C&gt;1&lt;/C&gt;&lt;D xsi:type="xsd:double"&gt;2.3879707&lt;/D&gt;&lt;/FQL&gt;&lt;FQL&gt;&lt;Q&gt;FIX-US^P_BETA_LOCIDX(45744,45568,,"SPX")&lt;/Q&gt;&lt;R&gt;1&lt;/R&gt;&lt;C&gt;1&lt;/C&gt;&lt;D xsi:type="xsd:double"&gt;2.3985054&lt;/D&gt;&lt;/FQL&gt;&lt;FQL&gt;&lt;Q&gt;FIX-US^P_BETA_LOCIDX(45743,45567,,"SPX")&lt;/Q&gt;&lt;R&gt;1&lt;/R&gt;&lt;C&gt;1&lt;/C&gt;&lt;D xsi:type="xsd:double"&gt;2.44578&lt;/D&gt;&lt;/FQL&gt;&lt;FQL&gt;&lt;Q&gt;FIX-US^P_BETA_LOCIDX(45742,45566,,"SPX")&lt;/Q&gt;&lt;R&gt;1&lt;/R&gt;&lt;C&gt;1&lt;/C&gt;&lt;D xsi:type="xsd:double"&gt;2.4156733&lt;/D&gt;&lt;/FQL&gt;&lt;FQL&gt;&lt;Q&gt;FIX-US^P_BETA_LOCIDX(45741,45565,,"SPX")&lt;/Q&gt;&lt;R&gt;1&lt;/R&gt;&lt;C&gt;1&lt;/C&gt;&lt;D xsi:type="xsd:double"&gt;2.358007&lt;/D&gt;&lt;/FQL&gt;&lt;FQL&gt;&lt;Q&gt;FIX-US^P_BETA_LOCIDX(45740,45562,,"SPX")&lt;/Q&gt;&lt;R&gt;1&lt;/R&gt;&lt;C&gt;1&lt;/C&gt;&lt;D xsi:type="xsd:double"&gt;2.3630548&lt;/D&gt;&lt;/FQL&gt;&lt;FQL&gt;&lt;Q&gt;FIX-US^P_BETA_LOCIDX(45737,45561,,"SPX")&lt;/Q&gt;&lt;R&gt;1&lt;/R&gt;&lt;C&gt;1&lt;/C&gt;&lt;D xsi:type="xsd:double"&gt;2.2979472&lt;/D&gt;&lt;/FQL&gt;&lt;FQL&gt;&lt;Q&gt;FIX-US^P_BETA_LOCIDX(45736,45560,,"SPX")&lt;/Q&gt;&lt;R&gt;1&lt;/R&gt;&lt;C&gt;1&lt;/C&gt;&lt;D xsi:type="xsd:double"&gt;2.2963264&lt;/D&gt;&lt;/FQL&gt;&lt;FQL&gt;&lt;Q&gt;FIX-US^P_BETA_LOCIDX(45735,45559,,"SPX")&lt;/Q&gt;&lt;R&gt;1&lt;/R&gt;&lt;C&gt;1&lt;/C&gt;&lt;D xsi:type="xsd:double"&gt;2.2958379&lt;/D&gt;&lt;/FQL&gt;&lt;FQL&gt;&lt;Q&gt;FIX-US^P_BETA_LOCIDX(45734,45558,,"SPX")&lt;/Q&gt;&lt;R&gt;1&lt;/R&gt;&lt;C&gt;1&lt;/C&gt;&lt;D xsi:type="xsd:double"&gt;2.262127&lt;/D&gt;&lt;/FQL&gt;&lt;FQL&gt;&lt;Q&gt;FIX-US^P_BETA_LOCIDX(45733,45555,,"SPX")&lt;/Q&gt;&lt;R&gt;1&lt;/R&gt;&lt;C&gt;1&lt;/C&gt;&lt;D xsi:type="xsd:double"&gt;2.2629404&lt;/D&gt;&lt;/FQL&gt;&lt;FQL&gt;&lt;Q&gt;FIX-US^P_BETA_LOCIDX(45730,45554,,"SPX")&lt;/Q&gt;&lt;R&gt;1&lt;/R&gt;&lt;C&gt;1&lt;/C&gt;&lt;D xsi:type="xsd:double"&gt;2.3125567&lt;/D&gt;&lt;/FQL&gt;&lt;FQL&gt;&lt;Q&gt;FIX-US^P_BETA_LOCIDX(45729,45553,,"SPX")&lt;/Q&gt;&lt;R&gt;1&lt;/R&gt;&lt;C&gt;1&lt;/C&gt;&lt;D xsi:type="xsd:double"&gt;2.3274777&lt;/D&gt;&lt;/FQL&gt;&lt;FQL&gt;&lt;Q&gt;FIX-US^P_BETA_LOCIDX(45728,45552,,"SPX")&lt;/Q&gt;&lt;R&gt;1&lt;/R&gt;&lt;C&gt;1&lt;/C&gt;&lt;D xsi:type="xsd:double"&gt;2.3377533&lt;/D&gt;&lt;/FQL&gt;&lt;FQL&gt;&lt;Q&gt;FIX-US^P_BETA_LOCIDX(45727,45551,,"SPX")&lt;/Q&gt;&lt;R&gt;1&lt;/R&gt;&lt;C&gt;1&lt;/C&gt;&lt;D xsi:type="xsd:double"&gt;2.325382&lt;/D&gt;&lt;/FQL&gt;&lt;FQL&gt;&lt;Q&gt;FIX-US^P_BETA_LOCIDX(45726,45548,,"SPX")&lt;/Q&gt;&lt;R&gt;1&lt;/R&gt;&lt;C&gt;1&lt;/C&gt;&lt;D xsi:type="xsd:double"&gt;2.3795455&lt;/D&gt;&lt;/FQL&gt;&lt;FQL&gt;&lt;Q&gt;FIX-US^P_BETA_LOCIDX(45723,45547,,"SPX")&lt;/Q&gt;&lt;R&gt;1&lt;/R&gt;&lt;C&gt;1&lt;/C&gt;&lt;D xsi:type="xsd:double"&gt;2.4793043&lt;/D&gt;&lt;/FQL&gt;&lt;FQL&gt;&lt;Q&gt;FIX-US^P_BETA_LOCIDX(45722,45546,,"SPX")&lt;/Q&gt;&lt;R&gt;1&lt;/R&gt;&lt;C&gt;1&lt;/C&gt;&lt;D xsi:type="xsd:double"&gt;2.5287597&lt;/D&gt;&lt;/FQL&gt;&lt;FQL&gt;&lt;Q&gt;FIX-US^P_BETA_LOCIDX(45721,45545,,"SPX")&lt;/Q&gt;&lt;R&gt;1&lt;/R&gt;&lt;C&gt;1&lt;/C&gt;&lt;D xsi:type="xsd:double"&gt;2.5032825&lt;/D&gt;&lt;/FQL&gt;&lt;FQL&gt;&lt;Q&gt;FIX-US^P_BETA_LOCIDX(45720,45544,,"SPX")&lt;/Q&gt;&lt;R&gt;1&lt;/R&gt;&lt;C&gt;1&lt;/C&gt;&lt;D xsi:type="xsd:double"&gt;2.49311&lt;/D&gt;&lt;/FQL&gt;&lt;FQL&gt;&lt;Q&gt;FIX-US^P_BETA_LOCIDX(45719,45541,,"SPX")&lt;/Q&gt;&lt;R&gt;1&lt;/R&gt;&lt;C&gt;1&lt;/C&gt;&lt;D xsi:type="xsd:double"&gt;2.4504738&lt;/D&gt;&lt;/FQL&gt;&lt;FQL&gt;&lt;Q&gt;FIX-US^P_BETA_LOCIDX(45716,45540,,"SPX")&lt;/Q&gt;&lt;R&gt;1&lt;/R&gt;&lt;C&gt;1&lt;/C&gt;&lt;D xsi:type="xsd:double"&gt;2.4428616&lt;/D&gt;&lt;/FQL&gt;&lt;FQL&gt;&lt;Q&gt;FIX-US^P_BETA_LOCIDX(45715,45539,,"SPX")&lt;/Q&gt;&lt;R&gt;1&lt;/R&gt;&lt;C&gt;1&lt;/C&gt;&lt;D xsi:type="xsd:double"&gt;2.4841063&lt;/D&gt;&lt;/FQL&gt;&lt;FQL&gt;&lt;Q&gt;FIX-US^P_BETA_LOCIDX(45714,45538,,"SPX")&lt;/Q&gt;&lt;R&gt;1&lt;/R&gt;&lt;C&gt;1&lt;/C&gt;&lt;D xsi:type="xsd:double"&gt;2.6252127&lt;/D&gt;&lt;/FQL&gt;&lt;FQL&gt;&lt;Q&gt;FIX-US^P_BETA_LOCIDX(45713,45534,,"SPX")&lt;/Q&gt;&lt;R&gt;1&lt;/R&gt;&lt;C&gt;1&lt;/C&gt;&lt;D xsi:type="xsd:double"&gt;2.615584&lt;/D&gt;&lt;/FQL&gt;&lt;FQL&gt;&lt;Q&gt;FIX-US^P_BETA_LOCIDX(45712,45533,,"SPX")&lt;/Q&gt;&lt;R&gt;1&lt;/R&gt;&lt;C&gt;1&lt;/C&gt;&lt;D xsi:type="xsd:double"&gt;2.6392205&lt;/D&gt;&lt;/FQL&gt;&lt;FQL&gt;&lt;Q&gt;FIX-US^P_BETA_LOCIDX(45709,45532,,"SPX")&lt;/Q&gt;&lt;R&gt;1&lt;/R&gt;&lt;C&gt;1&lt;/C&gt;&lt;D xsi:type="xsd:double"&gt;2.6153288&lt;/D&gt;&lt;/FQL&gt;&lt;FQL&gt;&lt;Q&gt;FIX-US^P_BETA_LOCIDX(45708,45531,,"SPX")&lt;/Q&gt;&lt;R&gt;1&lt;/R&gt;&lt;C&gt;1&lt;/C&gt;&lt;D xsi:type="xsd:double"&gt;2.6076522&lt;/D&gt;&lt;/FQL&gt;&lt;FQL&gt;&lt;Q&gt;FIX-US^P_BETA_LOCIDX(45707,45530,,"SPX")&lt;/Q&gt;&lt;R&gt;1&lt;/R&gt;&lt;C&gt;1&lt;/C&gt;&lt;D xsi:type="xsd:double"&gt;2.588938&lt;/D&gt;&lt;/FQL&gt;&lt;FQL&gt;&lt;Q&gt;FIX-US^P_BETA_LOCIDX(45706,45527,,"SPX")&lt;/Q&gt;&lt;R&gt;1&lt;/R&gt;&lt;C&gt;1&lt;/C&gt;&lt;D xsi:type="xsd:double"&gt;2.5537744&lt;/D&gt;&lt;/FQL&gt;&lt;FQL&gt;&lt;Q&gt;FIX-US^P_BETA_LOCIDX(45702,45526,,"SPX")&lt;/Q&gt;&lt;R&gt;1&lt;/R&gt;&lt;C&gt;1&lt;/C&gt;&lt;D xsi:type="xsd:double"&gt;2.5501812&lt;/D&gt;&lt;/FQL&gt;&lt;FQL&gt;&lt;Q&gt;FIX-US^P_BETA_LOCIDX(45701,45525,,"SPX")&lt;/Q&gt;&lt;R&gt;1&lt;/R&gt;&lt;C&gt;1&lt;/C&gt;&lt;D xsi:type="xsd:double"&gt;2.5625238&lt;/D&gt;&lt;/FQL&gt;&lt;FQL&gt;&lt;Q&gt;FIX-US^P_BETA_LOCIDX(45700,45524,,"SPX")&lt;/Q&gt;&lt;R&gt;1&lt;/R&gt;&lt;C&gt;1&lt;/C&gt;&lt;D xsi:type="xsd:double"&gt;2.608472&lt;/D&gt;&lt;/FQL&gt;&lt;FQL&gt;&lt;Q&gt;FIX-US^P_BETA_LOCIDX(45699,45523,,"SPX")&lt;/Q&gt;&lt;R&gt;1&lt;/R&gt;&lt;C&gt;1&lt;/C&gt;&lt;D xsi:type="xsd:double"&gt;2.5507991&lt;/D&gt;&lt;/FQL&gt;&lt;FQL&gt;&lt;Q&gt;FIX-US^P_BETA_LOCIDX(45698,45520,,"SPX")&lt;/Q&gt;&lt;R&gt;1&lt;/R&gt;&lt;C&gt;1&lt;/C&gt;&lt;D xsi:type="xsd:double"&gt;2.5427847&lt;/D&gt;&lt;/FQL&gt;&lt;FQL&gt;&lt;Q&gt;FIX-US^P_BETA_LOCIDX(45695,45519,,"SPX")&lt;/Q&gt;&lt;R&gt;1&lt;/R&gt;&lt;C&gt;1&lt;/C&gt;&lt;D xsi:type="xsd:double"&gt;2.512214&lt;/D&gt;&lt;/FQL&gt;&lt;FQL&gt;&lt;Q&gt;FIX-US^P_BETA_LOCIDX(45694,45518,,"SPX")&lt;/Q&gt;&lt;R&gt;1&lt;/R&gt;&lt;C&gt;1&lt;/C&gt;&lt;D xsi:type="xsd:double"&gt;2.5208216&lt;/D&gt;&lt;/FQL&gt;&lt;FQL&gt;&lt;Q&gt;FIX-US^P_BETA_LOCIDX(45693,45517,,"SPX")&lt;/Q&gt;&lt;R&gt;1&lt;/R&gt;&lt;C&gt;1&lt;/C&gt;&lt;D xsi:type="xsd:double"&gt;2.4696476&lt;/D&gt;&lt;/FQL&gt;&lt;FQL&gt;&lt;Q&gt;FIX-US^P_BETA_LOCIDX(45692,45516,,"SPX")&lt;/Q&gt;&lt;R&gt;1&lt;/R&gt;&lt;C&gt;1&lt;/C&gt;&lt;D xsi:type="xsd:double"&gt;2.4567792&lt;/D&gt;&lt;/FQL&gt;&lt;FQL&gt;&lt;Q&gt;FIX-US^P_BETA_LOCIDX(45691,45513,,"SPX")&lt;/Q&gt;&lt;R&gt;1&lt;/R&gt;&lt;C&gt;1&lt;/C&gt;&lt;D xsi:type="xsd:double"&gt;2.465541&lt;/D&gt;&lt;/FQL&gt;&lt;FQL&gt;&lt;Q&gt;FIX-US^P_BETA_LOCIDX(45688,45512,,"SPX")&lt;/Q&gt;&lt;R&gt;1&lt;/R&gt;&lt;C&gt;1&lt;/C&gt;&lt;D xsi:type="xsd:double"&gt;2.4446516&lt;/D&gt;&lt;/FQL&gt;&lt;FQL&gt;&lt;Q&gt;FIX-US^P_BETA_LOCIDX(45687,45511,,"SPX")&lt;/Q&gt;&lt;R&gt;1&lt;/R&gt;&lt;C&gt;1&lt;/C&gt;&lt;D xsi:type="xsd:double"&gt;2.4696772&lt;/D&gt;&lt;/FQL&gt;&lt;FQL&gt;&lt;Q&gt;FIX-US^P_BETA_LOCIDX(45686,45510,,"SPX")&lt;/Q&gt;&lt;R&gt;1&lt;/R&gt;&lt;C&gt;1&lt;/C&gt;&lt;D xsi:type="xsd:double"&gt;2.471015&lt;/D&gt;&lt;/FQL&gt;&lt;FQL&gt;&lt;Q&gt;FIX-US^P_BETA_LOCIDX(45685,45509,,"SPX")&lt;/Q&gt;&lt;R&gt;1&lt;/R&gt;&lt;C&gt;1&lt;/C&gt;&lt;D xsi:type="xsd:double"&gt;2.306583&lt;/D&gt;&lt;/FQL&gt;&lt;FQL&gt;&lt;Q&gt;FIX-US^P_BETA_LOCIDX(45684,45506,,"SPX")&lt;/Q&gt;&lt;R&gt;1&lt;/R&gt;&lt;C&gt;1&lt;/C&gt;&lt;D xsi:type="xsd:double"&gt;2.3418608&lt;/D&gt;&lt;/FQL&gt;&lt;FQL&gt;&lt;Q&gt;FIX-US^P_BETA_LOCIDX(45681,45505,,"SPX")&lt;/Q&gt;&lt;R&gt;1&lt;/R&gt;&lt;C&gt;1&lt;/C&gt;&lt;D xsi:type="xsd:double"&gt;1.9638647&lt;/D&gt;&lt;/FQL&gt;&lt;FQL&gt;&lt;Q&gt;FIX-US^P_BETA_LOCIDX(45680,45504,,"SPX")&lt;/Q&gt;&lt;R&gt;1&lt;/R&gt;&lt;C&gt;1&lt;/C&gt;&lt;D xsi:type="xsd:double"&gt;2.0428944&lt;/D&gt;&lt;/FQL&gt;&lt;FQL&gt;&lt;Q&gt;FIX-US^P_BETA_LOCIDX(45679,45503,,"SPX")&lt;/Q&gt;&lt;R&gt;1&lt;/R&gt;&lt;C&gt;1&lt;/C&gt;&lt;D xsi:type="xsd:double"&gt;2.0630708&lt;/D&gt;&lt;/FQL&gt;&lt;FQL&gt;&lt;Q&gt;FIX-US^P_BETA_LOCIDX(45678,45502,,"SPX")&lt;/Q&gt;&lt;R&gt;1&lt;/R&gt;&lt;C&gt;1&lt;/C&gt;&lt;D xsi:type="xsd:double"&gt;2.0502634&lt;/D&gt;&lt;/FQL&gt;&lt;FQL&gt;&lt;Q&gt;FIX-US^P_BETA_LOCIDX(45674,45499,,"SPX")&lt;/Q&gt;&lt;R&gt;1&lt;/R&gt;&lt;C&gt;1&lt;/C&gt;&lt;D xsi:type="xsd:double"&gt;2.0623572&lt;/D&gt;&lt;/FQL&gt;&lt;FQL&gt;&lt;Q&gt;FIX-US^P_BETA_LOCIDX(45673,45498,,"SPX")&lt;/Q&gt;&lt;R&gt;1&lt;/R&gt;&lt;C&gt;1&lt;/C&gt;&lt;D xsi:type="xsd:double"&gt;2.0979235&lt;/D&gt;&lt;/FQL&gt;&lt;FQL&gt;&lt;Q&gt;FIX-US^P_BETA_LOCIDX(45672,45497,,"SPX")&lt;/Q&gt;&lt;R&gt;1&lt;/R&gt;&lt;C&gt;1&lt;/C&gt;&lt;D xsi:type="xsd:double"&gt;2.2030714&lt;/D&gt;&lt;/FQL&gt;&lt;FQL&gt;&lt;Q&gt;FIX-US^P_BETA_LOCIDX(45671,45496,,"SPX")&lt;/Q&gt;&lt;R&gt;1&lt;/R&gt;&lt;C&gt;1&lt;/C&gt;&lt;D xsi:type="xsd:double"&gt;2.1674588&lt;/D&gt;&lt;/FQL&gt;&lt;FQL&gt;&lt;Q&gt;FIX-US^P_BETA_LOCIDX(45670,45495,,"SPX")&lt;/Q&gt;&lt;R&gt;1&lt;/R&gt;&lt;C&gt;1&lt;/C&gt;&lt;D xsi:type="xsd:double"&gt;2.182556&lt;/D&gt;&lt;/FQL&gt;&lt;FQL&gt;&lt;Q&gt;FIX-US^P_BETA_LOCIDX(45667,45492,,"SPX")&lt;/Q&gt;&lt;R&gt;1&lt;/R&gt;&lt;C&gt;1&lt;/C&gt;&lt;D xsi:type="xsd:double"&gt;2.1664402&lt;/D&gt;&lt;/FQL&gt;&lt;FQL&gt;&lt;Q&gt;FIX-US^P_BETA_LOCIDX(45665,45491,,"SPX")&lt;/Q&gt;&lt;R&gt;1&lt;/R&gt;&lt;C</t>
        </r>
      </text>
    </comment>
    <comment ref="A24" authorId="0" shapeId="0" xr:uid="{FE362F07-57EC-49FD-BE49-EDDCB5B25733}">
      <text>
        <r>
          <rPr>
            <b/>
            <sz val="9"/>
            <color indexed="81"/>
            <rFont val="Tahoma"/>
            <family val="2"/>
          </rPr>
          <t>&gt;1&lt;/C&gt;&lt;D xsi:type="xsd:double"&gt;2.1715462&lt;/D&gt;&lt;/FQL&gt;&lt;FQL&gt;&lt;Q&gt;FIX-US^P_BETA_LOCIDX(45664,45490,,"SPX")&lt;/Q&gt;&lt;R&gt;1&lt;/R&gt;&lt;C&gt;1&lt;/C&gt;&lt;D xsi:type="xsd:double"&gt;2.2487426&lt;/D&gt;&lt;/FQL&gt;&lt;FQL&gt;&lt;Q&gt;FIX-US^P_BETA_LOCIDX(45663,45489,,"SPX")&lt;/Q&gt;&lt;R&gt;1&lt;/R&gt;&lt;C&gt;1&lt;/C&gt;&lt;D xsi:type="xsd:double"&gt;2.2699206&lt;/D&gt;&lt;/FQL&gt;&lt;FQL&gt;&lt;Q&gt;FIX-US^P_BETA_LOCIDX(45660,45488,,"SPX")&lt;/Q&gt;&lt;R&gt;1&lt;/R&gt;&lt;C&gt;1&lt;/C&gt;&lt;D xsi:type="xsd:double"&gt;2.2676654&lt;/D&gt;&lt;/FQL&gt;&lt;FQL&gt;&lt;Q&gt;FIX-US^P_BETA_LOCIDX(45659,45485,,"SPX")&lt;/Q&gt;&lt;R&gt;1&lt;/R&gt;&lt;C&gt;1&lt;/C&gt;&lt;D xsi:type="xsd:double"&gt;2.245179&lt;/D&gt;&lt;/FQL&gt;&lt;FQL&gt;&lt;Q&gt;FIX-US^P_BETA_LOCIDX(45657,45484,,"SPX")&lt;/Q&gt;&lt;R&gt;1&lt;/R&gt;&lt;C&gt;1&lt;/C&gt;&lt;D xsi:type="xsd:double"&gt;2.2050836&lt;/D&gt;&lt;/FQL&gt;&lt;FQL&gt;&lt;Q&gt;FIX-US^P_BETA_LOCIDX(45656,45483,,"SPX")&lt;/Q&gt;&lt;R&gt;1&lt;/R&gt;&lt;C&gt;1&lt;/C&gt;&lt;D xsi:type="xsd:double"&gt;2.2060783&lt;/D&gt;&lt;/FQL&gt;&lt;FQL&gt;&lt;Q&gt;FIX-US^P_BETA_LOCIDX(45653,45482,,"SPX")&lt;/Q&gt;&lt;R&gt;1&lt;/R&gt;&lt;C&gt;1&lt;/C&gt;&lt;D xsi:type="xsd:double"&gt;2.2228162&lt;/D&gt;&lt;/FQL&gt;&lt;FQL&gt;&lt;Q&gt;FIX-US^P_BETA_LOCIDX(45652,45481,,"SPX")&lt;/Q&gt;&lt;R&gt;1&lt;/R&gt;&lt;C&gt;1&lt;/C&gt;&lt;D xsi:type="xsd:double"&gt;2.2309008&lt;/D&gt;&lt;/FQL&gt;&lt;FQL&gt;&lt;Q&gt;FIX-US^P_BETA_LOCIDX(45650,45478,,"SPX")&lt;/Q&gt;&lt;R&gt;1&lt;/R&gt;&lt;C&gt;1&lt;/C&gt;&lt;D xsi:type="xsd:double"&gt;2.2103086&lt;/D&gt;&lt;/FQL&gt;&lt;FQL&gt;&lt;Q&gt;FIX-US^P_BETA_LOCIDX(45649,45476,,"SPX")&lt;/Q&gt;&lt;R&gt;1&lt;/R&gt;&lt;C&gt;1&lt;/C&gt;&lt;D xsi:type="xsd:double"&gt;2.2544947&lt;/D&gt;&lt;/FQL&gt;&lt;FQL&gt;&lt;Q&gt;FIX-US^P_BETA_LOCIDX(45646,45475,,"SPX")&lt;/Q&gt;&lt;R&gt;1&lt;/R&gt;&lt;C&gt;1&lt;/C&gt;&lt;D xsi:type="xsd:double"&gt;2.2614534&lt;/D&gt;&lt;/FQL&gt;&lt;FQL&gt;&lt;Q&gt;FIX-US^P_BETA_LOCIDX(45645,45474,,"SPX")&lt;/Q&gt;&lt;R&gt;1&lt;/R&gt;&lt;C&gt;1&lt;/C&gt;&lt;D xsi:type="xsd:double"&gt;2.2735894&lt;/D&gt;&lt;/FQL&gt;&lt;FQL&gt;&lt;Q&gt;FIX-US^P_BETA_LOCIDX(45644,45471,,"SPX")&lt;/Q&gt;&lt;R&gt;1&lt;/R&gt;&lt;C&gt;1&lt;/C&gt;&lt;D xsi:type="xsd:double"&gt;2.2887404&lt;/D&gt;&lt;/FQL&gt;&lt;FQL&gt;&lt;Q&gt;FIX-US^P_BETA_LOCIDX(45643,45470,,"SPX")&lt;/Q&gt;&lt;R&gt;1&lt;/R&gt;&lt;C&gt;1&lt;/C&gt;&lt;D xsi:type="xsd:double"&gt;2.3530655&lt;/D&gt;&lt;/FQL&gt;&lt;FQL&gt;&lt;Q&gt;FIX-US^P_BETA_LOCIDX(45642,45469,,"SPX")&lt;/Q&gt;&lt;R&gt;1&lt;/R&gt;&lt;C&gt;1&lt;/C&gt;&lt;D xsi:type="xsd:double"&gt;2.3450549&lt;/D&gt;&lt;/FQL&gt;&lt;FQL&gt;&lt;Q&gt;FIX-US^P_BETA_LOCIDX(45639,45468,,"SPX")&lt;/Q&gt;&lt;R&gt;1&lt;/R&gt;&lt;C&gt;1&lt;/C&gt;&lt;D xsi:type="xsd:double"&gt;2.347546&lt;/D&gt;&lt;/FQL&gt;&lt;FQL&gt;&lt;Q&gt;FIX-US^P_BETA_LOCIDX(45638,45467,,"SPX")&lt;/Q&gt;&lt;R&gt;1&lt;/R&gt;&lt;C&gt;1&lt;/C&gt;&lt;D xsi:type="xsd:double"&gt;2.3408692&lt;/D&gt;&lt;/FQL&gt;&lt;FQL&gt;&lt;Q&gt;FIX-US^P_BETA_LOCIDX(45637,45464,,"SPX")&lt;/Q&gt;&lt;R&gt;1&lt;/R&gt;&lt;C&gt;1&lt;/C&gt;&lt;D xsi:type="xsd:double"&gt;2.3486192&lt;/D&gt;&lt;/FQL&gt;&lt;FQL&gt;&lt;Q&gt;FIX-US^P_BETA_LOCIDX(45636,45463,,"SPX")&lt;/Q&gt;&lt;R&gt;1&lt;/R&gt;&lt;C&gt;1&lt;/C&gt;&lt;D xsi:type="xsd:double"&gt;2.3460345&lt;/D&gt;&lt;/FQL&gt;&lt;FQL&gt;&lt;Q&gt;FIX-US^P_BETA_LOCIDX(45635,45461,,"SPX")&lt;/Q&gt;&lt;R&gt;1&lt;/R&gt;&lt;C&gt;1&lt;/C&gt;&lt;D xsi:type="xsd:double"&gt;2.3469086&lt;/D&gt;&lt;/FQL&gt;&lt;FQL&gt;&lt;Q&gt;FIX-US^P_BETA_LOCIDX(45632,45460,,"SPX")&lt;/Q&gt;&lt;R&gt;1&lt;/R&gt;&lt;C&gt;1&lt;/C&gt;&lt;D xsi:type="xsd:double"&gt;2.3060422&lt;/D&gt;&lt;/FQL&gt;&lt;FQL&gt;&lt;Q&gt;FIX-US^P_BETA_LOCIDX(45631,45457,,"SPX")&lt;/Q&gt;&lt;R&gt;1&lt;/R&gt;&lt;C&gt;1&lt;/C&gt;&lt;D xsi:type="xsd:double"&gt;2.3128648&lt;/D&gt;&lt;/FQL&gt;&lt;FQL&gt;&lt;Q&gt;FIX-US^P_BETA_LOCIDX(45630,45456,,"SPX")&lt;/Q&gt;&lt;R&gt;1&lt;/R&gt;&lt;C&gt;1&lt;/C&gt;&lt;D xsi:type="xsd:double"&gt;2.3130524&lt;/D&gt;&lt;/FQL&gt;&lt;FQL&gt;&lt;Q&gt;FIX-US^P_BETA_LOCIDX(45629,45455,,"SPX")&lt;/Q&gt;&lt;R&gt;1&lt;/R&gt;&lt;C&gt;1&lt;/C&gt;&lt;D xsi:type="xsd:double"&gt;2.3477168&lt;/D&gt;&lt;/FQL&gt;&lt;FQL&gt;&lt;Q&gt;FIX-US^P_BETA_LOCIDX(45628,45454,,"SPX")&lt;/Q&gt;&lt;R&gt;1&lt;/R&gt;&lt;C&gt;1&lt;/C&gt;&lt;D xsi:type="xsd:double"&gt;2.342819&lt;/D&gt;&lt;/FQL&gt;&lt;FQL&gt;&lt;Q&gt;FIX-US^P_BETA_LOCIDX(45625,45453,,"SPX")&lt;/Q&gt;&lt;R&gt;1&lt;/R&gt;&lt;C&gt;1&lt;/C&gt;&lt;D xsi:type="xsd:double"&gt;2.3453782&lt;/D&gt;&lt;/FQL&gt;&lt;FQL&gt;&lt;Q&gt;FIX-US^P_BETA_LOCIDX(45623,45450,,"SPX")&lt;/Q&gt;&lt;R&gt;1&lt;/R&gt;&lt;C&gt;1&lt;/C&gt;&lt;D xsi:type="xsd:double"&gt;2.3463204&lt;/D&gt;&lt;/FQL&gt;&lt;FQL&gt;&lt;Q&gt;FIX-US^P_BETA_LOCIDX(45622,45449,,"SPX")&lt;/Q&gt;&lt;R&gt;1&lt;/R&gt;&lt;C&gt;1&lt;/C&gt;&lt;D xsi:type="xsd:double"&gt;2.3375938&lt;/D&gt;&lt;/FQL&gt;&lt;FQL&gt;&lt;Q&gt;FIX-US^P_BETA_LOCIDX(45621,45448,,"SPX")&lt;/Q&gt;&lt;R&gt;1&lt;/R&gt;&lt;C&gt;1&lt;/C&gt;&lt;D xsi:type="xsd:double"&gt;2.3754208&lt;/D&gt;&lt;/FQL&gt;&lt;FQL&gt;&lt;Q&gt;FIX-US^P_BETA_LOCIDX(45618,45447,,"SPX")&lt;/Q&gt;&lt;R&gt;1&lt;/R&gt;&lt;C&gt;1&lt;/C&gt;&lt;D xsi:type="xsd:double"&gt;2.3728101&lt;/D&gt;&lt;/FQL&gt;&lt;FQL&gt;&lt;Q&gt;FIX-US^P_BETA_LOCIDX(45617,45446,,"SPX")&lt;/Q&gt;&lt;R&gt;1&lt;/R&gt;&lt;C&gt;1&lt;/C&gt;&lt;D xsi:type="xsd:double"&gt;2.374554&lt;/D&gt;&lt;/FQL&gt;&lt;FQL&gt;&lt;Q&gt;FIX-US^P_BETA_LOCIDX(45616,45443,,"SPX")&lt;/Q&gt;&lt;R&gt;1&lt;/R&gt;&lt;C&gt;1&lt;/C&gt;&lt;D xsi:type="xsd:double"&gt;2.3328867&lt;/D&gt;&lt;/FQL&gt;&lt;FQL&gt;&lt;Q&gt;FIX-US^P_BETA_LOCIDX(45615,45442,,"SPX")&lt;/Q&gt;&lt;R&gt;1&lt;/R&gt;&lt;C&gt;1&lt;/C&gt;&lt;D xsi:type="xsd:double"&gt;2.3292677&lt;/D&gt;&lt;/FQL&gt;&lt;FQL&gt;&lt;Q&gt;FIX-US^P_BETA_LOCIDX(45614,45441,,"SPX")&lt;/Q&gt;&lt;R&gt;1&lt;/R&gt;&lt;C&gt;1&lt;/C&gt;&lt;D xsi:type="xsd:double"&gt;2.3027384&lt;/D&gt;&lt;/FQL&gt;&lt;FQL&gt;&lt;Q&gt;FIX-US^P_BETA_LOCIDX(45611,45440,,"SPX")&lt;/Q&gt;&lt;R&gt;1&lt;/R&gt;&lt;C&gt;1&lt;/C&gt;&lt;D xsi:type="xsd:double"&gt;2.3023174&lt;/D&gt;&lt;/FQL&gt;&lt;FQL&gt;&lt;Q&gt;FIX-US^P_BETA_LOCIDX(45610,45436,,"SPX")&lt;/Q&gt;&lt;R&gt;1&lt;/R&gt;&lt;C&gt;1&lt;/C&gt;&lt;D xsi:type="xsd:double"&gt;2.3835418&lt;/D&gt;&lt;/FQL&gt;&lt;FQL&gt;&lt;Q&gt;FIX-US^P_BETA_LOCIDX(45609,45435,,"SPX")&lt;/Q&gt;&lt;R&gt;1&lt;/R&gt;&lt;C&gt;1&lt;/C&gt;&lt;D xsi:type="xsd:double"&gt;2.360838&lt;/D&gt;&lt;/FQL&gt;&lt;FQL&gt;&lt;Q&gt;FIX-US^P_BETA_LOCIDX(45608,45434,,"SPX")&lt;/Q&gt;&lt;R&gt;1&lt;/R&gt;&lt;C&gt;1&lt;/C&gt;&lt;D xsi:type="xsd:double"&gt;2.3532887&lt;/D&gt;&lt;/FQL&gt;&lt;FQL&gt;&lt;Q&gt;FIX-US^P_BETA_LOCIDX(45607,45433,,"SPX")&lt;/Q&gt;&lt;R&gt;1&lt;/R&gt;&lt;C&gt;1&lt;/C&gt;&lt;D xsi:type="xsd:double"&gt;2.354372&lt;/D&gt;&lt;/FQL&gt;&lt;FQL&gt;&lt;Q&gt;FIX-US^P_BETA_LOCIDX(45604,45432,,"SPX")&lt;/Q&gt;&lt;R&gt;1&lt;/R&gt;&lt;C&gt;1&lt;/C&gt;&lt;D xsi:type="xsd:double"&gt;2.3542433&lt;/D&gt;&lt;/FQL&gt;&lt;FQL&gt;&lt;Q&gt;FIX-US^P_BETA_LOCIDX(45603,45429,,"SPX")&lt;/Q&gt;&lt;R&gt;1&lt;/R&gt;&lt;C&gt;1&lt;/C&gt;&lt;D xsi:type="xsd:double"&gt;2.3438957&lt;/D&gt;&lt;/FQL&gt;&lt;FQL&gt;&lt;Q&gt;FIX-US^P_BETA_LOCIDX(45602,45428,,"SPX")&lt;/Q&gt;&lt;R&gt;1&lt;/R&gt;&lt;C&gt;1&lt;/C&gt;&lt;D xsi:type="xsd:double"&gt;2.364072&lt;/D&gt;&lt;/FQL&gt;&lt;FQL&gt;&lt;Q&gt;FIX-US^P_BETA_LOCIDX(45601,45427,,"SPX")&lt;/Q&gt;&lt;R&gt;1&lt;/R&gt;&lt;C&gt;1&lt;/C&gt;&lt;D xsi:type="xsd:double"&gt;2.3366997&lt;/D&gt;&lt;/FQL&gt;&lt;FQL&gt;&lt;Q&gt;FIX-US^P_BETA_LOCIDX(45600,45426,,"SPX")&lt;/Q&gt;&lt;R&gt;1&lt;/R&gt;&lt;C&gt;1&lt;/C&gt;&lt;D xsi:type="xsd:double"&gt;2.3002713&lt;/D&gt;&lt;/FQL&gt;&lt;FQL&gt;&lt;Q&gt;FIX-US^P_BETA_LOCIDX(45597,45425,,"SPX")&lt;/Q&gt;&lt;R&gt;1&lt;/R&gt;&lt;C&gt;1&lt;/C&gt;&lt;D xsi:type="xsd:double"&gt;2.3054044&lt;/D&gt;&lt;/FQL&gt;&lt;FQL&gt;&lt;Q&gt;FIX-US^P_BETA_LOCIDX(45596,45422,,"SPX")&lt;/Q&gt;&lt;R&gt;1&lt;/R&gt;&lt;C&gt;1&lt;/C&gt;&lt;D xsi:type="xsd:double"&gt;2.3066843&lt;/D&gt;&lt;/FQL&gt;&lt;FQL&gt;&lt;Q&gt;FIX-US^P_BETA_LOCIDX(45595,45421,,"SPX")&lt;/Q&gt;&lt;R&gt;1&lt;/R&gt;&lt;C&gt;1&lt;/C&gt;&lt;D xsi:type="xsd:double"&gt;2.4162235&lt;/D&gt;&lt;/FQL&gt;&lt;FQL&gt;&lt;Q&gt;FIX-US^P_BETA_LOCIDX(45594,45420,,"SPX")&lt;/Q&gt;&lt;R&gt;1&lt;/R&gt;&lt;C&gt;1&lt;/C&gt;&lt;D xsi:type="xsd:double"&gt;2.4116662&lt;/D&gt;&lt;/FQL&gt;&lt;FQL&gt;&lt;Q&gt;FIX-US^P_BETA_LOCIDX(45593,45419,,"SPX")&lt;/Q&gt;&lt;R&gt;1&lt;/R&gt;&lt;C&gt;1&lt;/C&gt;&lt;D xsi:type="xsd:double"&gt;2.4114811&lt;/D&gt;&lt;/FQL&gt;&lt;FQL&gt;&lt;Q&gt;FIX-US^P_BETA_LOCIDX(45590,45418,,"SPX")&lt;/Q&gt;&lt;R&gt;1&lt;/R&gt;&lt;C&gt;1&lt;/C&gt;&lt;D xsi:type="xsd:double"&gt;2.4504263&lt;/D&gt;&lt;/FQL&gt;&lt;FQL&gt;&lt;Q&gt;FIX-US^P_BETA_LOCIDX(45589,45415,,"SPX")&lt;/Q&gt;&lt;R&gt;1&lt;/R&gt;&lt;C&gt;1&lt;/C&gt;&lt;D xsi:type="xsd:double"&gt;2.4228246&lt;/D&gt;&lt;/FQL&gt;&lt;FQL&gt;&lt;Q&gt;FIX-US^P_BETA_LOCIDX(45588,45414,,"SPX")&lt;/Q&gt;&lt;R&gt;1&lt;/R&gt;&lt;C&gt;1&lt;/C&gt;&lt;D xsi:type="xsd:double"&gt;2.420013&lt;/D&gt;&lt;/FQL&gt;&lt;FQL&gt;&lt;Q&gt;FIX-US^P_BETA_LOCIDX(45587,45413,,"SPX")&lt;/Q&gt;&lt;R&gt;1&lt;/R&gt;&lt;C&gt;1&lt;/C&gt;&lt;D xsi:type="xsd:double"&gt;2.4496167&lt;/D&gt;&lt;/FQL&gt;&lt;FQL&gt;&lt;Q&gt;FIX-US^P_BETA_LOCIDX(45586,45412,,"SPX")&lt;/Q&gt;&lt;R&gt;1&lt;/R&gt;&lt;C&gt;1&lt;/C&gt;&lt;D xsi:type="xsd:double"&gt;2.3748477&lt;/D&gt;&lt;/FQL&gt;&lt;FQL&gt;&lt;Q&gt;FIX-US^P_BETA_LOCIDX(45583,45411,,"SPX")&lt;/Q&gt;&lt;R&gt;1&lt;/R&gt;&lt;C&gt;1&lt;/C&gt;&lt;D xsi:type="xsd:double"&gt;2.3872113&lt;/D&gt;&lt;/FQL&gt;&lt;FQL&gt;&lt;Q&gt;FIX-US^P_BETA_LOCIDX(45582,45408,,"SPX")&lt;/Q&gt;&lt;R&gt;1&lt;/R&gt;&lt;C&gt;1&lt;/C&gt;&lt;D xsi:type="xsd:double"&gt;2.332681&lt;/D&gt;&lt;/FQL&gt;&lt;FQL&gt;&lt;Q&gt;FIX-US^P_BETA_LOCIDX(45581,45407,,"SPX")&lt;/Q&gt;&lt;R&gt;1&lt;/R&gt;&lt;C&gt;1&lt;/C&gt;&lt;D xsi:type="xsd:double"&gt;2.3210924&lt;/D&gt;&lt;/FQL&gt;&lt;FQL&gt;&lt;Q&gt;FIX-US^P_BETA_LOCIDX(45580,45406,,"SPX")&lt;/Q&gt;&lt;R&gt;1&lt;/R&gt;&lt;C&gt;1&lt;/C&gt;&lt;D xsi:type="xsd:double"&gt;2.324538&lt;/D&gt;&lt;/FQL&gt;&lt;FQL&gt;&lt;Q&gt;FIX-US^P_BETA_LOCIDX(45579,45405,,"SPX")&lt;/Q&gt;&lt;R&gt;1&lt;/R&gt;&lt;C&gt;1&lt;/C&gt;&lt;D xsi:type="xsd:double"&gt;2.3502727&lt;/D&gt;&lt;/FQL&gt;&lt;FQL&gt;&lt;Q&gt;FIX-US^P_BETA_LOCIDX(45576,45404,,"SPX")&lt;/Q&gt;&lt;R&gt;1&lt;/R&gt;&lt;C&gt;1&lt;/C&gt;&lt;D xsi:type="xsd:double"&gt;2.353187&lt;/D&gt;&lt;/FQL&gt;&lt;FQL&gt;&lt;Q&gt;FIX-US^P_BETA_LOCIDX(45575,45401,,"SPX")&lt;/Q&gt;&lt;R&gt;1&lt;/R&gt;&lt;C&gt;1&lt;/C&gt;&lt;D xsi:type="xsd:double"&gt;2.3319345&lt;/D&gt;&lt;/FQL&gt;&lt;FQL&gt;&lt;Q&gt;FIX-US^P_BETA_LOCIDX(45574,45400,,"SPX")&lt;/Q&gt;&lt;R&gt;1&lt;/R&gt;&lt;C&gt;1&lt;/C&gt;&lt;D xsi:type="xsd:double"&gt;2.338529&lt;/D&gt;&lt;/FQL&gt;&lt;FQL&gt;&lt;Q&gt;FIX-US^P_BETA_LOCIDX(45573,45399,,"SPX")&lt;/Q&gt;&lt;R&gt;1&lt;/R&gt;&lt;C&gt;1&lt;/C&gt;&lt;D xsi:type="xsd:double"&gt;2.3410738&lt;/D&gt;&lt;/FQL&gt;&lt;FQL&gt;&lt;Q&gt;FIX-US^P_BETA_LOCIDX(45572,45398,,"SPX")&lt;/Q&gt;&lt;R&gt;1&lt;/R&gt;&lt;C&gt;1&lt;/C&gt;&lt;D xsi:type="xsd:double"&gt;2.3666208&lt;/D&gt;&lt;/FQL&gt;&lt;FQL&gt;&lt;Q&gt;FIX-US^P_BETA_LOCIDX(45569,45397,,"SPX")&lt;/Q&gt;&lt;R&gt;1&lt;/R&gt;&lt;C&gt;1&lt;/C&gt;&lt;D xsi:type="xsd:double"&gt;2.3817945&lt;/D&gt;&lt;/FQL&gt;&lt;FQL&gt;&lt;Q&gt;FIX-US^P_BETA_LOCIDX(45568,45394,,"SPX")&lt;/Q&gt;&lt;R&gt;1&lt;/R&gt;&lt;C&gt;1&lt;/C&gt;&lt;D xsi:type="xsd:double"&gt;2.336973&lt;/D&gt;&lt;/FQL&gt;&lt;FQL&gt;&lt;Q&gt;FIX-US^P_BETA_LOCIDX(45567,45393,,"SPX")&lt;/Q&gt;&lt;R&gt;1&lt;/R&gt;&lt;C&gt;1&lt;/C&gt;&lt;D xsi:type="xsd:double"&gt;2.3380022&lt;/D&gt;&lt;/FQL&gt;&lt;FQL&gt;&lt;Q&gt;FIX-US^P_BETA_LOCIDX(45566,45392,,"SPX")&lt;/Q&gt;&lt;R&gt;1&lt;/R&gt;&lt;C&gt;1&lt;/C&gt;&lt;D xsi:type="xsd:double"&gt;2.323578&lt;/D&gt;&lt;/FQL&gt;&lt;FQL&gt;&lt;Q&gt;FIX-US^P_BETA_LOCIDX(45565,45391,,"SPX")&lt;/Q&gt;&lt;R&gt;1&lt;/R&gt;&lt;C&gt;1&lt;/C&gt;&lt;D xsi:type="xsd:double"&gt;2.3424432&lt;/D&gt;&lt;/FQL&gt;&lt;FQL&gt;&lt;Q&gt;FIX-US^P_BETA_LOCIDX(45562,45390,,"SPX")&lt;/Q&gt;&lt;R&gt;1&lt;/R&gt;&lt;C&gt;1&lt;/C&gt;&lt;D xsi:type="xsd:double"&gt;2.3464634&lt;/D&gt;&lt;/FQL&gt;&lt;FQL&gt;&lt;Q&gt;FIX-US^P_BETA_LOCIDX(45561,45387,,"SPX")&lt;/Q&gt;&lt;R&gt;1&lt;/R&gt;&lt;C&gt;1&lt;/C&gt;&lt;D xsi:type="xsd:double"&gt;2.3530638&lt;/D&gt;&lt;/FQL&gt;&lt;FQL&gt;&lt;Q&gt;FIX-US^P_BETA_LOCIDX(45560,45386,,"SPX")&lt;/Q&gt;&lt;R&gt;1&lt;/R&gt;&lt;C&gt;1&lt;/C&gt;&lt;D xsi:type="xsd:double"&gt;2.3474097&lt;/D&gt;&lt;/FQL&gt;&lt;FQL&gt;&lt;Q&gt;FIX-US^P_BETA_LOCIDX(45559,45385,,"SPX")&lt;/Q&gt;&lt;R&gt;1&lt;/R&gt;&lt;C&gt;1&lt;/C&gt;&lt;D xsi:type="xsd:double"&gt;2.352624&lt;/D&gt;&lt;/FQL&gt;&lt;FQL&gt;&lt;Q&gt;FIX-US^P_BETA_LOCIDX(45558,45384,,"SPX")&lt;/Q&gt;&lt;R&gt;1&lt;/R&gt;&lt;C&gt;1&lt;/C&gt;&lt;D xsi:type="xsd:double"&gt;2.3538065&lt;/D&gt;&lt;/FQL&gt;&lt;FQL&gt;&lt;Q&gt;FIX-US^P_BETA_LOCIDX(45555,45383,,"SPX")&lt;/Q&gt;&lt;R&gt;1&lt;/R&gt;&lt;C&gt;1&lt;/C&gt;&lt;D xsi:type="xsd:double"&gt;2.350985&lt;/D&gt;&lt;/FQL&gt;&lt;FQL&gt;&lt;Q&gt;FIX-US^P_BETA_LOCIDX(45554,45379,,"SPX")&lt;/Q&gt;&lt;R&gt;1&lt;/R&gt;&lt;C&gt;1&lt;/C&gt;&lt;D xsi:type="xsd:double"&gt;2.3558831&lt;/D&gt;&lt;/FQL&gt;&lt;FQL&gt;&lt;Q&gt;FIX-US^P_BETA_LOCIDX(45553,45378,,"SPX")&lt;/Q&gt;&lt;R&gt;1&lt;/R&gt;&lt;C&gt;1&lt;/C&gt;&lt;D xsi:type="xsd:double"&gt;2.287791&lt;/D&gt;&lt;/FQL&gt;&lt;FQL&gt;&lt;Q&gt;FIX-US^P_BETA_LOCIDX(45552,45377,,"SPX")&lt;/Q&gt;&lt;R&gt;1&lt;/R&gt;&lt;C&gt;1&lt;/C&gt;&lt;D xsi:type="xsd:double"&gt;2.288337&lt;/D&gt;&lt;/FQL&gt;&lt;FQL&gt;&lt;Q&gt;FIX-US^P_BETA_LOCIDX(45551,45376,,"SPX")&lt;/Q&gt;&lt;R&gt;1&lt;/R&gt;&lt;C&gt;1&lt;/C&gt;&lt;D xsi:type="xsd:double"&gt;2.2896342&lt;/D&gt;&lt;/FQL&gt;&lt;FQL&gt;&lt;Q&gt;FIX-US^P_BETA_LOCIDX(45548,45373,,"SPX")&lt;/Q&gt;&lt;R&gt;1&lt;/R&gt;&lt;C&gt;1&lt;/C&gt;&lt;D xsi:type="xsd:double"&gt;2.2897341&lt;/D&gt;&lt;/FQL&gt;&lt;FQL&gt;&lt;Q&gt;FIX-US^P_BETA_LOCIDX(45547,45372,,"SPX")&lt;/Q&gt;&lt;R&gt;1&lt;/R&gt;&lt;C&gt;1&lt;/C&gt;&lt;D xsi:type="xsd:double"&gt;2.2887151&lt;/D&gt;&lt;/FQL&gt;&lt;FQL&gt;&lt;Q&gt;FIX-US^P_BETA_LOCIDX(45546,45371,,"SPX")&lt;/Q&gt;&lt;R&gt;1&lt;/R&gt;&lt;C&gt;1&lt;/C&gt;&lt;D xsi:type="xsd:double"&gt;2.2826834&lt;/D&gt;&lt;/FQL&gt;&lt;FQL&gt;&lt;Q&gt;FIX-US^P_BETA_LOCIDX(45545,45370,,"SPX")&lt;/Q&gt;&lt;R&gt;1&lt;/R&gt;&lt;C&gt;1&lt;/C&gt;&lt;D xsi:type="xsd:double"&gt;2.2439847&lt;/D&gt;&lt;/FQL&gt;&lt;FQL&gt;&lt;Q&gt;FIX-US^P_BETA_LOCIDX(45544,45369,,"SPX")&lt;/Q&gt;&lt;R&gt;1&lt;/R&gt;&lt;C&gt;1&lt;/C&gt;&lt;D xsi:type="xsd:double"&gt;2.229869&lt;/D&gt;&lt;/FQL&gt;&lt;FQL&gt;&lt;Q&gt;FIX-US^P_BETA_LOCIDX(45541,45366,,"SPX")&lt;/Q&gt;&lt;R&gt;1&lt;/R&gt;&lt;C&gt;1&lt;/C&gt;&lt;D xsi:type="xsd:double"&gt;2.2056553&lt;/D&gt;&lt;/FQL&gt;&lt;FQL&gt;&lt;Q&gt;FIX-US^P_BETA_LOCIDX(45540,45365,,"SPX")&lt;/Q&gt;&lt;R&gt;1&lt;/R&gt;&lt;C&gt;1&lt;/C&gt;&lt;D xsi:type="xsd:double"&gt;2.24934&lt;/D&gt;&lt;/FQL&gt;&lt;FQL&gt;&lt;Q&gt;FIX-US^P_BETA_LOCIDX(45539,45364,,"SPX")&lt;/Q&gt;&lt;R&gt;1&lt;/R&gt;&lt;C&gt;1&lt;/C&gt;&lt;D xsi:type="xsd:double"&gt;2.2438142&lt;/D&gt;&lt;/FQL&gt;&lt;FQL&gt;&lt;Q&gt;FIX-US^P_BETA_LOCIDX(45538,45363,,"SPX")&lt;/Q&gt;&lt;R&gt;1&lt;/R&gt;&lt;C&gt;1&lt;/C&gt;&lt;D xsi:type="xsd:double"&gt;2.2356417&lt;/D&gt;&lt;/FQL&gt;&lt;FQL&gt;&lt;Q&gt;FIX-US^P_BETA_LOCIDX(45534,45362,,"SPX")&lt;/Q&gt;&lt;R&gt;1&lt;/R&gt;&lt;C&gt;1&lt;/C&gt;&lt;D xsi:type="xsd:double"&gt;2.0764978&lt;/D&gt;&lt;/FQL&gt;&lt;FQL&gt;&lt;Q&gt;FIX-US^P_BETA_LOCIDX(45533,45359,,"SPX")&lt;/Q&gt;&lt;R&gt;1&lt;/R&gt;&lt;C&gt;1&lt;/C&gt;&lt;D xsi:type="xsd:double"&gt;2.0796168&lt;/D&gt;&lt;/FQL&gt;&lt;FQL&gt;&lt;Q&gt;FIX-US^P_BETA_LOCIDX(45532,45358,,"SPX")&lt;/Q&gt;&lt;R&gt;1&lt;/R&gt;&lt;C&gt;1&lt;/C&gt;&lt;D xsi:type="xsd:double"&gt;2.0599496&lt;/D&gt;&lt;/FQL&gt;&lt;FQL&gt;&lt;Q&gt;FIX-US^P_BETA_LOCIDX(45531,45357,,"SPX")&lt;/Q&gt;&lt;R&gt;1&lt;/R&gt;&lt;C&gt;1&lt;/C&gt;&lt;D xsi:type="xsd:double"&gt;2.0724688&lt;/D&gt;&lt;/FQL&gt;&lt;FQL&gt;&lt;Q&gt;FIX-US^P_BETA_LOCIDX(45530,45356,,"SPX")&lt;/Q&gt;&lt;R&gt;1&lt;/R&gt;&lt;C&gt;1&lt;/C&gt;&lt;D xsi:type="xsd:double"&gt;2.0658343&lt;/D&gt;&lt;/FQL&gt;&lt;FQL&gt;&lt;Q&gt;FIX-US^P_BETA_LOCIDX(45527,45355,,"SPX")&lt;/Q&gt;&lt;R&gt;1&lt;/R&gt;&lt;C&gt;1&lt;/C&gt;&lt;D xsi:type="xsd:double"&gt;2.0626798&lt;/D&gt;&lt;/FQL&gt;&lt;FQL&gt;&lt;Q&gt;FIX-US^P_BETA_LOCIDX(45526,45352,,"SPX")&lt;/Q&gt;&lt;R&gt;1&lt;/R&gt;&lt;C&gt;1&lt;/C&gt;&lt;D xsi:type="xsd:double"&gt;2.098473&lt;/D&gt;&lt;/FQL&gt;&lt;FQL&gt;&lt;Q&gt;FIX-US^P_BETA_LOCIDX(45525,45351,,"SPX")&lt;/Q&gt;&lt;R&gt;1&lt;/R&gt;&lt;C&gt;1&lt;/C&gt;&lt;D xsi:type="xsd:double"&gt;2.1129615&lt;/D&gt;&lt;/FQL&gt;&lt;FQL&gt;&lt;Q&gt;FIX-US^P_BETA_LOCIDX(45524,45350,,"SPX")&lt;/Q&gt;&lt;R&gt;1&lt;/R&gt;&lt;C&gt;1&lt;/C&gt;&lt;D xsi:type="xsd:double"&gt;2.0955632&lt;/D&gt;&lt;/FQL&gt;&lt;FQL&gt;&lt;Q&gt;FIX-US^P_BETA_LOCIDX(45523,45349,,"SPX")&lt;/Q&gt;&lt;R&gt;1&lt;/R&gt;&lt;C&gt;1&lt;/C&gt;&lt;D xsi:type="xsd:double"&gt;2.0969117&lt;/D&gt;&lt;/FQL&gt;&lt;FQL&gt;&lt;Q&gt;FIX-US^P_BETA_LOCIDX(45520,45348,,"SPX")&lt;/Q&gt;&lt;R&gt;1&lt;/R&gt;&lt;C&gt;1&lt;/C&gt;&lt;D xsi:type="xsd:double"&gt;2.0961611&lt;/D&gt;&lt;/FQL&gt;&lt;FQL&gt;&lt;Q&gt;FIX-US^P_BETA_LOCIDX(45519,45345,,"SPX")&lt;/Q&gt;&lt;R&gt;1&lt;/R&gt;&lt;C&gt;1&lt;/C&gt;&lt;D xsi:type="xsd:double"&gt;2.0938094&lt;/D&gt;&lt;/FQL&gt;&lt;FQL&gt;&lt;Q&gt;FIX-US^P_BETA_LOCIDX(45518,45344,,"SPX")&lt;/Q&gt;&lt;R&gt;1&lt;/R&gt;&lt;C&gt;1&lt;/C&gt;&lt;D xsi:type="xsd:double"&gt;2.063276&lt;/D&gt;&lt;/FQL&gt;&lt;FQL&gt;&lt;Q&gt;FIX-US^P_BETA_LOCIDX(45517,45343,,"SPX")&lt;/Q&gt;&lt;R&gt;1&lt;/R&gt;&lt;C&gt;1&lt;/C&gt;&lt;D xsi:type="xsd:double"&gt;2.0548563&lt;/D&gt;&lt;/FQL&gt;&lt;FQL&gt;&lt;Q&gt;FIX-US^P_BETA_LOCIDX(45516,45342,,"SPX")&lt;/Q&gt;&lt;R&gt;1&lt;/R&gt;&lt;C&gt;1&lt;/C&gt;&lt;D xsi:type="xsd:double"&gt;2.072049&lt;/D&gt;&lt;/FQL&gt;&lt;FQL&gt;&lt;Q&gt;FIX-US^P_BETA_LOCIDX(45513,45338,,"SPX")&lt;/Q&gt;&lt;R&gt;1&lt;/R&gt;&lt;C&gt;1&lt;/C&gt;&lt;D xsi:type="xsd:double"&gt;2.077379&lt;/D&gt;&lt;/FQL&gt;&lt;FQL&gt;&lt;Q&gt;FIX-US^P_BETA_LOCIDX(45512,45337,,"SPX")&lt;/Q&gt;&lt;R&gt;1&lt;/R&gt;&lt;C&gt;1&lt;/C&gt;&lt;D xsi:type="xsd:double"&gt;2.092259&lt;/D&gt;&lt;/FQL&gt;&lt;FQL&gt;&lt;Q&gt;FIX-US^P_BETA_LOCIDX(45511,45336,,"SPX")&lt;/Q&gt;&lt;R&gt;1&lt;/R&gt;&lt;C&gt;1&lt;/C&gt;&lt;D xsi:type="xsd:double"&gt;2.1120393&lt;/D&gt;&lt;/FQL&gt;&lt;FQL&gt;&lt;Q&gt;FIX-US^P_BETA_LOCIDX(45510,45335,,"SPX")&lt;/Q&gt;&lt;R&gt;1&lt;/R&gt;&lt;C&gt;1&lt;/C&gt;&lt;D xsi:type="xsd:double"&gt;2.0920258&lt;/D&gt;&lt;/FQL&gt;&lt;FQL&gt;&lt;Q&gt;FIX-US^P_BETA_LOCIDX(45509,45334,,"SPX")&lt;/Q&gt;&lt;R&gt;1&lt;/R&gt;&lt;C&gt;1&lt;/C&gt;&lt;D xsi:type="xsd:double"&gt;2.0821738&lt;/D&gt;&lt;/FQL&gt;&lt;FQL&gt;&lt;Q&gt;FIX-US^P_BETA_LOCIDX(45506,45331,,"SPX")&lt;/Q&gt;&lt;R&gt;1&lt;/R&gt;&lt;C&gt;1&lt;/C&gt;&lt;D xsi:type="xsd:double"&gt;2.281834&lt;/D&gt;&lt;/FQL&gt;&lt;FQL&gt;&lt;Q&gt;FIX-US^P_BETA_LOCIDX(45505,45330,,"SPX")&lt;/Q&gt;&lt;R&gt;1&lt;/R&gt;&lt;C&gt;1&lt;/C&gt;&lt;D xsi:type="xsd:double"&gt;2.2143776&lt;/D&gt;&lt;/FQL&gt;&lt;FQL&gt;&lt;Q&gt;FIX-US^P_BETA_LOCIDX(45504,45329,,"SPX")&lt;/Q&gt;&lt;R&gt;1&lt;/R&gt;&lt;C&gt;1&lt;/C&gt;&lt;D xsi:type="xsd:double"&gt;2.2461371&lt;/D&gt;&lt;/FQL&gt;&lt;FQL&gt;&lt;Q&gt;FIX-US^P_BETA_LOCIDX(45503,45328,,"SPX")&lt;/Q&gt;&lt;R&gt;1&lt;/R&gt;&lt;C&gt;1&lt;/C&gt;&lt;D xsi:type="xsd:double"&gt;2.1195943&lt;/D&gt;&lt;/FQL&gt;&lt;FQL&gt;&lt;Q&gt;FIX-US^P_BETA_LOCIDX(45502,45327,,"SPX")&lt;/Q&gt;&lt;R&gt;1&lt;/R&gt;&lt;C&gt;1&lt;/C&gt;&lt;D xsi:type="xsd:double"&gt;2.1202044&lt;/D&gt;&lt;/FQL&gt;&lt;FQL&gt;&lt;Q&gt;FIX-US^P_BETA_LOCIDX(45499,45324,,"SPX")&lt;/Q&gt;&lt;R&gt;1&lt;/R&gt;&lt;C&gt;1&lt;/C&gt;&lt;D xsi:type="xsd:double"&gt;2.1270607&lt;/D&gt;&lt;/FQL&gt;&lt;FQL&gt;&lt;Q&gt;FIX-US^P_BETA_LOCIDX(45498,45323,,"SPX")&lt;/Q&gt;&lt;R&gt;1&lt;/R&gt;&lt;C&gt;1&lt;/C&gt;&lt;D xsi:type="xsd:double"&gt;2.0802808&lt;/D&gt;&lt;/FQL&gt;&lt;FQL&gt;&lt;Q&gt;FIX-US^P_BETA_LOCIDX(45497,45322,,"SPX")&lt;/Q&gt;&lt;R&gt;1&lt;/R&gt;&lt;C&gt;1&lt;/C&gt;&lt;D xsi:type="xsd:double"&gt;2.034373&lt;/D&gt;&lt;/FQL&gt;&lt;FQL&gt;&lt;Q&gt;FIX-US^P_BETA_LOCIDX(45496,45321,,"SPX")&lt;/Q&gt;&lt;R&gt;1&lt;/R&gt;&lt;C&gt;1&lt;/C&gt;&lt;D xsi:type="xsd:double"&gt;1.8399822&lt;/D&gt;&lt;/FQL&gt;&lt;FQL&gt;&lt;Q&gt;FIX-US^P_BETA_LOCIDX(45495,45320,,"SPX")&lt;/Q&gt;&lt;R&gt;1&lt;/R&gt;&lt;C&gt;1&lt;/C&gt;&lt;D xsi:type="xsd:double"&gt;1.8693906&lt;/D&gt;&lt;/FQL&gt;&lt;FQL&gt;&lt;Q&gt;FIX-US^P_BETA_LOCIDX(45492,45317,,"SPX")&lt;/Q&gt;&lt;R&gt;1&lt;/R&gt;&lt;C&gt;1&lt;/C&gt;&lt;D xsi:type="xsd:double"&gt;1.8280096&lt;/D&gt;&lt;/FQL&gt;&lt;FQL&gt;&lt;Q&gt;FIX-US^P_BETA_LOCIDX(45491,45316,,"SPX")&lt;/Q&gt;&lt;R&gt;1&lt;/R&gt;&lt;C&gt;1&lt;/C&gt;&lt;D xsi:type="xsd:double"&gt;1.8691274&lt;/D&gt;&lt;/FQL&gt;&lt;FQL&gt;&lt;Q&gt;FIX-US^P_BETA_LOCIDX(45490,45315,,"SPX")&lt;/Q&gt;&lt;R&gt;1&lt;/R&gt;&lt;C&gt;1&lt;/C&gt;&lt;D xsi:type="xsd:double"&gt;1.8833001&lt;/D&gt;&lt;/FQL&gt;&lt;FQL&gt;&lt;Q&gt;FIX-US^P_BETA_LOCIDX(45489,45314,,"SPX")&lt;/Q&gt;&lt;R&gt;1&lt;/R&gt;&lt;C&gt;1&lt;/C&gt;&lt;D xsi:type="xsd:double"&gt;1.7079364&lt;/D&gt;&lt;/FQL&gt;&lt;FQL&gt;&lt;Q&gt;FIX-US^P_BETA_LOCIDX(45488,45313,,"SPX")&lt;/Q&gt;&lt;R&gt;1&lt;/R&gt;&lt;C&gt;1&lt;/C&gt;&lt;D xsi:type="xsd:double"&gt;1.7015103&lt;/D&gt;&lt;/FQL&gt;&lt;FQL&gt;&lt;Q&gt;FIX-US^P_BETA_LOCIDX(45485,45310,,"SPX")&lt;/Q&gt;&lt;R&gt;1&lt;/R&gt;&lt;C&gt;1&lt;/C&gt;&lt;D xsi:type="xsd:double"&gt;1.6572119&lt;/D&gt;&lt;/FQL&gt;&lt;FQL&gt;&lt;Q&gt;FIX-US^P_BETA_LOCIDX(45484,45309,,"SPX")&lt;/Q&gt;&lt;R&gt;1&lt;/R&gt;&lt;C&gt;1&lt;/C&gt;&lt;D xsi:type="xsd:double"&gt;1.6508828&lt;/D&gt;&lt;/FQL&gt;&lt;FQL&gt;&lt;Q&gt;FIX-US^P_BETA_LOCIDX(45483,45308,,"SPX")&lt;/Q&gt;&lt;R&gt;1&lt;/R&gt;&lt;C&gt;1&lt;/C&gt;&lt;D xsi:type="xsd:double"&gt;1.7214322&lt;/D&gt;&lt;/FQL&gt;&lt;FQL&gt;&lt;Q&gt;FIX-US^P_BETA_LOCIDX(45482,45307,,"SPX")&lt;/Q&gt;&lt;R&gt;1&lt;/R&gt;&lt;C&gt;1&lt;/C&gt;&lt;D xsi:type="xsd:double"&gt;1.706512&lt;/D&gt;&lt;/FQL&gt;&lt;FQL&gt;&lt;Q&gt;FIX-US^P_BETA_LOCIDX(45481,45303,,"SPX")&lt;/Q&gt;&lt;R&gt;1&lt;/R&gt;&lt;C&gt;1&lt;/C&gt;&lt;D xsi:type="xsd:double"&gt;1.7073741&lt;/D&gt;&lt;/FQL&gt;&lt;FQL&gt;&lt;Q&gt;FIX-US^P_BETA_LOCIDX(45478,45302,,"SPX")&lt;/Q&gt;&lt;R&gt;1&lt;/R&gt;&lt;C&gt;1&lt;/C&gt;&lt;D xsi:type="xsd:double"&gt;1.7024778&lt;/D&gt;&lt;/FQL&gt;&lt;FQL&gt;&lt;Q&gt;FIX-US^P_BETA_LOCIDX(45476,45301,,"SPX")&lt;/Q&gt;&lt;R&gt;1&lt;/R&gt;&lt;C&gt;1&lt;/C&gt;&lt;D xsi:type="xsd:double"&gt;1.7430232&lt;/D&gt;&lt;/FQL&gt;&lt;FQL&gt;&lt;Q&gt;FIX-US^P_BETA_LOCIDX(45475,45300,,"SPX")&lt;/Q&gt;&lt;R&gt;1&lt;/R&gt;&lt;C&gt;1&lt;/C&gt;&lt;D xsi:type="xsd:double"&gt;1.7059603&lt;/D&gt;&lt;/FQL&gt;&lt;FQL&gt;&lt;Q&gt;FIX-US^P_BETA_LOCIDX(45474,45299,,"SPX")&lt;/Q&gt;&lt;R&gt;1&lt;/R&gt;&lt;C&gt;1&lt;/C&gt;&lt;D xsi:type="xsd:double"&gt;1.6961876&lt;/D&gt;&lt;/FQL&gt;&lt;FQL&gt;&lt;Q&gt;FIX-US^P_BETA_LOCIDX(45471,45296,,"SPX")&lt;/Q&gt;&lt;R&gt;1&lt;/R&gt;&lt;C&gt;1&lt;/C&gt;&lt;D xsi:type="xsd:double"&gt;1.7044389&lt;/D&gt;&lt;/FQL&gt;&lt;FQL&gt;&lt;Q&gt;FIX-US^P_BETA_LOCIDX(45470,45295,,"SPX")&lt;/Q&gt;&lt;R&gt;1&lt;/R&gt;&lt;C&gt;1&lt;/C&gt;&lt;D xsi:type="xsd:double"&gt;1.6633211&lt;/D&gt;&lt;/FQL&gt;&lt;FQL&gt;&lt;Q&gt;FIX-US^P_BETA_LOCIDX(45469,45294,,"SPX")&lt;/Q&gt;&lt;R&gt;1&lt;/R&gt;&lt;C&gt;1&lt;/C&gt;&lt;D xsi:type="xsd:double"&gt;1.6953987&lt;/D&gt;&lt;/FQL&gt;&lt;FQL&gt;&lt;Q&gt;FIX-US^P_BETA_LOCIDX(45468,45293,,"SPX")&lt;/Q&gt;&lt;R&gt;1&lt;/R&gt;&lt;C&gt;1&lt;/C&gt;&lt;D xsi:type="xsd:double"&gt;1.7094363&lt;/D&gt;&lt;/FQL&gt;&lt;FQL&gt;&lt;Q&gt;FIX-US^P_BETA_LOCIDX(45467,45289,,"SPX")&lt;/Q&gt;&lt;R&gt;1&lt;/R&gt;&lt;C&gt;1&lt;/C&gt;&lt;D xsi:type="xsd:double"&gt;1.7098371&lt;/D&gt;&lt;/FQL&gt;&lt;FQL&gt;&lt;Q&gt;FIX-US^P_BETA_LOCIDX(45464,45288,,"SPX")&lt;/Q&gt;&lt;R&gt;1&lt;/R&gt;&lt;C&gt;1&lt;/C&gt;&lt;D xsi:type="xsd:double"&gt;1.7174916&lt;/D&gt;&lt;/FQL&gt;&lt;FQL&gt;&lt;Q&gt;FIX-US^P_BETA_LOCIDX(45463,45287,,"SPX")&lt;/Q&gt;&lt;R&gt;1&lt;/R&gt;&lt;C&gt;1&lt;/C&gt;&lt;D xsi:type="xsd:double"&gt;1.7080034&lt;/D&gt;&lt;/FQL&gt;&lt;FQL&gt;&lt;Q&gt;FIX-US^P_BETA_LOCIDX(45461,45286,,"SPX")&lt;/Q&gt;&lt;R&gt;1&lt;/R&gt;&lt;C&gt;1&lt;/C&gt;&lt;D xsi:type="xsd:double"&gt;1.6986314&lt;/D&gt;&lt;/FQL&gt;&lt;FQL&gt;&lt;Q&gt;FIX-US^P_BETA_LOCIDX(45460,45282,,"SPX")&lt;/Q&gt;&lt;R&gt;1&lt;/R&gt;&lt;C&gt;1&lt;/C&gt;&lt;D xsi:type="xsd:double"&gt;1.6962826&lt;/D&gt;&lt;/FQL&gt;&lt;FQL&gt;&lt;Q&gt;FIX-US^P_BETA_LOCIDX(45457,45281,,"SPX")&lt;/Q&gt;&lt;R&gt;1&lt;/R&gt;&lt;C&gt;1&lt;/C&gt;&lt;D xsi:type="xsd:double"&gt;1.6483232&lt;/D&gt;&lt;/FQL&gt;&lt;FQL&gt;&lt;Q&gt;FIX-US^P_BETA_LOCIDX(45456,45280,,"SPX")&lt;/Q&gt;&lt;R&gt;1&lt;/R&gt;&lt;C&gt;1&lt;/C&gt;&lt;D xsi:type="xsd:double"&gt;1.5807309&lt;/D&gt;&lt;/FQL&gt;&lt;FQL&gt;&lt;Q&gt;FIX-US^P_BETA_LOCIDX(45455,45279,,"SPX")&lt;/Q&gt;&lt;R&gt;1&lt;/R&gt;&lt;C&gt;1&lt;/C&gt;&lt;D xsi:type="xsd:double"&gt;1.5851909&lt;/D&gt;&lt;/FQL&gt;&lt;FQL&gt;&lt;Q&gt;FIX-US^P_BETA_LOCIDX(45454,45278,,"SPX")&lt;/Q&gt;&lt;R&gt;1&lt;/R&gt;&lt;C&gt;1&lt;/C&gt;&lt;D xsi:type="xsd:double"&gt;1.5241412&lt;/D&gt;&lt;/FQL&gt;&lt;FQL&gt;&lt;Q&gt;FIX-US^P_BETA_LOCIDX(45453,45275,,"SPX")&lt;/Q&gt;&lt;R&gt;1&lt;/R&gt;&lt;C&gt;1&lt;/C&gt;&lt;D xsi:type="xsd:double"&gt;1.5338346&lt;/D&gt;&lt;/FQL&gt;&lt;FQL&gt;&lt;Q&gt;FIX-US^P_BETA_LOCIDX(45450,45274,,"SPX")&lt;/Q&gt;&lt;R&gt;1&lt;/R&gt;&lt;C&gt;1&lt;/C&gt;&lt;D xsi:type="xsd:double"&gt;1.5374341&lt;/D&gt;&lt;/FQL&gt;&lt;FQL&gt;&lt;Q&gt;FIX-US^P_BETA_LOCIDX(45449,45273,,"SPX")&lt;/Q&gt;&lt;R&gt;1&lt;/R&gt;&lt;C&gt;1&lt;/C&gt;&lt;D xsi:type="xsd:double"&gt;1.5201824&lt;/D&gt;&lt;/FQL&gt;&lt;FQL&gt;&lt;Q&gt;FIX-US^P_BETA_LOCIDX(45448,45272,,"SPX")&lt;/Q&gt;&lt;R&gt;1&lt;/R&gt;&lt;C&gt;1&lt;/C&gt;&lt;D xsi:type="xsd:double"&gt;1.5092909&lt;/D&gt;&lt;/FQL&gt;&lt;FQL&gt;&lt;Q&gt;FIX-US^P_BETA_LOCIDX(45447,45271,,"SPX")&lt;/Q&gt;&lt;R&gt;1&lt;/R&gt;&lt;C&gt;1&lt;/C&gt;&lt;D xsi:type="xsd:double"&gt;1.434685&lt;/D&gt;&lt;/FQL&gt;&lt;FQL&gt;&lt;Q&gt;FIX-US^P_BETA_LOCIDX(45446,45268,,"SPX")&lt;/Q&gt;&lt;R&gt;1&lt;/R&gt;&lt;C&gt;1&lt;/C&gt;&lt;D xsi:type="xsd:double"&gt;1.4469241&lt;/D&gt;&lt;/FQL&gt;&lt;FQL&gt;&lt;Q&gt;FIX-US^P_BETA_LOCIDX(45443,45267,,"SPX")&lt;/Q&gt;&lt;R&gt;1&lt;/R&gt;&lt;C&gt;1&lt;/C&gt;&lt;D xsi:type="xsd:double"&gt;1.4439757&lt;/D&gt;&lt;/FQL&gt;&lt;FQL&gt;&lt;Q&gt;FIX-US^P_BETA_LOCIDX(45442,45266,,"SPX")&lt;/Q&gt;&lt;R&gt;1&lt;/R&gt;&lt;C&gt;1&lt;/C&gt;&lt;D xsi:type="xsd:double"&gt;1.4961431&lt;/D&gt;&lt;/FQL&gt;&lt;FQL&gt;&lt;Q&gt;FIX-US^P_BETA_LOCIDX(45441,45265,,"SPX")&lt;/Q&gt;&lt;R&gt;1&lt;/R&gt;&lt;C&gt;1&lt;/C&gt;&lt;D xsi:type="xsd:double"&gt;1.4944674&lt;/D&gt;&lt;/FQL&gt;&lt;FQL&gt;&lt;Q&gt;FIX-US^P_BETA_LOCIDX(45440,45264,,"SPX")&lt;/Q&gt;&lt;R&gt;1&lt;/R&gt;&lt;C&gt;1&lt;/C&gt;&lt;D xsi:type="xsd:double"&gt;1.5405332&lt;/D&gt;&lt;/FQL&gt;&lt;FQL&gt;&lt;Q&gt;FIX-US^P_BETA_LOCIDX(45436,45261,,"SPX")&lt;/Q&gt;&lt;R&gt;1&lt;/R&gt;&lt;C&gt;1&lt;/C&gt;&lt;D xsi:type="xsd:double"&gt;1.5411184&lt;/D&gt;&lt;/FQL&gt;&lt;FQL&gt;&lt;Q&gt;FIX-US^P_BETA_LOCIDX(45435,45260,,"SPX")&lt;/Q&gt;&lt;R&gt;1&lt;/R&gt;&lt;C&gt;1&lt;/C&gt;&lt;D xsi:type="xsd:double"&gt;1.5211618&lt;/D&gt;&lt;/FQL&gt;&lt;FQL&gt;&lt;Q&gt;FIX-US^P_BETA_LOCIDX(45434,45259,,"SPX")&lt;/Q&gt;&lt;R&gt;1&lt;/R&gt;&lt;C&gt;1&lt;/C&gt;&lt;D xsi:type="xsd:double"&gt;1.538481&lt;/D&gt;&lt;/FQL&gt;&lt;FQL&gt;&lt;Q&gt;FIX-US^P_BETA_LOCIDX(45433,45258,,"SPX")&lt;/Q&gt;&lt;R&gt;1&lt;/R&gt;&lt;C&gt;1&lt;/C&gt;&lt;D xsi:type="xsd:double"&gt;1.5455258&lt;/D&gt;&lt;/FQL&gt;&lt;FQL&gt;&lt;Q&gt;FIX-US^P_BETA_LOCIDX(45432,45257,,"SPX")&lt;/Q&gt;&lt;R&gt;1&lt;/R&gt;&lt;C&gt;1&lt;/C&gt;&lt;D xsi:type="xsd:double"&gt;1.5429664&lt;/D&gt;&lt;/FQL&gt;&lt;FQL&gt;&lt;Q&gt;FIX-US^P_BETA_LOCIDX(45429,45254,,"SPX")&lt;/Q&gt;&lt;R&gt;1&lt;/R&gt;&lt;C&gt;1&lt;/C&gt;&lt;D xsi:type="xsd:double"&gt;1.5434831&lt;/D&gt;&lt;/FQL&gt;&lt;FQL&gt;&lt;Q&gt;FIX-US^P_BETA_LOCIDX(45428,45252,,"SPX")&lt;/Q&gt;&lt;R&gt;1&lt;/R&gt;&lt;C&gt;1&lt;/C&gt;&lt;D xsi:type="xsd:double"&gt;1.5510341&lt;/D&gt;&lt;/FQL&gt;&lt;FQL&gt;&lt;Q&gt;FIX-US^P_BETA_LOCIDX(45427,45251,,"SPX")&lt;/Q&gt;&lt;R&gt;1&lt;/R&gt;&lt;C&gt;1&lt;/C&gt;&lt;D xsi:type="xsd:double"&gt;1.5237756&lt;/D&gt;&lt;/FQL&gt;&lt;FQL&gt;&lt;Q&gt;FIX-US^P_BETA_LOCIDX(45426,45250,,"SPX")&lt;/Q&gt;&lt;R&gt;1&lt;/R&gt;&lt;C&gt;1&lt;/C&gt;&lt;D xsi:type="xsd:double"&gt;1.5134414&lt;/D&gt;&lt;/FQL&gt;&lt;FQL&gt;&lt;Q&gt;FIX-US^P_BETA_LOCIDX(45425,45247,,"SPX")&lt;/Q&gt;&lt;R&gt;1&lt;/R&gt;&lt;C&gt;1&lt;/C&gt;&lt;D xsi:type="xsd:double"&gt;1.5163872&lt;/D&gt;&lt;/FQL&gt;&lt;FQL&gt;&lt;Q&gt;FIX-US^P_BETA_LOCIDX(45422,45246,,"SPX")&lt;/Q&gt;&lt;R&gt;1&lt;/R&gt;&lt;C&gt;1&lt;/C&gt;&lt;D xsi:type="xsd:double"&gt;1.5066878&lt;/D&gt;&lt;/FQL&gt;&lt;FQL&gt;&lt;Q&gt;FIX-US^P_BETA_LOCIDX(45421,45245,,"SPX")&lt;/Q&gt;&lt;R&gt;1&lt;/R&gt;&lt;C&gt;1&lt;/C&gt;&lt;D xsi:type="xsd:double"&gt;1.5065446&lt;/D&gt;&lt;/FQL&gt;&lt;FQL&gt;&lt;Q&gt;FIX-US^P_BETA_LOCIDX(45420,45244,,"SPX")&lt;/Q&gt;&lt;R&gt;1&lt;/R&gt;&lt;C&gt;1&lt;/C&gt;&lt;D xsi:type="xsd:double"&gt;1.6119225&lt;/D&gt;&lt;/FQL&gt;&lt;FQL&gt;&lt;Q&gt;FIX-US^P_BETA_LOCIDX(45419,45243,,"SPX")&lt;/Q&gt;&lt;R&gt;1&lt;/R&gt;&lt;C&gt;1&lt;/C&gt;&lt;D xsi:type="xsd:double"&gt;1.6105778&lt;/D&gt;&lt;/FQL&gt;&lt;FQL&gt;&lt;Q&gt;FIX-US^P_BETA_LOCIDX(45418,45240,,"SPX")&lt;/Q&gt;&lt;R&gt;1&lt;/R&gt;&lt;C&gt;1&lt;/C&gt;&lt;D xsi:type="xsd:double"&gt;1.5762212&lt;/D&gt;&lt;/FQL&gt;&lt;FQL&gt;&lt;Q&gt;FIX-US^P_BETA_LOCIDX(45415,45239,,"SPX")&lt;/Q&gt;&lt;R&gt;1&lt;/R&gt;&lt;C&gt;1&lt;/C&gt;&lt;D xsi:type="xsd:double"&gt;1.4928367&lt;/D&gt;&lt;/FQL&gt;&lt;FQL&gt;&lt;Q&gt;FIX-US^P_BETA_LOCIDX(45414,45238,,"SPX")&lt;/Q&gt;&lt;R&gt;1&lt;/R&gt;&lt;C&gt;1&lt;/C&gt;&lt;D xsi:type="xsd:double"&gt;1.4888214&lt;/D&gt;&lt;/FQL&gt;&lt;FQL&gt;&lt;Q&gt;FIX-US^P_BETA_LOCIDX(45413,45237,,"SPX")&lt;/Q&gt;&lt;R&gt;1&lt;/R&gt;&lt;C&gt;1&lt;/C&gt;&lt;D xsi:type="xsd:double"&gt;1.4816755&lt;/D&gt;&lt;/FQL&gt;&lt;FQL&gt;&lt;Q&gt;FIX-US^P_BETA_LOCIDX(45412,45236,,"SPX")&lt;/Q&gt;&lt;R&gt;1&lt;/R&gt;&lt;C&gt;1&lt;/C&gt;&lt;D xsi:type="xsd:double"&gt;1.4641864&lt;/D&gt;&lt;/FQL&gt;&lt;FQL&gt;&lt;Q&gt;FIX-US^P_BETA_LOCIDX(45411,45233,,"SPX")&lt;/Q&gt;&lt;R&gt;1&lt;/R&gt;&lt;C&gt;1&lt;/C&gt;&lt;D xsi:type="xsd:double"&gt;1.4913747&lt;/D&gt;&lt;/FQL&gt;&lt;FQL&gt;&lt;Q&gt;FIX-US^P_BETA_LOCIDX(45408,45232,,"SPX")&lt;/Q&gt;&lt;R&gt;1&lt;/R&gt;&lt;C&gt;1&lt;/C&gt;&lt;D xsi:type="xsd:double"&gt;1.4414003&lt;/D&gt;&lt;/FQL&gt;&lt;FQL&gt;&lt;Q&gt;FIX-US^P_BETA_LOCIDX(45407,45231,,"SPX")&lt;/Q&gt;&lt;R&gt;1&lt;/R&gt;&lt;C&gt;1&lt;/C&gt;&lt;D xsi:type="xsd:double"&gt;1.5076741&lt;/D&gt;&lt;/FQL&gt;&lt;FQL&gt;&lt;Q&gt;FIX-US^P_BETA_LOCIDX(45406,45230,,"SPX")&lt;/Q&gt;&lt;R&gt;1&lt;/R&gt;&lt;C&gt;1&lt;/C&gt;&lt;D xsi:type="xsd:double"&gt;1.5222408&lt;/D&gt;&lt;/FQL&gt;&lt;FQL&gt;&lt;Q&gt;FIX-US^P_BETA_LOCIDX(45405,45229,,"SPX")&lt;/Q&gt;&lt;R&gt;1&lt;/R&gt;&lt;C&gt;1&lt;/C&gt;&lt;D xsi:type="xsd:double"&gt;1.5214292&lt;/D&gt;&lt;/FQL&gt;&lt;FQL&gt;&lt;Q&gt;FIX-US^P_BETA_LOCIDX(45404,45226,,"SPX")&lt;/Q&gt;&lt;R&gt;1&lt;/R&gt;&lt;C&gt;1&lt;/C&gt;&lt;D xsi:type="xsd:double"&gt;1.3212496&lt;/D&gt;&lt;/FQL&gt;&lt;FQL&gt;&lt;Q&gt;FIX-US^P_BETA_LOCIDX(45401,45225,,"SPX")&lt;/Q&gt;&lt;R&gt;1&lt;/R&gt;&lt;C&gt;1&lt;/C&gt;&lt;D xsi:type="xsd:double"&gt;1.2746152&lt;/D&gt;&lt;/FQL&gt;&lt;FQL&gt;&lt;Q&gt;FIX-US^P_BETA_LOCIDX(45400,45224,,"SPX")&lt;/Q&gt;&lt;R&gt;1&lt;/R&gt;&lt;C&gt;1&lt;/C&gt;&lt;D xsi:type="xsd:double"&gt;1.2856574&lt;/D&gt;&lt;/FQL&gt;&lt;FQL&gt;&lt;Q&gt;FIX-US^P_BETA_LOCIDX(45399,45223,,"SPX")&lt;/Q&gt;&lt;R&gt;1&lt;/R&gt;&lt;C&gt;1&lt;/C&gt;&lt;D xsi:type="xsd:double"&gt;1.269372&lt;/D&gt;&lt;/FQL&gt;&lt;FQL&gt;&lt;Q&gt;FIX-US^P_BETA_LOCIDX(45398,45222,,"SPX")&lt;/Q&gt;&lt;R&gt;1&lt;/R&gt;&lt;C&gt;1&lt;/C&gt;&lt;D xsi:type="xsd:double"&gt;1.2605933&lt;/D&gt;&lt;/FQL&gt;&lt;FQL&gt;&lt;Q&gt;FIX-US^P_BETA_LOCIDX(45397,45219,,"SPX")&lt;/Q&gt;&lt;R&gt;1&lt;/R&gt;&lt;C&gt;1&lt;/C&gt;&lt;D xsi:type="xsd:double"&gt;1.2403884&lt;/D&gt;&lt;/FQL&gt;&lt;FQL&gt;&lt;Q&gt;FIX-US^P_BETA_LOCIDX(45394,45218,,"SPX")&lt;/Q&gt;&lt;R&gt;1&lt;/R&gt;&lt;C&gt;1&lt;/C&gt;&lt;D xsi:type="xsd:double"&gt;1.2667435&lt;/D&gt;&lt;/FQL&gt;&lt;FQL&gt;&lt;Q&gt;FIX-US^P_BETA_LOCIDX(45393,45217,,"SPX")&lt;/Q&gt;&lt;R&gt;1&lt;/R&gt;&lt;C&gt;1&lt;/C&gt;&lt;D xsi:type="xsd:double"&gt;1.3326864&lt;/D&gt;&lt;/FQL&gt;&lt;FQL&gt;&lt;Q&gt;FIX-US^P_BETA_LOCIDX(45392,45216,,"SPX")&lt;/Q&gt;&lt;R&gt;1&lt;/R&gt;&lt;C&gt;1&lt;/C&gt;&lt;D xsi:type="xsd:double"&gt;1.3215437&lt;/D&gt;&lt;/FQL&gt;&lt;FQL&gt;&lt;Q&gt;FIX-US^P_BETA_LOCIDX(45391,45215,,"SPX")&lt;/Q&gt;&lt;R&gt;1&lt;/R&gt;&lt;C&gt;1&lt;/C&gt;&lt;D xsi:type="xsd:double"&gt;1.3103459&lt;/D&gt;&lt;/FQL&gt;&lt;FQL&gt;&lt;Q&gt;FIX-US^P_BETA_LOCIDX(45390,45212,,"SPX")&lt;/Q&gt;&lt;R&gt;1&lt;/R&gt;&lt;C&gt;1&lt;/C&gt;&lt;D xsi:type="xsd:double"&gt;1.3458956&lt;/D&gt;&lt;/FQL&gt;&lt;FQL&gt;&lt;Q&gt;FIX-US^P_BETA_LOCIDX(45387,45211,,"SPX")&lt;/Q&gt;&lt;R&gt;1&lt;/R&gt;&lt;C&gt;1&lt;/C&gt;&lt;D xsi:type="xsd:double"&gt;1.3659235&lt;/D&gt;&lt;/FQL&gt;&lt;FQL&gt;&lt;Q&gt;FIX-US^P_BETA_LOCIDX(45386,45210,,"SPX")&lt;/Q&gt;&lt;R&gt;1&lt;/R&gt;&lt;C&gt;1&lt;/C&gt;&lt;D xsi:type="xsd:double"&gt;1.3372314&lt;/D&gt;&lt;/FQL&gt;&lt;FQL&gt;&lt;Q&gt;FIX-US^P_BETA_LOCIDX(45385,45209,,"SPX")&lt;/Q&gt;&lt;R&gt;1&lt;/R&gt;&lt;C&gt;1&lt;/C&gt;&lt;D xsi:type="xsd:double"&gt;1.299798&lt;/D&gt;&lt;/FQL&gt;&lt;FQL&gt;&lt;Q&gt;FIX-US^P_BETA_LOCIDX(45384,45208,,"SPX")&lt;/Q&gt;&lt;R&gt;1&lt;/R&gt;&lt;C&gt;1&lt;/C&gt;&lt;D xsi:type="xsd:double"&gt;1.2979078&lt;/D&gt;&lt;/FQL&gt;&lt;FQL&gt;&lt;Q&gt;FIX-US^P_BETA_LOCIDX(45383,45205,,"SPX")&lt;/Q&gt;&lt;R&gt;1&lt;/R&gt;&lt;C&gt;1&lt;/C&gt;&lt;D xsi:type="xsd:double"&gt;1.2781287&lt;/D&gt;&lt;/FQL&gt;&lt;FQL&gt;&lt;Q&gt;FIX-US^P_BETA_LOCIDX(45379,45204,,"SPX")&lt;/Q&gt;&lt;R&gt;1&lt;/R&gt;&lt;C&gt;1&lt;/C&gt;&lt;D xsi:type="xsd:double"&gt;1.2830846&lt;/D&gt;&lt;/FQL&gt;&lt;FQL&gt;&lt;Q&gt;FIX-US^P_BETA_LOCIDX(45378,45203,,"SPX")&lt;/Q&gt;&lt;R&gt;1&lt;/R&gt;&lt;C&gt;1&lt;/C&gt;&lt;D xsi:type="xsd:double"&gt;1.2751082&lt;/D&gt;&lt;/FQL&gt;&lt;FQL&gt;&lt;Q&gt;FIX-US^P_BETA_LOCIDX(45377,45202,,"SPX")&lt;/Q&gt;&lt;R&gt;1&lt;/R&gt;&lt;C&gt;1&lt;/C&gt;&lt;D xsi:type="xsd:double"&gt;1.2697347&lt;/D&gt;&lt;/FQL&gt;&lt;FQL&gt;&lt;Q&gt;FIX-US^P_BETA_LOCIDX(45376,45201,,"SPX")&lt;/Q&gt;&lt;R&gt;1&lt;/R&gt;&lt;C&gt;1&lt;/C&gt;&lt;D xsi:type="xsd:double"&gt;1.2752299&lt;/D&gt;&lt;/FQL&gt;&lt;FQL&gt;&lt;Q&gt;FIX-US^P_BETA_LOCIDX(45373,45198,,"SPX")&lt;/Q&gt;&lt;R&gt;1&lt;/R&gt;&lt;C&gt;1&lt;/C&gt;&lt;D xsi:type="xsd:double"&gt;1.2928352&lt;/D&gt;&lt;/FQL&gt;&lt;FQL&gt;&lt;Q&gt;FIX-US^P_BETA_LOCIDX(45372,45197,,"SPX")&lt;/Q&gt;&lt;R&gt;1&lt;/R&gt;&lt;C&gt;1&lt;/C&gt;&lt;D xsi:type="xsd:double"&gt;1.2965475&lt;/D&gt;&lt;/FQL&gt;&lt;FQL&gt;&lt;Q&gt;FIX-US^P_BETA_LOCIDX(45371,45196,,"SPX")&lt;/Q&gt;&lt;R&gt;1&lt;/R&gt;&lt;C&gt;1&lt;/C&gt;&lt;D xsi:type="xsd:double"&gt;1.288035&lt;/D&gt;&lt;/FQL&gt;&lt;FQL&gt;&lt;Q&gt;FIX-US^P_BETA_LOCIDX(45370,45195,,"SPX")&lt;/Q&gt;&lt;R&gt;1&lt;/R&gt;&lt;C&gt;1&lt;/C&gt;&lt;D xsi:type="xsd:double"&gt;1.2863058&lt;/D&gt;&lt;/FQL&gt;&lt;FQL&gt;&lt;Q&gt;FIX-US^P_BETA_LOCIDX(45369,45194,,"SPX")&lt;/Q&gt;&lt;R&gt;1&lt;/R&gt;&lt;C&gt;1&lt;/C&gt;&lt;D xsi:type="xsd:double"&gt;1.2911674&lt;/D&gt;&lt;/FQL&gt;&lt;FQL&gt;&lt;Q&gt;FIX-US^P_BETA_LOCIDX(45366,45191,,"SPX")&lt;/Q&gt;&lt;R&gt;1&lt;/R&gt;&lt;C&gt;1&lt;/C&gt;&lt;D xsi:type="xsd:double"&gt;1.2980192&lt;/D&gt;&lt;/FQL&gt;&lt;FQL&gt;&lt;Q&gt;FIX-US^P_BETA_LOCIDX(45365,45190,,"SPX")&lt;/Q&gt;&lt;R&gt;1&lt;/R&gt;&lt;C&gt;1&lt;/C&gt;&lt;D xsi:type="xsd:double"&gt;1.4094154&lt;/D&gt;&lt;/FQL&gt;&lt;FQL&gt;&lt;Q&gt;FIX-US^P_BETA_LOCIDX(45364,45189,,"SPX")&lt;/Q&gt;&lt;R&gt;1&lt;/R&gt;&lt;C&gt;1&lt;/C&gt;&lt;D xsi:type="xsd:double"&gt;1.4219754&lt;/D&gt;&lt;/FQL&gt;&lt;FQL&gt;&lt;Q&gt;FIX-US^P_BETA_LOCIDX(45363,45188,,"SPX")&lt;/Q&gt;&lt;R&gt;1&lt;/R&gt;&lt;C&gt;1&lt;/C&gt;&lt;D xsi:type="xsd:double"&gt;1.4232829&lt;/D&gt;&lt;/FQL&gt;&lt;FQL&gt;&lt;Q&gt;FIX-US^P_BETA_LOCIDX(45362,45187,,"SPX")&lt;/Q&gt;&lt;R&gt;1&lt;/R&gt;&lt;C&gt;1&lt;/C&gt;&lt;D xsi:type="xsd:double"&gt;1.4261286&lt;/D&gt;&lt;/FQL&gt;&lt;FQL&gt;&lt;Q&gt;FIX-US^P_BETA_LOCIDX(45359,45184,,"SPX")&lt;/Q&gt;&lt;R&gt;1&lt;/R&gt;&lt;C&gt;1&lt;/C&gt;&lt;D xsi:type="xsd:double"&gt;1.3940483&lt;/D&gt;&lt;/FQL&gt;&lt;FQL&gt;&lt;Q&gt;FIX-US^P_BETA_LOCIDX(45358,45183,,"SPX")&lt;/Q&gt;&lt;R&gt;1&lt;/R&gt;&lt;C&gt;1&lt;/C&gt;&lt;D xsi:type="xsd:double"&gt;1.3718439&lt;/D&gt;&lt;/FQL&gt;&lt;FQL&gt;&lt;Q&gt;FIX-US^P_BETA_LOCIDX(45357,45182,,"SPX")&lt;/Q&gt;&lt;R&gt;1&lt;/R&gt;&lt;C&gt;1&lt;/C&gt;&lt;D xsi:type="xsd:double"&gt;1.3911355&lt;/D&gt;&lt;/FQL&gt;&lt;FQL&gt;&lt;Q&gt;FIX-US^P_BETA_LOCIDX(45356,45181,,"SPX")&lt;/Q&gt;&lt;R&gt;1&lt;/R&gt;&lt;C&gt;1&lt;/C&gt;&lt;D xsi:type="xsd:double"&gt;1.3983406&lt;/D&gt;&lt;/FQL&gt;&lt;FQL&gt;&lt;Q&gt;FIX-US^P_BETA_LOCIDX(45355,45180,,"SPX")&lt;/Q&gt;&lt;R&gt;1&lt;/R&gt;&lt;C&gt;1&lt;/C&gt;&lt;D xsi:type="xsd:double"&gt;1.3849001&lt;/D&gt;&lt;/FQL&gt;&lt;FQL&gt;&lt;Q&gt;FIX-US^P_BETA_LOCIDX(45352,45177,,"SPX")&lt;/Q&gt;&lt;R&gt;1&lt;/R&gt;&lt;C&gt;1&lt;/C&gt;&lt;D xsi:type="xsd:double"&gt;1.3904427&lt;/D&gt;&lt;/FQL&gt;&lt;FQL&gt;&lt;Q&gt;FIX-US^P_BETA_LOCIDX(45351,45176,,"SPX")&lt;/Q&gt;&lt;R&gt;1&lt;/R&gt;&lt;C&gt;1&lt;/C&gt;&lt;D xsi:type="xsd:double"&gt;1.3742306&lt;/D&gt;&lt;/FQL&gt;&lt;FQL&gt;&lt;Q&gt;FIX-US^P_BETA_LOCIDX(45350,45175,,"SPX")&lt;/Q&gt;&lt;R&gt;1&lt;/R&gt;&lt;C&gt;1&lt;/C&gt;&lt;D xsi:type="xsd:double"&gt;1.3323513&lt;/D&gt;&lt;/FQL&gt;&lt;FQL&gt;&lt;Q&gt;FIX-US^P_BETA_LOCIDX(45349,45174,,"SPX")&lt;/Q&gt;&lt;R&gt;1&lt;/R&gt;&lt;C&gt;1&lt;/C&gt;&lt;D xsi:type="xsd:double"&gt;1.335894&lt;/D&gt;&lt;/FQL&gt;&lt;FQL&gt;&lt;Q&gt;FIX-US^P_BETA_LOCIDX(45348,45170,,"SPX")&lt;/Q&gt;&lt;R&gt;1&lt;/R&gt;&lt;C&gt;1&lt;/C&gt;&lt;D xsi:type="xsd:double"&gt;1.3343627&lt;/D&gt;&lt;/FQL&gt;&lt;FQL&gt;&lt;Q&gt;FIX-US^P_BETA_LOCIDX(45345,45169,,"SPX")&lt;/Q&gt;&lt;R&gt;1&lt;/R&gt;&lt;C&gt;1&lt;/C&gt;&lt;D xsi:type="xsd:double"&gt;1.3484812&lt;/D&gt;&lt;/FQL&gt;&lt;FQL&gt;&lt;Q&gt;FIX-US^P_BETA_LOCIDX(45344,45168,,"SPX")&lt;/Q&gt;&lt;R&gt;1&lt;/R&gt;&lt;C&gt;1&lt;/C&gt;&lt;D xsi:type="xsd:double"&gt;1.3568008&lt;/D&gt;&lt;/FQL&gt;&lt;FQL&gt;&lt;Q&gt;FIX-US^P_BETA_LOCIDX(45343,45167,,"SPX")&lt;/Q&gt;&lt;R&gt;1&lt;/R&gt;&lt;C&gt;1&lt;/C&gt;&lt;D xsi:type="xsd:double"&gt;1.3634713&lt;/D&gt;&lt;/FQL&gt;&lt;FQL&gt;&lt;Q&gt;FIX-US^P_BETA_LOCIDX(45342,45166,,"SPX")&lt;/Q&gt;&lt;R&gt;1&lt;/R&gt;&lt;C&gt;1&lt;/C&gt;&lt;D xsi:type="xsd:double"&gt;1.354234&lt;/D&gt;&lt;/FQL&gt;&lt;FQL&gt;&lt;Q&gt;FIX-US^P_BETA_LOCIDX(45338,45163,,"SPX")&lt;/Q&gt;&lt;R&gt;1&lt;/R&gt;&lt;C&gt;1&lt;/C&gt;&lt;D xsi:type="xsd:double"&gt;1.3570733&lt;/D&gt;&lt;/FQL&gt;&lt;FQL&gt;&lt;Q&gt;FIX-US^P_BETA_LOCIDX(45337,45162,,"SPX")&lt;/Q&gt;&lt;R&gt;1&lt;/R&gt;&lt;C&gt;1&lt;/C&gt;&lt;D xsi:type="xsd:double"&gt;1.3378011&lt;/D&gt;&lt;/FQL&gt;&lt;FQL&gt;&lt;Q&gt;FIX-US^P_BETA_LOCIDX(45336,45161,,"SPX")&lt;/Q&gt;&lt;R&gt;1&lt;/R&gt;&lt;C&gt;1&lt;/C&gt;&lt;D xsi:type="xsd:double"&gt;1.3314236&lt;/D&gt;&lt;/FQL&gt;&lt;FQL&gt;&lt;Q&gt;FIX-US^P_BETA_LOCIDX(45335,45160,,"SPX")&lt;/Q&gt;&lt;R&gt;1&lt;/R&gt;&lt;C&gt;1&lt;/C&gt;&lt;D xsi:type="xsd:double"&gt;1.2913194&lt;/D&gt;&lt;/FQL&gt;&lt;FQL&gt;&lt;Q&gt;FIX-US^P_BETA_LOCIDX(45334,45159,,"SPX")&lt;/Q&gt;&lt;R&gt;1&lt;/R&gt;&lt;C&gt;1&lt;/C&gt;&lt;D xsi:type="xsd:double"&gt;1.2657578&lt;/D&gt;&lt;/FQL&gt;&lt;FQL&gt;&lt;Q&gt;FIX-US^P_BETA_LOCIDX(45331,45156,,"SPX")&lt;/Q&gt;&lt;R&gt;1&lt;/R&gt;&lt;C&gt;1&lt;/C&gt;&lt;D xsi:type="xsd:double"&gt;1.2668072&lt;/D&gt;&lt;/FQL&gt;&lt;FQL&gt;&lt;Q&gt;FIX-US^P_BETA_LOCIDX(45330,45155,,"SPX")&lt;/Q&gt;&lt;R&gt;1&lt;/R&gt;&lt;C&gt;1&lt;/C&gt;&lt;D xsi:type="xsd:double"&gt;1.2909484&lt;/D&gt;&lt;/FQL&gt;&lt;FQL&gt;&lt;Q&gt;FIX-US^P_BETA_LOCIDX(45329,45154,,"SPX")&lt;/Q&gt;&lt;R&gt;1&lt;/R&gt;&lt;C&gt;1&lt;/C&gt;&lt;D xsi:type="xsd:double"&gt;1.2804055&lt;/D&gt;&lt;/FQL&gt;&lt;FQL&gt;&lt;Q&gt;FIX-US^P_BETA_LOCIDX(45328,45153,,"SPX")&lt;/Q&gt;&lt;R&gt;1&lt;/R&gt;&lt;C&gt;1&lt;/C&gt;&lt;D xsi:type="xsd:double"&gt;1.2321668&lt;/D&gt;&lt;/FQL&gt;&lt;FQL&gt;&lt;Q&gt;FIX-US^P_BETA_LOCIDX(45327,45152,,"SPX")&lt;/Q&gt;&lt;R&gt;1&lt;/R&gt;&lt;C&gt;1&lt;/C&gt;&lt;D xsi:type="xsd:double"&gt;1.2241874&lt;/D&gt;&lt;/FQL&gt;&lt;FQL&gt;&lt;Q&gt;FIX-US^P_BETA_LOCIDX(45324,45149,,"SPX")&lt;/Q&gt;&lt;R&gt;1&lt;/R&gt;&lt;C&gt;1&lt;/C&gt;&lt;D xsi:type="xsd:double"&gt;1.20551&lt;/D&gt;&lt;/FQL&gt;&lt;FQL&gt;&lt;Q&gt;FIX-US^P_BETA_LOCIDX(45323,45148,,"SPX")&lt;/Q&gt;&lt;R&gt;1&lt;/R&gt;&lt;C&gt;1&lt;/C&gt;&lt;D xsi:type="xsd:double"&gt;1.1861789&lt;/D&gt;&lt;/FQL&gt;&lt;FQL&gt;&lt;Q&gt;FIX-US^P_BETA_LOCIDX(45322,45147,,"SPX")&lt;/Q&gt;&lt;R&gt;1&lt;/R&gt;&lt;C&gt;1&lt;/C&gt;&lt;D xsi:type="xsd:double"&gt;1.1683812&lt;/D&gt;&lt;/FQL&gt;&lt;FQL&gt;&lt;Q&gt;FIX-US^P_BETA_LOCIDX(45321,45146,,"SPX")&lt;/Q&gt;&lt;R&gt;1&lt;/R&gt;&lt;C&gt;1&lt;/C&gt;&lt;D xsi:type="xsd:double"&gt;1.157117&lt;/D&gt;&lt;/FQL&gt;&lt;FQL&gt;&lt;Q&gt;FIX-US^P_BETA_LOCIDX(45320,45145,,"SPX")&lt;/Q&gt;&lt;R&gt;1&lt;/R&gt;&lt;C&gt;1&lt;/C&gt;&lt;D xsi:type="xsd:double"&gt;1.1775577&lt;/D&gt;&lt;/FQL&gt;&lt;FQL&gt;&lt;Q&gt;FIX-US^P_BETA_LOCIDX(45317,45142,,"SPX")&lt;/Q&gt;&lt;R&gt;1&lt;/R&gt;&lt;C&gt;1&lt;/C&gt;&lt;D xsi:type="xsd:double"&gt;1.150613&lt;/D&gt;&lt;/FQL&gt;&lt;FQL&gt;&lt;Q&gt;FIX-US^P_BETA_LOCIDX(45316,45141,,"SPX")&lt;/Q&gt;&lt;R&gt;1&lt;/R&gt;&lt;C&gt;1&lt;/C&gt;&lt;D xsi:type="xsd:double"&gt;1.1455485&lt;/D&gt;&lt;/FQL&gt;&lt;FQL&gt;&lt;Q&gt;FIX-US^P_BETA_LOCIDX(45315,45140,,"SPX")&lt;/Q&gt;&lt;R&gt;1&lt;/R&gt;&lt;C&gt;1&lt;/C&gt;&lt;D xsi:type="xsd:double"&gt;1.0871978&lt;/D&gt;&lt;/FQL&gt;&lt;FQL&gt;&lt;Q&gt;FIX-US^P_BETA_LOCIDX(45314,45139,,"SPX")&lt;/Q&gt;&lt;R&gt;1&lt;/R&gt;&lt;C&gt;1&lt;/C&gt;&lt;D xsi:type="xsd:double"&gt;1.0879308&lt;/D&gt;&lt;/FQL&gt;&lt;FQL&gt;&lt;Q&gt;FIX-US^P_BETA_LOCIDX(45313,45138,,"SPX")&lt;/Q&gt;&lt;R&gt;1&lt;/R&gt;&lt;C&gt;1&lt;/C&gt;&lt;D xsi:type="xsd:double"&gt;1.0981929&lt;/D&gt;&lt;/FQL&gt;&lt;FQL&gt;&lt;Q&gt;FIX-US^P_BETA_LOCIDX(45310,45135,,"SPX")&lt;/Q&gt;&lt;R&gt;1&lt;/R&gt;&lt;C&gt;1&lt;/C&gt;&lt;D xsi:type="xsd:double"&gt;1.146209&lt;/D&gt;&lt;/FQL&gt;&lt;FQL&gt;&lt;Q&gt;FIX-US^P_BETA_LOCIDX(45309,45134,,"SPX")&lt;/Q&gt;&lt;R&gt;1&lt;/R&gt;&lt;C&gt;1&lt;/C&gt;&lt;D xsi:type="xsd:double"&gt;1.1692507&lt;/D&gt;&lt;/FQL&gt;&lt;FQL&gt;&lt;Q&gt;FIX-US^P_BETA_LOCIDX(45308,45133,,"SPX")&lt;/Q&gt;&lt;R&gt;1&lt;/R&gt;&lt;C&gt;1&lt;/C&gt;&lt;D xsi:type="xsd:double"&gt;1.1716406&lt;/D&gt;&lt;/FQL&gt;&lt;FQL&gt;&lt;Q&gt;FIX-US^P_BETA_LOCIDX(45307,45132,,"SPX")&lt;/Q&gt;&lt;R&gt;1&lt;/R&gt;&lt;C&gt;1&lt;/C&gt;&lt;D xsi:type="xsd:double"&gt;1.1765147&lt;/D&gt;&lt;/FQL&gt;&lt;FQL&gt;&lt;Q&gt;FIX-US^P_BETA_LOCIDX(45303,45131,,"SPX")&lt;/Q&gt;&lt;R&gt;1&lt;/R&gt;&lt;C&gt;1&lt;/C&gt;&lt;D xsi:type="xsd:double"&gt;1.1792288&lt;/D&gt;&lt;/FQL&gt;&lt;FQL&gt;&lt;Q&gt;FIX-US^P_BETA_LOCIDX(45302,45128,,"SPX")&lt;/Q&gt;&lt;R&gt;1&lt;/R&gt;&lt;C&gt;1&lt;/C&gt;&lt;D xsi:type="xsd:double"&gt;1.1800112&lt;/D&gt;&lt;/FQL&gt;&lt;FQL&gt;&lt;Q&gt;FIX-US^P_BETA_LOCIDX(45301,45127,,"SPX")&lt;/Q&gt;&lt;R&gt;1&lt;/R&gt;&lt;C&gt;1&lt;/C&gt;&lt;D xsi:type="xsd:double"&gt;1.1962023&lt;/D&gt;&lt;/FQL&gt;&lt;FQL&gt;&lt;Q&gt;FIX-US^P_BETA_LOCIDX(45300,45126,,"SPX")&lt;/Q&gt;&lt;R&gt;1&lt;/R&gt;&lt;C&gt;1&lt;/C&gt;&lt;D xsi:type="xsd:double"&gt;1.1832527&lt;/D&gt;&lt;/FQL&gt;&lt;FQL&gt;&lt;Q&gt;FIX-US^P_BETA_LOCIDX(45299,45125,,"SPX")&lt;/Q&gt;&lt;R&gt;1&lt;/R&gt;&lt;C&gt;1&lt;/C&gt;&lt;D xsi:type="xsd:double"&gt;1.1985649&lt;/D&gt;&lt;/FQL&gt;&lt;FQL&gt;&lt;Q&gt;FIX-US^P_BETA_LOCIDX(45296,45124,,"SPX")&lt;/Q&gt;&lt;R&gt;1&lt;/R&gt;&lt;C&gt;1&lt;/C&gt;&lt;D xsi:type="xsd:double"&gt;1.2077122&lt;/D&gt;&lt;/FQL&gt;&lt;FQL&gt;&lt;Q&gt;FIX-US^P_BETA_LOCIDX(45295,45121,,"SPX")&lt;/Q&gt;&lt;R&gt;1&lt;/R&gt;&lt;C&gt;1&lt;/C&gt;&lt;D xsi:type="xsd:double"&gt;1.2130849&lt;/D&gt;&lt;/FQL&gt;&lt;FQL&gt;&lt;Q&gt;FIX-US^P_BETA_LOCIDX(45294,45120,,"SPX")&lt;/Q&gt;&lt;R&gt;1&lt;/R&gt;&lt;C&gt;1&lt;/C&gt;&lt;D xsi:type="xsd:double"&gt;1.216682&lt;/D&gt;&lt;/FQL&gt;&lt;FQL&gt;&lt;Q&gt;FIX-US^P_BETA_LOCIDX(45293,45119,,"SPX")&lt;/Q&gt;&lt;R&gt;1&lt;/R&gt;&lt;C&gt;1&lt;/C&gt;&lt;D xsi:type="xsd:double"&gt;1.1813434&lt;/D&gt;&lt;/FQL&gt;&lt;FQL&gt;&lt;Q&gt;FIX-US^P_BETA_LOCIDX(45289,45118,,"SPX")&lt;/Q&gt;&lt;R&gt;1&lt;/R&gt;&lt;C&gt;1&lt;/C&gt;&lt;D xsi:type="xsd:double"&gt;1.165408&lt;/D&gt;&lt;/FQL&gt;&lt;FQL&gt;&lt;Q&gt;FIX-US^P_BETA_LOCIDX(45288,45117,,"SPX")&lt;/Q&gt;&lt;R&gt;1&lt;/R&gt;&lt;C&gt;1&lt;/C&gt;&lt;D xsi:type="xsd:double"&gt;1.1688254&lt;/D&gt;&lt;/FQL&gt;&lt;FQL&gt;&lt;Q&gt;FIX-US^P_BETA_LOCIDX(45287,45114,,"SPX")&lt;/Q&gt;&lt;R&gt;1&lt;/R&gt;&lt;C&gt;1&lt;/C&gt;&lt;D xsi:type="xsd:double"&gt;1.1672714&lt;/D&gt;&lt;/FQL&gt;&lt;FQL&gt;&lt;Q&gt;FIX-US^P_BETA_LOCIDX(45286,45113,,"SPX")&lt;/Q&gt;&lt;R&gt;1&lt;/R&gt;&lt;C&gt;1&lt;/C&gt;&lt;D xsi:type="xsd:double"&gt;1.1758592&lt;/D&gt;&lt;/FQL&gt;&lt;FQL&gt;&lt;Q&gt;FIX-US^P_BETA_LOCIDX(45282,45112,,"SPX")&lt;/Q&gt;&lt;R&gt;1&lt;/R&gt;&lt;C&gt;1&lt;/C&gt;&lt;D xsi:type="xsd:double"&gt;1.1811916&lt;/D&gt;&lt;/FQL&gt;&lt;FQL&gt;&lt;Q&gt;FIX-US^P_BETA_LOCIDX(45281,45110,,"SPX")&lt;/Q&gt;&lt;R&gt;1&lt;/R&gt;&lt;C&gt;1&lt;/C&gt;&lt;D xsi:type="xsd:double"&gt;1.1806393&lt;/D&gt;&lt;/FQL&gt;&lt;FQL&gt;&lt;Q&gt;FIX-US^P_BETA_LOCIDX(45280,45107,,"SPX")&lt;/Q&gt;&lt;R&gt;1&lt;/R&gt;&lt;C&gt;1&lt;/C&gt;&lt;D xsi:type="xsd:double"&gt;1.1543512&lt;/D&gt;&lt;/FQL&gt;&lt;FQL&gt;&lt;Q&gt;FIX-US^P_BETA_LOCIDX(45279,45106,,"SPX")&lt;/Q&gt;&lt;R&gt;1&lt;/R&gt;&lt;C&gt;1&lt;/C&gt;&lt;D xsi:type="xsd:double"&gt;1.2051823&lt;/D&gt;&lt;/FQL&gt;&lt;FQL&gt;&lt;Q&gt;FIX-US^P_BETA_LOCIDX(45278,45105,,"SPX")&lt;/Q&gt;&lt;R&gt;1&lt;/R&gt;&lt;C&gt;1&lt;/C&gt;&lt;D xsi:type="xsd:double"&gt;1.1967655&lt;/D&gt;&lt;/FQL&gt;&lt;FQL&gt;&lt;Q&gt;FIX-US^P_BETA_LOCIDX(45275,45104,,"SPX")&lt;/Q&gt;&lt;R&gt;1&lt;/R&gt;&lt;C&gt;1&lt;/C&gt;&lt;D xsi:type="xsd:double"&gt;1.1870946&lt;/D&gt;&lt;/FQL&gt;&lt;FQL&gt;&lt;Q&gt;FIX-US^P_BETA_LOCIDX(45274,45103,,"SPX")&lt;/Q&gt;&lt;R&gt;1&lt;/R&gt;&lt;C&gt;1&lt;/C&gt;&lt;D xsi:type="xsd:double"&gt;1.1804676&lt;/D&gt;&lt;/FQL&gt;&lt;FQL&gt;&lt;Q&gt;FIX-US^P_BETA_LOCIDX(45273,45100,,"SPX")&lt;/Q&gt;&lt;R&gt;1&lt;/R&gt;&lt;C&gt;1&lt;/C&gt;&lt;D xsi:type="xsd:double"&gt;1.1772784&lt;/D&gt;&lt;/FQL&gt;&lt;FQL&gt;&lt;Q&gt;FIX-US^P_BETA_LOCIDX(45272,45099,,"SPX")&lt;/Q&gt;&lt;R&gt;1&lt;/R&gt;&lt;C&gt;1&lt;/C&gt;&lt;D xsi:type="xsd:double"&gt;1.1723856&lt;/D&gt;&lt;/FQL&gt;&lt;FQL&gt;&lt;Q&gt;FIX-US^P_BETA_LOCIDX(45271,45098,,"SPX")&lt;/Q&gt;&lt;R&gt;1&lt;/R&gt;&lt;C&gt;1&lt;/C&gt;&lt;D xsi:type="xsd:double"&gt;1.1401759&lt;/D&gt;&lt;/FQL&gt;&lt;FQL&gt;&lt;Q&gt;FIX-US^P_BETA_LOCIDX(45268,45097,,"SPX")&lt;/Q&gt;&lt;R&gt;1&lt;/R&gt;&lt;C&gt;1&lt;/C&gt;&lt;D xsi:type="xsd:double"&gt;1.1436921&lt;/D&gt;&lt;/FQL&gt;&lt;FQL&gt;&lt;Q&gt;FIX-US^P_BETA_LOCIDX(45267,45093,,"SPX")&lt;/Q&gt;&lt;R&gt;1&lt;/R&gt;&lt;C&gt;1&lt;/C&gt;&lt;D xsi:type="xsd:double"&gt;1.1336263&lt;/D&gt;&lt;/FQL&gt;&lt;FQL&gt;&lt;Q&gt;FIX-US^P_BETA_LOCIDX(45266,45092,,"SPX")&lt;/Q&gt;&lt;R&gt;1&lt;/R&gt;&lt;C&gt;1&lt;/C&gt;&lt;D xsi:type="xsd:double"&gt;1.1295538&lt;/D&gt;&lt;/FQL&gt;&lt;FQL&gt;&lt;Q&gt;FIX-US^P_BETA_LOCIDX(45265,45091,,"SPX")&lt;/Q&gt;&lt;R&gt;1&lt;/R&gt;&lt;C&gt;1&lt;/C&gt;&lt;D xsi:type="xsd:double"&gt;1.1248832&lt;/D&gt;&lt;/FQL&gt;&lt;FQL&gt;&lt;Q&gt;FIX-US^P_BETA_LOCIDX(45264,45090,,"SPX")&lt;/Q&gt;&lt;R&gt;1&lt;/R&gt;&lt;C&gt;1&lt;/C&gt;&lt;D xsi:type="xsd:double"&gt;1.1038246&lt;/D&gt;&lt;/FQL&gt;&lt;FQL&gt;&lt;Q&gt;FIX-US^P_BETA_LOCIDX(45261,45089,,"SPX")&lt;/Q&gt;&lt;R&gt;1&lt;/R&gt;&lt;C&gt;1&lt;/C&gt;&lt;D xsi:type="xsd:double"&gt;1.0769767&lt;/D&gt;&lt;/FQL&gt;&lt;FQL&gt;&lt;Q&gt;FIX-US^P_BETA_LOCIDX(45260,45086,,"SPX")&lt;/Q&gt;&lt;R&gt;1&lt;/R&gt;&lt;C&gt;1&lt;/C&gt;&lt;D xsi:type="xsd:double"&gt;1.0702411&lt;/D&gt;&lt;/FQL&gt;&lt;FQL&gt;&lt;Q&gt;FIX-US^P_BETA_LOCIDX(45259,45085,,"SPX")&lt;/Q&gt;&lt;R&gt;1&lt;/R&gt;&lt;C&gt;1&lt;/C&gt;&lt;D xsi:type="xsd:double"&gt;1.0607139&lt;/D&gt;&lt;/FQL&gt;&lt;FQL&gt;&lt;Q&gt;FIX-US^P_BETA_LOCIDX(45258,45084,,"SPX")&lt;/Q&gt;&lt;R&gt;1&lt;/R&gt;&lt;C&gt;1&lt;/C&gt;&lt;D xsi:type="xsd:double"&gt;1.0639732&lt;/D&gt;&lt;/FQL&gt;&lt;FQL&gt;&lt;Q&gt;FIX-US^P_BETA_LOCIDX(45257,45083,,"SPX")&lt;/Q&gt;&lt;R&gt;1&lt;/R&gt;&lt;C&gt;1&lt;/C&gt;&lt;D xsi:type="xsd:double"&gt;1.0778787&lt;/D&gt;&lt;/FQL&gt;&lt;FQL&gt;&lt;Q&gt;FIX-US^P_BETA_LOCIDX(45254,45082,,"SPX")&lt;/Q&gt;&lt;R&gt;1&lt;/R&gt;&lt;C&gt;1&lt;/C&gt;&lt;D xsi:type="xsd:double"&gt;1.0838693&lt;/D&gt;&lt;/FQL&gt;&lt;FQL&gt;&lt;Q&gt;FIX-US^P_BETA_LOCIDX(45252,45079,,"SPX")&lt;/Q&gt;&lt;R&gt;1&lt;/R&gt;&lt;C&gt;1&lt;/C&gt;&lt;D xsi:type="xsd:double"&gt;1.1369407&lt;/D&gt;&lt;/FQL&gt;&lt;FQL&gt;&lt;Q&gt;FIX-US^P_BETA_LOCIDX(45251,45078,,"SPX")&lt;/Q&gt;&lt;R&gt;1&lt;/R&gt;&lt;C&gt;1&lt;/C&gt;&lt;D xsi:type="xsd:double"&gt;1.1142058&lt;/D&gt;&lt;/FQL&gt;&lt;FQL&gt;&lt;Q&gt;FIX-US^P_BETA_LOCIDX(45250,45077,,"SPX")&lt;/Q&gt;&lt;R&gt;1&lt;/R&gt;&lt;C&gt;1&lt;/C&gt;&lt;D xsi:type="xsd:double"&gt;1.1284802&lt;/D&gt;&lt;/FQL&gt;&lt;FQL&gt;&lt;Q&gt;FIX-US^P_BETA_LOCIDX(45247,45076,,"SPX")&lt;/Q&gt;&lt;R&gt;1&lt;/R&gt;&lt;C&gt;1&lt;/C&gt;&lt;D xsi:type="xsd:double"&gt;1.1415056&lt;/D&gt;&lt;/FQL&gt;&lt;FQL&gt;&lt;Q&gt;FIX-US^P_BETA_LOCIDX(45246,45072,,"SPX")&lt;/Q&gt;&lt;R&gt;1&lt;/R&gt;&lt;C&gt;1&lt;/C&gt;&lt;D xsi:type="xsd:double"&gt;1.1104927&lt;/D&gt;&lt;/FQL&gt;&lt;FQL&gt;&lt;Q&gt;FIX-US^P_BETA_LOCIDX(45245,45071,,"SPX")&lt;/Q&gt;&lt;R&gt;1&lt;/R&gt;&lt;C&gt;1&lt;/C&gt;&lt;D xsi:type="xsd:double"&gt;1.1407523&lt;/D&gt;&lt;/FQL&gt;&lt;FQL&gt;&lt;Q&gt;FIX-US^P_BETA_LOCIDX(45244,45070,,"SPX")&lt;/Q&gt;&lt;R&gt;1&lt;/R&gt;&lt;C&gt;1&lt;/C&gt;&lt;D xsi:type="xsd:double"&gt;1.152409&lt;/D&gt;&lt;/FQL&gt;&lt;FQL&gt;&lt;Q&gt;FIX-US^P_BETA_LOCIDX(45243,45069,,"SPX")&lt;/Q&gt;&lt;R&gt;1&lt;/R&gt;&lt;C&gt;1&lt;/C&gt;&lt;D xsi:type="xsd:double"&gt;1.067074&lt;/D&gt;&lt;/FQL&gt;&lt;FQL&gt;&lt;Q&gt;FIX-US^P_BETA_LOCIDX(45240,45068,,"SPX")&lt;/Q&gt;&lt;R&gt;1&lt;/R&gt;&lt;C&gt;1&lt;/C&gt;&lt;D xsi:type="xsd:double"&gt;1.06862&lt;/D&gt;&lt;/FQL&gt;&lt;FQL&gt;&lt;Q&gt;FIX-US^P_BETA_LOCIDX(45239,45065,,"SPX")&lt;/Q&gt;&lt;R&gt;1&lt;/R&gt;&lt;C&gt;1&lt;/C&gt;&lt;D xsi:type="xsd:double"&gt;1.0847683&lt;/D&gt;&lt;/FQL&gt;&lt;FQL&gt;&lt;Q&gt;FIX-US^P_BETA_LOCIDX(45238,45064,,"SPX")&lt;/Q&gt;&lt;R&gt;1&lt;/R&gt;&lt;C&gt;1&lt;/C&gt;&lt;D xsi:type="xsd:double"&gt;1.1045628&lt;/D&gt;&lt;/FQL&gt;&lt;FQL&gt;&lt;Q&gt;FIX-US^P_BETA_LOCIDX(45237,45063,,"SPX")&lt;/Q&gt;&lt;R&gt;1&lt;/R</t>
        </r>
      </text>
    </comment>
    <comment ref="A25" authorId="0" shapeId="0" xr:uid="{1614793D-B658-4E10-B1FF-CAC9AFC34A42}">
      <text>
        <r>
          <rPr>
            <b/>
            <sz val="9"/>
            <color indexed="81"/>
            <rFont val="Tahoma"/>
            <family val="2"/>
          </rPr>
          <t>&gt;&lt;C&gt;1&lt;/C&gt;&lt;D xsi:type="xsd:double"&gt;1.087347&lt;/D&gt;&lt;/FQL&gt;&lt;FQL&gt;&lt;Q&gt;FIX-US^P_BETA_LOCIDX(45236,45062,,"SPX")&lt;/Q&gt;&lt;R&gt;1&lt;/R&gt;&lt;C&gt;1&lt;/C&gt;&lt;D xsi:type="xsd:double"&gt;1.0901883&lt;/D&gt;&lt;/FQL&gt;&lt;FQL&gt;&lt;Q&gt;FIX-US^P_BETA_LOCIDX(45233,45061,,"SPX")&lt;/Q&gt;&lt;R&gt;1&lt;/R&gt;&lt;C&gt;1&lt;/C&gt;&lt;D xsi:type="xsd:double"&gt;1.092454&lt;/D&gt;&lt;/FQL&gt;&lt;FQL&gt;&lt;Q&gt;FIX-US^P_BETA_LOCIDX(45232,45058,,"SPX")&lt;/Q&gt;&lt;R&gt;1&lt;/R&gt;&lt;C&gt;1&lt;/C&gt;&lt;D xsi:type="xsd:double"&gt;1.106134&lt;/D&gt;&lt;/FQL&gt;&lt;FQL&gt;&lt;Q&gt;FIX-US^P_BETA_LOCIDX(45231,45057,,"SPX")&lt;/Q&gt;&lt;R&gt;1&lt;/R&gt;&lt;C&gt;1&lt;/C&gt;&lt;D xsi:type="xsd:double"&gt;1.128019&lt;/D&gt;&lt;/FQL&gt;&lt;FQL&gt;&lt;Q&gt;FIX-US^P_BETA_LOCIDX(45230,45056,,"SPX")&lt;/Q&gt;&lt;R&gt;1&lt;/R&gt;&lt;C&gt;1&lt;/C&gt;&lt;D xsi:type="xsd:double"&gt;1.1272761&lt;/D&gt;&lt;/FQL&gt;&lt;FQL&gt;&lt;Q&gt;FIX-US^P_BETA_LOCIDX(45229,45055,,"SPX")&lt;/Q&gt;&lt;R&gt;1&lt;/R&gt;&lt;C&gt;1&lt;/C&gt;&lt;D xsi:type="xsd:double"&gt;1.118541&lt;/D&gt;&lt;/FQL&gt;&lt;FQL&gt;&lt;Q&gt;FIX-US^P_BETA_LOCIDX(45226,45054,,"SPX")&lt;/Q&gt;&lt;R&gt;1&lt;/R&gt;&lt;C&gt;1&lt;/C&gt;&lt;D xsi:type="xsd:double"&gt;1.1066403&lt;/D&gt;&lt;/FQL&gt;&lt;FQL&gt;&lt;Q&gt;FIX-US^P_BETA_LOCIDX(45225,45051,,"SPX")&lt;/Q&gt;&lt;R&gt;1&lt;/R&gt;&lt;C&gt;1&lt;/C&gt;&lt;D xsi:type="xsd:double"&gt;1.231167&lt;/D&gt;&lt;/FQL&gt;&lt;FQL&gt;&lt;Q&gt;FIX-US^P_BETA_LOCIDX(45224,45050,,"SPX")&lt;/Q&gt;&lt;R&gt;1&lt;/R&gt;&lt;C&gt;1&lt;/C&gt;&lt;D xsi:type="xsd:double"&gt;1.2785714&lt;/D&gt;&lt;/FQL&gt;&lt;FQL&gt;&lt;Q&gt;FIX-US^P_BETA_LOCIDX(45223,45049,,"SPX")&lt;/Q&gt;&lt;R&gt;1&lt;/R&gt;&lt;C&gt;1&lt;/C&gt;&lt;D xsi:type="xsd:double"&gt;1.2748227&lt;/D&gt;&lt;/FQL&gt;&lt;FQL&gt;&lt;Q&gt;FIX-US^P_BETA_LOCIDX(45222,45048,,"SPX")&lt;/Q&gt;&lt;R&gt;1&lt;/R&gt;&lt;C&gt;1&lt;/C&gt;&lt;D xsi:type="xsd:double"&gt;1.2112509&lt;/D&gt;&lt;/FQL&gt;&lt;FQL&gt;&lt;Q&gt;FIX-US^P_BETA_LOCIDX(45219,45047,,"SPX")&lt;/Q&gt;&lt;R&gt;1&lt;/R&gt;&lt;C&gt;1&lt;/C&gt;&lt;D xsi:type="xsd:double"&gt;1.2118993&lt;/D&gt;&lt;/FQL&gt;&lt;FQL&gt;&lt;Q&gt;FIX-US^P_BETA_LOCIDX(45218,45044,,"SPX")&lt;/Q&gt;&lt;R&gt;1&lt;/R&gt;&lt;C&gt;1&lt;/C&gt;&lt;D xsi:type="xsd:double"&gt;1.2289001&lt;/D&gt;&lt;/FQL&gt;&lt;FQL&gt;&lt;Q&gt;FIX-US^P_BETA_LOCIDX(45217,45043,,"SPX")&lt;/Q&gt;&lt;R&gt;1&lt;/R&gt;&lt;C&gt;1&lt;/C&gt;&lt;D xsi:type="xsd:double"&gt;1.4863034&lt;/D&gt;&lt;/FQL&gt;&lt;FQL&gt;&lt;Q&gt;FIX-US^P_BETA_LOCIDX(45216,45042,,"SPX")&lt;/Q&gt;&lt;R&gt;1&lt;/R&gt;&lt;C&gt;1&lt;/C&gt;&lt;D xsi:type="xsd:double"&gt;1.4440451&lt;/D&gt;&lt;/FQL&gt;&lt;FQL&gt;&lt;Q&gt;FIX-US^P_BETA_LOCIDX(45215,45041,,"SPX")&lt;/Q&gt;&lt;R&gt;1&lt;/R&gt;&lt;C&gt;1&lt;/C&gt;&lt;D xsi:type="xsd:double"&gt;1.4315888&lt;/D&gt;&lt;/FQL&gt;&lt;FQL&gt;&lt;Q&gt;FIX-US^P_BETA_LOCIDX(45212,45040,,"SPX")&lt;/Q&gt;&lt;R&gt;1&lt;/R&gt;&lt;C&gt;1&lt;/C&gt;&lt;D xsi:type="xsd:double"&gt;1.4416238&lt;/D&gt;&lt;/FQL&gt;&lt;FQL&gt;&lt;Q&gt;FIX-US^P_BETA_LOCIDX(45211,45037,,"SPX")&lt;/Q&gt;&lt;R&gt;1&lt;/R&gt;&lt;C&gt;1&lt;/C&gt;&lt;D xsi:type="xsd:double"&gt;1.4144826&lt;/D&gt;&lt;/FQL&gt;&lt;FQL&gt;&lt;Q&gt;FIX-US^P_BETA_LOCIDX(45210,45036,,"SPX")&lt;/Q&gt;&lt;R&gt;1&lt;/R&gt;&lt;C&gt;1&lt;/C&gt;&lt;D xsi:type="xsd:double"&gt;1.3672913&lt;/D&gt;&lt;/FQL&gt;&lt;FQL&gt;&lt;Q&gt;FIX-US^P_BETA_LOCIDX(45209,45035,,"SPX")&lt;/Q&gt;&lt;R&gt;1&lt;/R&gt;&lt;C&gt;1&lt;/C&gt;&lt;D xsi:type="xsd:double"&gt;1.3707099&lt;/D&gt;&lt;/FQL&gt;&lt;FQL&gt;&lt;Q&gt;FIX-US^P_BETA_LOCIDX(45208,45034,,"SPX")&lt;/Q&gt;&lt;R&gt;1&lt;/R&gt;&lt;C&gt;1&lt;/C&gt;&lt;D xsi:type="xsd:double"&gt;1.3817714&lt;/D&gt;&lt;/FQL&gt;&lt;FQL&gt;&lt;Q&gt;FIX-US^P_BETA_LOCIDX(45205,45033,,"SPX")&lt;/Q&gt;&lt;R&gt;1&lt;/R&gt;&lt;C&gt;1&lt;/C&gt;&lt;D xsi:type="xsd:double"&gt;1.3866208&lt;/D&gt;&lt;/FQL&gt;&lt;FQL&gt;&lt;Q&gt;FIX-US^P_BETA_LOCIDX(45204,45030,,"SPX")&lt;/Q&gt;&lt;R&gt;1&lt;/R&gt;&lt;C&gt;1&lt;/C&gt;&lt;D xsi:type="xsd:double"&gt;1.3914386&lt;/D&gt;&lt;/FQL&gt;&lt;FQL&gt;&lt;Q&gt;FIX-US^P_BETA_LOCIDX(45203,45029,,"SPX")&lt;/Q&gt;&lt;R&gt;1&lt;/R&gt;&lt;C&gt;1&lt;/C&gt;&lt;D xsi:type="xsd:double"&gt;1.3690434&lt;/D&gt;&lt;/FQL&gt;&lt;FQL&gt;&lt;Q&gt;FIX-US^P_BETA_LOCIDX(45202,45028,,"SPX")&lt;/Q&gt;&lt;R&gt;1&lt;/R&gt;&lt;C&gt;1&lt;/C&gt;&lt;D xsi:type="xsd:double"&gt;1.3692517&lt;/D&gt;&lt;/FQL&gt;&lt;FQL&gt;&lt;Q&gt;FIX-US^P_BETA_LOCIDX(45201,45027,,"SPX")&lt;/Q&gt;&lt;R&gt;1&lt;/R&gt;&lt;C&gt;1&lt;/C&gt;&lt;D xsi:type="xsd:double"&gt;1.3968827&lt;/D&gt;&lt;/FQL&gt;&lt;FQL&gt;&lt;Q&gt;FIX-US^P_BETA_LOCIDX(45198,45026,,"SPX")&lt;/Q&gt;&lt;R&gt;1&lt;/R&gt;&lt;C&gt;1&lt;/C&gt;&lt;D xsi:type="xsd:double"&gt;1.3962197&lt;/D&gt;&lt;/FQL&gt;&lt;FQL&gt;&lt;Q&gt;FIX-US^P_BETA_LOCIDX(45197,45022,,"SPX")&lt;/Q&gt;&lt;R&gt;1&lt;/R&gt;&lt;C&gt;1&lt;/C&gt;&lt;D xsi:type="xsd:double"&gt;1.3679066&lt;/D&gt;&lt;/FQL&gt;&lt;FQL&gt;&lt;Q&gt;FIX-US^P_BETA_LOCIDX(45196,45021,,"SPX")&lt;/Q&gt;&lt;R&gt;1&lt;/R&gt;&lt;C&gt;1&lt;/C&gt;&lt;D xsi:type="xsd:double"&gt;1.3850975&lt;/D&gt;&lt;/FQL&gt;&lt;FQL&gt;&lt;Q&gt;FIX-US^P_BETA_LOCIDX(45195,45020,,"SPX")&lt;/Q&gt;&lt;R&gt;1&lt;/R&gt;&lt;C&gt;1&lt;/C&gt;&lt;D xsi:type="xsd:double"&gt;1.4211226&lt;/D&gt;&lt;/FQL&gt;&lt;FQL&gt;&lt;Q&gt;FIX-US^P_BETA_LOCIDX(45194,45019,,"SPX")&lt;/Q&gt;&lt;R&gt;1&lt;/R&gt;&lt;C&gt;1&lt;/C&gt;&lt;D xsi:type="xsd:double"&gt;1.435633&lt;/D&gt;&lt;/FQL&gt;&lt;FQL&gt;&lt;Q&gt;FIX-US^P_BETA_LOCIDX(45191,45016,,"SPX")&lt;/Q&gt;&lt;R&gt;1&lt;/R&gt;&lt;C&gt;1&lt;/C&gt;&lt;D xsi:type="xsd:double"&gt;1.4395896&lt;/D&gt;&lt;/FQL&gt;&lt;FQL&gt;&lt;Q&gt;FIX-US^P_BETA_LOCIDX(45190,45015,,"SPX")&lt;/Q&gt;&lt;R&gt;1&lt;/R&gt;&lt;C&gt;1&lt;/C&gt;&lt;D xsi:type="xsd:double"&gt;1.4250393&lt;/D&gt;&lt;/FQL&gt;&lt;FQL&gt;&lt;Q&gt;FIX-US^P_BETA_LOCIDX(45189,45014,,"SPX")&lt;/Q&gt;&lt;R&gt;1&lt;/R&gt;&lt;C&gt;1&lt;/C&gt;&lt;D xsi:type="xsd:double"&gt;1.3346443&lt;/D&gt;&lt;/FQL&gt;&lt;FQL&gt;&lt;Q&gt;FIX-US^P_BETA_LOCIDX(45188,45013,,"SPX")&lt;/Q&gt;&lt;R&gt;1&lt;/R&gt;&lt;C&gt;1&lt;/C&gt;&lt;D xsi:type="xsd:double"&gt;1.3216658&lt;/D&gt;&lt;/FQL&gt;&lt;FQL&gt;&lt;Q&gt;FIX-US^P_BETA_LOCIDX(45187,45012,,"SPX")&lt;/Q&gt;&lt;R&gt;1&lt;/R&gt;&lt;C&gt;1&lt;/C&gt;&lt;D xsi:type="xsd:double"&gt;1.3189795&lt;/D&gt;&lt;/FQL&gt;&lt;FQL&gt;&lt;Q&gt;FIX-US^P_BETA_LOCIDX(45184,45009,,"SPX")&lt;/Q&gt;&lt;R&gt;1&lt;/R&gt;&lt;C&gt;1&lt;/C&gt;&lt;D xsi:type="xsd:double"&gt;1.323568&lt;/D&gt;&lt;/FQL&gt;&lt;FQL&gt;&lt;Q&gt;FIX-US^P_BETA_LOCIDX(45183,45008,,"SPX")&lt;/Q&gt;&lt;R&gt;1&lt;/R&gt;&lt;C&gt;1&lt;/C&gt;&lt;D xsi:type="xsd:double"&gt;1.3334556&lt;/D&gt;&lt;/FQL&gt;&lt;FQL&gt;&lt;Q&gt;FIX-US^P_BETA_LOCIDX(45182,45007,,"SPX")&lt;/Q&gt;&lt;R&gt;1&lt;/R&gt;&lt;C&gt;1&lt;/C&gt;&lt;D xsi:type="xsd:double"&gt;1.313835&lt;/D&gt;&lt;/FQL&gt;&lt;FQL&gt;&lt;Q&gt;FIX-US^P_BETA_LOCIDX(45181,45006,,"SPX")&lt;/Q&gt;&lt;R&gt;1&lt;/R&gt;&lt;C&gt;1&lt;/C&gt;&lt;D xsi:type="xsd:double"&gt;1.3071036&lt;/D&gt;&lt;/FQL&gt;&lt;FQL&gt;&lt;Q&gt;FIX-US^P_BETA_LOCIDX(45180,45005,,"SPX")&lt;/Q&gt;&lt;R&gt;1&lt;/R&gt;&lt;C&gt;1&lt;/C&gt;&lt;D xsi:type="xsd:double"&gt;1.3369733&lt;/D&gt;&lt;/FQL&gt;&lt;FQL&gt;&lt;Q&gt;FIX-US^P_BETA_LOCIDX(45177,45002,,"SPX")&lt;/Q&gt;&lt;R&gt;1&lt;/R&gt;&lt;C&gt;1&lt;/C&gt;&lt;D xsi:type="xsd:double"&gt;1.376838&lt;/D&gt;&lt;/FQL&gt;&lt;FQL&gt;&lt;Q&gt;FIX-US^P_BETA_LOCIDX(45176,45001,,"SPX")&lt;/Q&gt;&lt;R&gt;1&lt;/R&gt;&lt;C&gt;1&lt;/C&gt;&lt;D xsi:type="xsd:double"&gt;1.367185&lt;/D&gt;&lt;/FQL&gt;&lt;FQL&gt;&lt;Q&gt;FIX-US^P_BETA_LOCIDX(45175,45000,,"SPX")&lt;/Q&gt;&lt;R&gt;1&lt;/R&gt;&lt;C&gt;1&lt;/C&gt;&lt;D xsi:type="xsd:double"&gt;1.3979032&lt;/D&gt;&lt;/FQL&gt;&lt;FQL&gt;&lt;Q&gt;FIX-US^P_BETA_LOCIDX(45174,44999,,"SPX")&lt;/Q&gt;&lt;R&gt;1&lt;/R&gt;&lt;C&gt;1&lt;/C&gt;&lt;D xsi:type="xsd:double"&gt;1.4288013&lt;/D&gt;&lt;/FQL&gt;&lt;FQL&gt;&lt;Q&gt;FIX-US^P_BETA_LOCIDX(45170,44998,,"SPX")&lt;/Q&gt;&lt;R&gt;1&lt;/R&gt;&lt;C&gt;1&lt;/C&gt;&lt;D xsi:type="xsd:double"&gt;1.4414867&lt;/D&gt;&lt;/FQL&gt;&lt;FQL&gt;&lt;Q&gt;FIX-US^P_BETA_LOCIDX(45169,44995,,"SPX")&lt;/Q&gt;&lt;R&gt;1&lt;/R&gt;&lt;C&gt;1&lt;/C&gt;&lt;D xsi:type="xsd:double"&gt;1.4573555&lt;/D&gt;&lt;/FQL&gt;&lt;FQL&gt;&lt;Q&gt;FIX-US^P_BETA_LOCIDX(45168,44994,,"SPX")&lt;/Q&gt;&lt;R&gt;1&lt;/R&gt;&lt;C&gt;1&lt;/C&gt;&lt;D xsi:type="xsd:double"&gt;1.4577105&lt;/D&gt;&lt;/FQL&gt;&lt;FQL&gt;&lt;Q&gt;FIX-US^P_BETA_LOCIDX(45167,44993,,"SPX")&lt;/Q&gt;&lt;R&gt;1&lt;/R&gt;&lt;C&gt;1&lt;/C&gt;&lt;D xsi:type="xsd:double"&gt;1.4607152&lt;/D&gt;&lt;/FQL&gt;&lt;FQL&gt;&lt;Q&gt;FIX-US^P_BETA_LOCIDX(45166,44992,,"SPX")&lt;/Q&gt;&lt;R&gt;1&lt;/R&gt;&lt;C&gt;1&lt;/C&gt;&lt;D xsi:type="xsd:double"&gt;1.448095&lt;/D&gt;&lt;/FQL&gt;&lt;FQL&gt;&lt;Q&gt;FIX-US^P_BETA_LOCIDX(45163,44991,,"SPX")&lt;/Q&gt;&lt;R&gt;1&lt;/R&gt;&lt;C&gt;1&lt;/C&gt;&lt;D xsi:type="xsd:double"&gt;1.457388&lt;/D&gt;&lt;/FQL&gt;&lt;FQL&gt;&lt;Q&gt;FIX-US^P_BETA_LOCIDX(45162,44988,,"SPX")&lt;/Q&gt;&lt;R&gt;1&lt;/R&gt;&lt;C&gt;1&lt;/C&gt;&lt;D xsi:type="xsd:double"&gt;1.4591733&lt;/D&gt;&lt;/FQL&gt;&lt;FQL&gt;&lt;Q&gt;FIX-US^P_BETA_LOCIDX(45161,44987,,"SPX")&lt;/Q&gt;&lt;R&gt;1&lt;/R&gt;&lt;C&gt;1&lt;/C&gt;&lt;D xsi:type="xsd:double"&gt;1.4627187&lt;/D&gt;&lt;/FQL&gt;&lt;FQL&gt;&lt;Q&gt;FIX-US^P_BETA_LOCIDX(45160,44986,,"SPX")&lt;/Q&gt;&lt;R&gt;1&lt;/R&gt;&lt;C&gt;1&lt;/C&gt;&lt;D xsi:type="xsd:double"&gt;1.4495001&lt;/D&gt;&lt;/FQL&gt;&lt;FQL&gt;&lt;Q&gt;FIX-US^P_BETA_LOCIDX(45159,44985,,"SPX")&lt;/Q&gt;&lt;R&gt;1&lt;/R&gt;&lt;C&gt;1&lt;/C&gt;&lt;D xsi:type="xsd:double"&gt;1.458582&lt;/D&gt;&lt;/FQL&gt;&lt;FQL&gt;&lt;Q&gt;FIX-US^P_BETA_LOCIDX(45156,44984,,"SPX")&lt;/Q&gt;&lt;R&gt;1&lt;/R&gt;&lt;C&gt;1&lt;/C&gt;&lt;D xsi:type="xsd:double"&gt;1.4643793&lt;/D&gt;&lt;/FQL&gt;&lt;FQL&gt;&lt;Q&gt;FIX-US^P_BETA_LOCIDX(45155,44981,,"SPX")&lt;/Q&gt;&lt;R&gt;1&lt;/R&gt;&lt;C&gt;1&lt;/C&gt;&lt;D xsi:type="xsd:double"&gt;1.3275517&lt;/D&gt;&lt;/FQL&gt;&lt;FQL&gt;&lt;Q&gt;FIX-US^P_BETA_LOCIDX(45154,44980,,"SPX")&lt;/Q&gt;&lt;R&gt;1&lt;/R&gt;&lt;C&gt;1&lt;/C&gt;&lt;D xsi:type="xsd:double"&gt;1.3567294&lt;/D&gt;&lt;/FQL&gt;&lt;FQL&gt;&lt;Q&gt;FIX-US^P_BETA_LOCIDX(45153,44979,,"SPX")&lt;/Q&gt;&lt;R&gt;1&lt;/R&gt;&lt;C&gt;1&lt;/C&gt;&lt;D xsi:type="xsd:double"&gt;1.3661481&lt;/D&gt;&lt;/FQL&gt;&lt;FQL&gt;&lt;Q&gt;FIX-US^P_BETA_LOCIDX(45152,44978,,"SPX")&lt;/Q&gt;&lt;R&gt;1&lt;/R&gt;&lt;C&gt;1&lt;/C&gt;&lt;D xsi:type="xsd:double"&gt;1.4128717&lt;/D&gt;&lt;/FQL&gt;&lt;FQL&gt;&lt;Q&gt;FIX-US^P_BETA_LOCIDX(45149,44974,,"SPX")&lt;/Q&gt;&lt;R&gt;1&lt;/R&gt;&lt;C&gt;1&lt;/C&gt;&lt;D xsi:type="xsd:double"&gt;1.4127047&lt;/D&gt;&lt;/FQL&gt;&lt;FQL&gt;&lt;Q&gt;FIX-US^P_BETA_LOCIDX(45148,44973,,"SPX")&lt;/Q&gt;&lt;R&gt;1&lt;/R&gt;&lt;C&gt;1&lt;/C&gt;&lt;D xsi:type="xsd:double"&gt;1.3625602&lt;/D&gt;&lt;/FQL&gt;&lt;FQL&gt;&lt;Q&gt;FIX-US^P_BETA_LOCIDX(45147,44972,,"SPX")&lt;/Q&gt;&lt;R&gt;1&lt;/R&gt;&lt;C&gt;1&lt;/C&gt;&lt;D xsi:type="xsd:double"&gt;1.3651222&lt;/D&gt;&lt;/FQL&gt;&lt;FQL&gt;&lt;Q&gt;FIX-US^P_BETA_LOCIDX(45146,44971,,"SPX")&lt;/Q&gt;&lt;R&gt;1&lt;/R&gt;&lt;C&gt;1&lt;/C&gt;&lt;D xsi:type="xsd:double"&gt;1.3528237&lt;/D&gt;&lt;/FQL&gt;&lt;FQL&gt;&lt;Q&gt;FIX-US^P_BETA_LOCIDX(45145,44970,,"SPX")&lt;/Q&gt;&lt;R&gt;1&lt;/R&gt;&lt;C&gt;1&lt;/C&gt;&lt;D xsi:type="xsd:double"&gt;1.3571559&lt;/D&gt;&lt;/FQL&gt;&lt;FQL&gt;&lt;Q&gt;FIX-US^P_BETA_LOCIDX(45142,44967,,"SPX")&lt;/Q&gt;&lt;R&gt;1&lt;/R&gt;&lt;C&gt;1&lt;/C&gt;&lt;D xsi:type="xsd:double"&gt;1.3520187&lt;/D&gt;&lt;/FQL&gt;&lt;FQL&gt;&lt;Q&gt;FIX-US^P_BETA_LOCIDX(45141,44966,,"SPX")&lt;/Q&gt;&lt;R&gt;1&lt;/R&gt;&lt;C&gt;1&lt;/C&gt;&lt;D xsi:type="xsd:double"&gt;1.3622392&lt;/D&gt;&lt;/FQL&gt;&lt;FQL&gt;&lt;Q&gt;FIX-US^P_BETA_LOCIDX(45140,44965,,"SPX")&lt;/Q&gt;&lt;R&gt;1&lt;/R&gt;&lt;C&gt;1&lt;/C&gt;&lt;D xsi:type="xsd:double"&gt;1.3631598&lt;/D&gt;&lt;/FQL&gt;&lt;FQL&gt;&lt;Q&gt;FIX-US^P_BETA_LOCIDX(45139,44964,,"SPX")&lt;/Q&gt;&lt;R&gt;1&lt;/R&gt;&lt;C&gt;1&lt;/C&gt;&lt;D xsi:type="xsd:double"&gt;1.3818132&lt;/D&gt;&lt;/FQL&gt;&lt;FQL&gt;&lt;Q&gt;FIX-US^P_BETA_LOCIDX(45138,44963,,"SPX")&lt;/Q&gt;&lt;R&gt;1&lt;/R&gt;&lt;C&gt;1&lt;/C&gt;&lt;D xsi:type="xsd:double"&gt;1.3857652&lt;/D&gt;&lt;/FQL&gt;&lt;FQL&gt;&lt;Q&gt;FIX-US^P_BETA_LOCIDX(45135,44960,,"SPX")&lt;/Q&gt;&lt;R&gt;1&lt;/R&gt;&lt;C&gt;1&lt;/C&gt;&lt;D xsi:type="xsd:double"&gt;1.3654377&lt;/D&gt;&lt;/FQL&gt;&lt;FQL&gt;&lt;Q&gt;FIX-US^P_BETA_LOCIDX(45134,44959,,"SPX")&lt;/Q&gt;&lt;R&gt;1&lt;/R&gt;&lt;C&gt;1&lt;/C&gt;&lt;D xsi:type="xsd:double"&gt;1.2916166&lt;/D&gt;&lt;/FQL&gt;&lt;FQL&gt;&lt;Q&gt;FIX-US^P_BETA_LOCIDX(45133,44958,,"SPX")&lt;/Q&gt;&lt;R&gt;1&lt;/R&gt;&lt;C&gt;1&lt;/C&gt;&lt;D xsi:type="xsd:double"&gt;1.2858156&lt;/D&gt;&lt;/FQL&gt;&lt;FQL&gt;&lt;Q&gt;FIX-US^P_BETA_LOCIDX(45132,44957,,"SPX")&lt;/Q&gt;&lt;R&gt;1&lt;/R&gt;&lt;C&gt;1&lt;/C&gt;&lt;D xsi:type="xsd:double"&gt;1.291734&lt;/D&gt;&lt;/FQL&gt;&lt;FQL&gt;&lt;Q&gt;FIX-US^P_BETA_LOCIDX(45131,44956,,"SPX")&lt;/Q&gt;&lt;R&gt;1&lt;/R&gt;&lt;C&gt;1&lt;/C&gt;&lt;D xsi:type="xsd:double"&gt;1.2830654&lt;/D&gt;&lt;/FQL&gt;&lt;FQL&gt;&lt;Q&gt;FIX-US^P_BETA_LOCIDX(45128,44953,,"SPX")&lt;/Q&gt;&lt;R&gt;1&lt;/R&gt;&lt;C&gt;1&lt;/C&gt;&lt;D xsi:type="xsd:double"&gt;1.2793945&lt;/D&gt;&lt;/FQL&gt;&lt;FQL&gt;&lt;Q&gt;FIX-US^P_BETA_LOCIDX(45127,44952,,"SPX")&lt;/Q&gt;&lt;R&gt;1&lt;/R&gt;&lt;C&gt;1&lt;/C&gt;&lt;D xsi:type="xsd:double"&gt;1.2722826&lt;/D&gt;&lt;/FQL&gt;&lt;FQL&gt;&lt;Q&gt;FIX-US^P_BETA_LOCIDX(45126,44951,,"SPX")&lt;/Q&gt;&lt;R&gt;1&lt;/R&gt;&lt;C&gt;1&lt;/C&gt;&lt;D xsi:type="xsd:double"&gt;1.2627661&lt;/D&gt;&lt;/FQL&gt;&lt;FQL&gt;&lt;Q&gt;FIX-US^P_BETA_LOCIDX(45125,44950,,"SPX")&lt;/Q&gt;&lt;R&gt;1&lt;/R&gt;&lt;C&gt;1&lt;/C&gt;&lt;D xsi:type="xsd:double"&gt;1.2616147&lt;/D&gt;&lt;/FQL&gt;&lt;FQL&gt;&lt;Q&gt;FIX-US^P_BETA_LOCIDX(45124,44949,,"SPX")&lt;/Q&gt;&lt;R&gt;1&lt;/R&gt;&lt;C&gt;1&lt;/C&gt;&lt;D xsi:type="xsd:double"&gt;1.2418369&lt;/D&gt;&lt;/FQL&gt;&lt;FQL&gt;&lt;Q&gt;FIX-US^P_BETA_LOCIDX(45121,44946,,"SPX")&lt;/Q&gt;&lt;R&gt;1&lt;/R&gt;&lt;C&gt;1&lt;/C&gt;&lt;D xsi:type="xsd:double"&gt;1.230757&lt;/D&gt;&lt;/FQL&gt;&lt;FQL&gt;&lt;Q&gt;FIX-US^P_BETA_LOCIDX(45120,44945,,"SPX")&lt;/Q&gt;&lt;R&gt;1&lt;/R&gt;&lt;C&gt;1&lt;/C&gt;&lt;D xsi:type="xsd:double"&gt;1.2528272&lt;/D&gt;&lt;/FQL&gt;&lt;FQL&gt;&lt;Q&gt;FIX-US^P_BETA_LOCIDX(45119,44944,,"SPX")&lt;/Q&gt;&lt;R&gt;1&lt;/R&gt;&lt;C&gt;1&lt;/C&gt;&lt;D xsi:type="xsd:double"&gt;1.2371835&lt;/D&gt;&lt;/FQL&gt;&lt;FQL&gt;&lt;Q&gt;FIX-US^P_BETA_LOCIDX(45118,44943,,"SPX")&lt;/Q&gt;&lt;R&gt;1&lt;/R&gt;&lt;C&gt;1&lt;/C&gt;&lt;D xsi:type="xsd:double"&gt;1.2531009&lt;/D&gt;&lt;/FQL&gt;&lt;FQL&gt;&lt;Q&gt;FIX-US^P_BETA_LOCIDX(45117,44939,,"SPX")&lt;/Q&gt;&lt;R&gt;1&lt;/R&gt;&lt;C&gt;1&lt;/C&gt;&lt;D xsi:type="xsd:double"&gt;1.2636796&lt;/D&gt;&lt;/FQL&gt;&lt;FQL&gt;&lt;Q&gt;FIX-US^P_BETA_LOCIDX(45114,44938,,"SPX")&lt;/Q&gt;&lt;R&gt;1&lt;/R&gt;&lt;C&gt;1&lt;/C&gt;&lt;D xsi:type="xsd:double"&gt;1.267776&lt;/D&gt;&lt;/FQL&gt;&lt;FQL&gt;&lt;Q&gt;FIX-US^P_BETA_LOCIDX(45113,44937,,"SPX")&lt;/Q&gt;&lt;R&gt;1&lt;/R&gt;&lt;C&gt;1&lt;/C&gt;&lt;D xsi:type="xsd:double"&gt;1.2648813&lt;/D&gt;&lt;/FQL&gt;&lt;FQL&gt;&lt;Q&gt;FIX-US^P_BETA_LOCIDX(45112,44936,,"SPX")&lt;/Q&gt;&lt;R&gt;1&lt;/R&gt;&lt;C&gt;1&lt;/C&gt;&lt;D xsi:type="xsd:double"&gt;1.2579759&lt;/D&gt;&lt;/FQL&gt;&lt;FQL&gt;&lt;Q&gt;FIX-US^P_BETA_LOCIDX(45110,44935,,"SPX")&lt;/Q&gt;&lt;R&gt;1&lt;/R&gt;&lt;C&gt;1&lt;/C&gt;&lt;D xsi:type="xsd:double"&gt;1.251825&lt;/D&gt;&lt;/FQL&gt;&lt;FQL&gt;&lt;Q&gt;FIX-US^P_BETA_LOCIDX(45107,44932,,"SPX")&lt;/Q&gt;&lt;R&gt;1&lt;/R&gt;&lt;C&gt;1&lt;/C&gt;&lt;D xsi:type="xsd:double"&gt;1.2227802&lt;/D&gt;&lt;/FQL&gt;&lt;FQL&gt;&lt;Q&gt;FIX-US^P_BETA_LOCIDX(45106,44931,,"SPX")&lt;/Q&gt;&lt;R&gt;1&lt;/R&gt;&lt;C&gt;1&lt;/C&gt;&lt;D xsi:type="xsd:double"&gt;1.2730764&lt;/D&gt;&lt;/FQL&gt;&lt;FQL&gt;&lt;Q&gt;FIX-US^P_BETA_LOCIDX(45105,44930,,"SPX")&lt;/Q&gt;&lt;R&gt;1&lt;/R&gt;&lt;C&gt;1&lt;/C&gt;&lt;D xsi:type="xsd:double"&gt;1.2453169&lt;/D&gt;&lt;/FQL&gt;&lt;FQL&gt;&lt;Q&gt;FIX-US^P_BETA_LOCIDX(45104,44929,,"SPX")&lt;/Q&gt;&lt;R&gt;1&lt;/R&gt;&lt;C&gt;1&lt;/C&gt;&lt;D xsi:type="xsd:double"&gt;1.2335061&lt;/D&gt;&lt;/FQL&gt;&lt;FQL&gt;&lt;Q&gt;FIX-US^P_BETA_LOCIDX(45103,44925,,"SPX")&lt;/Q&gt;&lt;R&gt;1&lt;/R&gt;&lt;C&gt;1&lt;/C&gt;&lt;D xsi:type="xsd:double"&gt;1.2511727&lt;/D&gt;&lt;/FQL&gt;&lt;FQL&gt;&lt;Q&gt;FIX-US^P_BETA_LOCIDX(45100,44924,,"SPX")&lt;/Q&gt;&lt;R&gt;1&lt;/R&gt;&lt;C&gt;1&lt;/C&gt;&lt;D xsi:type="xsd:double"&gt;1.2506697&lt;/D&gt;&lt;/FQL&gt;&lt;FQL&gt;&lt;Q&gt;FIX-US^P_BETA_LOCIDX(45099,44923,,"SPX")&lt;/Q&gt;&lt;R&gt;1&lt;/R&gt;&lt;C&gt;1&lt;/C&gt;&lt;D xsi:type="xsd:double"&gt;1.2549484&lt;/D&gt;&lt;/FQL&gt;&lt;FQL&gt;&lt;Q&gt;FIX-US^P_BETA_LOCIDX(45098,44922,,"SPX")&lt;/Q&gt;&lt;R&gt;1&lt;/R&gt;&lt;C&gt;1&lt;/C&gt;&lt;D xsi:type="xsd:double"&gt;1.261323&lt;/D&gt;&lt;/FQL&gt;&lt;FQL&gt;&lt;Q&gt;FIX-US^P_BETA_LOCIDX(45097,44918,,"SPX")&lt;/Q&gt;&lt;R&gt;1&lt;/R&gt;&lt;C&gt;1&lt;/C&gt;&lt;D xsi:type="xsd:double"&gt;1.2834642&lt;/D&gt;&lt;/FQL&gt;&lt;FQL&gt;&lt;Q&gt;FIX-US^P_BETA_LOCIDX(45093,44917,,"SPX")&lt;/Q&gt;&lt;R&gt;1&lt;/R&gt;&lt;C&gt;1&lt;/C&gt;&lt;D xsi:type="xsd:double"&gt;1.2586833&lt;/D&gt;&lt;/FQL&gt;&lt;FQL&gt;&lt;Q&gt;FIX-US^P_BETA_LOCIDX(45092,44916,,"SPX")&lt;/Q&gt;&lt;R&gt;1&lt;/R&gt;&lt;C&gt;1&lt;/C&gt;&lt;D xsi:type="xsd:double"&gt;1.2451345&lt;/D&gt;&lt;/FQL&gt;&lt;FQL&gt;&lt;Q&gt;FIX-US^P_BETA_LOCIDX(45091,44915,,"SPX")&lt;/Q&gt;&lt;R&gt;1&lt;/R&gt;&lt;C&gt;1&lt;/C&gt;&lt;D xsi:type="xsd:double"&gt;1.2478685&lt;/D&gt;&lt;/FQL&gt;&lt;FQL&gt;&lt;Q&gt;FIX-US^P_BETA_LOCIDX(45090,44914,,"SPX")&lt;/Q&gt;&lt;R&gt;1&lt;/R&gt;&lt;C&gt;1&lt;/C&gt;&lt;D xsi:type="xsd:double"&gt;1.233207&lt;/D&gt;&lt;/FQL&gt;&lt;FQL&gt;&lt;Q&gt;FIX-US^P_BETA_LOCIDX(45089,44911,,"SPX")&lt;/Q&gt;&lt;R&gt;1&lt;/R&gt;&lt;C&gt;1&lt;/C&gt;&lt;D xsi:type="xsd:double"&gt;1.2464386&lt;/D&gt;&lt;/FQL&gt;&lt;FQL&gt;&lt;Q&gt;FIX-US^P_BETA_LOCIDX(45086,44910,,"SPX")&lt;/Q&gt;&lt;R&gt;1&lt;/R&gt;&lt;C&gt;1&lt;/C&gt;&lt;D xsi:type="xsd:double"&gt;1.2258135&lt;/D&gt;&lt;/FQL&gt;&lt;FQL&gt;&lt;Q&gt;FIX-US^P_BETA_LOCIDX(45085,44909,,"SPX")&lt;/Q&gt;&lt;R&gt;1&lt;/R&gt;&lt;C&gt;1&lt;/C&gt;&lt;D xsi:type="xsd:double"&gt;1.2304304&lt;/D&gt;&lt;/FQL&gt;&lt;FQL&gt;&lt;Q&gt;FIX-US^P_BETA_LOCIDX(45084,44908,,"SPX")&lt;/Q&gt;&lt;R&gt;1&lt;/R&gt;&lt;C&gt;1&lt;/C&gt;&lt;D xsi:type="xsd:double"&gt;1.2345082&lt;/D&gt;&lt;/FQL&gt;&lt;FQL&gt;&lt;Q&gt;FIX-US^P_BETA_LOCIDX(45083,44907,,"SPX")&lt;/Q&gt;&lt;R&gt;1&lt;/R&gt;&lt;C&gt;1&lt;/C&gt;&lt;D xsi:type="xsd:double"&gt;1.2087209&lt;/D&gt;&lt;/FQL&gt;&lt;FQL&gt;&lt;Q&gt;FIX-US^P_BETA_LOCIDX(45082,44904,,"SPX")&lt;/Q&gt;&lt;R&gt;1&lt;/R&gt;&lt;C&gt;1&lt;/C&gt;&lt;D xsi:type="xsd:double"&gt;1.2053548&lt;/D&gt;&lt;/FQL&gt;&lt;FQL&gt;&lt;Q&gt;FIX-US^P_BETA_LOCIDX(45079,44903,,"SPX")&lt;/Q&gt;&lt;R&gt;1&lt;/R&gt;&lt;C&gt;1&lt;/C&gt;&lt;D xsi:type="xsd:double"&gt;1.1986591&lt;/D&gt;&lt;/FQL&gt;&lt;FQL&gt;&lt;Q&gt;FIX-US^P_BETA_LOCIDX(45078,44902,,"SPX")&lt;/Q&gt;&lt;R&gt;1&lt;/R&gt;&lt;C&gt;1&lt;/C&gt;&lt;D xsi:type="xsd:double"&gt;1.1691725&lt;/D&gt;&lt;/FQL&gt;&lt;FQL&gt;&lt;Q&gt;FIX-US^P_BETA_LOCIDX(45077,44901,,"SPX")&lt;/Q&gt;&lt;R&gt;1&lt;/R&gt;&lt;C&gt;1&lt;/C&gt;&lt;D xsi:type="xsd:double"&gt;1.1750133&lt;/D&gt;&lt;/FQL&gt;&lt;FQL&gt;&lt;Q&gt;FIX-US^P_BETA_LOCIDX(45076,44900,,"SPX")&lt;/Q&gt;&lt;R&gt;1&lt;/R&gt;&lt;C&gt;1&lt;/C&gt;&lt;D xsi:type="xsd:double"&gt;1.167983&lt;/D&gt;&lt;/FQL&gt;&lt;FQL&gt;&lt;Q&gt;FIX-US^P_BETA_LOCIDX(45072,44897,,"SPX")&lt;/Q&gt;&lt;R&gt;1&lt;/R&gt;&lt;C&gt;1&lt;/C&gt;&lt;D xsi:type="xsd:double"&gt;1.1679481&lt;/D&gt;&lt;/FQL&gt;&lt;FQL&gt;&lt;Q&gt;FIX-US^P_BETA_LOCIDX(45071,44896,,"SPX")&lt;/Q&gt;&lt;R&gt;1&lt;/R&gt;&lt;C&gt;1&lt;/C&gt;&lt;D xsi:type="xsd:double"&gt;1.1879277&lt;/D&gt;&lt;/FQL&gt;&lt;FQL&gt;&lt;Q&gt;FIX-US^P_BETA_LOCIDX(45070,44895,,"SPX")&lt;/Q&gt;&lt;R&gt;1&lt;/R&gt;&lt;C&gt;1&lt;/C&gt;&lt;D xsi:type="xsd:double"&gt;1.126836&lt;/D&gt;&lt;/FQL&gt;&lt;FQL&gt;&lt;Q&gt;FIX-US^P_BETA_LOCIDX(45069,44894,,"SPX")&lt;/Q&gt;&lt;R&gt;1&lt;/R&gt;&lt;C&gt;1&lt;/C&gt;&lt;D xsi:type="xsd:double"&gt;1.1210929&lt;/D&gt;&lt;/FQL&gt;&lt;FQL&gt;&lt;Q&gt;FIX-US^P_BETA_LOCIDX(45068,44893,,"SPX")&lt;/Q&gt;&lt;R&gt;1&lt;/R&gt;&lt;C&gt;1&lt;/C&gt;&lt;D xsi:type="xsd:double"&gt;1.1100672&lt;/D&gt;&lt;/FQL&gt;&lt;FQL&gt;&lt;Q&gt;FIX-US^P_BETA_LOCIDX(45065,44890,,"SPX")&lt;/Q&gt;&lt;R&gt;1&lt;/R&gt;&lt;C&gt;1&lt;/C&gt;&lt;D xsi:type="xsd:double"&gt;1.110071&lt;/D&gt;&lt;/FQL&gt;&lt;FQL&gt;&lt;Q&gt;FIX-US^P_BETA_LOCIDX(45064,44888,,"SPX")&lt;/Q&gt;&lt;R&gt;1&lt;/R&gt;&lt;C&gt;1&lt;/C&gt;&lt;D xsi:type="xsd:double"&gt;1.1012037&lt;/D&gt;&lt;/FQL&gt;&lt;FQL&gt;&lt;Q&gt;FIX-US^P_BETA_LOCIDX(45063,44887,,"SPX")&lt;/Q&gt;&lt;R&gt;1&lt;/R&gt;&lt;C&gt;1&lt;/C&gt;&lt;D xsi:type="xsd:double"&gt;1.0873677&lt;/D&gt;&lt;/FQL&gt;&lt;FQL&gt;&lt;Q&gt;FIX-US^P_BETA_LOCIDX(45062,44886,,"SPX")&lt;/Q&gt;&lt;R&gt;1&lt;/R&gt;&lt;C&gt;1&lt;/C&gt;&lt;D xsi:type="xsd:double"&gt;1.0937203&lt;/D&gt;&lt;/FQL&gt;&lt;FQL&gt;&lt;Q&gt;FIX-US^P_BETA_LOCIDX(45061,44883,,"SPX")&lt;/Q&gt;&lt;R&gt;1&lt;/R&gt;&lt;C&gt;1&lt;/C&gt;&lt;D xsi:type="xsd:double"&gt;1.0954977&lt;/D&gt;&lt;/FQL&gt;&lt;FQL&gt;&lt;Q&gt;FIX-US^P_BETA_LOCIDX(45058,44882,,"SPX")&lt;/Q&gt;&lt;R&gt;1&lt;/R&gt;&lt;C&gt;1&lt;/C&gt;&lt;D xsi:type="xsd:double"&gt;1.0891759&lt;/D&gt;&lt;/FQL&gt;&lt;FQL&gt;&lt;Q&gt;FIX-US^P_BETA_LOCIDX(45057,44881,,"SPX")&lt;/Q&gt;&lt;R&gt;1&lt;/R&gt;&lt;C&gt;1&lt;/C&gt;&lt;D xsi:type="xsd:double"&gt;1.0837493&lt;/D&gt;&lt;/FQL&gt;&lt;FQL&gt;&lt;Q&gt;FIX-US^P_BETA_LOCIDX(45056,44880,,"SPX")&lt;/Q&gt;&lt;R&gt;1&lt;/R&gt;&lt;C&gt;1&lt;/C&gt;&lt;D xsi:type="xsd:double"&gt;1.0730615&lt;/D&gt;&lt;/FQL&gt;&lt;FQL&gt;&lt;Q&gt;FIX-US^P_BETA_LOCIDX(45055,44879,,"SPX")&lt;/Q&gt;&lt;R&gt;1&lt;/R&gt;&lt;C&gt;1&lt;/C&gt;&lt;D xsi:type="xsd:double"&gt;1.0631115&lt;/D&gt;&lt;/FQL&gt;&lt;FQL&gt;&lt;Q&gt;FIX-US^P_BETA_LOCIDX(45054,44876,,"SPX")&lt;/Q&gt;&lt;R&gt;1&lt;/R&gt;&lt;C&gt;1&lt;/C&gt;&lt;D xsi:type="xsd:double"&gt;1.0451928&lt;/D&gt;&lt;/FQL&gt;&lt;FQL&gt;&lt;Q&gt;FIX-US^P_BETA_LOCIDX(45051,44875,,"SPX")&lt;/Q&gt;&lt;R&gt;1&lt;/R&gt;&lt;C&gt;1&lt;/C&gt;&lt;D xsi:type="xsd:double"&gt;1.0196786&lt;/D&gt;&lt;/FQL&gt;&lt;FQL&gt;&lt;Q&gt;FIX-US^P_BETA_LOCIDX(45050,44874,,"SPX")&lt;/Q&gt;&lt;R&gt;1&lt;/R&gt;&lt;C&gt;1&lt;/C&gt;&lt;D xsi:type="xsd:double"&gt;1.0112112&lt;/D&gt;&lt;/FQL&gt;&lt;FQL&gt;&lt;Q&gt;FIX-US^P_BETA_LOCIDX(45049,44873,,"SPX")&lt;/Q&gt;&lt;R&gt;1&lt;/R&gt;&lt;C&gt;1&lt;/C&gt;&lt;D xsi:type="xsd:double"&gt;1.0017126&lt;/D&gt;&lt;/FQL&gt;&lt;FQL&gt;&lt;Q&gt;FIX-US^P_BETA_LOCIDX(45048,44872,,"SPX")&lt;/Q&gt;&lt;R&gt;1&lt;/R&gt;&lt;C&gt;1&lt;/C&gt;&lt;D xsi:type="xsd:double"&gt;1.0074531&lt;/D&gt;&lt;/FQL&gt;&lt;FQL&gt;&lt;Q&gt;FIX-US^P_BETA_LOCIDX(45047,44869,,"SPX")&lt;/Q&gt;&lt;R&gt;1&lt;/R&gt;&lt;C&gt;1&lt;/C&gt;&lt;D xsi:type="xsd:double"&gt;1.0328897&lt;/D&gt;&lt;/FQL&gt;&lt;FQL&gt;&lt;Q&gt;FIX-US^P_BETA_LOCIDX(45044,44868,,"SPX")&lt;/Q&gt;&lt;R&gt;1&lt;/R&gt;&lt;C&gt;1&lt;/C&gt;&lt;D xsi:type="xsd:double"&gt;1.0217267&lt;/D&gt;&lt;/FQL&gt;&lt;FQL&gt;&lt;Q&gt;FIX-US^P_BETA_LOCIDX(45043,44867,,"SPX")&lt;/Q&gt;&lt;R&gt;1&lt;/R&gt;&lt;C&gt;1&lt;/C&gt;&lt;D xsi:type="xsd:double"&gt;1.041272&lt;/D&gt;&lt;/FQL&gt;&lt;FQL&gt;&lt;Q&gt;FIX-US^P_BETA_LOCIDX(45042,44866,,"SPX")&lt;/Q&gt;&lt;R&gt;1&lt;/R&gt;&lt;C&gt;1&lt;/C&gt;&lt;D xsi:type="xsd:double"&gt;0.9310889&lt;/D&gt;&lt;/FQL&gt;&lt;FQL&gt;&lt;Q&gt;FIX-US^P_BETA_LOCIDX(45041,44865,,"SPX")&lt;/Q&gt;&lt;R&gt;1&lt;/R&gt;&lt;C&gt;1&lt;/C&gt;&lt;D xsi:type="xsd:double"&gt;0.9236862&lt;/D&gt;&lt;/FQL&gt;&lt;FQL&gt;&lt;Q&gt;FIX-US^P_BETA_LOCIDX(45040,44862,,"SPX")&lt;/Q&gt;&lt;R&gt;1&lt;/R&gt;&lt;C&gt;1&lt;/C&gt;&lt;D xsi:type="xsd:double"&gt;0.9255565&lt;/D&gt;&lt;/FQL&gt;&lt;FQL&gt;&lt;Q&gt;FIX-US^P_BETA_LOCIDX(45037,44861,,"SPX")&lt;/Q&gt;&lt;R&gt;1&lt;/R&gt;&lt;C&gt;1&lt;/C&gt;&lt;D xsi:type="xsd:double"&gt;0.89165306&lt;/D&gt;&lt;/FQL&gt;&lt;FQL&gt;&lt;Q&gt;FIX-US^P_BETA_LOCIDX(45036,44860,,"SPX")&lt;/Q&gt;&lt;R&gt;1&lt;/R&gt;&lt;C&gt;1&lt;/C&gt;&lt;D xsi:type="xsd:double"&gt;0.89171493&lt;/D&gt;&lt;/FQL&gt;&lt;FQL&gt;&lt;Q&gt;FIX-US^P_BETA_LOCIDX(45035,44859,,"SPX")&lt;/Q&gt;&lt;R&gt;1&lt;/R&gt;&lt;C&gt;1&lt;/C&gt;&lt;D xsi:type="xsd:double"&gt;0.904502&lt;/D&gt;&lt;/FQL&gt;&lt;FQL&gt;&lt;Q&gt;FIX-US^P_BETA_LOCIDX(45034,44858,,"SPX")&lt;/Q&gt;&lt;R&gt;1&lt;/R&gt;&lt;C&gt;1&lt;/C&gt;&lt;D xsi:type="xsd:double"&gt;0.9076929&lt;/D&gt;&lt;/FQL&gt;&lt;FQL&gt;&lt;Q&gt;FIX-US^P_BETA_LOCIDX(45033,44855,,"SPX")&lt;/Q&gt;&lt;R&gt;1&lt;/R&gt;&lt;C&gt;1&lt;/C&gt;&lt;D xsi:type="xsd:double"&gt;0.9145472&lt;/D&gt;&lt;/FQL&gt;&lt;FQL&gt;&lt;Q&gt;FIX-US^P_BETA_LOCIDX(45030,44854,,"SPX")&lt;/Q&gt;&lt;R&gt;1&lt;/R&gt;&lt;C&gt;1&lt;/C&gt;&lt;D xsi:type="xsd:double"&gt;0.92509466&lt;/D&gt;&lt;/FQL&gt;&lt;FQL&gt;&lt;Q&gt;FIX-US^P_BETA_LOCIDX(45029,44853,,"SPX")&lt;/Q&gt;&lt;R&gt;1&lt;/R&gt;&lt;C&gt;1&lt;/C&gt;&lt;D xsi:type="xsd:double"&gt;0.92609185&lt;/D&gt;&lt;/FQL&gt;&lt;FQL&gt;&lt;Q&gt;FIX-US^P_BETA_LOCIDX(45028,44852,,"SPX")&lt;/Q&gt;&lt;R&gt;1&lt;/R&gt;&lt;C&gt;1&lt;/C&gt;&lt;D xsi:type="xsd:double"&gt;0.94014764&lt;/D&gt;&lt;/FQL&gt;&lt;FQL&gt;&lt;Q&gt;FIX-US^P_BETA_LOCIDX(45027,44851,,"SPX")&lt;/Q&gt;&lt;R&gt;1&lt;/R&gt;&lt;C&gt;1&lt;/C&gt;&lt;D xsi:type="xsd:double"&gt;0.9509373&lt;/D&gt;&lt;/FQL&gt;&lt;FQL&gt;&lt;Q&gt;FIX-US^P_BETA_LOCIDX(45026,44848,,"SPX")&lt;/Q&gt;&lt;R&gt;1&lt;/R&gt;&lt;C&gt;1&lt;/C&gt;&lt;D xsi:type="xsd:double"&gt;0.94769245&lt;/D&gt;&lt;/FQL&gt;&lt;FQL&gt;&lt;Q&gt;FIX-US^P_BETA_LOCIDX(45022,44847,,"SPX")&lt;/Q&gt;&lt;R&gt;1&lt;/R&gt;&lt;C&gt;1&lt;/C&gt;&lt;D xsi:type="xsd:double"&gt;0.94633615&lt;/D&gt;&lt;/FQL&gt;&lt;FQL&gt;&lt;Q&gt;FIX-US^P_BETA_LOCIDX(45021,44846,,"SPX")&lt;/Q&gt;&lt;R&gt;1&lt;/R&gt;&lt;C&gt;1&lt;/C&gt;&lt;D xsi:type="xsd:double"&gt;0.9518205&lt;/D&gt;&lt;/FQL&gt;&lt;FQL&gt;&lt;Q&gt;FIX-US^P_BETA_LOCIDX(45020,44845,,"SPX")&lt;/Q&gt;&lt;R&gt;1&lt;/R&gt;&lt;C&gt;1&lt;/C&gt;&lt;D xsi:type="xsd:double"&gt;0.93417764&lt;/D&gt;&lt;/FQL&gt;&lt;FQL&gt;&lt;Q&gt;FIX-US^P_BETA_LOCIDX(45019,44844,,"SPX")&lt;/Q&gt;&lt;R&gt;1&lt;/R&gt;&lt;C&gt;1&lt;/C&gt;&lt;D xsi:type="xsd:double"&gt;0.91678506&lt;/D&gt;&lt;/FQL&gt;&lt;FQL&gt;&lt;Q&gt;FIX-US^P_BETA_LOCIDX(45016,44841,,"SPX")&lt;/Q&gt;&lt;R&gt;1&lt;/R&gt;&lt;C&gt;1&lt;/C&gt;&lt;D xsi:type="xsd:double"&gt;0.91881764&lt;/D&gt;&lt;/FQL&gt;&lt;FQL&gt;&lt;Q&gt;FIX-US^P_BETA_LOCIDX(45015,44840,,"SPX")&lt;/Q&gt;&lt;R&gt;1&lt;/R&gt;&lt;C&gt;1&lt;/C&gt;&lt;D xsi:type="xsd:double"&gt;0.90779525&lt;/D&gt;&lt;/FQL&gt;&lt;FQL&gt;&lt;Q&gt;FIX-US^P_BETA_LOCIDX(45014,44839,,"SPX")&lt;/Q&gt;&lt;R&gt;1&lt;/R&gt;&lt;C&gt;1&lt;/C&gt;&lt;D xsi:type="xsd:double"&gt;0.91682875&lt;/D&gt;&lt;/FQL&gt;&lt;FQL&gt;&lt;Q&gt;FIX-US^P_BETA_LOCIDX(45013,44838,,"SPX")&lt;/Q&gt;&lt;R&gt;1&lt;/R&gt;&lt;C&gt;1&lt;/C&gt;&lt;D xsi:type="xsd:double"&gt;0.9228417&lt;/D&gt;&lt;/FQL&gt;&lt;FQL&gt;&lt;Q&gt;FIX-US^P_BETA_LOCIDX(45012,44837,,"SPX")&lt;/Q&gt;&lt;R&gt;1&lt;/R&gt;&lt;C&gt;1&lt;/C&gt;&lt;D xsi:type="xsd:double"&gt;0.9656383&lt;/D&gt;&lt;/FQL&gt;&lt;FQL&gt;&lt;Q&gt;FIX-US^P_BETA_LOCIDX(45009,44834,,"SPX")&lt;/Q&gt;&lt;R&gt;1&lt;/R&gt;&lt;C&gt;1&lt;/C&gt;&lt;D xsi:type="xsd:double"&gt;0.9525462&lt;/D&gt;&lt;/FQL&gt;&lt;FQL&gt;&lt;Q&gt;FIX-US^P_BETA_LOCIDX(45008,44833,,"SPX")&lt;/Q&gt;&lt;R&gt;1&lt;/R&gt;&lt;C&gt;1&lt;/C&gt;&lt;D xsi:type="xsd:double"&gt;0.96178675&lt;/D&gt;&lt;/FQL&gt;&lt;FQL&gt;&lt;Q&gt;FIX-US^P_BETA_LOCIDX(45007,44832,,"SPX")&lt;/Q&gt;&lt;R&gt;1&lt;/R&gt;&lt;C&gt;1&lt;/C&gt;&lt;D xsi:type="xsd:double"&gt;0.97544706&lt;/D&gt;&lt;/FQL&gt;&lt;FQL&gt;&lt;Q&gt;FIX-US^P_BETA_LOCIDX(45006,44831,,"SPX")&lt;/Q&gt;&lt;R&gt;1&lt;/R&gt;&lt;C&gt;1&lt;/C&gt;&lt;D xsi:type="xsd:double"&gt;0.9791711&lt;/D&gt;&lt;/FQL&gt;&lt;FQL&gt;&lt;Q&gt;FIX-US^P_BETA_LOCIDX(45005,44830,,"SPX")&lt;/Q&gt;&lt;R&gt;1&lt;/R&gt;&lt;C&gt;1&lt;/C&gt;&lt;D xsi:type="xsd:double"&gt;0.98340046&lt;/D&gt;&lt;/FQL&gt;&lt;FQL&gt;&lt;Q&gt;FIX-US^P_BETA_LOCIDX(45002,44827,,"SPX")&lt;/Q&gt;&lt;R&gt;1&lt;/R&gt;&lt;C&gt;1&lt;/C&gt;&lt;D xsi:type="xsd:double"&gt;0.98020405&lt;/D&gt;&lt;/FQL&gt;&lt;FQL&gt;&lt;Q&gt;FIX-US^P_BETA_LOCIDX(45001,44826,,"SPX")&lt;/Q&gt;&lt;R&gt;1&lt;/R&gt;&lt;C&gt;1&lt;/C&gt;&lt;D xsi:type="xsd:double"&gt;0.9759876&lt;/D&gt;&lt;/FQL&gt;&lt;FQL&gt;&lt;Q&gt;FIX-US^P_BETA_LOCIDX(45000,44825,,"SPX")&lt;/Q&gt;&lt;R&gt;1&lt;/R&gt;&lt;C&gt;1&lt;/C&gt;&lt;D xsi:type="xsd:double"&gt;0.9677455&lt;/D&gt;&lt;/FQL&gt;&lt;FQL&gt;&lt;Q&gt;FIX-US^P_BETA_LOCIDX(44999,44824,,"SPX")&lt;/Q&gt;&lt;R&gt;1&lt;/R&gt;&lt;C&gt;1&lt;/C&gt;&lt;D xsi:type="xsd:double"&gt;0.9512681&lt;/D&gt;&lt;/FQL&gt;&lt;FQL&gt;&lt;Q&gt;FIX-US^P_BETA_LOCIDX(44998,44823,,"SPX")&lt;/Q&gt;&lt;R&gt;1&lt;/R&gt;&lt;C&gt;1&lt;/C&gt;&lt;D xsi:type="xsd:double"&gt;0.9521227&lt;/D&gt;&lt;/FQL&gt;&lt;FQL&gt;&lt;Q&gt;FIX-US^P_BETA_LOCIDX(44995,44820,,"SPX")&lt;/Q&gt;&lt;R&gt;1&lt;/R&gt;&lt;C&gt;1&lt;/C&gt;&lt;D xsi:type="xsd:double"&gt;0.9466476&lt;/D&gt;&lt;/FQL&gt;&lt;FQL&gt;&lt;Q&gt;FIX-US^P_BETA_LOCIDX(44994,44819,,"SPX")&lt;/Q&gt;&lt;R&gt;1&lt;/R&gt;&lt;C&gt;1&lt;/C&gt;&lt;D xsi:type="xsd:double"&gt;0.9365771&lt;/D&gt;&lt;/FQL&gt;&lt;FQL&gt;&lt;Q&gt;FIX-US^P_BETA_LOCIDX(44993,44818,,"SPX")&lt;/Q&gt;&lt;R&gt;1&lt;/R&gt;&lt;C&gt;1&lt;/C&gt;&lt;D xsi:type="xsd:double"&gt;0.9234382&lt;/D&gt;&lt;/FQL&gt;&lt;FQL&gt;&lt;Q&gt;FIX-US^P_BETA_LOCIDX(44992,44817,,"SPX")&lt;/Q&gt;&lt;R&gt;1&lt;/R&gt;&lt;C&gt;1&lt;/C&gt;&lt;D xsi:type="xsd:double"&gt;0.903129&lt;/D&gt;&lt;/FQL&gt;&lt;FQL&gt;&lt;Q&gt;FIX-US^P_BETA_LOCIDX(44991,44816,,"SPX")&lt;/Q&gt;&lt;R&gt;1&lt;/R&gt;&lt;C&gt;1&lt;/C&gt;&lt;D xsi:type="xsd:double"&gt;0.9031175&lt;/D&gt;&lt;/FQL&gt;&lt;FQL&gt;&lt;Q&gt;FIX-US^P_BETA_LOCIDX(44988,44813,,"SPX")&lt;/Q&gt;&lt;R&gt;1&lt;/R&gt;&lt;C&gt;1&lt;/C&gt;&lt;D xsi:type="xsd:double"&gt;0.90263325&lt;/D&gt;&lt;/FQL&gt;&lt;FQL&gt;&lt;Q&gt;FIX-US^P_BETA_LOCIDX(44987,44812,,"SPX")&lt;/Q&gt;&lt;R&gt;1&lt;/R&gt;&lt;C&gt;1&lt;/C&gt;&lt;D xsi:type="xsd:double"&gt;0.8962326&lt;/D&gt;&lt;/FQL&gt;&lt;FQL&gt;&lt;Q&gt;FIX-US^P_BETA_LOCIDX(44986,44811,,"SPX")&lt;/Q&gt;&lt;R&gt;1&lt;/R&gt;&lt;C&gt;1&lt;/C&gt;&lt;D xsi:type="xsd:double"&gt;0.89999163&lt;/D&gt;&lt;/FQL&gt;&lt;FQL&gt;&lt;Q&gt;FIX-US^P_BETA_LOCIDX(44985,44810,,"SPX")&lt;/Q&gt;&lt;R&gt;1&lt;/R&gt;&lt;C&gt;1&lt;/C&gt;&lt;D xsi:type="xsd:double"&gt;0.905558&lt;/D&gt;&lt;/FQL&gt;&lt;FQL&gt;&lt;Q&gt;FIX-US^P_BETA_LOCIDX(44984,44806,,"SPX")&lt;/Q&gt;&lt;R&gt;1&lt;/R&gt;&lt;C&gt;1&lt;/C&gt;&lt;D xsi:type="xsd:double"&gt;0.903319&lt;/D&gt;&lt;/FQL&gt;&lt;FQL&gt;&lt;Q&gt;FIX-US^P_BETA_LOCIDX(44981,44805,,"SPX")&lt;/Q&gt;&lt;R&gt;1&lt;/R&gt;&lt;C&gt;1&lt;/C&gt;&lt;D xsi:type="xsd:double"&gt;0.90402997&lt;/D&gt;&lt;/FQL&gt;&lt;FQL&gt;&lt;Q&gt;FIX-US^P_BETA_LOCIDX(44980,44804,,"SPX")&lt;/Q&gt;&lt;R&gt;1&lt;/R&gt;&lt;C&gt;1&lt;/C&gt;&lt;D xsi:type="xsd:double"&gt;0.9386058&lt;/D&gt;&lt;/FQL&gt;&lt;FQL&gt;&lt;Q&gt;FIX-US^P_BETA_LOCIDX(44979,44803,,"SPX")&lt;/Q&gt;&lt;R&gt;1&lt;/R&gt;&lt;C&gt;1&lt;/C&gt;&lt;D xsi:type="xsd:double"&gt;0.92862165&lt;/D&gt;&lt;/FQL&gt;&lt;FQL&gt;&lt;Q&gt;FIX-US^P_BETA_LOCIDX(44978,44802,,"SPX")&lt;/Q&gt;&lt;R&gt;1&lt;/R&gt;&lt;C&gt;1&lt;/C&gt;&lt;D xsi:type="xsd:double"&gt;0.92657024&lt;/D&gt;&lt;/FQL&gt;&lt;FQL&gt;&lt;Q&gt;FIX-US^P_BETA_LOCIDX(44974,44799,,"SPX")&lt;/Q&gt;&lt;R&gt;1&lt;/R&gt;&lt;C&gt;1&lt;/C&gt;&lt;D xsi:type="xsd:double"&gt;0.9123004&lt;/D&gt;&lt;/FQL&gt;&lt;FQL&gt;&lt;Q&gt;FIX-US^P_BETA_LOCIDX(44973,44798,,"SPX")&lt;/Q&gt;&lt;R&gt;1&lt;/R&gt;&lt;C&gt;1&lt;/C&gt;&lt;D xsi:type="xsd:double"&gt;0.9218118&lt;/D&gt;&lt;/FQL&gt;&lt;FQL&gt;&lt;Q&gt;FIX-US^P_BETA_LOCIDX(44972,44797,,"SPX")&lt;/Q&gt;&lt;R&gt;1&lt;/R&gt;&lt;C&gt;1&lt;/C&gt;&lt;D xsi:type="xsd:double"&gt;0.9340097&lt;/D&gt;&lt;/FQL&gt;&lt;FQL&gt;&lt;Q&gt;FIX-US^P_BETA_LOCIDX(44971,44796,,"SPX")&lt;/Q&gt;&lt;R&gt;1&lt;/R&gt;&lt;C&gt;1&lt;/C&gt;&lt;D xsi:type="xsd:double"&gt;0.9333954&lt;/D&gt;&lt;/FQL&gt;&lt;FQL&gt;&lt;Q&gt;FIX-US^P_BETA_LOCIDX(44970,44795,,"SPX")&lt;/Q&gt;&lt;R&gt;1&lt;/R&gt;&lt;C&gt;1&lt;/C&gt;&lt;D xsi:type="xsd:double"&gt;0.93729144&lt;/D&gt;&lt;/FQL&gt;&lt;FQL&gt;&lt;Q&gt;FIX-US^P_BETA_LOCIDX(44967,44792,,"SPX")&lt;/Q&gt;&lt;R&gt;1&lt;/R&gt;&lt;C&gt;1&lt;/C&gt;&lt;D xsi:type="xsd:double"&gt;0.94100744&lt;/D&gt;&lt;/FQL&gt;&lt;FQL&gt;&lt;Q&gt;FIX-US^P_BETA_LOCIDX(44966,44791,,"SPX")&lt;/Q&gt;&lt;R&gt;1&lt;/R&gt;&lt;C&gt;1&lt;/C&gt;&lt;D xsi:type="xsd:double"&gt;0.9404612&lt;/D&gt;&lt;/FQL&gt;&lt;FQL&gt;&lt;Q&gt;FIX-US^P_BETA_LOCIDX(44965,44790,,"SPX")&lt;/Q&gt;&lt;R&gt;1&lt;/R&gt;&lt;C&gt;1&lt;/C&gt;&lt;D xsi:type="xsd:double"&gt;0.9376299&lt;/D&gt;&lt;/FQL&gt;&lt;FQL&gt;&lt;Q&gt;FIX-US^P_BETA_LOCIDX(44964,44789,,"SPX")&lt;/Q&gt;&lt;R&gt;1&lt;/R&gt;&lt;C&gt;1&lt;/C&gt;&lt;D xsi:type="xsd:double"&gt;0.93651664&lt;/D&gt;&lt;/FQL&gt;&lt;FQL&gt;&lt;Q&gt;FIX-US^P_BETA_LOCIDX(44963,44788,,"SPX")&lt;/Q&gt;&lt;R&gt;1&lt;/R&gt;&lt;C&gt;1&lt;/C&gt;&lt;D xsi:type="xsd:double"&gt;0.94008416&lt;/D&gt;&lt;/FQL&gt;&lt;FQL&gt;&lt;Q&gt;FIX-US^P_BETA_LOCIDX(44960,44785,,"SPX")&lt;/Q&gt;&lt;R&gt;1&lt;/R&gt;&lt;C&gt;1&lt;/C&gt;&lt;D xsi:type="xsd:double"&gt;0.95277506&lt;/D&gt;&lt;/FQL&gt;&lt;FQL&gt;&lt;Q&gt;FIX-US^P_BETA_LOCIDX(44959,44784,,"SPX")&lt;/Q&gt;&lt;R&gt;1&lt;/R&gt;&lt;C&gt;1&lt;/C&gt;&lt;D xsi:type="xsd:double"&gt;0.95686525&lt;/D&gt;&lt;/FQL&gt;&lt;FQL&gt;&lt;Q&gt;FIX-US^P_BETA_LOCIDX(44958,44783,,"SPX")&lt;/Q&gt;&lt;R&gt;1&lt;/R&gt;&lt;C&gt;1&lt;/C&gt;&lt;D xsi:type="xsd:double"&gt;0.9645973&lt;/D&gt;&lt;/FQL&gt;&lt;FQL&gt;&lt;Q&gt;FIX-US^P_BETA_LOCIDX(44957,44782,,"SPX")&lt;/Q&gt;&lt;R&gt;1&lt;/R&gt;&lt;C&gt;1&lt;/C&gt;&lt;D xsi:type="xsd:double"&gt;0.97040564&lt;/D&gt;&lt;/FQL&gt;&lt;FQL&gt;&lt;Q&gt;FIX-US^P_BETA_LOCIDX(44956,44781,,"SPX")&lt;/Q&gt;&lt;R&gt;1&lt;/R&gt;&lt;C&gt;1&lt;/C&gt;&lt;D xsi:type="xsd:double"&gt;0.9645802&lt;/D&gt;&lt;/FQL&gt;&lt;FQL&gt;&lt;Q&gt;FIX-US^P_BETA_LOCIDX(44953,44778,,"SPX")&lt;/Q&gt;&lt;R&gt;1&lt;/R&gt;&lt;C&gt;1&lt;/C&gt;&lt;D xsi:type="xsd:double"&gt;0.965002&lt;/D&gt;&lt;/FQL&gt;&lt;FQL&gt;&lt;Q&gt;FIX-US^P_BETA_LOCIDX(44952,44777,,"SPX")&lt;/Q&gt;&lt;R&gt;1&lt;/R&gt;&lt;C&gt;1&lt;/C&gt;&lt;D xsi:type="xsd:double"&gt;0.9663561&lt;/D&gt;&lt;/FQL&gt;&lt;FQL&gt;&lt;Q&gt;FIX-US^P_BETA_LOCIDX(44951,44776,,"SPX")&lt;/Q&gt;&lt;R&gt;1&lt;/R&gt;&lt;C&gt;1&lt;/C&gt;&lt;D xsi:type="xsd:double"&gt;0.9557831&lt;/D&gt;&lt;/FQL&gt;&lt;FQL&gt;&lt;Q&gt;FIX-US^P_BETA_LOCIDX(44950,44775,,"SPX")&lt;/Q&gt;&lt;R&gt;1&lt;/R&gt;&lt;C&gt;1&lt;/C&gt;&lt;D xsi:type="xsd:double"&gt;0.95618236&lt;/D&gt;&lt;/FQL&gt;&lt;FQL&gt;&lt;Q&gt;FIX-US^P_BETA_LOCIDX(44949,44774,,"SPX")&lt;/Q&gt;&lt;R&gt;1&lt;/R&gt;&lt;C&gt;1&lt;/C&gt;&lt;D xsi:type="xsd:double"&gt;0.9565706&lt;/D&gt;&lt;/FQL&gt;&lt;FQL&gt;&lt;Q&gt;FIX-US^P_BETA_LOCIDX(44946,44771,,"SPX")&lt;/Q&gt;&lt;R&gt;1&lt;/R&gt;&lt;C&gt;1&lt;/C&gt;&lt;D xsi:type="xsd:double"&gt;0.9913263&lt;/D&gt;&lt;/FQL&gt;&lt;FQL&gt;&lt;Q&gt;FIX-US^P_BETA_LOCIDX(44945,44770,,"SPX")&lt;/Q&gt;&lt;R&gt;1&lt;/R&gt;&lt;C&gt;1&lt;/C&gt;&lt;D xsi:type="xsd:double"&gt;1.0150956&lt;/D&gt;&lt;/FQL&gt;&lt;FQL&gt;&lt;Q&gt;FIX-US^P_BETA_LOCIDX(44944,44769,,"SPX")&lt;/Q&gt;&lt;R&gt;1&lt;/R&gt;&lt;C&gt;1&lt;/C&gt;&lt;D xsi:type="xsd:double"&gt;0.99654406&lt;/D&gt;&lt;/FQL&gt;&lt;FQL&gt;&lt;Q&gt;FIX-US^P_BETA_LOCIDX(44943,44768,,"SPX")&lt;/Q&gt;&lt;R&gt;1&lt;/R&gt;&lt;C&gt;1&lt;/C&gt;&lt;D xsi:type="xsd:double"&gt;0.99042237&lt;/D&gt;&lt;/FQL&gt;&lt;FQL&gt;&lt;Q&gt;FIX-US^P_BETA_LOCIDX(44939,44767,,"SPX")&lt;/Q&gt;&lt;R&gt;1&lt;/R&gt;&lt;C&gt;1&lt;/C&gt;&lt;D xsi:type="xsd:double"&gt;0.98649055&lt;/D&gt;&lt;/FQL&gt;&lt;FQL&gt;&lt;Q&gt;FIX-US^P_BETA_LOCIDX(44938,44764,,"SPX")&lt;/Q&gt;&lt;R&gt;1&lt;/R&gt;&lt;C&gt;1&lt;/C&gt;&lt;D xsi:type="xsd:double"&gt;0.98080254&lt;/D&gt;&lt;/FQL&gt;&lt;FQL&gt;&lt;Q&gt;FIX-US^P_BETA_LOCIDX(44937,44763,,"SPX")&lt;/Q&gt;&lt;R&gt;1&lt;/R&gt;&lt;C&gt;1&lt;/C&gt;&lt;D xsi:type="xsd:double"&gt;0.9799664&lt;/D&gt;&lt;/FQL&gt;&lt;FQL&gt;&lt;Q&gt;FIX-US^P_BETA_LOCIDX(44936,44762,,"SPX")&lt;/Q&gt;&lt;R&gt;1&lt;/R&gt;&lt;C&gt;1&lt;/C&gt;&lt;D xsi:type="xsd:double"&gt;0.980072&lt;/D&gt;&lt;/FQL&gt;&lt;FQL&gt;&lt;Q&gt;FIX-US^P_BETA_LOCIDX(44935,44761,,"SPX")&lt;/Q&gt;&lt;R&gt;1&lt;/R&gt;&lt;C&gt;1&lt;/C&gt;&lt;D xsi:type="xsd:double"&gt;1.0059885&lt;/D&gt;&lt;/FQL&gt;&lt;FQL&gt;&lt;Q&gt;FIX-US^P_BETA_LOCIDX(44932,44760,,"SPX")&lt;/Q&gt;&lt;R&gt;1&lt;/R&gt;&lt;C&gt;1&lt;/C&gt;&lt;D xsi:type="xsd:double"&gt;1.0079114&lt;/D&gt;&lt;/FQL&gt;&lt;FQL&gt;&lt;Q&gt;FIX-US^P_BETA_LOCIDX(44931,44757,,"SPX")&lt;/Q&gt;&lt;R&gt;1&lt;/R&gt;&lt;C&gt;1&lt;/C&gt;&lt;D xsi:type="xsd:double"&gt;1.0082921&lt;/D&gt;&lt;/FQL&gt;&lt;FQL&gt;&lt;Q&gt;FIX-US^P_BETA_LOCIDX(44930,44756,,"SPX")&lt;/Q&gt;&lt;R&gt;1&lt;/R&gt;&lt;C&gt;1&lt;/C&gt;&lt;D xsi:type="xsd:double"&gt;1.0004126&lt;/D&gt;&lt;/FQL&gt;&lt;FQL&gt;&lt;Q&gt;FIX-US^P_BETA_LOCIDX(44929,44755,,"SPX")&lt;/Q&gt;&lt;R&gt;1&lt;/R&gt;&lt;C&gt;1&lt;/C&gt;&lt;D xsi:type="xsd:double"&gt;1.0096972&lt;/D&gt;&lt;/FQL&gt;&lt;FQL&gt;&lt;Q&gt;FIX-US^P_BETA_LOCIDX(44925,44754,,"SPX")&lt;/Q&gt;&lt;R&gt;1&lt;/R&gt;&lt;C&gt;1&lt;/C&gt;&lt;D xsi:type="xsd:double"&gt;1.0155109&lt;/D&gt;&lt;/FQL&gt;&lt;FQL&gt;&lt;Q&gt;FIX-US^P_BETA_LOCIDX(44924,44753,,"SPX")&lt;/Q&gt;&lt;R&gt;1&lt;/R&gt;&lt;C&gt;1&lt;/C&gt;&lt;D xsi:type="xsd:double"&gt;1.0090264&lt;/D&gt;&lt;/FQL&gt;&lt;FQL&gt;&lt;Q&gt;FIX-US^P_BETA_LOCIDX(44923,44750,,"SPX")&lt;/Q&gt;&lt;R&gt;1&lt;/R&gt;&lt;C&gt;1&lt;/C&gt;&lt;D xsi:type="xsd:double"&gt;1.0092108&lt;/D&gt;&lt;/FQL&gt;&lt;FQL&gt;&lt;Q&gt;FIX-US^P_BETA_LOCIDX(44922,44749,,"SPX")&lt;/Q&gt;&lt;R&gt;1&lt;/R&gt;&lt;C&gt;1&lt;/C&gt;&lt;D xsi:type="xsd:double"&gt;1.0103784&lt;/D&gt;&lt;/FQL&gt;&lt;FQL&gt;&lt;Q&gt;FIX-US^P_BETA_LOCIDX(44918,44748,,"SPX")&lt;/Q&gt;&lt;R&gt;1&lt;/R&gt;&lt;C&gt;1&lt;/C&gt;&lt;D xsi:type="xsd:double"&gt;1.006641&lt;/D&gt;&lt;/FQL&gt;&lt;FQL&gt;&lt;Q&gt;FIX-US^P_BETA_LOCIDX(44917,44747,,"SPX")&lt;/Q&gt;&lt;R&gt;1&lt;/R&gt;&lt;C&gt;1&lt;/C&gt;&lt;D xsi:type="xsd:double"&gt;1.0073297&lt;/D&gt;&lt;/FQL&gt;&lt;FQL&gt;&lt;Q&gt;FIX-US^P_BETA_LOCIDX(44916,44743,,"SPX")&lt;/Q&gt;&lt;R&gt;1&lt;/R&gt;&lt;C&gt;1&lt;/C&gt;&lt;D xsi:type="xsd:double"&gt;1.0117512&lt;/D&gt;&lt;/FQL&gt;&lt;FQL&gt;&lt;Q&gt;FIX-US^P_BETA_LOCIDX(44915,44742,,"SPX")&lt;/Q&gt;&lt;R&gt;1&lt;/R&gt;&lt;C&gt;1&lt;/C&gt;&lt;D xsi:type="xsd:double"&gt;1.0056708&lt;/D&gt;&lt;/FQL&gt;&lt;FQL&gt;&lt;Q&gt;FIX-US^P_BETA_LOCIDX(44914,44741,,"SPX")&lt;/Q&gt;&lt;R&gt;1&lt;/R&gt;&lt;C&gt;1&lt;/C&gt;&lt;D xsi:type="xsd:double"&gt;1.0065379&lt;/D&gt;&lt;/FQL&gt;&lt;FQL&gt;&lt;Q&gt;FIX-US^P_BETA_LOCIDX(44911,44740,,"SPX")&lt;/Q&gt;&lt;R&gt;1&lt;/R&gt;&lt;C&gt;1&lt;/C&gt;&lt;D xsi:type="xsd:double"&gt;1.0095223&lt;/D&gt;&lt;/FQL&gt;&lt;FQL&gt;&lt;Q&gt;FIX-US^P_BETA_LOCIDX(44910,44739,,"SPX")&lt;/Q&gt;&lt;R&gt;1&lt;/R&gt;&lt;C&gt;1&lt;/C&gt;&lt;D xsi:type="xsd:double"&gt;1.0065651&lt;/D&gt;&lt;/FQL&gt;&lt;FQL&gt;&lt;Q&gt;FIX-US^P_BETA_LOCIDX(44909,44736,,"SPX")&lt;/Q&gt;&lt;R&gt;1&lt;/R&gt;&lt;C&gt;1&lt;/C&gt;&lt;D xsi:type="xsd:double"&gt;1.0228051&lt;/D&gt;&lt;/FQL&gt;&lt;FQL&gt;&lt;Q&gt;FIX-US^P_BETA_LOCIDX(44908,44735,,"SPX")&lt;/Q&gt;&lt;R&gt;1&lt;/R&gt;&lt;C&gt;1&lt;/C&gt;&lt;D xsi:type="xsd:double"&gt;1.0219364&lt;/D&gt;&lt;/FQL&gt;&lt;FQL&gt;&lt;Q&gt;FIX-US^P_BETA_LOCIDX(44907,44734,,"SPX")&lt;/Q&gt;&lt;R&gt;1&lt;/R&gt;&lt;C&gt;1&lt;/C&gt;&lt;D xsi:type="xsd:double"&gt;1.0206945&lt;/D&gt;&lt;/FQL&gt;&lt;FQL&gt;&lt;Q&gt;FIX-US^P_BETA_LOCIDX(44904,44733,,"SPX")&lt;/Q&gt;&lt;R&gt;1&lt;/R&gt;&lt;C&gt;1&lt;/C&gt;&lt;D xsi:type="xsd:double"&gt;1.017322&lt;/D&gt;&lt;/FQL&gt;&lt;FQL&gt;&lt;Q&gt;FIX-US^P_BETA_LOCIDX(44903,44729,,"SPX")&lt;/Q&gt;&lt;R&gt;1&lt;/R&gt;&lt;C&gt;1&lt;/C&gt;&lt;D xsi:type="xsd:double"&gt;1.0147455&lt;/D&gt;&lt;/FQL&gt;&lt;FQL&gt;&lt;Q&gt;FIX-US^P_BETA_LOCIDX(44902,44728,,"SPX")&lt;/Q&gt;&lt;R&gt;1&lt;/R&gt;&lt;C&gt;1&lt;/C&gt;&lt;D xsi:type="xsd:double"&gt;1.0943354&lt;/D&gt;&lt;/FQL&gt;&lt;FQL&gt;&lt;Q&gt;FIX-US^P_BETA_LOCIDX(44901,44727,,"SPX")&lt;/Q&gt;&lt;R&gt;1&lt;/R&gt;&lt;C&gt;1&lt;/C&gt;&lt;D xsi:type="xsd:double"&gt;1.074445&lt;/D&gt;&lt;/FQL&gt;&lt;FQL&gt;&lt;Q&gt;FIX-US^P_BETA_LOCIDX(44900,44726,,"SPX")&lt;/Q&gt;&lt;R&gt;1&lt;/R&gt;&lt;C&gt;1&lt;/C&gt;&lt;D xsi:type="xsd:double"&gt;1.0762601&lt;/D&gt;&lt;/FQL&gt;&lt;FQL&gt;&lt;Q&gt;FIX-US^P_BETA_LOCIDX(44897,44725,,"SPX")&lt;/Q&gt;&lt;R&gt;1&lt;/R&gt;&lt;C&gt;1&lt;/C&gt;&lt;D xsi:type="xsd:double"&gt;1.0534892&lt;/D&gt;&lt;/FQL&gt;&lt;FQL&gt;&lt;Q&gt;FIX-US^P_BETA_LOCIDX(44896,44722,,"SPX")&lt;/Q&gt;&lt;R&gt;1&lt;/R&gt;&lt;C&gt;1&lt;/C&gt;&lt;D xsi:type="xsd:double"&gt;1.0521499&lt;/D&gt;&lt;/FQL&gt;&lt;FQL&gt;&lt;Q&gt;FIX-US^P_BETA_LOCIDX(44895,44721,,"SPX")&lt;/Q&gt;&lt;R&gt;1&lt;/R&gt;&lt;C&gt;1&lt;/C&gt;&lt;D xsi:type="xsd:double"&gt;1.0395067&lt;/D&gt;&lt;/FQL&gt;&lt;FQL&gt;&lt;Q&gt;FIX-US^P_BETA_LOCIDX(44894,44720,,"SPX")&lt;/Q&gt;&lt;R&gt;1&lt;/R&gt;&lt;C&gt;1&lt;/C&gt;&lt;D xsi:type="xsd:double"&gt;1.0538607&lt;/D&gt;&lt;/FQL&gt;&lt;FQL&gt;&lt;Q&gt;FIX-US^P_BETA_LOCIDX(44893,44719,,"SPX")&lt;/Q&gt;&lt;R&gt;1&lt;/R&gt;&lt;C&gt;1&lt;/C&gt;&lt;D xsi:type="xsd:double"&gt;1.0521213&lt;/D&gt;&lt;/FQL&gt;&lt;FQL&gt;&lt;Q&gt;FIX-US^P_BETA_LOCIDX(44890,44718,,"SPX")&lt;/Q&gt;&lt;R&gt;1&lt;/R&gt;&lt;C&gt;1&lt;/C&gt;&lt;D xsi:type="xsd:double"&gt;1.0497258&lt;/D&gt;&lt;/FQL&gt;&lt;FQL&gt;&lt;Q&gt;FIX-US^P_BETA_LOCIDX(44888,44715,,"SPX")&lt;/Q&gt;&lt;R&gt;1&lt;/R&gt;&lt;C&gt;1&lt;/C&gt;&lt;D xsi:type="xsd:double"&gt;1.0461795&lt;/D&gt;&lt;/FQL&gt;&lt;FQL&gt;&lt;Q&gt;FIX-US^P_BETA_LOCIDX(44887,44714,,"SPX")&lt;/Q&gt;&lt;R&gt;1&lt;/R&gt;&lt;C&gt;1&lt;/C&gt;&lt;D xsi:type="xsd:double"&gt;1.0541745&lt;/D&gt;&lt;/FQL&gt;&lt;FQL&gt;&lt;Q&gt;FIX-US^P_BETA_LOCIDX(44886,44713,,"SPX")&lt;/Q&gt;&lt;R&gt;1&lt;/R&gt;&lt;C&gt;1&lt;/C&gt;&lt;D xsi:type="xsd:double"&gt;1.0588527&lt;/D&gt;&lt;/FQL&gt;&lt;FQL&gt;&lt;Q&gt;FIX-US^P_BETA_LOCIDX(44883,44712,,"SPX")&lt;/Q&gt;&lt;R&gt;1&lt;/R&gt;&lt;C&gt;1&lt;/C&gt;&lt;D xsi:type="xsd:double"&gt;1.063178&lt;/D&gt;&lt;/FQL&gt;&lt;FQL&gt;&lt;Q&gt;FIX-US^P_BETA_LOCIDX(44882,44708,,"SPX")&lt;/Q&gt;&lt;R&gt;1&lt;/R&gt;&lt;C&gt;1&lt;/C&gt;&lt;D xsi:type="xsd:double"&gt;1.0678458&lt;/D&gt;&lt;/FQL&gt;&lt;FQL&gt;&lt;Q&gt;FIX-US^P_BETA_LOCIDX(44881,44707,,"SPX")&lt;/Q&gt;&lt;R&gt;1&lt;/R&gt;&lt;C&gt;1&lt;/C&gt;&lt;D xsi:type="xsd:double"&gt;1.0682936&lt;/D&gt;&lt;/FQL&gt;&lt;FQL&gt;&lt;Q&gt;FIX-US^P_BETA_LOCIDX(44880,44706,,"SPX")&lt;/Q&gt;&lt;R&gt;1&lt;/R&gt;&lt;C&gt;1&lt;/C&gt;&lt;D xsi:type="xsd:double"&gt;1.0630534&lt;/D&gt;&lt;/FQL&gt;&lt;FQL&gt;&lt;Q&gt;FIX-US^P_BETA_LOCIDX(44879,44705,,"SPX")&lt;/Q&gt;&lt;R&gt;1&lt;/R&gt;&lt;C&gt;1&lt;/C&gt;&lt;D xsi:type="xsd:double"&gt;1.0557073&lt;/D&gt;&lt;/FQL&gt;&lt;FQL&gt;&lt;Q&gt;FIX-US^P_BETA_LOCIDX(44876,44704,,"SPX")&lt;/Q&gt;&lt;R&gt;1&lt;/R&gt;&lt;C&gt;1&lt;/C&gt;&lt;D xsi:type="xsd:double"&gt;1.056754&lt;/D&gt;&lt;/FQL&gt;&lt;FQL&gt;&lt;Q&gt;FIX-US^P_BETA_LOCIDX(44875,44701,,"SPX")&lt;/Q&gt;&lt;R&gt;1&lt;/R&gt;&lt;C&gt;1&lt;/C&gt;&lt;D xsi:type="xsd:double"&gt;1.0658358&lt;/D&gt;&lt;/FQL&gt;&lt;FQL&gt;&lt;Q&gt;FIX-US^P_BETA_LOCIDX(44874,44700,,"SPX")&lt;/Q&gt;&lt;R&gt;1&lt;/R&gt;&lt;C&gt;1&lt;/C&gt;&lt;D xsi:type="xsd:double"&gt;1.0867957&lt;/D&gt;&lt;/FQL&gt;&lt;FQL&gt;&lt;Q&gt;FIX-US^P_BETA_LOCIDX(44873,44699,,"SPX")&lt;/Q&gt;&lt;R&gt;1&lt;/R&gt;&lt;C&gt;1&lt;/C&gt;&lt;D xsi:type="xsd:double"&gt;1.0619491&lt;/D&gt;&lt;/FQL&gt;&lt;FQL&gt;&lt;Q&gt;FIX-US^P_BETA_LOCIDX(44872,44698,,"SPX")&lt;/Q&gt;&lt;R&gt;1&lt;/R&gt;&lt;C&gt;1&lt;/C&gt;&lt;D xsi:type="xsd:double"&gt;1.0618939&lt;/D&gt;&lt;/FQL&gt;&lt;FQL&gt;&lt;Q&gt;FIX-US^P_BETA_LOCIDX(44869,44697,,"SPX")&lt;/Q&gt;&lt;R&gt;1&lt;/R&gt;&lt;C&gt;1&lt;/C&gt;&lt;D xsi:type="xsd:double"&gt;1.059825&lt;/D&gt;&lt;/FQL&gt;&lt;FQL&gt;&lt;Q&gt;FIX-US^P_BETA_LOCIDX(44868,44694,,"SPX")&lt;/Q&gt;&lt;R&gt;1&lt;/R&gt;&lt;C&gt;1&lt;/C&gt;&lt;D xsi:type="xsd:double"&gt;1.0512016&lt;/D&gt;&lt;/FQL&gt;&lt;FQL&gt;&lt;Q&gt;FIX-US^P_BETA_LOCIDX(44867,44693,,"SPX")&lt;/Q&gt;&lt;R&gt;1&lt;/R&gt;&lt;C&gt;1&lt;/C&gt;&lt;D xsi:type="xsd:double"&gt;1.0549659&lt;/D&gt;&lt;/FQL&gt;&lt;FQL&gt;&lt;Q&gt;FIX-US^P_BETA_LOCIDX(44866,44692,,"SPX")&lt;/Q&gt;&lt;R&gt;1&lt;/R&gt;&lt;C&gt;1&lt;/C&gt;&lt;D xsi:type="xsd:double"&gt;1.0526367&lt;/D&gt;&lt;/FQL&gt;&lt;FQL&gt;&lt;Q&gt;FIX-US^P_BETA_LOCIDX(44865,44691,,"SPX")&lt;/Q&gt;&lt;R&gt;1&lt;/R&gt;&lt;C&gt;1&lt;/C&gt;&lt;D xsi:type="xsd:double"&gt;1.0507854&lt;/D&gt;&lt;/FQL&gt;&lt;FQL&gt;&lt;Q&gt;FIX-US^P_BETA_LOCIDX(44862,44690,,"SPX")&lt;/Q&gt;&lt;R&gt;1&lt;/R&gt;&lt;C&gt;1&lt;/C&gt;&lt;D xsi:type="xsd:double"&gt;1.0512336&lt;/D&gt;&lt;/FQL&gt;&lt;FQL&gt;&lt;Q&gt;FIX-US^P_BETA_LOCIDX(44861,44687,,"SPX")&lt;/Q&gt;&lt;R&gt;1&lt;/R&gt;&lt;C&gt;1&lt;/C&gt;&lt;D xsi:type="xsd:double"&gt;1.0568957&lt;/D&gt;&lt;/FQL&gt;&lt;FQL&gt;&lt;Q&gt;FIX-US^P_BETA_LOCIDX(44860,44686,,"SPX")&lt;/Q&gt;&lt;R&gt;1&lt;/R&gt;&lt;C&gt;1&lt;/C&gt;&lt;D xsi:type="xsd:double"&gt;1.0765637&lt;/D&gt;&lt;/FQL&gt;&lt;FQL&gt;&lt;Q&gt;FIX-US^P_BETA_LOCIDX(44859,44685,,"SPX")&lt;/Q&gt;&lt;R&gt;1&lt;/R&gt;&lt;C&gt;1&lt;/C&gt;&lt;D xsi:type="xsd:double"&gt;1.094716&lt;/D&gt;&lt;/FQL&gt;&lt;FQL&gt;&lt;Q&gt;FIX-US^P_BETA_LOCIDX(44858,44684,,"SPX")&lt;/Q&gt;&lt;R&gt;1&lt;/R&gt;&lt;C&gt;1&lt;/C&gt;&lt;D xsi:type="xsd:double"&gt;1.09839&lt;/D&gt;&lt;/FQL&gt;&lt;FQL&gt;&lt;Q&gt;FIX-US^P_BETA_LOCIDX(44855,44683,,"SPX")&lt;/Q&gt;&lt;R&gt;1&lt;/R&gt;&lt;C&gt;1&lt;/C&gt;&lt;D xsi:type="xsd:double"&gt;1.0955172&lt;/D&gt;&lt;/FQL&gt;&lt;FQL&gt;&lt;Q&gt;FIX-US^P_BETA_LOCIDX(44854,44680,,"SPX")&lt;/Q&gt;&lt;R&gt;1&lt;/R&gt;&lt;C&gt;1&lt;/C&gt;&lt;D xsi:type="xsd:double"&gt;1.0763625&lt;/D&gt;&lt;/FQL&gt;&lt;FQL&gt;&lt;Q&gt;FIX-US^P_BETA_LOCIDX(44853,44679,,"SPX")&lt;/Q&gt;&lt;R&gt;1&lt;/R&gt;&lt;C&gt;1&lt;/C&gt;&lt;D xsi:type="xsd:double"&gt;1.0570302&lt;/D&gt;&lt;/FQL&gt;&lt;FQL&gt;&lt;Q&gt;FIX-US^P_BETA_LOCIDX(44852,44678,,"SPX")&lt;/Q&gt;&lt;R&gt;1&lt;/R&gt;&lt;C&gt;1&lt;/C&gt;&lt;D xsi:type="xsd:double"&gt;1.0564078&lt;/D&gt;&lt;/FQL&gt;&lt;FQL&gt;&lt;Q&gt;FIX-US^P_BETA_LOCIDX(44851,44677,,"SPX")&lt;/Q&gt;&lt;R&gt;1&lt;/R&gt;&lt;C&gt;1&lt;/C&gt;&lt;D xsi:type="xsd:double"&gt;1.052173&lt;/D&gt;&lt;/FQL&gt;&lt;FQL&gt;&lt;Q&gt;FIX-US^P_BETA_LOCIDX(44848,44676,,"SPX")&lt;/Q&gt;&lt;R&gt;1&lt;/R&gt;&lt;C&gt;1&lt;/C&gt;&lt;D xsi:type="xsd:double"&gt;1.0495764&lt;/D&gt;&lt;/FQL&gt;&lt;FQL&gt;&lt;Q&gt;FIX-US^P_BETA_LOCIDX(44847,44673,,"SPX")&lt;/Q&gt;&lt;R&gt;1&lt;/R&gt;&lt;C&gt;1&lt;/C&gt;&lt;D xsi:type="xsd:double"&gt;1.0554361&lt;/D&gt;&lt;/FQL&gt;&lt;FQL&gt;&lt;Q&gt;FIX-US^P_BETA_LOCIDX(44846,44672,,"SPX")&lt;/Q&gt;&lt;R&gt;1&lt;/R&gt;&lt;C&gt;1&lt;/C&gt;&lt;D xsi:type="xsd:double"&gt;1.0649574&lt;/D&gt;&lt;/FQL&gt;&lt;FQL&gt;&lt;Q&gt;FIX-US^P_BETA_LOCIDX(44845,44671,,"SPX")&lt;/Q&gt;&lt;R&gt;1&lt;/R&gt;&lt;C&gt;1&lt;/C&gt;&lt;D xsi:type="xsd:double"&gt;1.0651389&lt;/D&gt;&lt;/FQL&gt;&lt;FQL&gt;&lt;Q&gt;FIX-US^P_BETA_LOCIDX(44844,44670,,"SPX")&lt;/Q&gt;&lt;R&gt;1&lt;/R&gt;&lt;C&gt;1&lt;/C&gt;&lt;D xsi:type="xsd:double"&gt;1.0684648&lt;/D&gt;&lt;/FQL&gt;&lt;FQL&gt;&lt;Q&gt;FIX-US^P_BETA_LOCIDX(44841,44669,,"SPX")&lt;/Q&gt;&lt;R&gt;1&lt;/R&gt;&lt;C&gt;1&lt;/C&gt;&lt;D xsi:type="xsd:double"&gt;1.0691835&lt;/D&gt;&lt;/FQL&gt;&lt;FQL&gt;&lt;Q&gt;FIX-US^P_BETA_LOCIDX(44840,44665,,"SPX")&lt;/Q&gt;&lt;R&gt;1&lt;/R&gt;&lt;C&gt;1&lt;/C&gt;&lt;D xsi:type="xsd:double"&gt;1.0686998&lt;/D&gt;&lt;/FQL&gt;&lt;FQL&gt;&lt;Q&gt;FIX-US^P_BETA_LOCIDX(44839,44664,,"SPX")&lt;/Q&gt;&lt;R&gt;1&lt;/R&gt;&lt;C&gt;1&lt;/C&gt;&lt;D xsi:type="xsd:double"&gt;1.0708195&lt;/D&gt;&lt;/FQL&gt;&lt;FQL&gt;&lt;Q&gt;FIX-US^P_BETA_LOCIDX(44838,44663,,"SPX")&lt;/Q&gt;&lt;R&gt;1&lt;/R&gt;&lt;C&gt;1&lt;/C&gt;&lt;D xsi:type="xsd:double"&gt;1.0688583&lt;/D&gt;&lt;/FQL&gt;&lt;FQL&gt;&lt;Q&gt;FIX-US^P_BETA_LOCIDX(44837,44662,,"SPX")&lt;/Q&gt;&lt;R&gt;1&lt;/R&gt;&lt;C&gt;1&lt;/C&gt;&lt;D xsi:type="xsd:double"&gt;1.0651324&lt;/D&gt;&lt;/FQL&gt;&lt;FQL&gt;&lt;Q&gt;FIX-US^P_BETA_LOCIDX(44834,44659,,"SPX")&lt;/Q&gt;&lt;R&gt;1&lt;/R&gt;&lt;C&gt;1&lt;/C&gt;&lt;D xsi:type="xsd:double"&gt;1.0372077&lt;/D&gt;&lt;/FQL&gt;&lt;FQL&gt;&lt;Q&gt;FIX-US^P_BETA_LOCIDX(44833,44658,,"SPX")&lt;/Q&gt;&lt;R&gt;1&lt;/R&gt;&lt;C&gt;1&lt;/C&gt;&lt;D xsi:type="xsd:double"&gt;1.0445093&lt;/D&gt;&lt;/FQL&gt;&lt;FQL&gt;&lt;Q&gt;FIX-US^P_BETA_LOCIDX(44832,44657,,"SPX")&lt;/Q&gt;&lt;R&gt;1&lt;/R&gt;&lt;C&gt;1&lt;/C&gt;&lt;D xsi:type="xsd:double"&gt;1.0403869&lt;/D&gt;&lt;/FQL&gt;&lt;FQL&gt;&lt;Q&gt;FIX-US^P_BETA_LOCIDX(44831,44656,,"SPX")&lt;/Q&gt;&lt;R&gt;1&lt;/R&gt;&lt;C&gt;1&lt;/C&gt;&lt;D xsi:type="xsd:double"&gt;1.0329337&lt;/D&gt;&lt;/FQL&gt;&lt;FQL&gt;&lt;Q&gt;FIX-US^P_BETA_LOCIDX(44830,44655,,"SPX")&lt;/Q&gt;&lt;R&gt;1&lt;/R&gt;&lt;C&gt;1&lt;/C&gt;&lt;D xsi:type="xsd:double"&gt;1.0281161&lt;/D&gt;&lt;/FQL&gt;&lt;FQL&gt;&lt;Q&gt;FIX-US^P_BETA_LOCIDX(44827,44652,,"SPX")&lt;/Q&gt;&lt;R&gt;1&lt;/R&gt;&lt;C&gt;1&lt;/C&gt;&lt;D xsi:type="xsd:double"&gt;1.0269346&lt;/D&gt;&lt;/FQL&gt;&lt;FQL&gt;&lt;Q&gt;FIX-US^P_BETA_LOCIDX(44826,44651,,"SPX")&lt;/Q&gt;&lt;R&gt;1&lt;/R&gt;&lt;C&gt;1&lt;/C&gt;&lt;D xsi:type="xsd:double"&gt;1.0222771&lt;/D&gt;&lt;/FQL&gt;&lt;FQL&gt;&lt;Q&gt;FIX-US^P_BETA_LOCIDX(44825,44650,,"SPX")&lt;/Q&gt;&lt;R&gt;1&lt;/R&gt;&lt;C&gt;1&lt;/C&gt;&lt;D xsi:type="xsd:double"&gt;1.0188178&lt;/D&gt;&lt;/FQL&gt;&lt;FQL&gt;&lt;Q&gt;FIX-US^P_BETA_LOCIDX(44824,44649,,"SPX")&lt;/Q&gt;&lt;R&gt;1&lt;/R&gt;&lt;C&gt;1&lt;/C&gt;&lt;D xsi:type="xsd:double"&gt;1.0317501&lt;/D&gt;&lt;/FQL&gt;&lt;FQL&gt;&lt;Q&gt;FIX-US^P_BETA_LOCIDX(44823,44648,,"SPX")&lt;/Q&gt;&lt;R&gt;1&lt;/R&gt;&lt;C&gt;1&lt;/C&gt;&lt;D xsi:type="xsd:double"&gt;1.0347809&lt;/D&gt;&lt;/FQL&gt;&lt;FQL&gt;&lt;Q&gt;FIX-US^P_BETA_LOCIDX(44820,44645,,"SPX")&lt;/Q&gt;&lt;R&gt;1&lt;/R&gt;&lt;C&gt;1&lt;/C&gt;&lt;D xsi:type="xsd:double"&gt;1.0280312&lt;/D&gt;&lt;/FQL&gt;&lt;FQL&gt;&lt;Q&gt;FIX-US^P_BETA_LOCIDX(44819,44644,,"SPX")&lt;/Q&gt;&lt;R&gt;1&lt;/R&gt;&lt;C&gt;1&lt;/C&gt;&lt;D xsi:type="xsd:double"&gt;1.0029693&lt;/D&gt;&lt;/FQL&gt;&lt;FQL&gt;&lt;Q&gt;FIX-US^P_BETA_LOCIDX(44818,44643,,"SPX")&lt;/Q&gt;&lt;R&gt;1&lt;/R&gt;&lt;C&gt;1&lt;/C&gt;&lt;D xsi:type="xsd:double"&gt;1.0125122&lt;/D&gt;&lt;/FQL&gt;&lt;FQL&gt;&lt;Q&gt;FIX-US^P_BETA_LOCIDX(44817,44642,,"SPX")&lt;/Q&gt;&lt;R&gt;1&lt;/R&gt;&lt;C&gt;1&lt;/C&gt;&lt;D xsi:type="xsd:double"&gt;1.0170729&lt;/D&gt;&lt;/FQL&gt;&lt;FQL&gt;&lt;Q&gt;FIX-US^P_BETA_LOCIDX(44816,44641,,"SPX")&lt;/Q&gt;&lt;R&gt;1&lt;/R&gt;&lt;C&gt;1&lt;/C&gt;&lt;D xsi:type="xsd:double"&gt;1.0426844&lt;/D&gt;&lt;/FQL&gt;&lt;FQL&gt;&lt;Q&gt;FIX-US^P_BETA_LOCIDX(44813,44638,,"SPX")&lt;/Q&gt;&lt;R&gt;1&lt;/R&gt;&lt;C&gt;1&lt;/C&gt;&lt;D xsi:type="xsd:double"&gt;1.0352106&lt;/D&gt;&lt;/FQL&gt;&lt;FQL&gt;&lt;Q&gt;FIX-US^P</t>
        </r>
      </text>
    </comment>
    <comment ref="A26" authorId="0" shapeId="0" xr:uid="{1FE2ED5A-62EE-449F-B6EB-C52C8CBEBAAD}">
      <text>
        <r>
          <rPr>
            <b/>
            <sz val="9"/>
            <color indexed="81"/>
            <rFont val="Tahoma"/>
            <family val="2"/>
          </rPr>
          <t>_BETA_LOCIDX(44812,44637,,"SPX")&lt;/Q&gt;&lt;R&gt;1&lt;/R&gt;&lt;C&gt;1&lt;/C&gt;&lt;D xsi:type="xsd:double"&gt;1.0322064&lt;/D&gt;&lt;/FQL&gt;&lt;FQL&gt;&lt;Q&gt;FIX-US^P_BETA_LOCIDX(44811,44636,,"SPX")&lt;/Q&gt;&lt;R&gt;1&lt;/R&gt;&lt;C&gt;1&lt;/C&gt;&lt;D xsi:type="xsd:double"&gt;1.0201691&lt;/D&gt;&lt;/FQL&gt;&lt;FQL&gt;&lt;Q&gt;FIX-US^P_BETA_LOCIDX(44810,44635,,"SPX")&lt;/Q&gt;&lt;R&gt;1&lt;/R&gt;&lt;C&gt;1&lt;/C&gt;&lt;D xsi:type="xsd:double"&gt;1.0053717&lt;/D&gt;&lt;/FQL&gt;&lt;FQL&gt;&lt;Q&gt;FIX-US^P_BETA_LOCIDX(44806,44634,,"SPX")&lt;/Q&gt;&lt;R&gt;1&lt;/R&gt;&lt;C&gt;1&lt;/C&gt;&lt;D xsi:type="xsd:double"&gt;1.0020982&lt;/D&gt;&lt;/FQL&gt;&lt;FQL&gt;&lt;Q&gt;FIX-US^P_BETA_LOCIDX(44805,44631,,"SPX")&lt;/Q&gt;&lt;R&gt;1&lt;/R&gt;&lt;C&gt;1&lt;/C&gt;&lt;D xsi:type="xsd:double"&gt;0.9975617&lt;/D&gt;&lt;/FQL&gt;&lt;FQL&gt;&lt;Q&gt;FIX-US^P_BETA_LOCIDX(44804,44630,,"SPX")&lt;/Q&gt;&lt;R&gt;1&lt;/R&gt;&lt;C&gt;1&lt;/C&gt;&lt;D xsi:type="xsd:double"&gt;0.99537164&lt;/D&gt;&lt;/FQL&gt;&lt;FQL&gt;&lt;Q&gt;FIX-US^P_BETA_LOCIDX(44803,44629,,"SPX")&lt;/Q&gt;&lt;R&gt;1&lt;/R&gt;&lt;C&gt;1&lt;/C&gt;&lt;D xsi:type="xsd:double"&gt;1.0091043&lt;/D&gt;&lt;/FQL&gt;&lt;FQL&gt;&lt;Q&gt;FIX-US^P_BETA_LOCIDX(44802,44628,,"SPX")&lt;/Q&gt;&lt;R&gt;1&lt;/R&gt;&lt;C&gt;1&lt;/C&gt;&lt;D xsi:type="xsd:double"&gt;0.9949489&lt;/D&gt;&lt;/FQL&gt;&lt;FQL&gt;&lt;Q&gt;FIX-US^P_BETA_LOCIDX(44799,44627,,"SPX")&lt;/Q&gt;&lt;R&gt;1&lt;/R&gt;&lt;C&gt;1&lt;/C&gt;&lt;D xsi:type="xsd:double"&gt;0.98184615&lt;/D&gt;&lt;/FQL&gt;&lt;FQL&gt;&lt;Q&gt;FIX-US^P_BETA_LOCIDX(44798,44624,,"SPX")&lt;/Q&gt;&lt;R&gt;1&lt;/R&gt;&lt;C&gt;1&lt;/C&gt;&lt;D xsi:type="xsd:double"&gt;0.9869641&lt;/D&gt;&lt;/FQL&gt;&lt;FQL&gt;&lt;Q&gt;FIX-US^P_BETA_LOCIDX(44797,44623,,"SPX")&lt;/Q&gt;&lt;R&gt;1&lt;/R&gt;&lt;C&gt;1&lt;/C&gt;&lt;D xsi:type="xsd:double"&gt;0.98204195&lt;/D&gt;&lt;/FQL&gt;&lt;FQL&gt;&lt;Q&gt;FIX-US^P_BETA_LOCIDX(44796,44622,,"SPX")&lt;/Q&gt;&lt;R&gt;1&lt;/R&gt;&lt;C&gt;1&lt;/C&gt;&lt;D xsi:type="xsd:double"&gt;0.99444073&lt;/D&gt;&lt;/FQL&gt;&lt;FQL&gt;&lt;Q&gt;FIX-US^P_BETA_LOCIDX(44795,44621,,"SPX")&lt;/Q&gt;&lt;R&gt;1&lt;/R&gt;&lt;C&gt;1&lt;/C&gt;&lt;D xsi:type="xsd:double"&gt;1.0017077&lt;/D&gt;&lt;/FQL&gt;&lt;FQL&gt;&lt;Q&gt;FIX-US^P_BETA_LOCIDX(44792,44620,,"SPX")&lt;/Q&gt;&lt;R&gt;1&lt;/R&gt;&lt;C&gt;1&lt;/C&gt;&lt;D xsi:type="xsd:double"&gt;0.9990288&lt;/D&gt;&lt;/FQL&gt;&lt;FQL&gt;&lt;Q&gt;FIX-US^P_BETA_LOCIDX(44791,44617,,"SPX")&lt;/Q&gt;&lt;R&gt;1&lt;/R&gt;&lt;C&gt;1&lt;/C&gt;&lt;D xsi:type="xsd:double"&gt;1.0051688&lt;/D&gt;&lt;/FQL&gt;&lt;FQL&gt;&lt;Q&gt;FIX-US^P_BETA_LOCIDX(44790,44616,,"SPX")&lt;/Q&gt;&lt;R&gt;1&lt;/R&gt;&lt;C&gt;1&lt;/C&gt;&lt;D xsi:type="xsd:double"&gt;0.9865126&lt;/D&gt;&lt;/FQL&gt;&lt;FQL&gt;&lt;Q&gt;FIX-US^P_BETA_LOCIDX(44789,44615,,"SPX")&lt;/Q&gt;&lt;R&gt;1&lt;/R&gt;&lt;C&gt;1&lt;/C&gt;&lt;D xsi:type="xsd:double"&gt;0.9877853&lt;/D&gt;&lt;/FQL&gt;&lt;FQL&gt;&lt;Q&gt;FIX-US^P_BETA_LOCIDX(44788,44614,,"SPX")&lt;/Q&gt;&lt;R&gt;1&lt;/R&gt;&lt;C&gt;1&lt;/C&gt;&lt;D xsi:type="xsd:double"&gt;0.99484974&lt;/D&gt;&lt;/FQL&gt;&lt;FQL&gt;&lt;Q&gt;FIX-US^P_BETA_LOCIDX(44785,44610,,"SPX")&lt;/Q&gt;&lt;R&gt;1&lt;/R&gt;&lt;C&gt;1&lt;/C&gt;&lt;D xsi:type="xsd:double"&gt;0.9939838&lt;/D&gt;&lt;/FQL&gt;&lt;FQL&gt;&lt;Q&gt;FIX-US^P_BETA_LOCIDX(44784,44609,,"SPX")&lt;/Q&gt;&lt;R&gt;1&lt;/R&gt;&lt;C&gt;1&lt;/C&gt;&lt;D xsi:type="xsd:double"&gt;0.98591816&lt;/D&gt;&lt;/FQL&gt;&lt;FQL&gt;&lt;Q&gt;FIX-US^P_BETA_LOCIDX(44783,44608,,"SPX")&lt;/Q&gt;&lt;R&gt;1&lt;/R&gt;&lt;C&gt;1&lt;/C&gt;&lt;D xsi:type="xsd:double"&gt;0.98623645&lt;/D&gt;&lt;/FQL&gt;&lt;FQL&gt;&lt;Q&gt;FIX-US^P_BETA_LOCIDX(44782,44607,,"SPX")&lt;/Q&gt;&lt;R&gt;1&lt;/R&gt;&lt;C&gt;1&lt;/C&gt;&lt;D xsi:type="xsd:double"&gt;0.9922192&lt;/D&gt;&lt;/FQL&gt;&lt;FQL&gt;&lt;Q&gt;FIX-US^P_BETA_LOCIDX(44781,44606,,"SPX")&lt;/Q&gt;&lt;R&gt;1&lt;/R&gt;&lt;C&gt;1&lt;/C&gt;&lt;D xsi:type="xsd:double"&gt;0.9882588&lt;/D&gt;&lt;/FQL&gt;&lt;FQL&gt;&lt;Q&gt;FIX-US^P_BETA_LOCIDX(44778,44603,,"SPX")&lt;/Q&gt;&lt;R&gt;1&lt;/R&gt;&lt;C&gt;1&lt;/C&gt;&lt;D xsi:type="xsd:double"&gt;0.9809931&lt;/D&gt;&lt;/FQL&gt;&lt;FQL&gt;&lt;Q&gt;FIX-US^P_BETA_LOCIDX(44777,44602,,"SPX")&lt;/Q&gt;&lt;R&gt;1&lt;/R&gt;&lt;C&gt;1&lt;/C&gt;&lt;D xsi:type="xsd:double"&gt;0.9872029&lt;/D&gt;&lt;/FQL&gt;&lt;FQL&gt;&lt;Q&gt;FIX-US^P_BETA_LOCIDX(44776,44601,,"SPX")&lt;/Q&gt;&lt;R&gt;1&lt;/R&gt;&lt;C&gt;1&lt;/C&gt;&lt;D xsi:type="xsd:double"&gt;0.9994856&lt;/D&gt;&lt;/FQL&gt;&lt;FQL&gt;&lt;Q&gt;FIX-US^P_BETA_LOCIDX(44775,44600,,"SPX")&lt;/Q&gt;&lt;R&gt;1&lt;/R&gt;&lt;C&gt;1&lt;/C&gt;&lt;D xsi:type="xsd:double"&gt;1.0105492&lt;/D&gt;&lt;/FQL&gt;&lt;FQL&gt;&lt;Q&gt;FIX-US^P_BETA_LOCIDX(44774,44599,,"SPX")&lt;/Q&gt;&lt;R&gt;1&lt;/R&gt;&lt;C&gt;1&lt;/C&gt;&lt;D xsi:type="xsd:double"&gt;1.0095161&lt;/D&gt;&lt;/FQL&gt;&lt;FQL&gt;&lt;Q&gt;FIX-US^P_BETA_LOCIDX(45845,45670,,"SPX")&lt;/Q&gt;&lt;R&gt;1&lt;/R&gt;&lt;C&gt;1&lt;/C&gt;&lt;D xsi:type="xsd:double"&gt;1.7638309&lt;/D&gt;&lt;/FQL&gt;&lt;FQL&gt;&lt;Q&gt;FERG-US^P_BETA_LOCIDX(45841,45665,,"SPX")&lt;/Q&gt;&lt;R&gt;1&lt;/R&gt;&lt;C&gt;1&lt;/C&gt;&lt;D xsi:type="xsd:double"&gt;0.9144162&lt;/D&gt;&lt;/FQL&gt;&lt;FQL&gt;&lt;Q&gt;FERG-US^P_BETA_LOCIDX(45840,45664,,"SPX")&lt;/Q&gt;&lt;R&gt;1&lt;/R&gt;&lt;C&gt;1&lt;/C&gt;&lt;D xsi:type="xsd:double"&gt;0.91586024&lt;/D&gt;&lt;/FQL&gt;&lt;FQL&gt;&lt;Q&gt;FERG-US^P_BETA_LOCIDX(45839,45663,,"SPX")&lt;/Q&gt;&lt;R&gt;1&lt;/R&gt;&lt;C&gt;1&lt;/C&gt;&lt;D xsi:type="xsd:double"&gt;0.9151354&lt;/D&gt;&lt;/FQL&gt;&lt;FQL&gt;&lt;Q&gt;FERG-US^P_BETA_LOCIDX(45838,45660,,"SPX")&lt;/Q&gt;&lt;R&gt;1&lt;/R&gt;&lt;C&gt;1&lt;/C&gt;&lt;D xsi:type="xsd:double"&gt;0.912491&lt;/D&gt;&lt;/FQL&gt;&lt;FQL&gt;&lt;Q&gt;FERG-US^P_BETA_LOCIDX(45835,45659,,"SPX")&lt;/Q&gt;&lt;R&gt;1&lt;/R&gt;&lt;C&gt;1&lt;/C&gt;&lt;D xsi:type="xsd:double"&gt;0.91376686&lt;/D&gt;&lt;/FQL&gt;&lt;FQL&gt;&lt;Q&gt;FERG-US^P_BETA_LOCIDX(45834,45657,,"SPX")&lt;/Q&gt;&lt;R&gt;1&lt;/R&gt;&lt;C&gt;1&lt;/C&gt;&lt;D xsi:type="xsd:double"&gt;0.91466683&lt;/D&gt;&lt;/FQL&gt;&lt;FQL&gt;&lt;Q&gt;FERG-US^P_BETA_LOCIDX(45833,45656,,"SPX")&lt;/Q&gt;&lt;R&gt;1&lt;/R&gt;&lt;C&gt;1&lt;/C&gt;&lt;D xsi:type="xsd:double"&gt;0.91886157&lt;/D&gt;&lt;/FQL&gt;&lt;FQL&gt;&lt;Q&gt;FERG-US^P_BETA_LOCIDX(45832,45653,,"SPX")&lt;/Q&gt;&lt;R&gt;1&lt;/R&gt;&lt;C&gt;1&lt;/C&gt;&lt;D xsi:type="xsd:double"&gt;0.92166334&lt;/D&gt;&lt;/FQL&gt;&lt;FQL&gt;&lt;Q&gt;FERG-US^P_BETA_LOCIDX(45831,45652,,"SPX")&lt;/Q&gt;&lt;R&gt;1&lt;/R&gt;&lt;C&gt;1&lt;/C&gt;&lt;D xsi:type="xsd:double"&gt;0.91887766&lt;/D&gt;&lt;/FQL&gt;&lt;FQL&gt;&lt;Q&gt;FERG-US^P_BETA_LOCIDX(45828,45650,,"SPX")&lt;/Q&gt;&lt;R&gt;1&lt;/R&gt;&lt;C&gt;1&lt;/C&gt;&lt;D xsi:type="xsd:double"&gt;0.9196471&lt;/D&gt;&lt;/FQL&gt;&lt;FQL&gt;&lt;Q&gt;FERG-US^P_BETA_LOCIDX(45826,45649,,"SPX")&lt;/Q&gt;&lt;R&gt;1&lt;/R&gt;&lt;C&gt;1&lt;/C&gt;&lt;D xsi:type="xsd:double"&gt;0.9155613&lt;/D&gt;&lt;/FQL&gt;&lt;FQL&gt;&lt;Q&gt;FERG-US^P_BETA_LOCIDX(45825,45646,,"SPX")&lt;/Q&gt;&lt;R&gt;1&lt;/R&gt;&lt;C&gt;1&lt;/C&gt;&lt;D xsi:type="xsd:double"&gt;0.9186608&lt;/D&gt;&lt;/FQL&gt;&lt;FQL&gt;&lt;Q&gt;FERG-US^P_BETA_LOCIDX(45824,45645,,"SPX")&lt;/Q&gt;&lt;R&gt;1&lt;/R&gt;&lt;C&gt;1&lt;/C&gt;&lt;D xsi:type="xsd:double"&gt;0.91899794&lt;/D&gt;&lt;/FQL&gt;&lt;FQL&gt;&lt;Q&gt;FERG-US^P_BETA_LOCIDX(45821,45644,,"SPX")&lt;/Q&gt;&lt;R&gt;1&lt;/R&gt;&lt;C&gt;1&lt;/C&gt;&lt;D xsi:type="xsd:double"&gt;0.9366864&lt;/D&gt;&lt;/FQL&gt;&lt;FQL&gt;&lt;Q&gt;FERG-US^P_BETA_LOCIDX(45820,45643,,"SPX")&lt;/Q&gt;&lt;R&gt;1&lt;/R&gt;&lt;C&gt;1&lt;/C&gt;&lt;D xsi:type="xsd:double"&gt;0.93879926&lt;/D&gt;&lt;/FQL&gt;&lt;FQL&gt;&lt;Q&gt;FERG-US^P_BETA_LOCIDX(45819,45642,,"SPX")&lt;/Q&gt;&lt;R&gt;1&lt;/R&gt;&lt;C&gt;1&lt;/C&gt;&lt;D xsi:type="xsd:double"&gt;0.93743324&lt;/D&gt;&lt;/FQL&gt;&lt;FQL&gt;&lt;Q&gt;FERG-US^P_BETA_LOCIDX(45818,45639,,"SPX")&lt;/Q&gt;&lt;R&gt;1&lt;/R&gt;&lt;C&gt;1&lt;/C&gt;&lt;D xsi:type="xsd:double"&gt;0.9361631&lt;/D&gt;&lt;/FQL&gt;&lt;FQL&gt;&lt;Q&gt;FERG-US^P_BETA_LOCIDX(45817,45638,,"SPX")&lt;/Q&gt;&lt;R&gt;1&lt;/R&gt;&lt;C&gt;1&lt;/C&gt;&lt;D xsi:type="xsd:double"&gt;0.93727577&lt;/D&gt;&lt;/FQL&gt;&lt;FQL&gt;&lt;Q&gt;FERG-US^P_BETA_LOCIDX(45814,45637,,"SPX")&lt;/Q&gt;&lt;R&gt;1&lt;/R&gt;&lt;C&gt;1&lt;/C&gt;&lt;D xsi:type="xsd:double"&gt;0.93279886&lt;/D&gt;&lt;/FQL&gt;&lt;FQL&gt;&lt;Q&gt;FERG-US^P_BETA_LOCIDX(45813,45636,,"SPX")&lt;/Q&gt;&lt;R&gt;1&lt;/R&gt;&lt;C&gt;1&lt;/C&gt;&lt;D xsi:type="xsd:double"&gt;0.95256996&lt;/D&gt;&lt;/FQL&gt;&lt;FQL&gt;&lt;Q&gt;FERG-US^P_BETA_LOCIDX(45812,45635,,"SPX")&lt;/Q&gt;&lt;R&gt;1&lt;/R&gt;&lt;C&gt;1&lt;/C&gt;&lt;D xsi:type="xsd:double"&gt;0.9503013&lt;/D&gt;&lt;/FQL&gt;&lt;FQL&gt;&lt;Q&gt;FERG-US^P_BETA_LOCIDX(45811,45632,,"SPX")&lt;/Q&gt;&lt;R&gt;1&lt;/R&gt;&lt;C&gt;1&lt;/C&gt;&lt;D xsi:type="xsd:double"&gt;0.9506882&lt;/D&gt;&lt;/FQL&gt;&lt;FQL&gt;&lt;Q&gt;FERG-US^P_BETA_LOCIDX(45810,45631,,"SPX")&lt;/Q&gt;&lt;R&gt;1&lt;/R&gt;&lt;C&gt;1&lt;/C&gt;&lt;D xsi:type="xsd:double"&gt;0.9195876&lt;/D&gt;&lt;/FQL&gt;&lt;FQL&gt;&lt;Q&gt;FERG-US^P_BETA_LOCIDX(45807,45630,,"SPX")&lt;/Q&gt;&lt;R&gt;1&lt;/R&gt;&lt;C&gt;1&lt;/C&gt;&lt;D xsi:type="xsd:double"&gt;0.92236286&lt;/D&gt;&lt;/FQL&gt;&lt;FQL&gt;&lt;Q&gt;FERG-US^P_BETA_LOCIDX(45806,45629,,"SPX")&lt;/Q&gt;&lt;R&gt;1&lt;/R&gt;&lt;C&gt;1&lt;/C&gt;&lt;D xsi:type="xsd:double"&gt;0.9229377&lt;/D&gt;&lt;/FQL&gt;&lt;FQL&gt;&lt;Q&gt;FERG-US^P_BETA_LOCIDX(45805,45628,,"SPX")&lt;/Q&gt;&lt;R&gt;1&lt;/R&gt;&lt;C&gt;1&lt;/C&gt;&lt;D xsi:type="xsd:double"&gt;0.9220204&lt;/D&gt;&lt;/FQL&gt;&lt;FQL&gt;&lt;Q&gt;FERG-US^P_BETA_LOCIDX(45804,45625,,"SPX")&lt;/Q&gt;&lt;R&gt;1&lt;/R&gt;&lt;C&gt;1&lt;/C&gt;&lt;D xsi:type="xsd:double"&gt;0.9243291&lt;/D&gt;&lt;/FQL&gt;&lt;FQL&gt;&lt;Q&gt;FERG-US^P_BETA_LOCIDX(45800,45623,,"SPX")&lt;/Q&gt;&lt;R&gt;1&lt;/R&gt;&lt;C&gt;1&lt;/C&gt;&lt;D xsi:type="xsd:double"&gt;0.91736084&lt;/D&gt;&lt;/FQL&gt;&lt;FQL&gt;&lt;Q&gt;FERG-US^P_BETA_LOCIDX(45799,45622,,"SPX")&lt;/Q&gt;&lt;R&gt;1&lt;/R&gt;&lt;C&gt;1&lt;/C&gt;&lt;D xsi:type="xsd:double"&gt;0.9135637&lt;/D&gt;&lt;/FQL&gt;&lt;FQL&gt;&lt;Q&gt;FERG-US^P_BETA_LOCIDX(45798,45621,,"SPX")&lt;/Q&gt;&lt;R&gt;1&lt;/R&gt;&lt;C&gt;1&lt;/C&gt;&lt;D xsi:type="xsd:double"&gt;0.9170307&lt;/D&gt;&lt;/FQL&gt;&lt;FQL&gt;&lt;Q&gt;FERG-US^P_BETA_LOCIDX(45797,45618,,"SPX")&lt;/Q&gt;&lt;R&gt;1&lt;/R&gt;&lt;C&gt;1&lt;/C&gt;&lt;D xsi:type="xsd:double"&gt;0.9165331&lt;/D&gt;&lt;/FQL&gt;&lt;FQL&gt;&lt;Q&gt;FERG-US^P_BETA_LOCIDX(45796,45617,,"SPX")&lt;/Q&gt;&lt;R&gt;1&lt;/R&gt;&lt;C&gt;1&lt;/C&gt;&lt;D xsi:type="xsd:double"&gt;0.91881925&lt;/D&gt;&lt;/FQL&gt;&lt;FQL&gt;&lt;Q&gt;FERG-US^P_BETA_LOCIDX(45793,45616,,"SPX")&lt;/Q&gt;&lt;R&gt;1&lt;/R&gt;&lt;C&gt;1&lt;/C&gt;&lt;D xsi:type="xsd:double"&gt;0.91898793&lt;/D&gt;&lt;/FQL&gt;&lt;FQL&gt;&lt;Q&gt;FERG-US^P_BETA_LOCIDX(45792,45615,,"SPX")&lt;/Q&gt;&lt;R&gt;1&lt;/R&gt;&lt;C&gt;1&lt;/C&gt;&lt;D xsi:type="xsd:double"&gt;0.9167719&lt;/D&gt;&lt;/FQL&gt;&lt;FQL&gt;&lt;Q&gt;FERG-US^P_BETA_LOCIDX(45791,45614,,"SPX")&lt;/Q&gt;&lt;R&gt;1&lt;/R&gt;&lt;C&gt;1&lt;/C&gt;&lt;D xsi:type="xsd:double"&gt;0.91221225&lt;/D&gt;&lt;/FQL&gt;&lt;FQL&gt;&lt;Q&gt;FERG-US^P_BETA_LOCIDX(45790,45611,,"SPX")&lt;/Q&gt;&lt;R&gt;1&lt;/R&gt;&lt;C&gt;1&lt;/C&gt;&lt;D xsi:type="xsd:double"&gt;0.9139829&lt;/D&gt;&lt;/FQL&gt;&lt;FQL&gt;&lt;Q&gt;FERG-US^P_BETA_LOCIDX(45789,45610,,"SPX")&lt;/Q&gt;&lt;R&gt;1&lt;/R&gt;&lt;C&gt;1&lt;/C&gt;&lt;D xsi:type="xsd:double"&gt;0.9158038&lt;/D&gt;&lt;/FQL&gt;&lt;FQL&gt;&lt;Q&gt;FERG-US^P_BETA_LOCIDX(45786,45609,,"SPX")&lt;/Q&gt;&lt;R&gt;1&lt;/R&gt;&lt;C&gt;1&lt;/C&gt;&lt;D xsi:type="xsd:double"&gt;0.91251975&lt;/D&gt;&lt;/FQL&gt;&lt;FQL&gt;&lt;Q&gt;FERG-US^P_BETA_LOCIDX(45785,45608,,"SPX")&lt;/Q&gt;&lt;R&gt;1&lt;/R&gt;&lt;C&gt;1&lt;/C&gt;&lt;D xsi:type="xsd:double"&gt;0.91345644&lt;/D&gt;&lt;/FQL&gt;&lt;FQL&gt;&lt;Q&gt;FERG-US^P_BETA_LOCIDX(45784,45607,,"SPX")&lt;/Q&gt;&lt;R&gt;1&lt;/R&gt;&lt;C&gt;1&lt;/C&gt;&lt;D xsi:type="xsd:double"&gt;0.9108617&lt;/D&gt;&lt;/FQL&gt;&lt;FQL&gt;&lt;Q&gt;FERG-US^P_BETA_LOCIDX(45783,45604,,"SPX")&lt;/Q&gt;&lt;R&gt;1&lt;/R&gt;&lt;C&gt;1&lt;/C&gt;&lt;D xsi:type="xsd:double"&gt;0.909164&lt;/D&gt;&lt;/FQL&gt;&lt;FQL&gt;&lt;Q&gt;FERG-US^P_BETA_LOCIDX(45782,45603,,"SPX")&lt;/Q&gt;&lt;R&gt;1&lt;/R&gt;&lt;C&gt;1&lt;/C&gt;&lt;D xsi:type="xsd:double"&gt;0.9038947&lt;/D&gt;&lt;/FQL&gt;&lt;FQL&gt;&lt;Q&gt;FERG-US^P_BETA_LOCIDX(45779,45602,,"SPX")&lt;/Q&gt;&lt;R&gt;1&lt;/R&gt;&lt;C&gt;1&lt;/C&gt;&lt;D xsi:type="xsd:double"&gt;0.9249525&lt;/D&gt;&lt;/FQL&gt;&lt;FQL&gt;&lt;Q&gt;FERG-US^P_BETA_LOCIDX(45778,45601,,"SPX")&lt;/Q&gt;&lt;R&gt;1&lt;/R&gt;&lt;C&gt;1&lt;/C&gt;&lt;D xsi:type="xsd:double"&gt;0.9278475&lt;/D&gt;&lt;/FQL&gt;&lt;FQL&gt;&lt;Q&gt;FERG-US^P_BETA_LOCIDX(45777,45600,,"SPX")&lt;/Q&gt;&lt;R&gt;1&lt;/R&gt;&lt;C&gt;1&lt;/C&gt;&lt;D xsi:type="xsd:double"&gt;0.9284659&lt;/D&gt;&lt;/FQL&gt;&lt;FQL&gt;&lt;Q&gt;FERG-US^P_BETA_LOCIDX(45776,45597,,"SPX")&lt;/Q&gt;&lt;R&gt;1&lt;/R&gt;&lt;C&gt;1&lt;/C&gt;&lt;D xsi:type="xsd:double"&gt;0.92903894&lt;/D&gt;&lt;/FQL&gt;&lt;FQL&gt;&lt;Q&gt;FERG-US^P_BETA_LOCIDX(45775,45596,,"SPX")&lt;/Q&gt;&lt;R&gt;1&lt;/R&gt;&lt;C&gt;1&lt;/C&gt;&lt;D xsi:type="xsd:double"&gt;0.9203992&lt;/D&gt;&lt;/FQL&gt;&lt;FQL&gt;&lt;Q&gt;FERG-US^P_BETA_LOCIDX(45772,45595,,"SPX")&lt;/Q&gt;&lt;R&gt;1&lt;/R&gt;&lt;C&gt;1&lt;/C&gt;&lt;D xsi:type="xsd:double"&gt;0.91874236&lt;/D&gt;&lt;/FQL&gt;&lt;FQL&gt;&lt;Q&gt;FERG-US^P_BETA_LOCIDX(45771,45594,,"SPX")&lt;/Q&gt;&lt;R&gt;1&lt;/R&gt;&lt;C&gt;1&lt;/C&gt;&lt;D xsi:type="xsd:double"&gt;0.9196819&lt;/D&gt;&lt;/FQL&gt;&lt;FQL&gt;&lt;Q&gt;FERG-US^P_BETA_LOCIDX(45770,45593,,"SPX")&lt;/Q&gt;&lt;R&gt;1&lt;/R&gt;&lt;C&gt;1&lt;/C&gt;&lt;D xsi:type="xsd:double"&gt;0.9048266&lt;/D&gt;&lt;/FQL&gt;&lt;FQL&gt;&lt;Q&gt;FERG-US^P_BETA_LOCIDX(45769,45590,,"SPX")&lt;/Q&gt;&lt;R&gt;1&lt;/R&gt;&lt;C&gt;1&lt;/C&gt;&lt;D xsi:type="xsd:double"&gt;0.9137922&lt;/D&gt;&lt;/FQL&gt;&lt;FQL&gt;&lt;Q&gt;FERG-US^P_BETA_LOCIDX(45768,45589,,"SPX")&lt;/Q&gt;&lt;R&gt;1&lt;/R&gt;&lt;C&gt;1&lt;/C&gt;&lt;D xsi:type="xsd:double"&gt;0.92091954&lt;/D&gt;&lt;/FQL&gt;&lt;FQL&gt;&lt;Q&gt;FERG-US^P_BETA_LOCIDX(45764,45588,,"SPX")&lt;/Q&gt;&lt;R&gt;1&lt;/R&gt;&lt;C&gt;1&lt;/C&gt;&lt;D xsi:type="xsd:double"&gt;0.91925675&lt;/D&gt;&lt;/FQL&gt;&lt;FQL&gt;&lt;Q&gt;FERG-US^P_BETA_LOCIDX(45763,45587,,"SPX")&lt;/Q&gt;&lt;R&gt;1&lt;/R&gt;&lt;C&gt;1&lt;/C&gt;&lt;D xsi:type="xsd:double"&gt;0.9182501&lt;/D&gt;&lt;/FQL&gt;&lt;FQL&gt;&lt;Q&gt;FERG-US^P_BETA_LOCIDX(45762,45586,,"SPX")&lt;/Q&gt;&lt;R&gt;1&lt;/R&gt;&lt;C&gt;1&lt;/C&gt;&lt;D xsi:type="xsd:double"&gt;0.92003906&lt;/D&gt;&lt;/FQL&gt;&lt;FQL&gt;&lt;Q&gt;FERG-US^P_BETA_LOCIDX(45761,45583,,"SPX")&lt;/Q&gt;&lt;R&gt;1&lt;/R&gt;&lt;C&gt;1&lt;/C&gt;&lt;D xsi:type="xsd:double"&gt;0.91897935&lt;/D&gt;&lt;/FQL&gt;&lt;FQL&gt;&lt;Q&gt;FERG-US^P_BETA_LOCIDX(45758,45582,,"SPX")&lt;/Q&gt;&lt;R&gt;1&lt;/R&gt;&lt;C&gt;1&lt;/C&gt;&lt;D xsi:type="xsd:double"&gt;0.91768754&lt;/D&gt;&lt;/FQL&gt;&lt;FQL&gt;&lt;Q&gt;FERG-US^P_BETA_LOCIDX(45757,45581,,"SPX")&lt;/Q&gt;&lt;R&gt;1&lt;/R&gt;&lt;C&gt;1&lt;/C&gt;&lt;D xsi:type="xsd:double"&gt;0.917816&lt;/D&gt;&lt;/FQL&gt;&lt;FQL&gt;&lt;Q&gt;FERG-US^P_BETA_LOCIDX(45756,45580,,"SPX")&lt;/Q&gt;&lt;R&gt;1&lt;/R&gt;&lt;C&gt;1&lt;/C&gt;&lt;D xsi:type="xsd:double"&gt;0.9382889&lt;/D&gt;&lt;/FQL&gt;&lt;FQL&gt;&lt;Q&gt;FERG-US^P_BETA_LOCIDX(45755,45579,,"SPX")&lt;/Q&gt;&lt;R&gt;1&lt;/R&gt;&lt;C&gt;1&lt;/C&gt;&lt;D xsi:type="xsd:double"&gt;0.7985783&lt;/D&gt;&lt;/FQL&gt;&lt;FQL&gt;&lt;Q&gt;FERG-US^P_BETA_LOCIDX(45754,45576,,"SPX")&lt;/Q&gt;&lt;R&gt;1&lt;/R&gt;&lt;C&gt;1&lt;/C&gt;&lt;D xsi:type="xsd:double"&gt;0.785792&lt;/D&gt;&lt;/FQL&gt;&lt;FQL&gt;&lt;Q&gt;FERG-US^P_BETA_LOCIDX(45751,45575,,"SPX")&lt;/Q&gt;&lt;R&gt;1&lt;/R&gt;&lt;C&gt;1&lt;/C&gt;&lt;D xsi:type="xsd:double"&gt;0.7838837&lt;/D&gt;&lt;/FQL&gt;&lt;FQL&gt;&lt;Q&gt;FERG-US^P_BETA_LOCIDX(45750,45574,,"SPX")&lt;/Q&gt;&lt;R&gt;1&lt;/R&gt;&lt;C&gt;1&lt;/C&gt;&lt;D xsi:type="xsd:double"&gt;0.933862&lt;/D&gt;&lt;/FQL&gt;&lt;FQL&gt;&lt;Q&gt;FERG-US^P_BETA_LOCIDX(45749,45573,,"SPX")&lt;/Q&gt;&lt;R&gt;1&lt;/R&gt;&lt;C&gt;1&lt;/C&gt;&lt;D xsi:type="xsd:double"&gt;0.96100557&lt;/D&gt;&lt;/FQL&gt;&lt;FQL&gt;&lt;Q&gt;FERG-US^P_BETA_LOCIDX(45748,45572,,"SPX")&lt;/Q&gt;&lt;R&gt;1&lt;/R&gt;&lt;C&gt;1&lt;/C&gt;&lt;D xsi:type="xsd:double"&gt;0.93786603&lt;/D&gt;&lt;/FQL&gt;&lt;FQL&gt;&lt;Q&gt;FERG-US^P_BETA_LOCIDX(45747,45569,,"SPX")&lt;/Q&gt;&lt;R&gt;1&lt;/R&gt;&lt;C&gt;1&lt;/C&gt;&lt;D xsi:type="xsd:double"&gt;0.9462283&lt;/D&gt;&lt;/FQL&gt;&lt;FQL&gt;&lt;Q&gt;FERG-US^P_BETA_LOCIDX(45744,45568,,"SPX")&lt;/Q&gt;&lt;R&gt;1&lt;/R&gt;&lt;C&gt;1&lt;/C&gt;&lt;D xsi:type="xsd:double"&gt;0.95225203&lt;/D&gt;&lt;/FQL&gt;&lt;FQL&gt;&lt;Q&gt;FERG-US^P_BETA_LOCIDX(45743,45567,,"SPX")&lt;/Q&gt;&lt;R&gt;1&lt;/R&gt;&lt;C&gt;1&lt;/C&gt;&lt;D xsi:type="xsd:double"&gt;0.9620868&lt;/D&gt;&lt;/FQL&gt;&lt;FQL&gt;&lt;Q&gt;FERG-US^P_BETA_LOCIDX(45742,45566,,"SPX")&lt;/Q&gt;&lt;R&gt;1&lt;/R&gt;&lt;C&gt;1&lt;/C&gt;&lt;D xsi:type="xsd:double"&gt;0.9465889&lt;/D&gt;&lt;/FQL&gt;&lt;FQL&gt;&lt;Q&gt;FERG-US^P_BETA_LOCIDX(45741,45565,,"SPX")&lt;/Q&gt;&lt;R&gt;1&lt;/R&gt;&lt;C&gt;1&lt;/C&gt;&lt;D xsi:type="xsd:double"&gt;0.94761264&lt;/D&gt;&lt;/FQL&gt;&lt;FQL&gt;&lt;Q&gt;FERG-US^P_BETA_LOCIDX(45740,45562,,"SPX")&lt;/Q&gt;&lt;R&gt;1&lt;/R&gt;&lt;C&gt;1&lt;/C&gt;&lt;D xsi:type="xsd:double"&gt;0.946789&lt;/D&gt;&lt;/FQL&gt;&lt;FQL&gt;&lt;Q&gt;FERG-US^P_BETA_LOCIDX(45737,45561,,"SPX")&lt;/Q&gt;&lt;R&gt;1&lt;/R&gt;&lt;C&gt;1&lt;/C&gt;&lt;D xsi:type="xsd:double"&gt;0.9547666&lt;/D&gt;&lt;/FQL&gt;&lt;FQL&gt;&lt;Q&gt;FERG-US^P_BETA_LOCIDX(45736,45560,,"SPX")&lt;/Q&gt;&lt;R&gt;1&lt;/R&gt;&lt;C&gt;1&lt;/C&gt;&lt;D xsi:type="xsd:double"&gt;0.9565293&lt;/D&gt;&lt;/FQL&gt;&lt;FQL&gt;&lt;Q&gt;FERG-US^P_BETA_LOCIDX(45735,45559,,"SPX")&lt;/Q&gt;&lt;R&gt;1&lt;/R&gt;&lt;C&gt;1&lt;/C&gt;&lt;D xsi:type="xsd:double"&gt;0.9574134&lt;/D&gt;&lt;/FQL&gt;&lt;FQL&gt;&lt;Q&gt;FERG-US^P_BETA_LOCIDX(45734,45558,,"SPX")&lt;/Q&gt;&lt;R&gt;1&lt;/R&gt;&lt;C&gt;1&lt;/C&gt;&lt;D xsi:type="xsd:double"&gt;0.9616466&lt;/D&gt;&lt;/FQL&gt;&lt;FQL&gt;&lt;Q&gt;FERG-US^P_BETA_LOCIDX(45733,45555,,"SPX")&lt;/Q&gt;&lt;R&gt;1&lt;/R&gt;&lt;C&gt;1&lt;/C&gt;&lt;D xsi:type="xsd:double"&gt;0.9888244&lt;/D&gt;&lt;/FQL&gt;&lt;FQL&gt;&lt;Q&gt;FERG-US^P_BETA_LOCIDX(45730,45554,,"SPX")&lt;/Q&gt;&lt;R&gt;1&lt;/R&gt;&lt;C&gt;1&lt;/C&gt;&lt;D xsi:type="xsd:double"&gt;0.9770895&lt;/D&gt;&lt;/FQL&gt;&lt;FQL&gt;&lt;Q&gt;FERG-US^P_BETA_LOCIDX(45729,45553,,"SPX")&lt;/Q&gt;&lt;R&gt;1&lt;/R&gt;&lt;C&gt;1&lt;/C&gt;&lt;D xsi:type="xsd:double"&gt;0.94889927&lt;/D&gt;&lt;/FQL&gt;&lt;FQL&gt;&lt;Q&gt;FERG-US^P_BETA_LOCIDX(45728,45552,,"SPX")&lt;/Q&gt;&lt;R&gt;1&lt;/R&gt;&lt;C&gt;1&lt;/C&gt;&lt;D xsi:type="xsd:double"&gt;0.96710575&lt;/D&gt;&lt;/FQL&gt;&lt;FQL&gt;&lt;Q&gt;FERG-US^P_BETA_LOCIDX(45727,45551,,"SPX")&lt;/Q&gt;&lt;R&gt;1&lt;/R&gt;&lt;C&gt;1&lt;/C&gt;&lt;D xsi:type="xsd:double"&gt;0.9761784&lt;/D&gt;&lt;/FQL&gt;&lt;FQL&gt;&lt;Q&gt;FERG-US^P_BETA_LOCIDX(45726,45548,,"SPX")&lt;/Q&gt;&lt;R&gt;1&lt;/R&gt;&lt;C&gt;1&lt;/C&gt;&lt;D xsi:type="xsd:double"&gt;0.945826&lt;/D&gt;&lt;/FQL&gt;&lt;FQL&gt;&lt;Q&gt;FERG-US^P_BETA_LOCIDX(45723,45547,,"SPX")&lt;/Q&gt;&lt;R&gt;1&lt;/R&gt;&lt;C&gt;1&lt;/C&gt;&lt;D xsi:type="xsd:double"&gt;0.9846397&lt;/D&gt;&lt;/FQL&gt;&lt;FQL&gt;&lt;Q&gt;FERG-US^P_BETA_LOCIDX(45722,45546,,"SPX")&lt;/Q&gt;&lt;R&gt;1&lt;/R&gt;&lt;C&gt;1&lt;/C&gt;&lt;D xsi:type="xsd:double"&gt;0.96380454&lt;/D&gt;&lt;/FQL&gt;&lt;FQL&gt;&lt;Q&gt;FERG-US^P_BETA_LOCIDX(45721,45545,,"SPX")&lt;/Q&gt;&lt;R&gt;1&lt;/R&gt;&lt;C&gt;1&lt;/C&gt;&lt;D xsi:type="xsd:double"&gt;0.96445966&lt;/D&gt;&lt;/FQL&gt;&lt;FQL&gt;&lt;Q&gt;FERG-US^P_BETA_LOCIDX(45720,45544,,"SPX")&lt;/Q&gt;&lt;R&gt;1&lt;/R&gt;&lt;C&gt;1&lt;/C&gt;&lt;D xsi:type="xsd:double"&gt;0.91423875&lt;/D&gt;&lt;/FQL&gt;&lt;FQL&gt;&lt;Q&gt;FERG-US^P_BETA_LOCIDX(45719,45541,,"SPX")&lt;/Q&gt;&lt;R&gt;1&lt;/R&gt;&lt;C&gt;1&lt;/C&gt;&lt;D xsi:type="xsd:double"&gt;0.8835758&lt;/D&gt;&lt;/FQL&gt;&lt;FQL&gt;&lt;Q&gt;FERG-US^P_BETA_LOCIDX(45716,45540,,"SPX")&lt;/Q&gt;&lt;R&gt;1&lt;/R&gt;&lt;C&gt;1&lt;/C&gt;&lt;D xsi:type="xsd:double"&gt;0.87446165&lt;/D&gt;&lt;/FQL&gt;&lt;FQL&gt;&lt;Q&gt;FERG-US^P_BETA_LOCIDX(45715,45539,,"SPX")&lt;/Q&gt;&lt;R&gt;1&lt;/R&gt;&lt;C&gt;1&lt;/C&gt;&lt;D xsi:type="xsd:double"&gt;0.8827763&lt;/D&gt;&lt;/FQL&gt;&lt;FQL&gt;&lt;Q&gt;FERG-US^P_BETA_LOCIDX(45714,45538,,"SPX")&lt;/Q&gt;&lt;R&gt;1&lt;/R&gt;&lt;C&gt;1&lt;/C&gt;&lt;D xsi:type="xsd:double"&gt;0.8958974&lt;/D&gt;&lt;/FQL&gt;&lt;FQL&gt;&lt;Q&gt;FERG-US^P_BETA_LOCIDX(45713,45534,,"SPX")&lt;/Q&gt;&lt;R&gt;1&lt;/R&gt;&lt;C&gt;1&lt;/C&gt;&lt;D xsi:type="xsd:double"&gt;0.89154714&lt;/D&gt;&lt;/FQL&gt;&lt;FQL&gt;&lt;Q&gt;FERG-US^P_BETA_LOCIDX(45712,45533,,"SPX")&lt;/Q&gt;&lt;R&gt;1&lt;/R&gt;&lt;C&gt;1&lt;/C&gt;&lt;D xsi:type="xsd:double"&gt;0.9043477&lt;/D&gt;&lt;/FQL&gt;&lt;FQL&gt;&lt;Q&gt;FERG-US^P_BETA_LOCIDX(45709,45532,,"SPX")&lt;/Q&gt;&lt;R&gt;1&lt;/R&gt;&lt;C&gt;1&lt;/C&gt;&lt;D xsi:type="xsd:double"&gt;0.9092319&lt;/D&gt;&lt;/FQL&gt;&lt;FQL&gt;&lt;Q&gt;FERG-US^P_BETA_LOCIDX(45708,45531,,"SPX")&lt;/Q&gt;&lt;R&gt;1&lt;/R&gt;&lt;C&gt;1&lt;/C&gt;&lt;D xsi:type="xsd:double"&gt;0.9003957&lt;/D&gt;&lt;/FQL&gt;&lt;FQL&gt;&lt;Q&gt;FERG-US^P_BETA_LOCIDX(45707,45530,,"SPX")&lt;/Q&gt;&lt;R&gt;1&lt;/R&gt;&lt;C&gt;1&lt;/C&gt;&lt;D xsi:type="xsd:double"&gt;0.88921136&lt;/D&gt;&lt;/FQL&gt;&lt;FQL&gt;&lt;Q&gt;FERG-US^P_BETA_LOCIDX(45706,45527,,"SPX")&lt;/Q&gt;&lt;R&gt;1&lt;/R&gt;&lt;C&gt;1&lt;/C&gt;&lt;D xsi:type="xsd:double"&gt;0.9166827&lt;/D&gt;&lt;/FQL&gt;&lt;FQL&gt;&lt;Q&gt;FERG-US^P_BETA_LOCIDX(45702,45526,,"SPX")&lt;/Q&gt;&lt;R&gt;1&lt;/R&gt;&lt;C&gt;1&lt;/C&gt;&lt;D xsi:type="xsd:double"&gt;0.91817206&lt;/D&gt;&lt;/FQL&gt;&lt;FQL&gt;&lt;Q&gt;FERG-US^P_BETA_LOCIDX(45701,45525,,"SPX")&lt;/Q&gt;&lt;R&gt;1&lt;/R&gt;&lt;C&gt;1&lt;/C&gt;&lt;D xsi:type="xsd:double"&gt;0.92892814&lt;/D&gt;&lt;/FQL&gt;&lt;FQL&gt;&lt;Q&gt;FERG-US^P_BETA_LOCIDX(45700,45524,,"SPX")&lt;/Q&gt;&lt;R&gt;1&lt;/R&gt;&lt;C&gt;1&lt;/C&gt;&lt;D xsi:type="xsd:double"&gt;0.9196251&lt;/D&gt;&lt;/FQL&gt;&lt;FQL&gt;&lt;Q&gt;FERG-US^P_BETA_LOCIDX(45699,45523,,"SPX")&lt;/Q&gt;&lt;R&gt;1&lt;/R&gt;&lt;C&gt;1&lt;/C&gt;&lt;D xsi:type="xsd:double"&gt;0.91270393&lt;/D&gt;&lt;/FQL&gt;&lt;FQL&gt;&lt;Q&gt;FERG-US^P_BETA_LOCIDX(45698,45520,,"SPX")&lt;/Q&gt;&lt;R&gt;1&lt;/R&gt;&lt;C&gt;1&lt;/C&gt;&lt;D xsi:type="xsd:double"&gt;0.9102464&lt;/D&gt;&lt;/FQL&gt;&lt;FQL&gt;&lt;Q&gt;FERG-US^P_BETA_LOCIDX(45695,45519,,"SPX")&lt;/Q&gt;&lt;R&gt;1&lt;/R&gt;&lt;C&gt;1&lt;/C&gt;&lt;D xsi:type="xsd:double"&gt;0.92841893&lt;/D&gt;&lt;/FQL&gt;&lt;FQL&gt;&lt;Q&gt;FERG-US^P_BETA_LOCIDX(45694,45518,,"SPX")&lt;/Q&gt;&lt;R&gt;1&lt;/R&gt;&lt;C&gt;1&lt;/C&gt;&lt;D xsi:type="xsd:double"&gt;0.9062185&lt;/D&gt;&lt;/FQL&gt;&lt;FQL&gt;&lt;Q&gt;FERG-US^P_BETA_LOCIDX(45693,45517,,"SPX")&lt;/Q&gt;&lt;R&gt;1&lt;/R&gt;&lt;C&gt;1&lt;/C&gt;&lt;D xsi:type="xsd:double"&gt;0.95379245&lt;/D&gt;&lt;/FQL&gt;&lt;FQL&gt;&lt;Q&gt;FERG-US^P_BETA_LOCIDX(45692,45516,,"SPX")&lt;/Q&gt;&lt;R&gt;1&lt;/R&gt;&lt;C&gt;1&lt;/C&gt;&lt;D xsi:type="xsd:double"&gt;0.94946605&lt;/D&gt;&lt;/FQL&gt;&lt;FQL&gt;&lt;Q&gt;FERG-US^P_BETA_LOCIDX(45691,45513,,"SPX")&lt;/Q&gt;&lt;R&gt;1&lt;/R&gt;&lt;C&gt;1&lt;/C&gt;&lt;D xsi:type="xsd:double"&gt;0.9729074&lt;/D&gt;&lt;/FQL&gt;&lt;FQL&gt;&lt;Q&gt;FERG-US^P_BETA_LOCIDX(45688,45512,,"SPX")&lt;/Q&gt;&lt;R&gt;1&lt;/R&gt;&lt;C&gt;1&lt;/C&gt;&lt;D xsi:type="xsd:double"&gt;0.9817735&lt;/D&gt;&lt;/FQL&gt;&lt;FQL&gt;&lt;Q&gt;FERG-US^P_BETA_LOCIDX(45687,45511,,"SPX")&lt;/Q&gt;&lt;R&gt;1&lt;/R&gt;&lt;C&gt;1&lt;/C&gt;&lt;D xsi:type="xsd:double"&gt;1.0026253&lt;/D&gt;&lt;/FQL&gt;&lt;FQL&gt;&lt;Q&gt;FERG-US^P_BETA_LOCIDX(45686,45510,,"SPX")&lt;/Q&gt;&lt;R&gt;1&lt;/R&gt;&lt;C&gt;1&lt;/C&gt;&lt;D xsi:type="xsd:double"&gt;1.0012983&lt;/D&gt;&lt;/FQL&gt;&lt;FQL&gt;&lt;Q&gt;FERG-US^P_BETA_LOCIDX(45685,45509,,"SPX")&lt;/Q&gt;&lt;R&gt;1&lt;/R&gt;&lt;C&gt;1&lt;/C&gt;&lt;D xsi:type="xsd:double"&gt;1.0177919&lt;/D&gt;&lt;/FQL&gt;&lt;FQL&gt;&lt;Q&gt;FERG-US^P_BETA_LOCIDX(45684,45506,,"SPX")&lt;/Q&gt;&lt;R&gt;1&lt;/R&gt;&lt;C&gt;1&lt;/C&gt;&lt;D xsi:type="xsd:double"&gt;1.0920486&lt;/D&gt;&lt;/FQL&gt;&lt;FQL&gt;&lt;Q&gt;FERG-US^P_BETA_LOCIDX(45681,45505,,"SPX")&lt;/Q&gt;&lt;R&gt;1&lt;/R&gt;&lt;C&gt;1&lt;/C&gt;&lt;D xsi:type="xsd:double"&gt;1.1710387&lt;/D&gt;&lt;/FQL&gt;&lt;FQL&gt;&lt;Q&gt;FERG-US^P_BETA_LOCIDX(45680,45504,,"SPX")&lt;/Q&gt;&lt;R&gt;1&lt;/R&gt;&lt;C&gt;1&lt;/C&gt;&lt;D xsi:type="xsd:double"&gt;1.174157&lt;/D&gt;&lt;/FQL&gt;&lt;FQL&gt;&lt;Q&gt;FERG-US^P_BETA_LOCIDX(45679,45503,,"SPX")&lt;/Q&gt;&lt;R&gt;1&lt;/R&gt;&lt;C&gt;1&lt;/C&gt;&lt;D xsi:type="xsd:double"&gt;1.1793855&lt;/D&gt;&lt;/FQL&gt;&lt;FQL&gt;&lt;Q&gt;FERG-US^P_BETA_LOCIDX(45678,45502,,"SPX")&lt;/Q&gt;&lt;R&gt;1&lt;/R&gt;&lt;C&gt;1&lt;/C&gt;&lt;D xsi:type="xsd:double"&gt;1.172004&lt;/D&gt;&lt;/FQL&gt;&lt;FQL&gt;&lt;Q&gt;FERG-US^P_BETA_LOCIDX(45674,45499,,"SPX")&lt;/Q&gt;&lt;R&gt;1&lt;/R&gt;&lt;C&gt;1&lt;/C&gt;&lt;D xsi:type="xsd:double"&gt;1.1718402&lt;/D&gt;&lt;/FQL&gt;&lt;FQL&gt;&lt;Q&gt;FERG-US^P_BETA_LOCIDX(45673,45498,,"SPX")&lt;/Q&gt;&lt;R&gt;1&lt;/R&gt;&lt;C&gt;1&lt;/C&gt;&lt;D xsi:type="xsd:double"&gt;1.1559014&lt;/D&gt;&lt;/FQL&gt;&lt;FQL&gt;&lt;Q&gt;FERG-US^P_BETA_LOCIDX(45672,45497,,"SPX")&lt;/Q&gt;&lt;R&gt;1&lt;/R&gt;&lt;C&gt;1&lt;/C&gt;&lt;D xsi:type="xsd:double"&gt;1.1345209&lt;/D&gt;&lt;/FQL&gt;&lt;FQL&gt;&lt;Q&gt;FERG-US^P_BETA_LOCIDX(45671,45496,,"SPX")&lt;/Q&gt;&lt;R&gt;1&lt;/R&gt;&lt;C&gt;1&lt;/C&gt;&lt;D xsi:type="xsd:double"&gt;1.1749625&lt;/D&gt;&lt;/FQL&gt;&lt;FQL&gt;&lt;Q&gt;FERG-US^P_BETA_LOCIDX(45670,45495,,"SPX")&lt;/Q&gt;&lt;R&gt;1&lt;/R&gt;&lt;C&gt;1&lt;/C&gt;&lt;D xsi:type="xsd:double"&gt;1.1777854&lt;/D&gt;&lt;/FQL&gt;&lt;FQL&gt;&lt;Q&gt;FERG-US^P_BETA_LOCIDX(45667,45492,,"SPX")&lt;/Q&gt;&lt;R&gt;1&lt;/R&gt;&lt;C&gt;1&lt;/C&gt;&lt;D xsi:type="xsd:double"&gt;1.1776291&lt;/D&gt;&lt;/FQL&gt;&lt;FQL&gt;&lt;Q&gt;FERG-US^P_BETA_LOCIDX(45665,45491,,"SPX")&lt;/Q&gt;&lt;R&gt;1&lt;/R&gt;&lt;C&gt;1&lt;/C&gt;&lt;D xsi:type="xsd:double"&gt;1.1839797&lt;/D&gt;&lt;/FQL&gt;&lt;FQL&gt;&lt;Q&gt;FERG-US^P_BETA_LOCIDX(45664,45490,,"SPX")&lt;/Q&gt;&lt;R&gt;1&lt;/R&gt;&lt;C&gt;1&lt;/C&gt;&lt;D xsi:type="xsd:double"&gt;1.1924766&lt;/D&gt;&lt;/FQL&gt;&lt;FQL&gt;&lt;Q&gt;FERG-US^P_BETA_LOCIDX(45663,45489,,"SPX")&lt;/Q&gt;&lt;R&gt;1&lt;/R&gt;&lt;C&gt;1&lt;/C&gt;&lt;D xsi:type="xsd:double"&gt;1.2229322&lt;/D&gt;&lt;/FQL&gt;&lt;FQL&gt;&lt;Q&gt;FERG-US^P_BETA_LOCIDX(45660,45488,,"SPX")&lt;/Q&gt;&lt;R&gt;1&lt;/R&gt;&lt;C&gt;1&lt;/C&gt;&lt;D xsi:type="xsd:double"&gt;1.227175&lt;/D&gt;&lt;/FQL&gt;&lt;FQL&gt;&lt;Q&gt;FERG-US^P_BETA_LOCIDX(45659,45485,,"SPX")&lt;/Q&gt;&lt;R&gt;1&lt;/R&gt;&lt;C&gt;1&lt;/C&gt;&lt;D xsi:type="xsd:double"&gt;1.2569516&lt;/D&gt;&lt;/FQL&gt;&lt;FQL&gt;&lt;Q&gt;FERG-US^P_BETA_LOCIDX(45657,45484,,"SPX")&lt;/Q&gt;&lt;R&gt;1&lt;/R&gt;&lt;C&gt;1&lt;/C&gt;&lt;D xsi:type="xsd:double"&gt;1.2281513&lt;/D&gt;&lt;/FQL&gt;&lt;FQL&gt;&lt;Q&gt;FERG-US^P_BETA_LOCIDX(45656,45483,,"SPX")&lt;/Q&gt;&lt;R&gt;1&lt;/R&gt;&lt;C&gt;1&lt;/C&gt;&lt;D xsi:type="xsd:double"&gt;1.2383928&lt;/D&gt;&lt;/FQL&gt;&lt;FQL&gt;&lt;Q&gt;FERG-US^P_BETA_LOCIDX(45653,45482,,"SPX")&lt;/Q&gt;&lt;R&gt;1&lt;/R&gt;&lt;C&gt;1&lt;/C&gt;&lt;D xsi:type="xsd:double"&gt;1.2442868&lt;/D&gt;&lt;/FQL&gt;&lt;FQL&gt;&lt;Q&gt;FERG-US^P_BETA_LOCIDX(45652,45481,,"SPX")&lt;/Q&gt;&lt;R&gt;1&lt;/R&gt;&lt;C&gt;1&lt;/C&gt;&lt;D xsi:type="xsd:double"&gt;1.2436339&lt;/D&gt;&lt;/FQL&gt;&lt;FQL&gt;&lt;Q&gt;FERG-US^P_BETA_LOCIDX(45650,45478,,"SPX")&lt;/Q&gt;&lt;R&gt;1&lt;/R&gt;&lt;C&gt;1&lt;/C&gt;&lt;D xsi:type="xsd:double"&gt;1.2437222&lt;/D&gt;&lt;/FQL&gt;&lt;FQL&gt;&lt;Q&gt;FERG-US^P_BETA_LOCIDX(45649,45476,,"SPX")&lt;/Q&gt;&lt;R&gt;1&lt;/R&gt;&lt;C&gt;1&lt;/C&gt;&lt;D xsi:type="xsd:double"&gt;1.2477168&lt;/D&gt;&lt;/FQL&gt;&lt;FQL&gt;&lt;Q&gt;FERG-US^P_BETA_LOCIDX(45646,45475,,"SPX")&lt;/Q&gt;&lt;R&gt;1&lt;/R&gt;&lt;C&gt;1&lt;/C&gt;&lt;D xsi:type="xsd:double"&gt;1.2579926&lt;/D&gt;&lt;/FQL&gt;&lt;FQL&gt;&lt;Q&gt;FERG-US^P_BETA_LOCIDX(45645,45474,,"SPX")&lt;/Q&gt;&lt;R&gt;1&lt;/R&gt;&lt;C&gt;1&lt;/C&gt;&lt;D xsi:type="xsd:double"&gt;1.2462549&lt;/D&gt;&lt;/FQL&gt;&lt;FQL&gt;&lt;Q&gt;FERG-US^P_BETA_LOCIDX(45644,45471,,"SPX")&lt;/Q&gt;&lt;R&gt;1&lt;/R&gt;&lt;C&gt;1&lt;/C&gt;&lt;D xsi:type="xsd:double"&gt;1.2407405&lt;/D&gt;&lt;/FQL&gt;&lt;FQL&gt;&lt;Q&gt;FERG-US^P_BETA_LOCIDX(45643,45470,,"SPX")&lt;/Q&gt;&lt;R&gt;1&lt;/R&gt;&lt;C&gt;1&lt;/C&gt;&lt;D xsi:type="xsd:double"&gt;1.2302772&lt;/D&gt;&lt;/FQL&gt;&lt;FQL&gt;&lt;Q&gt;FERG-US^P_BETA_LOCIDX(45642,45469,,"SPX")&lt;/Q&gt;&lt;R&gt;1&lt;/R&gt;&lt;C&gt;1&lt;/C&gt;&lt;D xsi:type="xsd:double"&gt;1.2310882&lt;/D&gt;&lt;/FQL&gt;&lt;FQL&gt;&lt;Q&gt;FERG-US^P_BETA_LOCIDX(45639,45468,,"SPX")&lt;/Q&gt;&lt;R&gt;1&lt;/R&gt;&lt;C&gt;1&lt;/C&gt;&lt;D xsi:type="xsd:double"&gt;1.2282866&lt;/D&gt;&lt;/FQL&gt;&lt;FQL&gt;&lt;Q&gt;FERG-US^P_BETA_LOCIDX(45638,45467,,"SPX")&lt;/Q&gt;&lt;R&gt;1&lt;/R&gt;&lt;C&gt;1&lt;/C&gt;&lt;D xsi:type="xsd:double"&gt;1.2257737&lt;/D&gt;&lt;/FQL&gt;&lt;FQL&gt;&lt;Q&gt;FERG-US^P_BETA_LOCIDX(45637,45464,,"SPX")&lt;/Q&gt;&lt;R&gt;1&lt;/R&gt;&lt;C&gt;1&lt;/C&gt;&lt;D xsi:type="xsd:double"&gt;1.2189181&lt;/D&gt;&lt;/FQL&gt;&lt;FQL&gt;&lt;Q&gt;FERG-US^P_BETA_LOCIDX(45636,45463,,"SPX")&lt;/Q&gt;&lt;R&gt;1&lt;/R&gt;&lt;C&gt;1&lt;/C&gt;&lt;D xsi:type="xsd:double"&gt;1.2412946&lt;/D&gt;&lt;/FQL&gt;&lt;FQL&gt;&lt;Q&gt;FERG-US^P_BETA_LOCIDX(45635,45461,,"SPX")&lt;/Q&gt;&lt;R&gt;1&lt;/R&gt;&lt;C&gt;1&lt;/C&gt;&lt;D xsi:type="xsd:double"&gt;1.1985224&lt;/D&gt;&lt;/FQL&gt;&lt;FQL&gt;&lt;Q&gt;FERG-US^P_BETA_LOCIDX(45632,45460,,"SPX")&lt;/Q&gt;&lt;R&gt;1&lt;/R&gt;&lt;C&gt;1&lt;/C&gt;&lt;D xsi:type="xsd:double"&gt;1.1987725&lt;/D&gt;&lt;/FQL&gt;&lt;FQL&gt;&lt;Q&gt;FERG-US^P_BETA_LOCIDX(45631,45457,,"SPX")&lt;/Q&gt;&lt;R&gt;1&lt;/R&gt;&lt;C&gt;1&lt;/C&gt;&lt;D xsi:type="xsd:double"&gt;1.2027895&lt;/D&gt;&lt;/FQL&gt;&lt;FQL&gt;&lt;Q&gt;FERG-US^P_BETA_LOCIDX(45630,45456,,"SPX")&lt;/Q&gt;&lt;R&gt;1&lt;/R&gt;&lt;C&gt;1&lt;/C&gt;&lt;D xsi:type="xsd:double"&gt;1.1918972&lt;/D&gt;&lt;/FQL&gt;&lt;FQL&gt;&lt;Q&gt;FERG-US^P_BETA_LOCIDX(45629,45455,,"SPX")&lt;/Q&gt;&lt;R&gt;1&lt;/R&gt;&lt;C&gt;1&lt;/C&gt;&lt;D xsi:type="xsd:double"&gt;1.2123228&lt;/D&gt;&lt;/FQL&gt;&lt;FQL&gt;&lt;Q&gt;FERG-US^P_BETA_LOCIDX(45628,45454,,"SPX")&lt;/Q&gt;&lt;R&gt;1&lt;/R&gt;&lt;C&gt;1&lt;/C&gt;&lt;D xsi:type="xsd:double"&gt;1.2155108&lt;/D&gt;&lt;/FQL&gt;&lt;FQL&gt;&lt;Q&gt;FERG-US^P_BETA_LOCIDX(45625,45453,,"SPX")&lt;/Q&gt;&lt;R&gt;1&lt;/R&gt;&lt;C&gt;1&lt;/C&gt;&lt;D xsi:type="xsd:double"&gt;1.2180364&lt;/D&gt;&lt;/FQL&gt;&lt;FQL&gt;&lt;Q&gt;FERG-US^P_BETA_LOCIDX(45623,45450,,"SPX")&lt;/Q&gt;&lt;R&gt;1&lt;/R&gt;&lt;C&gt;1&lt;/C&gt;&lt;D xsi:type="xsd:double"&gt;1.215848&lt;/D&gt;&lt;/FQL&gt;&lt;FQL&gt;&lt;Q&gt;FERG-US^P_BETA_LOCIDX(45622,45449,,"SPX")&lt;/Q&gt;&lt;R&gt;1&lt;/R&gt;&lt;C&gt;1&lt;/C&gt;&lt;D xsi:type="xsd:double"&gt;1.2216543&lt;/D&gt;&lt;/FQL&gt;&lt;FQL&gt;&lt;Q&gt;FERG-US^P_BETA_LOCIDX(45621,45448,,"SPX")&lt;/Q&gt;&lt;R&gt;1&lt;/R&gt;&lt;C&gt;1&lt;/C&gt;&lt;D xsi:type="xsd:double"&gt;1.2449719&lt;/D&gt;&lt;/FQL&gt;&lt;FQL&gt;&lt;Q&gt;FERG-US^P_BETA_LOCIDX(45618,45447,,"SPX")&lt;/Q&gt;&lt;R&gt;1&lt;/R&gt;&lt;C&gt;1&lt;/C&gt;&lt;D xsi:type="xsd:double"&gt;1.2366029&lt;/D&gt;&lt;/FQL&gt;&lt;FQL&gt;&lt;Q&gt;FERG-US^P_BETA_LOCIDX(45617,45446,,"SPX")&lt;/Q&gt;&lt;R&gt;1&lt;/R&gt;&lt;C&gt;1&lt;/C&gt;&lt;D xsi:type="xsd:double"&gt;1.2340736&lt;/D&gt;&lt;/FQL&gt;&lt;FQL&gt;&lt;Q&gt;FERG-US^P_BETA_LOCIDX(45616,45443,,"SPX")&lt;/Q&gt;&lt;R&gt;1&lt;/R&gt;&lt;C&gt;1&lt;/C&gt;&lt;D xsi:type="xsd:double"&gt;1.2229443&lt;/D&gt;&lt;/FQL&gt;&lt;FQL&gt;&lt;Q&gt;FERG-US^P_BETA_LOCIDX(45615,45442,,"SPX")&lt;/Q&gt;&lt;R&gt;1&lt;/R&gt;&lt;C&gt;1&lt;/C&gt;&lt;D xsi:type="xsd:double"&gt;1.2104138&lt;/D&gt;&lt;/FQL&gt;&lt;FQL&gt;&lt;Q&gt;FERG-US^P_BETA_LOCIDX(45614,45441,,"SPX")&lt;/Q&gt;&lt;R&gt;1&lt;/R&gt;&lt;C&gt;1&lt;/C&gt;&lt;D xsi:type="xsd:double"&gt;1.2090105&lt;/D&gt;&lt;/FQL&gt;&lt;FQL&gt;&lt;Q&gt;FERG-US^P_BETA_LOCIDX(45611,45440,,"SPX")&lt;/Q&gt;&lt;R&gt;1&lt;/R&gt;&lt;C&gt;1&lt;/C&gt;&lt;D xsi:type="xsd:double"&gt;1.2096627&lt;/D&gt;&lt;/FQL&gt;&lt;FQL&gt;&lt;Q&gt;FERG-US^P_BETA_LOCIDX(45610,45436,,"SPX")&lt;/Q&gt;&lt;R&gt;1&lt;/R&gt;&lt;C&gt;1&lt;/C&gt;&lt;D xsi:type="xsd:double"&gt;1.2092254&lt;/D&gt;&lt;/FQL&gt;&lt;FQL&gt;&lt;Q&gt;FERG-US^P_BETA_LOCIDX(45609,45435,,"SPX")&lt;/Q&gt;&lt;R&gt;1&lt;/R&gt;&lt;C&gt;1&lt;/C&gt;&lt;D xsi:type="xsd:double"&gt;1.20975&lt;/D&gt;&lt;/FQL&gt;&lt;FQL&gt;&lt;Q&gt;FERG-US^P_BETA_LOCIDX(45608,45434,,"SPX")&lt;/Q&gt;&lt;R&gt;1&lt;/R&gt;&lt;C&gt;1&lt;/C&gt;&lt;D xsi:type="xsd:double"&gt;1.2113038&lt;/D&gt;&lt;/FQL&gt;&lt;FQL&gt;&lt;Q&gt;FERG-US^P_BETA_LOCIDX(45607,45433,,"SPX")&lt;/Q&gt;&lt;R&gt;1&lt;/R&gt;&lt;C&gt;1&lt;/C&gt;&lt;D xsi:type="xsd:double"&gt;1.2065351&lt;/D&gt;&lt;/FQL&gt;&lt;FQL&gt;&lt;Q&gt;FERG-US^P_BETA_LOCIDX(45604,45432,,"SPX")&lt;/Q&gt;&lt;R&gt;1&lt;/R&gt;&lt;C&gt;1&lt;/C&gt;&lt;D xsi:type="xsd:double"&gt;1.2064542&lt;/D&gt;&lt;/FQL&gt;&lt;FQL&gt;&lt;Q&gt;FERG-US^P_BETA_LOCIDX(45603,45429,,"SPX")&lt;/Q&gt;&lt;R&gt;1&lt;/R&gt;&lt;C&gt;1&lt;/C&gt;&lt;D xsi:type="xsd:double"&gt;1.2122167&lt;/D&gt;&lt;/FQL&gt;&lt;FQL&gt;&lt;Q&gt;FERG-US^P_BETA_LOCIDX(45602,45428,,"SPX")&lt;/Q&gt;&lt;R&gt;1&lt;/R&gt;&lt;C&gt;1&lt;/C&gt;&lt;D xsi:type="xsd:double"&gt;1.2313316&lt;/D&gt;&lt;/FQL&gt;&lt;FQL&gt;&lt;Q&gt;FERG-US^P_BETA_LOCIDX(45601,45427,,"SPX")&lt;/Q&gt;&lt;R&gt;1&lt;/R&gt;&lt;C&gt;1&lt;/C&gt;&lt;D xsi:type="xsd:double"&gt;1.1855136&lt;/D&gt;&lt;/FQL&gt;&lt;FQL&gt;&lt;Q&gt;FERG-US^P_BETA_LOCIDX(45600,45426,,"SPX")&lt;/Q&gt;&lt;R&gt;1&lt;/R&gt;&lt;C&gt;1&lt;/C&gt;&lt;D xsi:type="xsd:double"&gt;1.1715343&lt;/D&gt;&lt;/FQL&gt;&lt;FQL&gt;&lt;Q&gt;FERG-US^P_BETA_LOCIDX(45597,45425,,"SPX")&lt;/Q&gt;&lt;R&gt;1&lt;/R&gt;&lt;C&gt;1&lt;/C&gt;&lt;D xsi:type="xsd:double"&gt;1.1748587&lt;/D&gt;&lt;/FQL&gt;&lt;FQL&gt;&lt;Q&gt;FERG-US^P_BETA_LOCIDX(45596,45422,,"SPX")&lt;/Q&gt;&lt;R&gt;1&lt;/R&gt;&lt;C&gt;1&lt;/C&gt;&lt;D xsi:type="xsd:double"&gt;1.1740298&lt;/D&gt;&lt;/FQL&gt;&lt;FQL&gt;&lt;Q&gt;FERG-US^P_BETA_LOCIDX(45595,45421,,"SPX")&lt;/Q&gt;&lt;R&gt;1&lt;/R&gt;&lt;C&gt;1&lt;/C&gt;&lt;D xsi:type="xsd:double"&gt;1.2290165&lt;/D&gt;&lt;/FQL&gt;&lt;FQL&gt;&lt;Q&gt;FERG-US^P_BETA_LOCIDX(45594,45420,,"SPX")&lt;/Q&gt;&lt;R&gt;1&lt;/R&gt;&lt;C&gt;1&lt;/C&gt;&lt;D xsi:type="xsd:double"&gt;1.2373806&lt;/D&gt;&lt;/FQL&gt;&lt;FQL&gt;&lt;Q&gt;FERG-US^P_BETA_LOCIDX(45593,45419,,"SPX")&lt;/Q&gt;&lt;R&gt;1&lt;/R&gt;&lt;C&gt;1&lt;/C&gt;&lt;D xsi:type="xsd:double"&gt;1.2383317&lt;/D&gt;&lt;/FQL&gt;&lt;FQL&gt;&lt;Q&gt;FERG-US^P_BETA_LOCIDX(45590,45418,,"SPX")&lt;/Q&gt;&lt;R&gt;1&lt;/R&gt;&lt;C&gt;1&lt;/C&gt;&lt;D xsi:type="xsd:double"&gt;1.2328492&lt;/D&gt;&lt;/FQL&gt;&lt;FQL&gt;&lt;Q&gt;FERG-US^P_BETA_LOCIDX(45589,45415,,"SPX")&lt;/Q&gt;&lt;R&gt;1&lt;/R&gt;&lt;C&gt;1&lt;/C&gt;&lt;D xsi:type="xsd:double"&gt;1.2379096&lt;/D&gt;&lt;/FQL&gt;&lt;FQL&gt;&lt;Q&gt;FERG-US^P_BETA_LOCIDX(45588,45414,,"SPX")&lt;/Q&gt;&lt;R&gt;1&lt;/R&gt;&lt;C&gt;1&lt;/C&gt;&lt;D xsi:type="xsd:double"&gt;1.2356739&lt;/D&gt;&lt;/FQL&gt;&lt;FQL&gt;&lt;Q&gt;FERG-US^P_BETA_LOCIDX(45587,45413,,"SPX")&lt;/Q&gt;&lt;R&gt;1&lt;/R&gt;&lt;C&gt;1&lt;/C&gt;&lt;D xsi:type="xsd:double"&gt;1.2418405&lt;/D&gt;&lt;/FQL&gt;&lt;FQL&gt;&lt;Q&gt;FERG-US^P_BETA_LOCIDX(45586,45412,,"SPX")&lt;/Q&gt;&lt;R&gt;1&lt;/R&gt;&lt;C&gt;1&lt;/C&gt;&lt;D xsi:type="xsd:double"&gt;1.2447214&lt;/D&gt;&lt;/FQL&gt;&lt;FQL&gt;&lt;Q&gt;FERG-US^P_BETA_LOCIDX(45583,45411,,"SPX")&lt;/Q&gt;&lt;R&gt;1&lt;/R&gt;&lt;C&gt;1&lt;/C&gt;&lt;D xsi:type="xsd:double"&gt;1.2392229&lt;/D&gt;&lt;/FQL&gt;&lt;FQL&gt;&lt;Q&gt;FERG-US^P_BETA_LOCIDX(45582,45408,,"SPX")&lt;/Q&gt;&lt;R&gt;1&lt;/R&gt;&lt;C&gt;1&lt;/C&gt;&lt;D xsi:type="xsd:double"&gt;1.2319839&lt;/D&gt;&lt;/FQL&gt;&lt;FQL&gt;&lt;Q&gt;FERG-US^P_BETA_LOCIDX(45581,45407,,"SPX")&lt;/Q&gt;&lt;R&gt;1&lt;/R&gt;&lt;C&gt;1&lt;/C&gt;&lt;D xsi:type="xsd:double"&gt;1.2170992&lt;/D&gt;&lt;/FQL&gt;&lt;FQL&gt;&lt;Q&gt;FERG-US^P_BETA_LOCIDX(45580,45406,,"SPX")&lt;/Q&gt;&lt;R&gt;1&lt;/R&gt;&lt;C&gt;1&lt;/C&gt;&lt;D xsi:type="xsd:double"&gt;1.214447&lt;/D&gt;&lt;/FQL&gt;&lt;FQL&gt;&lt;Q&gt;FERG-US^P_BETA_LOCIDX(45579,45405,,"SPX")&lt;/Q&gt;&lt;R&gt;1&lt;/R&gt;&lt;C&gt;1&lt;/C&gt;&lt;D xsi:type="xsd:double"&gt;1.2256287&lt;/D&gt;&lt;/FQL&gt;&lt;FQL&gt;&lt;Q&gt;FERG-US^P_BETA_LOCIDX(45576,45404,,"SPX")&lt;/Q&gt;&lt;R&gt;1&lt;/R&gt;&lt;C&gt;1&lt;/C&gt;&lt;D xsi:type="xsd:double"&gt;1.210774&lt;/D&gt;&lt;/FQL&gt;&lt;FQL&gt;&lt;Q&gt;FERG-US^P_BETA_LOCIDX(45575,45401,,"SPX")&lt;/Q&gt;&lt;R&gt;1&lt;/R&gt;&lt;C&gt;1&lt;/C&gt;&lt;D xsi:type="xsd:double"&gt;1.2016811&lt;/D&gt;&lt;/FQL&gt;&lt;FQL&gt;&lt;Q&gt;FERG-US^P_BETA_LOCIDX(45574,45400,,"SPX")&lt;/Q&gt;&lt;R&gt;1&lt;/R&gt;&lt;C&gt;1&lt;/C&gt;&lt;D xsi:type="xsd:double"&gt;1.2061251&lt;/D&gt;&lt;/FQL&gt;&lt;FQL&gt;&lt;Q&gt;FERG-US^P_BETA_LOCIDX(45573,45399,,"SPX")&lt;/Q&gt;&lt;R&gt;1&lt;/R&gt;&lt;C&gt;1&lt;/C&gt;&lt;D xsi:type="xsd:double"&gt;1.2082168&lt;/D&gt;&lt;/FQL&gt;&lt;FQL&gt;&lt;Q&gt;FERG-US^P_BETA_LOCIDX(45572,45398,,"SPX")&lt;/Q&gt;&lt;R&gt;1&lt;/R&gt;&lt;C&gt;1&lt;/C&gt;&lt;D xsi:type="xsd:double"&gt;1.2169143&lt;/D&gt;&lt;/FQL&gt;&lt;FQL&gt;&lt;Q&gt;FERG-US^P_BETA_LOCIDX(45569,45397,,"SPX")&lt;/Q&gt;&lt;R&gt;1&lt;/R&gt;&lt;C&gt;1&lt;/C&gt;&lt;D xsi:type="xsd:double"&gt;1.2175804&lt;/D&gt;&lt;/FQL&gt;&lt;FQL&gt;&lt;Q&gt;FERG-US^P_BETA_LOCIDX(45568,45394,,"SPX")&lt;/Q&gt;&lt;R&gt;1&lt;/R&gt;&lt;C&gt;1&lt;/C&gt;&lt;D xsi:type="xsd:double"&gt;1.1911505&lt;/D&gt;&lt;/FQL&gt;&lt;FQL&gt;&lt;Q&gt;FERG-US^P_BETA_LOCIDX(45567,45393,,"SPX")&lt;/Q&gt;&lt;R&gt;1&lt;/R&gt;&lt;C&gt;1&lt;/C&gt;&lt;D xsi:type="xsd:double"&gt;1.1732129&lt;/D&gt;&lt;/FQL&gt;&lt;FQL&gt;&lt;Q&gt;FERG-US^P_BETA_LOCIDX(45566,45392,,"SPX")&lt;/Q&gt;&lt;R&gt;1&lt;/R&gt;&lt;C&gt;1&lt;/C&gt;&lt;D xsi:type="xsd:double"&gt;1.1653466&lt;/D&gt;&lt;/FQL&gt;&lt;FQL&gt;&lt;Q&gt;FERG-US^P_BETA_LOCIDX(45565,45391,,"SPX")&lt;/Q&gt;&lt;R&gt;1&lt;/R&gt;&lt;C&gt;1&lt;/C&gt;&lt;D xsi:type="xsd:double"&gt;1.1850877&lt;/D&gt;&lt;/FQL&gt;&lt;FQL&gt;&lt;Q&gt;FERG-US^P_BETA_LOCIDX(45562,45390,,"SPX")&lt;/Q&gt;&lt;R&gt;1&lt;/R&gt;&lt;C&gt;1&lt;/C&gt;&lt;D xsi:type="xsd:double"&gt;1.1925249&lt;/D&gt;&lt;/FQL&gt;&lt;FQL&gt;&lt;Q&gt;FERG-US^P_BETA_LOCIDX(45561,45387,,"SPX")&lt;/Q&gt;&lt;R&gt;1&lt;/R&gt;&lt;C&gt;1&lt;/C&gt;&lt;D xsi:type="xsd:double"&gt;1.1930338&lt;/D&gt;&lt;/FQL&gt;&lt;FQL&gt;&lt;Q&gt;FERG-US^P_BETA_LOCIDX(45560,45386,,"SPX")&lt;/Q&gt;&lt;R&gt;1&lt;/R&gt;&lt;C&gt;1&lt;/C&gt;&lt;D xsi:type="xsd:double"&gt;1.1468492&lt;/D&gt;&lt;/FQL&gt;&lt;FQL&gt;&lt;Q&gt;FERG-US^P_BETA_LOCIDX(45559,45385,,"SPX")&lt;/Q&gt;&lt;R&gt;1&lt;/R&gt;&lt;C&gt;1&lt;/C&gt;&lt;D xsi:type="xsd:double"&gt;1.1457163&lt;/D&gt;&lt;/FQL&gt;&lt;FQL&gt;&lt;Q&gt;FERG-US^P_BETA_LOCIDX(45558,45384,,"SPX")&lt;/Q&gt;&lt;R&gt;1&lt;/R&gt;&lt;C&gt;1&lt;/C&gt;&lt;D xsi:type="xsd:double"&gt;1.1380634&lt;/D&gt;&lt;/FQL&gt;&lt;FQL&gt;&lt;Q&gt;FERG-US^P_BETA_LOCIDX(45555,45383,,"SPX")&lt;/Q&gt;&lt;R&gt;1&lt;/R&gt;&lt;C&gt;1&lt;/C&gt;&lt;D xsi:type="xsd:double"&gt;1.1346756&lt;/D&gt;&lt;/FQL&gt;&lt;FQL&gt;&lt;Q&gt;FERG-US^P_BETA_LOCIDX(45554,45379,,"SPX")&lt;/Q&gt;&lt;R&gt;1&lt;/R&gt;&lt;C&gt;1&lt;/C&gt;&lt;D xsi:type="xsd:double"&gt;1.1190434&lt;/D&gt;&lt;/FQL&gt;&lt;FQL&gt;&lt;Q&gt;FERG-US^P_BETA_LOCIDX(45553,45378,,"SPX")&lt;/Q&gt;&lt;R&gt;1&lt;/R&gt;&lt;C&gt;1&lt;/C&gt;&lt;D xsi:type="xsd:double"&gt;1.1188886&lt;/D&gt;&lt;/FQL&gt;&lt;FQL&gt;&lt;Q&gt;FERG-US^P_BETA_LOCIDX(45552,45377,,"SPX")&lt;/Q&gt;&lt;R&gt;1&lt;/R&gt;&lt;C&gt;1&lt;/C&gt;&lt;D xsi:type="xsd:double"&gt;1.1132578&lt;/D&gt;&lt;/FQL&gt;&lt;FQL&gt;&lt;Q&gt;FERG-US^P_BETA_LOCIDX(45551,45376,,"SPX")&lt;/Q&gt;&lt;R&gt;1&lt;/R&gt;&lt;C&gt;1&lt;/C&gt;&lt;D xsi:type="xsd:double"&gt;1.1200782&lt;/D&gt;&lt;/FQL&gt;&lt;FQL&gt;&lt;Q&gt;FERG-US^P_BETA_LOCIDX(45548,45373,,"SPX")&lt;/Q&gt;&lt;R&gt;1&lt;/R&gt;&lt;C&gt;1&lt;/C&gt;&lt;D xsi:type="xsd:double"&gt;1.1177018&lt;/D&gt;&lt;/FQL&gt;&lt;FQL&gt;&lt;Q&gt;FERG-US^P_BETA_LOCIDX(45547,45372,,"SPX")&lt;/Q&gt;&lt;R&gt;1&lt;/R&gt;&lt;C&gt;1&lt;/C&gt;&lt;D xsi:type="xsd:double"&gt;1.1170181&lt;/D&gt;&lt;/FQL&gt;&lt;FQL&gt;&lt;Q&gt;FERG-US^P_BETA_LOCIDX(45546,45371,,"SPX")&lt;/Q&gt;&lt;R&gt;1&lt;/R&gt;&lt;C&gt;1&lt;/C&gt;&lt;D xsi:type="xsd:double"&gt;1.1176448&lt;/D&gt;&lt;/FQL&gt;&lt;FQL&gt;&lt;Q&gt;FERG-US^P_BETA_LOCIDX(45545,45370,,"SPX")&lt;/Q&gt;&lt;R&gt;1&lt;/R&gt;&lt;C&gt;1&lt;/C&gt;&lt;D xsi:type="xsd:double"&gt;1.1555604&lt;/D&gt;&lt;/FQL&gt;&lt;FQL&gt;&lt;Q&gt;FERG-US^P_BETA_LOCIDX(45544,45369,,"SPX")&lt;/Q&gt;&lt;R&gt;1&lt;/R&gt;&lt;C&gt;1&lt;/C&gt;&lt;D xsi:type="xsd:double"&gt;1.1419241&lt;/D&gt;&lt;/FQL&gt;&lt;FQL&gt;&lt;Q&gt;FERG-US^P_BETA_LOCIDX(45541,45366,,"SPX")&lt;/Q&gt;&lt;R&gt;1&lt;/R&gt;&lt;C&gt;1&lt;/C&gt;&lt;D xsi:type="xsd:double"&gt;1.1727027&lt;/D&gt;&lt;/FQL&gt;&lt;FQL&gt;&lt;Q&gt;FERG-US^P_BETA_LOCIDX(45540,45365,,"SPX")&lt;/Q&gt;&lt;R&gt;1&lt;/R&gt;&lt;C&gt;1&lt;/C&gt;&lt;D xsi:type="xsd:double"&gt;1.1840466&lt;/D&gt;&lt;/FQL&gt;&lt;FQL&gt;&lt;Q&gt;FERG-US^P_BETA_LOCIDX(45539,45364,,"SPX")&lt;/Q&gt;&lt;R&gt;1&lt;/R&gt;&lt;C&gt;1&lt;/C&gt;&lt;D xsi:type="xsd:double"&gt;1.1763172&lt;/D&gt;&lt;/FQL&gt;&lt;FQL&gt;&lt;Q&gt;FERG-US^P_BETA_LOCIDX(45538,45363,,"SPX")&lt;/Q&gt;&lt;R&gt;1&lt;/R&gt;&lt;C&gt;1&lt;/C&gt;&lt;D xsi:type="xsd:double"&gt;1.1831499&lt;/D&gt;&lt;/FQL&gt;&lt;FQL&gt;&lt;Q&gt;FERG-US^P_BETA_LOCIDX(45534,45362,,"SPX")&lt;/Q&gt;&lt;R&gt;1&lt;/R&gt;&lt;C&gt;1&lt;/C&gt;&lt;D xsi:type="xsd:double"&gt;1.2077576&lt;/D&gt;&lt;/FQL&gt;&lt;FQL&gt;&lt;Q&gt;FERG-US^P_BETA_LOCIDX(45533,45359,,"SPX")&lt;/Q&gt;&lt;R&gt;1&lt;/R&gt;&lt;C&gt;1&lt;/C&gt;&lt;D xsi:type="xsd:double"&gt;1.2257434&lt;/D&gt;&lt;/FQL&gt;&lt;FQL&gt;&lt;Q&gt;FERG-US^P_BETA_LOCIDX(45532,45358,,"SPX")&lt;/Q&gt;&lt;R&gt;1&lt;/R&gt;&lt;C&gt;1&lt;/C&gt;&lt;D xsi:type="xsd:double"&gt;1.2175059&lt;/D&gt;&lt;/FQL&gt;&lt;FQL&gt;&lt;Q&gt;FERG-US^P_BETA_LOCIDX(45531,45357,,"SPX")&lt;/Q&gt;&lt;R&gt;1&lt;/R&gt;&lt;C&gt;1&lt;/C&gt;&lt;D xsi:type="xsd:double"&gt;1.1995295&lt;/D&gt;&lt;/FQL&gt;&lt;FQL&gt;&lt;Q&gt;FERG-US^P_BETA_LOCIDX(45530,45356,,"SPX")&lt;/Q&gt;&lt;R&gt;1&lt;/R&gt;&lt;C&gt;1&lt;/C&gt;&lt;D xsi:type="xsd:double"&gt;1.2757032&lt;/D&gt;&lt;/FQL&gt;&lt;FQL&gt;&lt;Q&gt;FERG-US^P_BETA_LOCIDX(45527,45355,,"SPX")&lt;/Q&gt;&lt;R&gt;1&lt;/R&gt;&lt;C&gt;1&lt;/C&gt;&lt;D xsi:type="xsd:double"&gt;1.2792541&lt;/D&gt;&lt;/FQL&gt;&lt;FQL&gt;&lt;Q&gt;FERG-US^P_BETA_LOCIDX(45526,45352,,"SPX")&lt;/Q&gt;&lt;R&gt;1&lt;/R&gt;&lt;C&gt;1&lt;/C&gt;&lt;D xsi:type="xsd:double"&gt;1.2686077&lt;/D&gt;&lt;/FQL&gt;&lt;FQL&gt;&lt;Q&gt;FERG-US^P_BETA_LOCIDX(45525,45351,,"SPX")&lt;/Q&gt;&lt;R&gt;1&lt;/R&gt;&lt;C&gt;1&lt;/C&gt;&lt;D xsi:type="xsd:double"&gt;1.2645326&lt;/D&gt;&lt;/FQL&gt;&lt;FQL&gt;&lt;Q&gt;FERG-US^P_BETA_LOCIDX(45524,45350,,"SPX")&lt;/Q&gt;&lt;R&gt;1&lt;/R&gt;&lt;C&gt;1&lt;/C&gt;&lt;D xsi:type="xsd:double"&gt;1.2516816&lt;/D&gt;&lt;/FQL&gt;&lt;FQL&gt;&lt;Q&gt;FERG-US^P_BETA_LOCIDX(45523,45349,,"SPX")&lt;/Q&gt;&lt;R&gt;1&lt;/R&gt;&lt;C&gt;1&lt;/C&gt;&lt;D xsi:type="xsd:double"&gt;1.251863&lt;/D&gt;&lt;/FQL&gt;&lt;FQL&gt;&lt;Q&gt;FERG-US^P_BETA_LOCIDX(45520,45348,,"SPX")&lt;/Q&gt;&lt;R&gt;1&lt;/R&gt;&lt;C&gt;1&lt;/C&gt;&lt;D xsi:type="xsd:double"&gt;1.2480166&lt;/D&gt;&lt;/FQL&gt;&lt;FQL&gt;&lt;Q&gt;FERG-US^P_BETA_LOCIDX(45519,45345,,"SPX")&lt;/Q&gt;&lt;R&gt;1&lt;/R&gt;&lt;C&gt;1&lt;/C&gt;&lt;D xsi:type="xsd:double"&gt;1.251087&lt;/D&gt;&lt;/FQL&gt;&lt;FQL&gt;&lt;Q&gt;FERG-US^P_BETA_LOCIDX(45518,45344,,"SPX")&lt;/Q&gt;&lt;R&gt;1&lt;/R&gt;&lt;C&gt;1&lt;/C&gt;&lt;D xsi:type="xsd:double"&gt;1.2366062&lt;/D&gt;&lt;/FQL&gt;&lt;FQL&gt;&lt;Q&gt;FERG-US^P_BETA_LOCIDX(45517,45343,,"SPX")&lt;/Q&gt;&lt;R&gt;1&lt;/R&gt;&lt;C&gt;1&lt;/C&gt;&lt;D xsi:type="xsd:double"&gt;1.2360173&lt;/D&gt;&lt;/FQL&gt;&lt;FQL&gt;&lt;Q&gt;FERG-US^P_BETA_LOCIDX(45516,45342,,"SPX")&lt;/Q&gt;&lt;R&gt;1&lt;/R&gt;&lt;C&gt;1&lt;/C&gt;&lt;D xsi:type="xsd:double"&gt;1.1817703&lt;/D&gt;&lt;/FQL&gt;&lt;FQL&gt;&lt;Q&gt;FERG-US^P_BETA_LOCIDX(45513,45338,,"SPX")&lt;/Q&gt;&lt;R&gt;1&lt;/R&gt;&lt;C&gt;1&lt;/C&gt;&lt;D xsi:type="xsd:double"&gt;1.17469&lt;/D&gt;&lt;/FQL&gt;&lt;FQL&gt;&lt;Q&gt;FERG-US^P_BETA_LOCIDX(45512,45337,,"SPX")&lt;/Q&gt;&lt;R&gt;1&lt;/R&gt;&lt;C&gt;1&lt;/C&gt;&lt;D xsi:type="xsd:double"&gt;1.186755&lt;/D&gt;&lt;/FQL&gt;&lt;FQL&gt;&lt;Q&gt;FERG-US^P_BETA_LOCIDX(45511,45336,,"SPX")&lt;/Q&gt;&lt;R&gt;1&lt;/R&gt;&lt;C&gt;1&lt;/C&gt;&lt;D xsi:type="xsd:double"&gt;1.2262069&lt;/D&gt;&lt;/FQL&gt;&lt;FQL&gt;&lt;Q&gt;FERG-US^P_BETA_LOCIDX(45510,45335,,"SPX")&lt;/Q&gt;&lt;R&gt;1&lt;/R&gt;&lt;C&gt;1&lt;/C&gt;&lt;D xsi:type="xsd:double"&gt;1.2404727&lt;/D&gt;&lt;/FQL&gt;&lt;FQL&gt;&lt;Q&gt;FERG-US^P_BETA_LOCIDX(45509,45334,,"SPX")&lt;/Q&gt;&lt;R&gt;1&lt;/R&gt;&lt;C&gt;1&lt;/C&gt;&lt;D xsi:type="xsd:double"&gt;1.2398089&lt;/D&gt;&lt;/FQL&gt;&lt;FQL&gt;&lt;Q&gt;FERG-US^P_BETA_LOCIDX(45506,45331,,"SPX")&lt;/Q&gt;&lt;R&gt;1&lt;/R&gt;&lt;C&gt;1&lt;/C&gt;&lt;D xsi:type="xsd:double"&gt;1.2285844&lt;/D&gt;&lt;/FQL&gt;&lt;FQL&gt;&lt;Q&gt;FERG-US^P_BETA_LOCIDX(45505,45330,,"SPX")&lt;/Q&gt;&lt;R&gt;1&lt;/R&gt;&lt;C&gt;1&lt;/C&gt;&lt;D xsi:type="xsd:double"&gt;1.143944&lt;/D&gt;&lt;/FQL&gt;&lt;FQL&gt;&lt;Q&gt;FERG-US^P_BETA_LOCIDX(45504,45329,,"SPX")&lt;/Q&gt;&lt;R&gt;1&lt;/R&gt;&lt;C&gt;1&lt;/C&gt;&lt;D xsi:type="xsd:double"&gt;1.1080215&lt;/D&gt;&lt;/FQL&gt;&lt;FQL&gt;&lt;Q&gt;FERG-US^P_BETA_LOCIDX(45503,45328,,"SPX")&lt;/Q&gt;&lt;R&gt;1&lt;/R&gt;&lt;C&gt;1&lt;/C&gt;&lt;D xsi:type="xsd:double"&gt;1.1112438&lt;/D&gt;&lt;/FQL&gt;&lt;FQL&gt;&lt;Q&gt;FERG-US^P_BETA_LOCIDX(45502,45327,,"SPX")&lt;/Q&gt;&lt;R&gt;1&lt;/R&gt;&lt;C&gt;1&lt;/C&gt;&lt;D xsi:type="xsd:double"&gt;1.124553&lt;/D&gt;&lt;/FQL&gt;&lt;FQL&gt;&lt;Q&gt;FERG-US^P_BETA_LOCIDX(45499,45324,,"SPX")&lt;/Q&gt;&lt;R&gt;1&lt;/R&gt;&lt;C&gt;1&lt;/C&gt;&lt;D xsi:type="xsd:double"&gt;1.1068734&lt;/D&gt;&lt;/FQL&gt;&lt;FQL&gt;&lt;Q&gt;FERG-US^P_BETA_LOCIDX(45498,45323,,"SPX")&lt;/Q&gt;&lt;R&gt;1&lt;/R&gt;&lt;C&gt;1&lt;/C&gt;&lt;D xsi:type="xsd:double"&gt;1.0973585&lt;/D&gt;&lt;/FQL&gt;&lt;FQL&gt;&lt;Q&gt;FERG-US^P_BETA_LOCIDX(45497,45322,,"SPX")&lt;/Q&gt;&lt;R&gt;1&lt;/R&gt;&lt;C&gt;1&lt;/C&gt;&lt;D xsi:type="xsd:double"&gt;1.1196057&lt;/D&gt;&lt;/FQL&gt;&lt;FQL&gt;&lt;Q&gt;FERG-US^P_BETA_LOCIDX(45496,45321,,"SPX")&lt;/Q&gt;&lt;R&gt;1&lt;/R&gt;&lt;C&gt;1&lt;/C&gt;&lt;D xsi:type="xsd:double"&gt;1.1505126&lt;/D&gt;&lt;/FQL&gt;&lt;FQL&gt;&lt;Q&gt;FERG-US^P_BETA_LOCIDX(45495,45320,,"SPX")&lt;/Q&gt;&lt;R&gt;1&lt;/R&gt;&lt;C&gt;1&lt;/C&gt;&lt;D xsi:type="xsd:double"&gt;1.1533866&lt;/D&gt;&lt;/FQL&gt;&lt;FQL&gt;&lt;Q&gt;FERG-US^P_BETA_LOCIDX(45492,45317,,"SPX")&lt;/Q&gt;&lt;R&gt;1&lt;/R&gt;&lt;C&gt;1&lt;/C&gt;&lt;D xsi:type="xsd:double"&gt;1.1484046&lt;/D&gt;&lt;/FQL&gt;&lt;FQL&gt;&lt;Q&gt;FERG-US^P_BETA_LOCIDX(45491,45316,,"SPX")&lt;/Q&gt;&lt;R&gt;1&lt;/R&gt;&lt;C&gt;1&lt;/C&gt;&lt;D xsi:type="xsd:double"&gt;1.1475723&lt;/D&gt;&lt;/FQL&gt;&lt;FQL&gt;&lt;Q&gt;FERG-US^P_BETA_LOCIDX(45490,45315,,"SPX")&lt;/Q&gt;&lt;R&gt;1&lt;/R&gt;&lt;C&gt;1&lt;/C&gt;&lt;D xsi:type="xsd:double"&gt;1.1544094&lt;/D&gt;&lt;/FQL&gt;&lt;FQL&gt;&lt;Q&gt;FERG-US^P_BETA_LOCIDX(45489,45314,,"SPX")&lt;/Q&gt;&lt;R&gt;1&lt;/R&gt;&lt;C&gt;1&lt;/C&gt;&lt;D xsi:type="xsd:double"&gt;1.1270032&lt;/D&gt;&lt;/FQL&gt;&lt;FQL&gt;&lt;Q&gt;FERG-US^P_BETA_LOCIDX(45488,45313,,"SPX")&lt;/Q&gt;&lt;R&gt;1&lt;/R&gt;&lt;C&gt;1&lt;/C&gt;&lt;D xsi:type="xsd:double"&gt;1.0859836&lt;/D&gt;&lt;/FQL&gt;&lt;FQL&gt;&lt;Q&gt;FERG-US^P_BETA_LOCIDX(45485,45310,,"SPX")&lt;/Q&gt;&lt;R&gt;1&lt;/R&gt;&lt;C&gt;1&lt;/C&gt;&lt;D xsi:type="xsd:double"&gt;1.0610957&lt;/D&gt;&lt;/FQL&gt;&lt;FQL&gt;&lt;Q&gt;FERG-US^P_BETA_LOCIDX(45484,45309,,"SPX")&lt;/Q&gt;&lt;R&gt;1&lt;/R&gt;&lt;C&gt;1&lt;/C&gt;&lt;D xsi:type="xsd:double"&gt;1.0549148&lt;/D&gt;&lt;/FQL&gt;&lt;FQL&gt;&lt;Q&gt;FERG-US^P_BETA_LOCIDX(45483,45308,,"SPX")&lt;/Q&gt;&lt;R&gt;1&lt;/R&gt;&lt;C&gt;1&lt;/C&gt;&lt;D xsi:type="xsd:double"&gt;1.114821&lt;/D&gt;&lt;/FQL&gt;&lt;FQL&gt;&lt;Q&gt;FERG-US^P_BETA_LOCIDX(45482,45307,,"SPX")&lt;/Q&gt;&lt;R&gt;1&lt;/R&gt;&lt;C&gt;1&lt;/C&gt;&lt;D xsi:type="xsd:double"&gt;1.0994972&lt;/D&gt;&lt;/FQL&gt;&lt;FQL&gt;&lt;Q&gt;FERG-US^P_BETA_LOCIDX(45481,45303,,"SPX")&lt;/Q&gt;&lt;R&gt;1&lt;/R&gt;&lt;C&gt;1&lt;/C&gt;&lt;D xsi:type="xsd:double"&gt;1.0976312&lt;/D&gt;&lt;/FQL&gt;&lt;FQL&gt;&lt;Q&gt;FERG-US^P_BETA_LOCIDX(45478,45302,,"SPX")&lt;/Q&gt;&lt;R&gt;1&lt;/R&gt;&lt;C&gt;1&lt;/C&gt;&lt;D xsi:type="xsd:double"&gt;1.0983781&lt;/D&gt;&lt;/FQL&gt;&lt;FQL&gt;&lt;Q&gt;FERG-US^P_BETA_LOCIDX(45476,45301,,"SPX")&lt;/Q&gt;&lt;R&gt;1&lt;/R&gt;&lt;C&gt;1&lt;/C&gt;&lt;D xsi:type="xsd:double"&gt;1.0944754&lt;/D&gt;&lt;/FQL&gt;&lt;FQL&gt;&lt;Q&gt;FERG-US^P_BETA_LOCIDX(45475,45300,,"SPX")&lt;/Q&gt;&lt;R&gt;1&lt;/R&gt;&lt;C&gt;1&lt;/C&gt;&lt;D xsi:type="xsd:double"&gt;1.099394&lt;/D&gt;&lt;/FQL&gt;&lt;FQL&gt;&lt;Q&gt;FERG-US^P_BETA_LOCIDX(45474,45299,,"SPX")&lt;/Q&gt;&lt;R&gt;1&lt;/R&gt;&lt;C&gt;1&lt;/C&gt;&lt;D xsi:type="xsd:double"&gt;1.0659486&lt;/D&gt;&lt;/FQL&gt;&lt;FQL&gt;&lt;Q&gt;FERG-US^P_BETA_LOCIDX(45471,45296,,"SPX")&lt;/Q&gt;&lt;R&gt;1&lt;/R&gt;&lt;C&gt;1&lt;/C&gt;&lt;D xsi:type="xsd:double"&gt;1.0714717&lt;/D&gt;&lt;/FQL&gt;&lt;FQL&gt;&lt;Q&gt;FERG-US^P_BETA_LOCIDX(45470,45295,,"SPX")&lt;/Q&gt;&lt;R&gt;1&lt;/R&gt;&lt;C&gt;1&lt;/C&gt;&lt;D xsi:type="xsd:double"&gt;1.0623479&lt;/D&gt;&lt;/FQL&gt;&lt;FQL&gt;&lt;Q&gt;FERG-US^P_BETA_LOCIDX(45469,45294,,"SPX")&lt;/Q&gt;&lt;R&gt;1&lt;/R&gt;&lt;C&gt;1&lt;/C&gt;&lt;D xsi:type="xsd:double"&gt;1.0876952&lt;/D&gt;&lt;/FQL&gt;&lt;FQL&gt;&lt;Q&gt;FERG-US^P_BETA_LOCIDX(45468,45293,,"SPX")&lt;/Q&gt;&lt;R&gt;1&lt;/R&gt;&lt;C&gt;1&lt;/C&gt;&lt;D xsi:type="xsd:double"&gt;1.1075039&lt;/D&gt;&lt;/FQL&gt;&lt;FQL&gt;&lt;Q&gt;FERG-US^P_BETA_LOCIDX(45467,45289,,"SPX")&lt;/Q&gt;&lt;R&gt;1&lt;/R&gt;&lt;C&gt;1&lt;/C&gt;&lt;D xsi:type="xsd:double"&gt;1.1148827&lt;/D&gt;&lt;/FQL&gt;&lt;FQL&gt;&lt;Q&gt;FERG-US^P_BETA_LOCIDX(45464,45288,,"SPX")&lt;/Q&gt;&lt;R&gt;1&lt;/R&gt;&lt;C&gt;1&lt;/C&gt;&lt;D xsi:type="xsd:double"&gt;1.1163552&lt;/D&gt;&lt;/FQL&gt;&lt;FQL&gt;&lt;Q&gt;FERG-US^P_BETA_LOCIDX(45463,45287,,"SPX")&lt;/Q&gt;&lt;R&gt;1&lt;/R&gt;&lt;C&gt;1&lt;/C&gt;&lt;D xsi:type="xsd:double"&gt;1.1165862&lt;/D&gt;&lt;/FQL&gt;&lt;FQL&gt;&lt;Q&gt;FERG-US^P_BETA_LOCIDX(45461,45286,,"SPX")&lt;/Q&gt;&lt;R&gt;1&lt;/R&gt;&lt;C&gt;1&lt;/C&gt;&lt;D xsi:type="xsd:double"&gt;1.099095&lt;/D&gt;&lt;/FQL&gt;&lt;FQL&gt;&lt;Q&gt;FERG-US</t>
        </r>
      </text>
    </comment>
    <comment ref="A27" authorId="0" shapeId="0" xr:uid="{5C1813E0-11A6-438D-9C7B-E79DE5978A28}">
      <text>
        <r>
          <rPr>
            <b/>
            <sz val="9"/>
            <color indexed="81"/>
            <rFont val="Tahoma"/>
            <family val="2"/>
          </rPr>
          <t>^P_BETA_LOCIDX(45460,45282,,"SPX")&lt;/Q&gt;&lt;R&gt;1&lt;/R&gt;&lt;C&gt;1&lt;/C&gt;&lt;D xsi:type="xsd:double"&gt;1.098864&lt;/D&gt;&lt;/FQL&gt;&lt;FQL&gt;&lt;Q&gt;FERG-US^P_BETA_LOCIDX(45457,45281,,"SPX")&lt;/Q&gt;&lt;R&gt;1&lt;/R&gt;&lt;C&gt;1&lt;/C&gt;&lt;D xsi:type="xsd:double"&gt;1.1204242&lt;/D&gt;&lt;/FQL&gt;&lt;FQL&gt;&lt;Q&gt;FERG-US^P_BETA_LOCIDX(45456,45280,,"SPX")&lt;/Q&gt;&lt;R&gt;1&lt;/R&gt;&lt;C&gt;1&lt;/C&gt;&lt;D xsi:type="xsd:double"&gt;1.0975776&lt;/D&gt;&lt;/FQL&gt;&lt;FQL&gt;&lt;Q&gt;FERG-US^P_BETA_LOCIDX(45455,45279,,"SPX")&lt;/Q&gt;&lt;R&gt;1&lt;/R&gt;&lt;C&gt;1&lt;/C&gt;&lt;D xsi:type="xsd:double"&gt;1.0969834&lt;/D&gt;&lt;/FQL&gt;&lt;FQL&gt;&lt;Q&gt;FERG-US^P_BETA_LOCIDX(45454,45278,,"SPX")&lt;/Q&gt;&lt;R&gt;1&lt;/R&gt;&lt;C&gt;1&lt;/C&gt;&lt;D xsi:type="xsd:double"&gt;1.0597199&lt;/D&gt;&lt;/FQL&gt;&lt;FQL&gt;&lt;Q&gt;FERG-US^P_BETA_LOCIDX(45453,45275,,"SPX")&lt;/Q&gt;&lt;R&gt;1&lt;/R&gt;&lt;C&gt;1&lt;/C&gt;&lt;D xsi:type="xsd:double"&gt;1.0579917&lt;/D&gt;&lt;/FQL&gt;&lt;FQL&gt;&lt;Q&gt;FERG-US^P_BETA_LOCIDX(45450,45274,,"SPX")&lt;/Q&gt;&lt;R&gt;1&lt;/R&gt;&lt;C&gt;1&lt;/C&gt;&lt;D xsi:type="xsd:double"&gt;1.063524&lt;/D&gt;&lt;/FQL&gt;&lt;FQL&gt;&lt;Q&gt;FERG-US^P_BETA_LOCIDX(45449,45273,,"SPX")&lt;/Q&gt;&lt;R&gt;1&lt;/R&gt;&lt;C&gt;1&lt;/C&gt;&lt;D xsi:type="xsd:double"&gt;1.0446409&lt;/D&gt;&lt;/FQL&gt;&lt;FQL&gt;&lt;Q&gt;FERG-US^P_BETA_LOCIDX(45448,45272,,"SPX")&lt;/Q&gt;&lt;R&gt;1&lt;/R&gt;&lt;C&gt;1&lt;/C&gt;&lt;D xsi:type="xsd:double"&gt;1.0417097&lt;/D&gt;&lt;/FQL&gt;&lt;FQL&gt;&lt;Q&gt;FERG-US^P_BETA_LOCIDX(45447,45271,,"SPX")&lt;/Q&gt;&lt;R&gt;1&lt;/R&gt;&lt;C&gt;1&lt;/C&gt;&lt;D xsi:type="xsd:double"&gt;1.0242727&lt;/D&gt;&lt;/FQL&gt;&lt;FQL&gt;&lt;Q&gt;FERG-US^P_BETA_LOCIDX(45446,45268,,"SPX")&lt;/Q&gt;&lt;R&gt;1&lt;/R&gt;&lt;C&gt;1&lt;/C&gt;&lt;D xsi:type="xsd:double"&gt;1.0294684&lt;/D&gt;&lt;/FQL&gt;&lt;FQL&gt;&lt;Q&gt;FERG-US^P_BETA_LOCIDX(45443,45267,,"SPX")&lt;/Q&gt;&lt;R&gt;1&lt;/R&gt;&lt;C&gt;1&lt;/C&gt;&lt;D xsi:type="xsd:double"&gt;1.0457318&lt;/D&gt;&lt;/FQL&gt;&lt;FQL&gt;&lt;Q&gt;FERG-US^P_BETA_LOCIDX(45442,45266,,"SPX")&lt;/Q&gt;&lt;R&gt;1&lt;/R&gt;&lt;C&gt;1&lt;/C&gt;&lt;D xsi:type="xsd:double"&gt;1.0464848&lt;/D&gt;&lt;/FQL&gt;&lt;FQL&gt;&lt;Q&gt;FERG-US^P_BETA_LOCIDX(45441,45265,,"SPX")&lt;/Q&gt;&lt;R&gt;1&lt;/R&gt;&lt;C&gt;1&lt;/C&gt;&lt;D xsi:type="xsd:double"&gt;1.0534047&lt;/D&gt;&lt;/FQL&gt;&lt;FQL&gt;&lt;Q&gt;FERG-US^P_BETA_LOCIDX(45440,45264,,"SPX")&lt;/Q&gt;&lt;R&gt;1&lt;/R&gt;&lt;C&gt;1&lt;/C&gt;&lt;D xsi:type="xsd:double"&gt;1.0722901&lt;/D&gt;&lt;/FQL&gt;&lt;FQL&gt;&lt;Q&gt;FERG-US^P_BETA_LOCIDX(45436,45261,,"SPX")&lt;/Q&gt;&lt;R&gt;1&lt;/R&gt;&lt;C&gt;1&lt;/C&gt;&lt;D xsi:type="xsd:double"&gt;1.0695628&lt;/D&gt;&lt;/FQL&gt;&lt;FQL&gt;&lt;Q&gt;FERG-US^P_BETA_LOCIDX(45435,45260,,"SPX")&lt;/Q&gt;&lt;R&gt;1&lt;/R&gt;&lt;C&gt;1&lt;/C&gt;&lt;D xsi:type="xsd:double"&gt;1.078252&lt;/D&gt;&lt;/FQL&gt;&lt;FQL&gt;&lt;Q&gt;FERG-US^P_BETA_LOCIDX(45434,45259,,"SPX")&lt;/Q&gt;&lt;R&gt;1&lt;/R&gt;&lt;C&gt;1&lt;/C&gt;&lt;D xsi:type="xsd:double"&gt;1.0667259&lt;/D&gt;&lt;/FQL&gt;&lt;FQL&gt;&lt;Q&gt;FERG-US^P_BETA_LOCIDX(45433,45258,,"SPX")&lt;/Q&gt;&lt;R&gt;1&lt;/R&gt;&lt;C&gt;1&lt;/C&gt;&lt;D xsi:type="xsd:double"&gt;1.0630081&lt;/D&gt;&lt;/FQL&gt;&lt;FQL&gt;&lt;Q&gt;FERG-US^P_BETA_LOCIDX(45432,45257,,"SPX")&lt;/Q&gt;&lt;R&gt;1&lt;/R&gt;&lt;C&gt;1&lt;/C&gt;&lt;D xsi:type="xsd:double"&gt;1.0606272&lt;/D&gt;&lt;/FQL&gt;&lt;FQL&gt;&lt;Q&gt;FERG-US^P_BETA_LOCIDX(45429,45254,,"SPX")&lt;/Q&gt;&lt;R&gt;1&lt;/R&gt;&lt;C&gt;1&lt;/C&gt;&lt;D xsi:type="xsd:double"&gt;1.0608604&lt;/D&gt;&lt;/FQL&gt;&lt;FQL&gt;&lt;Q&gt;FERG-US^P_BETA_LOCIDX(45428,45252,,"SPX")&lt;/Q&gt;&lt;R&gt;1&lt;/R&gt;&lt;C&gt;1&lt;/C&gt;&lt;D xsi:type="xsd:double"&gt;1.0598357&lt;/D&gt;&lt;/FQL&gt;&lt;FQL&gt;&lt;Q&gt;FERG-US^P_BETA_LOCIDX(45427,45251,,"SPX")&lt;/Q&gt;&lt;R&gt;1&lt;/R&gt;&lt;C&gt;1&lt;/C&gt;&lt;D xsi:type="xsd:double"&gt;1.0330117&lt;/D&gt;&lt;/FQL&gt;&lt;FQL&gt;&lt;Q&gt;FERG-US^P_BETA_LOCIDX(45426,45250,,"SPX")&lt;/Q&gt;&lt;R&gt;1&lt;/R&gt;&lt;C&gt;1&lt;/C&gt;&lt;D xsi:type="xsd:double"&gt;1.0268481&lt;/D&gt;&lt;/FQL&gt;&lt;FQL&gt;&lt;Q&gt;FERG-US^P_BETA_LOCIDX(45425,45247,,"SPX")&lt;/Q&gt;&lt;R&gt;1&lt;/R&gt;&lt;C&gt;1&lt;/C&gt;&lt;D xsi:type="xsd:double"&gt;1.0334324&lt;/D&gt;&lt;/FQL&gt;&lt;FQL&gt;&lt;Q&gt;FERG-US^P_BETA_LOCIDX(45422,45246,,"SPX")&lt;/Q&gt;&lt;R&gt;1&lt;/R&gt;&lt;C&gt;1&lt;/C&gt;&lt;D xsi:type="xsd:double"&gt;1.0309455&lt;/D&gt;&lt;/FQL&gt;&lt;FQL&gt;&lt;Q&gt;FERG-US^P_BETA_LOCIDX(45421,45245,,"SPX")&lt;/Q&gt;&lt;R&gt;1&lt;/R&gt;&lt;C&gt;1&lt;/C&gt;&lt;D xsi:type="xsd:double"&gt;1.0302627&lt;/D&gt;&lt;/FQL&gt;&lt;FQL&gt;&lt;Q&gt;FERG-US^P_BETA_LOCIDX(45420,45244,,"SPX")&lt;/Q&gt;&lt;R&gt;1&lt;/R&gt;&lt;C&gt;1&lt;/C&gt;&lt;D xsi:type="xsd:double"&gt;1.0492283&lt;/D&gt;&lt;/FQL&gt;&lt;FQL&gt;&lt;Q&gt;FERG-US^P_BETA_LOCIDX(45419,45243,,"SPX")&lt;/Q&gt;&lt;R&gt;1&lt;/R&gt;&lt;C&gt;1&lt;/C&gt;&lt;D xsi:type="xsd:double"&gt;1.0483805&lt;/D&gt;&lt;/FQL&gt;&lt;FQL&gt;&lt;Q&gt;FERG-US^P_BETA_LOCIDX(45418,45240,,"SPX")&lt;/Q&gt;&lt;R&gt;1&lt;/R&gt;&lt;C&gt;1&lt;/C&gt;&lt;D xsi:type="xsd:double"&gt;1.0536551&lt;/D&gt;&lt;/FQL&gt;&lt;FQL&gt;&lt;Q&gt;FERG-US^P_BETA_LOCIDX(45415,45239,,"SPX")&lt;/Q&gt;&lt;R&gt;1&lt;/R&gt;&lt;C&gt;1&lt;/C&gt;&lt;D xsi:type="xsd:double"&gt;1.0470992&lt;/D&gt;&lt;/FQL&gt;&lt;FQL&gt;&lt;Q&gt;FERG-US^P_BETA_LOCIDX(45414,45238,,"SPX")&lt;/Q&gt;&lt;R&gt;1&lt;/R&gt;&lt;C&gt;1&lt;/C&gt;&lt;D xsi:type="xsd:double"&gt;1.0404521&lt;/D&gt;&lt;/FQL&gt;&lt;FQL&gt;&lt;Q&gt;FERG-US^P_BETA_LOCIDX(45413,45237,,"SPX")&lt;/Q&gt;&lt;R&gt;1&lt;/R&gt;&lt;C&gt;1&lt;/C&gt;&lt;D xsi:type="xsd:double"&gt;1.0415092&lt;/D&gt;&lt;/FQL&gt;&lt;FQL&gt;&lt;Q&gt;FERG-US^P_BETA_LOCIDX(45412,45236,,"SPX")&lt;/Q&gt;&lt;R&gt;1&lt;/R&gt;&lt;C&gt;1&lt;/C&gt;&lt;D xsi:type="xsd:double"&gt;1.0484045&lt;/D&gt;&lt;/FQL&gt;&lt;FQL&gt;&lt;Q&gt;FERG-US^P_BETA_LOCIDX(45411,45233,,"SPX")&lt;/Q&gt;&lt;R&gt;1&lt;/R&gt;&lt;C&gt;1&lt;/C&gt;&lt;D xsi:type="xsd:double"&gt;1.0173097&lt;/D&gt;&lt;/FQL&gt;&lt;FQL&gt;&lt;Q&gt;FERG-US^P_BETA_LOCIDX(45408,45232,,"SPX")&lt;/Q&gt;&lt;R&gt;1&lt;/R&gt;&lt;C&gt;1&lt;/C&gt;&lt;D xsi:type="xsd:double"&gt;1.0021346&lt;/D&gt;&lt;/FQL&gt;&lt;FQL&gt;&lt;Q&gt;FERG-US^P_BETA_LOCIDX(45407,45231,,"SPX")&lt;/Q&gt;&lt;R&gt;1&lt;/R&gt;&lt;C&gt;1&lt;/C&gt;&lt;D xsi:type="xsd:double"&gt;1.0311188&lt;/D&gt;&lt;/FQL&gt;&lt;FQL&gt;&lt;Q&gt;FERG-US^P_BETA_LOCIDX(45406,45230,,"SPX")&lt;/Q&gt;&lt;R&gt;1&lt;/R&gt;&lt;C&gt;1&lt;/C&gt;&lt;D xsi:type="xsd:double"&gt;1.0274307&lt;/D&gt;&lt;/FQL&gt;&lt;FQL&gt;&lt;Q&gt;FERG-US^P_BETA_LOCIDX(45405,45229,,"SPX")&lt;/Q&gt;&lt;R&gt;1&lt;/R&gt;&lt;C&gt;1&lt;/C&gt;&lt;D xsi:type="xsd:double"&gt;1.0245388&lt;/D&gt;&lt;/FQL&gt;&lt;FQL&gt;&lt;Q&gt;FERG-US^P_BETA_LOCIDX(45404,45226,,"SPX")&lt;/Q&gt;&lt;R&gt;1&lt;/R&gt;&lt;C&gt;1&lt;/C&gt;&lt;D xsi:type="xsd:double"&gt;1.0189867&lt;/D&gt;&lt;/FQL&gt;&lt;FQL&gt;&lt;Q&gt;FERG-US^P_BETA_LOCIDX(45401,45225,,"SPX")&lt;/Q&gt;&lt;R&gt;1&lt;/R&gt;&lt;C&gt;1&lt;/C&gt;&lt;D xsi:type="xsd:double"&gt;1.0045971&lt;/D&gt;&lt;/FQL&gt;&lt;FQL&gt;&lt;Q&gt;FERG-US^P_BETA_LOCIDX(45400,45224,,"SPX")&lt;/Q&gt;&lt;R&gt;1&lt;/R&gt;&lt;C&gt;1&lt;/C&gt;&lt;D xsi:type="xsd:double"&gt;0.9893091&lt;/D&gt;&lt;/FQL&gt;&lt;FQL&gt;&lt;Q&gt;FERG-US^P_BETA_LOCIDX(45399,45223,,"SPX")&lt;/Q&gt;&lt;R&gt;1&lt;/R&gt;&lt;C&gt;1&lt;/C&gt;&lt;D xsi:type="xsd:double"&gt;0.97991663&lt;/D&gt;&lt;/FQL&gt;&lt;FQL&gt;&lt;Q&gt;FERG-US^P_BETA_LOCIDX(45398,45222,,"SPX")&lt;/Q&gt;&lt;R&gt;1&lt;/R&gt;&lt;C&gt;1&lt;/C&gt;&lt;D xsi:type="xsd:double"&gt;0.9670122&lt;/D&gt;&lt;/FQL&gt;&lt;FQL&gt;&lt;Q&gt;FERG-US^P_BETA_LOCIDX(45397,45219,,"SPX")&lt;/Q&gt;&lt;R&gt;1&lt;/R&gt;&lt;C&gt;1&lt;/C&gt;&lt;D xsi:type="xsd:double"&gt;0.9713821&lt;/D&gt;&lt;/FQL&gt;&lt;FQL&gt;&lt;Q&gt;FERG-US^P_BETA_LOCIDX(45394,45218,,"SPX")&lt;/Q&gt;&lt;R&gt;1&lt;/R&gt;&lt;C&gt;1&lt;/C&gt;&lt;D xsi:type="xsd:double"&gt;1.0134991&lt;/D&gt;&lt;/FQL&gt;&lt;FQL&gt;&lt;Q&gt;FERG-US^P_BETA_LOCIDX(45393,45217,,"SPX")&lt;/Q&gt;&lt;R&gt;1&lt;/R&gt;&lt;C&gt;1&lt;/C&gt;&lt;D xsi:type="xsd:double"&gt;1.1038045&lt;/D&gt;&lt;/FQL&gt;&lt;FQL&gt;&lt;Q&gt;FERG-US^P_BETA_LOCIDX(45392,45216,,"SPX")&lt;/Q&gt;&lt;R&gt;1&lt;/R&gt;&lt;C&gt;1&lt;/C&gt;&lt;D xsi:type="xsd:double"&gt;1.1171368&lt;/D&gt;&lt;/FQL&gt;&lt;FQL&gt;&lt;Q&gt;FERG-US^P_BETA_LOCIDX(45391,45215,,"SPX")&lt;/Q&gt;&lt;R&gt;1&lt;/R&gt;&lt;C&gt;1&lt;/C&gt;&lt;D xsi:type="xsd:double"&gt;1.0735177&lt;/D&gt;&lt;/FQL&gt;&lt;FQL&gt;&lt;Q&gt;FERG-US^P_BETA_LOCIDX(45390,45212,,"SPX")&lt;/Q&gt;&lt;R&gt;1&lt;/R&gt;&lt;C&gt;1&lt;/C&gt;&lt;D xsi:type="xsd:double"&gt;1.0722765&lt;/D&gt;&lt;/FQL&gt;&lt;FQL&gt;&lt;Q&gt;FERG-US^P_BETA_LOCIDX(45387,45211,,"SPX")&lt;/Q&gt;&lt;R&gt;1&lt;/R&gt;&lt;C&gt;1&lt;/C&gt;&lt;D xsi:type="xsd:double"&gt;1.0735554&lt;/D&gt;&lt;/FQL&gt;&lt;FQL&gt;&lt;Q&gt;FERG-US^P_BETA_LOCIDX(45386,45210,,"SPX")&lt;/Q&gt;&lt;R&gt;1&lt;/R&gt;&lt;C&gt;1&lt;/C&gt;&lt;D xsi:type="xsd:double"&gt;1.0806293&lt;/D&gt;&lt;/FQL&gt;&lt;FQL&gt;&lt;Q&gt;FERG-US^P_BETA_LOCIDX(45385,45209,,"SPX")&lt;/Q&gt;&lt;R&gt;1&lt;/R&gt;&lt;C&gt;1&lt;/C&gt;&lt;D xsi:type="xsd:double"&gt;1.1348076&lt;/D&gt;&lt;/FQL&gt;&lt;FQL&gt;&lt;Q&gt;FERG-US^P_BETA_LOCIDX(45384,45208,,"SPX")&lt;/Q&gt;&lt;R&gt;1&lt;/R&gt;&lt;C&gt;1&lt;/C&gt;&lt;D xsi:type="xsd:double"&gt;1.1447159&lt;/D&gt;&lt;/FQL&gt;&lt;FQL&gt;&lt;Q&gt;FERG-US^P_BETA_LOCIDX(45383,45205,,"SPX")&lt;/Q&gt;&lt;R&gt;1&lt;/R&gt;&lt;C&gt;1&lt;/C&gt;&lt;D xsi:type="xsd:double"&gt;1.1501116&lt;/D&gt;&lt;/FQL&gt;&lt;FQL&gt;&lt;Q&gt;FERG-US^P_BETA_LOCIDX(45379,45204,,"SPX")&lt;/Q&gt;&lt;R&gt;1&lt;/R&gt;&lt;C&gt;1&lt;/C&gt;&lt;D xsi:type="xsd:double"&gt;1.1495563&lt;/D&gt;&lt;/FQL&gt;&lt;FQL&gt;&lt;Q&gt;FERG-US^P_BETA_LOCIDX(45378,45203,,"SPX")&lt;/Q&gt;&lt;R&gt;1&lt;/R&gt;&lt;C&gt;1&lt;/C&gt;&lt;D xsi:type="xsd:double"&gt;1.1480263&lt;/D&gt;&lt;/FQL&gt;&lt;FQL&gt;&lt;Q&gt;FERG-US^P_BETA_LOCIDX(45377,45202,,"SPX")&lt;/Q&gt;&lt;R&gt;1&lt;/R&gt;&lt;C&gt;1&lt;/C&gt;&lt;D xsi:type="xsd:double"&gt;1.1675655&lt;/D&gt;&lt;/FQL&gt;&lt;FQL&gt;&lt;Q&gt;FERG-US^P_BETA_LOCIDX(45376,45201,,"SPX")&lt;/Q&gt;&lt;R&gt;1&lt;/R&gt;&lt;C&gt;1&lt;/C&gt;&lt;D xsi:type="xsd:double"&gt;1.1760002&lt;/D&gt;&lt;/FQL&gt;&lt;FQL&gt;&lt;Q&gt;FERG-US^P_BETA_LOCIDX(45373,45198,,"SPX")&lt;/Q&gt;&lt;R&gt;1&lt;/R&gt;&lt;C&gt;1&lt;/C&gt;&lt;D xsi:type="xsd:double"&gt;1.179355&lt;/D&gt;&lt;/FQL&gt;&lt;FQL&gt;&lt;Q&gt;FERG-US^P_BETA_LOCIDX(45372,45197,,"SPX")&lt;/Q&gt;&lt;R&gt;1&lt;/R&gt;&lt;C&gt;1&lt;/C&gt;&lt;D xsi:type="xsd:double"&gt;1.1938084&lt;/D&gt;&lt;/FQL&gt;&lt;FQL&gt;&lt;Q&gt;FERG-US^P_BETA_LOCIDX(45371,45196,,"SPX")&lt;/Q&gt;&lt;R&gt;1&lt;/R&gt;&lt;C&gt;1&lt;/C&gt;&lt;D xsi:type="xsd:double"&gt;1.1830482&lt;/D&gt;&lt;/FQL&gt;&lt;FQL&gt;&lt;Q&gt;FERG-US^P_BETA_LOCIDX(45370,45195,,"SPX")&lt;/Q&gt;&lt;R&gt;1&lt;/R&gt;&lt;C&gt;1&lt;/C&gt;&lt;D xsi:type="xsd:double"&gt;1.0276392&lt;/D&gt;&lt;/FQL&gt;&lt;FQL&gt;&lt;Q&gt;FERG-US^P_BETA_LOCIDX(45369,45194,,"SPX")&lt;/Q&gt;&lt;R&gt;1&lt;/R&gt;&lt;C&gt;1&lt;/C&gt;&lt;D xsi:type="xsd:double"&gt;1.0072829&lt;/D&gt;&lt;/FQL&gt;&lt;FQL&gt;&lt;Q&gt;FERG-US^P_BETA_LOCIDX(45366,45191,,"SPX")&lt;/Q&gt;&lt;R&gt;1&lt;/R&gt;&lt;C&gt;1&lt;/C&gt;&lt;D xsi:type="xsd:double"&gt;1.0128989&lt;/D&gt;&lt;/FQL&gt;&lt;FQL&gt;&lt;Q&gt;FERG-US^P_BETA_LOCIDX(45365,45190,,"SPX")&lt;/Q&gt;&lt;R&gt;1&lt;/R&gt;&lt;C&gt;1&lt;/C&gt;&lt;D xsi:type="xsd:double"&gt;1.0293044&lt;/D&gt;&lt;/FQL&gt;&lt;FQL&gt;&lt;Q&gt;FERG-US^P_BETA_LOCIDX(45364,45189,,"SPX")&lt;/Q&gt;&lt;R&gt;1&lt;/R&gt;&lt;C&gt;1&lt;/C&gt;&lt;D xsi:type="xsd:double"&gt;1.0328221&lt;/D&gt;&lt;/FQL&gt;&lt;FQL&gt;&lt;Q&gt;FERG-US^P_BETA_LOCIDX(45363,45188,,"SPX")&lt;/Q&gt;&lt;R&gt;1&lt;/R&gt;&lt;C&gt;1&lt;/C&gt;&lt;D xsi:type="xsd:double"&gt;1.0370752&lt;/D&gt;&lt;/FQL&gt;&lt;FQL&gt;&lt;Q&gt;FERG-US^P_BETA_LOCIDX(45362,45187,,"SPX")&lt;/Q&gt;&lt;R&gt;1&lt;/R&gt;&lt;C&gt;1&lt;/C&gt;&lt;D xsi:type="xsd:double"&gt;1.0200601&lt;/D&gt;&lt;/FQL&gt;&lt;FQL&gt;&lt;Q&gt;FERG-US^P_BETA_LOCIDX(45359,45184,,"SPX")&lt;/Q&gt;&lt;R&gt;1&lt;/R&gt;&lt;C&gt;1&lt;/C&gt;&lt;D xsi:type="xsd:double"&gt;1.0204985&lt;/D&gt;&lt;/FQL&gt;&lt;FQL&gt;&lt;Q&gt;FERG-US^P_BETA_LOCIDX(45358,45183,,"SPX")&lt;/Q&gt;&lt;R&gt;1&lt;/R&gt;&lt;C&gt;1&lt;/C&gt;&lt;D xsi:type="xsd:double"&gt;1.0055281&lt;/D&gt;&lt;/FQL&gt;&lt;FQL&gt;&lt;Q&gt;FERG-US^P_BETA_LOCIDX(45357,45182,,"SPX")&lt;/Q&gt;&lt;R&gt;1&lt;/R&gt;&lt;C&gt;1&lt;/C&gt;&lt;D xsi:type="xsd:double"&gt;1.0150145&lt;/D&gt;&lt;/FQL&gt;&lt;FQL&gt;&lt;Q&gt;FERG-US^P_BETA_LOCIDX(45356,45181,,"SPX")&lt;/Q&gt;&lt;R&gt;1&lt;/R&gt;&lt;C&gt;1&lt;/C&gt;&lt;D xsi:type="xsd:double"&gt;1.0232615&lt;/D&gt;&lt;/FQL&gt;&lt;FQL&gt;&lt;Q&gt;FERG-US^P_BETA_LOCIDX(45355,45180,,"SPX")&lt;/Q&gt;&lt;R&gt;1&lt;/R&gt;&lt;C&gt;1&lt;/C&gt;&lt;D xsi:type="xsd:double"&gt;0.9320019&lt;/D&gt;&lt;/FQL&gt;&lt;FQL&gt;&lt;Q&gt;FERG-US^P_BETA_LOCIDX(45352,45177,,"SPX")&lt;/Q&gt;&lt;R&gt;1&lt;/R&gt;&lt;C&gt;1&lt;/C&gt;&lt;D xsi:type="xsd:double"&gt;0.9335809&lt;/D&gt;&lt;/FQL&gt;&lt;FQL&gt;&lt;Q&gt;FERG-US^P_BETA_LOCIDX(45351,45176,,"SPX")&lt;/Q&gt;&lt;R&gt;1&lt;/R&gt;&lt;C&gt;1&lt;/C&gt;&lt;D xsi:type="xsd:double"&gt;0.9380816&lt;/D&gt;&lt;/FQL&gt;&lt;FQL&gt;&lt;Q&gt;FERG-US^P_BETA_LOCIDX(45350,45175,,"SPX")&lt;/Q&gt;&lt;R&gt;1&lt;/R&gt;&lt;C&gt;1&lt;/C&gt;&lt;D xsi:type="xsd:double"&gt;0.9478577&lt;/D&gt;&lt;/FQL&gt;&lt;FQL&gt;&lt;Q&gt;FERG-US^P_BETA_LOCIDX(45349,45174,,"SPX")&lt;/Q&gt;&lt;R&gt;1&lt;/R&gt;&lt;C&gt;1&lt;/C&gt;&lt;D xsi:type="xsd:double"&gt;0.97227776&lt;/D&gt;&lt;/FQL&gt;&lt;FQL&gt;&lt;Q&gt;FERG-US^P_BETA_LOCIDX(45348,45170,,"SPX")&lt;/Q&gt;&lt;R&gt;1&lt;/R&gt;&lt;C&gt;1&lt;/C&gt;&lt;D xsi:type="xsd:double"&gt;0.9732976&lt;/D&gt;&lt;/FQL&gt;&lt;FQL&gt;&lt;Q&gt;FERG-US^P_BETA_LOCIDX(45345,45169,,"SPX")&lt;/Q&gt;&lt;R&gt;1&lt;/R&gt;&lt;C&gt;1&lt;/C&gt;&lt;D xsi:type="xsd:double"&gt;0.9885713&lt;/D&gt;&lt;/FQL&gt;&lt;FQL&gt;&lt;Q&gt;FERG-US^P_BETA_LOCIDX(45344,45168,,"SPX")&lt;/Q&gt;&lt;R&gt;1&lt;/R&gt;&lt;C&gt;1&lt;/C&gt;&lt;D xsi:type="xsd:double"&gt;0.9940753&lt;/D&gt;&lt;/FQL&gt;&lt;FQL&gt;&lt;Q&gt;FERG-US^P_BETA_LOCIDX(45343,45167,,"SPX")&lt;/Q&gt;&lt;R&gt;1&lt;/R&gt;&lt;C&gt;1&lt;/C&gt;&lt;D xsi:type="xsd:double"&gt;0.9752981&lt;/D&gt;&lt;/FQL&gt;&lt;FQL&gt;&lt;Q&gt;FERG-US^P_BETA_LOCIDX(45342,45166,,"SPX")&lt;/Q&gt;&lt;R&gt;1&lt;/R&gt;&lt;C&gt;1&lt;/C&gt;&lt;D xsi:type="xsd:double"&gt;0.9759207&lt;/D&gt;&lt;/FQL&gt;&lt;FQL&gt;&lt;Q&gt;FERG-US^P_BETA_LOCIDX(45338,45163,,"SPX")&lt;/Q&gt;&lt;R&gt;1&lt;/R&gt;&lt;C&gt;1&lt;/C&gt;&lt;D xsi:type="xsd:double"&gt;0.99799126&lt;/D&gt;&lt;/FQL&gt;&lt;FQL&gt;&lt;Q&gt;FERG-US^P_BETA_LOCIDX(45337,45162,,"SPX")&lt;/Q&gt;&lt;R&gt;1&lt;/R&gt;&lt;C&gt;1&lt;/C&gt;&lt;D xsi:type="xsd:double"&gt;1.0131159&lt;/D&gt;&lt;/FQL&gt;&lt;FQL&gt;&lt;Q&gt;FERG-US^P_BETA_LOCIDX(45336,45161,,"SPX")&lt;/Q&gt;&lt;R&gt;1&lt;/R&gt;&lt;C&gt;1&lt;/C&gt;&lt;D xsi:type="xsd:double"&gt;1.0070693&lt;/D&gt;&lt;/FQL&gt;&lt;FQL&gt;&lt;Q&gt;FERG-US^P_BETA_LOCIDX(45335,45160,,"SPX")&lt;/Q&gt;&lt;R&gt;1&lt;/R&gt;&lt;C&gt;1&lt;/C&gt;&lt;D xsi:type="xsd:double"&gt;1.0014111&lt;/D&gt;&lt;/FQL&gt;&lt;FQL&gt;&lt;Q&gt;FERG-US^P_BETA_LOCIDX(45334,45159,,"SPX")&lt;/Q&gt;&lt;R&gt;1&lt;/R&gt;&lt;C&gt;1&lt;/C&gt;&lt;D xsi:type="xsd:double"&gt;0.94234276&lt;/D&gt;&lt;/FQL&gt;&lt;FQL&gt;&lt;Q&gt;FERG-US^P_BETA_LOCIDX(45331,45156,,"SPX")&lt;/Q&gt;&lt;R&gt;1&lt;/R&gt;&lt;C&gt;1&lt;/C&gt;&lt;D xsi:type="xsd:double"&gt;0.9417299&lt;/D&gt;&lt;/FQL&gt;&lt;FQL&gt;&lt;Q&gt;FERG-US^P_BETA_LOCIDX(45330,45155,,"SPX")&lt;/Q&gt;&lt;R&gt;1&lt;/R&gt;&lt;C&gt;1&lt;/C&gt;&lt;D xsi:type="xsd:double"&gt;0.96322113&lt;/D&gt;&lt;/FQL&gt;&lt;FQL&gt;&lt;Q&gt;FERG-US^P_BETA_LOCIDX(45329,45154,,"SPX")&lt;/Q&gt;&lt;R&gt;1&lt;/R&gt;&lt;C&gt;1&lt;/C&gt;&lt;D xsi:type="xsd:double"&gt;0.9658112&lt;/D&gt;&lt;/FQL&gt;&lt;FQL&gt;&lt;Q&gt;FERG-US^P_BETA_LOCIDX(45328,45153,,"SPX")&lt;/Q&gt;&lt;R&gt;1&lt;/R&gt;&lt;C&gt;1&lt;/C&gt;&lt;D xsi:type="xsd:double"&gt;0.96301913&lt;/D&gt;&lt;/FQL&gt;&lt;FQL&gt;&lt;Q&gt;FERG-US^P_BETA_LOCIDX(45327,45152,,"SPX")&lt;/Q&gt;&lt;R&gt;1&lt;/R&gt;&lt;C&gt;1&lt;/C&gt;&lt;D xsi:type="xsd:double"&gt;0.9620645&lt;/D&gt;&lt;/FQL&gt;&lt;FQL&gt;&lt;Q&gt;FERG-US^P_BETA_LOCIDX(45324,45149,,"SPX")&lt;/Q&gt;&lt;R&gt;1&lt;/R&gt;&lt;C&gt;1&lt;/C&gt;&lt;D xsi:type="xsd:double"&gt;0.95427835&lt;/D&gt;&lt;/FQL&gt;&lt;FQL&gt;&lt;Q&gt;FERG-US^P_BETA_LOCIDX(45323,45148,,"SPX")&lt;/Q&gt;&lt;R&gt;1&lt;/R&gt;&lt;C&gt;1&lt;/C&gt;&lt;D xsi:type="xsd:double"&gt;0.96829426&lt;/D&gt;&lt;/FQL&gt;&lt;FQL&gt;&lt;Q&gt;FERG-US^P_BETA_LOCIDX(45322,45147,,"SPX")&lt;/Q&gt;&lt;R&gt;1&lt;/R&gt;&lt;C&gt;1&lt;/C&gt;&lt;D xsi:type="xsd:double"&gt;0.9607234&lt;/D&gt;&lt;/FQL&gt;&lt;FQL&gt;&lt;Q&gt;FERG-US^P_BETA_LOCIDX(45321,45146,,"SPX")&lt;/Q&gt;&lt;R&gt;1&lt;/R&gt;&lt;C&gt;1&lt;/C&gt;&lt;D xsi:type="xsd:double"&gt;0.9592207&lt;/D&gt;&lt;/FQL&gt;&lt;FQL&gt;&lt;Q&gt;FERG-US^P_BETA_LOCIDX(45320,45145,,"SPX")&lt;/Q&gt;&lt;R&gt;1&lt;/R&gt;&lt;C&gt;1&lt;/C&gt;&lt;D xsi:type="xsd:double"&gt;0.9707204&lt;/D&gt;&lt;/FQL&gt;&lt;FQL&gt;&lt;Q&gt;FERG-US^P_BETA_LOCIDX(45317,45142,,"SPX")&lt;/Q&gt;&lt;R&gt;1&lt;/R&gt;&lt;C&gt;1&lt;/C&gt;&lt;D xsi:type="xsd:double"&gt;0.9672049&lt;/D&gt;&lt;/FQL&gt;&lt;FQL&gt;&lt;Q&gt;FERG-US^P_BETA_LOCIDX(45316,45141,,"SPX")&lt;/Q&gt;&lt;R&gt;1&lt;/R&gt;&lt;C&gt;1&lt;/C&gt;&lt;D xsi:type="xsd:double"&gt;0.9686267&lt;/D&gt;&lt;/FQL&gt;&lt;FQL&gt;&lt;Q&gt;FERG-US^P_BETA_LOCIDX(45315,45140,,"SPX")&lt;/Q&gt;&lt;R&gt;1&lt;/R&gt;&lt;C&gt;1&lt;/C&gt;&lt;D xsi:type="xsd:double"&gt;0.9716338&lt;/D&gt;&lt;/FQL&gt;&lt;FQL&gt;&lt;Q&gt;FERG-US^P_BETA_LOCIDX(45314,45139,,"SPX")&lt;/Q&gt;&lt;R&gt;1&lt;/R&gt;&lt;C&gt;1&lt;/C&gt;&lt;D xsi:type="xsd:double"&gt;0.9697574&lt;/D&gt;&lt;/FQL&gt;&lt;FQL&gt;&lt;Q&gt;FERG-US^P_BETA_LOCIDX(45313,45138,,"SPX")&lt;/Q&gt;&lt;R&gt;1&lt;/R&gt;&lt;C&gt;1&lt;/C&gt;&lt;D xsi:type="xsd:double"&gt;0.97477114&lt;/D&gt;&lt;/FQL&gt;&lt;FQL&gt;&lt;Q&gt;FERG-US^P_BETA_LOCIDX(45310,45135,,"SPX")&lt;/Q&gt;&lt;R&gt;1&lt;/R&gt;&lt;C&gt;1&lt;/C&gt;&lt;D xsi:type="xsd:double"&gt;0.94938904&lt;/D&gt;&lt;/FQL&gt;&lt;FQL&gt;&lt;Q&gt;FERG-US^P_BETA_LOCIDX(45309,45134,,"SPX")&lt;/Q&gt;&lt;R&gt;1&lt;/R&gt;&lt;C&gt;1&lt;/C&gt;&lt;D xsi:type="xsd:double"&gt;0.9553001&lt;/D&gt;&lt;/FQL&gt;&lt;FQL&gt;&lt;Q&gt;FERG-US^P_BETA_LOCIDX(45308,45133,,"SPX")&lt;/Q&gt;&lt;R&gt;1&lt;/R&gt;&lt;C&gt;1&lt;/C&gt;&lt;D xsi:type="xsd:double"&gt;0.93528324&lt;/D&gt;&lt;/FQL&gt;&lt;FQL&gt;&lt;Q&gt;FERG-US^P_BETA_LOCIDX(45307,45132,,"SPX")&lt;/Q&gt;&lt;R&gt;1&lt;/R&gt;&lt;C&gt;1&lt;/C&gt;&lt;D xsi:type="xsd:double"&gt;0.9335201&lt;/D&gt;&lt;/FQL&gt;&lt;FQL&gt;&lt;Q&gt;FERG-US^P_BETA_LOCIDX(45303,45131,,"SPX")&lt;/Q&gt;&lt;R&gt;1&lt;/R&gt;&lt;C&gt;1&lt;/C&gt;&lt;D xsi:type="xsd:double"&gt;0.9350017&lt;/D&gt;&lt;/FQL&gt;&lt;FQL&gt;&lt;Q&gt;FERG-US^P_BETA_LOCIDX(45302,45128,,"SPX")&lt;/Q&gt;&lt;R&gt;1&lt;/R&gt;&lt;C&gt;1&lt;/C&gt;&lt;D xsi:type="xsd:double"&gt;0.9348423&lt;/D&gt;&lt;/FQL&gt;&lt;FQL&gt;&lt;Q&gt;FERG-US^P_BETA_LOCIDX(45301,45127,,"SPX")&lt;/Q&gt;&lt;R&gt;1&lt;/R&gt;&lt;C&gt;1&lt;/C&gt;&lt;D xsi:type="xsd:double"&gt;0.93291473&lt;/D&gt;&lt;/FQL&gt;&lt;FQL&gt;&lt;Q&gt;FERG-US^P_BETA_LOCIDX(45300,45126,,"SPX")&lt;/Q&gt;&lt;R&gt;1&lt;/R&gt;&lt;C&gt;1&lt;/C&gt;&lt;D xsi:type="xsd:double"&gt;0.9352096&lt;/D&gt;&lt;/FQL&gt;&lt;FQL&gt;&lt;Q&gt;FERG-US^P_BETA_LOCIDX(45299,45125,,"SPX")&lt;/Q&gt;&lt;R&gt;1&lt;/R&gt;&lt;C&gt;1&lt;/C&gt;&lt;D xsi:type="xsd:double"&gt;0.923421&lt;/D&gt;&lt;/FQL&gt;&lt;FQL&gt;&lt;Q&gt;FERG-US^P_BETA_LOCIDX(45296,45124,,"SPX")&lt;/Q&gt;&lt;R&gt;1&lt;/R&gt;&lt;C&gt;1&lt;/C&gt;&lt;D xsi:type="xsd:double"&gt;0.94676&lt;/D&gt;&lt;/FQL&gt;&lt;FQL&gt;&lt;Q&gt;FERG-US^P_BETA_LOCIDX(45295,45121,,"SPX")&lt;/Q&gt;&lt;R&gt;1&lt;/R&gt;&lt;C&gt;1&lt;/C&gt;&lt;D xsi:type="xsd:double"&gt;0.9480444&lt;/D&gt;&lt;/FQL&gt;&lt;FQL&gt;&lt;Q&gt;FERG-US^P_BETA_LOCIDX(45294,45120,,"SPX")&lt;/Q&gt;&lt;R&gt;1&lt;/R&gt;&lt;C&gt;1&lt;/C&gt;&lt;D xsi:type="xsd:double"&gt;0.95610726&lt;/D&gt;&lt;/FQL&gt;&lt;FQL&gt;&lt;Q&gt;FERG-US^P_BETA_LOCIDX(45293,45119,,"SPX")&lt;/Q&gt;&lt;R&gt;1&lt;/R&gt;&lt;C&gt;1&lt;/C&gt;&lt;D xsi:type="xsd:double"&gt;0.93968254&lt;/D&gt;&lt;/FQL&gt;&lt;FQL&gt;&lt;Q&gt;FERG-US^P_BETA_LOCIDX(45289,45118,,"SPX")&lt;/Q&gt;&lt;R&gt;1&lt;/R&gt;&lt;C&gt;1&lt;/C&gt;&lt;D xsi:type="xsd:double"&gt;0.9346213&lt;/D&gt;&lt;/FQL&gt;&lt;FQL&gt;&lt;Q&gt;FERG-US^P_BETA_LOCIDX(45288,45117,,"SPX")&lt;/Q&gt;&lt;R&gt;1&lt;/R&gt;&lt;C&gt;1&lt;/C&gt;&lt;D xsi:type="xsd:double"&gt;0.9350176&lt;/D&gt;&lt;/FQL&gt;&lt;FQL&gt;&lt;Q&gt;FERG-US^P_BETA_LOCIDX(45287,45114,,"SPX")&lt;/Q&gt;&lt;R&gt;1&lt;/R&gt;&lt;C&gt;1&lt;/C&gt;&lt;D xsi:type="xsd:double"&gt;0.92238665&lt;/D&gt;&lt;/FQL&gt;&lt;FQL&gt;&lt;Q&gt;FERG-US^P_BETA_LOCIDX(45286,45113,,"SPX")&lt;/Q&gt;&lt;R&gt;1&lt;/R&gt;&lt;C&gt;1&lt;/C&gt;&lt;D xsi:type="xsd:double"&gt;0.95408267&lt;/D&gt;&lt;/FQL&gt;&lt;FQL&gt;&lt;Q&gt;FERG-US^P_BETA_LOCIDX(45282,45112,,"SPX")&lt;/Q&gt;&lt;R&gt;1&lt;/R&gt;&lt;C&gt;1&lt;/C&gt;&lt;D xsi:type="xsd:double"&gt;0.9576732&lt;/D&gt;&lt;/FQL&gt;&lt;FQL&gt;&lt;Q&gt;FERG-US^P_BETA_LOCIDX(45281,45110,,"SPX")&lt;/Q&gt;&lt;R&gt;1&lt;/R&gt;&lt;C&gt;1&lt;/C&gt;&lt;D xsi:type="xsd:double"&gt;0.95603544&lt;/D&gt;&lt;/FQL&gt;&lt;FQL&gt;&lt;Q&gt;FERG-US^P_BETA_LOCIDX(45280,45107,,"SPX")&lt;/Q&gt;&lt;R&gt;1&lt;/R&gt;&lt;C&gt;1&lt;/C&gt;&lt;D xsi:type="xsd:double"&gt;0.9386549&lt;/D&gt;&lt;/FQL&gt;&lt;FQL&gt;&lt;Q&gt;FERG-US^P_BETA_LOCIDX(45279,45106,,"SPX")&lt;/Q&gt;&lt;R&gt;1&lt;/R&gt;&lt;C&gt;1&lt;/C&gt;&lt;D xsi:type="xsd:double"&gt;0.94597495&lt;/D&gt;&lt;/FQL&gt;&lt;FQL&gt;&lt;Q&gt;FERG-US^P_BETA_LOCIDX(45278,45105,,"SPX")&lt;/Q&gt;&lt;R&gt;1&lt;/R&gt;&lt;C&gt;1&lt;/C&gt;&lt;D xsi:type="xsd:double"&gt;0.9479367&lt;/D&gt;&lt;/FQL&gt;&lt;FQL&gt;&lt;Q&gt;FERG-US^P_BETA_LOCIDX(45275,45104,,"SPX")&lt;/Q&gt;&lt;R&gt;1&lt;/R&gt;&lt;C&gt;1&lt;/C&gt;&lt;D xsi:type="xsd:double"&gt;0.96924204&lt;/D&gt;&lt;/FQL&gt;&lt;FQL&gt;&lt;Q&gt;FERG-US^P_BETA_LOCIDX(45274,45103,,"SPX")&lt;/Q&gt;&lt;R&gt;1&lt;/R&gt;&lt;C&gt;1&lt;/C&gt;&lt;D xsi:type="xsd:double"&gt;0.96619314&lt;/D&gt;&lt;/FQL&gt;&lt;FQL&gt;&lt;Q&gt;FERG-US^P_BETA_LOCIDX(45273,45100,,"SPX")&lt;/Q&gt;&lt;R&gt;1&lt;/R&gt;&lt;C&gt;1&lt;/C&gt;&lt;D xsi:type="xsd:double"&gt;0.96975636&lt;/D&gt;&lt;/FQL&gt;&lt;FQL&gt;&lt;Q&gt;FERG-US^P_BETA_LOCIDX(45272,45099,,"SPX")&lt;/Q&gt;&lt;R&gt;1&lt;/R&gt;&lt;C&gt;1&lt;/C&gt;&lt;D xsi:type="xsd:double"&gt;0.98477507&lt;/D&gt;&lt;/FQL&gt;&lt;FQL&gt;&lt;Q&gt;FERG-US^P_BETA_LOCIDX(45271,45098,,"SPX")&lt;/Q&gt;&lt;R&gt;1&lt;/R&gt;&lt;C&gt;1&lt;/C&gt;&lt;D xsi:type="xsd:double"&gt;0.9679519&lt;/D&gt;&lt;/FQL&gt;&lt;FQL&gt;&lt;Q&gt;FERG-US^P_BETA_LOCIDX(45268,45097,,"SPX")&lt;/Q&gt;&lt;R&gt;1&lt;/R&gt;&lt;C&gt;1&lt;/C&gt;&lt;D xsi:type="xsd:double"&gt;0.96706164&lt;/D&gt;&lt;/FQL&gt;&lt;FQL&gt;&lt;Q&gt;FERG-US^P_BETA_LOCIDX(45267,45093,,"SPX")&lt;/Q&gt;&lt;R&gt;1&lt;/R&gt;&lt;C&gt;1&lt;/C&gt;&lt;D xsi:type="xsd:double"&gt;0.9654313&lt;/D&gt;&lt;/FQL&gt;&lt;FQL&gt;&lt;Q&gt;FERG-US^P_BETA_LOCIDX(45266,45092,,"SPX")&lt;/Q&gt;&lt;R&gt;1&lt;/R&gt;&lt;C&gt;1&lt;/C&gt;&lt;D xsi:type="xsd:double"&gt;0.94829124&lt;/D&gt;&lt;/FQL&gt;&lt;FQL&gt;&lt;Q&gt;FERG-US^P_BETA_LOCIDX(45265,45091,,"SPX")&lt;/Q&gt;&lt;R&gt;1&lt;/R&gt;&lt;C&gt;1&lt;/C&gt;&lt;D xsi:type="xsd:double"&gt;0.95280224&lt;/D&gt;&lt;/FQL&gt;&lt;FQL&gt;&lt;Q&gt;FERG-US^P_BETA_LOCIDX(45264,45090,,"SPX")&lt;/Q&gt;&lt;R&gt;1&lt;/R&gt;&lt;C&gt;1&lt;/C&gt;&lt;D xsi:type="xsd:double"&gt;0.96549815&lt;/D&gt;&lt;/FQL&gt;&lt;FQL&gt;&lt;Q&gt;FERG-US^P_BETA_LOCIDX(45261,45089,,"SPX")&lt;/Q&gt;&lt;R&gt;1&lt;/R&gt;&lt;C&gt;1&lt;/C&gt;&lt;D xsi:type="xsd:double"&gt;0.94994307&lt;/D&gt;&lt;/FQL&gt;&lt;FQL&gt;&lt;Q&gt;FERG-US^P_BETA_LOCIDX(45260,45086,,"SPX")&lt;/Q&gt;&lt;R&gt;1&lt;/R&gt;&lt;C&gt;1&lt;/C&gt;&lt;D xsi:type="xsd:double"&gt;0.9498304&lt;/D&gt;&lt;/FQL&gt;&lt;FQL&gt;&lt;Q&gt;FERG-US^P_BETA_LOCIDX(45259,45085,,"SPX")&lt;/Q&gt;&lt;R&gt;1&lt;/R&gt;&lt;C&gt;1&lt;/C&gt;&lt;D xsi:type="xsd:double"&gt;0.9284205&lt;/D&gt;&lt;/FQL&gt;&lt;FQL&gt;&lt;Q&gt;FERG-US^P_BETA_LOCIDX(45258,45084,,"SPX")&lt;/Q&gt;&lt;R&gt;1&lt;/R&gt;&lt;C&gt;1&lt;/C&gt;&lt;D xsi:type="xsd:double"&gt;0.93069005&lt;/D&gt;&lt;/FQL&gt;&lt;FQL&gt;&lt;Q&gt;FERG-US^P_BETA_LOCIDX(45257,45083,,"SPX")&lt;/Q&gt;&lt;R&gt;1&lt;/R&gt;&lt;C&gt;1&lt;/C&gt;&lt;D xsi:type="xsd:double"&gt;0.9308648&lt;/D&gt;&lt;/FQL&gt;&lt;FQL&gt;&lt;Q&gt;FERG-US^P_BETA_LOCIDX(45254,45082,,"SPX")&lt;/Q&gt;&lt;R&gt;1&lt;/R&gt;&lt;C&gt;1&lt;/C&gt;&lt;D xsi:type="xsd:double"&gt;0.9348583&lt;/D&gt;&lt;/FQL&gt;&lt;FQL&gt;&lt;Q&gt;FERG-US^P_BETA_LOCIDX(45252,45079,,"SPX")&lt;/Q&gt;&lt;R&gt;1&lt;/R&gt;&lt;C&gt;1&lt;/C&gt;&lt;D xsi:type="xsd:double"&gt;0.9362644&lt;/D&gt;&lt;/FQL&gt;&lt;FQL&gt;&lt;Q&gt;FERG-US^P_BETA_LOCIDX(45251,45078,,"SPX")&lt;/Q&gt;&lt;R&gt;1&lt;/R&gt;&lt;C&gt;1&lt;/C&gt;&lt;D xsi:type="xsd:double"&gt;0.93006635&lt;/D&gt;&lt;/FQL&gt;&lt;FQL&gt;&lt;Q&gt;FERG-US^P_BETA_LOCIDX(45250,45077,,"SPX")&lt;/Q&gt;&lt;R&gt;1&lt;/R&gt;&lt;C&gt;1&lt;/C&gt;&lt;D xsi:type="xsd:double"&gt;0.9385534&lt;/D&gt;&lt;/FQL&gt;&lt;FQL&gt;&lt;Q&gt;FERG-US^P_BETA_LOCIDX(45247,45076,,"SPX")&lt;/Q&gt;&lt;R&gt;1&lt;/R&gt;&lt;C&gt;1&lt;/C&gt;&lt;D xsi:type="xsd:double"&gt;0.9504973&lt;/D&gt;&lt;/FQL&gt;&lt;FQL&gt;&lt;Q&gt;FERG-US^P_BETA_LOCIDX(45246,45072,,"SPX")&lt;/Q&gt;&lt;R&gt;1&lt;/R&gt;&lt;C&gt;1&lt;/C&gt;&lt;D xsi:type="xsd:double"&gt;0.9732376&lt;/D&gt;&lt;/FQL&gt;&lt;FQL&gt;&lt;Q&gt;FERG-US^P_BETA_LOCIDX(45245,45071,,"SPX")&lt;/Q&gt;&lt;R&gt;1&lt;/R&gt;&lt;C&gt;1&lt;/C&gt;&lt;D xsi:type="xsd:double"&gt;0.96328807&lt;/D&gt;&lt;/FQL&gt;&lt;FQL&gt;&lt;Q&gt;FERG-US^P_BETA_LOCIDX(45244,45070,,"SPX")&lt;/Q&gt;&lt;R&gt;1&lt;/R&gt;&lt;C&gt;1&lt;/C&gt;&lt;D xsi:type="xsd:double"&gt;0.96356845&lt;/D&gt;&lt;/FQL&gt;&lt;FQL&gt;&lt;Q&gt;FERG-US^P_BETA_LOCIDX(45243,45069,,"SPX")&lt;/Q&gt;&lt;R&gt;1&lt;/R&gt;&lt;C&gt;1&lt;/C&gt;&lt;D xsi:type="xsd:double"&gt;0.9897283&lt;/D&gt;&lt;/FQL&gt;&lt;FQL&gt;&lt;Q&gt;FERG-US^P_BETA_LOCIDX(45240,45068,,"SPX")&lt;/Q&gt;&lt;R&gt;1&lt;/R&gt;&lt;C&gt;1&lt;/C&gt;&lt;D xsi:type="xsd:double"&gt;0.98994046&lt;/D&gt;&lt;/FQL&gt;&lt;FQL&gt;&lt;Q&gt;FERG-US^P_BETA_LOCIDX(45239,45065,,"SPX")&lt;/Q&gt;&lt;R&gt;1&lt;/R&gt;&lt;C&gt;1&lt;/C&gt;&lt;D xsi:type="xsd:double"&gt;0.9823097&lt;/D&gt;&lt;/FQL&gt;&lt;FQL&gt;&lt;Q&gt;FERG-US^P_BETA_LOCIDX(45238,45064,,"SPX")&lt;/Q&gt;&lt;R&gt;1&lt;/R&gt;&lt;C&gt;1&lt;/C&gt;&lt;D xsi:type="xsd:double"&gt;1.0105891&lt;/D&gt;&lt;/FQL&gt;&lt;FQL&gt;&lt;Q&gt;FERG-US^P_BETA_LOCIDX(45237,45063,,"SPX")&lt;/Q&gt;&lt;R&gt;1&lt;/R&gt;&lt;C&gt;1&lt;/C&gt;&lt;D xsi:type="xsd:double"&gt;1.0045968&lt;/D&gt;&lt;/FQL&gt;&lt;FQL&gt;&lt;Q&gt;FERG-US^P_BETA_LOCIDX(45236,45062,,"SPX")&lt;/Q&gt;&lt;R&gt;1&lt;/R&gt;&lt;C&gt;1&lt;/C&gt;&lt;D xsi:type="xsd:double"&gt;1.0130965&lt;/D&gt;&lt;/FQL&gt;&lt;FQL&gt;&lt;Q&gt;FERG-US^P_BETA_LOCIDX(45233,45061,,"SPX")&lt;/Q&gt;&lt;R&gt;1&lt;/R&gt;&lt;C&gt;1&lt;/C&gt;&lt;D xsi:type="xsd:double"&gt;1.0202978&lt;/D&gt;&lt;/FQL&gt;&lt;FQL&gt;&lt;Q&gt;FERG-US^P_BETA_LOCIDX(45232,45058,,"SPX")&lt;/Q&gt;&lt;R&gt;1&lt;/R&gt;&lt;C&gt;1&lt;/C&gt;&lt;D xsi:type="xsd:double"&gt;1.0236118&lt;/D&gt;&lt;/FQL&gt;&lt;FQL&gt;&lt;Q&gt;FERG-US^P_BETA_LOCIDX(45231,45057,,"SPX")&lt;/Q&gt;&lt;R&gt;1&lt;/R&gt;&lt;C&gt;1&lt;/C&gt;&lt;D xsi:type="xsd:double"&gt;1.0339817&lt;/D&gt;&lt;/FQL&gt;&lt;FQL&gt;&lt;Q&gt;FERG-US^P_BETA_LOCIDX(45230,45056,,"SPX")&lt;/Q&gt;&lt;R&gt;1&lt;/R&gt;&lt;C&gt;1&lt;/C&gt;&lt;D xsi:type="xsd:double"&gt;1.0147951&lt;/D&gt;&lt;/FQL&gt;&lt;FQL&gt;&lt;Q&gt;FERG-US^P_BETA_LOCIDX(45229,45055,,"SPX")&lt;/Q&gt;&lt;R&gt;1&lt;/R&gt;&lt;C&gt;1&lt;/C&gt;&lt;D xsi:type="xsd:double"&gt;1.0231915&lt;/D&gt;&lt;/FQL&gt;&lt;FQL&gt;&lt;Q&gt;FERG-US^P_BETA_LOCIDX(45226,45054,,"SPX")&lt;/Q&gt;&lt;R&gt;1&lt;/R&gt;&lt;C&gt;1&lt;/C&gt;&lt;D xsi:type="xsd:double"&gt;1.0226276&lt;/D&gt;&lt;/FQL&gt;&lt;FQL&gt;&lt;Q&gt;FERG-US^P_BETA_LOCIDX(45225,45051,,"SPX")&lt;/Q&gt;&lt;R&gt;1&lt;/R&gt;&lt;C&gt;1&lt;/C&gt;&lt;D xsi:type="xsd:double"&gt;1.0035893&lt;/D&gt;&lt;/FQL&gt;&lt;FQL&gt;&lt;Q&gt;FERG-US^P_BETA_LOCIDX(45224,45050,,"SPX")&lt;/Q&gt;&lt;R&gt;1&lt;/R&gt;&lt;C&gt;1&lt;/C&gt;&lt;D xsi:type="xsd:double"&gt;1.0367134&lt;/D&gt;&lt;/FQL&gt;&lt;FQL&gt;&lt;Q&gt;FERG-US^P_BETA_LOCIDX(45223,45049,,"SPX")&lt;/Q&gt;&lt;R&gt;1&lt;/R&gt;&lt;C&gt;1&lt;/C&gt;&lt;D xsi:type="xsd:double"&gt;1.0428096&lt;/D&gt;&lt;/FQL&gt;&lt;FQL&gt;&lt;Q&gt;FERG-US^P_BETA_LOCIDX(45222,45048,,"SPX")&lt;/Q&gt;&lt;R&gt;1&lt;/R&gt;&lt;C&gt;1&lt;/C&gt;&lt;D xsi:type="xsd:double"&gt;1.0736835&lt;/D&gt;&lt;/FQL&gt;&lt;FQL&gt;&lt;Q&gt;FERG-US^P_BETA_LOCIDX(45219,45047,,"SPX")&lt;/Q&gt;&lt;R&gt;1&lt;/R&gt;&lt;C&gt;1&lt;/C&gt;&lt;D xsi:type="xsd:double"&gt;1.0714233&lt;/D&gt;&lt;/FQL&gt;&lt;FQL&gt;&lt;Q&gt;FERG-US^P_BETA_LOCIDX(45218,45044,,"SPX")&lt;/Q&gt;&lt;R&gt;1&lt;/R&gt;&lt;C&gt;1&lt;/C&gt;&lt;D xsi:type="xsd:double"&gt;1.0846558&lt;/D&gt;&lt;/FQL&gt;&lt;FQL&gt;&lt;Q&gt;FERG-US^P_BETA_LOCIDX(45217,45043,,"SPX")&lt;/Q&gt;&lt;R&gt;1&lt;/R&gt;&lt;C&gt;1&lt;/C&gt;&lt;D xsi:type="xsd:double"&gt;1.0879943&lt;/D&gt;&lt;/FQL&gt;&lt;FQL&gt;&lt;Q&gt;FERG-US^P_BETA_LOCIDX(45216,45042,,"SPX")&lt;/Q&gt;&lt;R&gt;1&lt;/R&gt;&lt;C&gt;1&lt;/C&gt;&lt;D xsi:type="xsd:double"&gt;1.0218997&lt;/D&gt;&lt;/FQL&gt;&lt;FQL&gt;&lt;Q&gt;FERG-US^P_BETA_LOCIDX(45215,45041,,"SPX")&lt;/Q&gt;&lt;R&gt;1&lt;/R&gt;&lt;C&gt;1&lt;/C&gt;&lt;D xsi:type="xsd:double"&gt;1.0355436&lt;/D&gt;&lt;/FQL&gt;&lt;FQL&gt;&lt;Q&gt;FERG-US^P_BETA_LOCIDX(45212,45040,,"SPX")&lt;/Q&gt;&lt;R&gt;1&lt;/R&gt;&lt;C&gt;1&lt;/C&gt;&lt;D xsi:type="xsd:double"&gt;1.0861235&lt;/D&gt;&lt;/FQL&gt;&lt;FQL&gt;&lt;Q&gt;FERG-US^P_BETA_LOCIDX(45211,45037,,"SPX")&lt;/Q&gt;&lt;R&gt;1&lt;/R&gt;&lt;C&gt;1&lt;/C&gt;&lt;D xsi:type="xsd:double"&gt;1.0868498&lt;/D&gt;&lt;/FQL&gt;&lt;FQL&gt;&lt;Q&gt;FERG-US^P_BETA_LOCIDX(45210,45036,,"SPX")&lt;/Q&gt;&lt;R&gt;1&lt;/R&gt;&lt;C&gt;1&lt;/C&gt;&lt;D xsi:type="xsd:double"&gt;1.0600542&lt;/D&gt;&lt;/FQL&gt;&lt;FQL&gt;&lt;Q&gt;FERG-US^P_BETA_LOCIDX(45209,45035,,"SPX")&lt;/Q&gt;&lt;R&gt;1&lt;/R&gt;&lt;C&gt;1&lt;/C&gt;&lt;D xsi:type="xsd:double"&gt;1.0536704&lt;/D&gt;&lt;/FQL&gt;&lt;FQL&gt;&lt;Q&gt;FERG-US^P_BETA_LOCIDX(45208,45034,,"SPX")&lt;/Q&gt;&lt;R&gt;1&lt;/R&gt;&lt;C&gt;1&lt;/C&gt;&lt;D xsi:type="xsd:double"&gt;1.0577258&lt;/D&gt;&lt;/FQL&gt;&lt;FQL&gt;&lt;Q&gt;FERG-US^P_BETA_LOCIDX(45205,45033,,"SPX")&lt;/Q&gt;&lt;R&gt;1&lt;/R&gt;&lt;C&gt;1&lt;/C&gt;&lt;D xsi:type="xsd:double"&gt;1.0506381&lt;/D&gt;&lt;/FQL&gt;&lt;FQL&gt;&lt;Q&gt;FERG-US^P_BETA_LOCIDX(45204,45030,,"SPX")&lt;/Q&gt;&lt;R&gt;1&lt;/R&gt;&lt;C&gt;1&lt;/C&gt;&lt;D xsi:type="xsd:double"&gt;1.0503616&lt;/D&gt;&lt;/FQL&gt;&lt;FQL&gt;&lt;Q&gt;FERG-US^P_BETA_LOCIDX(45203,45029,,"SPX")&lt;/Q&gt;&lt;R&gt;1&lt;/R&gt;&lt;C&gt;1&lt;/C&gt;&lt;D xsi:type="xsd:double"&gt;1.0337412&lt;/D&gt;&lt;/FQL&gt;&lt;FQL&gt;&lt;Q&gt;FERG-US^P_BETA_LOCIDX(45202,45028,,"SPX")&lt;/Q&gt;&lt;R&gt;1&lt;/R&gt;&lt;C&gt;1&lt;/C&gt;&lt;D xsi:type="xsd:double"&gt;1.0254908&lt;/D&gt;&lt;/FQL&gt;&lt;FQL&gt;&lt;Q&gt;FERG-US^P_BETA_LOCIDX(45201,45027,,"SPX")&lt;/Q&gt;&lt;R&gt;1&lt;/R&gt;&lt;C&gt;1&lt;/C&gt;&lt;D xsi:type="xsd:double"&gt;1.0129379&lt;/D&gt;&lt;/FQL&gt;&lt;FQL&gt;&lt;Q&gt;FERG-US^P_BETA_LOCIDX(45198,45026,,"SPX")&lt;/Q&gt;&lt;R&gt;1&lt;/R&gt;&lt;C&gt;1&lt;/C&gt;&lt;D xsi:type="xsd:double"&gt;1.0125763&lt;/D&gt;&lt;/FQL&gt;&lt;FQL&gt;&lt;Q&gt;FERG-US^P_BETA_LOCIDX(45197,45022,,"SPX")&lt;/Q&gt;&lt;R&gt;1&lt;/R&gt;&lt;C&gt;1&lt;/C&gt;&lt;D xsi:type="xsd:double"&gt;1.0005429&lt;/D&gt;&lt;/FQL&gt;&lt;FQL&gt;&lt;Q&gt;FERG-US^P_BETA_LOCIDX(45196,45021,,"SPX")&lt;/Q&gt;&lt;R&gt;1&lt;/R&gt;&lt;C&gt;1&lt;/C&gt;&lt;D xsi:type="xsd:double"&gt;0.99574536&lt;/D&gt;&lt;/FQL&gt;&lt;FQL&gt;&lt;Q&gt;FERG-US^P_BETA_LOCIDX(45195,45020,,"SPX")&lt;/Q&gt;&lt;R&gt;1&lt;/R&gt;&lt;C&gt;1&lt;/C&gt;&lt;D xsi:type="xsd:double"&gt;1.0253993&lt;/D&gt;&lt;/FQL&gt;&lt;FQL&gt;&lt;Q&gt;FERG-US^P_BETA_LOCIDX(45194,45019,,"SPX")&lt;/Q&gt;&lt;R&gt;1&lt;/R&gt;&lt;C&gt;1&lt;/C&gt;&lt;D xsi:type="xsd:double"&gt;1.17087&lt;/D&gt;&lt;/FQL&gt;&lt;FQL&gt;&lt;Q&gt;FERG-US^P_BETA_LOCIDX(45191,45016,,"SPX")&lt;/Q&gt;&lt;R&gt;1&lt;/R&gt;&lt;C&gt;1&lt;/C&gt;&lt;D xsi:type="xsd:double"&gt;1.1706709&lt;/D&gt;&lt;/FQL&gt;&lt;FQL&gt;&lt;Q&gt;FERG-US^P_BETA_LOCIDX(45190,45015,,"SPX")&lt;/Q&gt;&lt;R&gt;1&lt;/R&gt;&lt;C&gt;1&lt;/C&gt;&lt;D xsi:type="xsd:double"&gt;1.1670306&lt;/D&gt;&lt;/FQL&gt;&lt;FQL&gt;&lt;Q&gt;FERG-US^P_BETA_LOCIDX(45189,45014,,"SPX")&lt;/Q&gt;&lt;R&gt;1&lt;/R&gt;&lt;C&gt;1&lt;/C&gt;&lt;D xsi:type="xsd:double"&gt;1.1578526&lt;/D&gt;&lt;/FQL&gt;&lt;FQL&gt;&lt;Q&gt;FERG-US^P_BETA_LOCIDX(45188,45013,,"SPX")&lt;/Q&gt;&lt;R&gt;1&lt;/R&gt;&lt;C&gt;1&lt;/C&gt;&lt;D xsi:type="xsd:double"&gt;1.1560408&lt;/D&gt;&lt;/FQL&gt;&lt;FQL&gt;&lt;Q&gt;FERG-US^P_BETA_LOCIDX(45187,45012,,"SPX")&lt;/Q&gt;&lt;R&gt;1&lt;/R&gt;&lt;C&gt;1&lt;/C&gt;&lt;D xsi:type="xsd:double"&gt;1.1579477&lt;/D&gt;&lt;/FQL&gt;&lt;FQL&gt;&lt;Q&gt;FERG-US^P_BETA_LOCIDX(45184,45009,,"SPX")&lt;/Q&gt;&lt;R&gt;1&lt;/R&gt;&lt;C&gt;1&lt;/C&gt;&lt;D xsi:type="xsd:double"&gt;1.1440332&lt;/D&gt;&lt;/FQL&gt;&lt;FQL&gt;&lt;Q&gt;FERG-US^P_BETA_LOCIDX(45183,45008,,"SPX")&lt;/Q&gt;&lt;R&gt;1&lt;/R&gt;&lt;C&gt;1&lt;/C&gt;&lt;D xsi:type="xsd:double"&gt;1.149482&lt;/D&gt;&lt;/FQL&gt;&lt;FQL&gt;&lt;Q&gt;FERG-US^P_BETA_LOCIDX(45182,45007,,"SPX")&lt;/Q&gt;&lt;R&gt;1&lt;/R&gt;&lt;C&gt;1&lt;/C&gt;&lt;D xsi:type="xsd:double"&gt;1.1682197&lt;/D&gt;&lt;/FQL&gt;&lt;FQL&gt;&lt;Q&gt;FERG-US^P_BETA_LOCIDX(45181,45006,,"SPX")&lt;/Q&gt;&lt;R&gt;1&lt;/R&gt;&lt;C&gt;1&lt;/C&gt;&lt;D xsi:type="xsd:double"&gt;1.1746492&lt;/D&gt;&lt;/FQL&gt;&lt;FQL&gt;&lt;Q&gt;FERG-US^P_BETA_LOCIDX(45180,45005,,"SPX")&lt;/Q&gt;&lt;R&gt;1&lt;/R&gt;&lt;C&gt;1&lt;/C&gt;&lt;D xsi:type="xsd:double"&gt;1.183404&lt;/D&gt;&lt;/FQL&gt;&lt;FQL&gt;&lt;Q&gt;FERG-US^P_BETA_LOCIDX(45177,45002,,"SPX")&lt;/Q&gt;&lt;R&gt;1&lt;/R&gt;&lt;C&gt;1&lt;/C&gt;&lt;D xsi:type="xsd:double"&gt;1.1689484&lt;/D&gt;&lt;/FQL&gt;&lt;FQL&gt;&lt;Q&gt;FERG-US^P_BETA_LOCIDX(45176,45001,,"SPX")&lt;/Q&gt;&lt;R&gt;1&lt;/R&gt;&lt;C&gt;1&lt;/C&gt;&lt;D xsi:type="xsd:double"&gt;1.1241249&lt;/D&gt;&lt;/FQL&gt;&lt;FQL&gt;&lt;Q&gt;FERG-US^P_BETA_LOCIDX(45175,45000,,"SPX")&lt;/Q&gt;&lt;R&gt;1&lt;/R&gt;&lt;C&gt;1&lt;/C&gt;&lt;D xsi:type="xsd:double"&gt;1.1529899&lt;/D&gt;&lt;/FQL&gt;&lt;FQL&gt;&lt;Q&gt;FERG-US^P_BETA_LOCIDX(45174,44999,,"SPX")&lt;/Q&gt;&lt;R&gt;1&lt;/R&gt;&lt;C&gt;1&lt;/C&gt;&lt;D xsi:type="xsd:double"&gt;1.1093446&lt;/D&gt;&lt;/FQL&gt;&lt;FQL&gt;&lt;Q&gt;FERG-US^P_BETA_LOCIDX(45170,44998,,"SPX")&lt;/Q&gt;&lt;R&gt;1&lt;/R&gt;&lt;C&gt;1&lt;/C&gt;&lt;D xsi:type="xsd:double"&gt;1.0911522&lt;/D&gt;&lt;/FQL&gt;&lt;FQL&gt;&lt;Q&gt;FERG-US^P_BETA_LOCIDX(45169,44995,,"SPX")&lt;/Q&gt;&lt;R&gt;1&lt;/R&gt;&lt;C&gt;1&lt;/C&gt;&lt;D xsi:type="xsd:double"&gt;1.091237&lt;/D&gt;&lt;/FQL&gt;&lt;FQL&gt;&lt;Q&gt;FERG-US^P_BETA_LOCIDX(45168,44994,,"SPX")&lt;/Q&gt;&lt;R&gt;1&lt;/R&gt;&lt;C&gt;1&lt;/C&gt;&lt;D xsi:type="xsd:double"&gt;1.0908505&lt;/D&gt;&lt;/FQL&gt;&lt;FQL&gt;&lt;Q&gt;FERG-US^P_BETA_LOCIDX(45167,44993,,"SPX")&lt;/Q&gt;&lt;R&gt;1&lt;/R&gt;&lt;C&gt;1&lt;/C&gt;&lt;D xsi:type="xsd:double"&gt;1.086128&lt;/D&gt;&lt;/FQL&gt;&lt;FQL&gt;&lt;Q&gt;FERG-US^P_BETA_LOCIDX(45166,44992,,"SPX")&lt;/Q&gt;&lt;R&gt;1&lt;/R&gt;&lt;C&gt;1&lt;/C&gt;&lt;D xsi:type="xsd:double"&gt;1.1331606&lt;/D&gt;&lt;/FQL&gt;&lt;FQL&gt;&lt;Q&gt;FERG-US^P_BETA_LOCIDX(45163,44991,,"SPX")&lt;/Q&gt;&lt;R&gt;1&lt;/R&gt;&lt;C&gt;1&lt;/C&gt;&lt;D xsi:type="xsd:double"&gt;1.132605&lt;/D&gt;&lt;/FQL&gt;&lt;FQL&gt;&lt;Q&gt;FERG-US^P_BETA_LOCIDX(45162,44988,,"SPX")&lt;/Q&gt;&lt;R&gt;1&lt;/R&gt;&lt;C&gt;1&lt;/C&gt;&lt;D xsi:type="xsd:double"&gt;1.1011437&lt;/D&gt;&lt;/FQL&gt;&lt;FQL&gt;&lt;Q&gt;FERG-US^P_BETA_LOCIDX(45161,44987,,"SPX")&lt;/Q&gt;&lt;R&gt;1&lt;/R&gt;&lt;C&gt;1&lt;/C&gt;&lt;D xsi:type="xsd:double"&gt;1.0904328&lt;/D&gt;&lt;/FQL&gt;&lt;FQL&gt;&lt;Q&gt;FERG-US^P_BETA_LOCIDX(45160,44986,,"SPX")&lt;/Q&gt;&lt;R&gt;1&lt;/R&gt;&lt;C&gt;1&lt;/C&gt;&lt;D xsi:type="xsd:double"&gt;1.0772492&lt;/D&gt;&lt;/FQL&gt;&lt;FQL&gt;&lt;Q&gt;FERG-US^P_BETA_LOCIDX(45159,44985,,"SPX")&lt;/Q&gt;&lt;R&gt;1&lt;/R&gt;&lt;C&gt;1&lt;/C&gt;&lt;D xsi:type="xsd:double"&gt;1.079216&lt;/D&gt;&lt;/FQL&gt;&lt;FQL&gt;&lt;Q&gt;FERG-US^P_BETA_LOCIDX(45156,44984,,"SPX")&lt;/Q&gt;&lt;R&gt;1&lt;/R&gt;&lt;C&gt;1&lt;/C&gt;&lt;D xsi:type="xsd:double"&gt;1.0921267&lt;/D&gt;&lt;/FQL&gt;&lt;FQL&gt;&lt;Q&gt;FERG-US^P_BETA_LOCIDX(45155,44981,,"SPX")&lt;/Q&gt;&lt;R&gt;1&lt;/R&gt;&lt;C&gt;1&lt;/C&gt;&lt;D xsi:type="xsd:double"&gt;1.0991315&lt;/D&gt;&lt;/FQL&gt;&lt;FQL&gt;&lt;Q&gt;FERG-US^P_BETA_LOCIDX(45154,44980,,"SPX")&lt;/Q&gt;&lt;R&gt;1&lt;/R&gt;&lt;C&gt;1&lt;/C&gt;&lt;D xsi:type="xsd:double"&gt;1.0872035&lt;/D&gt;&lt;/FQL&gt;&lt;FQL&gt;&lt;Q&gt;FERG-US^P_BETA_LOCIDX(45153,44979,,"SPX")&lt;/Q&gt;&lt;R&gt;1&lt;/R&gt;&lt;C&gt;1&lt;/C&gt;&lt;D xsi:type="xsd:double"&gt;1.0887102&lt;/D&gt;&lt;/FQL&gt;&lt;FQL&gt;&lt;Q&gt;FERG-US^P_BETA_LOCIDX(45152,44978,,"SPX")&lt;/Q&gt;&lt;R&gt;1&lt;/R&gt;&lt;C&gt;1&lt;/C&gt;&lt;D xsi:type="xsd:double"&gt;1.1189661&lt;/D&gt;&lt;/FQL&gt;&lt;FQL&gt;&lt;Q&gt;FERG-US^P_BETA_LOCIDX(45149,44974,,"SPX")&lt;/Q&gt;&lt;R&gt;1&lt;/R&gt;&lt;C&gt;1&lt;/C&gt;&lt;D xsi:type="xsd:double"&gt;1.1168933&lt;/D&gt;&lt;/FQL&gt;&lt;FQL&gt;&lt;Q&gt;FERG-US^P_BETA_LOCIDX(45148,44973,,"SPX")&lt;/Q&gt;&lt;R&gt;1&lt;/R&gt;&lt;C&gt;1&lt;/C&gt;&lt;D xsi:type="xsd:double"&gt;1.105827&lt;/D&gt;&lt;/FQL&gt;&lt;FQL&gt;&lt;Q&gt;FERG-US^P_BETA_LOCIDX(45147,44972,,"SPX")&lt;/Q&gt;&lt;R&gt;1&lt;/R&gt;&lt;C&gt;1&lt;/C&gt;&lt;D xsi:type="xsd:double"&gt;1.1088282&lt;/D&gt;&lt;/FQL&gt;&lt;FQL&gt;&lt;Q&gt;FERG-US^P_BETA_LOCIDX(45146,44971,,"SPX")&lt;/Q&gt;&lt;R&gt;1&lt;/R&gt;&lt;C&gt;1&lt;/C&gt;&lt;D xsi:type="xsd:double"&gt;1.1057091&lt;/D&gt;&lt;/FQL&gt;&lt;FQL&gt;&lt;Q&gt;FERG-US^P_BETA_LOCIDX(45145,44970,,"SPX")&lt;/Q&gt;&lt;R&gt;1&lt;/R&gt;&lt;C&gt;1&lt;/C&gt;&lt;D xsi:type="xsd:double"&gt;1.1133392&lt;/D&gt;&lt;/FQL&gt;&lt;FQL&gt;&lt;Q&gt;FERG-US^P_BETA_LOCIDX(45142,44967,,"SPX")&lt;/Q&gt;&lt;R&gt;1&lt;/R&gt;&lt;C&gt;1&lt;/C&gt;&lt;D xsi:type="xsd:double"&gt;1.1058385&lt;/D&gt;&lt;/FQL&gt;&lt;FQL&gt;&lt;Q&gt;FERG-US^P_BETA_LOCIDX(45141,44966,,"SPX")&lt;/Q&gt;&lt;R&gt;1&lt;/R&gt;&lt;C&gt;1&lt;/C&gt;&lt;D xsi:type="xsd:double"&gt;1.1012543&lt;/D&gt;&lt;/FQL&gt;&lt;FQL&gt;&lt;Q&gt;FERG-US^P_BETA_LOCIDX(45140,44965,,"SPX")&lt;/Q&gt;&lt;R&gt;1&lt;/R&gt;&lt;C&gt;1&lt;/C&gt;&lt;D xsi:type="xsd:double"&gt;1.0968277&lt;/D&gt;&lt;/FQL&gt;&lt;FQL&gt;&lt;Q&gt;FERG-US^P_BETA_LOCIDX(45139,44964,,"SPX")&lt;/Q&gt;&lt;R&gt;1&lt;/R&gt;&lt;C&gt;1&lt;/C&gt;&lt;D xsi:type="xsd:double"&gt;1.0912915&lt;/D&gt;&lt;/FQL&gt;&lt;FQL&gt;&lt;Q&gt;FERG-US^P_BETA_LOCIDX(45138,44963,,"SPX")&lt;/Q&gt;&lt;R&gt;1&lt;/R&gt;&lt;C&gt;1&lt;/C&gt;&lt;D xsi:type="xsd:double"&gt;1.1080769&lt;/D&gt;&lt;/FQL&gt;&lt;FQL&gt;&lt;Q&gt;FERG-US^P_BETA_LOCIDX(45135,44960,,"SPX")&lt;/Q&gt;&lt;R&gt;1&lt;/R&gt;&lt;C&gt;1&lt;/C&gt;&lt;D xsi:type="xsd:double"&gt;1.1024265&lt;/D&gt;&lt;/FQL&gt;&lt;FQL&gt;&lt;Q&gt;FERG-US^P_BETA_LOCIDX(45134,44959,,"SPX")&lt;/Q&gt;&lt;R&gt;1&lt;/R&gt;&lt;C&gt;1&lt;/C&gt;&lt;D xsi:type="xsd:double"&gt;1.1459502&lt;/D&gt;&lt;/FQL&gt;&lt;FQL&gt;&lt;Q&gt;FERG-US^P_BETA_LOCIDX(45133,44958,,"SPX")&lt;/Q&gt;&lt;R&gt;1&lt;/R&gt;&lt;C&gt;1&lt;/C&gt;&lt;D xsi:type="xsd:double"&gt;1.1624763&lt;/D&gt;&lt;/FQL&gt;&lt;FQL&gt;&lt;Q&gt;FERG-US^P_BETA_LOCIDX(45132,44957,,"SPX")&lt;/Q&gt;&lt;R&gt;1&lt;/R&gt;&lt;C&gt;1&lt;/C&gt;&lt;D xsi:type="xsd:double"&gt;1.1669564&lt;/D&gt;&lt;/FQL&gt;&lt;FQL&gt;&lt;Q&gt;FERG-US^P_BETA_LOCIDX(45131,44956,,"SPX")&lt;/Q&gt;&lt;R&gt;1&lt;/R&gt;&lt;C&gt;1&lt;/C&gt;&lt;D xsi:type="xsd:double"&gt;1.150547&lt;/D&gt;&lt;/FQL&gt;&lt;FQL&gt;&lt;Q&gt;FERG-US^P_BETA_LOCIDX(45128,44953,,"SPX")&lt;/Q&gt;&lt;R&gt;1&lt;/R&gt;&lt;C&gt;1&lt;/C&gt;&lt;D xsi:type="xsd:double"&gt;1.1488062&lt;/D&gt;&lt;/FQL&gt;&lt;FQL&gt;&lt;Q&gt;FERG-US^P_BETA_LOCIDX(45127,44952,,"SPX")&lt;/Q&gt;&lt;R&gt;1&lt;/R&gt;&lt;C&gt;1&lt;/C&gt;&lt;D xsi:type="xsd:double"&gt;1.1476355&lt;/D&gt;&lt;/FQL&gt;&lt;FQL&gt;&lt;Q&gt;FERG-US^P_BETA_LOCIDX(45126,44951,,"SPX")&lt;/Q&gt;&lt;R&gt;1&lt;/R&gt;&lt;C&gt;1&lt;/C&gt;&lt;D xsi:type="xsd:double"&gt;1.1513275&lt;/D&gt;&lt;/FQL&gt;&lt;FQL&gt;&lt;Q&gt;FERG-US^P_BETA_LOCIDX(45125,44950,,"SPX")&lt;/Q&gt;&lt;R&gt;1&lt;/R&gt;&lt;C&gt;1&lt;/C&gt;&lt;D xsi:type="xsd:double"&gt;1.1525744&lt;/D&gt;&lt;/FQL&gt;&lt;FQL&gt;&lt;Q&gt;FERG-US^P_BETA_LOCIDX(45124,44949,,"SPX")&lt;/Q&gt;&lt;R&gt;1&lt;/R&gt;&lt;C&gt;1&lt;/C&gt;&lt;D xsi:type="xsd:double"&gt;1.1500733&lt;/D&gt;&lt;/FQL&gt;&lt;FQL&gt;&lt;Q&gt;FERG-US^P_BETA_LOCIDX(45121,44946,,"SPX")&lt;/Q&gt;&lt;R&gt;1&lt;/R&gt;&lt;C&gt;1&lt;/C&gt;&lt;D xsi:type="xsd:double"&gt;1.1514417&lt;/D&gt;&lt;/FQL&gt;&lt;FQL&gt;&lt;Q&gt;FERG-US^P_BETA_LOCIDX(45120,44945,,"SPX")&lt;/Q&gt;&lt;R&gt;1&lt;/R&gt;&lt;C&gt;1&lt;/C&gt;&lt;D xsi:type="xsd:double"&gt;1.1606933&lt;/D&gt;&lt;/FQL&gt;&lt;FQL&gt;&lt;Q&gt;FERG-US^P_BETA_LOCIDX(45119,44944,,"SPX")&lt;/Q&gt;&lt;R&gt;1&lt;/R&gt;&lt;C&gt;1&lt;/C&gt;&lt;D xsi:type="xsd:double"&gt;1.1362009&lt;/D&gt;&lt;/FQL&gt;&lt;FQL&gt;&lt;Q&gt;FERG-US^P_BETA_LOCIDX(45118,44943,,"SPX")&lt;/Q&gt;&lt;R&gt;1&lt;/R&gt;&lt;C&gt;1&lt;/C&gt;&lt;D xsi:type="xsd:double"&gt;1.1335962&lt;/D&gt;&lt;/FQL&gt;&lt;FQL&gt;&lt;Q&gt;FERG-US^P_BETA_LOCIDX(45117,44939,,"SPX")&lt;/Q&gt;&lt;R&gt;1&lt;/R&gt;&lt;C&gt;1&lt;/C&gt;&lt;D xsi:type="xsd:double"&gt;1.1249259&lt;/D&gt;&lt;/FQL&gt;&lt;FQL&gt;&lt;Q&gt;FERG-US^P_BETA_LOCIDX(45114,44938,,"SPX")&lt;/Q&gt;&lt;R&gt;1&lt;/R&gt;&lt;C&gt;1&lt;/C&gt;&lt;D xsi:type="xsd:double"&gt;1.1273093&lt;/D&gt;&lt;/FQL&gt;&lt;FQL&gt;&lt;Q&gt;FERG-US^P_BETA_LOCIDX(45113,44937,,"SPX")&lt;/Q&gt;&lt;R&gt;1&lt;/R&gt;&lt;C&gt;1&lt;/C&gt;&lt;D xsi:type="xsd:double"&gt;1.0956212&lt;/D&gt;&lt;/FQL&gt;&lt;FQL&gt;&lt;Q&gt;FERG-US^P_BETA_LOCIDX(45112,44936,,"SPX")&lt;/Q&gt;&lt;R&gt;1&lt;/R&gt;&lt;C&gt;1&lt;/C&gt;&lt;D xsi:type="xsd:double"&gt;1.0721864&lt;/D&gt;&lt;/FQL&gt;&lt;FQL&gt;&lt;Q&gt;FERG-US^P_BETA_LOCIDX(45110,44935,,"SPX")&lt;/Q&gt;&lt;R&gt;1&lt;/R&gt;&lt;C&gt;1&lt;/C&gt;&lt;D xsi:type="xsd:double"&gt;1.0725113&lt;/D&gt;&lt;/FQL&gt;&lt;FQL&gt;&lt;Q&gt;FERG-US^P_BETA_LOCIDX(45107,44932,,"SPX")&lt;/Q&gt;&lt;R&gt;1&lt;/R&gt;&lt;C&gt;1&lt;/C&gt;&lt;D xsi:type="xsd:double"&gt;1.1155796&lt;/D&gt;&lt;/FQL&gt;&lt;FQL&gt;&lt;Q&gt;FERG-US^P_BETA_LOCIDX(45106,44931,,"SPX")&lt;/Q&gt;&lt;R&gt;1&lt;/R&gt;&lt;C&gt;1&lt;/C&gt;&lt;D xsi:type="xsd:double"&gt;1.082835&lt;/D&gt;&lt;/FQL&gt;&lt;FQL&gt;&lt;Q&gt;FERG-US^P_BETA_LOCIDX(45105,44930,,"SPX")&lt;/Q&gt;&lt;R&gt;1&lt;/R&gt;&lt;C&gt;1&lt;/C&gt;&lt;D xsi:type="xsd:double"&gt;1.0914006&lt;/D&gt;&lt;/FQL&gt;&lt;FQL&gt;&lt;Q&gt;FERG-US^P_BETA_LOCIDX(45104,44929,,"SPX")&lt;/Q&gt;&lt;R&gt;1&lt;/R&gt;&lt;C&gt;1&lt;/C&gt;&lt;D xsi:type="xsd:double"&gt;1.082857&lt;/D&gt;&lt;/FQL&gt;&lt;FQL&gt;&lt;Q&gt;FERG-US^P_BETA_LOCIDX(45103,44925,,"SPX")&lt;/Q&gt;&lt;R&gt;1&lt;/R&gt;&lt;C&gt;1&lt;/C&gt;&lt;D xsi:type="xsd:double"&gt;1.0740937&lt;/D&gt;&lt;/FQL&gt;&lt;FQL&gt;&lt;Q&gt;FERG-US^P_BETA_LOCIDX(45100,44924,,"SPX")&lt;/Q&gt;&lt;R&gt;1&lt;/R&gt;&lt;C&gt;1&lt;/C&gt;&lt;D xsi:type="xsd:double"&gt;1.0820194&lt;/D&gt;&lt;/FQL&gt;&lt;FQL&gt;&lt;Q&gt;FERG-US^P_BETA_LOCIDX(45099,44923,,"SPX")&lt;/Q&gt;&lt;R&gt;1&lt;/R&gt;&lt;C&gt;1&lt;/C&gt;&lt;D xsi:type="xsd:double"&gt;1.0782558&lt;/D&gt;&lt;/FQL&gt;&lt;FQL&gt;&lt;Q&gt;FERG-US^P_BETA_LOCIDX(45098,44922,,"SPX")&lt;/Q&gt;&lt;R&gt;1&lt;/R&gt;&lt;C&gt;1&lt;/C&gt;&lt;D xsi:type="xsd:double"&gt;1.0707486&lt;/D&gt;&lt;/FQL&gt;&lt;FQL&gt;&lt;Q&gt;FERG-US^P_BETA_LOCIDX(45097,44918,,"SPX")&lt;/Q&gt;&lt;R&gt;1&lt;/R&gt;&lt;C&gt;1&lt;/C&gt;&lt;D xsi:type="xsd:double"&gt;1.0815322&lt;/D&gt;&lt;/FQL&gt;&lt;FQL&gt;&lt;Q&gt;FERG-US^P_BETA_LOCIDX(45093,44917,,"SPX")&lt;/Q&gt;&lt;R&gt;1&lt;/R&gt;&lt;C&gt;1&lt;/C&gt;&lt;D xsi:type="xsd:double"&gt;1.0729681&lt;/D&gt;&lt;/FQL&gt;&lt;FQL&gt;&lt;Q&gt;FERG-US^P_BETA_LOCIDX(45092,44916,,"SPX")&lt;/Q&gt;&lt;R&gt;1&lt;/R&gt;&lt;C&gt;1&lt;/C&gt;&lt;D xsi:type="xsd:double"&gt;1.0627131&lt;/D&gt;&lt;/FQL&gt;&lt;FQL&gt;&lt;Q&gt;FERG-US^P_BETA_LOCIDX(45091,44915,,"SPX")&lt;/Q&gt;&lt;R&gt;1&lt;/R&gt;&lt;C&gt;1&lt;/C&gt;&lt;D xsi:type="xsd:double"&gt;1.0638138&lt;/D&gt;&lt;/FQL&gt;&lt;FQL&gt;&lt;Q&gt;FERG-US^P_BETA_LOCIDX(45090,44914,,"SPX")&lt;/Q&gt;&lt;R&gt;1&lt;/R&gt;&lt;C&gt;1&lt;/C&gt;&lt;D xsi:type="xsd:double"&gt;1.0473027&lt;/D&gt;&lt;/FQL&gt;&lt;FQL&gt;&lt;Q&gt;FERG-US^P_BETA_LOCIDX(45089,44911,,"SPX")&lt;/Q&gt;&lt;R&gt;1&lt;/R&gt;&lt;C&gt;1&lt;/C&gt;&lt;D xsi:type="xsd:double"&gt;1.0509968&lt;/D&gt;&lt;/FQL&gt;&lt;FQL&gt;&lt;Q&gt;FERG-US^P_BETA_LOCIDX(45086,44910,,"SPX")&lt;/Q&gt;&lt;R&gt;1&lt;/R&gt;&lt;C&gt;1&lt;/C&gt;&lt;D xsi:type="xsd:double"&gt;1.0759841&lt;/D&gt;&lt;/FQL&gt;&lt;FQL&gt;&lt;Q&gt;FERG-US^P_BETA_LOCIDX(45085,44909,,"SPX")&lt;/Q&gt;&lt;R&gt;1&lt;/R&gt;&lt;C&gt;1&lt;/C&gt;&lt;D xsi:type="xsd:double"&gt;1.0688449&lt;/D&gt;&lt;/FQL&gt;&lt;FQL&gt;&lt;Q&gt;FERG-US^P_BETA_LOCIDX(45084,44908,,"SPX")&lt;/Q&gt;&lt;R&gt;1&lt;/R&gt;&lt;C&gt;1&lt;/C&gt;&lt;D xsi:type="xsd:double"&gt;1.0826408&lt;/D&gt;&lt;/FQL&gt;&lt;FQL&gt;&lt;Q&gt;FERG-US^P_BETA_LOCIDX(45083,44907,,"SPX")&lt;/Q&gt;&lt;R&gt;1&lt;/R&gt;&lt;C&gt;1&lt;/C&gt;&lt;D xsi:type="xsd:double"&gt;1.0785193&lt;/D&gt;&lt;/FQL&gt;&lt;FQL&gt;&lt;Q&gt;FERG-US^P_BETA_LOCIDX(45082,44904,,"SPX")&lt;/Q&gt;&lt;R&gt;1&lt;/R&gt;&lt;C&gt;1&lt;/C&gt;&lt;D xsi:type="xsd:double"&gt;1.0680275&lt;/D&gt;&lt;/FQL&gt;&lt;FQL&gt;&lt;Q&gt;FERG-US^P_BETA_LOCIDX(45079,44903,,"SPX")&lt;/Q&gt;&lt;R&gt;1&lt;/R&gt;&lt;C&gt;1&lt;/C&gt;&lt;D xsi:type="xsd:double"&gt;1.0740755&lt;/D&gt;&lt;/FQL&gt;&lt;FQL&gt;&lt;Q&gt;FERG-US^P_BETA_LOCIDX(45078,44902,,"SPX")&lt;/Q&gt;&lt;R&gt;1&lt;/R&gt;&lt;C&gt;1&lt;/C&gt;&lt;D xsi:type="xsd:double"&gt;1.0731213&lt;/D&gt;&lt;/FQL&gt;&lt;FQL&gt;&lt;Q&gt;FERG-US^P_BETA_LOCIDX(45077,44901,,"SPX")&lt;/Q&gt;&lt;R&gt;1&lt;/R&gt;&lt;C&gt;1&lt;/C&gt;&lt;D xsi:type="xsd:double"&gt;0.98962504&lt;/D&gt;&lt;/FQL&gt;&lt;FQL&gt;&lt;Q&gt;FERG-US^P_BETA_LOCIDX(45076,44900,,"SPX")&lt;/Q&gt;&lt;R&gt;1&lt;/R&gt;&lt;C&gt;1&lt;/C&gt;&lt;D xsi:type="xsd:double"&gt;0.9743936&lt;/D&gt;&lt;/FQL&gt;&lt;FQL&gt;&lt;Q&gt;FERG-US^P_BETA_LOCIDX(45072,44897,,"SPX")&lt;/Q&gt;&lt;R&gt;1&lt;/R&gt;&lt;C&gt;1&lt;/C&gt;&lt;D xsi:type="xsd:double"&gt;0.9760094&lt;/D&gt;&lt;/FQL&gt;&lt;FQL&gt;&lt;Q&gt;FERG-US^P_BETA_LOCIDX(45071,44896,,"SPX")&lt;/Q&gt;&lt;R&gt;1&lt;/R&gt;&lt;C&gt;1&lt;/C&gt;&lt;D xsi:type="xsd:double"&gt;0.9623307&lt;/D&gt;&lt;/FQL&gt;&lt;FQL&gt;&lt;Q&gt;FERG-US^P_BETA_LOCIDX(45070,44895,,"SPX")&lt;/Q&gt;&lt;R&gt;1&lt;/R&gt;&lt;C&gt;1&lt;/C&gt;&lt;D xsi:type="xsd:double"&gt;0.94779176&lt;/D&gt;&lt;/FQL&gt;&lt;FQL&gt;&lt;Q&gt;FERG-US^P_BETA_LOCIDX(45069,44894,,"SPX")&lt;/Q&gt;&lt;R&gt;1&lt;/R&gt;&lt;C&gt;1&lt;/C&gt;&lt;D xsi:type="xsd:double"&gt;0.9506018&lt;/D&gt;&lt;/FQL&gt;&lt;FQL&gt;&lt;Q&gt;FERG-US^P_BETA_LOCIDX(45068,44893,,"SPX")&lt;/Q&gt;&lt;R&gt;1&lt;/R&gt;&lt;C&gt;1&lt;/C&gt;&lt;D xsi:type="xsd:double"&gt;0.94337595&lt;/D&gt;&lt;/FQL&gt;&lt;FQL&gt;&lt;Q&gt;FERG-US^P_BETA_LOCIDX(45065,44890,,"SPX")&lt;/Q&gt;&lt;R&gt;1&lt;/R&gt;&lt;C&gt;1&lt;/C&gt;&lt;D xsi:type="xsd:double"&gt;0.94355917&lt;/D&gt;&lt;/FQL&gt;&lt;FQL&gt;&lt;Q&gt;FERG-US^P_BETA_LOCIDX(45064,44888,,"SPX")&lt;/Q&gt;&lt;R&gt;1&lt;/R&gt;&lt;C&gt;1&lt;/C&gt;&lt;D xsi:type="xsd:double"&gt;0.93828225&lt;/D&gt;&lt;/FQL&gt;&lt;FQL&gt;&lt;Q&gt;FERG-US^P_BETA_LOCIDX(45063,44887,,"SPX")&lt;/Q&gt;&lt;R&gt;1&lt;/R&gt;&lt;C&gt;1&lt;/C&gt;&lt;D xsi:type="xsd:double"&gt;0.9386711&lt;/D&gt;&lt;/FQL&gt;&lt;FQL&gt;&lt;Q&gt;FERG-US^P_BETA_LOCIDX(45062,44886,,"SPX")&lt;/Q&gt;&lt;R&gt;1&lt;/R&gt;&lt;C&gt;1&lt;/C&gt;&lt;D xsi:type="xsd:double"&gt;0.9388331&lt;/D&gt;&lt;/FQL&gt;&lt;FQL&gt;&lt;Q&gt;FERG-US^P_BETA_LOCIDX(45061,44883,,"SPX")&lt;/Q&gt;&lt;R&gt;1&lt;/R&gt;&lt;C&gt;1&lt;/C&gt;&lt;D xsi:type="xsd:double"&gt;0.9364324&lt;/D&gt;&lt;/FQL&gt;&lt;FQL&gt;&lt;Q&gt;FERG-US^P_BETA_LOCIDX(45058,44882,,"SPX")&lt;/Q&gt;&lt;R&gt;1&lt;/R&gt;&lt;C&gt;1&lt;/C&gt;&lt;D xsi:type="xsd:double"&gt;0.93552846&lt;/D&gt;&lt;/FQL&gt;&lt;FQL&gt;&lt;Q&gt;FERG-US^P_BETA_LOCIDX(45057,44881,,"SPX")&lt;/Q&gt;&lt;R&gt;1&lt;/R&gt;&lt;C&gt;1&lt;/C&gt;&lt;D xsi:type="xsd:double"&gt;0.9522572&lt;/D&gt;&lt;/FQL&gt;&lt;FQL&gt;&lt;Q&gt;FERG-US^P_BETA_LOCIDX(45056,44880,,"SPX")&lt;/Q&gt;&lt;R&gt;1&lt;/R&gt;&lt;C&gt;1&lt;/C&gt;&lt;D xsi:type="xsd:double"&gt;0.9439444&lt;/D&gt;&lt;/FQL&gt;&lt;FQL&gt;&lt;Q&gt;FERG-US^P_BETA_LOCIDX(45055,44879,,"SPX")&lt;/Q&gt;&lt;R&gt;1&lt;/R&gt;&lt;C&gt;1&lt;/C&gt;&lt;D xsi:type="xsd:double"&gt;0.9397949&lt;/D&gt;&lt;/FQL&gt;&lt;FQL&gt;&lt;Q&gt;FERG-US^P_BETA_LOCIDX(45054,44876,,"SPX")&lt;/Q&gt;&lt;R&gt;1&lt;/R&gt;&lt;C&gt;1&lt;/C&gt;&lt;D xsi:type="xsd:double"&gt;0.9305593&lt;/D&gt;&lt;/FQL&gt;&lt;FQL&gt;&lt;Q&gt;FERG-US^P_BETA_LOCIDX(45051,44875,,"SPX")&lt;/Q&gt;&lt;R&gt;1&lt;/R&gt;&lt;C&gt;1&lt;/C&gt;&lt;D xsi:type="xsd:double"&gt;1.1240242&lt;/D&gt;&lt;/FQL&gt;&lt;FQL&gt;&lt;Q&gt;FERG-US^P_BETA_LOCIDX(45050,44874,,"SPX")&lt;/Q&gt;&lt;R&gt;1&lt;/R&gt;&lt;C&gt;1&lt;/C&gt;&lt;D xsi:type="xsd:double"&gt;1.1138154&lt;/D&gt;&lt;/FQL&gt;&lt;FQL&gt;&lt;Q&gt;FERG-US^P_BETA_LOCIDX(45049,44873,,"SPX")&lt;/Q&gt;&lt;R&gt;1&lt;/R&gt;&lt;C&gt;1&lt;/C&gt;&lt;D xsi:type="xsd:double"&gt;1.1123537&lt;/D&gt;&lt;/FQL&gt;&lt;FQL&gt;&lt;Q&gt;FERG-US^P_BETA_LOCIDX(45048,44872,,"SPX")&lt;/Q&gt;&lt;R&gt;1&lt;/R&gt;&lt;C&gt;1&lt;/C&gt;&lt;D xsi:type="xsd:double"&gt;1.1162628&lt;/D&gt;&lt;/FQL&gt;&lt;FQL&gt;&lt;Q&gt;FERG-US^P_BETA_LOCIDX(45047,44869,,"SPX")&lt;/Q&gt;&lt;R&gt;1&lt;/R&gt;&lt;C&gt;1&lt;/C&gt;&lt;D xsi:type="xsd:double"&gt;1.1114935&lt;/D&gt;&lt;/FQL&gt;&lt;FQL&gt;&lt;Q&gt;FERG-US^P_BETA_LOCIDX(45044,44868,,"SPX")&lt;/Q&gt;&lt;R&gt;1&lt;/R&gt;&lt;C&gt;1&lt;/C&gt;&lt;D xsi:type="xsd:double"&gt;1.1112177&lt;/D&gt;&lt;/FQL&gt;&lt;FQL&gt;&lt;Q&gt;FERG-US^P_BETA_LOCIDX(45043,44867,,"SPX")&lt;/Q&gt;&lt;R&gt;1&lt;/R&gt;&lt;C&gt;1&lt;/C&gt;&lt;D xsi:type="xsd:double"&gt;1.0908663&lt;/D&gt;&lt;/FQL&gt;&lt;FQL&gt;&lt;Q&gt;FERG-US^P_BETA_LOCIDX(45042,44866,,"SPX")&lt;/Q&gt;&lt;R&gt;1&lt;/R&gt;&lt;C&gt;1&lt;/C&gt;&lt;D xsi:type="xsd:double"&gt;1.0764476&lt;/D&gt;&lt;/FQL&gt;&lt;FQL&gt;&lt;Q&gt;FERG-US^P_BETA_LOCIDX(45041,44865,,"SPX")&lt;/Q&gt;&lt;R&gt;1&lt;/R&gt;&lt;C&gt;1&lt;/C&gt;&lt;D xsi:type="xsd:double"&gt;1.0795151&lt;/D&gt;&lt;/FQL&gt;&lt;FQL&gt;&lt;Q&gt;FERG-US^P_BETA_LOCIDX(45040,44862,,"SPX")&lt;/Q&gt;&lt;R&gt;1&lt;/R&gt;&lt;C&gt;1&lt;/C&gt;&lt;D xsi:type="xsd:double"&gt;1.0576499&lt;</t>
        </r>
      </text>
    </comment>
    <comment ref="A28" authorId="0" shapeId="0" xr:uid="{E7B985B3-F968-4489-B2BF-EEEE61C49F69}">
      <text>
        <r>
          <rPr>
            <b/>
            <sz val="9"/>
            <color indexed="81"/>
            <rFont val="Tahoma"/>
            <family val="2"/>
          </rPr>
          <t>/D&gt;&lt;/FQL&gt;&lt;FQL&gt;&lt;Q&gt;FERG-US^P_BETA_LOCIDX(45037,44861,,"SPX")&lt;/Q&gt;&lt;R&gt;1&lt;/R&gt;&lt;C&gt;1&lt;/C&gt;&lt;D xsi:type="xsd:double"&gt;1.0665101&lt;/D&gt;&lt;/FQL&gt;&lt;FQL&gt;&lt;Q&gt;FERG-US^P_BETA_LOCIDX(45036,44860,,"SPX")&lt;/Q&gt;&lt;R&gt;1&lt;/R&gt;&lt;C&gt;1&lt;/C&gt;&lt;D xsi:type="xsd:double"&gt;1.0493672&lt;/D&gt;&lt;/FQL&gt;&lt;FQL&gt;&lt;Q&gt;FERG-US^P_BETA_LOCIDX(45035,44859,,"SPX")&lt;/Q&gt;&lt;R&gt;1&lt;/R&gt;&lt;C&gt;1&lt;/C&gt;&lt;D xsi:type="xsd:double"&gt;1.0708885&lt;/D&gt;&lt;/FQL&gt;&lt;FQL&gt;&lt;Q&gt;FERG-US^P_BETA_LOCIDX(45034,44858,,"SPX")&lt;/Q&gt;&lt;R&gt;1&lt;/R&gt;&lt;C&gt;1&lt;/C&gt;&lt;D xsi:type="xsd:double"&gt;1.0767192&lt;/D&gt;&lt;/FQL&gt;&lt;FQL&gt;&lt;Q&gt;FERG-US^P_BETA_LOCIDX(45033,44855,,"SPX")&lt;/Q&gt;&lt;R&gt;1&lt;/R&gt;&lt;C&gt;1&lt;/C&gt;&lt;D xsi:type="xsd:double"&gt;1.0615743&lt;/D&gt;&lt;/FQL&gt;&lt;FQL&gt;&lt;Q&gt;FERG-US^P_BETA_LOCIDX(45030,44854,,"SPX")&lt;/Q&gt;&lt;R&gt;1&lt;/R&gt;&lt;C&gt;1&lt;/C&gt;&lt;D xsi:type="xsd:double"&gt;1.0633026&lt;/D&gt;&lt;/FQL&gt;&lt;FQL&gt;&lt;Q&gt;FERG-US^P_BETA_LOCIDX(45029,44853,,"SPX")&lt;/Q&gt;&lt;R&gt;1&lt;/R&gt;&lt;C&gt;1&lt;/C&gt;&lt;D xsi:type="xsd:double"&gt;1.0811485&lt;/D&gt;&lt;/FQL&gt;&lt;FQL&gt;&lt;Q&gt;FERG-US^P_BETA_LOCIDX(45028,44852,,"SPX")&lt;/Q&gt;&lt;R&gt;1&lt;/R&gt;&lt;C&gt;1&lt;/C&gt;&lt;D xsi:type="xsd:double"&gt;1.0823036&lt;/D&gt;&lt;/FQL&gt;&lt;FQL&gt;&lt;Q&gt;FERG-US^P_BETA_LOCIDX(45027,44851,,"SPX")&lt;/Q&gt;&lt;R&gt;1&lt;/R&gt;&lt;C&gt;1&lt;/C&gt;&lt;D xsi:type="xsd:double"&gt;1.0896093&lt;/D&gt;&lt;/FQL&gt;&lt;FQL&gt;&lt;Q&gt;FERG-US^P_BETA_LOCIDX(45026,44848,,"SPX")&lt;/Q&gt;&lt;R&gt;1&lt;/R&gt;&lt;C&gt;1&lt;/C&gt;&lt;D xsi:type="xsd:double"&gt;1.1018984&lt;/D&gt;&lt;/FQL&gt;&lt;FQL&gt;&lt;Q&gt;FERG-US^P_BETA_LOCIDX(45022,44847,,"SPX")&lt;/Q&gt;&lt;R&gt;1&lt;/R&gt;&lt;C&gt;1&lt;/C&gt;&lt;D xsi:type="xsd:double"&gt;1.087153&lt;/D&gt;&lt;/FQL&gt;&lt;FQL&gt;&lt;Q&gt;FERG-US^P_BETA_LOCIDX(45021,44846,,"SPX")&lt;/Q&gt;&lt;R&gt;1&lt;/R&gt;&lt;C&gt;1&lt;/C&gt;&lt;D xsi:type="xsd:double"&gt;1.091504&lt;/D&gt;&lt;/FQL&gt;&lt;FQL&gt;&lt;Q&gt;FERG-US^P_BETA_LOCIDX(45020,44845,,"SPX")&lt;/Q&gt;&lt;R&gt;1&lt;/R&gt;&lt;C&gt;1&lt;/C&gt;&lt;D xsi:type="xsd:double"&gt;1.0907081&lt;/D&gt;&lt;/FQL&gt;&lt;FQL&gt;&lt;Q&gt;FERG-US^P_BETA_LOCIDX(45019,44844,,"SPX")&lt;/Q&gt;&lt;R&gt;1&lt;/R&gt;&lt;C&gt;1&lt;/C&gt;&lt;D xsi:type="xsd:double"&gt;1.0724851&lt;/D&gt;&lt;/FQL&gt;&lt;FQL&gt;&lt;Q&gt;FERG-US^P_BETA_LOCIDX(45016,44841,,"SPX")&lt;/Q&gt;&lt;R&gt;1&lt;/R&gt;&lt;C&gt;1&lt;/C&gt;&lt;D xsi:type="xsd:double"&gt;1.0773191&lt;/D&gt;&lt;/FQL&gt;&lt;FQL&gt;&lt;Q&gt;FERG-US^P_BETA_LOCIDX(45015,44840,,"SPX")&lt;/Q&gt;&lt;R&gt;1&lt;/R&gt;&lt;C&gt;1&lt;/C&gt;&lt;D xsi:type="xsd:double"&gt;1.0759686&lt;/D&gt;&lt;/FQL&gt;&lt;FQL&gt;&lt;Q&gt;FERG-US^P_BETA_LOCIDX(45014,44839,,"SPX")&lt;/Q&gt;&lt;R&gt;1&lt;/R&gt;&lt;C&gt;1&lt;/C&gt;&lt;D xsi:type="xsd:double"&gt;1.0784191&lt;/D&gt;&lt;/FQL&gt;&lt;FQL&gt;&lt;Q&gt;FERG-US^P_BETA_LOCIDX(45013,44838,,"SPX")&lt;/Q&gt;&lt;R&gt;1&lt;/R&gt;&lt;C&gt;1&lt;/C&gt;&lt;D xsi:type="xsd:double"&gt;1.118016&lt;/D&gt;&lt;/FQL&gt;&lt;FQL&gt;&lt;Q&gt;FERG-US^P_BETA_LOCIDX(45012,44837,,"SPX")&lt;/Q&gt;&lt;R&gt;1&lt;/R&gt;&lt;C&gt;1&lt;/C&gt;&lt;D xsi:type="xsd:double"&gt;1.1422595&lt;/D&gt;&lt;/FQL&gt;&lt;FQL&gt;&lt;Q&gt;FERG-US^P_BETA_LOCIDX(45009,44834,,"SPX")&lt;/Q&gt;&lt;R&gt;1&lt;/R&gt;&lt;C&gt;1&lt;/C&gt;&lt;D xsi:type="xsd:double"&gt;1.1382492&lt;/D&gt;&lt;/FQL&gt;&lt;FQL&gt;&lt;Q&gt;FERG-US^P_BETA_LOCIDX(45008,44833,,"SPX")&lt;/Q&gt;&lt;R&gt;1&lt;/R&gt;&lt;C&gt;1&lt;/C&gt;&lt;D xsi:type="xsd:double"&gt;1.1465276&lt;/D&gt;&lt;/FQL&gt;&lt;FQL&gt;&lt;Q&gt;FERG-US^P_BETA_LOCIDX(45007,44832,,"SPX")&lt;/Q&gt;&lt;R&gt;1&lt;/R&gt;&lt;C&gt;1&lt;/C&gt;&lt;D xsi:type="xsd:double"&gt;1.1564904&lt;/D&gt;&lt;/FQL&gt;&lt;FQL&gt;&lt;Q&gt;FERG-US^P_BETA_LOCIDX(45006,44831,,"SPX")&lt;/Q&gt;&lt;R&gt;1&lt;/R&gt;&lt;C&gt;1&lt;/C&gt;&lt;D xsi:type="xsd:double"&gt;1.1572936&lt;/D&gt;&lt;/FQL&gt;&lt;FQL&gt;&lt;Q&gt;FERG-US^P_BETA_LOCIDX(45005,44830,,"SPX")&lt;/Q&gt;&lt;R&gt;1&lt;/R&gt;&lt;C&gt;1&lt;/C&gt;&lt;D xsi:type="xsd:double"&gt;1.1510088&lt;/D&gt;&lt;/FQL&gt;&lt;FQL&gt;&lt;Q&gt;FERG-US^P_BETA_LOCIDX(45002,44827,,"SPX")&lt;/Q&gt;&lt;R&gt;1&lt;/R&gt;&lt;C&gt;1&lt;/C&gt;&lt;D xsi:type="xsd:double"&gt;1.1377673&lt;/D&gt;&lt;/FQL&gt;&lt;FQL&gt;&lt;Q&gt;FERG-US^P_BETA_LOCIDX(45001,44826,,"SPX")&lt;/Q&gt;&lt;R&gt;1&lt;/R&gt;&lt;C&gt;1&lt;/C&gt;&lt;D xsi:type="xsd:double"&gt;1.1385044&lt;/D&gt;&lt;/FQL&gt;&lt;FQL&gt;&lt;Q&gt;FERG-US^P_BETA_LOCIDX(45000,44825,,"SPX")&lt;/Q&gt;&lt;R&gt;1&lt;/R&gt;&lt;C&gt;1&lt;/C&gt;&lt;D xsi:type="xsd:double"&gt;1.1468998&lt;/D&gt;&lt;/FQL&gt;&lt;FQL&gt;&lt;Q&gt;FERG-US^P_BETA_LOCIDX(44999,44824,,"SPX")&lt;/Q&gt;&lt;R&gt;1&lt;/R&gt;&lt;C&gt;1&lt;/C&gt;&lt;D xsi:type="xsd:double"&gt;1.1410798&lt;/D&gt;&lt;/FQL&gt;&lt;FQL&gt;&lt;Q&gt;FERG-US^P_BETA_LOCIDX(44998,44823,,"SPX")&lt;/Q&gt;&lt;R&gt;1&lt;/R&gt;&lt;C&gt;1&lt;/C&gt;&lt;D xsi:type="xsd:double"&gt;1.1567874&lt;/D&gt;&lt;/FQL&gt;&lt;FQL&gt;&lt;Q&gt;FERG-US^P_BETA_LOCIDX(44995,44820,,"SPX")&lt;/Q&gt;&lt;R&gt;1&lt;/R&gt;&lt;C&gt;1&lt;/C&gt;&lt;D xsi:type="xsd:double"&gt;1.1590896&lt;/D&gt;&lt;/FQL&gt;&lt;FQL&gt;&lt;Q&gt;FERG-US^P_BETA_LOCIDX(44994,44819,,"SPX")&lt;/Q&gt;&lt;R&gt;1&lt;/R&gt;&lt;C&gt;1&lt;/C&gt;&lt;D xsi:type="xsd:double"&gt;1.1628846&lt;/D&gt;&lt;/FQL&gt;&lt;FQL&gt;&lt;Q&gt;FERG-US^P_BETA_LOCIDX(44993,44818,,"SPX")&lt;/Q&gt;&lt;R&gt;1&lt;/R&gt;&lt;C&gt;1&lt;/C&gt;&lt;D xsi:type="xsd:double"&gt;1.1607352&lt;/D&gt;&lt;/FQL&gt;&lt;FQL&gt;&lt;Q&gt;FERG-US^P_BETA_LOCIDX(44992,44817,,"SPX")&lt;/Q&gt;&lt;R&gt;1&lt;/R&gt;&lt;C&gt;1&lt;/C&gt;&lt;D xsi:type="xsd:double"&gt;1.1266384&lt;/D&gt;&lt;/FQL&gt;&lt;FQL&gt;&lt;Q&gt;FERG-US^P_BETA_LOCIDX(44991,44816,,"SPX")&lt;/Q&gt;&lt;R&gt;1&lt;/R&gt;&lt;C&gt;1&lt;/C&gt;&lt;D xsi:type="xsd:double"&gt;1.1136824&lt;/D&gt;&lt;/FQL&gt;&lt;FQL&gt;&lt;Q&gt;FERG-US^P_BETA_LOCIDX(44988,44813,,"SPX")&lt;/Q&gt;&lt;R&gt;1&lt;/R&gt;&lt;C&gt;1&lt;/C&gt;&lt;D xsi:type="xsd:double"&gt;1.1167569&lt;/D&gt;&lt;/FQL&gt;&lt;FQL&gt;&lt;Q&gt;FERG-US^P_BETA_LOCIDX(44987,44812,,"SPX")&lt;/Q&gt;&lt;R&gt;1&lt;/R&gt;&lt;C&gt;1&lt;/C&gt;&lt;D xsi:type="xsd:double"&gt;1.126791&lt;/D&gt;&lt;/FQL&gt;&lt;FQL&gt;&lt;Q&gt;FERG-US^P_BETA_LOCIDX(44986,44811,,"SPX")&lt;/Q&gt;&lt;R&gt;1&lt;/R&gt;&lt;C&gt;1&lt;/C&gt;&lt;D xsi:type="xsd:double"&gt;1.1219269&lt;/D&gt;&lt;/FQL&gt;&lt;FQL&gt;&lt;Q&gt;FERG-US^P_BETA_LOCIDX(44985,44810,,"SPX")&lt;/Q&gt;&lt;R&gt;1&lt;/R&gt;&lt;C&gt;1&lt;/C&gt;&lt;D xsi:type="xsd:double"&gt;1.122428&lt;/D&gt;&lt;/FQL&gt;&lt;FQL&gt;&lt;Q&gt;FERG-US^P_BETA_LOCIDX(44984,44806,,"SPX")&lt;/Q&gt;&lt;R&gt;1&lt;/R&gt;&lt;C&gt;1&lt;/C&gt;&lt;D xsi:type="xsd:double"&gt;1.1246349&lt;/D&gt;&lt;/FQL&gt;&lt;FQL&gt;&lt;Q&gt;FERG-US^P_BETA_LOCIDX(44981,44805,,"SPX")&lt;/Q&gt;&lt;R&gt;1&lt;/R&gt;&lt;C&gt;1&lt;/C&gt;&lt;D xsi:type="xsd:double"&gt;1.1229837&lt;/D&gt;&lt;/FQL&gt;&lt;FQL&gt;&lt;Q&gt;FERG-US^P_BETA_LOCIDX(44980,44804,,"SPX")&lt;/Q&gt;&lt;R&gt;1&lt;/R&gt;&lt;C&gt;1&lt;/C&gt;&lt;D xsi:type="xsd:double"&gt;1.1238045&lt;/D&gt;&lt;/FQL&gt;&lt;FQL&gt;&lt;Q&gt;FERG-US^P_BETA_LOCIDX(44979,44803,,"SPX")&lt;/Q&gt;&lt;R&gt;1&lt;/R&gt;&lt;C&gt;1&lt;/C&gt;&lt;D xsi:type="xsd:double"&gt;1.1214051&lt;/D&gt;&lt;/FQL&gt;&lt;FQL&gt;&lt;Q&gt;FERG-US^P_BETA_LOCIDX(44978,44802,,"SPX")&lt;/Q&gt;&lt;R&gt;1&lt;/R&gt;&lt;C&gt;1&lt;/C&gt;&lt;D xsi:type="xsd:double"&gt;1.1185682&lt;/D&gt;&lt;/FQL&gt;&lt;FQL&gt;&lt;Q&gt;FERG-US^P_BETA_LOCIDX(44974,44799,,"SPX")&lt;/Q&gt;&lt;R&gt;1&lt;/R&gt;&lt;C&gt;1&lt;/C&gt;&lt;D xsi:type="xsd:double"&gt;1.1013821&lt;/D&gt;&lt;/FQL&gt;&lt;FQL&gt;&lt;Q&gt;FERG-US^P_BETA_LOCIDX(44973,44798,,"SPX")&lt;/Q&gt;&lt;R&gt;1&lt;/R&gt;&lt;C&gt;1&lt;/C&gt;&lt;D xsi:type="xsd:double"&gt;1.0965182&lt;/D&gt;&lt;/FQL&gt;&lt;FQL&gt;&lt;Q&gt;FERG-US^P_BETA_LOCIDX(44972,44797,,"SPX")&lt;/Q&gt;&lt;R&gt;1&lt;/R&gt;&lt;C&gt;1&lt;/C&gt;&lt;D xsi:type="xsd:double"&gt;1.0986606&lt;/D&gt;&lt;/FQL&gt;&lt;FQL&gt;&lt;Q&gt;FERG-US^P_BETA_LOCIDX(44971,44796,,"SPX")&lt;/Q&gt;&lt;R&gt;1&lt;/R&gt;&lt;C&gt;1&lt;/C&gt;&lt;D xsi:type="xsd:double"&gt;1.0994977&lt;/D&gt;&lt;/FQL&gt;&lt;FQL&gt;&lt;Q&gt;FERG-US^P_BETA_LOCIDX(44970,44795,,"SPX")&lt;/Q&gt;&lt;R&gt;1&lt;/R&gt;&lt;C&gt;1&lt;/C&gt;&lt;D xsi:type="xsd:double"&gt;1.0878665&lt;/D&gt;&lt;/FQL&gt;&lt;FQL&gt;&lt;Q&gt;FERG-US^P_BETA_LOCIDX(44967,44792,,"SPX")&lt;/Q&gt;&lt;R&gt;1&lt;/R&gt;&lt;C&gt;1&lt;/C&gt;&lt;D xsi:type="xsd:double"&gt;1.092745&lt;/D&gt;&lt;/FQL&gt;&lt;FQL&gt;&lt;Q&gt;FERG-US^P_BETA_LOCIDX(44966,44791,,"SPX")&lt;/Q&gt;&lt;R&gt;1&lt;/R&gt;&lt;C&gt;1&lt;/C&gt;&lt;D xsi:type="xsd:double"&gt;1.0922946&lt;/D&gt;&lt;/FQL&gt;&lt;FQL&gt;&lt;Q&gt;FERG-US^P_BETA_LOCIDX(44965,44790,,"SPX")&lt;/Q&gt;&lt;R&gt;1&lt;/R&gt;&lt;C&gt;1&lt;/C&gt;&lt;D xsi:type="xsd:double"&gt;1.0935072&lt;/D&gt;&lt;/FQL&gt;&lt;FQL&gt;&lt;Q&gt;FERG-US^P_BETA_LOCIDX(44964,44789,,"SPX")&lt;/Q&gt;&lt;R&gt;1&lt;/R&gt;&lt;C&gt;1&lt;/C&gt;&lt;D xsi:type="xsd:double"&gt;1.0946599&lt;/D&gt;&lt;/FQL&gt;&lt;FQL&gt;&lt;Q&gt;FERG-US^P_BETA_LOCIDX(44963,44788,,"SPX")&lt;/Q&gt;&lt;R&gt;1&lt;/R&gt;&lt;C&gt;1&lt;/C&gt;&lt;D xsi:type="xsd:double"&gt;1.0963657&lt;/D&gt;&lt;/FQL&gt;&lt;FQL&gt;&lt;Q&gt;FERG-US^P_BETA_LOCIDX(44960,44785,,"SPX")&lt;/Q&gt;&lt;R&gt;1&lt;/R&gt;&lt;C&gt;1&lt;/C&gt;&lt;D xsi:type="xsd:double"&gt;1.0779804&lt;/D&gt;&lt;/FQL&gt;&lt;FQL&gt;&lt;Q&gt;FERG-US^P_BETA_LOCIDX(44959,44784,,"SPX")&lt;/Q&gt;&lt;R&gt;1&lt;/R&gt;&lt;C&gt;1&lt;/C&gt;&lt;D xsi:type="xsd:double"&gt;1.0789624&lt;/D&gt;&lt;/FQL&gt;&lt;FQL&gt;&lt;Q&gt;FERG-US^P_BETA_LOCIDX(44958,44783,,"SPX")&lt;/Q&gt;&lt;R&gt;1&lt;/R&gt;&lt;C&gt;1&lt;/C&gt;&lt;D xsi:type="xsd:double"&gt;1.0930712&lt;/D&gt;&lt;/FQL&gt;&lt;FQL&gt;&lt;Q&gt;FERG-US^P_BETA_LOCIDX(44957,44782,,"SPX")&lt;/Q&gt;&lt;R&gt;1&lt;/R&gt;&lt;C&gt;1&lt;/C&gt;&lt;D xsi:type="xsd:double"&gt;1.0962304&lt;/D&gt;&lt;/FQL&gt;&lt;FQL&gt;&lt;Q&gt;FERG-US^P_BETA_LOCIDX(44956,44781,,"SPX")&lt;/Q&gt;&lt;R&gt;1&lt;/R&gt;&lt;C&gt;1&lt;/C&gt;&lt;D xsi:type="xsd:double"&gt;1.0951267&lt;/D&gt;&lt;/FQL&gt;&lt;FQL&gt;&lt;Q&gt;FERG-US^P_BETA_LOCIDX(44953,44778,,"SPX")&lt;/Q&gt;&lt;R&gt;1&lt;/R&gt;&lt;C&gt;1&lt;/C&gt;&lt;D xsi:type="xsd:double"&gt;1.0992725&lt;/D&gt;&lt;/FQL&gt;&lt;FQL&gt;&lt;Q&gt;FERG-US^P_BETA_LOCIDX(44952,44777,,"SPX")&lt;/Q&gt;&lt;R&gt;1&lt;/R&gt;&lt;C&gt;1&lt;/C&gt;&lt;D xsi:type="xsd:double"&gt;1.0985955&lt;/D&gt;&lt;/FQL&gt;&lt;FQL&gt;&lt;Q&gt;FERG-US^P_BETA_LOCIDX(44951,44776,,"SPX")&lt;/Q&gt;&lt;R&gt;1&lt;/R&gt;&lt;C&gt;1&lt;/C&gt;&lt;D xsi:type="xsd:double"&gt;1.0851308&lt;/D&gt;&lt;/FQL&gt;&lt;FQL&gt;&lt;Q&gt;FERG-US^P_BETA_LOCIDX(44950,44775,,"SPX")&lt;/Q&gt;&lt;R&gt;1&lt;/R&gt;&lt;C&gt;1&lt;/C&gt;&lt;D xsi:type="xsd:double"&gt;1.0867087&lt;/D&gt;&lt;/FQL&gt;&lt;FQL&gt;&lt;Q&gt;FERG-US^P_BETA_LOCIDX(44949,44774,,"SPX")&lt;/Q&gt;&lt;R&gt;1&lt;/R&gt;&lt;C&gt;1&lt;/C&gt;&lt;D xsi:type="xsd:double"&gt;1.0872786&lt;/D&gt;&lt;/FQL&gt;&lt;FQL&gt;&lt;Q&gt;FERG-US^P_BETA_LOCIDX(44946,44771,,"SPX")&lt;/Q&gt;&lt;R&gt;1&lt;/R&gt;&lt;C&gt;1&lt;/C&gt;&lt;D xsi:type="xsd:double"&gt;1.1084344&lt;/D&gt;&lt;/FQL&gt;&lt;FQL&gt;&lt;Q&gt;FERG-US^P_BETA_LOCIDX(44945,44770,,"SPX")&lt;/Q&gt;&lt;R&gt;1&lt;/R&gt;&lt;C&gt;1&lt;/C&gt;&lt;D xsi:type="xsd:double"&gt;1.1112381&lt;/D&gt;&lt;/FQL&gt;&lt;FQL&gt;&lt;Q&gt;FERG-US^P_BETA_LOCIDX(44944,44769,,"SPX")&lt;/Q&gt;&lt;R&gt;1&lt;/R&gt;&lt;C&gt;1&lt;/C&gt;&lt;D xsi:type="xsd:double"&gt;1.1015605&lt;/D&gt;&lt;/FQL&gt;&lt;FQL&gt;&lt;Q&gt;FERG-US^P_BETA_LOCIDX(44943,44768,,"SPX")&lt;/Q&gt;&lt;R&gt;1&lt;/R&gt;&lt;C&gt;1&lt;/C&gt;&lt;D xsi:type="xsd:double"&gt;1.119456&lt;/D&gt;&lt;/FQL&gt;&lt;FQL&gt;&lt;Q&gt;FERG-US^P_BETA_LOCIDX(44939,44767,,"SPX")&lt;/Q&gt;&lt;R&gt;1&lt;/R&gt;&lt;C&gt;1&lt;/C&gt;&lt;D xsi:type="xsd:double"&gt;1.1191937&lt;/D&gt;&lt;/FQL&gt;&lt;FQL&gt;&lt;Q&gt;FERG-US^P_BETA_LOCIDX(44938,44764,,"SPX")&lt;/Q&gt;&lt;R&gt;1&lt;/R&gt;&lt;C&gt;1&lt;/C&gt;&lt;D xsi:type="xsd:double"&gt;1.1131722&lt;/D&gt;&lt;/FQL&gt;&lt;FQL&gt;&lt;Q&gt;FERG-US^P_BETA_LOCIDX(44937,44763,,"SPX")&lt;/Q&gt;&lt;R&gt;1&lt;/R&gt;&lt;C&gt;1&lt;/C&gt;&lt;D xsi:type="xsd:double"&gt;1.1132525&lt;/D&gt;&lt;/FQL&gt;&lt;FQL&gt;&lt;Q&gt;FERG-US^P_BETA_LOCIDX(44936,44762,,"SPX")&lt;/Q&gt;&lt;R&gt;1&lt;/R&gt;&lt;C&gt;1&lt;/C&gt;&lt;D xsi:type="xsd:double"&gt;1.1294825&lt;/D&gt;&lt;/FQL&gt;&lt;FQL&gt;&lt;Q&gt;FERG-US^P_BETA_LOCIDX(44935,44761,,"SPX")&lt;/Q&gt;&lt;R&gt;1&lt;/R&gt;&lt;C&gt;1&lt;/C&gt;&lt;D xsi:type="xsd:double"&gt;1.1220763&lt;/D&gt;&lt;/FQL&gt;&lt;FQL&gt;&lt;Q&gt;FERG-US^P_BETA_LOCIDX(44932,44760,,"SPX")&lt;/Q&gt;&lt;R&gt;1&lt;/R&gt;&lt;C&gt;1&lt;/C&gt;&lt;D xsi:type="xsd:double"&gt;1.1213279&lt;/D&gt;&lt;/FQL&gt;&lt;FQL&gt;&lt;Q&gt;FERG-US^P_BETA_LOCIDX(44931,44757,,"SPX")&lt;/Q&gt;&lt;R&gt;1&lt;/R&gt;&lt;C&gt;1&lt;/C&gt;&lt;D xsi:type="xsd:double"&gt;1.1135576&lt;/D&gt;&lt;/FQL&gt;&lt;FQL&gt;&lt;Q&gt;FERG-US^P_BETA_LOCIDX(44930,44756,,"SPX")&lt;/Q&gt;&lt;R&gt;1&lt;/R&gt;&lt;C&gt;1&lt;/C&gt;&lt;D xsi:type="xsd:double"&gt;1.1246586&lt;/D&gt;&lt;/FQL&gt;&lt;FQL&gt;&lt;Q&gt;FERG-US^P_BETA_LOCIDX(44929,44755,,"SPX")&lt;/Q&gt;&lt;R&gt;1&lt;/R&gt;&lt;C&gt;1&lt;/C&gt;&lt;D xsi:type="xsd:double"&gt;1.121247&lt;/D&gt;&lt;/FQL&gt;&lt;FQL&gt;&lt;Q&gt;FERG-US^P_BETA_LOCIDX(44925,44754,,"SPX")&lt;/Q&gt;&lt;R&gt;1&lt;/R&gt;&lt;C&gt;1&lt;/C&gt;&lt;D xsi:type="xsd:double"&gt;1.1228211&lt;/D&gt;&lt;/FQL&gt;&lt;FQL&gt;&lt;Q&gt;FERG-US^P_BETA_LOCIDX(44924,44753,,"SPX")&lt;/Q&gt;&lt;R&gt;1&lt;/R&gt;&lt;C&gt;1&lt;/C&gt;&lt;D xsi:type="xsd:double"&gt;1.1199889&lt;/D&gt;&lt;/FQL&gt;&lt;FQL&gt;&lt;Q&gt;FERG-US^P_BETA_LOCIDX(44923,44750,,"SPX")&lt;/Q&gt;&lt;R&gt;1&lt;/R&gt;&lt;C&gt;1&lt;/C&gt;&lt;D xsi:type="xsd:double"&gt;1.1192579&lt;/D&gt;&lt;/FQL&gt;&lt;FQL&gt;&lt;Q&gt;FERG-US^P_BETA_LOCIDX(44922,44749,,"SPX")&lt;/Q&gt;&lt;R&gt;1&lt;/R&gt;&lt;C&gt;1&lt;/C&gt;&lt;D xsi:type="xsd:double"&gt;1.1223024&lt;/D&gt;&lt;/FQL&gt;&lt;FQL&gt;&lt;Q&gt;FERG-US^P_BETA_LOCIDX(44918,44748,,"SPX")&lt;/Q&gt;&lt;R&gt;1&lt;/R&gt;&lt;C&gt;1&lt;/C&gt;&lt;D xsi:type="xsd:double"&gt;1.1259702&lt;/D&gt;&lt;/FQL&gt;&lt;FQL&gt;&lt;Q&gt;FERG-US^P_BETA_LOCIDX(44917,44747,,"SPX")&lt;/Q&gt;&lt;R&gt;1&lt;/R&gt;&lt;C&gt;1&lt;/C&gt;&lt;D xsi:type="xsd:double"&gt;1.1265558&lt;/D&gt;&lt;/FQL&gt;&lt;FQL&gt;&lt;Q&gt;FERG-US^P_BETA_LOCIDX(44916,44743,,"SPX")&lt;/Q&gt;&lt;R&gt;1&lt;/R&gt;&lt;C&gt;1&lt;/C&gt;&lt;D xsi:type="xsd:double"&gt;1.1214123&lt;/D&gt;&lt;/FQL&gt;&lt;FQL&gt;&lt;Q&gt;FERG-US^P_BETA_LOCIDX(44915,44742,,"SPX")&lt;/Q&gt;&lt;R&gt;1&lt;/R&gt;&lt;C&gt;1&lt;/C&gt;&lt;D xsi:type="xsd:double"&gt;1.1329632&lt;/D&gt;&lt;/FQL&gt;&lt;FQL&gt;&lt;Q&gt;FERG-US^P_BETA_LOCIDX(44914,44741,,"SPX")&lt;/Q&gt;&lt;R&gt;1&lt;/R&gt;&lt;C&gt;1&lt;/C&gt;&lt;D xsi:type="xsd:double"&gt;1.1328496&lt;/D&gt;&lt;/FQL&gt;&lt;FQL&gt;&lt;Q&gt;FERG-US^P_BETA_LOCIDX(44911,44740,,"SPX")&lt;/Q&gt;&lt;R&gt;1&lt;/R&gt;&lt;C&gt;1&lt;/C&gt;&lt;D xsi:type="xsd:double"&gt;1.1350883&lt;/D&gt;&lt;/FQL&gt;&lt;FQL&gt;&lt;Q&gt;FERG-US^P_BETA_LOCIDX(44910,44739,,"SPX")&lt;/Q&gt;&lt;R&gt;1&lt;/R&gt;&lt;C&gt;1&lt;/C&gt;&lt;D xsi:type="xsd:double"&gt;1.1308439&lt;/D&gt;&lt;/FQL&gt;&lt;FQL&gt;&lt;Q&gt;FERG-US^P_BETA_LOCIDX(44909,44736,,"SPX")&lt;/Q&gt;&lt;R&gt;1&lt;/R&gt;&lt;C&gt;1&lt;/C&gt;&lt;D xsi:type="xsd:double"&gt;1.1550297&lt;/D&gt;&lt;/FQL&gt;&lt;FQL&gt;&lt;Q&gt;FERG-US^P_BETA_LOCIDX(44908,44735,,"SPX")&lt;/Q&gt;&lt;R&gt;1&lt;/R&gt;&lt;C&gt;1&lt;/C&gt;&lt;D xsi:type="xsd:double"&gt;1.1491256&lt;/D&gt;&lt;/FQL&gt;&lt;FQL&gt;&lt;Q&gt;FERG-US^P_BETA_LOCIDX(44907,44734,,"SPX")&lt;/Q&gt;&lt;R&gt;1&lt;/R&gt;&lt;C&gt;1&lt;/C&gt;&lt;D xsi:type="xsd:double"&gt;1.14925&lt;/D&gt;&lt;/FQL&gt;&lt;FQL&gt;&lt;Q&gt;FERG-US^P_BETA_LOCIDX(44904,44733,,"SPX")&lt;/Q&gt;&lt;R&gt;1&lt;/R&gt;&lt;C&gt;1&lt;/C&gt;&lt;D xsi:type="xsd:double"&gt;1.136127&lt;/D&gt;&lt;/FQL&gt;&lt;FQL&gt;&lt;Q&gt;FERG-US^P_BETA_LOCIDX(44903,44729,,"SPX")&lt;/Q&gt;&lt;R&gt;1&lt;/R&gt;&lt;C&gt;1&lt;/C&gt;&lt;D xsi:type="xsd:double"&gt;1.1425986&lt;/D&gt;&lt;/FQL&gt;&lt;FQL&gt;&lt;Q&gt;FERG-US^P_BETA_LOCIDX(44902,44728,,"SPX")&lt;/Q&gt;&lt;R&gt;1&lt;/R&gt;&lt;C&gt;1&lt;/C&gt;&lt;D xsi:type="xsd:double"&gt;1.1476984&lt;/D&gt;&lt;/FQL&gt;&lt;FQL&gt;&lt;Q&gt;FERG-US^P_BETA_LOCIDX(44901,44727,,"SPX")&lt;/Q&gt;&lt;R&gt;1&lt;/R&gt;&lt;C&gt;1&lt;/C&gt;&lt;D xsi:type="xsd:double"&gt;1.1414074&lt;/D&gt;&lt;/FQL&gt;&lt;FQL&gt;&lt;Q&gt;FERG-US^P_BETA_LOCIDX(44900,44726,,"SPX")&lt;/Q&gt;&lt;R&gt;1&lt;/R&gt;&lt;C&gt;1&lt;/C&gt;&lt;D xsi:type="xsd:double"&gt;1.1760242&lt;/D&gt;&lt;/FQL&gt;&lt;FQL&gt;&lt;Q&gt;FERG-US^P_BETA_LOCIDX(44897,44725,,"SPX")&lt;/Q&gt;&lt;R&gt;1&lt;/R&gt;&lt;C&gt;1&lt;/C&gt;&lt;D xsi:type="xsd:double"&gt;1.1743954&lt;/D&gt;&lt;/FQL&gt;&lt;FQL&gt;&lt;Q&gt;FERG-US^P_BETA_LOCIDX(44896,44722,,"SPX")&lt;/Q&gt;&lt;R&gt;1&lt;/R&gt;&lt;C&gt;1&lt;/C&gt;&lt;D xsi:type="xsd:double"&gt;1.1756263&lt;/D&gt;&lt;/FQL&gt;&lt;FQL&gt;&lt;Q&gt;FERG-US^P_BETA_LOCIDX(44895,44721,,"SPX")&lt;/Q&gt;&lt;R&gt;1&lt;/R&gt;&lt;C&gt;1&lt;/C&gt;&lt;D xsi:type="xsd:double"&gt;1.1725899&lt;/D&gt;&lt;/FQL&gt;&lt;FQL&gt;&lt;Q&gt;FERG-US^P_BETA_LOCIDX(44894,44720,,"SPX")&lt;/Q&gt;&lt;R&gt;1&lt;/R&gt;&lt;C&gt;1&lt;/C&gt;&lt;D xsi:type="xsd:double"&gt;1.1846664&lt;/D&gt;&lt;/FQL&gt;&lt;FQL&gt;&lt;Q&gt;FERG-US^P_BETA_LOCIDX(44893,44719,,"SPX")&lt;/Q&gt;&lt;R&gt;1&lt;/R&gt;&lt;C&gt;1&lt;/C&gt;&lt;D xsi:type="xsd:double"&gt;1.1804744&lt;/D&gt;&lt;/FQL&gt;&lt;FQL&gt;&lt;Q&gt;FERG-US^P_BETA_LOCIDX(44890,44718,,"SPX")&lt;/Q&gt;&lt;R&gt;1&lt;/R&gt;&lt;C&gt;1&lt;/C&gt;&lt;D xsi:type="xsd:double"&gt;1.1750225&lt;/D&gt;&lt;/FQL&gt;&lt;FQL&gt;&lt;Q&gt;FERG-US^P_BETA_LOCIDX(44888,44715,,"SPX")&lt;/Q&gt;&lt;R&gt;1&lt;/R&gt;&lt;C&gt;1&lt;/C&gt;&lt;D xsi:type="xsd:double"&gt;1.1747324&lt;/D&gt;&lt;/FQL&gt;&lt;FQL&gt;&lt;Q&gt;FERG-US^P_BETA_LOCIDX(44887,44714,,"SPX")&lt;/Q&gt;&lt;R&gt;1&lt;/R&gt;&lt;C&gt;1&lt;/C&gt;&lt;D xsi:type="xsd:double"&gt;1.1804079&lt;/D&gt;&lt;/FQL&gt;&lt;FQL&gt;&lt;Q&gt;FERG-US^P_BETA_LOCIDX(44886,44713,,"SPX")&lt;/Q&gt;&lt;R&gt;1&lt;/R&gt;&lt;C&gt;1&lt;/C&gt;&lt;D xsi:type="xsd:double"&gt;1.1784594&lt;/D&gt;&lt;/FQL&gt;&lt;FQL&gt;&lt;Q&gt;FERG-US^P_BETA_LOCIDX(44883,44712,,"SPX")&lt;/Q&gt;&lt;R&gt;1&lt;/R&gt;&lt;C&gt;1&lt;/C&gt;&lt;D xsi:type="xsd:double"&gt;1.1810018&lt;/D&gt;&lt;/FQL&gt;&lt;FQL&gt;&lt;Q&gt;FERG-US^P_BETA_LOCIDX(44882,44708,,"SPX")&lt;/Q&gt;&lt;R&gt;1&lt;/R&gt;&lt;C&gt;1&lt;/C&gt;&lt;D xsi:type="xsd:double"&gt;1.1675905&lt;/D&gt;&lt;/FQL&gt;&lt;FQL&gt;&lt;Q&gt;FERG-US^P_BETA_LOCIDX(44881,44707,,"SPX")&lt;/Q&gt;&lt;R&gt;1&lt;/R&gt;&lt;C&gt;1&lt;/C&gt;&lt;D xsi:type="xsd:double"&gt;1.1570116&lt;/D&gt;&lt;/FQL&gt;&lt;FQL&gt;&lt;Q&gt;FERG-US^P_BETA_LOCIDX(44880,44706,,"SPX")&lt;/Q&gt;&lt;R&gt;1&lt;/R&gt;&lt;C&gt;1&lt;/C&gt;&lt;D xsi:type="xsd:double"&gt;1.151165&lt;/D&gt;&lt;/FQL&gt;&lt;FQL&gt;&lt;Q&gt;FERG-US^P_BETA_LOCIDX(44879,44705,,"SPX")&lt;/Q&gt;&lt;R&gt;1&lt;/R&gt;&lt;C&gt;1&lt;/C&gt;&lt;D xsi:type="xsd:double"&gt;1.1558129&lt;/D&gt;&lt;/FQL&gt;&lt;FQL&gt;&lt;Q&gt;FERG-US^P_BETA_LOCIDX(44876,44704,,"SPX")&lt;/Q&gt;&lt;R&gt;1&lt;/R&gt;&lt;C&gt;1&lt;/C&gt;&lt;D xsi:type="xsd:double"&gt;1.1470755&lt;/D&gt;&lt;/FQL&gt;&lt;FQL&gt;&lt;Q&gt;FERG-US^P_BETA_LOCIDX(44875,44701,,"SPX")&lt;/Q&gt;&lt;R&gt;1&lt;/R&gt;&lt;C&gt;1&lt;/C&gt;&lt;D xsi:type="xsd:double"&gt;1.1558175&lt;/D&gt;&lt;/FQL&gt;&lt;FQL&gt;&lt;Q&gt;FERG-US^P_BETA_LOCIDX(44874,44700,,"SPX")&lt;/Q&gt;&lt;R&gt;1&lt;/R&gt;&lt;C&gt;1&lt;/C&gt;&lt;D xsi:type="xsd:double"&gt;1.0640918&lt;/D&gt;&lt;/FQL&gt;&lt;FQL&gt;&lt;Q&gt;FERG-US^P_BETA_LOCIDX(44873,44699,,"SPX")&lt;/Q&gt;&lt;R&gt;1&lt;/R&gt;&lt;C&gt;1&lt;/C&gt;&lt;D xsi:type="xsd:double"&gt;1.0902588&lt;/D&gt;&lt;/FQL&gt;&lt;FQL&gt;&lt;Q&gt;FERG-US^P_BETA_LOCIDX(44872,44698,,"SPX")&lt;/Q&gt;&lt;R&gt;1&lt;/R&gt;&lt;C&gt;1&lt;/C&gt;&lt;D xsi:type="xsd:double"&gt;1.0932876&lt;/D&gt;&lt;/FQL&gt;&lt;FQL&gt;&lt;Q&gt;FERG-US^P_BETA_LOCIDX(44869,44697,,"SPX")&lt;/Q&gt;&lt;R&gt;1&lt;/R&gt;&lt;C&gt;1&lt;/C&gt;&lt;D xsi:type="xsd:double"&gt;1.0961039&lt;/D&gt;&lt;/FQL&gt;&lt;FQL&gt;&lt;Q&gt;FERG-US^P_BETA_LOCIDX(44868,44694,,"SPX")&lt;/Q&gt;&lt;R&gt;1&lt;/R&gt;&lt;C&gt;1&lt;/C&gt;&lt;D xsi:type="xsd:double"&gt;1.0798438&lt;/D&gt;&lt;/FQL&gt;&lt;FQL&gt;&lt;Q&gt;FERG-US^P_BETA_LOCIDX(44867,44693,,"SPX")&lt;/Q&gt;&lt;R&gt;1&lt;/R&gt;&lt;C&gt;1&lt;/C&gt;&lt;D xsi:type="xsd:double"&gt;1.0790884&lt;/D&gt;&lt;/FQL&gt;&lt;FQL&gt;&lt;Q&gt;FERG-US^P_BETA_LOCIDX(44866,44692,,"SPX")&lt;/Q&gt;&lt;R&gt;1&lt;/R&gt;&lt;C&gt;1&lt;/C&gt;&lt;D xsi:type="xsd:double"&gt;1.0803561&lt;/D&gt;&lt;/FQL&gt;&lt;FQL&gt;&lt;Q&gt;FERG-US^P_BETA_LOCIDX(44865,44691,,"SPX")&lt;/Q&gt;&lt;R&gt;1&lt;/R&gt;&lt;C&gt;1&lt;/C&gt;&lt;D xsi:type="xsd:double"&gt;1.083665&lt;/D&gt;&lt;/FQL&gt;&lt;FQL&gt;&lt;Q&gt;FERG-US^P_BETA_LOCIDX(44862,44690,,"SPX")&lt;/Q&gt;&lt;R&gt;1&lt;/R&gt;&lt;C&gt;1&lt;/C&gt;&lt;D xsi:type="xsd:double"&gt;1.0685045&lt;/D&gt;&lt;/FQL&gt;&lt;FQL&gt;&lt;Q&gt;FERG-US^P_BETA_LOCIDX(44861,44687,,"SPX")&lt;/Q&gt;&lt;R&gt;1&lt;/R&gt;&lt;C&gt;1&lt;/C&gt;&lt;D xsi:type="xsd:double"&gt;1.0837567&lt;/D&gt;&lt;/FQL&gt;&lt;FQL&gt;&lt;Q&gt;FERG-US^P_BETA_LOCIDX(44860,44686,,"SPX")&lt;/Q&gt;&lt;R&gt;1&lt;/R&gt;&lt;C&gt;1&lt;/C&gt;&lt;D xsi:type="xsd:double"&gt;1.088013&lt;/D&gt;&lt;/FQL&gt;&lt;FQL&gt;&lt;Q&gt;FERG-US^P_BETA_LOCIDX(44859,44685,,"SPX")&lt;/Q&gt;&lt;R&gt;1&lt;/R&gt;&lt;C&gt;1&lt;/C&gt;&lt;D xsi:type="xsd:double"&gt;1.0826474&lt;/D&gt;&lt;/FQL&gt;&lt;FQL&gt;&lt;Q&gt;FERG-US^P_BETA_LOCIDX(44858,44684,,"SPX")&lt;/Q&gt;&lt;R&gt;1&lt;/R&gt;&lt;C&gt;1&lt;/C&gt;&lt;D xsi:type="xsd:double"&gt;1.0737888&lt;/D&gt;&lt;/FQL&gt;&lt;FQL&gt;&lt;Q&gt;FERG-US^P_BETA_LOCIDX(44855,44683,,"SPX")&lt;/Q&gt;&lt;R&gt;1&lt;/R&gt;&lt;C&gt;1&lt;/C&gt;&lt;D xsi:type="xsd:double"&gt;1.0682855&lt;/D&gt;&lt;/FQL&gt;&lt;FQL&gt;&lt;Q&gt;FERG-US^P_BETA_LOCIDX(44854,44680,,"SPX")&lt;/Q&gt;&lt;R&gt;1&lt;/R&gt;&lt;C&gt;1&lt;/C&gt;&lt;D xsi:type="xsd:double"&gt;1.0579714&lt;/D&gt;&lt;/FQL&gt;&lt;FQL&gt;&lt;Q&gt;FERG-US^P_BETA_LOCIDX(44853,44679,,"SPX")&lt;/Q&gt;&lt;R&gt;1&lt;/R&gt;&lt;C&gt;1&lt;/C&gt;&lt;D xsi:type="xsd:double"&gt;1.0467861&lt;/D&gt;&lt;/FQL&gt;&lt;FQL&gt;&lt;Q&gt;FERG-US^P_BETA_LOCIDX(44852,44678,,"SPX")&lt;/Q&gt;&lt;R&gt;1&lt;/R&gt;&lt;C&gt;1&lt;/C&gt;&lt;D xsi:type="xsd:double"&gt;1.039818&lt;/D&gt;&lt;/FQL&gt;&lt;FQL&gt;&lt;Q&gt;FERG-US^P_BETA_LOCIDX(44851,44677,,"SPX")&lt;/Q&gt;&lt;R&gt;1&lt;/R&gt;&lt;C&gt;1&lt;/C&gt;&lt;D xsi:type="xsd:double"&gt;1.0509015&lt;/D&gt;&lt;/FQL&gt;&lt;FQL&gt;&lt;Q&gt;FERG-US^P_BETA_LOCIDX(44848,44676,,"SPX")&lt;/Q&gt;&lt;R&gt;1&lt;/R&gt;&lt;C&gt;1&lt;/C&gt;&lt;D xsi:type="xsd:double"&gt;1.0417565&lt;/D&gt;&lt;/FQL&gt;&lt;FQL&gt;&lt;Q&gt;FERG-US^P_BETA_LOCIDX(44847,44673,,"SPX")&lt;/Q&gt;&lt;R&gt;1&lt;/R&gt;&lt;C&gt;1&lt;/C&gt;&lt;D xsi:type="xsd:double"&gt;1.0348856&lt;/D&gt;&lt;/FQL&gt;&lt;FQL&gt;&lt;Q&gt;FERG-US^P_BETA_LOCIDX(44846,44672,,"SPX")&lt;/Q&gt;&lt;R&gt;1&lt;/R&gt;&lt;C&gt;1&lt;/C&gt;&lt;D xsi:type="xsd:double"&gt;1.035257&lt;/D&gt;&lt;/FQL&gt;&lt;FQL&gt;&lt;Q&gt;FERG-US^P_BETA_LOCIDX(44845,44671,,"SPX")&lt;/Q&gt;&lt;R&gt;1&lt;/R&gt;&lt;C&gt;1&lt;/C&gt;&lt;D xsi:type="xsd:double"&gt;1.0350043&lt;/D&gt;&lt;/FQL&gt;&lt;FQL&gt;&lt;Q&gt;FERG-US^P_BETA_LOCIDX(44844,44670,,"SPX")&lt;/Q&gt;&lt;R&gt;1&lt;/R&gt;&lt;C&gt;1&lt;/C&gt;&lt;D xsi:type="xsd:double"&gt;1.040196&lt;/D&gt;&lt;/FQL&gt;&lt;FQL&gt;&lt;Q&gt;FERG-US^P_BETA_LOCIDX(44841,44669,,"SPX")&lt;/Q&gt;&lt;R&gt;1&lt;/R&gt;&lt;C&gt;1&lt;/C&gt;&lt;D xsi:type="xsd:double"&gt;1.0436894&lt;/D&gt;&lt;/FQL&gt;&lt;FQL&gt;&lt;Q&gt;FERG-US^P_BETA_LOCIDX(44840,44665,,"SPX")&lt;/Q&gt;&lt;R&gt;1&lt;/R&gt;&lt;C&gt;1&lt;/C&gt;&lt;D xsi:type="xsd:double"&gt;1.0358993&lt;/D&gt;&lt;/FQL&gt;&lt;FQL&gt;&lt;Q&gt;FERG-US^P_BETA_LOCIDX(44839,44664,,"SPX")&lt;/Q&gt;&lt;R&gt;1&lt;/R&gt;&lt;C&gt;1&lt;/C&gt;&lt;D xsi:type="xsd:double"&gt;1.0486389&lt;/D&gt;&lt;/FQL&gt;&lt;FQL&gt;&lt;Q&gt;FERG-US^P_BETA_LOCIDX(44838,44663,,"SPX")&lt;/Q&gt;&lt;R&gt;1&lt;/R&gt;&lt;C&gt;1&lt;/C&gt;&lt;D xsi:type="xsd:double"&gt;1.0494645&lt;/D&gt;&lt;/FQL&gt;&lt;FQL&gt;&lt;Q&gt;FERG-US^P_BETA_LOCIDX(44837,44662,,"SPX")&lt;/Q&gt;&lt;R&gt;1&lt;/R&gt;&lt;C&gt;1&lt;/C&gt;&lt;D xsi:type="xsd:double"&gt;1.0179305&lt;/D&gt;&lt;/FQL&gt;&lt;FQL&gt;&lt;Q&gt;FERG-US^P_BETA_LOCIDX(44834,44659,,"SPX")&lt;/Q&gt;&lt;R&gt;1&lt;/R&gt;&lt;C&gt;1&lt;/C&gt;&lt;D xsi:type="xsd:double"&gt;0.9960914&lt;/D&gt;&lt;/FQL&gt;&lt;FQL&gt;&lt;Q&gt;FERG-US^P_BETA_LOCIDX(44833,44658,,"SPX")&lt;/Q&gt;&lt;R&gt;1&lt;/R&gt;&lt;C&gt;1&lt;/C&gt;&lt;D xsi:type="xsd:double"&gt;1.0020565&lt;/D&gt;&lt;/FQL&gt;&lt;FQL&gt;&lt;Q&gt;FERG-US^P_BETA_LOCIDX(44832,44657,,"SPX")&lt;/Q&gt;&lt;R&gt;1&lt;/R&gt;&lt;C&gt;1&lt;/C&gt;&lt;D xsi:type="xsd:double"&gt;1.0046638&lt;/D&gt;&lt;/FQL&gt;&lt;FQL&gt;&lt;Q&gt;FERG-US^P_BETA_LOCIDX(44831,44656,,"SPX")&lt;/Q&gt;&lt;R&gt;1&lt;/R&gt;&lt;C&gt;1&lt;/C&gt;&lt;D xsi:type="xsd:double"&gt;1.0007375&lt;/D&gt;&lt;/FQL&gt;&lt;FQL&gt;&lt;Q&gt;FERG-US^P_BETA_LOCIDX(44830,44655,,"SPX")&lt;/Q&gt;&lt;R&gt;1&lt;/R&gt;&lt;C&gt;1&lt;/C&gt;&lt;D xsi:type="xsd:double"&gt;0.9984304&lt;/D&gt;&lt;/FQL&gt;&lt;FQL&gt;&lt;Q&gt;FERG-US^P_BETA_LOCIDX(44827,44652,,"SPX")&lt;/Q&gt;&lt;R&gt;1&lt;/R&gt;&lt;C&gt;1&lt;/C&gt;&lt;D xsi:type="xsd:double"&gt;1.000152&lt;/D&gt;&lt;/FQL&gt;&lt;FQL&gt;&lt;Q&gt;FERG-US^P_BETA_LOCIDX(44826,44651,,"SPX")&lt;/Q&gt;&lt;R&gt;1&lt;/R&gt;&lt;C&gt;1&lt;/C&gt;&lt;D xsi:type="xsd:double"&gt;1.0086633&lt;/D&gt;&lt;/FQL&gt;&lt;FQL&gt;&lt;Q&gt;FERG-US^P_BETA_LOCIDX(44825,44650,,"SPX")&lt;/Q&gt;&lt;R&gt;1&lt;/R&gt;&lt;C&gt;1&lt;/C&gt;&lt;D xsi:type="xsd:double"&gt;1.0083158&lt;/D&gt;&lt;/FQL&gt;&lt;FQL&gt;&lt;Q&gt;FERG-US^P_BETA_LOCIDX(44824,44649,,"SPX")&lt;/Q&gt;&lt;R&gt;1&lt;/R&gt;&lt;C&gt;1&lt;/C&gt;&lt;D xsi:type="xsd:double"&gt;1.0085784&lt;/D&gt;&lt;/FQL&gt;&lt;FQL&gt;&lt;Q&gt;FERG-US^P_BETA_LOCIDX(44823,44648,,"SPX")&lt;/Q&gt;&lt;R&gt;1&lt;/R&gt;&lt;C&gt;1&lt;/C&gt;&lt;D xsi:type="xsd:double"&gt;0.9968786&lt;/D&gt;&lt;/FQL&gt;&lt;FQL&gt;&lt;Q&gt;FERG-US^P_BETA_LOCIDX(44820,44645,,"SPX")&lt;/Q&gt;&lt;R&gt;1&lt;/R&gt;&lt;C&gt;1&lt;/C&gt;&lt;D xsi:type="xsd:double"&gt;0.9878495&lt;/D&gt;&lt;/FQL&gt;&lt;FQL&gt;&lt;Q&gt;FERG-US^P_BETA_LOCIDX(44819,44644,,"SPX")&lt;/Q&gt;&lt;R&gt;1&lt;/R&gt;&lt;C&gt;1&lt;/C&gt;&lt;D xsi:type="xsd:double"&gt;0.96978784&lt;/D&gt;&lt;/FQL&gt;&lt;FQL&gt;&lt;Q&gt;FERG-US^P_BETA_LOCIDX(44818,44643,,"SPX")&lt;/Q&gt;&lt;R&gt;1&lt;/R&gt;&lt;C&gt;1&lt;/C&gt;&lt;D xsi:type="xsd:double"&gt;0.96696585&lt;/D&gt;&lt;/FQL&gt;&lt;FQL&gt;&lt;Q&gt;FERG-US^P_BETA_LOCIDX(44817,44642,,"SPX")&lt;/Q&gt;&lt;R&gt;1&lt;/R&gt;&lt;C&gt;1&lt;/C&gt;&lt;D xsi:type="xsd:double"&gt;0.96995205&lt;/D&gt;&lt;/FQL&gt;&lt;FQL&gt;&lt;Q&gt;FERG-US^P_BETA_LOCIDX(44816,44641,,"SPX")&lt;/Q&gt;&lt;R&gt;1&lt;/R&gt;&lt;C&gt;1&lt;/C&gt;&lt;D xsi:type="xsd:double"&gt;0.98934317&lt;/D&gt;&lt;/FQL&gt;&lt;FQL&gt;&lt;Q&gt;FERG-US^P_BETA_LOCIDX(44813,44638,,"SPX")&lt;/Q&gt;&lt;R&gt;1&lt;/R&gt;&lt;C&gt;1&lt;/C&gt;&lt;D xsi:type="xsd:double"&gt;0.9892594&lt;/D&gt;&lt;/FQL&gt;&lt;FQL&gt;&lt;Q&gt;FERG-US^P_BETA_LOCIDX(44812,44637,,"SPX")&lt;/Q&gt;&lt;R&gt;1&lt;/R&gt;&lt;C&gt;1&lt;/C&gt;&lt;D xsi:type="xsd:double"&gt;0.9841886&lt;/D&gt;&lt;/FQL&gt;&lt;FQL&gt;&lt;Q&gt;FERG-US^P_BETA_LOCIDX(44811,44636,,"SPX")&lt;/Q&gt;&lt;R&gt;1&lt;/R&gt;&lt;C&gt;1&lt;/C&gt;&lt;D xsi:type="xsd:double"&gt;0.96096593&lt;/D&gt;&lt;/FQL&gt;&lt;FQL&gt;&lt;Q&gt;FERG-US^P_BETA_LOCIDX(44810,44635,,"SPX")&lt;/Q&gt;&lt;R&gt;1&lt;/R&gt;&lt;C&gt;1&lt;/C&gt;&lt;D xsi:type="xsd:double"&gt;0.9054938&lt;/D&gt;&lt;/FQL&gt;&lt;FQL&gt;&lt;Q&gt;FERG-US^P_BETA_LOCIDX(44806,44634,,"SPX")&lt;/Q&gt;&lt;R&gt;1&lt;/R&gt;&lt;C&gt;1&lt;/C&gt;&lt;D xsi:type="xsd:double"&gt;0.8876695&lt;/D&gt;&lt;/FQL&gt;&lt;FQL&gt;&lt;Q&gt;FERG-US^P_BETA_LOCIDX(44805,44631,,"SPX")&lt;/Q&gt;&lt;R&gt;1&lt;/R&gt;&lt;C&gt;1&lt;/C&gt;&lt;D xsi:type="xsd:double"&gt;0.87763923&lt;/D&gt;&lt;/FQL&gt;&lt;FQL&gt;&lt;Q&gt;FERG-US^P_BETA_LOCIDX(44804,44630,,"SPX")&lt;/Q&gt;&lt;R&gt;1&lt;/R&gt;&lt;C&gt;1&lt;/C&gt;&lt;D xsi:type="xsd:double"&gt;0.8823441&lt;/D&gt;&lt;/FQL&gt;&lt;FQL&gt;&lt;Q&gt;FERG-US^P_BETA_LOCIDX(44803,44629,,"SPX")&lt;/Q&gt;&lt;R&gt;1&lt;/R&gt;&lt;C&gt;1&lt;/C&gt;&lt;D xsi:type="xsd:double"&gt;0.86341363&lt;/D&gt;&lt;/FQL&gt;&lt;FQL&gt;&lt;Q&gt;FERG-US^P_BETA_LOCIDX(44802,44628,,"SPX")&lt;/Q&gt;&lt;R&gt;1&lt;/R&gt;&lt;C&gt;1&lt;/C&gt;&lt;D xsi:type="xsd:double"&gt;0.8424686&lt;/D&gt;&lt;/FQL&gt;&lt;FQL&gt;&lt;Q&gt;FERG-US^P_BETA_LOCIDX(44799,44627,,"SPX")&lt;/Q&gt;&lt;R&gt;1&lt;/R&gt;&lt;C&gt;1&lt;/C&gt;&lt;D xsi:type="xsd:double"&gt;0.87654763&lt;/D&gt;&lt;/FQL&gt;&lt;FQL&gt;&lt;Q&gt;FERG-US^P_BETA_LOCIDX(44798,44624,,"SPX")&lt;/Q&gt;&lt;R&gt;1&lt;/R&gt;&lt;C&gt;1&lt;/C&gt;&lt;D xsi:type="xsd:double"&gt;0.88682175&lt;/D&gt;&lt;/FQL&gt;&lt;FQL&gt;&lt;Q&gt;FERG-US^P_BETA_LOCIDX(44797,44623,,"SPX")&lt;/Q&gt;&lt;R&gt;1&lt;/R&gt;&lt;C&gt;1&lt;/C&gt;&lt;D xsi:type="xsd:double"&gt;0.8884456&lt;/D&gt;&lt;/FQL&gt;&lt;FQL&gt;&lt;Q&gt;FERG-US^P_BETA_LOCIDX(44796,44622,,"SPX")&lt;/Q&gt;&lt;R&gt;1&lt;/R&gt;&lt;C&gt;1&lt;/C&gt;&lt;D xsi:type="xsd:double"&gt;0.8870772&lt;/D&gt;&lt;/FQL&gt;&lt;FQL&gt;&lt;Q&gt;FERG-US^P_BETA_LOCIDX(44795,44621,,"SPX")&lt;/Q&gt;&lt;R&gt;1&lt;/R&gt;&lt;C&gt;1&lt;/C&gt;&lt;D xsi:type="xsd:double"&gt;0.88280195&lt;/D&gt;&lt;/FQL&gt;&lt;FQL&gt;&lt;Q&gt;FERG-US^P_BETA_LOCIDX(44792,44620,,"SPX")&lt;/Q&gt;&lt;R&gt;1&lt;/R&gt;&lt;C&gt;1&lt;/C&gt;&lt;D xsi:type="xsd:double"&gt;0.8924059&lt;/D&gt;&lt;/FQL&gt;&lt;FQL&gt;&lt;Q&gt;FERG-US^P_BETA_LOCIDX(44791,44617,,"SPX")&lt;/Q&gt;&lt;R&gt;1&lt;/R&gt;&lt;C&gt;1&lt;/C&gt;&lt;D xsi:type="xsd:double"&gt;0.8909545&lt;/D&gt;&lt;/FQL&gt;&lt;FQL&gt;&lt;Q&gt;FERG-US^P_BETA_LOCIDX(44790,44616,,"SPX")&lt;/Q&gt;&lt;R&gt;1&lt;/R&gt;&lt;C&gt;1&lt;/C&gt;&lt;D xsi:type="xsd:double"&gt;0.8812483&lt;/D&gt;&lt;/FQL&gt;&lt;FQL&gt;&lt;Q&gt;FERG-US^P_BETA_LOCIDX(44789,44615,,"SPX")&lt;/Q&gt;&lt;R&gt;1&lt;/R&gt;&lt;C&gt;1&lt;/C&gt;&lt;D xsi:type="xsd:double"&gt;0.8682753&lt;/D&gt;&lt;/FQL&gt;&lt;FQL&gt;&lt;Q&gt;FERG-US^P_BETA_LOCIDX(44788,44614,,"SPX")&lt;/Q&gt;&lt;R&gt;1&lt;/R&gt;&lt;C&gt;1&lt;/C&gt;&lt;D xsi:type="xsd:double"&gt;0.86672753&lt;/D&gt;&lt;/FQL&gt;&lt;FQL&gt;&lt;Q&gt;FERG-US^P_BETA_LOCIDX(44785,44610,,"SPX")&lt;/Q&gt;&lt;R&gt;1&lt;/R&gt;&lt;C&gt;1&lt;/C&gt;&lt;D xsi:type="xsd:double"&gt;0.8629672&lt;/D&gt;&lt;/FQL&gt;&lt;FQL&gt;&lt;Q&gt;FERG-US^P_BETA_LOCIDX(44784,44609,,"SPX")&lt;/Q&gt;&lt;R&gt;1&lt;/R&gt;&lt;C&gt;1&lt;/C&gt;&lt;D xsi:type="xsd:double"&gt;0.8630122&lt;/D&gt;&lt;/FQL&gt;&lt;FQL&gt;&lt;Q&gt;FERG-US^P_BETA_LOCIDX(44783,44608,,"SPX")&lt;/Q&gt;&lt;R&gt;1&lt;/R&gt;&lt;C&gt;1&lt;/C&gt;&lt;D xsi:type="xsd:double"&gt;0.8632594&lt;/D&gt;&lt;/FQL&gt;&lt;FQL&gt;&lt;Q&gt;FERG-US^P_BETA_LOCIDX(44782,44607,,"SPX")&lt;/Q&gt;&lt;R&gt;1&lt;/R&gt;&lt;C&gt;1&lt;/C&gt;&lt;D xsi:type="xsd:double"&gt;0.8417861&lt;/D&gt;&lt;/FQL&gt;&lt;FQL&gt;&lt;Q&gt;FERG-US^P_BETA_LOCIDX(44781,44606,,"SPX")&lt;/Q&gt;&lt;R&gt;1&lt;/R&gt;&lt;C&gt;1&lt;/C&gt;&lt;D xsi:type="xsd:double"&gt;0.8384284&lt;/D&gt;&lt;/FQL&gt;&lt;FQL&gt;&lt;Q&gt;FERG-US^P_BETA_LOCIDX(44778,44603,,"SPX")&lt;/Q&gt;&lt;R&gt;1&lt;/R&gt;&lt;C&gt;1&lt;/C&gt;&lt;D xsi:type="xsd:double"&gt;0.8459648&lt;/D&gt;&lt;/FQL&gt;&lt;FQL&gt;&lt;Q&gt;FERG-US^P_BETA_LOCIDX(44777,44602,,"SPX")&lt;/Q&gt;&lt;R&gt;1&lt;/R&gt;&lt;C&gt;1&lt;/C&gt;&lt;D xsi:type="xsd:double"&gt;0.8404043&lt;/D&gt;&lt;/FQL&gt;&lt;FQL&gt;&lt;Q&gt;FERG-US^P_BETA_LOCIDX(44776,44601,,"SPX")&lt;/Q&gt;&lt;R&gt;1&lt;/R&gt;&lt;C&gt;1&lt;/C&gt;&lt;D xsi:type="xsd:double"&gt;0.83921164&lt;/D&gt;&lt;/FQL&gt;&lt;FQL&gt;&lt;Q&gt;FERG-US^P_BETA_LOCIDX(44775,44600,,"SPX")&lt;/Q&gt;&lt;R&gt;1&lt;/R&gt;&lt;C&gt;1&lt;/C&gt;&lt;D xsi:type="xsd:double"&gt;0.84876424&lt;/D&gt;&lt;/FQL&gt;&lt;FQL&gt;&lt;Q&gt;FERG-US^P_BETA_LOCIDX(44774,44599,,"SPX")&lt;/Q&gt;&lt;R&gt;1&lt;/R&gt;&lt;C&gt;1&lt;/C&gt;&lt;D xsi:type="xsd:double"&gt;0.84812987&lt;/D&gt;&lt;/FQL&gt;&lt;FQL&gt;&lt;Q&gt;FERG-US^P_BETA_LOCIDX(45845,45670,,"SPX")&lt;/Q&gt;&lt;R&gt;1&lt;/R&gt;&lt;C&gt;1&lt;/C&gt;&lt;D xsi:type="xsd:double"&gt;0.9125943&lt;/D&gt;&lt;/FQL&gt;&lt;FQL&gt;&lt;Q&gt;HUBB-US^P_BETA_LOCIDX(45841,45665,,"SPX")&lt;/Q&gt;&lt;R&gt;1&lt;/R&gt;&lt;C&gt;1&lt;/C&gt;&lt;D xsi:type="xsd:double"&gt;1.1300628&lt;/D&gt;&lt;/FQL&gt;&lt;FQL&gt;&lt;Q&gt;HUBB-US^P_BETA_LOCIDX(45840,45664,,"SPX")&lt;/Q&gt;&lt;R&gt;1&lt;/R&gt;&lt;C&gt;1&lt;/C&gt;&lt;D xsi:type="xsd:double"&gt;1.1332606&lt;/D&gt;&lt;/FQL&gt;&lt;FQL&gt;&lt;Q&gt;HUBB-US^P_BETA_LOCIDX(45839,45663,,"SPX")&lt;/Q&gt;&lt;R&gt;1&lt;/R&gt;&lt;C&gt;1&lt;/C&gt;&lt;D xsi:type="xsd:double"&gt;1.1352319&lt;/D&gt;&lt;/FQL&gt;&lt;FQL&gt;&lt;Q&gt;HUBB-US^P_BETA_LOCIDX(45838,45660,,"SPX")&lt;/Q&gt;&lt;R&gt;1&lt;/R&gt;&lt;C&gt;1&lt;/C&gt;&lt;D xsi:type="xsd:double"&gt;1.1408476&lt;/D&gt;&lt;/FQL&gt;&lt;FQL&gt;&lt;Q&gt;HUBB-US^P_BETA_LOCIDX(45835,45659,,"SPX")&lt;/Q&gt;&lt;R&gt;1&lt;/R&gt;&lt;C&gt;1&lt;/C&gt;&lt;D xsi:type="xsd:double"&gt;1.1404378&lt;/D&gt;&lt;/FQL&gt;&lt;FQL&gt;&lt;Q&gt;HUBB-US^P_BETA_LOCIDX(45834,45657,,"SPX")&lt;/Q&gt;&lt;R&gt;1&lt;/R&gt;&lt;C&gt;1&lt;/C&gt;&lt;D xsi:type="xsd:double"&gt;1.1399987&lt;/D&gt;&lt;/FQL&gt;&lt;FQL&gt;&lt;Q&gt;HUBB-US^P_BETA_LOCIDX(45833,45656,,"SPX")&lt;/Q&gt;&lt;R&gt;1&lt;/R&gt;&lt;C&gt;1&lt;/C&gt;&lt;D xsi:type="xsd:double"&gt;1.1368417&lt;/D&gt;&lt;/FQL&gt;&lt;FQL&gt;&lt;Q&gt;HUBB-US^P_BETA_LOCIDX(45832,45653,,"SPX")&lt;/Q&gt;&lt;R&gt;1&lt;/R&gt;&lt;C&gt;1&lt;/C&gt;&lt;D xsi:type="xsd:double"&gt;1.1383178&lt;/D&gt;&lt;/FQL&gt;&lt;FQL&gt;&lt;Q&gt;HUBB-US^P_BETA_LOCIDX(45831,45652,,"SPX")&lt;/Q&gt;&lt;R&gt;1&lt;/R&gt;&lt;C&gt;1&lt;/C&gt;&lt;D xsi:type="xsd:double"&gt;1.134985&lt;/D&gt;&lt;/FQL&gt;&lt;FQL&gt;&lt;Q&gt;HUBB-US^P_BETA_LOCIDX(45828,45650,,"SPX")&lt;/Q&gt;&lt;R&gt;1&lt;/R&gt;&lt;C&gt;1&lt;/C&gt;&lt;D xsi:type="xsd:double"&gt;1.1402165&lt;/D&gt;&lt;/FQL&gt;&lt;FQL&gt;&lt;Q&gt;HUBB-US^P_BETA_LOCIDX(45826,45649,,"SPX")&lt;/Q&gt;&lt;R&gt;1&lt;/R&gt;&lt;C&gt;1&lt;/C&gt;&lt;D xsi:type="xsd:double"&gt;1.1374155&lt;/D&gt;&lt;/FQL&gt;&lt;FQL&gt;&lt;Q&gt;HUBB-US^P_BETA_LOCIDX(45825,45646,,"SPX")&lt;/Q&gt;&lt;R&gt;1&lt;/R&gt;&lt;C&gt;1&lt;/C&gt;&lt;D xsi:type="xsd:double"&gt;1.1354353&lt;/D&gt;&lt;/FQL&gt;&lt;FQL&gt;&lt;Q&gt;HUBB-US^P_BETA_LOCIDX(45824,45645,,"SPX")&lt;/Q&gt;&lt;R&gt;1&lt;/R&gt;&lt;C&gt;1&lt;/C&gt;&lt;D xsi:type="xsd:double"&gt;1.1379957&lt;/D&gt;&lt;/FQL&gt;&lt;FQL&gt;&lt;Q&gt;HUBB-US^P_BETA_LOCIDX(45821,45644,,"SPX")&lt;/Q&gt;&lt;R&gt;1&lt;/R&gt;&lt;C&gt;1&lt;/C&gt;&lt;D xsi:type="xsd:double"&gt;1.1307553&lt;/D&gt;&lt;/FQL&gt;&lt;FQL&gt;&lt;Q&gt;HUBB-US^P_BETA_LOCIDX(45820,45643,,"SPX")&lt;/Q&gt;&lt;R&gt;1&lt;/R&gt;&lt;C&gt;1&lt;/C&gt;&lt;D xsi:type="xsd:double"&gt;1.1312176&lt;/D&gt;&lt;/FQL&gt;&lt;FQL&gt;&lt;Q&gt;HUBB-US^P_BETA_LOCIDX(45819,45642,,"SPX")&lt;/Q&gt;&lt;R&gt;1&lt;/R&gt;&lt;C&gt;1&lt;/C&gt;&lt;D xsi:type="xsd:double"&gt;1.1311667&lt;/D&gt;&lt;/FQL&gt;&lt;FQL&gt;&lt;Q&gt;HUBB-US^P_BETA_LOCIDX(45818,45639,,"SPX")&lt;/Q&gt;&lt;R&gt;1&lt;/R&gt;&lt;C&gt;1&lt;/C&gt;&lt;D xsi:type="xsd:double"&gt;1.1318032&lt;/D&gt;&lt;/FQL&gt;&lt;FQL&gt;&lt;Q&gt;HUBB-US^P_BETA_LOCIDX(45817,45638,,"SPX")&lt;/Q&gt;&lt;R&gt;1&lt;/R&gt;&lt;C&gt;1&lt;/C&gt;&lt;D xsi:type="xsd:double"&gt;1.134057&lt;/D&gt;&lt;/FQL&gt;&lt;FQL&gt;&lt;Q&gt;HUBB-US^P_BETA_LOCIDX(45814,45637,,"SPX")&lt;/Q&gt;&lt;R&gt;1&lt;/R&gt;&lt;C&gt;1&lt;/C&gt;&lt;D xsi:type="xsd:double"&gt;1.137122&lt;/D&gt;&lt;/FQL&gt;&lt;FQL&gt;&lt;Q&gt;HUBB-US^P_BETA_LOCIDX(45813,45636,,"SPX")&lt;/Q&gt;&lt;R&gt;1&lt;/R&gt;&lt;C&gt;1&lt;/C&gt;&lt;D xsi:type="xsd:double"&gt;1.1352963&lt;/D&gt;&lt;/FQL&gt;&lt;FQL&gt;&lt;Q&gt;HUBB-US^P_BETA_LOCIDX(45812,45635,,"SPX")&lt;/Q&gt;&lt;R&gt;1&lt;/R&gt;&lt;C&gt;1&lt;/C&gt;&lt;D xsi:type="xsd:double"&gt;1.1382788&lt;/D&gt;&lt;/FQL&gt;&lt;FQL&gt;&lt;Q&gt;HUBB-US^P_BETA_LOCIDX(45811,45632,,"SPX")&lt;/Q&gt;&lt;R&gt;1&lt;/R&gt;&lt;C&gt;1&lt;/C&gt;&lt;D xsi:type="xsd:double"&gt;1.137184&lt;/D&gt;&lt;/FQL&gt;&lt;FQL&gt;&lt;Q&gt;HUBB-US^P_BETA_LOCIDX(45810,45631,,"SPX")&lt;/Q&gt;&lt;R&gt;1&lt;/R&gt;&lt;C&gt;1&lt;/C&gt;&lt;D xsi:type="xsd:double"&gt;1.133803&lt;/D&gt;&lt;/FQL&gt;&lt;FQL&gt;&lt;Q&gt;HUBB-US^P_BETA_LOCIDX(45807,45630,,"SPX")&lt;/Q&gt;&lt;R&gt;1&lt;/R&gt;&lt;C&gt;1&lt;/C&gt;&lt;D xsi:type="xsd:double"&gt;1.1413132&lt;/D&gt;&lt;/FQL&gt;&lt;FQL&gt;&lt;Q&gt;HUBB-US^P_BETA_LOCIDX(45806,45629,,"SPX")&lt;/Q&gt;&lt;R&gt;1&lt;/R&gt;&lt;C&gt;1&lt;/C&gt;&lt;D xsi:type="xsd:double"&gt;1.1413343&lt;/D&gt;&lt;/FQL&gt;&lt;FQL&gt;&lt;Q&gt;HUBB-US^P_BETA_LOCIDX(45805,45628,,"SPX")&lt;/Q&gt;&lt;R&gt;1&lt;/R&gt;&lt;C&gt;1&lt;/C&gt;&lt;D xsi:type="xsd:double"&gt;1.1405545&lt;/D&gt;&lt;/FQL&gt;&lt;FQL&gt;&lt;Q&gt;HUBB-US^P_BETA_LOCIDX(45804,45625,,"SPX")&lt;/Q&gt;&lt;R&gt;1&lt;/R&gt;&lt;C&gt;1&lt;/C&gt;&lt;D xsi:type="xsd:double"&gt;1.1396729&lt;/D&gt;&lt;/FQL&gt;&lt;FQL&gt;&lt;Q&gt;HUBB-US^P_BETA_LOCIDX(45800,45623,,"SPX")&lt;/Q&gt;&lt;R&gt;1&lt;/R&gt;&lt;C&gt;1&lt;/C&gt;&lt;D xsi:type="xsd:double"&gt;1.1404097&lt;/D&gt;&lt;/FQL&gt;&lt;FQL&gt;&lt;Q&gt;HUBB-US^P_BETA_LOCIDX(45799,45622,,"SPX")&lt;/Q&gt;&lt;R&gt;1&lt;/R&gt;&lt;C&gt;1&lt;/C&gt;&lt;D xsi:type="xsd:double"&gt;1.140585&lt;/D&gt;&lt;/FQL&gt;&lt;FQL&gt;&lt;Q&gt;HUBB-US^P_BETA_LOCIDX(45798,45621,,"SPX")&lt;/Q&gt;&lt;R&gt;1&lt;/R&gt;&lt;C&gt;1&lt;/C&gt;&lt;D xsi:type="xsd:double"&gt;1.1413145&lt;/D&gt;&lt;/FQL&gt;&lt;FQL&gt;&lt;Q&gt;HUBB-US^P_BETA_LOCIDX(45797,45618,,"SPX")&lt;/Q&gt;&lt;R&gt;1&lt;/R&gt;&lt;C&gt;1&lt;/C&gt;&lt;D xsi:type="xsd:double"&gt;1.1427722&lt;/D&gt;&lt;/FQL&gt;&lt;FQL&gt;&lt;Q&gt;HUBB-US^P_BETA_LOCIDX(45796,45617,,"SPX")&lt;/Q&gt;&lt;R&gt;1&lt;/R&gt;&lt;C&gt;1&lt;/C&gt;&lt;D xsi:type="xsd:double"&gt;1.146424&lt;/D&gt;&lt;/FQL&gt;&lt;FQL&gt;&lt;Q&gt;HUBB-US^P_BETA_LOCIDX(45793,45616,,"SPX")&lt;/Q&gt;&lt;R&gt;1&lt;/R&gt;&lt;C&gt;1&lt;/C&gt;&lt;D xsi:type="xsd:double"&gt;1.1465874&lt;/D&gt;&lt;/FQL&gt;&lt;FQL&gt;&lt;Q&gt;HUBB-US^P_BETA_LOCIDX(45792,45615,,"SPX")&lt;/Q&gt;&lt;R&gt;1&lt;/R&gt;&lt;C&gt;1&lt;/C&gt;&lt;D xsi:type="xsd:double"&gt;1.1465592&lt;/D&gt;&lt;/FQL&gt;&lt;FQL&gt;&lt;Q&gt;HUBB-US^P_BETA_LOCIDX(45791,45614,,"SPX")&lt;/Q&gt;&lt;R&gt;1&lt;/R&gt;&lt;C&gt;1&lt;/C&gt;&lt;D xsi:type="xsd:double"&gt;1.1484514&lt;/D&gt;&lt;/FQL&gt;&lt;FQL&gt;&lt;Q&gt;HUBB-US^P_BETA_LOCIDX(45790,45611,,"SPX")&lt;/Q&gt;&lt;R&gt;1&lt;/R&gt;&lt;C&gt;1&lt;/C&gt;&lt;D xsi:type="xsd:double"&gt;1.1437924&lt;/D&gt;&lt;/FQL&gt;&lt;FQL&gt;&lt;Q&gt;HUBB-US^P_BETA_LOCIDX(45789,45610,,"SPX")&lt;/Q&gt;&lt;R&gt;1&lt;/R&gt;&lt;C&gt;1&lt;/C&gt;&lt;D xsi:type="xsd:double"&gt;1.1447845&lt;/D&gt;&lt;/FQL&gt;&lt;FQL&gt;&lt;Q&gt;HUBB-US^P_BETA_LOCIDX(45786,45609,,"SPX")&lt;/Q&gt;&lt;R&gt;1&lt;/R&gt;&lt;C&gt;1&lt;/C&gt;&lt;D xsi:type="xsd:double"&gt;1.1159608&lt;/D&gt;&lt;/FQL&gt;&lt;FQL&gt;&lt;Q&gt;HUBB-US^P_BETA_LOCIDX(45785,45608,,"SPX")&lt;/Q&gt;&lt;R&gt;1&lt;/R&gt;&lt;C&gt;1&lt;/C&gt;&lt;D xsi:type="xsd:double"&gt;1.1183566&lt;/D&gt;&lt;/FQL&gt;&lt;FQL&gt;&lt;Q&gt;HUBB-US^P_BETA_LOCIDX(45784,45607,,"SPX")&lt;/Q&gt;&lt;R&gt;1&lt;/R&gt;&lt;C&gt;1&lt;/C&gt;&lt;D xsi:type="xsd:double"&gt;1.1178954&lt;/D&gt;&lt;/FQL&gt;&lt;FQL&gt;&lt;Q&gt;HUBB-US^P_BETA_LOCIDX(45783,45604,,"SPX")&lt;/Q&gt;&lt;R&gt;1&lt;/R&gt;&lt;C&gt;1&lt;/C&gt;&lt;D xsi:type="xsd:double"&gt;1.1163766&lt;/D&gt;&lt;/FQL&gt;&lt;FQL&gt;&lt;Q&gt;HUBB-US^P_BETA_LOCIDX(45782,45603,,"SPX")&lt;/Q&gt;&lt;R&gt;1&lt;/R&gt;&lt;C&gt;1&lt;/C&gt;&lt;D xsi:type="xsd:double"&gt;1.1103994&lt;/D&gt;&lt;/FQL&gt;&lt;FQL&gt;&lt;Q&gt;HUBB-US^P_BETA_LOCIDX(45779,45602,,"SPX")&lt;/Q&gt;&lt;R&gt;1&lt;/R&gt;&lt;C&gt;1&lt;/C&gt;&lt;D xsi:type="xsd:double"&gt;1.1529522&lt;/D&gt;&lt;/FQL&gt;&lt;FQL&gt;&lt;Q&gt;HUBB-US^P_BETA_LOCIDX(45778,45601,,"SPX")&lt;/Q&gt;&lt;R&gt;1&lt;/R&gt;&lt;C&gt;1&lt;/C&gt;&lt;D xsi:type="xsd:double"&gt;1.1511683&lt;/D&gt;&lt;/FQL&gt;&lt;FQL&gt;&lt;Q&gt;HUBB-US^P_BETA_LOCIDX(45777,45600,,"SPX")&lt;/Q&gt;&lt;R&gt;1&lt;/R&gt;&lt;C&gt;1&lt;/C&gt;&lt;D xsi:type="xsd:double"&gt;1.1646224&lt;/D&gt;&lt;/FQL&gt;&lt;FQL&gt;&lt;Q&gt;HUBB-US^P_BETA_LOCIDX(45776,45597,,"SPX")&lt;/Q&gt;&lt;R&gt;1&lt;/R&gt;&lt;C&gt;1&lt;/C&gt;&lt;D xsi:type="xsd:double"&gt;1.1630754&lt;/D&gt;&lt;/FQL&gt;&lt;FQL&gt;&lt;Q&gt;HUBB-US^P_BETA_LOCIDX(45775,45596,,"SPX")&lt;/Q&gt;&lt;R&gt;1&lt;/R&gt;&lt;C&gt;1&lt;/C&gt;&lt;D xsi:type="xsd:double"&gt;1.1558075&lt;/D&gt;&lt;/FQL&gt;&lt;FQL&gt;&lt;Q&gt;HUBB-US^P_BETA_LOCIDX(45772,45595,,"SPX")&lt;/Q&gt;&lt;R&gt;1&lt;/R&gt;&lt;C&gt;1&lt;/C&gt;&lt;D xsi:type="xsd:double"&gt;1.1574641&lt;/D&gt;&lt;/FQL&gt;&lt;FQL&gt;&lt;Q&gt;HUBB-US^P_BETA_LOCIDX(45771,45594,,"SPX")&lt;/Q&gt;&lt;R&gt;1&lt;/R&gt;&lt;C&gt;1&lt;/C&gt;&lt;D xsi:type="xsd:double"&gt;1.1582893&lt;/D&gt;&lt;/FQL&gt;&lt;FQL&gt;&lt;Q&gt;HUBB-US^P_BETA_LOCIDX(45770,45593,,"SPX")&lt;/Q&gt;&lt;R&gt;1&lt;/R&gt;&lt;C&gt;1&lt;/C&gt;&lt;D xsi:type="xsd:double"&gt;1.1454047&lt;/D&gt;&lt;/FQL&gt;&lt;FQL&gt;&lt;Q&gt;HUBB-US^P_BETA_LOCIDX(45769,45590,,"SPX")&lt;/Q&gt;&lt;R&gt;1&lt;/R&gt;&lt;C&gt;1&lt;/C&gt;&lt;D xsi:type="xsd:double"&gt;1.1464535&lt;/D&gt;&lt;/FQL&gt;&lt;FQL&gt;&lt;Q&gt;HUBB-US^P_BETA_LOCIDX(45768,45589,,"SPX")&lt;/Q&gt;&lt;R&gt;1&lt;/R&gt;&lt;C&gt;1&lt;/C&gt;&lt;D xsi:type="xsd:double"&gt;1.1412228&lt;/D&gt;&lt;/FQL&gt;&lt;FQL&gt;&lt;Q&gt;HUBB-US^P_BETA_LOCIDX(45764,45588,,"SPX")&lt;/Q&gt;&lt;R&gt;1&lt;/R&gt;&lt;C&gt;1&lt;/C&gt;&lt;D xsi:type="xsd:double"&gt;1.1395717&lt;/D&gt;&lt;/FQL&gt;&lt;FQL&gt;&lt;Q&gt;HUBB-US^P_BETA_LOCIDX(45763,45587,,"SPX")&lt;/Q&gt;&lt;R&gt;1&lt;/R&gt;&lt;C&gt;1&lt;/C&gt;&lt;D xsi:type="xsd:double"&gt;1.139384&lt;/D&gt;&lt;/FQL&gt;&lt;FQL&gt;&lt;Q&gt;HUBB-US^P_BETA_LOCIDX(45762,45586,,"SPX")&lt;/Q&gt;&lt;R&gt;1&lt;/R&gt;&lt;C&gt;1&lt;/C&gt;&lt;D xsi:type="xsd:double"&gt;1.1428173&lt;/D&gt;&lt;/FQL&gt;&lt;FQL&gt;&lt;Q&gt;HUBB-US^P_BETA_LOCIDX(45761,45583,,"SPX")&lt;/Q&gt;&lt;R&gt;1&lt;/R&gt;&lt;C&gt;1&lt;/C&gt;&lt;D xsi:type="xsd:double"&gt;1.1416644&lt;/D&gt;&lt;/FQL&gt;&lt;FQL&gt;&lt;Q&gt;HUBB-US^P_BETA_LOCIDX(45758,45582,,"SPX")&lt;/Q&gt;&lt;R&gt;1&lt;/R&gt;&lt;C&gt;1&lt;/C&gt;&lt;D xsi:type="xsd:double"&gt;1.1469767&lt;/D&gt;&lt;/FQL&gt;&lt;FQL&gt;&lt;Q&gt;HUBB-US^P_BETA_LOCIDX(45757,45581,,"SPX")&lt;/Q&gt;&lt;R&gt;1&lt;/R&gt;&lt;C&gt;1&lt;/C&gt;&lt;D xsi:type="xsd:double"&gt;1.1370504&lt;/D&gt;&lt;/FQL&gt;&lt;FQL&gt;&lt;Q&gt;HUBB-US^P_BETA_LOCIDX(45756,45580,,"SPX")&lt;/Q&gt;&lt;R&gt;1&lt;/R&gt;&lt;C&gt;1&lt;/C&gt;&lt;D xsi:type="xsd:double"&gt;1.1560355&lt;/D&gt;&lt;/FQL&gt;&lt;FQL&gt;&lt;Q&gt;HUBB-US^P_BETA_LOCIDX(45755,45579,,"SPX")&lt;/Q&gt;&lt;R&gt;1&lt;/R&gt;&lt;C&gt;1&lt;/C&gt;&lt;D xsi:type="xsd:double"&gt;1.1572045&lt;/D&gt;&lt;/FQL&gt;&lt;FQL&gt;&lt;Q&gt;HUBB-US^P_BETA_LOCIDX(45754,45576,,"SPX")&lt;/Q&gt;&lt;R&gt;1&lt;/R&gt;&lt;C&gt;1&lt;/C&gt;&lt;D xsi:type="xsd:double"&gt;1.1880509&lt;/D&gt;&lt;/FQL&gt;&lt;FQL&gt;&lt;Q&gt;HUBB-US^P_BETA_LOCIDX(45751,45575,,"SPX")&lt;/Q&gt;&lt;R&gt;1&lt;/R&gt;&lt;C&gt;1&lt;/C&gt;&lt;D xsi:type="xsd:double"&gt;1.189269&lt;/D&gt;&lt;/FQL&gt;&lt;FQL&gt;&lt;Q&gt;HUBB-US^P_BETA_LOCIDX(45750,45574,,"SPX")&lt;/Q&gt;&lt;R&gt;1&lt;/R&gt;&lt;C&gt;1&lt;/C&gt;&lt;D xsi:type="xsd:double"&gt;1.4648788&lt;/D&gt;&lt;/FQL&gt;&lt;FQL&gt;&lt;Q&gt;HUBB-US^P_BETA_LOCIDX(45749,45573,,"SPX")&lt;/Q&gt;&lt;R&gt;1&lt;/R&gt;&lt;C&gt;1&lt;/C&gt;&lt;D xsi:type="xsd:double"&gt;1.5224488&lt;/D&gt;&lt;/FQL&gt;&lt;FQL&gt;&lt;Q&gt;HUBB-US^P_BETA_LOCIDX(45748,45572,,"SPX")&lt;/Q&gt;&lt;R&gt;1&lt;/R&gt;&lt;C&gt;1&lt;/C&gt;&lt;D xsi:type="xsd:double"&gt;1.4760008&lt;/D&gt;&lt;/FQL&gt;&lt;FQL&gt;&lt;Q&gt;HUBB-US^P_BETA_LOCIDX(45747,45569,,"SPX")&lt;/Q&gt;&lt;R&gt;1&lt;/R&gt;&lt;C&gt;1&lt;/C&gt;&lt;D xsi:type="xsd:double"&gt;1.4729666&lt;/D&gt;&lt;/FQL&gt;&lt;FQL&gt;&lt;Q&gt;HUBB-US^P_BETA_LOCIDX(45744,45568,,"SPX")&lt;/Q&gt;&lt;R&gt;1&lt;/R&gt;&lt;C&gt;1&lt;/C&gt;&lt;D xsi:type="xsd:double"&gt;1.4783906&lt;/D&gt;&lt;/FQL&gt;&lt;FQL&gt;&lt;Q&gt;HUBB-US^P_BETA_LOCIDX(45743,45567,,"SPX")&lt;/Q&gt;&lt;R&gt;1&lt;/R&gt;&lt;C&gt;1&lt;/C&gt;&lt;D xsi:type="xsd:double"&gt;1.4817529&lt;/D&gt;&lt;/FQL&gt;&lt;FQL&gt;&lt;Q&gt;HUBB-US^P_BETA_LOCIDX(45742,45566,,"SPX")&lt;/Q&gt;&lt;R&gt;1&lt;/R&gt;&lt;C&gt;1&lt;/C&gt;&lt;D xsi:type="xsd:double"&gt;1.467227&lt;/D&gt;&lt;/FQL&gt;&lt;FQL&gt;&lt;Q&gt;HUBB-US^P_BETA_LOCIDX(45741,45565,,"SPX")&lt;/Q&gt;&lt;R&gt;1&lt;/R&gt;&lt;C&gt;1&lt;/C&gt;&lt;D xsi:type="xsd:double"&gt;1.4629229&lt;/D&gt;&lt;/FQL&gt;&lt;FQL&gt;&lt;Q&gt;HUBB-US^P_BETA_LOCIDX(45740,45562,,"SPX")&lt;/Q&gt;&lt;R&gt;1&lt;/R&gt;&lt;C&gt;1&lt;/C&gt;&lt;D xsi:type="xsd:double"&gt;1.4605979&lt;/D&gt;&lt;/FQL&gt;&lt;FQL&gt;&lt;Q&gt;HUBB-US^P_BETA_LOCIDX(45737,45561,,"SPX")&lt;/Q&gt;&lt;R&gt;1&lt;/R&gt;&lt;C&gt;1&lt;/C&gt;&lt;D xsi:type="xsd:double"&gt;1.4462743&lt;/D&gt;&lt;/FQL&gt;&lt;FQL&gt;&lt;Q&gt;HUBB-US^P_BETA_LOCIDX(45736,45560,,"SPX")&lt;/Q&gt;&lt;R&gt;1&lt;/R&gt;&lt;C&gt;1&lt;/C&gt;&lt;D xsi:type="xsd:double"&gt;1.4459666&lt;/D&gt;&lt;/FQL&gt;&lt;FQL&gt;&lt;Q&gt;HUBB-US^P_BETA_LOCIDX(45735,45559,,"SPX")&lt;/Q&gt;&lt;R&gt;1&lt;/R&gt;&lt;C&gt;1&lt;/C&gt;&lt;D xsi:type="xsd:double"&gt;1.4433925&lt;/D&gt;&lt;/FQL&gt;&lt;FQL&gt;&lt;Q&gt;HUBB-US^P_BETA_LOCIDX(45734,45558,,"SPX")&lt;/Q&gt;&lt;R&gt;1&lt;/R&gt;&lt;C&gt;1&lt;/C&gt;&lt;D xsi:type="xsd:double"&gt;1.4391555&lt;/D&gt;&lt;/FQL&gt;&lt;FQL&gt;&lt;Q&gt;HUBB-US^P_BETA_LOCIDX(45733,45555,,"SPX")&lt;/Q&gt;&lt;R&gt;1&lt;/R&gt;&lt;C&gt;1&lt;/C&gt;&lt;D xsi:type="xsd:double"&gt;1.4303641&lt;/D&gt;&lt;/FQL&gt;&lt;FQL&gt;&lt;Q&gt;HUBB-US^P_BETA_LOCIDX(45730,45554,,"SPX")&lt;/Q&gt;&lt;R&gt;1&lt;/R&gt;&lt;C&gt;1&lt;/C&gt;&lt;D xsi:type="xsd:double"&gt;1.4436641&lt;/D&gt;&lt;/FQL&gt;&lt;FQL&gt;&lt;Q&gt;HUBB-US^P_BETA_LOCIDX(45729,45553,,"SPX")&lt;/Q&gt;&lt;R&gt;1&lt;/R&gt;&lt;C&gt;1&lt;/C&gt;&lt;D xsi:type="xsd:double"&gt;1.4479221&lt;/D&gt;&lt;/FQL&gt;&lt;FQL&gt;&lt;Q&gt;HUBB-US^P_BETA_LOCIDX(45728,45552,,"SPX")&lt;/Q&gt;&lt;R&gt;1&lt;/R&gt;&lt;C&gt;1&lt;/C&gt;&lt;D xsi:type="xsd:double"&gt;1.4683453&lt;/D&gt;&lt;/FQL&gt;&lt;FQL&gt;&lt;Q&gt;HUBB-US^P_BETA_LOCIDX(45727,45551,,"SPX")&lt;/Q&gt;&lt;R&gt;1&lt;/R&gt;&lt;C&gt;1&lt;/C&gt;&lt;D xsi:type="xsd:double"&gt;1.4824094&lt;/D&gt;&lt;/FQL&gt;&lt;FQL&gt;&lt;Q&gt;HUBB-US^P_BETA_LOCIDX(45726,45548,,"SPX")&lt;/Q&gt;&lt;R&gt;1&lt;/R&gt;&lt;C&gt;1&lt;/C&gt;&lt;D xsi:type="xsd:double"&gt;1.504345&lt;/D&gt;&lt;/FQL&gt;&lt;FQL&gt;&lt;Q&gt;HUBB-US^P_BETA_LOCIDX(45723,45547,,"SPX")&lt;/Q&gt;&lt;R&gt;1&lt;/R&gt;&lt;C&gt;1&lt;/C&gt;&lt;D xsi:type="xsd:double"&gt;1.4912056&lt;/D&gt;&lt;/FQL&gt;&lt;FQL&gt;&lt;Q&gt;HUBB-US^P_BETA_LOCIDX(45722,45546,,"SPX")&lt;/Q&gt;&lt;R&gt;1&lt;/R&gt;&lt;C&gt;1&lt;/C&gt;&lt;D xsi:type="xsd:double"&gt;1.5042857&lt;/D&gt;&lt;/FQL&gt;&lt;FQL&gt;&lt;Q&gt;HUBB-US^P_BETA_LOCIDX(45721,45545,,"SPX")&lt;/Q&gt;&lt;R&gt;1&lt;/R&gt;&lt;C&gt;1&lt;/C&gt;&lt;D xsi:type="xsd:double"&gt;1.5196223&lt;/D&gt;&lt;/FQL&gt;&lt;FQL&gt;&lt;Q&gt;HUBB-US^P_BETA_LOCIDX(45720,45544,,"SPX")&lt;/Q&gt;&lt;R&gt;1&lt;/R&gt;&lt;C&gt;1&lt;/C&gt;&lt;D xsi:type="xsd:double"&gt;1.5370828&lt;/D&gt;&lt;/FQL&gt;&lt;FQL&gt;&lt;Q&gt;HUBB-US^P_BETA_LOCIDX(45719,45541,,"SPX")&lt;/Q&gt;&lt;R&gt;1&lt;/R&gt;&lt;C&gt;1&lt;/C&gt;&lt;D xsi:type="xsd:double"&gt;1.4902975999999999&lt;/D&gt;&lt;/FQL&gt;&lt;FQL&gt;&lt;Q&gt;HUBB-US^P_BETA_LOCIDX(45716,45540,,"SPX")&lt;/Q&gt;&lt;R&gt;1&lt;/R&gt;&lt;C&gt;1&lt;/C&gt;&lt;D xsi:type="xsd:double"&gt;1.4516456&lt;/D&gt;&lt;/FQL&gt;&lt;FQL&gt;&lt;Q&gt;HUBB-US^P_BETA_LOCIDX(45715,45539,,"SPX")&lt;/Q&gt;&lt;R&gt;1&lt;/R&gt;&lt;C&gt;1&lt;/C&gt;&lt;D xsi:type="xsd:double"&gt;1.4863784&lt;/D&gt;&lt;/FQL&gt;&lt;FQL&gt;&lt;Q&gt;HUBB-US^P_BETA_LOCIDX(45714,45538,,"SPX")&lt;/Q&gt;&lt;R&gt;1&lt;/R&gt;&lt;C&gt;1&lt;/C&gt;&lt;D xsi:type="xsd:double"&gt;1.5491625&lt;/D&gt;&lt;/FQL&gt;&lt;FQL&gt;&lt;Q&gt;HUBB-US^P_BETA_LOCIDX(45713,45534,,"SPX")&lt;/Q&gt;&lt;R&gt;1&lt;/R&gt;&lt;C&gt;1&lt;/C&gt;&lt;D xsi:type="xsd:double"&gt;1.5456841&lt;/D&gt;&lt;/FQL&gt;&lt;FQL&gt;&lt;Q&gt;HUBB-US^P_BETA_LOCIDX(45712,45533,,"SPX")&lt;/Q&gt;&lt;R&gt;1&lt;/R&gt;&lt;C&gt;1&lt;/C&gt;&lt;D xsi:type="xsd:double"&gt;1.5554007&lt;/D&gt;&lt;/FQL&gt;&lt;FQL&gt;&lt;Q&gt;HUBB-US^P_BETA_LOCIDX(45709,45532,,"SPX")&lt;/Q&gt;&lt;R&gt;1&lt;/R&gt;&lt;C&gt;1&lt;/C&gt;&lt;D xsi:type="xsd:double"&gt;1.5349481&lt;/D&gt;&lt;/FQL&gt;&lt;FQL&gt;&lt;Q&gt;HUBB-US^P_BETA_LOCIDX(45708,45531,,"SPX")&lt;/Q&gt;&lt;R&gt;1&lt;/R&gt;&lt;C&gt;1&lt;/C&gt;&lt;D xsi:type="xsd:double"&gt;1.5272155&lt;/D&gt;&lt;/FQL&gt;&lt;FQL&gt;&lt;Q&gt;HUBB-US^P_BETA_LOCIDX(45707,45530,,"SPX")&lt;/Q&gt;&lt;R&gt;1&lt;/R&gt;&lt;C&gt;1&lt;/C&gt;&lt;D xsi:type="xsd:double"&gt;1.5251075&lt;/D&gt;&lt;/FQL&gt;&lt;FQL&gt;&lt;Q&gt;HUBB-US^P_BETA_LOCIDX(45706,45527,,"SPX")&lt;/Q&gt;&lt;R&gt;1&lt;/R&gt;&lt;C&gt;1&lt;/C&gt;&lt;D xsi:type="xsd:double"&gt;1.5322953&lt;/D&gt;&lt;/FQL&gt;&lt;FQL&gt;&lt;Q&gt;HUBB-US^P_BETA_LOCIDX(45702,45526,,"SPX")&lt;/Q&gt;&lt;R&gt;1&lt;/R&gt;&lt;C&gt;1&lt;/C&gt;&lt;D xsi:type="xsd:double"&gt;1.5025173&lt;/D&gt;&lt;/FQL&gt;&lt;FQL&gt;&lt;Q&gt;HUBB-US^P_BETA_LOCIDX(45701,45525,,"SPX")&lt;/Q&gt;&lt;R&gt;1&lt;/R&gt;&lt;C&gt;1&lt;/C&gt;&lt;D xsi:type="xsd:double"&gt;1.5046265&lt;/D&gt;&lt;/FQL&gt;&lt;FQL&gt;&lt;Q&gt;HUBB-US^P_BETA_LOCIDX(45700,45524,,"SPX")&lt;/Q&gt;&lt;R&gt;1&lt;/R&gt;&lt;C&gt;1&lt;/C&gt;&lt;D xsi:type="xsd:double"&gt;1.5208126&lt;/D&gt;&lt;/FQL&gt;&lt;FQL&gt;&lt;Q&gt;HUBB-US^P_BETA_LOCIDX(45699,45523,,"SPX")&lt;/Q&gt;&lt;R&gt;1&lt;/R&gt;&lt;C&gt;1&lt;/C&gt;&lt;D xsi:type="xsd:double"&gt;1.5053698&lt;/D&gt;&lt;/FQL&gt;&lt;FQL&gt;&lt;Q&gt;HUBB-US^P_BETA_LOCIDX(45698,45520,,"SPX")&lt;/Q&gt;&lt;R&gt;1&lt;/R&gt;&lt;C&gt;1&lt;/C&gt;&lt;D xsi:type="xsd:double"&gt;1.5016041&lt;/D&gt;&lt;/FQL&gt;&lt;FQL&gt;&lt;Q&gt;HUBB-US^P_BETA_LOCIDX(45695,45519,,"SPX")&lt;/Q&gt;&lt;R&gt;1&lt;/R&gt;&lt;C&gt;1&lt;/C&gt;&lt;D xsi:type="xsd:double"&gt;1.4713751&lt;/D&gt;&lt;/FQL&gt;&lt;FQL&gt;&lt;Q&gt;HUBB-US^P_BETA_LOCIDX(45694,45518,,"SPX")&lt;/Q&gt;&lt;R&gt;1&lt;/R&gt;&lt;C&gt;1&lt;/C&gt;&lt;D xsi:type="xsd:double"&gt;1.5139284&lt;/D&gt;&lt;/FQL&gt;&lt;FQL&gt;&lt;Q&gt;HUBB-US^P_BETA_LOCIDX(45693,45517,,"SPX")&lt;/Q&gt;&lt;R&gt;1&lt;/R&gt;&lt;C&gt;1&lt;/C&gt;&lt;D xsi:type="xsd:double"&gt;1.4804146&lt;/D&gt;&lt;/FQL&gt;&lt;FQL&gt;&lt;Q&gt;HUBB-US^P_BETA_LOCIDX(45692,45516,,"SPX")&lt;/Q&gt;&lt;R&gt;1&lt;/R&gt;&lt;C&gt;1&lt;/C&gt;&lt;D xsi:type="xsd:double"&gt;1.484084&lt;/D&gt;&lt;/FQL&gt;&lt;FQL&gt;&lt;Q&gt;HUBB-US^P_BETA_LOCIDX(45691,45513,,"SPX")&lt;/Q&gt;&lt;R&gt;1&lt;/R&gt;&lt;C&gt;1&lt;/C&gt;&lt;D xsi:type="xsd:double"&gt;1.5078619&lt;/D&gt;&lt;/FQL&gt;&lt;FQL&gt;&lt;Q&gt;HUBB-US^P_BETA_LOCIDX(45688,45512,,"SPX")&lt;/Q&gt;&lt;R&gt;1&lt;/R&gt;&lt;C&gt;1&lt;/C&gt;&lt;D xsi:type="xsd:double"&gt;1.5029113&lt;/D&gt;</t>
        </r>
      </text>
    </comment>
    <comment ref="A29" authorId="0" shapeId="0" xr:uid="{8DE89124-1F1F-4C49-AADA-C9EBE6F5AB66}">
      <text>
        <r>
          <rPr>
            <b/>
            <sz val="9"/>
            <color indexed="81"/>
            <rFont val="Tahoma"/>
            <family val="2"/>
          </rPr>
          <t>&lt;/FQL&gt;&lt;FQL&gt;&lt;Q&gt;HUBB-US^P_BETA_LOCIDX(45687,45511,,"SPX")&lt;/Q&gt;&lt;R&gt;1&lt;/R&gt;&lt;C&gt;1&lt;/C&gt;&lt;D xsi:type="xsd:double"&gt;1.4956765&lt;/D&gt;&lt;/FQL&gt;&lt;FQL&gt;&lt;Q&gt;HUBB-US^P_BETA_LOCIDX(45686,45510,,"SPX")&lt;/Q&gt;&lt;R&gt;1&lt;/R&gt;&lt;C&gt;1&lt;/C&gt;&lt;D xsi:type="xsd:double"&gt;1.4630718&lt;/D&gt;&lt;/FQL&gt;&lt;FQL&gt;&lt;Q&gt;HUBB-US^P_BETA_LOCIDX(45685,45509,,"SPX")&lt;/Q&gt;&lt;R&gt;1&lt;/R&gt;&lt;C&gt;1&lt;/C&gt;&lt;D xsi:type="xsd:double"&gt;1.3432612&lt;/D&gt;&lt;/FQL&gt;&lt;FQL&gt;&lt;Q&gt;HUBB-US^P_BETA_LOCIDX(45684,45506,,"SPX")&lt;/Q&gt;&lt;R&gt;1&lt;/R&gt;&lt;C&gt;1&lt;/C&gt;&lt;D xsi:type="xsd:double"&gt;1.3774816&lt;/D&gt;&lt;/FQL&gt;&lt;FQL&gt;&lt;Q&gt;HUBB-US^P_BETA_LOCIDX(45681,45505,,"SPX")&lt;/Q&gt;&lt;R&gt;1&lt;/R&gt;&lt;C&gt;1&lt;/C&gt;&lt;D xsi:type="xsd:double"&gt;1.29881&lt;/D&gt;&lt;/FQL&gt;&lt;FQL&gt;&lt;Q&gt;HUBB-US^P_BETA_LOCIDX(45680,45504,,"SPX")&lt;/Q&gt;&lt;R&gt;1&lt;/R&gt;&lt;C&gt;1&lt;/C&gt;&lt;D xsi:type="xsd:double"&gt;1.3328888&lt;/D&gt;&lt;/FQL&gt;&lt;FQL&gt;&lt;Q&gt;HUBB-US^P_BETA_LOCIDX(45679,45503,,"SPX")&lt;/Q&gt;&lt;R&gt;1&lt;/R&gt;&lt;C&gt;1&lt;/C&gt;&lt;D xsi:type="xsd:double"&gt;1.3143983&lt;/D&gt;&lt;/FQL&gt;&lt;FQL&gt;&lt;Q&gt;HUBB-US^P_BETA_LOCIDX(45678,45502,,"SPX")&lt;/Q&gt;&lt;R&gt;1&lt;/R&gt;&lt;C&gt;1&lt;/C&gt;&lt;D xsi:type="xsd:double"&gt;1.3114549&lt;/D&gt;&lt;/FQL&gt;&lt;FQL&gt;&lt;Q&gt;HUBB-US^P_BETA_LOCIDX(45674,45499,,"SPX")&lt;/Q&gt;&lt;R&gt;1&lt;/R&gt;&lt;C&gt;1&lt;/C&gt;&lt;D xsi:type="xsd:double"&gt;1.315242&lt;/D&gt;&lt;/FQL&gt;&lt;FQL&gt;&lt;Q&gt;HUBB-US^P_BETA_LOCIDX(45673,45498,,"SPX")&lt;/Q&gt;&lt;R&gt;1&lt;/R&gt;&lt;C&gt;1&lt;/C&gt;&lt;D xsi:type="xsd:double"&gt;1.3194449&lt;/D&gt;&lt;/FQL&gt;&lt;FQL&gt;&lt;Q&gt;HUBB-US^P_BETA_LOCIDX(45672,45497,,"SPX")&lt;/Q&gt;&lt;R&gt;1&lt;/R&gt;&lt;C&gt;1&lt;/C&gt;&lt;D xsi:type="xsd:double"&gt;1.3908552&lt;/D&gt;&lt;/FQL&gt;&lt;FQL&gt;&lt;Q&gt;HUBB-US^P_BETA_LOCIDX(45671,45496,,"SPX")&lt;/Q&gt;&lt;R&gt;1&lt;/R&gt;&lt;C&gt;1&lt;/C&gt;&lt;D xsi:type="xsd:double"&gt;1.4329132&lt;/D&gt;&lt;/FQL&gt;&lt;FQL&gt;&lt;Q&gt;HUBB-US^P_BETA_LOCIDX(45670,45495,,"SPX")&lt;/Q&gt;&lt;R&gt;1&lt;/R&gt;&lt;C&gt;1&lt;/C&gt;&lt;D xsi:type="xsd:double"&gt;1.4403535&lt;/D&gt;&lt;/FQL&gt;&lt;FQL&gt;&lt;Q&gt;HUBB-US^P_BETA_LOCIDX(45667,45492,,"SPX")&lt;/Q&gt;&lt;R&gt;1&lt;/R&gt;&lt;C&gt;1&lt;/C&gt;&lt;D xsi:type="xsd:double"&gt;1.4304352&lt;/D&gt;&lt;/FQL&gt;&lt;FQL&gt;&lt;Q&gt;HUBB-US^P_BETA_LOCIDX(45665,45491,,"SPX")&lt;/Q&gt;&lt;R&gt;1&lt;/R&gt;&lt;C&gt;1&lt;/C&gt;&lt;D xsi:type="xsd:double"&gt;1.397964&lt;/D&gt;&lt;/FQL&gt;&lt;FQL&gt;&lt;Q&gt;HUBB-US^P_BETA_LOCIDX(45664,45490,,"SPX")&lt;/Q&gt;&lt;R&gt;1&lt;/R&gt;&lt;C&gt;1&lt;/C&gt;&lt;D xsi:type="xsd:double"&gt;1.4602706&lt;/D&gt;&lt;/FQL&gt;&lt;FQL&gt;&lt;Q&gt;HUBB-US^P_BETA_LOCIDX(45663,45489,,"SPX")&lt;/Q&gt;&lt;R&gt;1&lt;/R&gt;&lt;C&gt;1&lt;/C&gt;&lt;D xsi:type="xsd:double"&gt;1.4812855&lt;/D&gt;&lt;/FQL&gt;&lt;FQL&gt;&lt;Q&gt;HUBB-US^P_BETA_LOCIDX(45660,45488,,"SPX")&lt;/Q&gt;&lt;R&gt;1&lt;/R&gt;&lt;C&gt;1&lt;/C&gt;&lt;D xsi:type="xsd:double"&gt;1.4700898&lt;/D&gt;&lt;/FQL&gt;&lt;FQL&gt;&lt;Q&gt;HUBB-US^P_BETA_LOCIDX(45659,45485,,"SPX")&lt;/Q&gt;&lt;R&gt;1&lt;/R&gt;&lt;C&gt;1&lt;/C&gt;&lt;D xsi:type="xsd:double"&gt;1.459094&lt;/D&gt;&lt;/FQL&gt;&lt;FQL&gt;&lt;Q&gt;HUBB-US^P_BETA_LOCIDX(45657,45484,,"SPX")&lt;/Q&gt;&lt;R&gt;1&lt;/R&gt;&lt;C&gt;1&lt;/C&gt;&lt;D xsi:type="xsd:double"&gt;1.4404038&lt;/D&gt;&lt;/FQL&gt;&lt;FQL&gt;&lt;Q&gt;HUBB-US^P_BETA_LOCIDX(45656,45483,,"SPX")&lt;/Q&gt;&lt;R&gt;1&lt;/R&gt;&lt;C&gt;1&lt;/C&gt;&lt;D xsi:type="xsd:double"&gt;1.4389291&lt;/D&gt;&lt;/FQL&gt;&lt;FQL&gt;&lt;Q&gt;HUBB-US^P_BETA_LOCIDX(45653,45482,,"SPX")&lt;/Q&gt;&lt;R&gt;1&lt;/R&gt;&lt;C&gt;1&lt;/C&gt;&lt;D xsi:type="xsd:double"&gt;1.445081&lt;/D&gt;&lt;/FQL&gt;&lt;FQL&gt;&lt;Q&gt;HUBB-US^P_BETA_LOCIDX(45652,45481,,"SPX")&lt;/Q&gt;&lt;R&gt;1&lt;/R&gt;&lt;C&gt;1&lt;/C&gt;&lt;D xsi:type="xsd:double"&gt;1.4437674&lt;/D&gt;&lt;/FQL&gt;&lt;FQL&gt;&lt;Q&gt;HUBB-US^P_BETA_LOCIDX(45650,45478,,"SPX")&lt;/Q&gt;&lt;R&gt;1&lt;/R&gt;&lt;C&gt;1&lt;/C&gt;&lt;D xsi:type="xsd:double"&gt;1.4413493&lt;/D&gt;&lt;/FQL&gt;&lt;FQL&gt;&lt;Q&gt;HUBB-US^P_BETA_LOCIDX(45649,45476,,"SPX")&lt;/Q&gt;&lt;R&gt;1&lt;/R&gt;&lt;C&gt;1&lt;/C&gt;&lt;D xsi:type="xsd:double"&gt;1.4465144&lt;/D&gt;&lt;/FQL&gt;&lt;FQL&gt;&lt;Q&gt;HUBB-US^P_BETA_LOCIDX(45646,45475,,"SPX")&lt;/Q&gt;&lt;R&gt;1&lt;/R&gt;&lt;C&gt;1&lt;/C&gt;&lt;D xsi:type="xsd:double"&gt;1.4603494&lt;/D&gt;&lt;/FQL&gt;&lt;FQL&gt;&lt;Q&gt;HUBB-US^P_BETA_LOCIDX(45645,45474,,"SPX")&lt;/Q&gt;&lt;R&gt;1&lt;/R&gt;&lt;C&gt;1&lt;/C&gt;&lt;D xsi:type="xsd:double"&gt;1.4674848&lt;/D&gt;&lt;/FQL&gt;&lt;FQL&gt;&lt;Q&gt;HUBB-US^P_BETA_LOCIDX(45644,45471,,"SPX")&lt;/Q&gt;&lt;R&gt;1&lt;/R&gt;&lt;C&gt;1&lt;/C&gt;&lt;D xsi:type="xsd:double"&gt;1.4703112&lt;/D&gt;&lt;/FQL&gt;&lt;FQL&gt;&lt;Q&gt;HUBB-US^P_BETA_LOCIDX(45643,45470,,"SPX")&lt;/Q&gt;&lt;R&gt;1&lt;/R&gt;&lt;C&gt;1&lt;/C&gt;&lt;D xsi:type="xsd:double"&gt;1.5072025&lt;/D&gt;&lt;/FQL&gt;&lt;FQL&gt;&lt;Q&gt;HUBB-US^P_BETA_LOCIDX(45642,45469,,"SPX")&lt;/Q&gt;&lt;R&gt;1&lt;/R&gt;&lt;C&gt;1&lt;/C&gt;&lt;D xsi:type="xsd:double"&gt;1.489491&lt;/D&gt;&lt;/FQL&gt;&lt;FQL&gt;&lt;Q&gt;HUBB-US^P_BETA_LOCIDX(45639,45468,,"SPX")&lt;/Q&gt;&lt;R&gt;1&lt;/R&gt;&lt;C&gt;1&lt;/C&gt;&lt;D xsi:type="xsd:double"&gt;1.486376&lt;/D&gt;&lt;/FQL&gt;&lt;FQL&gt;&lt;Q&gt;HUBB-US^P_BETA_LOCIDX(45638,45467,,"SPX")&lt;/Q&gt;&lt;R&gt;1&lt;/R&gt;&lt;C&gt;1&lt;/C&gt;&lt;D xsi:type="xsd:double"&gt;1.4815192&lt;/D&gt;&lt;/FQL&gt;&lt;FQL&gt;&lt;Q&gt;HUBB-US^P_BETA_LOCIDX(45637,45464,,"SPX")&lt;/Q&gt;&lt;R&gt;1&lt;/R&gt;&lt;C&gt;1&lt;/C&gt;&lt;D xsi:type="xsd:double"&gt;1.4857965&lt;/D&gt;&lt;/FQL&gt;&lt;FQL&gt;&lt;Q&gt;HUBB-US^P_BETA_LOCIDX(45636,45463,,"SPX")&lt;/Q&gt;&lt;R&gt;1&lt;/R&gt;&lt;C&gt;1&lt;/C&gt;&lt;D xsi:type="xsd:double"&gt;1.4868125&lt;/D&gt;&lt;/FQL&gt;&lt;FQL&gt;&lt;Q&gt;HUBB-US^P_BETA_LOCIDX(45635,45461,,"SPX")&lt;/Q&gt;&lt;R&gt;1&lt;/R&gt;&lt;C&gt;1&lt;/C&gt;&lt;D xsi:type="xsd:double"&gt;1.487434&lt;/D&gt;&lt;/FQL&gt;&lt;FQL&gt;&lt;Q&gt;HUBB-US^P_BETA_LOCIDX(45632,45460,,"SPX")&lt;/Q&gt;&lt;R&gt;1&lt;/R&gt;&lt;C&gt;1&lt;/C&gt;&lt;D xsi:type="xsd:double"&gt;1.4825637&lt;/D&gt;&lt;/FQL&gt;&lt;FQL&gt;&lt;Q&gt;HUBB-US^P_BETA_LOCIDX(45631,45457,,"SPX")&lt;/Q&gt;&lt;R&gt;1&lt;/R&gt;&lt;C&gt;1&lt;/C&gt;&lt;D xsi:type="xsd:double"&gt;1.4893138&lt;/D&gt;&lt;/FQL&gt;&lt;FQL&gt;&lt;Q&gt;HUBB-US^P_BETA_LOCIDX(45630,45456,,"SPX")&lt;/Q&gt;&lt;R&gt;1&lt;/R&gt;&lt;C&gt;1&lt;/C&gt;&lt;D xsi:type="xsd:double"&gt;1.4885501&lt;/D&gt;&lt;/FQL&gt;&lt;FQL&gt;&lt;Q&gt;HUBB-US^P_BETA_LOCIDX(45629,45455,,"SPX")&lt;/Q&gt;&lt;R&gt;1&lt;/R&gt;&lt;C&gt;1&lt;/C&gt;&lt;D xsi:type="xsd:double"&gt;1.504892&lt;/D&gt;&lt;/FQL&gt;&lt;FQL&gt;&lt;Q&gt;HUBB-US^P_BETA_LOCIDX(45628,45454,,"SPX")&lt;/Q&gt;&lt;R&gt;1&lt;/R&gt;&lt;C&gt;1&lt;/C&gt;&lt;D xsi:type="xsd:double"&gt;1.5033602&lt;/D&gt;&lt;/FQL&gt;&lt;FQL&gt;&lt;Q&gt;HUBB-US^P_BETA_LOCIDX(45625,45453,,"SPX")&lt;/Q&gt;&lt;R&gt;1&lt;/R&gt;&lt;C&gt;1&lt;/C&gt;&lt;D xsi:type="xsd:double"&gt;1.5053787&lt;/D&gt;&lt;/FQL&gt;&lt;FQL&gt;&lt;Q&gt;HUBB-US^P_BETA_LOCIDX(45623,45450,,"SPX")&lt;/Q&gt;&lt;R&gt;1&lt;/R&gt;&lt;C&gt;1&lt;/C&gt;&lt;D xsi:type="xsd:double"&gt;1.5079153&lt;/D&gt;&lt;/FQL&gt;&lt;FQL&gt;&lt;Q&gt;HUBB-US^P_BETA_LOCIDX(45622,45449,,"SPX")&lt;/Q&gt;&lt;R&gt;1&lt;/R&gt;&lt;C&gt;1&lt;/C&gt;&lt;D xsi:type="xsd:double"&gt;1.5141851&lt;/D&gt;&lt;/FQL&gt;&lt;FQL&gt;&lt;Q&gt;HUBB-US^P_BETA_LOCIDX(45621,45448,,"SPX")&lt;/Q&gt;&lt;R&gt;1&lt;/R&gt;&lt;C&gt;1&lt;/C&gt;&lt;D xsi:type="xsd:double"&gt;1.532537&lt;/D&gt;&lt;/FQL&gt;&lt;FQL&gt;&lt;Q&gt;HUBB-US^P_BETA_LOCIDX(45618,45447,,"SPX")&lt;/Q&gt;&lt;R&gt;1&lt;/R&gt;&lt;C&gt;1&lt;/C&gt;&lt;D xsi:type="xsd:double"&gt;1.5301766&lt;/D&gt;&lt;/FQL&gt;&lt;FQL&gt;&lt;Q&gt;HUBB-US^P_BETA_LOCIDX(45617,45446,,"SPX")&lt;/Q&gt;&lt;R&gt;1&lt;/R&gt;&lt;C&gt;1&lt;/C&gt;&lt;D xsi:type="xsd:double"&gt;1.5289466&lt;/D&gt;&lt;/FQL&gt;&lt;FQL&gt;&lt;Q&gt;HUBB-US^P_BETA_LOCIDX(45616,45443,,"SPX")&lt;/Q&gt;&lt;R&gt;1&lt;/R&gt;&lt;C&gt;1&lt;/C&gt;&lt;D xsi:type="xsd:double"&gt;1.50784&lt;/D&gt;&lt;/FQL&gt;&lt;FQL&gt;&lt;Q&gt;HUBB-US^P_BETA_LOCIDX(45615,45442,,"SPX")&lt;/Q&gt;&lt;R&gt;1&lt;/R&gt;&lt;C&gt;1&lt;/C&gt;&lt;D xsi:type="xsd:double"&gt;1.4961585&lt;/D&gt;&lt;/FQL&gt;&lt;FQL&gt;&lt;Q&gt;HUBB-US^P_BETA_LOCIDX(45614,45441,,"SPX")&lt;/Q&gt;&lt;R&gt;1&lt;/R&gt;&lt;C&gt;1&lt;/C&gt;&lt;D xsi:type="xsd:double"&gt;1.501679&lt;/D&gt;&lt;/FQL&gt;&lt;FQL&gt;&lt;Q&gt;HUBB-US^P_BETA_LOCIDX(45611,45440,,"SPX")&lt;/Q&gt;&lt;R&gt;1&lt;/R&gt;&lt;C&gt;1&lt;/C&gt;&lt;D xsi:type="xsd:double"&gt;1.5005313&lt;/D&gt;&lt;/FQL&gt;&lt;FQL&gt;&lt;Q&gt;HUBB-US^P_BETA_LOCIDX(45610,45436,,"SPX")&lt;/Q&gt;&lt;R&gt;1&lt;/R&gt;&lt;C&gt;1&lt;/C&gt;&lt;D xsi:type="xsd:double"&gt;1.538657&lt;/D&gt;&lt;/FQL&gt;&lt;FQL&gt;&lt;Q&gt;HUBB-US^P_BETA_LOCIDX(45609,45435,,"SPX")&lt;/Q&gt;&lt;R&gt;1&lt;/R&gt;&lt;C&gt;1&lt;/C&gt;&lt;D xsi:type="xsd:double"&gt;1.5122863&lt;/D&gt;&lt;/FQL&gt;&lt;FQL&gt;&lt;Q&gt;HUBB-US^P_BETA_LOCIDX(45608,45434,,"SPX")&lt;/Q&gt;&lt;R&gt;1&lt;/R&gt;&lt;C&gt;1&lt;/C&gt;&lt;D xsi:type="xsd:double"&gt;1.5137407&lt;/D&gt;&lt;/FQL&gt;&lt;FQL&gt;&lt;Q&gt;HUBB-US^P_BETA_LOCIDX(45607,45433,,"SPX")&lt;/Q&gt;&lt;R&gt;1&lt;/R&gt;&lt;C&gt;1&lt;/C&gt;&lt;D xsi:type="xsd:double"&gt;1.5044897&lt;/D&gt;&lt;/FQL&gt;&lt;FQL&gt;&lt;Q&gt;HUBB-US^P_BETA_LOCIDX(45604,45432,,"SPX")&lt;/Q&gt;&lt;R&gt;1&lt;/R&gt;&lt;C&gt;1&lt;/C&gt;&lt;D xsi:type="xsd:double"&gt;1.5042635&lt;/D&gt;&lt;/FQL&gt;&lt;FQL&gt;&lt;Q&gt;HUBB-US^P_BETA_LOCIDX(45603,45429,,"SPX")&lt;/Q&gt;&lt;R&gt;1&lt;/R&gt;&lt;C&gt;1&lt;/C&gt;&lt;D xsi:type="xsd:double"&gt;1.5054318&lt;/D&gt;&lt;/FQL&gt;&lt;FQL&gt;&lt;Q&gt;HUBB-US^P_BETA_LOCIDX(45602,45428,,"SPX")&lt;/Q&gt;&lt;R&gt;1&lt;/R&gt;&lt;C&gt;1&lt;/C&gt;&lt;D xsi:type="xsd:double"&gt;1.5321501&lt;/D&gt;&lt;/FQL&gt;&lt;FQL&gt;&lt;Q&gt;HUBB-US^P_BETA_LOCIDX(45601,45427,,"SPX")&lt;/Q&gt;&lt;R&gt;1&lt;/R&gt;&lt;C&gt;1&lt;/C&gt;&lt;D xsi:type="xsd:double"&gt;1.4175404&lt;/D&gt;&lt;/FQL&gt;&lt;FQL&gt;&lt;Q&gt;HUBB-US^P_BETA_LOCIDX(45600,45426,,"SPX")&lt;/Q&gt;&lt;R&gt;1&lt;/R&gt;&lt;C&gt;1&lt;/C&gt;&lt;D xsi:type="xsd:double"&gt;1.3885732&lt;/D&gt;&lt;/FQL&gt;&lt;FQL&gt;&lt;Q&gt;HUBB-US^P_BETA_LOCIDX(45597,45425,,"SPX")&lt;/Q&gt;&lt;R&gt;1&lt;/R&gt;&lt;C&gt;1&lt;/C&gt;&lt;D xsi:type="xsd:double"&gt;1.3912153&lt;/D&gt;&lt;/FQL&gt;&lt;FQL&gt;&lt;Q&gt;HUBB-US^P_BETA_LOCIDX(45596,45422,,"SPX")&lt;/Q&gt;&lt;R&gt;1&lt;/R&gt;&lt;C&gt;1&lt;/C&gt;&lt;D xsi:type="xsd:double"&gt;1.3938679&lt;/D&gt;&lt;/FQL&gt;&lt;FQL&gt;&lt;Q&gt;HUBB-US^P_BETA_LOCIDX(45595,45421,,"SPX")&lt;/Q&gt;&lt;R&gt;1&lt;/R&gt;&lt;C&gt;1&lt;/C&gt;&lt;D xsi:type="xsd:double"&gt;1.4469416&lt;/D&gt;&lt;/FQL&gt;&lt;FQL&gt;&lt;Q&gt;HUBB-US^P_BETA_LOCIDX(45594,45420,,"SPX")&lt;/Q&gt;&lt;R&gt;1&lt;/R&gt;&lt;C&gt;1&lt;/C&gt;&lt;D xsi:type="xsd:double"&gt;1.4381062&lt;/D&gt;&lt;/FQL&gt;&lt;FQL&gt;&lt;Q&gt;HUBB-US^P_BETA_LOCIDX(45593,45419,,"SPX")&lt;/Q&gt;&lt;R&gt;1&lt;/R&gt;&lt;C&gt;1&lt;/C&gt;&lt;D xsi:type="xsd:double"&gt;1.4404408&lt;/D&gt;&lt;/FQL&gt;&lt;FQL&gt;&lt;Q&gt;HUBB-US^P_BETA_LOCIDX(45590,45418,,"SPX")&lt;/Q&gt;&lt;R&gt;1&lt;/R&gt;&lt;C&gt;1&lt;/C&gt;&lt;D xsi:type="xsd:double"&gt;1.4465071&lt;/D&gt;&lt;/FQL&gt;&lt;FQL&gt;&lt;Q&gt;HUBB-US^P_BETA_LOCIDX(45589,45415,,"SPX")&lt;/Q&gt;&lt;R&gt;1&lt;/R&gt;&lt;C&gt;1&lt;/C&gt;&lt;D xsi:type="xsd:double"&gt;1.4450275&lt;/D&gt;&lt;/FQL&gt;&lt;FQL&gt;&lt;Q&gt;HUBB-US^P_BETA_LOCIDX(45588,45414,,"SPX")&lt;/Q&gt;&lt;R&gt;1&lt;/R&gt;&lt;C&gt;1&lt;/C&gt;&lt;D xsi:type="xsd:double"&gt;1.4300872&lt;/D&gt;&lt;/FQL&gt;&lt;FQL&gt;&lt;Q&gt;HUBB-US^P_BETA_LOCIDX(45587,45413,,"SPX")&lt;/Q&gt;&lt;R&gt;1&lt;/R&gt;&lt;C&gt;1&lt;/C&gt;&lt;D xsi:type="xsd:double"&gt;1.4294051&lt;/D&gt;&lt;/FQL&gt;&lt;FQL&gt;&lt;Q&gt;HUBB-US^P_BETA_LOCIDX(45586,45412,,"SPX")&lt;/Q&gt;&lt;R&gt;1&lt;/R&gt;&lt;C&gt;1&lt;/C&gt;&lt;D xsi:type="xsd:double"&gt;1.5636718&lt;/D&gt;&lt;/FQL&gt;&lt;FQL&gt;&lt;Q&gt;HUBB-US^P_BETA_LOCIDX(45583,45411,,"SPX")&lt;/Q&gt;&lt;R&gt;1&lt;/R&gt;&lt;C&gt;1&lt;/C&gt;&lt;D xsi:type="xsd:double"&gt;1.5636011&lt;/D&gt;&lt;/FQL&gt;&lt;FQL&gt;&lt;Q&gt;HUBB-US^P_BETA_LOCIDX(45582,45408,,"SPX")&lt;/Q&gt;&lt;R&gt;1&lt;/R&gt;&lt;C&gt;1&lt;/C&gt;&lt;D xsi:type="xsd:double"&gt;1.563546&lt;/D&gt;&lt;/FQL&gt;&lt;FQL&gt;&lt;Q&gt;HUBB-US^P_BETA_LOCIDX(45581,45407,,"SPX")&lt;/Q&gt;&lt;R&gt;1&lt;/R&gt;&lt;C&gt;1&lt;/C&gt;&lt;D xsi:type="xsd:double"&gt;1.5531161&lt;/D&gt;&lt;/FQL&gt;&lt;FQL&gt;&lt;Q&gt;HUBB-US^P_BETA_LOCIDX(45580,45406,,"SPX")&lt;/Q&gt;&lt;R&gt;1&lt;/R&gt;&lt;C&gt;1&lt;/C&gt;&lt;D xsi:type="xsd:double"&gt;1.553262&lt;/D&gt;&lt;/FQL&gt;&lt;FQL&gt;&lt;Q&gt;HUBB-US^P_BETA_LOCIDX(45579,45405,,"SPX")&lt;/Q&gt;&lt;R&gt;1&lt;/R&gt;&lt;C&gt;1&lt;/C&gt;&lt;D xsi:type="xsd:double"&gt;1.5466485&lt;/D&gt;&lt;/FQL&gt;&lt;FQL&gt;&lt;Q&gt;HUBB-US^P_BETA_LOCIDX(45576,45404,,"SPX")&lt;/Q&gt;&lt;R&gt;1&lt;/R&gt;&lt;C&gt;1&lt;/C&gt;&lt;D xsi:type="xsd:double"&gt;1.5430775&lt;/D&gt;&lt;/FQL&gt;&lt;FQL&gt;&lt;Q&gt;HUBB-US^P_BETA_LOCIDX(45575,45401,,"SPX")&lt;/Q&gt;&lt;R&gt;1&lt;/R&gt;&lt;C&gt;1&lt;/C&gt;&lt;D xsi:type="xsd:double"&gt;1.5275413&lt;/D&gt;&lt;/FQL&gt;&lt;FQL&gt;&lt;Q&gt;HUBB-US^P_BETA_LOCIDX(45574,45400,,"SPX")&lt;/Q&gt;&lt;R&gt;1&lt;/R&gt;&lt;C&gt;1&lt;/C&gt;&lt;D xsi:type="xsd:double"&gt;1.5209166&lt;/D&gt;&lt;/FQL&gt;&lt;FQL&gt;&lt;Q&gt;HUBB-US^P_BETA_LOCIDX(45573,45399,,"SPX")&lt;/Q&gt;&lt;R&gt;1&lt;/R&gt;&lt;C&gt;1&lt;/C&gt;&lt;D xsi:type="xsd:double"&gt;1.5182873&lt;/D&gt;&lt;/FQL&gt;&lt;FQL&gt;&lt;Q&gt;HUBB-US^P_BETA_LOCIDX(45572,45398,,"SPX")&lt;/Q&gt;&lt;R&gt;1&lt;/R&gt;&lt;C&gt;1&lt;/C&gt;&lt;D xsi:type="xsd:double"&gt;1.5308896&lt;/D&gt;&lt;/FQL&gt;&lt;FQL&gt;&lt;Q&gt;HUBB-US^P_BETA_LOCIDX(45569,45397,,"SPX")&lt;/Q&gt;&lt;R&gt;1&lt;/R&gt;&lt;C&gt;1&lt;/C&gt;&lt;D xsi:type="xsd:double"&gt;1.5427836&lt;/D&gt;&lt;/FQL&gt;&lt;FQL&gt;&lt;Q&gt;HUBB-US^P_BETA_LOCIDX(45568,45394,,"SPX")&lt;/Q&gt;&lt;R&gt;1&lt;/R&gt;&lt;C&gt;1&lt;/C&gt;&lt;D xsi:type="xsd:double"&gt;1.5251765&lt;/D&gt;&lt;/FQL&gt;&lt;FQL&gt;&lt;Q&gt;HUBB-US^P_BETA_LOCIDX(45567,45393,,"SPX")&lt;/Q&gt;&lt;R&gt;1&lt;/R&gt;&lt;C&gt;1&lt;/C&gt;&lt;D xsi:type="xsd:double"&gt;1.5154947&lt;/D&gt;&lt;/FQL&gt;&lt;FQL&gt;&lt;Q&gt;HUBB-US^P_BETA_LOCIDX(45566,45392,,"SPX")&lt;/Q&gt;&lt;R&gt;1&lt;/R&gt;&lt;C&gt;1&lt;/C&gt;&lt;D xsi:type="xsd:double"&gt;1.504562&lt;/D&gt;&lt;/FQL&gt;&lt;FQL&gt;&lt;Q&gt;HUBB-US^P_BETA_LOCIDX(45565,45391,,"SPX")&lt;/Q&gt;&lt;R&gt;1&lt;/R&gt;&lt;C&gt;1&lt;/C&gt;&lt;D xsi:type="xsd:double"&gt;1.5176873&lt;/D&gt;&lt;/FQL&gt;&lt;FQL&gt;&lt;Q&gt;HUBB-US^P_BETA_LOCIDX(45562,45390,,"SPX")&lt;/Q&gt;&lt;R&gt;1&lt;/R&gt;&lt;C&gt;1&lt;/C&gt;&lt;D xsi:type="xsd:double"&gt;1.5202231&lt;/D&gt;&lt;/FQL&gt;&lt;FQL&gt;&lt;Q&gt;HUBB-US^P_BETA_LOCIDX(45561,45387,,"SPX")&lt;/Q&gt;&lt;R&gt;1&lt;/R&gt;&lt;C&gt;1&lt;/C&gt;&lt;D xsi:type="xsd:double"&gt;1.5153548&lt;/D&gt;&lt;/FQL&gt;&lt;FQL&gt;&lt;Q&gt;HUBB-US^P_BETA_LOCIDX(45560,45386,,"SPX")&lt;/Q&gt;&lt;R&gt;1&lt;/R&gt;&lt;C&gt;1&lt;/C&gt;&lt;D xsi:type="xsd:double"&gt;1.5261587&lt;/D&gt;&lt;/FQL&gt;&lt;FQL&gt;&lt;Q&gt;HUBB-US^P_BETA_LOCIDX(45559,45385,,"SPX")&lt;/Q&gt;&lt;R&gt;1&lt;/R&gt;&lt;C&gt;1&lt;/C&gt;&lt;D xsi:type="xsd:double"&gt;1.5273932&lt;/D&gt;&lt;/FQL&gt;&lt;FQL&gt;&lt;Q&gt;HUBB-US^P_BETA_LOCIDX(45558,45384,,"SPX")&lt;/Q&gt;&lt;R&gt;1&lt;/R&gt;&lt;C&gt;1&lt;/C&gt;&lt;D xsi:type="xsd:double"&gt;1.5208806&lt;/D&gt;&lt;/FQL&gt;&lt;FQL&gt;&lt;Q&gt;HUBB-US^P_BETA_LOCIDX(45555,45383,,"SPX")&lt;/Q&gt;&lt;R&gt;1&lt;/R&gt;&lt;C&gt;1&lt;/C&gt;&lt;D xsi:type="xsd:double"&gt;1.5189687&lt;/D&gt;&lt;/FQL&gt;&lt;FQL&gt;&lt;Q&gt;HUBB-US^P_BETA_LOCIDX(45554,45379,,"SPX")&lt;/Q&gt;&lt;R&gt;1&lt;/R&gt;&lt;C&gt;1&lt;/C&gt;&lt;D xsi:type="xsd:double"&gt;1.5225523&lt;/D&gt;&lt;/FQL&gt;&lt;FQL&gt;&lt;Q&gt;HUBB-US^P_BETA_LOCIDX(45553,45378,,"SPX")&lt;/Q&gt;&lt;R&gt;1&lt;/R&gt;&lt;C&gt;1&lt;/C&gt;&lt;D xsi:type="xsd:double"&gt;1.5017451&lt;/D&gt;&lt;/FQL&gt;&lt;FQL&gt;&lt;Q&gt;HUBB-US^P_BETA_LOCIDX(45552,45377,,"SPX")&lt;/Q&gt;&lt;R&gt;1&lt;/R&gt;&lt;C&gt;1&lt;/C&gt;&lt;D xsi:type="xsd:double"&gt;1.5002519&lt;/D&gt;&lt;/FQL&gt;&lt;FQL&gt;&lt;Q&gt;HUBB-US^P_BETA_LOCIDX(45551,45376,,"SPX")&lt;/Q&gt;&lt;R&gt;1&lt;/R&gt;&lt;C&gt;1&lt;/C&gt;&lt;D xsi:type="xsd:double"&gt;1.5030783&lt;/D&gt;&lt;/FQL&gt;&lt;FQL&gt;&lt;Q&gt;HUBB-US^P_BETA_LOCIDX(45548,45373,,"SPX")&lt;/Q&gt;&lt;R&gt;1&lt;/R&gt;&lt;C&gt;1&lt;/C&gt;&lt;D xsi:type="xsd:double"&gt;1.5000962&lt;/D&gt;&lt;/FQL&gt;&lt;FQL&gt;&lt;Q&gt;HUBB-US^P_BETA_LOCIDX(45547,45372,,"SPX")&lt;/Q&gt;&lt;R&gt;1&lt;/R&gt;&lt;C&gt;1&lt;/C&gt;&lt;D xsi:type="xsd:double"&gt;1.5015333&lt;/D&gt;&lt;/FQL&gt;&lt;FQL&gt;&lt;Q&gt;HUBB-US^P_BETA_LOCIDX(45546,45371,,"SPX")&lt;/Q&gt;&lt;R&gt;1&lt;/R&gt;&lt;C&gt;1&lt;/C&gt;&lt;D xsi:type="xsd:double"&gt;1.5088842&lt;/D&gt;&lt;/FQL&gt;&lt;FQL&gt;&lt;Q&gt;HUBB-US^P_BETA_LOCIDX(45545,45370,,"SPX")&lt;/Q&gt;&lt;R&gt;1&lt;/R&gt;&lt;C&gt;1&lt;/C&gt;&lt;D xsi:type="xsd:double"&gt;1.4793254&lt;/D&gt;&lt;/FQL&gt;&lt;FQL&gt;&lt;Q&gt;HUBB-US^P_BETA_LOCIDX(45544,45369,,"SPX")&lt;/Q&gt;&lt;R&gt;1&lt;/R&gt;&lt;C&gt;1&lt;/C&gt;&lt;D xsi:type="xsd:double"&gt;1.4813498&lt;/D&gt;&lt;/FQL&gt;&lt;FQL&gt;&lt;Q&gt;HUBB-US^P_BETA_LOCIDX(45541,45366,,"SPX")&lt;/Q&gt;&lt;R&gt;1&lt;/R&gt;&lt;C&gt;1&lt;/C&gt;&lt;D xsi:type="xsd:double"&gt;1.4819777&lt;/D&gt;&lt;/FQL&gt;&lt;FQL&gt;&lt;Q&gt;HUBB-US^P_BETA_LOCIDX(45540,45365,,"SPX")&lt;/Q&gt;&lt;R&gt;1&lt;/R&gt;&lt;C&gt;1&lt;/C&gt;&lt;D xsi:type="xsd:double"&gt;1.5369235&lt;/D&gt;&lt;/FQL&gt;&lt;FQL&gt;&lt;Q&gt;HUBB-US^P_BETA_LOCIDX(45539,45364,,"SPX")&lt;/Q&gt;&lt;R&gt;1&lt;/R&gt;&lt;C&gt;1&lt;/C&gt;&lt;D xsi:type="xsd:double"&gt;1.5312885&lt;/D&gt;&lt;/FQL&gt;&lt;FQL&gt;&lt;Q&gt;HUBB-US^P_BETA_LOCIDX(45538,45363,,"SPX")&lt;/Q&gt;&lt;R&gt;1&lt;/R&gt;&lt;C&gt;1&lt;/C&gt;&lt;D xsi:type="xsd:double"&gt;1.539796&lt;/D&gt;&lt;/FQL&gt;&lt;FQL&gt;&lt;Q&gt;HUBB-US^P_BETA_LOCIDX(45534,45362,,"SPX")&lt;/Q&gt;&lt;R&gt;1&lt;/R&gt;&lt;C&gt;1&lt;/C&gt;&lt;D xsi:type="xsd:double"&gt;1.4910426&lt;/D&gt;&lt;/FQL&gt;&lt;FQL&gt;&lt;Q&gt;HUBB-US^P_BETA_LOCIDX(45533,45359,,"SPX")&lt;/Q&gt;&lt;R&gt;1&lt;/R&gt;&lt;C&gt;1&lt;/C&gt;&lt;D xsi:type="xsd:double"&gt;1.4845705&lt;/D&gt;&lt;/FQL&gt;&lt;FQL&gt;&lt;Q&gt;HUBB-US^P_BETA_LOCIDX(45532,45358,,"SPX")&lt;/Q&gt;&lt;R&gt;1&lt;/R&gt;&lt;C&gt;1&lt;/C&gt;&lt;D xsi:type="xsd:double"&gt;1.4845496&lt;/D&gt;&lt;/FQL&gt;&lt;FQL&gt;&lt;Q&gt;HUBB-US^P_BETA_LOCIDX(45531,45357,,"SPX")&lt;/Q&gt;&lt;R&gt;1&lt;/R&gt;&lt;C&gt;1&lt;/C&gt;&lt;D xsi:type="xsd:double"&gt;1.5018637&lt;/D&gt;&lt;/FQL&gt;&lt;FQL&gt;&lt;Q&gt;HUBB-US^P_BETA_LOCIDX(45530,45356,,"SPX")&lt;/Q&gt;&lt;R&gt;1&lt;/R&gt;&lt;C&gt;1&lt;/C&gt;&lt;D xsi:type="xsd:double"&gt;1.5039918&lt;/D&gt;&lt;/FQL&gt;&lt;FQL&gt;&lt;Q&gt;HUBB-US^P_BETA_LOCIDX(45527,45355,,"SPX")&lt;/Q&gt;&lt;R&gt;1&lt;/R&gt;&lt;C&gt;1&lt;/C&gt;&lt;D xsi:type="xsd:double"&gt;1.5033706&lt;/D&gt;&lt;/FQL&gt;&lt;FQL&gt;&lt;Q&gt;HUBB-US^P_BETA_LOCIDX(45526,45352,,"SPX")&lt;/Q&gt;&lt;R&gt;1&lt;/R&gt;&lt;C&gt;1&lt;/C&gt;&lt;D xsi:type="xsd:double"&gt;1.4979372&lt;/D&gt;&lt;/FQL&gt;&lt;FQL&gt;&lt;Q&gt;HUBB-US^P_BETA_LOCIDX(45525,45351,,"SPX")&lt;/Q&gt;&lt;R&gt;1&lt;/R&gt;&lt;C&gt;1&lt;/C&gt;&lt;D xsi:type="xsd:double"&gt;1.5350536&lt;/D&gt;&lt;/FQL&gt;&lt;FQL&gt;&lt;Q&gt;HUBB-US^P_BETA_LOCIDX(45524,45350,,"SPX")&lt;/Q&gt;&lt;R&gt;1&lt;/R&gt;&lt;C&gt;1&lt;/C&gt;&lt;D xsi:type="xsd:double"&gt;1.528292&lt;/D&gt;&lt;/FQL&gt;&lt;FQL&gt;&lt;Q&gt;HUBB-US^P_BETA_LOCIDX(45523,45349,,"SPX")&lt;/Q&gt;&lt;R&gt;1&lt;/R&gt;&lt;C&gt;1&lt;/C&gt;&lt;D xsi:type="xsd:double"&gt;1.5244141&lt;/D&gt;&lt;/FQL&gt;&lt;FQL&gt;&lt;Q&gt;HUBB-US^P_BETA_LOCIDX(45520,45348,,"SPX")&lt;/Q&gt;&lt;R&gt;1&lt;/R&gt;&lt;C&gt;1&lt;/C&gt;&lt;D xsi:type="xsd:double"&gt;1.5245576&lt;/D&gt;&lt;/FQL&gt;&lt;FQL&gt;&lt;Q&gt;HUBB-US^P_BETA_LOCIDX(45519,45345,,"SPX")&lt;/Q&gt;&lt;R&gt;1&lt;/R&gt;&lt;C&gt;1&lt;/C&gt;&lt;D xsi:type="xsd:double"&gt;1.5276953&lt;/D&gt;&lt;/FQL&gt;&lt;FQL&gt;&lt;Q&gt;HUBB-US^P_BETA_LOCIDX(45518,45344,,"SPX")&lt;/Q&gt;&lt;R&gt;1&lt;/R&gt;&lt;C&gt;1&lt;/C&gt;&lt;D xsi:type="xsd:double"&gt;1.5620803&lt;/D&gt;&lt;/FQL&gt;&lt;FQL&gt;&lt;Q&gt;HUBB-US^P_BETA_LOCIDX(45517,45343,,"SPX")&lt;/Q&gt;&lt;R&gt;1&lt;/R&gt;&lt;C&gt;1&lt;/C&gt;&lt;D xsi:type="xsd:double"&gt;1.5592444&lt;/D&gt;&lt;/FQL&gt;&lt;FQL&gt;&lt;Q&gt;HUBB-US^P_BETA_LOCIDX(45516,45342,,"SPX")&lt;/Q&gt;&lt;R&gt;1&lt;/R&gt;&lt;C&gt;1&lt;/C&gt;&lt;D xsi:type="xsd:double"&gt;1.6022087&lt;/D&gt;&lt;/FQL&gt;&lt;FQL&gt;&lt;Q&gt;HUBB-US^P_BETA_LOCIDX(45513,45338,,"SPX")&lt;/Q&gt;&lt;R&gt;1&lt;/R&gt;&lt;C&gt;1&lt;/C&gt;&lt;D xsi:type="xsd:double"&gt;1.5958295&lt;/D&gt;&lt;/FQL&gt;&lt;FQL&gt;&lt;Q&gt;HUBB-US^P_BETA_LOCIDX(45512,45337,,"SPX")&lt;/Q&gt;&lt;R&gt;1&lt;/R&gt;&lt;C&gt;1&lt;/C&gt;&lt;D xsi:type="xsd:double"&gt;1.5872425&lt;/D&gt;&lt;/FQL&gt;&lt;FQL&gt;&lt;Q&gt;HUBB-US^P_BETA_LOCIDX(45511,45336,,"SPX")&lt;/Q&gt;&lt;R&gt;1&lt;/R&gt;&lt;C&gt;1&lt;/C&gt;&lt;D xsi:type="xsd:double"&gt;1.5790813&lt;/D&gt;&lt;/FQL&gt;&lt;FQL&gt;&lt;Q&gt;HUBB-US^P_BETA_LOCIDX(45510,45335,,"SPX")&lt;/Q&gt;&lt;R&gt;1&lt;/R&gt;&lt;C&gt;1&lt;/C&gt;&lt;D xsi:type="xsd:double"&gt;1.5830349&lt;/D&gt;&lt;/FQL&gt;&lt;FQL&gt;&lt;Q&gt;HUBB-US^P_BETA_LOCIDX(45509,45334,,"SPX")&lt;/Q&gt;&lt;R&gt;1&lt;/R&gt;&lt;C&gt;1&lt;/C&gt;&lt;D xsi:type="xsd:double"&gt;1.6179198&lt;/D&gt;&lt;/FQL&gt;&lt;FQL&gt;&lt;Q&gt;HUBB-US^P_BETA_LOCIDX(45506,45331,,"SPX")&lt;/Q&gt;&lt;R&gt;1&lt;/R&gt;&lt;C&gt;1&lt;/C&gt;&lt;D xsi:type="xsd:double"&gt;1.8226564&lt;/D&gt;&lt;/FQL&gt;&lt;FQL&gt;&lt;Q&gt;HUBB-US^P_BETA_LOCIDX(45505,45330,,"SPX")&lt;/Q&gt;&lt;R&gt;1&lt;/R&gt;&lt;C&gt;1&lt;/C&gt;&lt;D xsi:type="xsd:double"&gt;1.8176122&lt;/D&gt;&lt;/FQL&gt;&lt;FQL&gt;&lt;Q&gt;HUBB-US^P_BETA_LOCIDX(45504,45329,,"SPX")&lt;/Q&gt;&lt;R&gt;1&lt;/R&gt;&lt;C&gt;1&lt;/C&gt;&lt;D xsi:type="xsd:double"&gt;1.782141&lt;/D&gt;&lt;/FQL&gt;&lt;FQL&gt;&lt;Q&gt;HUBB-US^P_BETA_LOCIDX(45503,45328,,"SPX")&lt;/Q&gt;&lt;R&gt;1&lt;/R&gt;&lt;C&gt;1&lt;/C&gt;&lt;D xsi:type="xsd:double"&gt;1.745178&lt;/D&gt;&lt;/FQL&gt;&lt;FQL&gt;&lt;Q&gt;HUBB-US^P_BETA_LOCIDX(45502,45327,,"SPX")&lt;/Q&gt;&lt;R&gt;1&lt;/R&gt;&lt;C&gt;1&lt;/C&gt;&lt;D xsi:type="xsd:double"&gt;1.7904054&lt;/D&gt;&lt;/FQL&gt;&lt;FQL&gt;&lt;Q&gt;HUBB-US^P_BETA_LOCIDX(45499,45324,,"SPX")&lt;/Q&gt;&lt;R&gt;1&lt;/R&gt;&lt;C&gt;1&lt;/C&gt;&lt;D xsi:type="xsd:double"&gt;1.8097712&lt;/D&gt;&lt;/FQL&gt;&lt;FQL&gt;&lt;Q&gt;HUBB-US^P_BETA_LOCIDX(45498,45323,,"SPX")&lt;/Q&gt;&lt;R&gt;1&lt;/R&gt;&lt;C&gt;1&lt;/C&gt;&lt;D xsi:type="xsd:double"&gt;1.7922412&lt;/D&gt;&lt;/FQL&gt;&lt;FQL&gt;&lt;Q&gt;HUBB-US^P_BETA_LOCIDX(45497,45322,,"SPX")&lt;/Q&gt;&lt;R&gt;1&lt;/R&gt;&lt;C&gt;1&lt;/C&gt;&lt;D xsi:type="xsd:double"&gt;1.7861055&lt;/D&gt;&lt;/FQL&gt;&lt;FQL&gt;&lt;Q&gt;HUBB-US^P_BETA_LOCIDX(45496,45321,,"SPX")&lt;/Q&gt;&lt;R&gt;1&lt;/R&gt;&lt;C&gt;1&lt;/C&gt;&lt;D xsi:type="xsd:double"&gt;1.7023735&lt;/D&gt;&lt;/FQL&gt;&lt;FQL&gt;&lt;Q&gt;HUBB-US^P_BETA_LOCIDX(45495,45320,,"SPX")&lt;/Q&gt;&lt;R&gt;1&lt;/R&gt;&lt;C&gt;1&lt;/C&gt;&lt;D xsi:type="xsd:double"&gt;1.7024888&lt;/D&gt;&lt;/FQL&gt;&lt;FQL&gt;&lt;Q&gt;HUBB-US^P_BETA_LOCIDX(45492,45317,,"SPX")&lt;/Q&gt;&lt;R&gt;1&lt;/R&gt;&lt;C&gt;1&lt;/C&gt;&lt;D xsi:type="xsd:double"&gt;1.6949546&lt;/D&gt;&lt;/FQL&gt;&lt;FQL&gt;&lt;Q&gt;HUBB-US^P_BETA_LOCIDX(45491,45316,,"SPX")&lt;/Q&gt;&lt;R&gt;1&lt;/R&gt;&lt;C&gt;1&lt;/C&gt;&lt;D xsi:type="xsd:double"&gt;1.7261904&lt;/D&gt;&lt;/FQL&gt;&lt;FQL&gt;&lt;Q&gt;HUBB-US^P_BETA_LOCIDX(45490,45315,,"SPX")&lt;/Q&gt;&lt;R&gt;1&lt;/R&gt;&lt;C&gt;1&lt;/C&gt;&lt;D xsi:type="xsd:double"&gt;1.7596176&lt;/D&gt;&lt;/FQL&gt;&lt;FQL&gt;&lt;Q&gt;HUBB-US^P_BETA_LOCIDX(45489,45314,,"SPX")&lt;/Q&gt;&lt;R&gt;1&lt;/R&gt;&lt;C&gt;1&lt;/C&gt;&lt;D xsi:type="xsd:double"&gt;1.6459233&lt;/D&gt;&lt;/FQL&gt;&lt;FQL&gt;&lt;Q&gt;HUBB-US^P_BETA_LOCIDX(45488,45313,,"SPX")&lt;/Q&gt;&lt;R&gt;1&lt;/R&gt;&lt;C&gt;1&lt;/C&gt;&lt;D xsi:type="xsd:double"&gt;1.6140769&lt;/D&gt;&lt;/FQL&gt;&lt;FQL&gt;&lt;Q&gt;HUBB-US^P_BETA_LOCIDX(45485,45310,,"SPX")&lt;/Q&gt;&lt;R&gt;1&lt;/R&gt;&lt;C&gt;1&lt;/C&gt;&lt;D xsi:type="xsd:double"&gt;1.6051227&lt;/D&gt;&lt;/FQL&gt;&lt;FQL&gt;&lt;Q&gt;HUBB-US^P_BETA_LOCIDX(45484,45309,,"SPX")&lt;/Q&gt;&lt;R&gt;1&lt;/R&gt;&lt;C&gt;1&lt;/C&gt;&lt;D xsi:type="xsd:double"&gt;1.6073748&lt;/D&gt;&lt;/FQL&gt;&lt;FQL&gt;&lt;Q&gt;HUBB-US^P_BETA_LOCIDX(45483,45308,,"SPX")&lt;/Q&gt;&lt;R&gt;1&lt;/R&gt;&lt;C&gt;1&lt;/C&gt;&lt;D xsi:type="xsd:double"&gt;1.6605829&lt;/D&gt;&lt;/FQL&gt;&lt;FQL&gt;&lt;Q&gt;HUBB-US^P_BETA_LOCIDX(45482,45307,,"SPX")&lt;/Q&gt;&lt;R&gt;1&lt;/R&gt;&lt;C&gt;1&lt;/C&gt;&lt;D xsi:type="xsd:double"&gt;1.6651424&lt;/D&gt;&lt;/FQL&gt;&lt;FQL&gt;&lt;Q&gt;HUBB-US^P_BETA_LOCIDX(45481,45303,,"SPX")&lt;/Q&gt;&lt;R&gt;1&lt;/R&gt;&lt;C&gt;1&lt;/C&gt;&lt;D xsi:type="xsd:double"&gt;1.6635547&lt;/D&gt;&lt;/FQL&gt;&lt;FQL&gt;&lt;Q&gt;HUBB-US^P_BETA_LOCIDX(45478,45302,,"SPX")&lt;/Q&gt;&lt;R&gt;1&lt;/R&gt;&lt;C&gt;1&lt;/C&gt;&lt;D xsi:type="xsd:double"&gt;1.6611104&lt;/D&gt;&lt;/FQL&gt;&lt;FQL&gt;&lt;Q&gt;HUBB-US^P_BETA_LOCIDX(45476,45301,,"SPX")&lt;/Q&gt;&lt;R&gt;1&lt;/R&gt;&lt;C&gt;1&lt;/C&gt;&lt;D xsi:type="xsd:double"&gt;1.6522108&lt;/D&gt;&lt;/FQL&gt;&lt;FQL&gt;&lt;Q&gt;HUBB-US^P_BETA_LOCIDX(45475,45300,,"SPX")&lt;/Q&gt;&lt;R&gt;1&lt;/R&gt;&lt;C&gt;1&lt;/C&gt;&lt;D xsi:type="xsd:double"&gt;1.6373792&lt;/D&gt;&lt;/FQL&gt;&lt;FQL&gt;&lt;Q&gt;HUBB-US^P_BETA_LOCIDX(45474,45299,,"SPX")&lt;/Q&gt;&lt;R&gt;1&lt;/R&gt;&lt;C&gt;1&lt;/C&gt;&lt;D xsi:type="xsd:double"&gt;1.6115109&lt;/D&gt;&lt;/FQL&gt;&lt;FQL&gt;&lt;Q&gt;HUBB-US^P_BETA_LOCIDX(45471,45296,,"SPX")&lt;/Q&gt;&lt;R&gt;1&lt;/R&gt;&lt;C&gt;1&lt;/C&gt;&lt;D xsi:type="xsd:double"&gt;1.616055&lt;/D&gt;&lt;/FQL&gt;&lt;FQL&gt;&lt;Q&gt;HUBB-US^P_BETA_LOCIDX(45470,45295,,"SPX")&lt;/Q&gt;&lt;R&gt;1&lt;/R&gt;&lt;C&gt;1&lt;/C&gt;&lt;D xsi:type="xsd:double"&gt;1.597758&lt;/D&gt;&lt;/FQL&gt;&lt;FQL&gt;&lt;Q&gt;HUBB-US^P_BETA_LOCIDX(45469,45294,,"SPX")&lt;/Q&gt;&lt;R&gt;1&lt;/R&gt;&lt;C&gt;1&lt;/C&gt;&lt;D xsi:type="xsd:double"&gt;1.6215115&lt;/D&gt;&lt;/FQL&gt;&lt;FQL&gt;&lt;Q&gt;HUBB-US^P_BETA_LOCIDX(45468,45293,,"SPX")&lt;/Q&gt;&lt;R&gt;1&lt;/R&gt;&lt;C&gt;1&lt;/C&gt;&lt;D xsi:type="xsd:double"&gt;1.6219801&lt;/D&gt;&lt;/FQL&gt;&lt;FQL&gt;&lt;Q&gt;HUBB-US^P_BETA_LOCIDX(45467,45289,,"SPX")&lt;/Q&gt;&lt;R&gt;1&lt;/R&gt;&lt;C&gt;1&lt;/C&gt;&lt;D xsi:type="xsd:double"&gt;1.6215738&lt;/D&gt;&lt;/FQL&gt;&lt;FQL&gt;&lt;Q&gt;HUBB-US^P_BETA_LOCIDX(45464,45288,,"SPX")&lt;/Q&gt;&lt;R&gt;1&lt;/R&gt;&lt;C&gt;1&lt;/C&gt;&lt;D xsi:type="xsd:double"&gt;1.6299497&lt;/D&gt;&lt;/FQL&gt;&lt;FQL&gt;&lt;Q&gt;HUBB-US^P_BETA_LOCIDX(45463,45287,,"SPX")&lt;/Q&gt;&lt;R&gt;1&lt;/R&gt;&lt;C&gt;1&lt;/C&gt;&lt;D xsi:type="xsd:double"&gt;1.6277792&lt;/D&gt;&lt;/FQL&gt;&lt;FQL&gt;&lt;Q&gt;HUBB-US^P_BETA_LOCIDX(45461,45286,,"SPX")&lt;/Q&gt;&lt;R&gt;1&lt;/R&gt;&lt;C&gt;1&lt;/C&gt;&lt;D xsi:type="xsd:double"&gt;1.6189721&lt;/D&gt;&lt;/FQL&gt;&lt;FQL&gt;&lt;Q&gt;HUBB-US^P_BETA_LOCIDX(45460,45282,,"SPX")&lt;/Q&gt;&lt;R&gt;1&lt;/R&gt;&lt;C&gt;1&lt;/C&gt;&lt;D xsi:type="xsd:double"&gt;1.6162246&lt;/D&gt;&lt;/FQL&gt;&lt;FQL&gt;&lt;Q&gt;HUBB-US^P_BETA_LOCIDX(45457,45281,,"SPX")&lt;/Q&gt;&lt;R&gt;1&lt;/R&gt;&lt;C&gt;1&lt;/C&gt;&lt;D xsi:type="xsd:double"&gt;1.5998437&lt;/D&gt;&lt;/FQL&gt;&lt;FQL&gt;&lt;Q&gt;HUBB-US^P_BETA_LOCIDX(45456,45280,,"SPX")&lt;/Q&gt;&lt;R&gt;1&lt;/R&gt;&lt;C&gt;1&lt;/C&gt;&lt;D xsi:type="xsd:double"&gt;1.549882&lt;/D&gt;&lt;/FQL&gt;&lt;FQL&gt;&lt;Q&gt;HUBB-US^P_BETA_LOCIDX(45455,45279,,"SPX")&lt;/Q&gt;&lt;R&gt;1&lt;/R&gt;&lt;C&gt;1&lt;/C&gt;&lt;D xsi:type="xsd:double"&gt;1.5390258&lt;/D&gt;&lt;/FQL&gt;&lt;FQL&gt;&lt;Q&gt;HUBB-US^P_BETA_LOCIDX(45454,45278,,"SPX")&lt;/Q&gt;&lt;R&gt;1&lt;/R&gt;&lt;C&gt;1&lt;/C&gt;&lt;D xsi:type="xsd:double"&gt;1.4962693&lt;/D&gt;&lt;/FQL&gt;&lt;FQL&gt;&lt;Q&gt;HUBB-US^P_BETA_LOCIDX(45453,45275,,"SPX")&lt;/Q&gt;&lt;R&gt;1&lt;/R&gt;&lt;C&gt;1&lt;/C&gt;&lt;D xsi:type="xsd:double"&gt;1.4989636&lt;/D&gt;&lt;/FQL&gt;&lt;FQL&gt;&lt;Q&gt;HUBB-US^P_BETA_LOCIDX(45450,45274,,"SPX")&lt;/Q&gt;&lt;R&gt;1&lt;/R&gt;&lt;C&gt;1&lt;/C&gt;&lt;D xsi:type="xsd:double"&gt;1.5074165&lt;/D&gt;&lt;/FQL&gt;&lt;FQL&gt;&lt;Q&gt;HUBB-US^P_BETA_LOCIDX(45449,45273,,"SPX")&lt;/Q&gt;&lt;R&gt;1&lt;/R&gt;&lt;C&gt;1&lt;/C&gt;&lt;D xsi:type="xsd:double"&gt;1.4396319&lt;/D&gt;&lt;/FQL&gt;&lt;FQL&gt;&lt;Q&gt;HUBB-US^P_BETA_LOCIDX(45448,45272,,"SPX")&lt;/Q&gt;&lt;R&gt;1&lt;/R&gt;&lt;C&gt;1&lt;/C&gt;&lt;D xsi:type="xsd:double"&gt;1.4338671&lt;/D&gt;&lt;/FQL&gt;&lt;FQL&gt;&lt;Q&gt;HUBB-US^P_BETA_LOCIDX(45447,45271,,"SPX")&lt;/Q&gt;&lt;R&gt;1&lt;/R&gt;&lt;C&gt;1&lt;/C&gt;&lt;D xsi:type="xsd:double"&gt;1.4240881&lt;/D&gt;&lt;/FQL&gt;&lt;FQL&gt;&lt;Q&gt;HUBB-US^P_BETA_LOCIDX(45446,45268,,"SPX")&lt;/Q&gt;&lt;R&gt;1&lt;/R&gt;&lt;C&gt;1&lt;/C&gt;&lt;D xsi:type="xsd:double"&gt;1.4262952&lt;/D&gt;&lt;/FQL&gt;&lt;FQL&gt;&lt;Q&gt;HUBB-US^P_BETA_LOCIDX(45443,45267,,"SPX")&lt;/Q&gt;&lt;R&gt;1&lt;/R&gt;&lt;C&gt;1&lt;/C&gt;&lt;D xsi:type="xsd:double"&gt;1.4234049&lt;/D&gt;&lt;/FQL&gt;&lt;FQL&gt;&lt;Q&gt;HUBB-US^P_BETA_LOCIDX(45442,45266,,"SPX")&lt;/Q&gt;&lt;R&gt;1&lt;/R&gt;&lt;C&gt;1&lt;/C&gt;&lt;D xsi:type="xsd:double"&gt;1.4278448&lt;/D&gt;&lt;/FQL&gt;&lt;FQL&gt;&lt;Q&gt;HUBB-US^P_BETA_LOCIDX(45441,45265,,"SPX")&lt;/Q&gt;&lt;R&gt;1&lt;/R&gt;&lt;C&gt;1&lt;/C&gt;&lt;D xsi:type="xsd:double"&gt;1.4453088&lt;/D&gt;&lt;/FQL&gt;&lt;FQL&gt;&lt;Q&gt;HUBB-US^P_BETA_LOCIDX(45440,45264,,"SPX")&lt;/Q&gt;&lt;R&gt;1&lt;/R&gt;&lt;C&gt;1&lt;/C&gt;&lt;D xsi:type="xsd:double"&gt;1.4214567&lt;/D&gt;&lt;/FQL&gt;&lt;FQL&gt;&lt;Q&gt;HUBB-US^P_BETA_LOCIDX(45436,45261,,"SPX")&lt;/Q&gt;&lt;R&gt;1&lt;/R&gt;&lt;C&gt;1&lt;/C&gt;&lt;D xsi:type="xsd:double"&gt;1.4169102&lt;/D&gt;&lt;/FQL&gt;&lt;FQL&gt;&lt;Q&gt;HUBB-US^P_BETA_LOCIDX(45435,45260,,"SPX")&lt;/Q&gt;&lt;R&gt;1&lt;/R&gt;&lt;C&gt;1&lt;/C&gt;&lt;D xsi:type="xsd:double"&gt;1.4022487&lt;/D&gt;&lt;/FQL&gt;&lt;FQL&gt;&lt;Q&gt;HUBB-US^P_BETA_LOCIDX(45434,45259,,"SPX")&lt;/Q&gt;&lt;R&gt;1&lt;/R&gt;&lt;C&gt;1&lt;/C&gt;&lt;D xsi:type="xsd:double"&gt;1.4146194&lt;/D&gt;&lt;/FQL&gt;&lt;FQL&gt;&lt;Q&gt;HUBB-US^P_BETA_LOCIDX(45433,45258,,"SPX")&lt;/Q&gt;&lt;R&gt;1&lt;/R&gt;&lt;C&gt;1&lt;/C&gt;&lt;D xsi:type="xsd:double"&gt;1.4129854&lt;/D&gt;&lt;/FQL&gt;&lt;FQL&gt;&lt;Q&gt;HUBB-US^P_BETA_LOCIDX(45432,45257,,"SPX")&lt;/Q&gt;&lt;R&gt;1&lt;/R&gt;&lt;C&gt;1&lt;/C&gt;&lt;D xsi:type="xsd:double"&gt;1.4092809&lt;/D&gt;&lt;/FQL&gt;&lt;FQL&gt;&lt;Q&gt;HUBB-US^P_BETA_LOCIDX(45429,45254,,"SPX")&lt;/Q&gt;&lt;R&gt;1&lt;/R&gt;&lt;C&gt;1&lt;/C&gt;&lt;D xsi:type="xsd:double"&gt;1.4098254&lt;/D&gt;&lt;/FQL&gt;&lt;FQL&gt;&lt;Q&gt;HUBB-US^P_BETA_LOCIDX(45428,45252,,"SPX")&lt;/Q&gt;&lt;R&gt;1&lt;/R&gt;&lt;C&gt;1&lt;/C&gt;&lt;D xsi:type="xsd:double"&gt;1.4105502&lt;/D&gt;&lt;/FQL&gt;&lt;FQL&gt;&lt;Q&gt;HUBB-US^P_BETA_LOCIDX(45427,45251,,"SPX")&lt;/Q&gt;&lt;R&gt;1&lt;/R&gt;&lt;C&gt;1&lt;/C&gt;&lt;D xsi:type="xsd:double"&gt;1.3975329&lt;/D&gt;&lt;/FQL&gt;&lt;FQL&gt;&lt;Q&gt;HUBB-US^P_BETA_LOCIDX(45426,45250,,"SPX")&lt;/Q&gt;&lt;R&gt;1&lt;/R&gt;&lt;C&gt;1&lt;/C&gt;&lt;D xsi:type="xsd:double"&gt;1.3997778&lt;/D&gt;&lt;/FQL&gt;&lt;FQL&gt;&lt;Q&gt;HUBB-US^P_BETA_LOCIDX(45425,45247,,"SPX")&lt;/Q&gt;&lt;R&gt;1&lt;/R&gt;&lt;C&gt;1&lt;/C&gt;&lt;D xsi:type="xsd:double"&gt;1.4063693&lt;/D&gt;&lt;/FQL&gt;&lt;FQL&gt;&lt;Q&gt;HUBB-US^P_BETA_LOCIDX(45422,45246,,"SPX")&lt;/Q&gt;&lt;R&gt;1&lt;/R&gt;&lt;C&gt;1&lt;/C&gt;&lt;D xsi:type="xsd:double"&gt;1.4028009&lt;/D&gt;&lt;/FQL&gt;&lt;FQL&gt;&lt;Q&gt;HUBB-US^P_BETA_LOCIDX(45421,45245,,"SPX")&lt;/Q&gt;&lt;R&gt;1&lt;/R&gt;&lt;C&gt;1&lt;/C&gt;&lt;D xsi:type="xsd:double"&gt;1.4019003&lt;/D&gt;&lt;/FQL&gt;&lt;FQL&gt;&lt;Q&gt;HUBB-US^P_BETA_LOCIDX(45420,45244,,"SPX")&lt;/Q&gt;&lt;R&gt;1&lt;/R&gt;&lt;C&gt;1&lt;/C&gt;&lt;D xsi:type="xsd:double"&gt;1.3527639&lt;/D&gt;&lt;/FQL&gt;&lt;FQL&gt;&lt;Q&gt;HUBB-US^P_BETA_LOCIDX(45419,45243,,"SPX")&lt;/Q&gt;&lt;R&gt;1&lt;/R&gt;&lt;C&gt;1&lt;/C&gt;&lt;D xsi:type="xsd:double"&gt;1.3527797&lt;/D&gt;&lt;/FQL&gt;&lt;FQL&gt;&lt;Q&gt;HUBB-US^P_BETA_LOCIDX(45418,45240,,"SPX")&lt;/Q&gt;&lt;R&gt;1&lt;/R&gt;&lt;C&gt;1&lt;/C&gt;&lt;D xsi:type="xsd:double"&gt;1.3389817&lt;/D&gt;&lt;/FQL&gt;&lt;FQL&gt;&lt;Q&gt;HUBB-US^P_BETA_LOCIDX(45415,45239,,"SPX")&lt;/Q&gt;&lt;R&gt;1&lt;/R&gt;&lt;C&gt;1&lt;/C&gt;&lt;D xsi:type="xsd:double"&gt;1.2943897&lt;/D&gt;&lt;/FQL&gt;&lt;FQL&gt;&lt;Q&gt;HUBB-US^P_BETA_LOCIDX(45414,45238,,"SPX")&lt;/Q&gt;&lt;R&gt;1&lt;/R&gt;&lt;C&gt;1&lt;/C&gt;&lt;D xsi:type="xsd:double"&gt;1.2913231&lt;/D&gt;&lt;/FQL&gt;&lt;FQL&gt;&lt;Q&gt;HUBB-US^P_BETA_LOCIDX(45413,45237,,"SPX")&lt;/Q&gt;&lt;R&gt;1&lt;/R&gt;&lt;C&gt;1&lt;/C&gt;&lt;D xsi:type="xsd:double"&gt;1.3085878&lt;/D&gt;&lt;/FQL&gt;&lt;FQL&gt;&lt;Q&gt;HUBB-US^P_BETA_LOCIDX(45412,45236,,"SPX")&lt;/Q&gt;&lt;R&gt;1&lt;/R&gt;&lt;C&gt;1&lt;/C&gt;&lt;D xsi:type="xsd:double"&gt;1.3157027&lt;/D&gt;&lt;/FQL&gt;&lt;FQL&gt;&lt;Q&gt;HUBB-US^P_BETA_LOCIDX(45411,45233,,"SPX")&lt;/Q&gt;&lt;R&gt;1&lt;/R&gt;&lt;C&gt;1&lt;/C&gt;&lt;D xsi:type="xsd:double"&gt;1.0938438&lt;/D&gt;&lt;/FQL&gt;&lt;FQL&gt;&lt;Q&gt;HUBB-US^P_BETA_LOCIDX(45408,45232,,"SPX")&lt;/Q&gt;&lt;R&gt;1&lt;/R&gt;&lt;C&gt;1&lt;/C&gt;&lt;D xsi:type="xsd:double"&gt;1.0483412&lt;/D&gt;&lt;/FQL&gt;&lt;FQL&gt;&lt;Q&gt;HUBB-US^P_BETA_LOCIDX(45407,45231,,"SPX")&lt;/Q&gt;&lt;R&gt;1&lt;/R&gt;&lt;C&gt;1&lt;/C&gt;&lt;D xsi:type="xsd:double"&gt;1.0778275&lt;/D&gt;&lt;/FQL&gt;&lt;FQL&gt;&lt;Q&gt;HUBB-US^P_BETA_LOCIDX(45406,45230,,"SPX")&lt;/Q&gt;&lt;R&gt;1&lt;/R&gt;&lt;C&gt;1&lt;/C&gt;&lt;D xsi:type="xsd:double"&gt;1.0465395&lt;/D&gt;&lt;/FQL&gt;&lt;FQL&gt;&lt;Q&gt;HUBB-US^P_BETA_LOCIDX(45405,45229,,"SPX")&lt;/Q&gt;&lt;R&gt;1&lt;/R&gt;&lt;C&gt;1&lt;/C&gt;&lt;D xsi:type="xsd:double"&gt;1.0372605&lt;/D&gt;&lt;/FQL&gt;&lt;FQL&gt;&lt;Q&gt;HUBB-US^P_BETA_LOCIDX(45404,45226,,"SPX")&lt;/Q&gt;&lt;R&gt;1&lt;/R&gt;&lt;C&gt;1&lt;/C&gt;&lt;D xsi:type="xsd:double"&gt;1.0270451&lt;/D&gt;&lt;/FQL&gt;&lt;FQL&gt;&lt;Q&gt;HUBB-US^P_BETA_LOCIDX(45401,45225,,"SPX")&lt;/Q&gt;&lt;R&gt;1&lt;/R&gt;&lt;C&gt;1&lt;/C&gt;&lt;D xsi:type="xsd:double"&gt;0.99278456&lt;/D&gt;&lt;/FQL&gt;&lt;FQL&gt;&lt;Q&gt;HUBB-US^P_BETA_LOCIDX(45400,45224,,"SPX")&lt;/Q&gt;&lt;R&gt;1&lt;/R&gt;&lt;C&gt;1&lt;/C&gt;&lt;D xsi:type="xsd:double"&gt;0.9761178&lt;/D&gt;&lt;/FQL&gt;&lt;FQL&gt;&lt;Q&gt;HUBB-US^P_BETA_LOCIDX(45399,45223,,"SPX")&lt;/Q&gt;&lt;R&gt;1&lt;/R&gt;&lt;C&gt;1&lt;/C&gt;&lt;D xsi:type="xsd:double"&gt;0.9767628&lt;/D&gt;&lt;/FQL&gt;&lt;FQL&gt;&lt;Q&gt;HUBB-US^P_BETA_LOCIDX(45398,45222,,"SPX")&lt;/Q&gt;&lt;R&gt;1&lt;/R&gt;&lt;C&gt;1&lt;/C&gt;&lt;D xsi:type="xsd:double"&gt;0.9651752&lt;/D&gt;&lt;/FQL&gt;&lt;FQL&gt;&lt;Q&gt;HUBB-US^P_BETA_LOCIDX(45397,45219,,"SPX")&lt;/Q&gt;&lt;R&gt;1&lt;/R&gt;&lt;C&gt;1&lt;/C&gt;&lt;D xsi:type="xsd:double"&gt;0.9729233&lt;/D&gt;&lt;/FQL&gt;&lt;FQL&gt;&lt;Q&gt;HUBB-US^P_BETA_LOCIDX(45394,45218,,"SPX")&lt;/Q&gt;&lt;R&gt;1&lt;/R&gt;&lt;C&gt;1&lt;/C&gt;&lt;D xsi:type="xsd:double"&gt;1.0144746&lt;/D&gt;&lt;/FQL&gt;&lt;FQL&gt;&lt;Q&gt;HUBB-US^P_BETA_LOCIDX(45393,45217,,"SPX")&lt;/Q&gt;&lt;R&gt;1&lt;/R&gt;&lt;C&gt;1&lt;/C&gt;&lt;D xsi:type="xsd:double"&gt;1.0672694&lt;/D&gt;&lt;/FQL&gt;&lt;FQL&gt;&lt;Q&gt;HUBB-US^P_BETA_LOCIDX(45392,45216,,"SPX")&lt;/Q&gt;&lt;R&gt;1&lt;/R&gt;&lt;C&gt;1&lt;/C&gt;&lt;D xsi:type="xsd:double"&gt;1.0810374&lt;/D&gt;&lt;/FQL&gt;&lt;FQL&gt;&lt;Q&gt;HUBB-US^P_BETA_LOCIDX(45391,45215,,"SPX")&lt;/Q&gt;&lt;R&gt;1&lt;/R&gt;&lt;C&gt;1&lt;/C&gt;&lt;D xsi:type="xsd:double"&gt;1.1144046&lt;/D&gt;&lt;/FQL&gt;&lt;FQL&gt;&lt;Q&gt;HUBB-US^P_BETA_LOCIDX(45390,45212,,"SPX")&lt;/Q&gt;&lt;R&gt;1&lt;/R&gt;&lt;C&gt;1&lt;/C&gt;&lt;D xsi:type="xsd:double"&gt;1.1582963&lt;/D&gt;&lt;/FQL&gt;&lt;FQL&gt;&lt;Q&gt;HUBB-US^P_BETA_LOCIDX(45387,45211,,"SPX")&lt;/Q&gt;&lt;R&gt;1&lt;/R&gt;&lt;C&gt;1&lt;/C&gt;&lt;D xsi:type="xsd:double"&gt;1.1539395&lt;/D&gt;&lt;/FQL&gt;&lt;FQL&gt;&lt;Q&gt;HUBB-US^P_BETA_LOCIDX(45386,45210,,"SPX")&lt;/Q&gt;&lt;R&gt;1&lt;/R&gt;&lt;C&gt;1&lt;/C&gt;&lt;D xsi:type="xsd:double"&gt;1.1596764&lt;/D&gt;&lt;/FQL&gt;&lt;FQL&gt;&lt;Q&gt;HUBB-US^P_BETA_LOCIDX(45385,45209,,"SPX")&lt;/Q&gt;&lt;R&gt;1&lt;/R&gt;&lt;C&gt;1&lt;/C&gt;&lt;D xsi:type="xsd:double"&gt;1.121589&lt;/D&gt;&lt;/FQL&gt;&lt;FQL&gt;&lt;Q&gt;HUBB-US^P_BETA_LOCIDX(45384,45208,,"SPX")&lt;/Q&gt;&lt;R&gt;1&lt;/R&gt;&lt;C&gt;1&lt;/C&gt;&lt;D xsi:type="xsd:double"&gt;1.115113&lt;/D&gt;&lt;/FQL&gt;&lt;FQL&gt;&lt;Q&gt;HUBB-US^P_BETA_LOCIDX(45383,45205,,"SPX")&lt;/Q&gt;&lt;R&gt;1&lt;/R&gt;&lt;C&gt;1&lt;/C&gt;&lt;D xsi:type="xsd:double"&gt;1.1528162&lt;/D&gt;&lt;/FQL&gt;&lt;FQL&gt;&lt;Q&gt;HUBB-US^P_BETA_LOCIDX(45379,45204,,"SPX")&lt;/Q&gt;&lt;R&gt;1&lt;/R&gt;&lt;C&gt;1&lt;/C&gt;&lt;D xsi:type="xsd:double"&gt;1.1685903&lt;/D&gt;&lt;/FQL&gt;&lt;FQL&gt;&lt;Q&gt;HUBB-US^P_BETA_LOCIDX(45378,45203,,"SPX")&lt;/Q&gt;&lt;R&gt;1&lt;/R&gt;&lt;C&gt;1&lt;/C&gt;&lt;D xsi:type="xsd:double"&gt;1.1639527&lt;/D&gt;&lt;/FQL&gt;&lt;FQL&gt;&lt;Q&gt;HUBB-US^P_BETA_LOCIDX(45377,45202,,"SPX")&lt;/Q&gt;&lt;R&gt;1&lt;/R&gt;&lt;C&gt;1&lt;/C&gt;&lt;D xsi:type="xsd:double"&gt;1.1666255&lt;/D&gt;&lt;/FQL&gt;&lt;FQL&gt;&lt;Q&gt;HUBB-US^P_BETA_LOCIDX(45376,45201,,"SPX")&lt;/Q&gt;&lt;R&gt;1&lt;/R&gt;&lt;C&gt;1&lt;/C&gt;&lt;D xsi:type="xsd:double"&gt;1.1722234&lt;/D&gt;&lt;/FQL&gt;&lt;FQL&gt;&lt;Q&gt;HUBB-US^P_BETA_LOCIDX(45373,45198,,"SPX")&lt;/Q&gt;&lt;R&gt;1&lt;/R&gt;&lt;C&gt;1&lt;/C&gt;&lt;D xsi:type="xsd:double"&gt;1.1738625&lt;/D&gt;&lt;/FQL&gt;&lt;FQL&gt;&lt;Q&gt;HUBB-US^P_BETA_LOCIDX(45372,45197,,"SPX")&lt;/Q&gt;&lt;R&gt;1&lt;/R&gt;&lt;C&gt;1&lt;/C&gt;&lt;D xsi:type="xsd:double"&gt;1.1767669&lt;/D&gt;&lt;/FQL&gt;&lt;FQL&gt;&lt;Q&gt;HUBB-US^P_BETA_LOCIDX(45371,45196,,"SPX")&lt;/Q&gt;&lt;R&gt;1&lt;/R&gt;&lt;C&gt;1&lt;/C&gt;&lt;D xsi:type="xsd:double"&gt;1.1676662&lt;/D&gt;&lt;/FQL&gt;&lt;FQL&gt;&lt;Q&gt;HUBB-US^P_BETA_LOCIDX(45370,45195,,"SPX")&lt;/Q&gt;&lt;R&gt;1&lt;/R&gt;&lt;C&gt;1&lt;/C&gt;&lt;D xsi:type="xsd:double"&gt;1.1433327&lt;/D&gt;&lt;/FQL&gt;&lt;FQL&gt;&lt;Q&gt;HUBB-US^P_BETA_LOCIDX(45369,45194,,"SPX")&lt;/Q&gt;&lt;R&gt;1&lt;/R&gt;&lt;C&gt;1&lt;/C&gt;&lt;D xsi:type="xsd:double"&gt;1.159363&lt;/D&gt;&lt;/FQL&gt;&lt;FQL&gt;&lt;Q&gt;HUBB-US^P_BETA_LOCIDX(45366,45191,,"SPX")&lt;/Q&gt;&lt;R&gt;1&lt;/R&gt;&lt;C&gt;1&lt;/C&gt;&lt;D xsi:type="xsd:double"&gt;1.1532091&lt;/D&gt;&lt;/FQL&gt;&lt;FQL&gt;&lt;Q&gt;HUBB-US^P_BETA_LOCIDX(45365,45190,,"SPX")&lt;/Q&gt;&lt;R&gt;1&lt;/R&gt;&lt;C&gt;1&lt;/C&gt;&lt;D xsi:type="xsd:double"&gt;1.1450732&lt;/D&gt;&lt;/FQL&gt;&lt;FQL&gt;&lt;Q&gt;HUBB-US^P_BETA_LOCIDX(45364,45189,,"SPX")&lt;/Q&gt;&lt;R&gt;1&lt;/R&gt;&lt;C&gt;1&lt;/C&gt;&lt;D xsi:type="xsd:double"&gt;1.1536205&lt;/D&gt;&lt;/FQL&gt;&lt;FQL&gt;&lt;Q&gt;HUBB-US^P_BETA_LOCIDX(45363,45188,,"SPX")&lt;/Q&gt;&lt;R&gt;1&lt;/R&gt;&lt;C&gt;1&lt;/C&gt;&lt;D xsi:type="xsd:double"&gt;1.1653534&lt;/D&gt;&lt;/FQL&gt;&lt;FQL&gt;&lt;Q&gt;HUBB-US^P_BETA_LOCIDX(45362,45187,,"SPX")&lt;/Q&gt;&lt;R&gt;1&lt;/R&gt;&lt;C&gt;1&lt;/C&gt;&lt;D xsi:type="xsd:double"&gt;1.1484151&lt;/D&gt;&lt;/FQL&gt;&lt;FQL&gt;&lt;Q&gt;HUBB-US^P_BETA_LOCIDX(45359,45184,,"SPX")&lt;/Q&gt;&lt;R&gt;1&lt;/R&gt;&lt;C&gt;1&lt;/C&gt;&lt;D xsi:type="xsd:double"&gt;1.1405969&lt;/D&gt;&lt;/FQL&gt;&lt;FQL&gt;&lt;Q&gt;HUBB-US^P_BETA_LOCIDX(45358,45183,,"SPX")&lt;/Q&gt;&lt;R&gt;1&lt;/R&gt;&lt;C&gt;1&lt;/C&gt;&lt;D xsi:type="xsd:double"&gt;1.1512688&lt;/D&gt;&lt;/FQL&gt;&lt;FQL&gt;&lt;Q&gt;HUBB-US^P_BETA_LOCIDX(45357,45182,,"SPX")&lt;/Q&gt;&lt;R&gt;1&lt;/R&gt;&lt;C&gt;1&lt;/C&gt;&lt;D xsi:type="xsd:double"&gt;1.150315&lt;/D&gt;&lt;/FQL&gt;&lt;FQL&gt;&lt;Q&gt;HUBB-US^P_BETA_LOCIDX(45356,45181,,"SPX")&lt;/Q&gt;&lt;R&gt;1&lt;/R&gt;&lt;C&gt;1&lt;/C&gt;&lt;D xsi:type="xsd:double"&gt;1.1591998&lt;/D&gt;&lt;/FQL&gt;&lt;FQL&gt;&lt;Q&gt;HUBB-US^P_BETA_LOCIDX(45355,45180,,"SPX")&lt;/Q&gt;&lt;R&gt;1&lt;/R&gt;&lt;C&gt;1&lt;/C&gt;&lt;D xsi:type="xsd:double"&gt;1.1390508&lt;/D&gt;&lt;/FQL&gt;&lt;FQL&gt;&lt;Q&gt;HUBB-US^P_BETA_LOCIDX(45352,45177,,"SPX")&lt;/Q&gt;&lt;R&gt;1&lt;/R&gt;&lt;C&gt;1&lt;/C&gt;&lt;D xsi:type="xsd:double"&gt;1.1423563&lt;/D&gt;&lt;/FQL&gt;&lt;FQL&gt;&lt;Q&gt;HUBB-US^P_BETA_LOCIDX(45351,45176,,"SPX")&lt;/Q&gt;&lt;R&gt;1&lt;/R&gt;&lt;C&gt;1&lt;/C&gt;&lt;D xsi:type="xsd:double"&gt;1.1224734&lt;/D&gt;&lt;/FQL&gt;&lt;FQL&gt;&lt;Q&gt;HUBB-US^P_BETA_LOCIDX(45350,45175,,"SPX")&lt;/Q&gt;&lt;R&gt;1&lt;/R&gt;&lt;C&gt;1&lt;/C&gt;&lt;D xsi:type="xsd:double"&gt;1.0897328&lt;/D&gt;&lt;/FQL&gt;&lt;FQL&gt;&lt;Q&gt;HUBB-US^P_BETA_LOCIDX(45349,45174,,"SPX")&lt;/Q&gt;&lt;R&gt;1&lt;/R&gt;&lt;C&gt;1&lt;/C&gt;&lt;D xsi:type="xsd:double"&gt;1.1244094&lt;/D&gt;&lt;/FQL&gt;&lt;FQL&gt;&lt;Q&gt;HUBB-US^P_BETA_LOCIDX(45348,45170,,"SPX")&lt;/Q&gt;&lt;R&gt;1&lt;/R&gt;&lt;C&gt;1&lt;/C&gt;&lt;D xsi:type="xsd:double"&gt;1.1258283&lt;/D&gt;&lt;/FQL&gt;&lt;FQL&gt;&lt;Q&gt;HUBB-US^P_BETA_LOCIDX(45345,45169,,"SPX")&lt;/Q&gt;&lt;R&gt;1&lt;/R&gt;&lt;C&gt;1&lt;/C&gt;&lt;D xsi:type="xsd:double"&gt;1.1361332&lt;/D&gt;&lt;/FQL&gt;&lt;FQL&gt;&lt;Q&gt;HUBB-US^P_BETA_LOCIDX(45344,45168,,"SPX")&lt;/Q&gt;&lt;R&gt;1&lt;/R&gt;&lt;C&gt;1&lt;/C&gt;&lt;D xsi:type="xsd:double"&gt;1.1339266&lt;/D&gt;&lt;/FQL&gt;&lt;FQL&gt;&lt;Q&gt;HUBB-US^P_BETA_LOCIDX(45343,45167,,"SPX")&lt;/Q&gt;&lt;R&gt;1&lt;/R&gt;&lt;C&gt;1&lt;/C&gt;&lt;D xsi:type="xsd:double"&gt;1.0913424&lt;/D&gt;&lt;/FQL&gt;&lt;FQL&gt;&lt;Q&gt;HUBB-US^P_BETA_LOCIDX(45342,45166,,"SPX")&lt;/Q&gt;&lt;R&gt;1&lt;/R&gt;&lt;C&gt;1&lt;/C&gt;&lt;D xsi:type="xsd:double"&gt;1.0924697&lt;/D&gt;&lt;/FQL&gt;&lt;FQL&gt;&lt;Q&gt;HUBB-US^P_BETA_LOCIDX(45338,45163,,"SPX")&lt;/Q&gt;&lt;R&gt;1&lt;/R&gt;&lt;C&gt;1&lt;/C&gt;&lt;D xsi:type="xsd:double"&gt;1.1017563&lt;/D&gt;&lt;/FQL&gt;&lt;FQL&gt;&lt;Q&gt;HUBB-US^P_BETA_LOCIDX(45337,45162,,"SPX")&lt;/Q&gt;&lt;R&gt;1&lt;/R&gt;&lt;C&gt;1&lt;/C&gt;&lt;D xsi:type="xsd:double"&gt;1.0829518&lt;/D&gt;&lt;/FQL&gt;&lt;FQL&gt;&lt;Q&gt;HUBB-US^P_BETA_LOCIDX(45336,45161,,"SPX")&lt;/Q&gt;&lt;R&gt;1&lt;/R&gt;&lt;C&gt;1&lt;/C&gt;&lt;D xsi:type="xsd:double"&gt;1.1204562&lt;/D&gt;&lt;/FQL&gt;&lt;FQL&gt;&lt;Q&gt;HUBB-US^P_BETA_LOCIDX(45335,45160,,"SPX")&lt;/Q&gt;&lt;R&gt;1&lt;/R&gt;&lt;C&gt;1&lt;/C&gt;&lt;D xsi:type="xsd:double"&gt;1.1077731&lt;/D&gt;&lt;/FQL&gt;&lt;FQL&gt;&lt;Q&gt;HUBB-US^P_BETA_LOCIDX(45334,45159,,"SPX")&lt;/Q&gt;&lt;R&gt;1&lt;/R&gt;&lt;C&gt;1&lt;/C&gt;&lt;D xsi:type="xsd:double"&gt;1.1006601&lt;/D&gt;&lt;/FQL&gt;&lt;FQL&gt;&lt;Q&gt;HUBB-US^P_BETA_LOCIDX(45331,45156,,"SPX")&lt;/Q&gt;&lt;R&gt;1&lt;/R&gt;&lt;C&gt;1&lt;/C&gt;&lt;D xsi:type="xsd:double"&gt;1.0962034&lt;/D&gt;&lt;/FQL&gt;&lt;FQL&gt;&lt;Q&gt;HUBB-US^P_BETA_LOCIDX(45330,45155,,"SPX")&lt;/Q&gt;&lt;R&gt;1&lt;/R&gt;&lt;C&gt;1&lt;/C&gt;&lt;D xsi:type="xsd:double"&gt;1.1061543&lt;/D&gt;&lt;/FQL&gt;&lt;FQL&gt;&lt;Q&gt;HUBB-US^P_BETA_LOCIDX(45329,45154,,"SPX")&lt;/Q&gt;&lt;R&gt;1&lt;/R&gt;&lt;C&gt;1&lt;/C&gt;&lt;D xsi:type="xsd:double"&gt;1.0972201&lt;/D&gt;&lt;/FQL&gt;&lt;FQL&gt;&lt;Q&gt;HUBB-US^P_BETA_LOCIDX(45328,45153,,"SPX")&lt;/Q&gt;&lt;R&gt;1&lt;/R&gt;&lt;C&gt;1&lt;/C&gt;&lt;D xsi:type="xsd:double"&gt;1.091531&lt;/D&gt;&lt;/FQL&gt;&lt;FQL&gt;&lt;Q&gt;HUBB-US^P_BETA_LOCIDX(45327,45152,,"SPX")&lt;/Q&gt;&lt;R&gt;1&lt;/R&gt;&lt;C&gt;1&lt;/C&gt;&lt;D xsi:type="xsd:double"&gt;1.0959061&lt;/D&gt;&lt;/FQL&gt;&lt;FQL&gt;&lt;Q&gt;HUBB-US^P_BETA_LOCIDX(45324,45149,,"SPX")&lt;/Q&gt;&lt;R&gt;1&lt;/R&gt;&lt;C&gt;1&lt;/C&gt;&lt;D xsi:type="xsd:double"&gt;1.0882206&lt;/D&gt;&lt;/FQL&gt;&lt;FQL&gt;&lt;Q&gt;HUBB-US^P_BETA_LOCIDX(45323,45148,,"SPX")&lt;/Q&gt;&lt;R&gt;1&lt;/R&gt;&lt;C&gt;1&lt;/C&gt;&lt;D xsi:type="xsd:double"&gt;1.0633342&lt;/D&gt;&lt;/FQL&gt;&lt;FQL&gt;&lt;Q&gt;HUBB-US^P_BETA_LOCIDX(45322,45147,,"SPX")&lt;/Q&gt;&lt;R&gt;1&lt;/R&gt;&lt;C&gt;1&lt;/C&gt;&lt;D xsi:type="xsd:double"&gt;1.0665009&lt;/D&gt;&lt;/FQL&gt;&lt;FQL&gt;&lt;Q&gt;HUBB-US^P_BETA_LOCIDX(45321,45146,,"SPX")&lt;/Q&gt;&lt;R&gt;1&lt;/R&gt;&lt;C&gt;1&lt;/C&gt;&lt;D xsi:type="xsd:double"&gt;1.0310036&lt;/D&gt;&lt;/FQL&gt;&lt;FQL&gt;&lt;Q&gt;HUBB-US^P_BETA_LOCIDX(45320,45145,,"SPX")&lt;/Q&gt;&lt;R&gt;1&lt;/R&gt;&lt;C&gt;1&lt;/C&gt;&lt;D xsi:type="xsd:double"&gt;1.0493351&lt;/D&gt;&lt;/FQL&gt;&lt;FQL&gt;&lt;Q&gt;HUBB-US^P_BETA_LOCIDX(45317,45142,,"SPX")&lt;/Q&gt;&lt;R&gt;1&lt;/R&gt;&lt;C&gt;1&lt;/C&gt;&lt;D xsi:type="xsd:double"&gt;1.0481999&lt;/D&gt;&lt;/FQL&gt;&lt;FQL&gt;&lt;Q&gt;HUBB-US^P_BETA_LOCIDX(45316,45141,,"SPX")&lt;/Q&gt;&lt;R&gt;1&lt;/R&gt;&lt;C&gt;1&lt;/C&gt;&lt;D xsi:type="xsd:double"&gt;1.0544486&lt;/D&gt;&lt;/FQL&gt;&lt;FQL&gt;&lt;Q&gt;HUBB-US^P_BETA_LOCIDX(45315,45140,,"SPX")&lt;/Q&gt;&lt;R&gt;1&lt;/R&gt;&lt;C&gt;1&lt;/C&gt;&lt;D xsi:type="xsd:double"&gt;1.031961&lt;/D&gt;&lt;/FQL&gt;&lt;FQL&gt;&lt;Q&gt;HUBB-US^P_BETA_LOCIDX(45314,45139,,"SPX")&lt;/Q&gt;&lt;R&gt;1&lt;/R&gt;&lt;C&gt;1&lt;/C&gt;&lt;D xsi:type="xsd:double"&gt;1.0254772&lt;/D&gt;&lt;/FQL&gt;&lt;FQL&gt;&lt;Q&gt;HUBB-US^P_BETA_LOCIDX(45313,45138,,"SPX")&lt;/Q&gt;&lt;R&gt;1&lt;/R&gt;&lt;C&gt;1&lt;/C&gt;&lt;D xsi:type="xsd:double"&gt;1.0313482&lt;/D&gt;&lt;/FQL&gt;&lt;FQL&gt;&lt;Q&gt;HUBB-US^P_BETA_LOCIDX(45310,45135,,"SPX")&lt;/Q&gt;&lt;R&gt;1&lt;/R&gt;&lt;C&gt;1&lt;/C&gt;&lt;D xsi:type="xsd:double"&gt;1.0207027&lt;/D&gt;&lt;/FQL&gt;&lt;FQL&gt;&lt;Q&gt;HUBB-US^P_BETA_LOCIDX(45309,45134,,"SPX")&lt;/Q&gt;&lt;R&gt;1&lt;/R&gt;&lt;C&gt;1&lt;/C&gt;&lt;D xsi:type="xsd:double"&gt;1.020237&lt;/D&gt;&lt;/FQL&gt;&lt;FQL&gt;&lt;Q&gt;HUBB-US^P_BETA_LOCIDX(45308,45133,,"SPX")&lt;/Q&gt;&lt;R&gt;1&lt;/R&gt;&lt;C&gt;1&lt;/C&gt;&lt;D xsi:type="xsd:double"&gt;1.0176938&lt;/D&gt;&lt;/FQL&gt;&lt;FQL&gt;&lt;Q&gt;HUBB-US^P_BETA_LOCIDX(45307,45132,,"SPX")&lt;/Q&gt;&lt;R&gt;1&lt;/R&gt;&lt;C&gt;1&lt;/C&gt;&lt;D xsi:type="xsd:double"&gt;0.9921533&lt;/D&gt;&lt;/FQL&gt;&lt;FQL&gt;&lt;Q&gt;HUBB-US^P_BETA_LOCIDX(45303,45131,,"SPX")&lt;/Q&gt;&lt;R&gt;1&lt;/R&gt;&lt;C&gt;1&lt;/C&gt;&lt;D xsi:type="xsd:double"&gt;0.990597&lt;/D&gt;&lt;/FQL&gt;&lt;FQL&gt;&lt;Q&gt;HUBB-US^P_BETA_LOCIDX(45302,45128,,"SPX")&lt;/Q&gt;&lt;R&gt;1&lt;/R&gt;&lt;C&gt;1&lt;/C&gt;&lt;D xsi:type="xsd:double"&gt;0.99086463&lt;/D&gt;&lt;/FQL&gt;&lt;FQL&gt;&lt;Q&gt;HUBB-US^P_BETA_LOCIDX(45301,45127,,"SPX")&lt;/Q&gt;&lt;R&gt;1&lt;/R&gt;&lt;C&gt;1&lt;/C&gt;&lt;D xsi:type="xsd:double"&gt;0.98274255&lt;/D&gt;&lt;/FQL&gt;&lt;FQL&gt;&lt;Q&gt;HUBB-US^P_BETA_LOCIDX(45300,45126,,"SPX")&lt;/Q&gt;&lt;R&gt;1&lt;/R&gt;&lt;C&gt;1&lt;/C&gt;&lt;D xsi:type="xsd:double"&gt;0.9911527&lt;/D&gt;&lt;/FQL&gt;&lt;FQL&gt;&lt;Q&gt;HUBB-US^P_BETA_LOCIDX(45299,45125,,"SPX")&lt;/Q&gt;&lt;R&gt;1&lt;/R&gt;&lt;C&gt;1&lt;/C&gt;&lt;D xsi:type="xsd:double"&gt;1.0054938&lt;/D&gt;&lt;/FQL&gt;&lt;FQL&gt;&lt;Q&gt;HUBB-US^P_BETA_LOCIDX(45296,45124,,"SPX")&lt;/Q&gt;&lt;R&gt;1&lt;/R&gt;&lt;C&gt;1&lt;/C&gt;&lt;D xsi:type="xsd:double"&gt;1.0043832&lt;/D&gt;&lt;/FQL&gt;&lt;FQL&gt;&lt;Q&gt;HUBB-US^P_BETA_LOCIDX(45295,45121,,"SPX")&lt;/Q&gt;&lt;R&gt;1&lt;/R&gt;&lt;C&gt;1&lt;/C&gt;&lt;D xsi:type="xsd:double"&gt;1.0075333&lt;/D&gt;&lt;/FQL&gt;&lt;FQL&gt;&lt;Q&gt;HUBB-US^P_BETA_LOCIDX(45294,45120,,"SPX")&lt;/Q&gt;&lt;R&gt;1&lt;/R&gt;&lt;C&gt;1&lt;/C&gt;&lt;D xsi:type="xsd:double"&gt;1.0113355&lt;/D&gt;&lt;/FQL&gt;&lt;FQL&gt;&lt;Q&gt;HUBB-US^P_BETA_LOCIDX(45293,45119,,"SPX")&lt;/Q&gt;&lt;R&gt;1&lt;/R&gt;&lt;C&gt;1&lt;/C&gt;&lt;D xsi:type="xsd:double"&gt;0.9753674&lt;/D&gt;&lt;/FQL&gt;&lt;FQL&gt;&lt;Q&gt;HUBB-US^P_BETA_LOCIDX(45289,45118,,"SPX")&lt;/Q&gt;&lt;R&gt;1&lt;/R&gt;&lt;C&gt;1&lt;/C&gt;&lt;D xsi:type="xsd:double"&gt;0.959892&lt;/D&gt;&lt;/FQL&gt;&lt;FQL&gt;&lt;Q&gt;HUBB-US^P_BETA_LOCIDX(45288,45117,,"SPX")&lt;/Q&gt;&lt;R&gt;1&lt;/R&gt;&lt;C&gt;1&lt;/C&gt;&lt;D xsi:type="xsd:double"&gt;0.96864325&lt;/D&gt;&lt;/FQL&gt;&lt;FQL&gt;&lt;Q&gt;HUBB-US^P_BETA_LOCIDX(45287,45114,,"SPX")&lt;/Q&gt;&lt;R&gt;1&lt;/R&gt;&lt;C&gt;1&lt;/C&gt;&lt;D xsi:type="xsd:double"&gt;0.9644956&lt;/D&gt;&lt;/FQL&gt;&lt;FQL&gt;&lt;Q&gt;HUBB-US^P_BETA_LOCIDX(45286,45113,,"SPX")&lt;/Q&gt;&lt;R&gt;1&lt;/R&gt;&lt;C&gt;1&lt;/C&gt;&lt;D xsi:type="xsd:double"&gt;0.9595079&lt;/D&gt;&lt;/FQL&gt;&lt;FQL&gt;&lt;Q&gt;HUBB-US^P_BETA_LOCIDX(45282,45112,,"SPX")&lt;/Q&gt;&lt;R&gt;1&lt;/R&gt;&lt;C&gt;1&lt;/C&gt;&lt;D xsi:type="xsd:double"&gt;0.9572786&lt;/D&gt;&lt;/FQL&gt;&lt;FQL&gt;&lt;Q&gt;HUBB-US^P_BETA_LOCIDX(45281,45110,,"SPX")&lt;/Q&gt;&lt;R&gt;1&lt;/R&gt;&lt;C&gt;1&lt;/C&gt;&lt;D xsi:type="xsd:double"&gt;0.9559572&lt;/D&gt;&lt;/FQL&gt;&lt;FQL&gt;&lt;Q&gt;HUBB-US^P_BETA_LOCIDX(45280,45107,,"SPX")&lt;/Q&gt;&lt;R&gt;1&lt;/R&gt;&lt;C&gt;1&lt;/C&gt;&lt;D xsi:type="xsd:double"&gt;0.95765144&lt;/D&gt;&lt;/FQL&gt;&lt;FQL&gt;&lt;Q&gt;HUBB-US^P_BETA_LOCIDX(45279,45106,,"SPX")&lt;/Q&gt;&lt;R&gt;1&lt;/R&gt;&lt;C&gt;1&lt;/C&gt;&lt;D xsi:type="xsd:double"&gt;0.98114604&lt;/D&gt;&lt;/FQL&gt;&lt;FQL&gt;&lt;Q&gt;HUBB-US^P_BETA_LOCIDX(45278,45105,,"SPX")&lt;/Q&gt;&lt;R&gt;1&lt;/R&gt;&lt;C&gt;1&lt;/C&gt;&lt;D xsi:type="xsd:double"&gt;0.98946846&lt;/D&gt;&lt;/FQL&gt;&lt;FQL&gt;&lt;Q&gt;HUBB-US^P_BETA_LOCIDX(45275,45104,,"SPX")&lt;/Q&gt;&lt;R&gt;1&lt;/R&gt;&lt;C&gt;1&lt;/C&gt;&lt;D xsi:type="xsd:double"&gt;0.9944295&lt;/D&gt;&lt;/FQL&gt;&lt;FQL&gt;&lt;Q&gt;HUBB-US^P_BETA_LOCIDX(45274,45103,,"SPX")&lt;/Q&gt;&lt;R&gt;1&lt;/R&gt;&lt;C&gt;1&lt;/C&gt;&lt;D xsi:type="xsd:double"&gt;0.98418623&lt;/D&gt;&lt;/FQL&gt;&lt;FQL&gt;&lt;Q&gt;HUBB-US^P_BETA_LOCIDX(45273,45100,,"SPX")&lt;/Q&gt;&lt;R&gt;1&lt;/R&gt;&lt;C&gt;1&lt;/C&gt;&lt;D xsi:type="xsd:double"&gt;0.9805088&lt;/D&gt;&lt;/FQL&gt;&lt;FQL&gt;&lt;Q&gt;HUBB-US^P_BETA_LOCIDX(45272,45099,,"SPX")&lt;/Q&gt;&lt;R&gt;1&lt;/R&gt;&lt;C&gt;1&lt;/C&gt;&lt;D xsi:type="xsd:double"&gt;1.0289283&lt;/D&gt;&lt;/FQL&gt;&lt;FQL&gt;&lt;Q&gt;HUBB-US^P_BETA_LOCIDX(45271,45098,,"SPX")&lt;/Q&gt;&lt;R&gt;1&lt;/R&gt;&lt;C&gt;1&lt;/C&gt;&lt;D xsi:type="xsd:double"&gt;1.0133097&lt;/D&gt;&lt;/FQL&gt;&lt;FQL&gt;&lt;Q&gt;HUBB-US^P_BETA_LOCIDX(45268,45097,,"SPX")&lt;/Q&gt;&lt;R&gt;1&lt;/R&gt;&lt;C&gt;1&lt;/C&gt;&lt;D xsi:type="xsd:double"&gt;0.99753773&lt;/D&gt;&lt;/FQL&gt;&lt;FQL&gt;&lt;Q&gt;HUBB-US^P_BETA_LOCIDX(45267,45093,,"SPX")&lt;/Q&gt;&lt;R&gt;1&lt;/R&gt;&lt;C&gt;1&lt;/C&gt;&lt;D xsi:type="xsd:double"&gt;0.99456215&lt;/D&gt;&lt;/FQL&gt;&lt;FQL&gt;&lt;Q&gt;HUBB-US^P_BETA_LOCIDX(45266,45092,,"SPX")&lt;/Q&gt;&lt;R&gt;1&lt;/R&gt;&lt;C&gt;1&lt;/C&gt;&lt;D xsi:type="xsd:double"&gt;1.0032254&lt;/D&gt;&lt;/FQL&gt;&lt;FQL&gt;&lt;Q&gt;HUBB-US^P_BETA_LOCIDX(45265,45091,,"SPX")&lt;/Q&gt;&lt;R&gt;1&lt;/R&gt;&lt;C&gt;1&lt;/C&gt;&lt;D xsi:type="xsd:double"&gt;1.0139496&lt;/D&gt;&lt;/FQL&gt;&lt;FQL&gt;&lt;Q&gt;HUBB-US^P_BETA_LOCIDX(45264,45090,,"SPX")&lt;/Q&gt;&lt;R&gt;1&lt;/R&gt;&lt;C&gt;1&lt;/C&gt;&lt;D xsi:type="xsd:double"&gt;1.0213991&lt;/D&gt;&lt;/FQL&gt;&lt;FQL&gt;&lt;Q&gt;HUBB-U</t>
        </r>
      </text>
    </comment>
    <comment ref="A30" authorId="0" shapeId="0" xr:uid="{C4810FCB-9E7A-48F7-9925-DA4196955963}">
      <text>
        <r>
          <rPr>
            <b/>
            <sz val="9"/>
            <color indexed="81"/>
            <rFont val="Tahoma"/>
            <family val="2"/>
          </rPr>
          <t>S^P_BETA_LOCIDX(45261,45089,,"SPX")&lt;/Q&gt;&lt;R&gt;1&lt;/R&gt;&lt;C&gt;1&lt;/C&gt;&lt;D xsi:type="xsd:double"&gt;1.031066&lt;/D&gt;&lt;/FQL&gt;&lt;FQL&gt;&lt;Q&gt;HUBB-US^P_BETA_LOCIDX(45260,45086,,"SPX")&lt;/Q&gt;&lt;R&gt;1&lt;/R&gt;&lt;C&gt;1&lt;/C&gt;&lt;D xsi:type="xsd:double"&gt;1.026458&lt;/D&gt;&lt;/FQL&gt;&lt;FQL&gt;&lt;Q&gt;HUBB-US^P_BETA_LOCIDX(45259,45085,,"SPX")&lt;/Q&gt;&lt;R&gt;1&lt;/R&gt;&lt;C&gt;1&lt;/C&gt;&lt;D xsi:type="xsd:double"&gt;1.0176003&lt;/D&gt;&lt;/FQL&gt;&lt;FQL&gt;&lt;Q&gt;HUBB-US^P_BETA_LOCIDX(45258,45084,,"SPX")&lt;/Q&gt;&lt;R&gt;1&lt;/R&gt;&lt;C&gt;1&lt;/C&gt;&lt;D xsi:type="xsd:double"&gt;0.9964331&lt;/D&gt;&lt;/FQL&gt;&lt;FQL&gt;&lt;Q&gt;HUBB-US^P_BETA_LOCIDX(45257,45083,,"SPX")&lt;/Q&gt;&lt;R&gt;1&lt;/R&gt;&lt;C&gt;1&lt;/C&gt;&lt;D xsi:type="xsd:double"&gt;0.99895954&lt;/D&gt;&lt;/FQL&gt;&lt;FQL&gt;&lt;Q&gt;HUBB-US^P_BETA_LOCIDX(45254,45082,,"SPX")&lt;/Q&gt;&lt;R&gt;1&lt;/R&gt;&lt;C&gt;1&lt;/C&gt;&lt;D xsi:type="xsd:double"&gt;0.9993365&lt;/D&gt;&lt;/FQL&gt;&lt;FQL&gt;&lt;Q&gt;HUBB-US^P_BETA_LOCIDX(45252,45079,,"SPX")&lt;/Q&gt;&lt;R&gt;1&lt;/R&gt;&lt;C&gt;1&lt;/C&gt;&lt;D xsi:type="xsd:double"&gt;1.0214515&lt;/D&gt;&lt;/FQL&gt;&lt;FQL&gt;&lt;Q&gt;HUBB-US^P_BETA_LOCIDX(45251,45078,,"SPX")&lt;/Q&gt;&lt;R&gt;1&lt;/R&gt;&lt;C&gt;1&lt;/C&gt;&lt;D xsi:type="xsd:double"&gt;1.0289677&lt;/D&gt;&lt;/FQL&gt;&lt;FQL&gt;&lt;Q&gt;HUBB-US^P_BETA_LOCIDX(45250,45077,,"SPX")&lt;/Q&gt;&lt;R&gt;1&lt;/R&gt;&lt;C&gt;1&lt;/C&gt;&lt;D xsi:type="xsd:double"&gt;1.0409148&lt;/D&gt;&lt;/FQL&gt;&lt;FQL&gt;&lt;Q&gt;HUBB-US^P_BETA_LOCIDX(45247,45076,,"SPX")&lt;/Q&gt;&lt;R&gt;1&lt;/R&gt;&lt;C&gt;1&lt;/C&gt;&lt;D xsi:type="xsd:double"&gt;1.0491556&lt;/D&gt;&lt;/FQL&gt;&lt;FQL&gt;&lt;Q&gt;HUBB-US^P_BETA_LOCIDX(45246,45072,,"SPX")&lt;/Q&gt;&lt;R&gt;1&lt;/R&gt;&lt;C&gt;1&lt;/C&gt;&lt;D xsi:type="xsd:double"&gt;1.0488534&lt;/D&gt;&lt;/FQL&gt;&lt;FQL&gt;&lt;Q&gt;HUBB-US^P_BETA_LOCIDX(45245,45071,,"SPX")&lt;/Q&gt;&lt;R&gt;1&lt;/R&gt;&lt;C&gt;1&lt;/C&gt;&lt;D xsi:type="xsd:double"&gt;1.0862005&lt;/D&gt;&lt;/FQL&gt;&lt;FQL&gt;&lt;Q&gt;HUBB-US^P_BETA_LOCIDX(45244,45070,,"SPX")&lt;/Q&gt;&lt;R&gt;1&lt;/R&gt;&lt;C&gt;1&lt;/C&gt;&lt;D xsi:type="xsd:double"&gt;1.0828745&lt;/D&gt;&lt;/FQL&gt;&lt;FQL&gt;&lt;Q&gt;HUBB-US^P_BETA_LOCIDX(45243,45069,,"SPX")&lt;/Q&gt;&lt;R&gt;1&lt;/R&gt;&lt;C&gt;1&lt;/C&gt;&lt;D xsi:type="xsd:double"&gt;1.1134298&lt;/D&gt;&lt;/FQL&gt;&lt;FQL&gt;&lt;Q&gt;HUBB-US^P_BETA_LOCIDX(45240,45068,,"SPX")&lt;/Q&gt;&lt;R&gt;1&lt;/R&gt;&lt;C&gt;1&lt;/C&gt;&lt;D xsi:type="xsd:double"&gt;1.1140537&lt;/D&gt;&lt;/FQL&gt;&lt;FQL&gt;&lt;Q&gt;HUBB-US^P_BETA_LOCIDX(45239,45065,,"SPX")&lt;/Q&gt;&lt;R&gt;1&lt;/R&gt;&lt;C&gt;1&lt;/C&gt;&lt;D xsi:type="xsd:double"&gt;1.1174713&lt;/D&gt;&lt;/FQL&gt;&lt;FQL&gt;&lt;Q&gt;HUBB-US^P_BETA_LOCIDX(45238,45064,,"SPX")&lt;/Q&gt;&lt;R&gt;1&lt;/R&gt;&lt;C&gt;1&lt;/C&gt;&lt;D xsi:type="xsd:double"&gt;1.1578423&lt;/D&gt;&lt;/FQL&gt;&lt;FQL&gt;&lt;Q&gt;HUBB-US^P_BETA_LOCIDX(45237,45063,,"SPX")&lt;/Q&gt;&lt;R&gt;1&lt;/R&gt;&lt;C&gt;1&lt;/C&gt;&lt;D xsi:type="xsd:double"&gt;1.1649973&lt;/D&gt;&lt;/FQL&gt;&lt;FQL&gt;&lt;Q&gt;HUBB-US^P_BETA_LOCIDX(45236,45062,,"SPX")&lt;/Q&gt;&lt;R&gt;1&lt;/R&gt;&lt;C&gt;1&lt;/C&gt;&lt;D xsi:type="xsd:double"&gt;1.1706549&lt;/D&gt;&lt;/FQL&gt;&lt;FQL&gt;&lt;Q&gt;HUBB-US^P_BETA_LOCIDX(45233,45061,,"SPX")&lt;/Q&gt;&lt;R&gt;1&lt;/R&gt;&lt;C&gt;1&lt;/C&gt;&lt;D xsi:type="xsd:double"&gt;1.1722435&lt;/D&gt;&lt;/FQL&gt;&lt;FQL&gt;&lt;Q&gt;HUBB-US^P_BETA_LOCIDX(45232,45058,,"SPX")&lt;/Q&gt;&lt;R&gt;1&lt;/R&gt;&lt;C&gt;1&lt;/C&gt;&lt;D xsi:type="xsd:double"&gt;1.1797435&lt;/D&gt;&lt;/FQL&gt;&lt;FQL&gt;&lt;Q&gt;HUBB-US^P_BETA_LOCIDX(45231,45057,,"SPX")&lt;/Q&gt;&lt;R&gt;1&lt;/R&gt;&lt;C&gt;1&lt;/C&gt;&lt;D xsi:type="xsd:double"&gt;1.2252021&lt;/D&gt;&lt;/FQL&gt;&lt;FQL&gt;&lt;Q&gt;HUBB-US^P_BETA_LOCIDX(45230,45056,,"SPX")&lt;/Q&gt;&lt;R&gt;1&lt;/R&gt;&lt;C&gt;1&lt;/C&gt;&lt;D xsi:type="xsd:double"&gt;1.1920115&lt;/D&gt;&lt;/FQL&gt;&lt;FQL&gt;&lt;Q&gt;HUBB-US^P_BETA_LOCIDX(45229,45055,,"SPX")&lt;/Q&gt;&lt;R&gt;1&lt;/R&gt;&lt;C&gt;1&lt;/C&gt;&lt;D xsi:type="xsd:double"&gt;1.240942&lt;/D&gt;&lt;/FQL&gt;&lt;FQL&gt;&lt;Q&gt;HUBB-US^P_BETA_LOCIDX(45226,45054,,"SPX")&lt;/Q&gt;&lt;R&gt;1&lt;/R&gt;&lt;C&gt;1&lt;/C&gt;&lt;D xsi:type="xsd:double"&gt;1.253993&lt;/D&gt;&lt;/FQL&gt;&lt;FQL&gt;&lt;Q&gt;HUBB-US^P_BETA_LOCIDX(45225,45051,,"SPX")&lt;/Q&gt;&lt;R&gt;1&lt;/R&gt;&lt;C&gt;1&lt;/C&gt;&lt;D xsi:type="xsd:double"&gt;1.2172432&lt;/D&gt;&lt;/FQL&gt;&lt;FQL&gt;&lt;Q&gt;HUBB-US^P_BETA_LOCIDX(45224,45050,,"SPX")&lt;/Q&gt;&lt;R&gt;1&lt;/R&gt;&lt;C&gt;1&lt;/C&gt;&lt;D xsi:type="xsd:double"&gt;1.2622857&lt;/D&gt;&lt;/FQL&gt;&lt;FQL&gt;&lt;Q&gt;HUBB-US^P_BETA_LOCIDX(45223,45049,,"SPX")&lt;/Q&gt;&lt;R&gt;1&lt;/R&gt;&lt;C&gt;1&lt;/C&gt;&lt;D xsi:type="xsd:double"&gt;1.3010548&lt;/D&gt;&lt;/FQL&gt;&lt;FQL&gt;&lt;Q&gt;HUBB-US^P_BETA_LOCIDX(45222,45048,,"SPX")&lt;/Q&gt;&lt;R&gt;1&lt;/R&gt;&lt;C&gt;1&lt;/C&gt;&lt;D xsi:type="xsd:double"&gt;1.2302021&lt;/D&gt;&lt;/FQL&gt;&lt;FQL&gt;&lt;Q&gt;HUBB-US^P_BETA_LOCIDX(45219,45047,,"SPX")&lt;/Q&gt;&lt;R&gt;1&lt;/R&gt;&lt;C&gt;1&lt;/C&gt;&lt;D xsi:type="xsd:double"&gt;1.230161&lt;/D&gt;&lt;/FQL&gt;&lt;FQL&gt;&lt;Q&gt;HUBB-US^P_BETA_LOCIDX(45218,45044,,"SPX")&lt;/Q&gt;&lt;R&gt;1&lt;/R&gt;&lt;C&gt;1&lt;/C&gt;&lt;D xsi:type="xsd:double"&gt;1.2223227&lt;/D&gt;&lt;/FQL&gt;&lt;FQL&gt;&lt;Q&gt;HUBB-US^P_BETA_LOCIDX(45217,45043,,"SPX")&lt;/Q&gt;&lt;R&gt;1&lt;/R&gt;&lt;C&gt;1&lt;/C&gt;&lt;D xsi:type="xsd:double"&gt;1.2203319&lt;/D&gt;&lt;/FQL&gt;&lt;FQL&gt;&lt;Q&gt;HUBB-US^P_BETA_LOCIDX(45216,45042,,"SPX")&lt;/Q&gt;&lt;R&gt;1&lt;/R&gt;&lt;C&gt;1&lt;/C&gt;&lt;D xsi:type="xsd:double"&gt;1.1799963&lt;/D&gt;&lt;/FQL&gt;&lt;FQL&gt;&lt;Q&gt;HUBB-US^P_BETA_LOCIDX(45215,45041,,"SPX")&lt;/Q&gt;&lt;R&gt;1&lt;/R&gt;&lt;C&gt;1&lt;/C&gt;&lt;D xsi:type="xsd:double"&gt;0.85311806&lt;/D&gt;&lt;/FQL&gt;&lt;FQL&gt;&lt;Q&gt;HUBB-US^P_BETA_LOCIDX(45212,45040,,"SPX")&lt;/Q&gt;&lt;R&gt;1&lt;/R&gt;&lt;C&gt;1&lt;/C&gt;&lt;D xsi:type="xsd:double"&gt;0.8221858&lt;/D&gt;&lt;/FQL&gt;&lt;FQL&gt;&lt;Q&gt;HUBB-US^P_BETA_LOCIDX(45211,45037,,"SPX")&lt;/Q&gt;&lt;R&gt;1&lt;/R&gt;&lt;C&gt;1&lt;/C&gt;&lt;D xsi:type="xsd:double"&gt;0.78427017&lt;/D&gt;&lt;/FQL&gt;&lt;FQL&gt;&lt;Q&gt;HUBB-US^P_BETA_LOCIDX(45210,45036,,"SPX")&lt;/Q&gt;&lt;R&gt;1&lt;/R&gt;&lt;C&gt;1&lt;/C&gt;&lt;D xsi:type="xsd:double"&gt;0.7851874&lt;/D&gt;&lt;/FQL&gt;&lt;FQL&gt;&lt;Q&gt;HUBB-US^P_BETA_LOCIDX(45209,45035,,"SPX")&lt;/Q&gt;&lt;R&gt;1&lt;/R&gt;&lt;C&gt;1&lt;/C&gt;&lt;D xsi:type="xsd:double"&gt;0.7836249&lt;/D&gt;&lt;/FQL&gt;&lt;FQL&gt;&lt;Q&gt;HUBB-US^P_BETA_LOCIDX(45208,45034,,"SPX")&lt;/Q&gt;&lt;R&gt;1&lt;/R&gt;&lt;C&gt;1&lt;/C&gt;&lt;D xsi:type="xsd:double"&gt;0.7901676&lt;/D&gt;&lt;/FQL&gt;&lt;FQL&gt;&lt;Q&gt;HUBB-US^P_BETA_LOCIDX(45205,45033,,"SPX")&lt;/Q&gt;&lt;R&gt;1&lt;/R&gt;&lt;C&gt;1&lt;/C&gt;&lt;D xsi:type="xsd:double"&gt;0.80423254&lt;/D&gt;&lt;/FQL&gt;&lt;FQL&gt;&lt;Q&gt;HUBB-US^P_BETA_LOCIDX(45204,45030,,"SPX")&lt;/Q&gt;&lt;R&gt;1&lt;/R&gt;&lt;C&gt;1&lt;/C&gt;&lt;D xsi:type="xsd:double"&gt;0.7637724&lt;/D&gt;&lt;/FQL&gt;&lt;FQL&gt;&lt;Q&gt;HUBB-US^P_BETA_LOCIDX(45203,45029,,"SPX")&lt;/Q&gt;&lt;R&gt;1&lt;/R&gt;&lt;C&gt;1&lt;/C&gt;&lt;D xsi:type="xsd:double"&gt;0.73098445&lt;/D&gt;&lt;/FQL&gt;&lt;FQL&gt;&lt;Q&gt;HUBB-US^P_BETA_LOCIDX(45202,45028,,"SPX")&lt;/Q&gt;&lt;R&gt;1&lt;/R&gt;&lt;C&gt;1&lt;/C&gt;&lt;D xsi:type="xsd:double"&gt;0.727427&lt;/D&gt;&lt;/FQL&gt;&lt;FQL&gt;&lt;Q&gt;HUBB-US^P_BETA_LOCIDX(45201,45027,,"SPX")&lt;/Q&gt;&lt;R&gt;1&lt;/R&gt;&lt;C&gt;1&lt;/C&gt;&lt;D xsi:type="xsd:double"&gt;0.71672326&lt;/D&gt;&lt;/FQL&gt;&lt;FQL&gt;&lt;Q&gt;HUBB-US^P_BETA_LOCIDX(45198,45026,,"SPX")&lt;/Q&gt;&lt;R&gt;1&lt;/R&gt;&lt;C&gt;1&lt;/C&gt;&lt;D xsi:type="xsd:double"&gt;0.7170519&lt;/D&gt;&lt;/FQL&gt;&lt;FQL&gt;&lt;Q&gt;HUBB-US^P_BETA_LOCIDX(45197,45022,,"SPX")&lt;/Q&gt;&lt;R&gt;1&lt;/R&gt;&lt;C&gt;1&lt;/C&gt;&lt;D xsi:type="xsd:double"&gt;0.7009033&lt;/D&gt;&lt;/FQL&gt;&lt;FQL&gt;&lt;Q&gt;HUBB-US^P_BETA_LOCIDX(45196,45021,,"SPX")&lt;/Q&gt;&lt;R&gt;1&lt;/R&gt;&lt;C&gt;1&lt;/C&gt;&lt;D xsi:type="xsd:double"&gt;0.71555924&lt;/D&gt;&lt;/FQL&gt;&lt;FQL&gt;&lt;Q&gt;HUBB-US^P_BETA_LOCIDX(45195,45020,,"SPX")&lt;/Q&gt;&lt;R&gt;1&lt;/R&gt;&lt;C&gt;1&lt;/C&gt;&lt;D xsi:type="xsd:double"&gt;0.7681168&lt;/D&gt;&lt;/FQL&gt;&lt;FQL&gt;&lt;Q&gt;HUBB-US^P_BETA_LOCIDX(45194,45019,,"SPX")&lt;/Q&gt;&lt;R&gt;1&lt;/R&gt;&lt;C&gt;1&lt;/C&gt;&lt;D xsi:type="xsd:double"&gt;0.7582564&lt;/D&gt;&lt;/FQL&gt;&lt;FQL&gt;&lt;Q&gt;HUBB-US^P_BETA_LOCIDX(45191,45016,,"SPX")&lt;/Q&gt;&lt;R&gt;1&lt;/R&gt;&lt;C&gt;1&lt;/C&gt;&lt;D xsi:type="xsd:double"&gt;0.74857724&lt;/D&gt;&lt;/FQL&gt;&lt;FQL&gt;&lt;Q&gt;HUBB-US^P_BETA_LOCIDX(45190,45015,,"SPX")&lt;/Q&gt;&lt;R&gt;1&lt;/R&gt;&lt;C&gt;1&lt;/C&gt;&lt;D xsi:type="xsd:double"&gt;0.7463006&lt;/D&gt;&lt;/FQL&gt;&lt;FQL&gt;&lt;Q&gt;HUBB-US^P_BETA_LOCIDX(45189,45014,,"SPX")&lt;/Q&gt;&lt;R&gt;1&lt;/R&gt;&lt;C&gt;1&lt;/C&gt;&lt;D xsi:type="xsd:double"&gt;0.72704536&lt;/D&gt;&lt;/FQL&gt;&lt;FQL&gt;&lt;Q&gt;HUBB-US^P_BETA_LOCIDX(45188,45013,,"SPX")&lt;/Q&gt;&lt;R&gt;1&lt;/R&gt;&lt;C&gt;1&lt;/C&gt;&lt;D xsi:type="xsd:double"&gt;0.70973&lt;/D&gt;&lt;/FQL&gt;&lt;FQL&gt;&lt;Q&gt;HUBB-US^P_BETA_LOCIDX(45187,45012,,"SPX")&lt;/Q&gt;&lt;R&gt;1&lt;/R&gt;&lt;C&gt;1&lt;/C&gt;&lt;D xsi:type="xsd:double"&gt;0.70144725&lt;/D&gt;&lt;/FQL&gt;&lt;FQL&gt;&lt;Q&gt;HUBB-US^P_BETA_LOCIDX(45184,45009,,"SPX")&lt;/Q&gt;&lt;R&gt;1&lt;/R&gt;&lt;C&gt;1&lt;/C&gt;&lt;D xsi:type="xsd:double"&gt;0.692877&lt;/D&gt;&lt;/FQL&gt;&lt;FQL&gt;&lt;Q&gt;HUBB-US^P_BETA_LOCIDX(45183,45008,,"SPX")&lt;/Q&gt;&lt;R&gt;1&lt;/R&gt;&lt;C&gt;1&lt;/C&gt;&lt;D xsi:type="xsd:double"&gt;0.6738162&lt;/D&gt;&lt;/FQL&gt;&lt;FQL&gt;&lt;Q&gt;HUBB-US^P_BETA_LOCIDX(45182,45007,,"SPX")&lt;/Q&gt;&lt;R&gt;1&lt;/R&gt;&lt;C&gt;1&lt;/C&gt;&lt;D xsi:type="xsd:double"&gt;0.70851433&lt;/D&gt;&lt;/FQL&gt;&lt;FQL&gt;&lt;Q&gt;HUBB-US^P_BETA_LOCIDX(45181,45006,,"SPX")&lt;/Q&gt;&lt;R&gt;1&lt;/R&gt;&lt;C&gt;1&lt;/C&gt;&lt;D xsi:type="xsd:double"&gt;0.6923196&lt;/D&gt;&lt;/FQL&gt;&lt;FQL&gt;&lt;Q&gt;HUBB-US^P_BETA_LOCIDX(45180,45005,,"SPX")&lt;/Q&gt;&lt;R&gt;1&lt;/R&gt;&lt;C&gt;1&lt;/C&gt;&lt;D xsi:type="xsd:double"&gt;0.69422853&lt;/D&gt;&lt;/FQL&gt;&lt;FQL&gt;&lt;Q&gt;HUBB-US^P_BETA_LOCIDX(45177,45002,,"SPX")&lt;/Q&gt;&lt;R&gt;1&lt;/R&gt;&lt;C&gt;1&lt;/C&gt;&lt;D xsi:type="xsd:double"&gt;0.74415135&lt;/D&gt;&lt;/FQL&gt;&lt;FQL&gt;&lt;Q&gt;HUBB-US^P_BETA_LOCIDX(45176,45001,,"SPX")&lt;/Q&gt;&lt;R&gt;1&lt;/R&gt;&lt;C&gt;1&lt;/C&gt;&lt;D xsi:type="xsd:double"&gt;0.78301126&lt;/D&gt;&lt;/FQL&gt;&lt;FQL&gt;&lt;Q&gt;HUBB-US^P_BETA_LOCIDX(45175,45000,,"SPX")&lt;/Q&gt;&lt;R&gt;1&lt;/R&gt;&lt;C&gt;1&lt;/C&gt;&lt;D xsi:type="xsd:double"&gt;0.85159016&lt;/D&gt;&lt;/FQL&gt;&lt;FQL&gt;&lt;Q&gt;HUBB-US^P_BETA_LOCIDX(45174,44999,,"SPX")&lt;/Q&gt;&lt;R&gt;1&lt;/R&gt;&lt;C&gt;1&lt;/C&gt;&lt;D xsi:type="xsd:double"&gt;0.91810405&lt;/D&gt;&lt;/FQL&gt;&lt;FQL&gt;&lt;Q&gt;HUBB-US^P_BETA_LOCIDX(45170,44998,,"SPX")&lt;/Q&gt;&lt;R&gt;1&lt;/R&gt;&lt;C&gt;1&lt;/C&gt;&lt;D xsi:type="xsd:double"&gt;0.8882187&lt;/D&gt;&lt;/FQL&gt;&lt;FQL&gt;&lt;Q&gt;HUBB-US^P_BETA_LOCIDX(45169,44995,,"SPX")&lt;/Q&gt;&lt;R&gt;1&lt;/R&gt;&lt;C&gt;1&lt;/C&gt;&lt;D xsi:type="xsd:double"&gt;0.9299613&lt;/D&gt;&lt;/FQL&gt;&lt;FQL&gt;&lt;Q&gt;HUBB-US^P_BETA_LOCIDX(45168,44994,,"SPX")&lt;/Q&gt;&lt;R&gt;1&lt;/R&gt;&lt;C&gt;1&lt;/C&gt;&lt;D xsi:type="xsd:double"&gt;0.93208784&lt;/D&gt;&lt;/FQL&gt;&lt;FQL&gt;&lt;Q&gt;HUBB-US^P_BETA_LOCIDX(45167,44993,,"SPX")&lt;/Q&gt;&lt;R&gt;1&lt;/R&gt;&lt;C&gt;1&lt;/C&gt;&lt;D xsi:type="xsd:double"&gt;0.9347349&lt;/D&gt;&lt;/FQL&gt;&lt;FQL&gt;&lt;Q&gt;HUBB-US^P_BETA_LOCIDX(45166,44992,,"SPX")&lt;/Q&gt;&lt;R&gt;1&lt;/R&gt;&lt;C&gt;1&lt;/C&gt;&lt;D xsi:type="xsd:double"&gt;0.95120406&lt;/D&gt;&lt;/FQL&gt;&lt;FQL&gt;&lt;Q&gt;HUBB-US^P_BETA_LOCIDX(45163,44991,,"SPX")&lt;/Q&gt;&lt;R&gt;1&lt;/R&gt;&lt;C&gt;1&lt;/C&gt;&lt;D xsi:type="xsd:double"&gt;0.95099825&lt;/D&gt;&lt;/FQL&gt;&lt;FQL&gt;&lt;Q&gt;HUBB-US^P_BETA_LOCIDX(45162,44988,,"SPX")&lt;/Q&gt;&lt;R&gt;1&lt;/R&gt;&lt;C&gt;1&lt;/C&gt;&lt;D xsi:type="xsd:double"&gt;0.934597&lt;/D&gt;&lt;/FQL&gt;&lt;FQL&gt;&lt;Q&gt;HUBB-US^P_BETA_LOCIDX(45161,44987,,"SPX")&lt;/Q&gt;&lt;R&gt;1&lt;/R&gt;&lt;C&gt;1&lt;/C&gt;&lt;D xsi:type="xsd:double"&gt;0.9412392&lt;/D&gt;&lt;/FQL&gt;&lt;FQL&gt;&lt;Q&gt;HUBB-US^P_BETA_LOCIDX(45160,44986,,"SPX")&lt;/Q&gt;&lt;R&gt;1&lt;/R&gt;&lt;C&gt;1&lt;/C&gt;&lt;D xsi:type="xsd:double"&gt;0.91451967&lt;/D&gt;&lt;/FQL&gt;&lt;FQL&gt;&lt;Q&gt;HUBB-US^P_BETA_LOCIDX(45159,44985,,"SPX")&lt;/Q&gt;&lt;R&gt;1&lt;/R&gt;&lt;C&gt;1&lt;/C&gt;&lt;D xsi:type="xsd:double"&gt;0.91472054&lt;/D&gt;&lt;/FQL&gt;&lt;FQL&gt;&lt;Q&gt;HUBB-US^P_BETA_LOCIDX(45156,44984,,"SPX")&lt;/Q&gt;&lt;R&gt;1&lt;/R&gt;&lt;C&gt;1&lt;/C&gt;&lt;D xsi:type="xsd:double"&gt;0.9075204&lt;/D&gt;&lt;/FQL&gt;&lt;FQL&gt;&lt;Q&gt;HUBB-US^P_BETA_LOCIDX(45155,44981,,"SPX")&lt;/Q&gt;&lt;R&gt;1&lt;/R&gt;&lt;C&gt;1&lt;/C&gt;&lt;D xsi:type="xsd:double"&gt;0.8766951&lt;/D&gt;&lt;/FQL&gt;&lt;FQL&gt;&lt;Q&gt;HUBB-US^P_BETA_LOCIDX(45154,44980,,"SPX")&lt;/Q&gt;&lt;R&gt;1&lt;/R&gt;&lt;C&gt;1&lt;/C&gt;&lt;D xsi:type="xsd:double"&gt;0.8647587&lt;/D&gt;&lt;/FQL&gt;&lt;FQL&gt;&lt;Q&gt;HUBB-US^P_BETA_LOCIDX(45153,44979,,"SPX")&lt;/Q&gt;&lt;R&gt;1&lt;/R&gt;&lt;C&gt;1&lt;/C&gt;&lt;D xsi:type="xsd:double"&gt;0.8717609&lt;/D&gt;&lt;/FQL&gt;&lt;FQL&gt;&lt;Q&gt;HUBB-US^P_BETA_LOCIDX(45152,44978,,"SPX")&lt;/Q&gt;&lt;R&gt;1&lt;/R&gt;&lt;C&gt;1&lt;/C&gt;&lt;D xsi:type="xsd:double"&gt;0.8585705&lt;/D&gt;&lt;/FQL&gt;&lt;FQL&gt;&lt;Q&gt;HUBB-US^P_BETA_LOCIDX(45149,44974,,"SPX")&lt;/Q&gt;&lt;R&gt;1&lt;/R&gt;&lt;C&gt;1&lt;/C&gt;&lt;D xsi:type="xsd:double"&gt;0.8514807&lt;/D&gt;&lt;/FQL&gt;&lt;FQL&gt;&lt;Q&gt;HUBB-US^P_BETA_LOCIDX(45148,44973,,"SPX")&lt;/Q&gt;&lt;R&gt;1&lt;/R&gt;&lt;C&gt;1&lt;/C&gt;&lt;D xsi:type="xsd:double"&gt;0.84120524&lt;/D&gt;&lt;/FQL&gt;&lt;FQL&gt;&lt;Q&gt;HUBB-US^P_BETA_LOCIDX(45147,44972,,"SPX")&lt;/Q&gt;&lt;R&gt;1&lt;/R&gt;&lt;C&gt;1&lt;/C&gt;&lt;D xsi:type="xsd:double"&gt;0.8455892&lt;/D&gt;&lt;/FQL&gt;&lt;FQL&gt;&lt;Q&gt;HUBB-US^P_BETA_LOCIDX(45146,44971,,"SPX")&lt;/Q&gt;&lt;R&gt;1&lt;/R&gt;&lt;C&gt;1&lt;/C&gt;&lt;D xsi:type="xsd:double"&gt;0.8242278&lt;/D&gt;&lt;/FQL&gt;&lt;FQL&gt;&lt;Q&gt;HUBB-US^P_BETA_LOCIDX(45145,44970,,"SPX")&lt;/Q&gt;&lt;R&gt;1&lt;/R&gt;&lt;C&gt;1&lt;/C&gt;&lt;D xsi:type="xsd:double"&gt;0.8335845&lt;/D&gt;&lt;/FQL&gt;&lt;FQL&gt;&lt;Q&gt;HUBB-US^P_BETA_LOCIDX(45142,44967,,"SPX")&lt;/Q&gt;&lt;R&gt;1&lt;/R&gt;&lt;C&gt;1&lt;/C&gt;&lt;D xsi:type="xsd:double"&gt;0.8252684&lt;/D&gt;&lt;/FQL&gt;&lt;FQL&gt;&lt;Q&gt;HUBB-US^P_BETA_LOCIDX(45141,44966,,"SPX")&lt;/Q&gt;&lt;R&gt;1&lt;/R&gt;&lt;C&gt;1&lt;/C&gt;&lt;D xsi:type="xsd:double"&gt;0.80701226&lt;/D&gt;&lt;/FQL&gt;&lt;FQL&gt;&lt;Q&gt;HUBB-US^P_BETA_LOCIDX(45140,44965,,"SPX")&lt;/Q&gt;&lt;R&gt;1&lt;/R&gt;&lt;C&gt;1&lt;/C&gt;&lt;D xsi:type="xsd:double"&gt;0.8210962&lt;/D&gt;&lt;/FQL&gt;&lt;FQL&gt;&lt;Q&gt;HUBB-US^P_BETA_LOCIDX(45139,44964,,"SPX")&lt;/Q&gt;&lt;R&gt;1&lt;/R&gt;&lt;C&gt;1&lt;/C&gt;&lt;D xsi:type="xsd:double"&gt;0.8212162&lt;/D&gt;&lt;/FQL&gt;&lt;FQL&gt;&lt;Q&gt;HUBB-US^P_BETA_LOCIDX(45138,44963,,"SPX")&lt;/Q&gt;&lt;R&gt;1&lt;/R&gt;&lt;C&gt;1&lt;/C&gt;&lt;D xsi:type="xsd:double"&gt;0.82021487&lt;/D&gt;&lt;/FQL&gt;&lt;FQL&gt;&lt;Q&gt;HUBB-US^P_BETA_LOCIDX(45135,44960,,"SPX")&lt;/Q&gt;&lt;R&gt;1&lt;/R&gt;&lt;C&gt;1&lt;/C&gt;&lt;D xsi:type="xsd:double"&gt;0.7859643&lt;/D&gt;&lt;/FQL&gt;&lt;FQL&gt;&lt;Q&gt;HUBB-US^P_BETA_LOCIDX(45134,44959,,"SPX")&lt;/Q&gt;&lt;R&gt;1&lt;/R&gt;&lt;C&gt;1&lt;/C&gt;&lt;D xsi:type="xsd:double"&gt;0.75887495&lt;/D&gt;&lt;/FQL&gt;&lt;FQL&gt;&lt;Q&gt;HUBB-US^P_BETA_LOCIDX(45133,44958,,"SPX")&lt;/Q&gt;&lt;R&gt;1&lt;/R&gt;&lt;C&gt;1&lt;/C&gt;&lt;D xsi:type="xsd:double"&gt;0.79293746&lt;/D&gt;&lt;/FQL&gt;&lt;FQL&gt;&lt;Q&gt;HUBB-US^P_BETA_LOCIDX(45132,44957,,"SPX")&lt;/Q&gt;&lt;R&gt;1&lt;/R&gt;&lt;C&gt;1&lt;/C&gt;&lt;D xsi:type="xsd:double"&gt;0.7607806&lt;/D&gt;&lt;/FQL&gt;&lt;FQL&gt;&lt;Q&gt;HUBB-US^P_BETA_LOCIDX(45131,44956,,"SPX")&lt;/Q&gt;&lt;R&gt;1&lt;/R&gt;&lt;C&gt;1&lt;/C&gt;&lt;D xsi:type="xsd:double"&gt;0.7666981&lt;/D&gt;&lt;/FQL&gt;&lt;FQL&gt;&lt;Q&gt;HUBB-US^P_BETA_LOCIDX(45128,44953,,"SPX")&lt;/Q&gt;&lt;R&gt;1&lt;/R&gt;&lt;C&gt;1&lt;/C&gt;&lt;D xsi:type="xsd:double"&gt;0.76794434&lt;/D&gt;&lt;/FQL&gt;&lt;FQL&gt;&lt;Q&gt;HUBB-US^P_BETA_LOCIDX(45127,44952,,"SPX")&lt;/Q&gt;&lt;R&gt;1&lt;/R&gt;&lt;C&gt;1&lt;/C&gt;&lt;D xsi:type="xsd:double"&gt;0.7686948&lt;/D&gt;&lt;/FQL&gt;&lt;FQL&gt;&lt;Q&gt;HUBB-US^P_BETA_LOCIDX(45126,44951,,"SPX")&lt;/Q&gt;&lt;R&gt;1&lt;/R&gt;&lt;C&gt;1&lt;/C&gt;&lt;D xsi:type="xsd:double"&gt;0.7735367&lt;/D&gt;&lt;/FQL&gt;&lt;FQL&gt;&lt;Q&gt;HUBB-US^P_BETA_LOCIDX(45125,44950,,"SPX")&lt;/Q&gt;&lt;R&gt;1&lt;/R&gt;&lt;C&gt;1&lt;/C&gt;&lt;D xsi:type="xsd:double"&gt;0.77025205&lt;/D&gt;&lt;/FQL&gt;&lt;FQL&gt;&lt;Q&gt;HUBB-US^P_BETA_LOCIDX(45124,44949,,"SPX")&lt;/Q&gt;&lt;R&gt;1&lt;/R&gt;&lt;C&gt;1&lt;/C&gt;&lt;D xsi:type="xsd:double"&gt;0.7500932&lt;/D&gt;&lt;/FQL&gt;&lt;FQL&gt;&lt;Q&gt;HUBB-US^P_BETA_LOCIDX(45121,44946,,"SPX")&lt;/Q&gt;&lt;R&gt;1&lt;/R&gt;&lt;C&gt;1&lt;/C&gt;&lt;D xsi:type="xsd:double"&gt;0.7279423&lt;/D&gt;&lt;/FQL&gt;&lt;FQL&gt;&lt;Q&gt;HUBB-US^P_BETA_LOCIDX(45120,44945,,"SPX")&lt;/Q&gt;&lt;R&gt;1&lt;/R&gt;&lt;C&gt;1&lt;/C&gt;&lt;D xsi:type="xsd:double"&gt;0.74082756&lt;/D&gt;&lt;/FQL&gt;&lt;FQL&gt;&lt;Q&gt;HUBB-US^P_BETA_LOCIDX(45119,44944,,"SPX")&lt;/Q&gt;&lt;R&gt;1&lt;/R&gt;&lt;C&gt;1&lt;/C&gt;&lt;D xsi:type="xsd:double"&gt;0.7435602&lt;/D&gt;&lt;/FQL&gt;&lt;FQL&gt;&lt;Q&gt;HUBB-US^P_BETA_LOCIDX(45118,44943,,"SPX")&lt;/Q&gt;&lt;R&gt;1&lt;/R&gt;&lt;C&gt;1&lt;/C&gt;&lt;D xsi:type="xsd:double"&gt;0.7603981&lt;/D&gt;&lt;/FQL&gt;&lt;FQL&gt;&lt;Q&gt;HUBB-US^P_BETA_LOCIDX(45117,44939,,"SPX")&lt;/Q&gt;&lt;R&gt;1&lt;/R&gt;&lt;C&gt;1&lt;/C&gt;&lt;D xsi:type="xsd:double"&gt;0.7705188&lt;/D&gt;&lt;/FQL&gt;&lt;FQL&gt;&lt;Q&gt;HUBB-US^P_BETA_LOCIDX(45114,44938,,"SPX")&lt;/Q&gt;&lt;R&gt;1&lt;/R&gt;&lt;C&gt;1&lt;/C&gt;&lt;D xsi:type="xsd:double"&gt;0.7636721&lt;/D&gt;&lt;/FQL&gt;&lt;FQL&gt;&lt;Q&gt;HUBB-US^P_BETA_LOCIDX(45113,44937,,"SPX")&lt;/Q&gt;&lt;R&gt;1&lt;/R&gt;&lt;C&gt;1&lt;/C&gt;&lt;D xsi:type="xsd:double"&gt;0.76130754&lt;/D&gt;&lt;/FQL&gt;&lt;FQL&gt;&lt;Q&gt;HUBB-US^P_BETA_LOCIDX(45112,44936,,"SPX")&lt;/Q&gt;&lt;R&gt;1&lt;/R&gt;&lt;C&gt;1&lt;/C&gt;&lt;D xsi:type="xsd:double"&gt;0.76566136&lt;/D&gt;&lt;/FQL&gt;&lt;FQL&gt;&lt;Q&gt;HUBB-US^P_BETA_LOCIDX(45110,44935,,"SPX")&lt;/Q&gt;&lt;R&gt;1&lt;/R&gt;&lt;C&gt;1&lt;/C&gt;&lt;D xsi:type="xsd:double"&gt;0.7622235&lt;/D&gt;&lt;/FQL&gt;&lt;FQL&gt;&lt;Q&gt;HUBB-US^P_BETA_LOCIDX(45107,44932,,"SPX")&lt;/Q&gt;&lt;R&gt;1&lt;/R&gt;&lt;C&gt;1&lt;/C&gt;&lt;D xsi:type="xsd:double"&gt;0.7622023&lt;/D&gt;&lt;/FQL&gt;&lt;FQL&gt;&lt;Q&gt;HUBB-US^P_BETA_LOCIDX(45106,44931,,"SPX")&lt;/Q&gt;&lt;R&gt;1&lt;/R&gt;&lt;C&gt;1&lt;/C&gt;&lt;D xsi:type="xsd:double"&gt;0.77924716&lt;/D&gt;&lt;/FQL&gt;&lt;FQL&gt;&lt;Q&gt;HUBB-US^P_BETA_LOCIDX(45105,44930,,"SPX")&lt;/Q&gt;&lt;R&gt;1&lt;/R&gt;&lt;C&gt;1&lt;/C&gt;&lt;D xsi:type="xsd:double"&gt;0.7564728&lt;/D&gt;&lt;/FQL&gt;&lt;FQL&gt;&lt;Q&gt;HUBB-US^P_BETA_LOCIDX(45104,44929,,"SPX")&lt;/Q&gt;&lt;R&gt;1&lt;/R&gt;&lt;C&gt;1&lt;/C&gt;&lt;D xsi:type="xsd:double"&gt;0.75540125&lt;/D&gt;&lt;/FQL&gt;&lt;FQL&gt;&lt;Q&gt;HUBB-US^P_BETA_LOCIDX(45103,44925,,"SPX")&lt;/Q&gt;&lt;R&gt;1&lt;/R&gt;&lt;C&gt;1&lt;/C&gt;&lt;D xsi:type="xsd:double"&gt;0.7548737&lt;/D&gt;&lt;/FQL&gt;&lt;FQL&gt;&lt;Q&gt;HUBB-US^P_BETA_LOCIDX(45100,44924,,"SPX")&lt;/Q&gt;&lt;R&gt;1&lt;/R&gt;&lt;C&gt;1&lt;/C&gt;&lt;D xsi:type="xsd:double"&gt;0.7415051&lt;/D&gt;&lt;/FQL&gt;&lt;FQL&gt;&lt;Q&gt;HUBB-US^P_BETA_LOCIDX(45099,44923,,"SPX")&lt;/Q&gt;&lt;R&gt;1&lt;/R&gt;&lt;C&gt;1&lt;/C&gt;&lt;D xsi:type="xsd:double"&gt;0.73724955&lt;/D&gt;&lt;/FQL&gt;&lt;FQL&gt;&lt;Q&gt;HUBB-US^P_BETA_LOCIDX(45098,44922,,"SPX")&lt;/Q&gt;&lt;R&gt;1&lt;/R&gt;&lt;C&gt;1&lt;/C&gt;&lt;D xsi:type="xsd:double"&gt;0.7363457&lt;/D&gt;&lt;/FQL&gt;&lt;FQL&gt;&lt;Q&gt;HUBB-US^P_BETA_LOCIDX(45097,44918,,"SPX")&lt;/Q&gt;&lt;R&gt;1&lt;/R&gt;&lt;C&gt;1&lt;/C&gt;&lt;D xsi:type="xsd:double"&gt;0.7398693&lt;/D&gt;&lt;/FQL&gt;&lt;FQL&gt;&lt;Q&gt;HUBB-US^P_BETA_LOCIDX(45093,44917,,"SPX")&lt;/Q&gt;&lt;R&gt;1&lt;/R&gt;&lt;C&gt;1&lt;/C&gt;&lt;D xsi:type="xsd:double"&gt;0.75850594&lt;/D&gt;&lt;/FQL&gt;&lt;FQL&gt;&lt;Q&gt;HUBB-US^P_BETA_LOCIDX(45092,44916,,"SPX")&lt;/Q&gt;&lt;R&gt;1&lt;/R&gt;&lt;C&gt;1&lt;/C&gt;&lt;D xsi:type="xsd:double"&gt;0.76084346&lt;/D&gt;&lt;/FQL&gt;&lt;FQL&gt;&lt;Q&gt;HUBB-US^P_BETA_LOCIDX(45091,44915,,"SPX")&lt;/Q&gt;&lt;R&gt;1&lt;/R&gt;&lt;C&gt;1&lt;/C&gt;&lt;D xsi:type="xsd:double"&gt;0.7540382&lt;/D&gt;&lt;/FQL&gt;&lt;FQL&gt;&lt;Q&gt;HUBB-US^P_BETA_LOCIDX(45090,44914,,"SPX")&lt;/Q&gt;&lt;R&gt;1&lt;/R&gt;&lt;C&gt;1&lt;/C&gt;&lt;D xsi:type="xsd:double"&gt;0.732525&lt;/D&gt;&lt;/FQL&gt;&lt;FQL&gt;&lt;Q&gt;HUBB-US^P_BETA_LOCIDX(45089,44911,,"SPX")&lt;/Q&gt;&lt;R&gt;1&lt;/R&gt;&lt;C&gt;1&lt;/C&gt;&lt;D xsi:type="xsd:double"&gt;0.7599604&lt;/D&gt;&lt;/FQL&gt;&lt;FQL&gt;&lt;Q&gt;HUBB-US^P_BETA_LOCIDX(45086,44910,,"SPX")&lt;/Q&gt;&lt;R&gt;1&lt;/R&gt;&lt;C&gt;1&lt;/C&gt;&lt;D xsi:type="xsd:double"&gt;0.7876645&lt;/D&gt;&lt;/FQL&gt;&lt;FQL&gt;&lt;Q&gt;HUBB-US^P_BETA_LOCIDX(45085,44909,,"SPX")&lt;/Q&gt;&lt;R&gt;1&lt;/R&gt;&lt;C&gt;1&lt;/C&gt;&lt;D xsi:type="xsd:double"&gt;0.8013708&lt;/D&gt;&lt;/FQL&gt;&lt;FQL&gt;&lt;Q&gt;HUBB-US^P_BETA_LOCIDX(45084,44908,,"SPX")&lt;/Q&gt;&lt;R&gt;1&lt;/R&gt;&lt;C&gt;1&lt;/C&gt;&lt;D xsi:type="xsd:double"&gt;0.79998565&lt;/D&gt;&lt;/FQL&gt;&lt;FQL&gt;&lt;Q&gt;HUBB-US^P_BETA_LOCIDX(45083,44907,,"SPX")&lt;/Q&gt;&lt;R&gt;1&lt;/R&gt;&lt;C&gt;1&lt;/C&gt;&lt;D xsi:type="xsd:double"&gt;0.820368&lt;/D&gt;&lt;/FQL&gt;&lt;FQL&gt;&lt;Q&gt;HUBB-US^P_BETA_LOCIDX(45082,44904,,"SPX")&lt;/Q&gt;&lt;R&gt;1&lt;/R&gt;&lt;C&gt;1&lt;/C&gt;&lt;D xsi:type="xsd:double"&gt;0.81861603&lt;/D&gt;&lt;/FQL&gt;&lt;FQL&gt;&lt;Q&gt;HUBB-US^P_BETA_LOCIDX(45079,44903,,"SPX")&lt;/Q&gt;&lt;R&gt;1&lt;/R&gt;&lt;C&gt;1&lt;/C&gt;&lt;D xsi:type="xsd:double"&gt;0.82415456&lt;/D&gt;&lt;/FQL&gt;&lt;FQL&gt;&lt;Q&gt;HUBB-US^P_BETA_LOCIDX(45078,44902,,"SPX")&lt;/Q&gt;&lt;R&gt;1&lt;/R&gt;&lt;C&gt;1&lt;/C&gt;&lt;D xsi:type="xsd:double"&gt;0.80815434&lt;/D&gt;&lt;/FQL&gt;&lt;FQL&gt;&lt;Q&gt;HUBB-US^P_BETA_LOCIDX(45077,44901,,"SPX")&lt;/Q&gt;&lt;R&gt;1&lt;/R&gt;&lt;C&gt;1&lt;/C&gt;&lt;D xsi:type="xsd:double"&gt;0.7925138&lt;/D&gt;&lt;/FQL&gt;&lt;FQL&gt;&lt;Q&gt;HUBB-US^P_BETA_LOCIDX(45076,44900,,"SPX")&lt;/Q&gt;&lt;R&gt;1&lt;/R&gt;&lt;C&gt;1&lt;/C&gt;&lt;D xsi:type="xsd:double"&gt;0.78462625&lt;/D&gt;&lt;/FQL&gt;&lt;FQL&gt;&lt;Q&gt;HUBB-US^P_BETA_LOCIDX(45072,44897,,"SPX")&lt;/Q&gt;&lt;R&gt;1&lt;/R&gt;&lt;C&gt;1&lt;/C&gt;&lt;D xsi:type="xsd:double"&gt;0.78567284&lt;/D&gt;&lt;/FQL&gt;&lt;FQL&gt;&lt;Q&gt;HUBB-US^P_BETA_LOCIDX(45071,44896,,"SPX")&lt;/Q&gt;&lt;R&gt;1&lt;/R&gt;&lt;C&gt;1&lt;/C&gt;&lt;D xsi:type="xsd:double"&gt;0.7823371&lt;/D&gt;&lt;/FQL&gt;&lt;FQL&gt;&lt;Q&gt;HUBB-US^P_BETA_LOCIDX(45070,44895,,"SPX")&lt;/Q&gt;&lt;R&gt;1&lt;/R&gt;&lt;C&gt;1&lt;/C&gt;&lt;D xsi:type="xsd:double"&gt;0.7423176&lt;/D&gt;&lt;/FQL&gt;&lt;FQL&gt;&lt;Q&gt;HUBB-US^P_BETA_LOCIDX(45069,44894,,"SPX")&lt;/Q&gt;&lt;R&gt;1&lt;/R&gt;&lt;C&gt;1&lt;/C&gt;&lt;D xsi:type="xsd:double"&gt;0.74341744&lt;/D&gt;&lt;/FQL&gt;&lt;FQL&gt;&lt;Q&gt;HUBB-US^P_BETA_LOCIDX(45068,44893,,"SPX")&lt;/Q&gt;&lt;R&gt;1&lt;/R&gt;&lt;C&gt;1&lt;/C&gt;&lt;D xsi:type="xsd:double"&gt;0.7586889&lt;/D&gt;&lt;/FQL&gt;&lt;FQL&gt;&lt;Q&gt;HUBB-US^P_BETA_LOCIDX(45065,44890,,"SPX")&lt;/Q&gt;&lt;R&gt;1&lt;/R&gt;&lt;C&gt;1&lt;/C&gt;&lt;D xsi:type="xsd:double"&gt;0.7583572&lt;/D&gt;&lt;/FQL&gt;&lt;FQL&gt;&lt;Q&gt;HUBB-US^P_BETA_LOCIDX(45064,44888,,"SPX")&lt;/Q&gt;&lt;R&gt;1&lt;/R&gt;&lt;C&gt;1&lt;/C&gt;&lt;D xsi:type="xsd:double"&gt;0.75079125&lt;/D&gt;&lt;/FQL&gt;&lt;FQL&gt;&lt;Q&gt;HUBB-US^P_BETA_LOCIDX(45063,44887,,"SPX")&lt;/Q&gt;&lt;R&gt;1&lt;/R&gt;&lt;C&gt;1&lt;/C&gt;&lt;D xsi:type="xsd:double"&gt;0.75276655&lt;/D&gt;&lt;/FQL&gt;&lt;FQL&gt;&lt;Q&gt;HUBB-US^P_BETA_LOCIDX(45062,44886,,"SPX")&lt;/Q&gt;&lt;R&gt;1&lt;/R&gt;&lt;C&gt;1&lt;/C&gt;&lt;D xsi:type="xsd:double"&gt;0.7435469&lt;/D&gt;&lt;/FQL&gt;&lt;FQL&gt;&lt;Q&gt;HUBB-US^P_BETA_LOCIDX(45061,44883,,"SPX")&lt;/Q&gt;&lt;R&gt;1&lt;/R&gt;&lt;C&gt;1&lt;/C&gt;&lt;D xsi:type="xsd:double"&gt;0.74262935&lt;/D&gt;&lt;/FQL&gt;&lt;FQL&gt;&lt;Q&gt;HUBB-US^P_BETA_LOCIDX(45058,44882,,"SPX")&lt;/Q&gt;&lt;R&gt;1&lt;/R&gt;&lt;C&gt;1&lt;/C&gt;&lt;D xsi:type="xsd:double"&gt;0.7405832&lt;/D&gt;&lt;/FQL&gt;&lt;FQL&gt;&lt;Q&gt;HUBB-US^P_BETA_LOCIDX(45057,44881,,"SPX")&lt;/Q&gt;&lt;R&gt;1&lt;/R&gt;&lt;C&gt;1&lt;/C&gt;&lt;D xsi:type="xsd:double"&gt;0.7421572&lt;/D&gt;&lt;/FQL&gt;&lt;FQL&gt;&lt;Q&gt;HUBB-US^P_BETA_LOCIDX(45056,44880,,"SPX")&lt;/Q&gt;&lt;R&gt;1&lt;/R&gt;&lt;C&gt;1&lt;/C&gt;&lt;D xsi:type="xsd:double"&gt;0.7387136&lt;/D&gt;&lt;/FQL&gt;&lt;FQL&gt;&lt;Q&gt;HUBB-US^P_BETA_LOCIDX(45055,44879,,"SPX")&lt;/Q&gt;&lt;R&gt;1&lt;/R&gt;&lt;C&gt;1&lt;/C&gt;&lt;D xsi:type="xsd:double"&gt;0.7377384&lt;/D&gt;&lt;/FQL&gt;&lt;FQL&gt;&lt;Q&gt;HUBB-US^P_BETA_LOCIDX(45054,44876,,"SPX")&lt;/Q&gt;&lt;R&gt;1&lt;/R&gt;&lt;C&gt;1&lt;/C&gt;&lt;D xsi:type="xsd:double"&gt;0.7243706&lt;/D&gt;&lt;/FQL&gt;&lt;FQL&gt;&lt;Q&gt;HUBB-US^P_BETA_LOCIDX(45051,44875,,"SPX")&lt;/Q&gt;&lt;R&gt;1&lt;/R&gt;&lt;C&gt;1&lt;/C&gt;&lt;D xsi:type="xsd:double"&gt;0.79461634&lt;/D&gt;&lt;/FQL&gt;&lt;FQL&gt;&lt;Q&gt;HUBB-US^P_BETA_LOCIDX(45050,44874,,"SPX")&lt;/Q&gt;&lt;R&gt;1&lt;/R&gt;&lt;C&gt;1&lt;/C&gt;&lt;D xsi:type="xsd:double"&gt;0.794805&lt;/D&gt;&lt;/FQL&gt;&lt;FQL&gt;&lt;Q&gt;HUBB-US^P_BETA_LOCIDX(45049,44873,,"SPX")&lt;/Q&gt;&lt;R&gt;1&lt;/R&gt;&lt;C&gt;1&lt;/C&gt;&lt;D xsi:type="xsd:double"&gt;0.7951491&lt;/D&gt;&lt;/FQL&gt;&lt;FQL&gt;&lt;Q&gt;HUBB-US^P_BETA_LOCIDX(45048,44872,,"SPX")&lt;/Q&gt;&lt;R&gt;1&lt;/R&gt;&lt;C&gt;1&lt;/C&gt;&lt;D xsi:type="xsd:double"&gt;0.78103065&lt;/D&gt;&lt;/FQL&gt;&lt;FQL&gt;&lt;Q&gt;HUBB-US^P_BETA_LOCIDX(45047,44869,,"SPX")&lt;/Q&gt;&lt;R&gt;1&lt;/R&gt;&lt;C&gt;1&lt;/C&gt;&lt;D xsi:type="xsd:double"&gt;0.8057673&lt;/D&gt;&lt;/FQL&gt;&lt;FQL&gt;&lt;Q&gt;HUBB-US^P_BETA_LOCIDX(45044,44868,,"SPX")&lt;/Q&gt;&lt;R&gt;1&lt;/R&gt;&lt;C&gt;1&lt;/C&gt;&lt;D xsi:type="xsd:double"&gt;0.8005546&lt;/D&gt;&lt;/FQL&gt;&lt;FQL&gt;&lt;Q&gt;HUBB-US^P_BETA_LOCIDX(45043,44867,,"SPX")&lt;/Q&gt;&lt;R&gt;1&lt;/R&gt;&lt;C&gt;1&lt;/C&gt;&lt;D xsi:type="xsd:double"&gt;0.7957016&lt;/D&gt;&lt;/FQL&gt;&lt;FQL&gt;&lt;Q&gt;HUBB-US^P_BETA_LOCIDX(45042,44866,,"SPX")&lt;/Q&gt;&lt;R&gt;1&lt;/R&gt;&lt;C&gt;1&lt;/C&gt;&lt;D xsi:type="xsd:double"&gt;0.78044283&lt;/D&gt;&lt;/FQL&gt;&lt;FQL&gt;&lt;Q&gt;HUBB-US^P_BETA_LOCIDX(45041,44865,,"SPX")&lt;/Q&gt;&lt;R&gt;1&lt;/R&gt;&lt;C&gt;1&lt;/C&gt;&lt;D xsi:type="xsd:double"&gt;0.7783597&lt;/D&gt;&lt;/FQL&gt;&lt;FQL&gt;&lt;Q&gt;HUBB-US^P_BETA_LOCIDX(45040,44862,,"SPX")&lt;/Q&gt;&lt;R&gt;1&lt;/R&gt;&lt;C&gt;1&lt;/C&gt;&lt;D xsi:type="xsd:double"&gt;0.862162&lt;/D&gt;&lt;/FQL&gt;&lt;FQL&gt;&lt;Q&gt;HUBB-US^P_BETA_LOCIDX(45037,44861,,"SPX")&lt;/Q&gt;&lt;R&gt;1&lt;/R&gt;&lt;C&gt;1&lt;/C&gt;&lt;D xsi:type="xsd:double"&gt;0.8573979&lt;/D&gt;&lt;/FQL&gt;&lt;FQL&gt;&lt;Q&gt;HUBB-US^P_BETA_LOCIDX(45036,44860,,"SPX")&lt;/Q&gt;&lt;R&gt;1&lt;/R&gt;&lt;C&gt;1&lt;/C&gt;&lt;D xsi:type="xsd:double"&gt;0.85269034&lt;/D&gt;&lt;/FQL&gt;&lt;FQL&gt;&lt;Q&gt;HUBB-US^P_BETA_LOCIDX(45035,44859,,"SPX")&lt;/Q&gt;&lt;R&gt;1&lt;/R&gt;&lt;C&gt;1&lt;/C&gt;&lt;D xsi:type="xsd:double"&gt;0.8982681&lt;/D&gt;&lt;/FQL&gt;&lt;FQL&gt;&lt;Q&gt;HUBB-US^P_BETA_LOCIDX(45034,44858,,"SPX")&lt;/Q&gt;&lt;R&gt;1&lt;/R&gt;&lt;C&gt;1&lt;/C&gt;&lt;D xsi:type="xsd:double"&gt;0.9099789&lt;/D&gt;&lt;/FQL&gt;&lt;FQL&gt;&lt;Q&gt;HUBB-US^P_BETA_LOCIDX(45033,44855,,"SPX")&lt;/Q&gt;&lt;R&gt;1&lt;/R&gt;&lt;C&gt;1&lt;/C&gt;&lt;D xsi:type="xsd:double"&gt;0.9089809&lt;/D&gt;&lt;/FQL&gt;&lt;FQL&gt;&lt;Q&gt;HUBB-US^P_BETA_LOCIDX(45030,44854,,"SPX")&lt;/Q&gt;&lt;R&gt;1&lt;/R&gt;&lt;C&gt;1&lt;/C&gt;&lt;D xsi:type="xsd:double"&gt;0.9156432&lt;/D&gt;&lt;/FQL&gt;&lt;FQL&gt;&lt;Q&gt;HUBB-US^P_BETA_LOCIDX(45029,44853,,"SPX")&lt;/Q&gt;&lt;R&gt;1&lt;/R&gt;&lt;C&gt;1&lt;/C&gt;&lt;D xsi:type="xsd:double"&gt;0.93651474&lt;/D&gt;&lt;/FQL&gt;&lt;FQL&gt;&lt;Q&gt;HUBB-US^P_BETA_LOCIDX(45028,44852,,"SPX")&lt;/Q&gt;&lt;R&gt;1&lt;/R&gt;&lt;C&gt;1&lt;/C&gt;&lt;D xsi:type="xsd:double"&gt;0.9551043&lt;/D&gt;&lt;/FQL&gt;&lt;FQL&gt;&lt;Q&gt;HUBB-US^P_BETA_LOCIDX(45027,44851,,"SPX")&lt;/Q&gt;&lt;R&gt;1&lt;/R&gt;&lt;C&gt;1&lt;/C&gt;&lt;D xsi:type="xsd:double"&gt;0.9636909&lt;/D&gt;&lt;/FQL&gt;&lt;FQL&gt;&lt;Q&gt;HUBB-US^P_BETA_LOCIDX(45026,44848,,"SPX")&lt;/Q&gt;&lt;R&gt;1&lt;/R&gt;&lt;C&gt;1&lt;/C&gt;&lt;D xsi:type="xsd:double"&gt;0.98379177&lt;/D&gt;&lt;/FQL&gt;&lt;FQL&gt;&lt;Q&gt;HUBB-US^P_BETA_LOCIDX(45022,44847,,"SPX")&lt;/Q&gt;&lt;R&gt;1&lt;/R&gt;&lt;C&gt;1&lt;/C&gt;&lt;D xsi:type="xsd:double"&gt;0.95909905&lt;/D&gt;&lt;/FQL&gt;&lt;FQL&gt;&lt;Q&gt;HUBB-US^P_BETA_LOCIDX(45021,44846,,"SPX")&lt;/Q&gt;&lt;R&gt;1&lt;/R&gt;&lt;C&gt;1&lt;/C&gt;&lt;D xsi:type="xsd:double"&gt;0.96320516&lt;/D&gt;&lt;/FQL&gt;&lt;FQL&gt;&lt;Q&gt;HUBB-US^P_BETA_LOCIDX(45020,44845,,"SPX")&lt;/Q&gt;&lt;R&gt;1&lt;/R&gt;&lt;C&gt;1&lt;/C&gt;&lt;D xsi:type="xsd:double"&gt;0.95795673&lt;/D&gt;&lt;/FQL&gt;&lt;FQL&gt;&lt;Q&gt;HUBB-US^P_BETA_LOCIDX(45019,44844,,"SPX")&lt;/Q&gt;&lt;R&gt;1&lt;/R&gt;&lt;C&gt;1&lt;/C&gt;&lt;D xsi:type="xsd:double"&gt;0.93530875&lt;/D&gt;&lt;/FQL&gt;&lt;FQL&gt;&lt;Q&gt;HUBB-US^P_BETA_LOCIDX(45016,44841,,"SPX")&lt;/Q&gt;&lt;R&gt;1&lt;/R&gt;&lt;C&gt;1&lt;/C&gt;&lt;D xsi:type="xsd:double"&gt;0.93316925&lt;/D&gt;&lt;/FQL&gt;&lt;FQL&gt;&lt;Q&gt;HUBB-US^P_BETA_LOCIDX(45015,44840,,"SPX")&lt;/Q&gt;&lt;R&gt;1&lt;/R&gt;&lt;C&gt;1&lt;/C&gt;&lt;D xsi:type="xsd:double"&gt;0.9337401&lt;/D&gt;&lt;/FQL&gt;&lt;FQL&gt;&lt;Q&gt;HUBB-US^P_BETA_LOCIDX(45014,44839,,"SPX")&lt;/Q&gt;&lt;R&gt;1&lt;/R&gt;&lt;C&gt;1&lt;/C&gt;&lt;D xsi:type="xsd:double"&gt;0.9337387&lt;/D&gt;&lt;/FQL&gt;&lt;FQL&gt;&lt;Q&gt;HUBB-US^P_BETA_LOCIDX(45013,44838,,"SPX")&lt;/Q&gt;&lt;R&gt;1&lt;/R&gt;&lt;C&gt;1&lt;/C&gt;&lt;D xsi:type="xsd:double"&gt;0.94837034&lt;/D&gt;&lt;/FQL&gt;&lt;FQL&gt;&lt;Q&gt;HUBB-US^P_BETA_LOCIDX(45012,44837,,"SPX")&lt;/Q&gt;&lt;R&gt;1&lt;/R&gt;&lt;C&gt;1&lt;/C&gt;&lt;D xsi:type="xsd:double"&gt;0.94323665&lt;/D&gt;&lt;/FQL&gt;&lt;FQL&gt;&lt;Q&gt;HUBB-US^P_BETA_LOCIDX(45009,44834,,"SPX")&lt;/Q&gt;&lt;R&gt;1&lt;/R&gt;&lt;C&gt;1&lt;/C&gt;&lt;D xsi:type="xsd:double"&gt;0.92364717&lt;/D&gt;&lt;/FQL&gt;&lt;FQL&gt;&lt;Q&gt;HUBB-US^P_BETA_LOCIDX(45008,44833,,"SPX")&lt;/Q&gt;&lt;R&gt;1&lt;/R&gt;&lt;C&gt;1&lt;/C&gt;&lt;D xsi:type="xsd:double"&gt;0.91437215&lt;/D&gt;&lt;/FQL&gt;&lt;FQL&gt;&lt;Q&gt;HUBB-US^P_BETA_LOCIDX(45007,44832,,"SPX")&lt;/Q&gt;&lt;R&gt;1&lt;/R&gt;&lt;C&gt;1&lt;/C&gt;&lt;D xsi:type="xsd:double"&gt;0.9202676&lt;/D&gt;&lt;/FQL&gt;&lt;FQL&gt;&lt;Q&gt;HUBB-US^P_BETA_LOCIDX(45006,44831,,"SPX")&lt;/Q&gt;&lt;R&gt;1&lt;/R&gt;&lt;C&gt;1&lt;/C&gt;&lt;D xsi:type="xsd:double"&gt;0.91492456&lt;/D&gt;&lt;/FQL&gt;&lt;FQL&gt;&lt;Q&gt;HUBB-US^P_BETA_LOCIDX(45005,44830,,"SPX")&lt;/Q&gt;&lt;R&gt;1&lt;/R&gt;&lt;C&gt;1&lt;/C&gt;&lt;D xsi:type="xsd:double"&gt;0.9161216&lt;/D&gt;&lt;/FQL&gt;&lt;FQL&gt;&lt;Q&gt;HUBB-US^P_BETA_LOCIDX(45002,44827,,"SPX")&lt;/Q&gt;&lt;R&gt;1&lt;/R&gt;&lt;C&gt;1&lt;/C&gt;&lt;D xsi:type="xsd:double"&gt;0.90430915&lt;/D&gt;&lt;/FQL&gt;&lt;FQL&gt;&lt;Q&gt;HUBB-US^P_BETA_LOCIDX(45001,44826,,"SPX")&lt;/Q&gt;&lt;R&gt;1&lt;/R&gt;&lt;C&gt;1&lt;/C&gt;&lt;D xsi:type="xsd:double"&gt;0.9011032&lt;/D&gt;&lt;/FQL&gt;&lt;FQL&gt;&lt;Q&gt;HUBB-US^P_BETA_LOCIDX(45000,44825,,"SPX")&lt;/Q&gt;&lt;R&gt;1&lt;/R&gt;&lt;C&gt;1&lt;/C&gt;&lt;D xsi:type="xsd:double"&gt;0.86731625&lt;/D&gt;&lt;/FQL&gt;&lt;FQL&gt;&lt;Q&gt;HUBB-US^P_BETA_LOCIDX(44999,44824,,"SPX")&lt;/Q&gt;&lt;R&gt;1&lt;/R&gt;&lt;C&gt;1&lt;/C&gt;&lt;D xsi:type="xsd:double"&gt;0.85658854&lt;/D&gt;&lt;/FQL&gt;&lt;FQL&gt;&lt;Q&gt;HUBB-US^P_BETA_LOCIDX(44998,44823,,"SPX")&lt;/Q&gt;&lt;R&gt;1&lt;/R&gt;&lt;C&gt;1&lt;/C&gt;&lt;D xsi:type="xsd:double"&gt;0.8487673&lt;/D&gt;&lt;/FQL&gt;&lt;FQL&gt;&lt;Q&gt;HUBB-US^P_BETA_LOCIDX(44995,44820,,"SPX")&lt;/Q&gt;&lt;R&gt;1&lt;/R&gt;&lt;C&gt;1&lt;/C&gt;&lt;D xsi:type="xsd:double"&gt;0.84796906&lt;/D&gt;&lt;/FQL&gt;&lt;FQL&gt;&lt;Q&gt;HUBB-US^P_BETA_LOCIDX(44994,44819,,"SPX")&lt;/Q&gt;&lt;R&gt;1&lt;/R&gt;&lt;C&gt;1&lt;/C&gt;&lt;D xsi:type="xsd:double"&gt;0.8288192&lt;/D&gt;&lt;/FQL&gt;&lt;FQL&gt;&lt;Q&gt;HUBB-US^P_BETA_LOCIDX(44993,44818,,"SPX")&lt;/Q&gt;&lt;R&gt;1&lt;/R&gt;&lt;C&gt;1&lt;/C&gt;&lt;D xsi:type="xsd:double"&gt;0.8253925&lt;/D&gt;&lt;/FQL&gt;&lt;FQL&gt;&lt;Q&gt;HUBB-US^P_BETA_LOCIDX(44992,44817,,"SPX")&lt;/Q&gt;&lt;R&gt;1&lt;/R&gt;&lt;C&gt;1&lt;/C&gt;&lt;D xsi:type="xsd:double"&gt;0.8036421&lt;/D&gt;&lt;/FQL&gt;&lt;FQL&gt;&lt;Q&gt;HUBB-US^P_BETA_LOCIDX(44991,44816,,"SPX")&lt;/Q&gt;&lt;R&gt;1&lt;/R&gt;&lt;C&gt;1&lt;/C&gt;&lt;D xsi:type="xsd:double"&gt;0.8011397&lt;/D&gt;&lt;/FQL&gt;&lt;FQL&gt;&lt;Q&gt;HUBB-US^P_BETA_LOCIDX(44988,44813,,"SPX")&lt;/Q&gt;&lt;R&gt;1&lt;/R&gt;&lt;C&gt;1&lt;/C&gt;&lt;D xsi:type="xsd:double"&gt;0.8055208&lt;/D&gt;&lt;/FQL&gt;&lt;FQL&gt;&lt;Q&gt;HUBB-US^P_BETA_LOCIDX(44987,44812,,"SPX")&lt;/Q&gt;&lt;R&gt;1&lt;/R&gt;&lt;C&gt;1&lt;/C&gt;&lt;D xsi:type="xsd:double"&gt;0.81021684&lt;/D&gt;&lt;/FQL&gt;&lt;FQL&gt;&lt;Q&gt;HUBB-US^P_BETA_LOCIDX(44986,44811,,"SPX")&lt;/Q&gt;&lt;R&gt;1&lt;/R&gt;&lt;C&gt;1&lt;/C&gt;&lt;D xsi:type="xsd:double"&gt;0.8229578&lt;/D&gt;&lt;/FQL&gt;&lt;FQL&gt;&lt;Q&gt;HUBB-US^P_BETA_LOCIDX(44985,44810,,"SPX")&lt;/Q&gt;&lt;R&gt;1&lt;/R&gt;&lt;C&gt;1&lt;/C&gt;&lt;D xsi:type="xsd:double"&gt;0.81992227&lt;/D&gt;&lt;/FQL&gt;&lt;FQL&gt;&lt;Q&gt;HUBB-US^P_BETA_LOCIDX(44984,44806,,"SPX")&lt;/Q&gt;&lt;R&gt;1&lt;/R&gt;&lt;C&gt;1&lt;/C&gt;&lt;D xsi:type="xsd:double"&gt;0.8207127&lt;/D&gt;&lt;/FQL&gt;&lt;FQL&gt;&lt;Q&gt;HUBB-US^P_BETA_LOCIDX(44981,44805,,"SPX")&lt;/Q&gt;&lt;R&gt;1&lt;/R&gt;&lt;C&gt;1&lt;/C&gt;&lt;D xsi:type="xsd:double"&gt;0.8225939&lt;/D&gt;&lt;/FQL&gt;&lt;FQL&gt;&lt;Q&gt;HUBB-US^P_BETA_LOCIDX(44980,44804,,"SPX")&lt;/Q&gt;&lt;R&gt;1&lt;/R&gt;&lt;C&gt;1&lt;/C&gt;&lt;D xsi:type="xsd:double"&gt;0.8307555&lt;/D&gt;&lt;/FQL&gt;&lt;FQL&gt;&lt;Q&gt;HUBB-US^P_BETA_LOCIDX(44979,44803,,"SPX")&lt;/Q&gt;&lt;R&gt;1&lt;/R&gt;&lt;C&gt;1&lt;/C&gt;&lt;D xsi:type="xsd:double"&gt;0.83566326&lt;/D&gt;&lt;/FQL&gt;&lt;FQL&gt;&lt;Q&gt;HUBB-US^P_BETA_LOCIDX(44978,44802,,"SPX")&lt;/Q&gt;&lt;R&gt;1&lt;/R&gt;&lt;C&gt;1&lt;/C&gt;&lt;D xsi:type="xsd:double"&gt;0.83371466&lt;/D&gt;&lt;/FQL&gt;&lt;FQL&gt;&lt;Q&gt;HUBB-US^P_BETA_LOCIDX(44974,44799,,"SPX")&lt;/Q&gt;&lt;R&gt;1&lt;/R&gt;&lt;C&gt;1&lt;/C&gt;&lt;D xsi:type="xsd:double"&gt;0.85811406&lt;/D&gt;&lt;/FQL&gt;&lt;FQL&gt;&lt;Q&gt;HUBB-US^P_BETA_LOCIDX(44973,44798,,"SPX")&lt;/Q&gt;&lt;R&gt;1&lt;/R&gt;&lt;C&gt;1&lt;/C&gt;&lt;D xsi:type="xsd:double"&gt;0.8597644&lt;/D&gt;&lt;/FQL&gt;&lt;FQL&gt;&lt;Q&gt;HUBB-US^P_BETA_LOCIDX(44972,44797,,"SPX")&lt;/Q&gt;&lt;R&gt;1&lt;/R&gt;&lt;C&gt;1&lt;/C&gt;&lt;D xsi:type="xsd:double"&gt;0.86287314&lt;/D&gt;&lt;/FQL&gt;&lt;FQL&gt;&lt;Q&gt;HUBB-US^P_BETA_LOCIDX(44971,44796,,"SPX")&lt;/Q&gt;&lt;R&gt;1&lt;/R&gt;&lt;C&gt;1&lt;/C&gt;&lt;D xsi:type="xsd:double"&gt;0.8615759&lt;/D&gt;&lt;/FQL&gt;&lt;FQL&gt;&lt;Q&gt;HUBB-US^P_BETA_LOCIDX(44970,44795,,"SPX")&lt;/Q&gt;&lt;R&gt;1&lt;/R&gt;&lt;C&gt;1&lt;/C&gt;&lt;D xsi:type="xsd:double"&gt;0.86041594&lt;/D&gt;&lt;/FQL&gt;&lt;FQL&gt;&lt;Q&gt;HUBB-US^P_BETA_LOCIDX(44967,44792,,"SPX")&lt;/Q&gt;&lt;R&gt;1&lt;/R&gt;&lt;C&gt;1&lt;/C&gt;&lt;D xsi:type="xsd:double"&gt;0.8552488&lt;/D&gt;&lt;/FQL&gt;&lt;FQL&gt;&lt;Q&gt;HUBB-US^P_BETA_LOCIDX(44966,44791,,"SPX")&lt;/Q&gt;&lt;R&gt;1&lt;/R&gt;&lt;C&gt;1&lt;/C&gt;&lt;D xsi:type="xsd:double"&gt;0.8555669&lt;/D&gt;&lt;/FQL&gt;&lt;FQL&gt;&lt;Q&gt;HUBB-US^P_BETA_LOCIDX(44965,44790,,"SPX")&lt;/Q&gt;&lt;R&gt;1&lt;/R&gt;&lt;C&gt;1&lt;/C&gt;&lt;D xsi:type="xsd:double"&gt;0.8579987&lt;/D&gt;&lt;/FQL&gt;&lt;FQL&gt;&lt;Q&gt;HUBB-US^P_BETA_LOCIDX(44964,44789,,"SPX")&lt;/Q&gt;&lt;R&gt;1&lt;/R&gt;&lt;C&gt;1&lt;/C&gt;&lt;D xsi:type="xsd:double"&gt;0.851627&lt;/D&gt;&lt;/FQL&gt;&lt;FQL&gt;&lt;Q&gt;HUBB-US^P_BETA_LOCIDX(44963,44788,,"SPX")&lt;/Q&gt;&lt;R&gt;1&lt;/R&gt;&lt;C&gt;1&lt;/C&gt;&lt;D xsi:type="xsd:double"&gt;0.85076034&lt;/D&gt;&lt;/FQL&gt;&lt;FQL&gt;&lt;Q&gt;HUBB-US^P_BETA_LOCIDX(44960,44785,,"SPX")&lt;/Q&gt;&lt;R&gt;1&lt;/R&gt;&lt;C&gt;1&lt;/C&gt;&lt;D xsi:type="xsd:double"&gt;0.85178614&lt;/D&gt;&lt;/FQL&gt;&lt;FQL&gt;&lt;Q&gt;HUBB-US^P_BETA_LOCIDX(44959,44784,,"SPX")&lt;/Q&gt;&lt;R&gt;1&lt;/R&gt;&lt;C&gt;1&lt;/C&gt;&lt;D xsi:type="xsd:double"&gt;0.8622152&lt;/D&gt;&lt;/FQL&gt;&lt;FQL&gt;&lt;Q&gt;HUBB-US^P_BETA_LOCIDX(44958,44783,,"SPX")&lt;/Q&gt;&lt;R&gt;1&lt;/R&gt;&lt;C&gt;1&lt;/C&gt;&lt;D xsi:type="xsd:double"&gt;0.8754206&lt;/D&gt;&lt;/FQL&gt;&lt;FQL&gt;&lt;Q&gt;HUBB-US^P_BETA_LOCIDX(44957,44782,,"SPX")&lt;/Q&gt;&lt;R&gt;1&lt;/R&gt;&lt;C&gt;1&lt;/C&gt;&lt;D xsi:type="xsd:double"&gt;0.86288977&lt;/D&gt;&lt;/FQL&gt;&lt;FQL&gt;&lt;Q&gt;HUBB-US^P_BETA_LOCIDX(44956,44781,,"SPX")&lt;/Q&gt;&lt;R&gt;1&lt;/R&gt;&lt;C&gt;1&lt;/C&gt;&lt;D xsi:type="xsd:double"&gt;0.87294525&lt;/D&gt;&lt;/FQL&gt;&lt;FQL&gt;&lt;Q&gt;HUBB-US^P_BETA_LOCIDX(44953,44778,,"SPX")&lt;/Q&gt;&lt;R&gt;1&lt;/R&gt;&lt;C&gt;1&lt;/C&gt;&lt;D xsi:type="xsd:double"&gt;0.8758793&lt;/D&gt;&lt;/FQL&gt;&lt;FQL&gt;&lt;Q&gt;HUBB-US^P_BETA_LOCIDX(44952,44777,,"SPX")&lt;/Q&gt;&lt;R&gt;1&lt;/R&gt;&lt;C&gt;1&lt;/C&gt;&lt;D xsi:type="xsd:double"&gt;0.8761312&lt;/D&gt;&lt;/FQL&gt;&lt;FQL&gt;&lt;Q&gt;HUBB-US^P_BETA_LOCIDX(44951,44776,,"SPX")&lt;/Q&gt;&lt;R&gt;1&lt;/R&gt;&lt;C&gt;1&lt;/C&gt;&lt;D xsi:type="xsd:double"&gt;0.8713096&lt;/D&gt;&lt;/FQL&gt;&lt;FQL&gt;&lt;Q&gt;HUBB-US^P_BETA_LOCIDX(44950,44775,,"SPX")&lt;/Q&gt;&lt;R&gt;1&lt;/R&gt;&lt;C&gt;1&lt;/C&gt;&lt;D xsi:type="xsd:double"&gt;0.87279624&lt;/D&gt;&lt;/FQL&gt;&lt;FQL&gt;&lt;Q&gt;HUBB-US^P_BETA_LOCIDX(44949,44774,,"SPX")&lt;/Q&gt;&lt;R&gt;1&lt;/R&gt;&lt;C&gt;1&lt;/C&gt;&lt;D xsi:type="xsd:double"&gt;0.87516093&lt;/D&gt;&lt;/FQL&gt;&lt;FQL&gt;&lt;Q&gt;HUBB-US^P_BETA_LOCIDX(44946,44771,,"SPX")&lt;/Q&gt;&lt;R&gt;1&lt;/R&gt;&lt;C&gt;1&lt;/C&gt;&lt;D xsi:type="xsd:double"&gt;0.8780013&lt;/D&gt;&lt;/FQL&gt;&lt;FQL&gt;&lt;Q&gt;HUBB-US^P_BETA_LOCIDX(44945,44770,,"SPX")&lt;/Q&gt;&lt;R&gt;1&lt;/R&gt;&lt;C&gt;1&lt;/C&gt;&lt;D xsi:type="xsd:double"&gt;0.89864457&lt;/D&gt;&lt;/FQL&gt;&lt;FQL&gt;&lt;Q&gt;HUBB-US^P_BETA_LOCIDX(44944,44769,,"SPX")&lt;/Q&gt;&lt;R&gt;1&lt;/R&gt;&lt;C&gt;1&lt;/C&gt;&lt;D xsi:type="xsd:double"&gt;0.8979011&lt;/D&gt;&lt;/FQL&gt;&lt;FQL&gt;&lt;Q&gt;HUBB-US^P_BETA_LOCIDX(44943,44768,,"SPX")&lt;/Q&gt;&lt;R&gt;1&lt;/R&gt;&lt;C&gt;1&lt;/C&gt;&lt;D xsi:type="xsd:double"&gt;0.876548&lt;/D&gt;&lt;/FQL&gt;&lt;FQL&gt;&lt;Q&gt;HUBB-US^P_BETA_LOCIDX(44939,44767,,"SPX")&lt;/Q&gt;&lt;R&gt;1&lt;/R&gt;&lt;C&gt;1&lt;/C&gt;&lt;D xsi:type="xsd:double"&gt;0.87456083&lt;/D&gt;&lt;/FQL&gt;&lt;FQL&gt;&lt;Q&gt;HUBB-US^P_BETA_LOCIDX(44938,44764,,"SPX")&lt;/Q&gt;&lt;R&gt;1&lt;/R&gt;&lt;C&gt;1&lt;/C&gt;&lt;D xsi:type="xsd:double"&gt;0.8744587&lt;/D&gt;&lt;/FQL&gt;&lt;FQL&gt;&lt;Q&gt;HUBB-US^P_BETA_LOCIDX(44937,44763,,"SPX")&lt;/Q&gt;&lt;R&gt;1&lt;/R&gt;&lt;C&gt;1&lt;/C&gt;&lt;D xsi:type="xsd:double"&gt;0.87765807&lt;/D&gt;&lt;/FQL&gt;&lt;FQL&gt;&lt;Q&gt;HUBB-US^P_BETA_LOCIDX(44936,44762,,"SPX")&lt;/Q&gt;&lt;R&gt;1&lt;/R&gt;&lt;C&gt;1&lt;/C&gt;&lt;D xsi:type="xsd:double"&gt;0.87902826&lt;/D&gt;&lt;/FQL&gt;&lt;FQL&gt;&lt;Q&gt;HUBB-US^P_BETA_LOCIDX(44935,44761,,"SPX")&lt;/Q&gt;&lt;R&gt;1&lt;/R&gt;&lt;C&gt;1&lt;/C&gt;&lt;D xsi:type="xsd:double"&gt;0.89953345&lt;/D&gt;&lt;/FQL&gt;&lt;FQL&gt;&lt;Q&gt;HUBB-US^P_BETA_LOCIDX(44932,44760,,"SPX")&lt;/Q&gt;&lt;R&gt;1&lt;/R&gt;&lt;C&gt;1&lt;/C&gt;&lt;D xsi:type="xsd:double"&gt;0.9094996&lt;/D&gt;&lt;/FQL&gt;&lt;FQL&gt;&lt;Q&gt;HUBB-US^P_BETA_LOCIDX(44931,44757,,"SPX")&lt;/Q&gt;&lt;R&gt;1&lt;/R&gt;&lt;C&gt;1&lt;/C&gt;&lt;D xsi:type="xsd:double"&gt;0.90811807&lt;/D&gt;&lt;/FQL&gt;&lt;FQL&gt;&lt;Q&gt;HUBB-US^P_BETA_LOCIDX(44930,44756,,"SPX")&lt;/Q&gt;&lt;R&gt;1&lt;/R&gt;&lt;C&gt;1&lt;/C&gt;&lt;D xsi:type="xsd:double"&gt;0.90146285&lt;/D&gt;&lt;/FQL&gt;&lt;FQL&gt;&lt;Q&gt;HUBB-US^P_BETA_LOCIDX(44929,44755,,"SPX")&lt;/Q&gt;&lt;R&gt;1&lt;/R&gt;&lt;C&gt;1&lt;/C&gt;&lt;D xsi:type="xsd:double"&gt;0.909153&lt;/D&gt;&lt;/FQL&gt;&lt;FQL&gt;&lt;Q&gt;HUBB-US^P_BETA_LOCIDX(44925,44754,,"SPX")&lt;/Q&gt;&lt;R&gt;1&lt;/R&gt;&lt;C&gt;1&lt;/C&gt;&lt;D xsi:type="xsd:double"&gt;0.9069999&lt;/D&gt;&lt;/FQL&gt;&lt;FQL&gt;&lt;Q&gt;HUBB-US^P_BETA_LOCIDX(44924,44753,,"SPX")&lt;/Q&gt;&lt;R&gt;1&lt;/R&gt;&lt;C&gt;1&lt;/C&gt;&lt;D xsi:type="xsd:double"&gt;0.90464723&lt;/D&gt;&lt;/FQL&gt;&lt;FQL&gt;&lt;Q&gt;HUBB-US^P_BETA_LOCIDX(44923,44750,,"SPX")&lt;/Q&gt;&lt;R&gt;1&lt;/R&gt;&lt;C&gt;1&lt;/C&gt;&lt;D xsi:type="xsd:double"&gt;0.9143831&lt;/D&gt;&lt;/FQL&gt;&lt;FQL&gt;&lt;Q&gt;HUBB-US^P_BETA_LOCIDX(44922,44749,,"SPX")&lt;/Q&gt;&lt;R&gt;1&lt;/R&gt;&lt;C&gt;1&lt;/C&gt;&lt;D xsi:type="xsd:double"&gt;0.9151153&lt;/D&gt;&lt;/FQL&gt;&lt;FQL&gt;&lt;Q&gt;HUBB-US^P_BETA_LOCIDX(44918,44748,,"SPX")&lt;/Q&gt;&lt;R&gt;1&lt;/R&gt;&lt;C&gt;1&lt;/C&gt;&lt;D xsi:type="xsd:double"&gt;0.9159394&lt;/D&gt;&lt;/FQL&gt;&lt;FQL&gt;&lt;Q&gt;HUBB-US^P_BETA_LOCIDX(44917,44747,,"SPX")&lt;/Q&gt;&lt;R&gt;1&lt;/R&gt;&lt;C&gt;1&lt;/C&gt;&lt;D xsi:type="xsd:double"&gt;0.916716&lt;/D&gt;&lt;/FQL&gt;&lt;FQL&gt;&lt;Q&gt;HUBB-US^P_BETA_LOCIDX(44916,44743,,"SPX")&lt;/Q&gt;&lt;R&gt;1&lt;/R&gt;&lt;C&gt;1&lt;/C&gt;&lt;D xsi:type="xsd:double"&gt;0.91350347&lt;/D&gt;&lt;/FQL&gt;&lt;FQL&gt;&lt;Q&gt;HUBB-US^P_BETA_LOCIDX(44915,44742,,"SPX")&lt;/Q&gt;&lt;R&gt;1&lt;/R&gt;&lt;C&gt;1&lt;/C&gt;&lt;D xsi:type="xsd:double"&gt;0.9137526&lt;/D&gt;&lt;/FQL&gt;&lt;FQL&gt;&lt;Q&gt;HUBB-US^P_BETA_LOCIDX(44914,44741,,"SPX")&lt;/Q&gt;&lt;R&gt;1&lt;/R&gt;&lt;C&gt;1&lt;/C&gt;&lt;D xsi:type="xsd:double"&gt;0.91428536&lt;/D&gt;&lt;/FQL&gt;&lt;FQL&gt;&lt;Q&gt;HUBB-US^P_BETA_LOCIDX(44911,44740,,"SPX")&lt;/Q&gt;&lt;R&gt;1&lt;/R&gt;&lt;C&gt;1&lt;/C&gt;&lt;D xsi:type="xsd:double"&gt;0.93143046&lt;/D&gt;&lt;/FQL&gt;&lt;FQL&gt;&lt;Q&gt;HUBB-US^P_BETA_LOCIDX(44910,44739,,"SPX")&lt;/Q&gt;&lt;R&gt;1&lt;/R&gt;&lt;C&gt;1&lt;/C&gt;&lt;D xsi:type="xsd:double"&gt;0.91820264&lt;/D&gt;&lt;/FQL&gt;&lt;FQL&gt;&lt;Q&gt;HUBB-US^P_BETA_LOCIDX(44909,44736,,"SPX")&lt;/Q&gt;&lt;R&gt;1&lt;/R&gt;&lt;C&gt;1&lt;/C&gt;&lt;D xsi:type="xsd:double"&gt;0.93420345&lt;/D&gt;&lt;/FQL&gt;&lt;FQL&gt;&lt;Q&gt;HUBB-US^P_BETA_LOCIDX(44908,44735,,"SPX")&lt;/Q&gt;&lt;R&gt;1&lt;/R&gt;&lt;C&gt;1&lt;/C&gt;&lt;D xsi:type="xsd:double"&gt;0.9256604&lt;/D&gt;&lt;/FQL&gt;&lt;FQL&gt;&lt;Q&gt;HUBB-US^P_BETA_LOCIDX(44907,44734,,"SPX")&lt;/Q&gt;&lt;R&gt;1&lt;/R&gt;&lt;C&gt;1&lt;/C&gt;&lt;D xsi:type="xsd:double"&gt;0.92783165&lt;/D&gt;&lt;/FQL&gt;&lt;FQL&gt;&lt;Q&gt;HUBB-US^P_BETA_LOCIDX(44904,44733,,"SPX")&lt;/Q&gt;&lt;R&gt;1&lt;/R&gt;&lt;C&gt;1&lt;/C&gt;&lt;D xsi:type="xsd:double"&gt;0.9177205&lt;/D&gt;&lt;/FQL&gt;&lt;FQL&gt;&lt;Q&gt;HUBB-US^P_BETA_LOCIDX(44903,44729,,"SPX")&lt;/Q&gt;&lt;R&gt;1&lt;/R&gt;&lt;C&gt;1&lt;/C&gt;&lt;D xsi:type="xsd:double"&gt;0.917184&lt;/D&gt;&lt;/FQL&gt;&lt;FQL&gt;&lt;Q&gt;HUBB-US^P_BETA_LOCIDX(44902,44728,,"SPX")&lt;/Q&gt;&lt;R&gt;1&lt;/R&gt;&lt;C&gt;1&lt;/C&gt;&lt;D xsi:type="xsd:double"&gt;0.93941116&lt;/D&gt;&lt;/FQL&gt;&lt;FQL&gt;&lt;Q&gt;HUBB-US^P_BETA_LOCIDX(44901,44727,,"SPX")&lt;/Q&gt;&lt;R&gt;1&lt;/R&gt;&lt;C&gt;1&lt;/C&gt;&lt;D xsi:type="xsd:double"&gt;0.93284285&lt;/D&gt;&lt;/FQL&gt;&lt;FQL&gt;&lt;Q&gt;HUBB-US^P_BETA_LOCIDX(44900,44726,,"SPX")&lt;/Q&gt;&lt;R&gt;1&lt;/R&gt;&lt;C&gt;1&lt;/C&gt;&lt;D xsi:type="xsd:double"&gt;0.93904436&lt;/D&gt;&lt;/FQL&gt;&lt;FQL&gt;&lt;Q&gt;HUBB-US^P_BETA_LOCIDX(44897,44725,,"SPX")&lt;/Q&gt;&lt;R&gt;1&lt;/R&gt;&lt;C&gt;1&lt;/C&gt;&lt;D xsi:type="xsd:double"&gt;0.97282743&lt;/D&gt;&lt;/FQL&gt;&lt;FQL&gt;&lt;Q&gt;HUBB-US^P_BETA_LOCIDX(44896,44722,,"SPX")&lt;/Q&gt;&lt;R&gt;1&lt;/R&gt;&lt;C&gt;1&lt;/C&gt;&lt;D xsi:type="xsd:double"&gt;0.9628256&lt;/D&gt;&lt;/FQL&gt;&lt;FQL&gt;&lt;Q&gt;HUBB-US^P_BETA_LOCIDX(44895,44721,,"SPX")&lt;/Q&gt;&lt;R&gt;1&lt;/R&gt;&lt;C&gt;1&lt;/C&gt;&lt;D xsi:type="xsd:double"&gt;0.9486477&lt;/D&gt;&lt;/FQL&gt;&lt;FQL&gt;&lt;Q&gt;HUBB-US^P_BETA_LOCIDX(44894,44720,,"SPX")&lt;/Q&gt;&lt;R&gt;1&lt;/R&gt;&lt;C&gt;1&lt;/C&gt;&lt;D xsi:type="xsd:double"&gt;0.9672199&lt;/D&gt;&lt;/FQL&gt;&lt;FQL&gt;&lt;Q&gt;HUBB-US^P_BETA_LOCIDX(44893,44719,,"SPX")&lt;/Q&gt;&lt;R&gt;1&lt;/R&gt;&lt;C&gt;1&lt;/C&gt;&lt;D xsi:type="xsd:double"&gt;0.9728129&lt;/D&gt;&lt;/FQL&gt;&lt;FQL&gt;&lt;Q&gt;HUBB-US^P_BETA_LOCIDX(44890,44718,,"SPX")&lt;/Q&gt;&lt;R&gt;1&lt;/R&gt;&lt;C&gt;1&lt;/C&gt;&lt;D xsi:type="xsd:double"&gt;0.9632527&lt;/D&gt;&lt;/FQL&gt;&lt;FQL&gt;&lt;Q&gt;HUBB-US^P_BETA_LOCIDX(44888,44715,,"SPX")&lt;/Q&gt;&lt;R&gt;1&lt;/R&gt;&lt;C&gt;1&lt;/C&gt;&lt;D xsi:type="xsd:double"&gt;0.9515831&lt;/D&gt;&lt;/FQL&gt;&lt;FQL&gt;&lt;Q&gt;HUBB-US^P_BETA_LOCIDX(44887,44714,,"SPX")&lt;/Q&gt;&lt;R&gt;1&lt;/R&gt;&lt;C&gt;1&lt;/C&gt;&lt;D xsi:type="xsd:double"&gt;0.95288545&lt;/D&gt;&lt;/FQL&gt;&lt;FQL&gt;&lt;Q&gt;HUBB-US^P_BETA_LOCIDX(44886,44713,,"SPX")&lt;/Q&gt;&lt;R&gt;1&lt;/R&gt;&lt;C&gt;1&lt;/C&gt;&lt;D xsi:type="xsd:double"&gt;0.95072913&lt;/D&gt;&lt;/FQL&gt;&lt;FQL&gt;&lt;Q&gt;HUBB-US^P_BETA_LOCIDX(44883,44712,,"SPX")&lt;/Q&gt;&lt;R&gt;1&lt;/R&gt;&lt;C&gt;1&lt;/C&gt;&lt;D xsi:type="xsd:double"&gt;0.9530348&lt;/D&gt;&lt;/FQL&gt;&lt;FQL&gt;&lt;Q&gt;HUBB-US^P_BETA_LOCIDX(44882,44708,,"SPX")&lt;/Q&gt;&lt;R&gt;1&lt;/R&gt;&lt;C&gt;1&lt;/C&gt;&lt;D xsi:type="xsd:double"&gt;0.95542085&lt;/D&gt;&lt;/FQL&gt;&lt;FQL&gt;&lt;Q&gt;HUBB-US^P_BETA_LOCIDX(44881,44707,,"SPX")&lt;/Q&gt;&lt;R&gt;1&lt;/R&gt;&lt;C&gt;1&lt;/C&gt;&lt;D xsi:type="xsd:double"&gt;0.95545274&lt;/D&gt;&lt;/FQL&gt;&lt;FQL&gt;&lt;Q&gt;HUBB-US^P_BETA_LOCIDX(44880,44706,,"SPX")&lt;/Q&gt;&lt;R&gt;1&lt;/R&gt;&lt;C&gt;1&lt;/C&gt;&lt;D xsi:type="xsd:double"&gt;0.94937277&lt;/D&gt;&lt;/FQL&gt;&lt;FQL&gt;&lt;Q&gt;HUBB-US^P_BETA_LOCIDX(44879,44705,,"SPX")&lt;/Q&gt;&lt;R&gt;1&lt;/R&gt;&lt;C&gt;1&lt;/C&gt;&lt;D xsi:type="xsd:double"&gt;0.95511115&lt;/D&gt;&lt;/FQL&gt;&lt;FQL&gt;&lt;Q&gt;HUBB-US^P_BETA_LOCIDX(44876,44704,,"SPX")&lt;/Q&gt;&lt;R&gt;1&lt;/R&gt;&lt;C&gt;1&lt;/C&gt;&lt;D xsi:type="xsd:double"&gt;0.9481737&lt;/D&gt;&lt;/FQL&gt;&lt;FQL&gt;&lt;Q&gt;HUBB-US^P_BETA_LOCIDX(44875,44701,,"SPX")&lt;/Q&gt;&lt;R&gt;1&lt;/R&gt;&lt;C&gt;1&lt;/C&gt;&lt;D xsi:type="xsd:double"&gt;0.9556273&lt;/D&gt;&lt;/FQL&gt;&lt;FQL&gt;&lt;Q&gt;HUBB-US^P_BETA_LOCIDX(44874,44700,,"SPX")&lt;/Q&gt;&lt;R&gt;1&lt;/R&gt;&lt;C&gt;1&lt;/C&gt;&lt;D xsi:type="xsd:double"&gt;0.9438516&lt;/D&gt;&lt;/FQL&gt;&lt;FQL&gt;&lt;Q&gt;HUBB-US^P_BETA_LOCIDX(44873,44699,,"SPX")&lt;/Q&gt;&lt;R&gt;1&lt;/R&gt;&lt;C&gt;1&lt;/C&gt;&lt;D xsi:type="xsd:double"&gt;0.9426013&lt;/D&gt;&lt;/FQL&gt;&lt;FQL&gt;&lt;Q&gt;HUBB-US^P_BETA_LOCIDX(44872,44698,,"SPX")&lt;/Q&gt;&lt;R&gt;1&lt;/R&gt;&lt;C&gt;1&lt;/C&gt;&lt;D xsi:type="xsd:double"&gt;0.93414795&lt;/D&gt;&lt;/FQL&gt;&lt;FQL&gt;&lt;Q&gt;HUBB-US^P_BETA_LOCIDX(44869,44697,,"SPX")&lt;/Q&gt;&lt;R&gt;1&lt;/R&gt;&lt;C&gt;1&lt;/C&gt;&lt;D xsi:type="xsd:double"&gt;0.93892664&lt;/D&gt;&lt;/FQL&gt;&lt;FQL&gt;&lt;Q&gt;HUBB-US^P_BETA_LOCIDX(44868,44694,,"SPX")&lt;/Q&gt;&lt;R&gt;1&lt;/R&gt;&lt;C&gt;1&lt;/C&gt;&lt;D xsi:type="xsd:double"&gt;0.9204523&lt;/D&gt;&lt;/FQL&gt;&lt;FQL&gt;&lt;Q&gt;HUBB-US^P_BETA_LOCIDX(44867,44693,,"SPX")&lt;/Q&gt;&lt;R&gt;1&lt;/R&gt;&lt;C&gt;1&lt;/C&gt;&lt;D xsi:type="xsd:double"&gt;0.9224661&lt;/D&gt;&lt;/FQL&gt;&lt;FQL&gt;&lt;Q&gt;HUBB-US^P_BETA_LOCIDX(44866,44692,,"SPX")&lt;/Q&gt;&lt;R&gt;1&lt;/R&gt;&lt;C&gt;1&lt;/C&gt;&lt;D xsi:type="xsd:double"&gt;0.92635036&lt;/D&gt;&lt;/FQL&gt;&lt;FQL&gt;&lt;Q&gt;HUBB-US^P_BETA_LOCIDX(44865,44691,,"SPX")&lt;/Q&gt;&lt;R&gt;1&lt;/R&gt;&lt;C&gt;1&lt;/C&gt;&lt;D xsi:type="xsd:double"&gt;0.92500323&lt;/D&gt;&lt;/FQL&gt;&lt;FQL&gt;&lt;Q&gt;HUBB-US^P_BETA_LOCIDX(44862,44690,,"SPX")&lt;/Q&gt;&lt;R&gt;1&lt;/R&gt;&lt;C&gt;1&lt;/C&gt;&lt;D xsi:type="xsd:double"&gt;0.89561826&lt;/D&gt;&lt;/FQL&gt;&lt;FQL&gt;&lt;Q&gt;HUBB-US^P_BETA_LOCIDX(44861,44687,,"SPX")&lt;/Q&gt;&lt;R&gt;1&lt;/R&gt;&lt;C&gt;1&lt;/C&gt;&lt;D xsi:type="xsd:double"&gt;0.9239207&lt;/D&gt;&lt;/FQL&gt;&lt;FQL&gt;&lt;Q&gt;HUBB-US^P_BETA_LOCIDX(44860,44686,,"SPX")&lt;/Q&gt;&lt;R&gt;1&lt;/R&gt;&lt;C&gt;1&lt;/C&gt;&lt;D xsi:type="xsd:double"&gt;0.9098237&lt;/D&gt;&lt;/FQL&gt;&lt;FQL&gt;&lt;Q&gt;HUBB-US^P_BETA_LOCIDX(44859,44685,,"SPX")&lt;/Q&gt;&lt;R&gt;1&lt;/R&gt;&lt;C&gt;1&lt;/C&gt;&lt;D xsi:type="xsd:double"&gt;0.90824604&lt;/D&gt;&lt;/FQL&gt;&lt;FQL&gt;&lt;Q&gt;HUBB-US^P_BETA_LOCIDX(44858,44684,,"SPX")&lt;/Q&gt;&lt;R&gt;1&lt;/R&gt;&lt;C&gt;1&lt;/C&gt;&lt;D xsi:type="xsd:double"&gt;0.8831728&lt;/D&gt;&lt;/FQL&gt;&lt;FQL&gt;&lt;Q&gt;HUBB-US^P_BETA_LOCIDX(44855,44683,,"SPX")&lt;/Q&gt;&lt;R&gt;1&lt;/R&gt;&lt;C&gt;1&lt;/C&gt;&lt;D xsi:type="xsd:double"&gt;0.87409097&lt;/D&gt;&lt;/FQL&gt;&lt;FQL&gt;&lt;Q&gt;HUBB-US^P_BETA_LOCIDX(44854,44680,,"SPX")&lt;/Q&gt;&lt;R&gt;1&lt;/R&gt;&lt;C&gt;1&lt;/C&gt;&lt;D xsi:type="xsd:double"&gt;0.8872515&lt;/D&gt;&lt;/FQL&gt;&lt;FQL&gt;&lt;Q&gt;HUBB-US^P_BETA_LOCIDX(44853,44679,,"SPX")&lt;/Q&gt;&lt;R&gt;1&lt;/R&gt;&lt;C&gt;1&lt;/C&gt;&lt;D xsi:type="xsd:double"&gt;0.8941738&lt;/D&gt;&lt;/FQL&gt;&lt;FQL&gt;&lt;Q&gt;HUBB-US^P_BETA_LOCIDX(44852,44678,,"SPX")&lt;/Q&gt;&lt;R&gt;1&lt;/R&gt;&lt;C&gt;1&lt;/C&gt;&lt;D xsi:type="xsd:double"&gt;0.8857062&lt;/D&gt;&lt;/FQL&gt;&lt;FQL&gt;&lt;Q&gt;HUBB-US^P_BETA_LOCIDX(44851,44677,,"SPX")&lt;/Q&gt;&lt;R&gt;1&lt;/R&gt;&lt;C&gt;1&lt;/C&gt;&lt;D xsi:type="xsd:double"&gt;0.8366541&lt;/D&gt;&lt;/FQL&gt;&lt;FQL&gt;&lt;Q&gt;HUBB-US^P_BETA_LOCIDX(44848,44676,,"SPX")&lt;/Q&gt;&lt;R&gt;1&lt;/R&gt;&lt;C&gt;1&lt;/C&gt;&lt;D xsi:type="xsd:double"&gt;0.8297098&lt;/D&gt;&lt;/FQL&gt;&lt;FQL&gt;&lt;Q&gt;HUBB-US^P_BETA_LOCIDX(44847,44673,,"SPX")&lt;/Q&gt;&lt;R&gt;1&lt;/R&gt;&lt;C&gt;1&lt;/C&gt;&lt;D xsi:type="xsd:double"&gt;0.80843115&lt;/D&gt;&lt;/FQL&gt;&lt;FQL&gt;&lt;Q&gt;HUBB-US^P_BETA_LOCIDX(44846,44672,,"SPX")&lt;/Q&gt;&lt;R&gt;1&lt;/R&gt;&lt;C&gt;1&lt;/C&gt;&lt;D xsi:type="xsd:double"&gt;0.8139368&lt;/D&gt;&lt;/FQL&gt;&lt;FQL&gt;&lt;Q&gt;HUBB-US^P_BETA_LOCIDX(44845,44671,,"SPX")&lt;/Q&gt;&lt;R&gt;1&lt;/R&gt;&lt;C&gt;1&lt;/C&gt;&lt;D xsi:type="xsd:double"&gt;0.8135182&lt;/D&gt;&lt;/FQL&gt;&lt;FQL&gt;&lt;Q&gt;HUBB-US^P_BETA_LOCIDX(44844,44670,,"SPX")&lt;/Q&gt;&lt;R&gt;1&lt;/R&gt;&lt;C&gt;1&lt;/C&gt;&lt;D xsi:type="xsd:double"&gt;0.82287353&lt;/D&gt;&lt;/FQL&gt;&lt;FQL&gt;&lt;Q&gt;HUBB-US^P_BETA_LOCIDX(</t>
        </r>
      </text>
    </comment>
    <comment ref="A31" authorId="0" shapeId="0" xr:uid="{7D2B7E68-890D-4AB2-965C-E9F8F80CBD5F}">
      <text>
        <r>
          <rPr>
            <b/>
            <sz val="9"/>
            <color indexed="81"/>
            <rFont val="Tahoma"/>
            <family val="2"/>
          </rPr>
          <t>44841,44669,,"SPX")&lt;/Q&gt;&lt;R&gt;1&lt;/R&gt;&lt;C&gt;1&lt;/C&gt;&lt;D xsi:type="xsd:double"&gt;0.8235665&lt;/D&gt;&lt;/FQL&gt;&lt;FQL&gt;&lt;Q&gt;HUBB-US^P_BETA_LOCIDX(44840,44665,,"SPX")&lt;/Q&gt;&lt;R&gt;1&lt;/R&gt;&lt;C&gt;1&lt;/C&gt;&lt;D xsi:type="xsd:double"&gt;0.81576264&lt;/D&gt;&lt;/FQL&gt;&lt;FQL&gt;&lt;Q&gt;HUBB-US^P_BETA_LOCIDX(44839,44664,,"SPX")&lt;/Q&gt;&lt;R&gt;1&lt;/R&gt;&lt;C&gt;1&lt;/C&gt;&lt;D xsi:type="xsd:double"&gt;0.81529635&lt;/D&gt;&lt;/FQL&gt;&lt;FQL&gt;&lt;Q&gt;HUBB-US^P_BETA_LOCIDX(44838,44663,,"SPX")&lt;/Q&gt;&lt;R&gt;1&lt;/R&gt;&lt;C&gt;1&lt;/C&gt;&lt;D xsi:type="xsd:double"&gt;0.81605893&lt;/D&gt;&lt;/FQL&gt;&lt;FQL&gt;&lt;Q&gt;HUBB-US^P_BETA_LOCIDX(44837,44662,,"SPX")&lt;/Q&gt;&lt;R&gt;1&lt;/R&gt;&lt;C&gt;1&lt;/C&gt;&lt;D xsi:type="xsd:double"&gt;0.8028185&lt;/D&gt;&lt;/FQL&gt;&lt;FQL&gt;&lt;Q&gt;HUBB-US^P_BETA_LOCIDX(44834,44659,,"SPX")&lt;/Q&gt;&lt;R&gt;1&lt;/R&gt;&lt;C&gt;1&lt;/C&gt;&lt;D xsi:type="xsd:double"&gt;0.80777496&lt;/D&gt;&lt;/FQL&gt;&lt;FQL&gt;&lt;Q&gt;HUBB-US^P_BETA_LOCIDX(44833,44658,,"SPX")&lt;/Q&gt;&lt;R&gt;1&lt;/R&gt;&lt;C&gt;1&lt;/C&gt;&lt;D xsi:type="xsd:double"&gt;0.81761503&lt;/D&gt;&lt;/FQL&gt;&lt;FQL&gt;&lt;Q&gt;HUBB-US^P_BETA_LOCIDX(44832,44657,,"SPX")&lt;/Q&gt;&lt;R&gt;1&lt;/R&gt;&lt;C&gt;1&lt;/C&gt;&lt;D xsi:type="xsd:double"&gt;0.81925297&lt;/D&gt;&lt;/FQL&gt;&lt;FQL&gt;&lt;Q&gt;HUBB-US^P_BETA_LOCIDX(44831,44656,,"SPX")&lt;/Q&gt;&lt;R&gt;1&lt;/R&gt;&lt;C&gt;1&lt;/C&gt;&lt;D xsi:type="xsd:double"&gt;0.8210663&lt;/D&gt;&lt;/FQL&gt;&lt;FQL&gt;&lt;Q&gt;HUBB-US^P_BETA_LOCIDX(44830,44655,,"SPX")&lt;/Q&gt;&lt;R&gt;1&lt;/R&gt;&lt;C&gt;1&lt;/C&gt;&lt;D xsi:type="xsd:double"&gt;0.8171726&lt;/D&gt;&lt;/FQL&gt;&lt;FQL&gt;&lt;Q&gt;HUBB-US^P_BETA_LOCIDX(44827,44652,,"SPX")&lt;/Q&gt;&lt;R&gt;1&lt;/R&gt;&lt;C&gt;1&lt;/C&gt;&lt;D xsi:type="xsd:double"&gt;0.819295&lt;/D&gt;&lt;/FQL&gt;&lt;FQL&gt;&lt;Q&gt;HUBB-US^P_BETA_LOCIDX(44826,44651,,"SPX")&lt;/Q&gt;&lt;R&gt;1&lt;/R&gt;&lt;C&gt;1&lt;/C&gt;&lt;D xsi:type="xsd:double"&gt;0.8325809&lt;/D&gt;&lt;/FQL&gt;&lt;FQL&gt;&lt;Q&gt;HUBB-US^P_BETA_LOCIDX(44825,44650,,"SPX")&lt;/Q&gt;&lt;R&gt;1&lt;/R&gt;&lt;C&gt;1&lt;/C&gt;&lt;D xsi:type="xsd:double"&gt;0.8290202&lt;/D&gt;&lt;/FQL&gt;&lt;FQL&gt;&lt;Q&gt;HUBB-US^P_BETA_LOCIDX(44824,44649,,"SPX")&lt;/Q&gt;&lt;R&gt;1&lt;/R&gt;&lt;C&gt;1&lt;/C&gt;&lt;D xsi:type="xsd:double"&gt;0.84782976&lt;/D&gt;&lt;/FQL&gt;&lt;FQL&gt;&lt;Q&gt;HUBB-US^P_BETA_LOCIDX(44823,44648,,"SPX")&lt;/Q&gt;&lt;R&gt;1&lt;/R&gt;&lt;C&gt;1&lt;/C&gt;&lt;D xsi:type="xsd:double"&gt;0.8444276&lt;/D&gt;&lt;/FQL&gt;&lt;FQL&gt;&lt;Q&gt;HUBB-US^P_BETA_LOCIDX(44820,44645,,"SPX")&lt;/Q&gt;&lt;R&gt;1&lt;/R&gt;&lt;C&gt;1&lt;/C&gt;&lt;D xsi:type="xsd:double"&gt;0.8405307&lt;/D&gt;&lt;/FQL&gt;&lt;FQL&gt;&lt;Q&gt;HUBB-US^P_BETA_LOCIDX(44819,44644,,"SPX")&lt;/Q&gt;&lt;R&gt;1&lt;/R&gt;&lt;C&gt;1&lt;/C&gt;&lt;D xsi:type="xsd:double"&gt;0.83717984&lt;/D&gt;&lt;/FQL&gt;&lt;FQL&gt;&lt;Q&gt;HUBB-US^P_BETA_LOCIDX(44818,44643,,"SPX")&lt;/Q&gt;&lt;R&gt;1&lt;/R&gt;&lt;C&gt;1&lt;/C&gt;&lt;D xsi:type="xsd:double"&gt;0.85164624&lt;/D&gt;&lt;/FQL&gt;&lt;FQL&gt;&lt;Q&gt;HUBB-US^P_BETA_LOCIDX(44817,44642,,"SPX")&lt;/Q&gt;&lt;R&gt;1&lt;/R&gt;&lt;C&gt;1&lt;/C&gt;&lt;D xsi:type="xsd:double"&gt;0.84184873&lt;/D&gt;&lt;/FQL&gt;&lt;FQL&gt;&lt;Q&gt;HUBB-US^P_BETA_LOCIDX(44816,44641,,"SPX")&lt;/Q&gt;&lt;R&gt;1&lt;/R&gt;&lt;C&gt;1&lt;/C&gt;&lt;D xsi:type="xsd:double"&gt;0.8595801&lt;/D&gt;&lt;/FQL&gt;&lt;FQL&gt;&lt;Q&gt;HUBB-US^P_BETA_LOCIDX(44813,44638,,"SPX")&lt;/Q&gt;&lt;R&gt;1&lt;/R&gt;&lt;C&gt;1&lt;/C&gt;&lt;D xsi:type="xsd:double"&gt;0.860129&lt;/D&gt;&lt;/FQL&gt;&lt;FQL&gt;&lt;Q&gt;HUBB-US^P_BETA_LOCIDX(44812,44637,,"SPX")&lt;/Q&gt;&lt;R&gt;1&lt;/R&gt;&lt;C&gt;1&lt;/C&gt;&lt;D xsi:type="xsd:double"&gt;0.8529105&lt;/D&gt;&lt;/FQL&gt;&lt;FQL&gt;&lt;Q&gt;HUBB-US^P_BETA_LOCIDX(44811,44636,,"SPX")&lt;/Q&gt;&lt;R&gt;1&lt;/R&gt;&lt;C&gt;1&lt;/C&gt;&lt;D xsi:type="xsd:double"&gt;0.8551918&lt;/D&gt;&lt;/FQL&gt;&lt;FQL&gt;&lt;Q&gt;HUBB-US^P_BETA_LOCIDX(44810,44635,,"SPX")&lt;/Q&gt;&lt;R&gt;1&lt;/R&gt;&lt;C&gt;1&lt;/C&gt;&lt;D xsi:type="xsd:double"&gt;0.846503&lt;/D&gt;&lt;/FQL&gt;&lt;FQL&gt;&lt;Q&gt;HUBB-US^P_BETA_LOCIDX(44806,44634,,"SPX")&lt;/Q&gt;&lt;R&gt;1&lt;/R&gt;&lt;C&gt;1&lt;/C&gt;&lt;D xsi:type="xsd:double"&gt;0.84595674&lt;/D&gt;&lt;/FQL&gt;&lt;FQL&gt;&lt;Q&gt;HUBB-US^P_BETA_LOCIDX(44805,44631,,"SPX")&lt;/Q&gt;&lt;R&gt;1&lt;/R&gt;&lt;C&gt;1&lt;/C&gt;&lt;D xsi:type="xsd:double"&gt;0.8453609&lt;/D&gt;&lt;/FQL&gt;&lt;FQL&gt;&lt;Q&gt;HUBB-US^P_BETA_LOCIDX(44804,44630,,"SPX")&lt;/Q&gt;&lt;R&gt;1&lt;/R&gt;&lt;C&gt;1&lt;/C&gt;&lt;D xsi:type="xsd:double"&gt;0.8455692&lt;/D&gt;&lt;/FQL&gt;&lt;FQL&gt;&lt;Q&gt;HUBB-US^P_BETA_LOCIDX(44803,44629,,"SPX")&lt;/Q&gt;&lt;R&gt;1&lt;/R&gt;&lt;C&gt;1&lt;/C&gt;&lt;D xsi:type="xsd:double"&gt;0.83597004&lt;/D&gt;&lt;/FQL&gt;&lt;FQL&gt;&lt;Q&gt;HUBB-US^P_BETA_LOCIDX(44802,44628,,"SPX")&lt;/Q&gt;&lt;R&gt;1&lt;/R&gt;&lt;C&gt;1&lt;/C&gt;&lt;D xsi:type="xsd:double"&gt;0.8277693&lt;/D&gt;&lt;/FQL&gt;&lt;FQL&gt;&lt;Q&gt;HUBB-US^P_BETA_LOCIDX(44799,44627,,"SPX")&lt;/Q&gt;&lt;R&gt;1&lt;/R&gt;&lt;C&gt;1&lt;/C&gt;&lt;D xsi:type="xsd:double"&gt;0.82474416&lt;/D&gt;&lt;/FQL&gt;&lt;FQL&gt;&lt;Q&gt;HUBB-US^P_BETA_LOCIDX(44798,44624,,"SPX")&lt;/Q&gt;&lt;R&gt;1&lt;/R&gt;&lt;C&gt;1&lt;/C&gt;&lt;D xsi:type="xsd:double"&gt;0.80283505&lt;/D&gt;&lt;/FQL&gt;&lt;FQL&gt;&lt;Q&gt;HUBB-US^P_BETA_LOCIDX(44797,44623,,"SPX")&lt;/Q&gt;&lt;R&gt;1&lt;/R&gt;&lt;C&gt;1&lt;/C&gt;&lt;D xsi:type="xsd:double"&gt;0.8022676&lt;/D&gt;&lt;/FQL&gt;&lt;FQL&gt;&lt;Q&gt;HUBB-US^P_BETA_LOCIDX(44796,44622,,"SPX")&lt;/Q&gt;&lt;R&gt;1&lt;/R&gt;&lt;C&gt;1&lt;/C&gt;&lt;D xsi:type="xsd:double"&gt;0.8120447&lt;/D&gt;&lt;/FQL&gt;&lt;FQL&gt;&lt;Q&gt;HUBB-US^P_BETA_LOCIDX(44795,44621,,"SPX")&lt;/Q&gt;&lt;R&gt;1&lt;/R&gt;&lt;C&gt;1&lt;/C&gt;&lt;D xsi:type="xsd:double"&gt;0.8126587&lt;/D&gt;&lt;/FQL&gt;&lt;FQL&gt;&lt;Q&gt;HUBB-US^P_BETA_LOCIDX(44792,44620,,"SPX")&lt;/Q&gt;&lt;R&gt;1&lt;/R&gt;&lt;C&gt;1&lt;/C&gt;&lt;D xsi:type="xsd:double"&gt;0.813055&lt;/D&gt;&lt;/FQL&gt;&lt;FQL&gt;&lt;Q&gt;HUBB-US^P_BETA_LOCIDX(44791,44617,,"SPX")&lt;/Q&gt;&lt;R&gt;1&lt;/R&gt;&lt;C&gt;1&lt;/C&gt;&lt;D xsi:type="xsd:double"&gt;0.82103074&lt;/D&gt;&lt;/FQL&gt;&lt;FQL&gt;&lt;Q&gt;HUBB-US^P_BETA_LOCIDX(44790,44616,,"SPX")&lt;/Q&gt;&lt;R&gt;1&lt;/R&gt;&lt;C&gt;1&lt;/C&gt;&lt;D xsi:type="xsd:double"&gt;0.81725115&lt;/D&gt;&lt;/FQL&gt;&lt;FQL&gt;&lt;Q&gt;HUBB-US^P_BETA_LOCIDX(44789,44615,,"SPX")&lt;/Q&gt;&lt;R&gt;1&lt;/R&gt;&lt;C&gt;1&lt;/C&gt;&lt;D xsi:type="xsd:double"&gt;0.81967056&lt;/D&gt;&lt;/FQL&gt;&lt;FQL&gt;&lt;Q&gt;HUBB-US^P_BETA_LOCIDX(44788,44614,,"SPX")&lt;/Q&gt;&lt;R&gt;1&lt;/R&gt;&lt;C&gt;1&lt;/C&gt;&lt;D xsi:type="xsd:double"&gt;0.82147807&lt;/D&gt;&lt;/FQL&gt;&lt;FQL&gt;&lt;Q&gt;HUBB-US^P_BETA_LOCIDX(44785,44610,,"SPX")&lt;/Q&gt;&lt;R&gt;1&lt;/R&gt;&lt;C&gt;1&lt;/C&gt;&lt;D xsi:type="xsd:double"&gt;0.8241776&lt;/D&gt;&lt;/FQL&gt;&lt;FQL&gt;&lt;Q&gt;HUBB-US^P_BETA_LOCIDX(44784,44609,,"SPX")&lt;/Q&gt;&lt;R&gt;1&lt;/R&gt;&lt;C&gt;1&lt;/C&gt;&lt;D xsi:type="xsd:double"&gt;0.83098704&lt;/D&gt;&lt;/FQL&gt;&lt;FQL&gt;&lt;Q&gt;HUBB-US^P_BETA_LOCIDX(44783,44608,,"SPX")&lt;/Q&gt;&lt;R&gt;1&lt;/R&gt;&lt;C&gt;1&lt;/C&gt;&lt;D xsi:type="xsd:double"&gt;0.8309374&lt;/D&gt;&lt;/FQL&gt;&lt;FQL&gt;&lt;Q&gt;HUBB-US^P_BETA_LOCIDX(44782,44607,,"SPX")&lt;/Q&gt;&lt;R&gt;1&lt;/R&gt;&lt;C&gt;1&lt;/C&gt;&lt;D xsi:type="xsd:double"&gt;0.8270167&lt;/D&gt;&lt;/FQL&gt;&lt;FQL&gt;&lt;Q&gt;HUBB-US^P_BETA_LOCIDX(44781,44606,,"SPX")&lt;/Q&gt;&lt;R&gt;1&lt;/R&gt;&lt;C&gt;1&lt;/C&gt;&lt;D xsi:type="xsd:double"&gt;0.8266735&lt;/D&gt;&lt;/FQL&gt;&lt;FQL&gt;&lt;Q&gt;HUBB-US^P_BETA_LOCIDX(44778,44603,,"SPX")&lt;/Q&gt;&lt;R&gt;1&lt;/R&gt;&lt;C&gt;1&lt;/C&gt;&lt;D xsi:type="xsd:double"&gt;0.8285524&lt;/D&gt;&lt;/FQL&gt;&lt;FQL&gt;&lt;Q&gt;HUBB-US^P_BETA_LOCIDX(44777,44602,,"SPX")&lt;/Q&gt;&lt;R&gt;1&lt;/R&gt;&lt;C&gt;1&lt;/C&gt;&lt;D xsi:type="xsd:double"&gt;0.8375977&lt;/D&gt;&lt;/FQL&gt;&lt;FQL&gt;&lt;Q&gt;HUBB-US^P_BETA_LOCIDX(44776,44601,,"SPX")&lt;/Q&gt;&lt;R&gt;1&lt;/R&gt;&lt;C&gt;1&lt;/C&gt;&lt;D xsi:type="xsd:double"&gt;0.84008193&lt;/D&gt;&lt;/FQL&gt;&lt;FQL&gt;&lt;Q&gt;HUBB-US^P_BETA_LOCIDX(44775,44600,,"SPX")&lt;/Q&gt;&lt;R&gt;1&lt;/R&gt;&lt;C&gt;1&lt;/C&gt;&lt;D xsi:type="xsd:double"&gt;0.8458071&lt;/D&gt;&lt;/FQL&gt;&lt;FQL&gt;&lt;Q&gt;HUBB-US^P_BETA_LOCIDX(44774,44599,,"SPX")&lt;/Q&gt;&lt;R&gt;1&lt;/R&gt;&lt;C&gt;1&lt;/C&gt;&lt;D xsi:type="xsd:double"&gt;0.84492403&lt;/D&gt;&lt;/FQL&gt;&lt;FQL&gt;&lt;Q&gt;HUBB-US^P_BETA_LOCIDX(45845,45670,,"SPX")&lt;/Q&gt;&lt;R&gt;1&lt;/R&gt;&lt;C&gt;1&lt;/C&gt;&lt;D xsi:type="xsd:double"&gt;1.1198941&lt;/D&gt;&lt;/FQL&gt;&lt;FQL&gt;&lt;Q&gt;WCC-US^P_BETA_LOCIDX(45841,45665,,"SPX")&lt;/Q&gt;&lt;R&gt;1&lt;/R&gt;&lt;C&gt;1&lt;/C&gt;&lt;D xsi:type="xsd:double"&gt;1.6108652&lt;/D&gt;&lt;/FQL&gt;&lt;FQL&gt;&lt;Q&gt;WCC-US^P_BETA_LOCIDX(45840,45664,,"SPX")&lt;/Q&gt;&lt;R&gt;1&lt;/R&gt;&lt;C&gt;1&lt;/C&gt;&lt;D xsi:type="xsd:double"&gt;1.6053171&lt;/D&gt;&lt;/FQL&gt;&lt;FQL&gt;&lt;Q&gt;WCC-US^P_BETA_LOCIDX(45839,45663,,"SPX")&lt;/Q&gt;&lt;R&gt;1&lt;/R&gt;&lt;C&gt;1&lt;/C&gt;&lt;D xsi:type="xsd:double"&gt;1.6038568&lt;/D&gt;&lt;/FQL&gt;&lt;FQL&gt;&lt;Q&gt;WCC-US^P_BETA_LOCIDX(45838,45660,,"SPX")&lt;/Q&gt;&lt;R&gt;1&lt;/R&gt;&lt;C&gt;1&lt;/C&gt;&lt;D xsi:type="xsd:double"&gt;1.6047648&lt;/D&gt;&lt;/FQL&gt;&lt;FQL&gt;&lt;Q&gt;WCC-US^P_BETA_LOCIDX(45835,45659,,"SPX")&lt;/Q&gt;&lt;R&gt;1&lt;/R&gt;&lt;C&gt;1&lt;/C&gt;&lt;D xsi:type="xsd:double"&gt;1.6075003&lt;/D&gt;&lt;/FQL&gt;&lt;FQL&gt;&lt;Q&gt;WCC-US^P_BETA_LOCIDX(45834,45657,,"SPX")&lt;/Q&gt;&lt;R&gt;1&lt;/R&gt;&lt;C&gt;1&lt;/C&gt;&lt;D xsi:type="xsd:double"&gt;1.6063972&lt;/D&gt;&lt;/FQL&gt;&lt;FQL&gt;&lt;Q&gt;WCC-US^P_BETA_LOCIDX(45833,45656,,"SPX")&lt;/Q&gt;&lt;R&gt;1&lt;/R&gt;&lt;C&gt;1&lt;/C&gt;&lt;D xsi:type="xsd:double"&gt;1.5968384&lt;/D&gt;&lt;/FQL&gt;&lt;FQL&gt;&lt;Q&gt;WCC-US^P_BETA_LOCIDX(45832,45653,,"SPX")&lt;/Q&gt;&lt;R&gt;1&lt;/R&gt;&lt;C&gt;1&lt;/C&gt;&lt;D xsi:type="xsd:double"&gt;1.5931064&lt;/D&gt;&lt;/FQL&gt;&lt;FQL&gt;&lt;Q&gt;WCC-US^P_BETA_LOCIDX(45831,45652,,"SPX")&lt;/Q&gt;&lt;R&gt;1&lt;/R&gt;&lt;C&gt;1&lt;/C&gt;&lt;D xsi:type="xsd:double"&gt;1.5916533&lt;/D&gt;&lt;/FQL&gt;&lt;FQL&gt;&lt;Q&gt;WCC-US^P_BETA_LOCIDX(45828,45650,,"SPX")&lt;/Q&gt;&lt;R&gt;1&lt;/R&gt;&lt;C&gt;1&lt;/C&gt;&lt;D xsi:type="xsd:double"&gt;1.5874903&lt;/D&gt;&lt;/FQL&gt;&lt;FQL&gt;&lt;Q&gt;WCC-US^P_BETA_LOCIDX(45826,45649,,"SPX")&lt;/Q&gt;&lt;R&gt;1&lt;/R&gt;&lt;C&gt;1&lt;/C&gt;&lt;D xsi:type="xsd:double"&gt;1.5867984&lt;/D&gt;&lt;/FQL&gt;&lt;FQL&gt;&lt;Q&gt;WCC-US^P_BETA_LOCIDX(45825,45646,,"SPX")&lt;/Q&gt;&lt;R&gt;1&lt;/R&gt;&lt;C&gt;1&lt;/C&gt;&lt;D xsi:type="xsd:double"&gt;1.5872365&lt;/D&gt;&lt;/FQL&gt;&lt;FQL&gt;&lt;Q&gt;WCC-US^P_BETA_LOCIDX(45824,45645,,"SPX")&lt;/Q&gt;&lt;R&gt;1&lt;/R&gt;&lt;C&gt;1&lt;/C&gt;&lt;D xsi:type="xsd:double"&gt;1.5834777&lt;/D&gt;&lt;/FQL&gt;&lt;FQL&gt;&lt;Q&gt;WCC-US^P_BETA_LOCIDX(45821,45644,,"SPX")&lt;/Q&gt;&lt;R&gt;1&lt;/R&gt;&lt;C&gt;1&lt;/C&gt;&lt;D xsi:type="xsd:double"&gt;1.5922251&lt;/D&gt;&lt;/FQL&gt;&lt;FQL&gt;&lt;Q&gt;WCC-US^P_BETA_LOCIDX(45820,45643,,"SPX")&lt;/Q&gt;&lt;R&gt;1&lt;/R&gt;&lt;C&gt;1&lt;/C&gt;&lt;D xsi:type="xsd:double"&gt;1.5931458&lt;/D&gt;&lt;/FQL&gt;&lt;FQL&gt;&lt;Q&gt;WCC-US^P_BETA_LOCIDX(45819,45642,,"SPX")&lt;/Q&gt;&lt;R&gt;1&lt;/R&gt;&lt;C&gt;1&lt;/C&gt;&lt;D xsi:type="xsd:double"&gt;1.5929866&lt;/D&gt;&lt;/FQL&gt;&lt;FQL&gt;&lt;Q&gt;WCC-US^P_BETA_LOCIDX(45818,45639,,"SPX")&lt;/Q&gt;&lt;R&gt;1&lt;/R&gt;&lt;C&gt;1&lt;/C&gt;&lt;D xsi:type="xsd:double"&gt;1.5925983&lt;/D&gt;&lt;/FQL&gt;&lt;FQL&gt;&lt;Q&gt;WCC-US^P_BETA_LOCIDX(45817,45638,,"SPX")&lt;/Q&gt;&lt;R&gt;1&lt;/R&gt;&lt;C&gt;1&lt;/C&gt;&lt;D xsi:type="xsd:double"&gt;1.5924844&lt;/D&gt;&lt;/FQL&gt;&lt;FQL&gt;&lt;Q&gt;WCC-US^P_BETA_LOCIDX(45814,45637,,"SPX")&lt;/Q&gt;&lt;R&gt;1&lt;/R&gt;&lt;C&gt;1&lt;/C&gt;&lt;D xsi:type="xsd:double"&gt;1.5862929&lt;/D&gt;&lt;/FQL&gt;&lt;FQL&gt;&lt;Q&gt;WCC-US^P_BETA_LOCIDX(45813,45636,,"SPX")&lt;/Q&gt;&lt;R&gt;1&lt;/R&gt;&lt;C&gt;1&lt;/C&gt;&lt;D xsi:type="xsd:double"&gt;1.5870264&lt;/D&gt;&lt;/FQL&gt;&lt;FQL&gt;&lt;Q&gt;WCC-US^P_BETA_LOCIDX(45812,45635,,"SPX")&lt;/Q&gt;&lt;R&gt;1&lt;/R&gt;&lt;C&gt;1&lt;/C&gt;&lt;D xsi:type="xsd:double"&gt;1.5892577&lt;/D&gt;&lt;/FQL&gt;&lt;FQL&gt;&lt;Q&gt;WCC-US^P_BETA_LOCIDX(45811,45632,,"SPX")&lt;/Q&gt;&lt;R&gt;1&lt;/R&gt;&lt;C&gt;1&lt;/C&gt;&lt;D xsi:type="xsd:double"&gt;1.588227&lt;/D&gt;&lt;/FQL&gt;&lt;FQL&gt;&lt;Q&gt;WCC-US^P_BETA_LOCIDX(45810,45631,,"SPX")&lt;/Q&gt;&lt;R&gt;1&lt;/R&gt;&lt;C&gt;1&lt;/C&gt;&lt;D xsi:type="xsd:double"&gt;1.5810256&lt;/D&gt;&lt;/FQL&gt;&lt;FQL&gt;&lt;Q&gt;WCC-US^P_BETA_LOCIDX(45807,45630,,"SPX")&lt;/Q&gt;&lt;R&gt;1&lt;/R&gt;&lt;C&gt;1&lt;/C&gt;&lt;D xsi:type="xsd:double"&gt;1.5820029&lt;/D&gt;&lt;/FQL&gt;&lt;FQL&gt;&lt;Q&gt;WCC-US^P_BETA_LOCIDX(45806,45629,,"SPX")&lt;/Q&gt;&lt;R&gt;1&lt;/R&gt;&lt;C&gt;1&lt;/C&gt;&lt;D xsi:type="xsd:double"&gt;1.5819286&lt;/D&gt;&lt;/FQL&gt;&lt;FQL&gt;&lt;Q&gt;WCC-US^P_BETA_LOCIDX(45805,45628,,"SPX")&lt;/Q&gt;&lt;R&gt;1&lt;/R&gt;&lt;C&gt;1&lt;/C&gt;&lt;D xsi:type="xsd:double"&gt;1.5839212&lt;/D&gt;&lt;/FQL&gt;&lt;FQL&gt;&lt;Q&gt;WCC-US^P_BETA_LOCIDX(45804,45625,,"SPX")&lt;/Q&gt;&lt;R&gt;1&lt;/R&gt;&lt;C&gt;1&lt;/C&gt;&lt;D xsi:type="xsd:double"&gt;1.591385&lt;/D&gt;&lt;/FQL&gt;&lt;FQL&gt;&lt;Q&gt;WCC-US^P_BETA_LOCIDX(45800,45623,,"SPX")&lt;/Q&gt;&lt;R&gt;1&lt;/R&gt;&lt;C&gt;1&lt;/C&gt;&lt;D xsi:type="xsd:double"&gt;1.5958529&lt;/D&gt;&lt;/FQL&gt;&lt;FQL&gt;&lt;Q&gt;WCC-US^P_BETA_LOCIDX(45799,45622,,"SPX")&lt;/Q&gt;&lt;R&gt;1&lt;/R&gt;&lt;C&gt;1&lt;/C&gt;&lt;D xsi:type="xsd:double"&gt;1.5933766&lt;/D&gt;&lt;/FQL&gt;&lt;FQL&gt;&lt;Q&gt;WCC-US^P_BETA_LOCIDX(45798,45621,,"SPX")&lt;/Q&gt;&lt;R&gt;1&lt;/R&gt;&lt;C&gt;1&lt;/C&gt;&lt;D xsi:type="xsd:double"&gt;1.5947043&lt;/D&gt;&lt;/FQL&gt;&lt;FQL&gt;&lt;Q&gt;WCC-US^P_BETA_LOCIDX(45797,45618,,"SPX")&lt;/Q&gt;&lt;R&gt;1&lt;/R&gt;&lt;C&gt;1&lt;/C&gt;&lt;D xsi:type="xsd:double"&gt;1.5919676&lt;/D&gt;&lt;/FQL&gt;&lt;FQL&gt;&lt;Q&gt;WCC-US^P_BETA_LOCIDX(45796,45617,,"SPX")&lt;/Q&gt;&lt;R&gt;1&lt;/R&gt;&lt;C&gt;1&lt;/C&gt;&lt;D xsi:type="xsd:double"&gt;1.5971586&lt;/D&gt;&lt;/FQL&gt;&lt;FQL&gt;&lt;Q&gt;WCC-US^P_BETA_LOCIDX(45793,45616,,"SPX")&lt;/Q&gt;&lt;R&gt;1&lt;/R&gt;&lt;C&gt;1&lt;/C&gt;&lt;D xsi:type="xsd:double"&gt;1.5975224&lt;/D&gt;&lt;/FQL&gt;&lt;FQL&gt;&lt;Q&gt;WCC-US^P_BETA_LOCIDX(45792,45615,,"SPX")&lt;/Q&gt;&lt;R&gt;1&lt;/R&gt;&lt;C&gt;1&lt;/C&gt;&lt;D xsi:type="xsd:double"&gt;1.5970906&lt;/D&gt;&lt;/FQL&gt;&lt;FQL&gt;&lt;Q&gt;WCC-US^P_BETA_LOCIDX(45791,45614,,"SPX")&lt;/Q&gt;&lt;R&gt;1&lt;/R&gt;&lt;C&gt;1&lt;/C&gt;&lt;D xsi:type="xsd:double"&gt;1.5986302&lt;/D&gt;&lt;/FQL&gt;&lt;FQL&gt;&lt;Q&gt;WCC-US^P_BETA_LOCIDX(45790,45611,,"SPX")&lt;/Q&gt;&lt;R&gt;1&lt;/R&gt;&lt;C&gt;1&lt;/C&gt;&lt;D xsi:type="xsd:double"&gt;1.596511&lt;/D&gt;&lt;/FQL&gt;&lt;FQL&gt;&lt;Q&gt;WCC-US^P_BETA_LOCIDX(45789,45610,,"SPX")&lt;/Q&gt;&lt;R&gt;1&lt;/R&gt;&lt;C&gt;1&lt;/C&gt;&lt;D xsi:type="xsd:double"&gt;1.5929449&lt;/D&gt;&lt;/FQL&gt;&lt;FQL&gt;&lt;Q&gt;WCC-US^P_BETA_LOCIDX(45786,45609,,"SPX")&lt;/Q&gt;&lt;R&gt;1&lt;/R&gt;&lt;C&gt;1&lt;/C&gt;&lt;D xsi:type="xsd:double"&gt;1.5815653&lt;/D&gt;&lt;/FQL&gt;&lt;FQL&gt;&lt;Q&gt;WCC-US^P_BETA_LOCIDX(45785,45608,,"SPX")&lt;/Q&gt;&lt;R&gt;1&lt;/R&gt;&lt;C&gt;1&lt;/C&gt;&lt;D xsi:type="xsd:double"&gt;1.5831939&lt;/D&gt;&lt;/FQL&gt;&lt;FQL&gt;&lt;Q&gt;WCC-US^P_BETA_LOCIDX(45784,45607,,"SPX")&lt;/Q&gt;&lt;R&gt;1&lt;/R&gt;&lt;C&gt;1&lt;/C&gt;&lt;D xsi:type="xsd:double"&gt;1.580468&lt;/D&gt;&lt;/FQL&gt;&lt;FQL&gt;&lt;Q&gt;WCC-US^P_BETA_LOCIDX(45783,45604,,"SPX")&lt;/Q&gt;&lt;R&gt;1&lt;/R&gt;&lt;C&gt;1&lt;/C&gt;&lt;D xsi:type="xsd:double"&gt;1.579256&lt;/D&gt;&lt;/FQL&gt;&lt;FQL&gt;&lt;Q&gt;WCC-US^P_BETA_LOCIDX(45782,45603,,"SPX")&lt;/Q&gt;&lt;R&gt;1&lt;/R&gt;&lt;C&gt;1&lt;/C&gt;&lt;D xsi:type="xsd:double"&gt;1.567664&lt;/D&gt;&lt;/FQL&gt;&lt;FQL&gt;&lt;Q&gt;WCC-US^P_BETA_LOCIDX(45779,45602,,"SPX")&lt;/Q&gt;&lt;R&gt;1&lt;/R&gt;&lt;C&gt;1&lt;/C&gt;&lt;D xsi:type="xsd:double"&gt;1.6517382&lt;/D&gt;&lt;/FQL&gt;&lt;FQL&gt;&lt;Q&gt;WCC-US^P_BETA_LOCIDX(45778,45601,,"SPX")&lt;/Q&gt;&lt;R&gt;1&lt;/R&gt;&lt;C&gt;1&lt;/C&gt;&lt;D xsi:type="xsd:double"&gt;1.625605&lt;/D&gt;&lt;/FQL&gt;&lt;FQL&gt;&lt;Q&gt;WCC-US^P_BETA_LOCIDX(45777,45600,,"SPX")&lt;/Q&gt;&lt;R&gt;1&lt;/R&gt;&lt;C&gt;1&lt;/C&gt;&lt;D xsi:type="xsd:double"&gt;1.644007&lt;/D&gt;&lt;/FQL&gt;&lt;FQL&gt;&lt;Q&gt;WCC-US^P_BETA_LOCIDX(45776,45597,,"SPX")&lt;/Q&gt;&lt;R&gt;1&lt;/R&gt;&lt;C&gt;1&lt;/C&gt;&lt;D xsi:type="xsd:double"&gt;1.6398586&lt;/D&gt;&lt;/FQL&gt;&lt;FQL&gt;&lt;Q&gt;WCC-US^P_BETA_LOCIDX(45775,45596,,"SPX")&lt;/Q&gt;&lt;R&gt;1&lt;/R&gt;&lt;C&gt;1&lt;/C&gt;&lt;D xsi:type="xsd:double"&gt;1.5718853&lt;/D&gt;&lt;/FQL&gt;&lt;FQL&gt;&lt;Q&gt;WCC-US^P_BETA_LOCIDX(45772,45595,,"SPX")&lt;/Q&gt;&lt;R&gt;1&lt;/R&gt;&lt;C&gt;1&lt;/C&gt;&lt;D xsi:type="xsd:double"&gt;1.5713122&lt;/D&gt;&lt;/FQL&gt;&lt;FQL&gt;&lt;Q&gt;WCC-US^P_BETA_LOCIDX(45771,45594,,"SPX")&lt;/Q&gt;&lt;R&gt;1&lt;/R&gt;&lt;C&gt;1&lt;/C&gt;&lt;D xsi:type="xsd:double"&gt;1.5725402&lt;/D&gt;&lt;/FQL&gt;&lt;FQL&gt;&lt;Q&gt;WCC-US^P_BETA_LOCIDX(45770,45593,,"SPX")&lt;/Q&gt;&lt;R&gt;1&lt;/R&gt;&lt;C&gt;1&lt;/C&gt;&lt;D xsi:type="xsd:double"&gt;1.5657382&lt;/D&gt;&lt;/FQL&gt;&lt;FQL&gt;&lt;Q&gt;WCC-US^P_BETA_LOCIDX(45769,45590,,"SPX")&lt;/Q&gt;&lt;R&gt;1&lt;/R&gt;&lt;C&gt;1&lt;/C&gt;&lt;D xsi:type="xsd:double"&gt;1.5636249&lt;/D&gt;&lt;/FQL&gt;&lt;FQL&gt;&lt;Q&gt;WCC-US^P_BETA_LOCIDX(45768,45589,,"SPX")&lt;/Q&gt;&lt;R&gt;1&lt;/R&gt;&lt;C&gt;1&lt;/C&gt;&lt;D xsi:type="xsd:double"&gt;1.5775704&lt;/D&gt;&lt;/FQL&gt;&lt;FQL&gt;&lt;Q&gt;WCC-US^P_BETA_LOCIDX(45764,45588,,"SPX")&lt;/Q&gt;&lt;R&gt;1&lt;/R&gt;&lt;C&gt;1&lt;/C&gt;&lt;D xsi:type="xsd:double"&gt;1.5755063&lt;/D&gt;&lt;/FQL&gt;&lt;FQL&gt;&lt;Q&gt;WCC-US^P_BETA_LOCIDX(45763,45587,,"SPX")&lt;/Q&gt;&lt;R&gt;1&lt;/R&gt;&lt;C&gt;1&lt;/C&gt;&lt;D xsi:type="xsd:double"&gt;1.5738664&lt;/D&gt;&lt;/FQL&gt;&lt;FQL&gt;&lt;Q&gt;WCC-US^P_BETA_LOCIDX(45762,45586,,"SPX")&lt;/Q&gt;&lt;R&gt;1&lt;/R&gt;&lt;C&gt;1&lt;/C&gt;&lt;D xsi:type="xsd:double"&gt;1.5914382&lt;/D&gt;&lt;/FQL&gt;&lt;FQL&gt;&lt;Q&gt;WCC-US^P_BETA_LOCIDX(45761,45583,,"SPX")&lt;/Q&gt;&lt;R&gt;1&lt;/R&gt;&lt;C&gt;1&lt;/C&gt;&lt;D xsi:type="xsd:double"&gt;1.5890479&lt;/D&gt;&lt;/FQL&gt;&lt;FQL&gt;&lt;Q&gt;WCC-US^P_BETA_LOCIDX(45758,45582,,"SPX")&lt;/Q&gt;&lt;R&gt;1&lt;/R&gt;&lt;C&gt;1&lt;/C&gt;&lt;D xsi:type="xsd:double"&gt;1.5894939&lt;/D&gt;&lt;/FQL&gt;&lt;FQL&gt;&lt;Q&gt;WCC-US^P_BETA_LOCIDX(45757,45581,,"SPX")&lt;/Q&gt;&lt;R&gt;1&lt;/R&gt;&lt;C&gt;1&lt;/C&gt;&lt;D xsi:type="xsd:double"&gt;1.6093645&lt;/D&gt;&lt;/FQL&gt;&lt;FQL&gt;&lt;Q&gt;WCC-US^P_BETA_LOCIDX(45756,45580,,"SPX")&lt;/Q&gt;&lt;R&gt;1&lt;/R&gt;&lt;C&gt;1&lt;/C&gt;&lt;D xsi:type="xsd:double"&gt;1.6241509&lt;/D&gt;&lt;/FQL&gt;&lt;FQL&gt;&lt;Q&gt;WCC-US^P_BETA_LOCIDX(45755,45579,,"SPX")&lt;/Q&gt;&lt;R&gt;1&lt;/R&gt;&lt;C&gt;1&lt;/C&gt;&lt;D xsi:type="xsd:double"&gt;1.5992565&lt;/D&gt;&lt;/FQL&gt;&lt;FQL&gt;&lt;Q&gt;WCC-US^P_BETA_LOCIDX(45754,45576,,"SPX")&lt;/Q&gt;&lt;R&gt;1&lt;/R&gt;&lt;C&gt;1&lt;/C&gt;&lt;D xsi:type="xsd:double"&gt;1.6110951&lt;/D&gt;&lt;/FQL&gt;&lt;FQL&gt;&lt;Q&gt;WCC-US^P_BETA_LOCIDX(45751,45575,,"SPX")&lt;/Q&gt;&lt;R&gt;1&lt;/R&gt;&lt;C&gt;1&lt;/C&gt;&lt;D xsi:type="xsd:double"&gt;1.6117218&lt;/D&gt;&lt;/FQL&gt;&lt;FQL&gt;&lt;Q&gt;WCC-US^P_BETA_LOCIDX(45750,45574,,"SPX")&lt;/Q&gt;&lt;R&gt;1&lt;/R&gt;&lt;C&gt;1&lt;/C&gt;&lt;D xsi:type="xsd:double"&gt;1.8175014&lt;/D&gt;&lt;/FQL&gt;&lt;FQL&gt;&lt;Q&gt;WCC-US^P_BETA_LOCIDX(45749,45573,,"SPX")&lt;/Q&gt;&lt;R&gt;1&lt;/R&gt;&lt;C&gt;1&lt;/C&gt;&lt;D xsi:type="xsd:double"&gt;1.673596&lt;/D&gt;&lt;/FQL&gt;&lt;FQL&gt;&lt;Q&gt;WCC-US^P_BETA_LOCIDX(45748,45572,,"SPX")&lt;/Q&gt;&lt;R&gt;1&lt;/R&gt;&lt;C&gt;1&lt;/C&gt;&lt;D xsi:type="xsd:double"&gt;1.6447507&lt;/D&gt;&lt;/FQL&gt;&lt;FQL&gt;&lt;Q&gt;WCC-US^P_BETA_LOCIDX(45747,45569,,"SPX")&lt;/Q&gt;&lt;R&gt;1&lt;/R&gt;&lt;C&gt;1&lt;/C&gt;&lt;D xsi:type="xsd:double"&gt;1.6325635&lt;/D&gt;&lt;/FQL&gt;&lt;FQL&gt;&lt;Q&gt;WCC-US^P_BETA_LOCIDX(45744,45568,,"SPX")&lt;/Q&gt;&lt;R&gt;1&lt;/R&gt;&lt;C&gt;1&lt;/C&gt;&lt;D xsi:type="xsd:double"&gt;1.6438606&lt;/D&gt;&lt;/FQL&gt;&lt;FQL&gt;&lt;Q&gt;WCC-US^P_BETA_LOCIDX(45743,45567,,"SPX")&lt;/Q&gt;&lt;R&gt;1&lt;/R&gt;&lt;C&gt;1&lt;/C&gt;&lt;D xsi:type="xsd:double"&gt;1.6261389&lt;/D&gt;&lt;/FQL&gt;&lt;FQL&gt;&lt;Q&gt;WCC-US^P_BETA_LOCIDX(45742,45566,,"SPX")&lt;/Q&gt;&lt;R&gt;1&lt;/R&gt;&lt;C&gt;1&lt;/C&gt;&lt;D xsi:type="xsd:double"&gt;1.6178608&lt;/D&gt;&lt;/FQL&gt;&lt;FQL&gt;&lt;Q&gt;WCC-US^P_BETA_LOCIDX(45741,45565,,"SPX")&lt;/Q&gt;&lt;R&gt;1&lt;/R&gt;&lt;C&gt;1&lt;/C&gt;&lt;D xsi:type="xsd:double"&gt;1.6147434&lt;/D&gt;&lt;/FQL&gt;&lt;FQL&gt;&lt;Q&gt;WCC-US^P_BETA_LOCIDX(45740,45562,,"SPX")&lt;/Q&gt;&lt;R&gt;1&lt;/R&gt;&lt;C&gt;1&lt;/C&gt;&lt;D xsi:type="xsd:double"&gt;1.6167521&lt;/D&gt;&lt;/FQL&gt;&lt;FQL&gt;&lt;Q&gt;WCC-US^P_BETA_LOCIDX(45737,45561,,"SPX")&lt;/Q&gt;&lt;R&gt;1&lt;/R&gt;&lt;C&gt;1&lt;/C&gt;&lt;D xsi:type="xsd:double"&gt;1.6215783&lt;/D&gt;&lt;/FQL&gt;&lt;FQL&gt;&lt;Q&gt;WCC-US^P_BETA_LOCIDX(45736,45560,,"SPX")&lt;/Q&gt;&lt;R&gt;1&lt;/R&gt;&lt;C&gt;1&lt;/C&gt;&lt;D xsi:type="xsd:double"&gt;1.6280034&lt;/D&gt;&lt;/FQL&gt;&lt;FQL&gt;&lt;Q&gt;WCC-US^P_BETA_LOCIDX(45735,45559,,"SPX")&lt;/Q&gt;&lt;R&gt;1&lt;/R&gt;&lt;C&gt;1&lt;/C&gt;&lt;D xsi:type="xsd:double"&gt;1.6264143&lt;/D&gt;&lt;/FQL&gt;&lt;FQL&gt;&lt;Q&gt;WCC-US^P_BETA_LOCIDX(45734,45558,,"SPX")&lt;/Q&gt;&lt;R&gt;1&lt;/R&gt;&lt;C&gt;1&lt;/C&gt;&lt;D xsi:type="xsd:double"&gt;1.6124189&lt;/D&gt;&lt;/FQL&gt;&lt;FQL&gt;&lt;Q&gt;WCC-US^P_BETA_LOCIDX(45733,45555,,"SPX")&lt;/Q&gt;&lt;R&gt;1&lt;/R&gt;&lt;C&gt;1&lt;/C&gt;&lt;D xsi:type="xsd:double"&gt;1.6227577&lt;/D&gt;&lt;/FQL&gt;&lt;FQL&gt;&lt;Q&gt;WCC-US^P_BETA_LOCIDX(45730,45554,,"SPX")&lt;/Q&gt;&lt;R&gt;1&lt;/R&gt;&lt;C&gt;1&lt;/C&gt;&lt;D xsi:type="xsd:double"&gt;1.6418762&lt;/D&gt;&lt;/FQL&gt;&lt;FQL&gt;&lt;Q&gt;WCC-US^P_BETA_LOCIDX(45729,45553,,"SPX")&lt;/Q&gt;&lt;R&gt;1&lt;/R&gt;&lt;C&gt;1&lt;/C&gt;&lt;D xsi:type="xsd:double"&gt;1.6595944&lt;/D&gt;&lt;/FQL&gt;&lt;FQL&gt;&lt;Q&gt;WCC-US^P_BETA_LOCIDX(45728,45552,,"SPX")&lt;/Q&gt;&lt;R&gt;1&lt;/R&gt;&lt;C&gt;1&lt;/C&gt;&lt;D xsi:type="xsd:double"&gt;1.6458361&lt;/D&gt;&lt;/FQL&gt;&lt;FQL&gt;&lt;Q&gt;WCC-US^P_BETA_LOCIDX(45727,45551,,"SPX")&lt;/Q&gt;&lt;R&gt;1&lt;/R&gt;&lt;C&gt;1&lt;/C&gt;&lt;D xsi:type="xsd:double"&gt;1.6343696&lt;/D&gt;&lt;/FQL&gt;&lt;FQL&gt;&lt;Q&gt;WCC-US^P_BETA_LOCIDX(45726,45548,,"SPX")&lt;/Q&gt;&lt;R&gt;1&lt;/R&gt;&lt;C&gt;1&lt;/C&gt;&lt;D xsi:type="xsd:double"&gt;1.6639469&lt;/D&gt;&lt;/FQL&gt;&lt;FQL&gt;&lt;Q&gt;WCC-US^P_BETA_LOCIDX(45723,45547,,"SPX")&lt;/Q&gt;&lt;R&gt;1&lt;/R&gt;&lt;C&gt;1&lt;/C&gt;&lt;D xsi:type="xsd:double"&gt;1.633507&lt;/D&gt;&lt;/FQL&gt;&lt;FQL&gt;&lt;Q&gt;WCC-US^P_BETA_LOCIDX(45722,45546,,"SPX")&lt;/Q&gt;&lt;R&gt;1&lt;/R&gt;&lt;C&gt;1&lt;/C&gt;&lt;D xsi:type="xsd:double"&gt;1.6422374&lt;/D&gt;&lt;/FQL&gt;&lt;FQL&gt;&lt;Q&gt;WCC-US^P_BETA_LOCIDX(45721,45545,,"SPX")&lt;/Q&gt;&lt;R&gt;1&lt;/R&gt;&lt;C&gt;1&lt;/C&gt;&lt;D xsi:type="xsd:double"&gt;1.6608996&lt;/D&gt;&lt;/FQL&gt;&lt;FQL&gt;&lt;Q&gt;WCC-US^P_BETA_LOCIDX(45720,45544,,"SPX")&lt;/Q&gt;&lt;R&gt;1&lt;/R&gt;&lt;C&gt;1&lt;/C&gt;&lt;D xsi:type="xsd:double"&gt;1.6270353&lt;/D&gt;&lt;/FQL&gt;&lt;FQL&gt;&lt;Q&gt;WCC-US^P_BETA_LOCIDX(45719,45541,,"SPX")&lt;/Q&gt;&lt;R&gt;1&lt;/R&gt;&lt;C&gt;1&lt;/C&gt;&lt;D xsi:type="xsd:double"&gt;1.5722266&lt;/D&gt;&lt;/FQL&gt;&lt;FQL&gt;&lt;Q&gt;WCC-US^P_BETA_LOCIDX(45716,45540,,"SPX")&lt;/Q&gt;&lt;R&gt;1&lt;/R&gt;&lt;C&gt;1&lt;/C&gt;&lt;D xsi:type="xsd:double"&gt;1.4989924&lt;/D&gt;&lt;/FQL&gt;&lt;FQL&gt;&lt;Q&gt;WCC-US^P_BETA_LOCIDX(45715,45539,,"SPX")&lt;/Q&gt;&lt;R&gt;1&lt;/R&gt;&lt;C&gt;1&lt;/C&gt;&lt;D xsi:type="xsd:double"&gt;1.5436382&lt;/D&gt;&lt;/FQL&gt;&lt;FQL&gt;&lt;Q&gt;WCC-US^P_BETA_LOCIDX(45714,45538,,"SPX")&lt;/Q&gt;&lt;R&gt;1&lt;/R&gt;&lt;C&gt;1&lt;/C&gt;&lt;D xsi:type="xsd:double"&gt;1.6596928&lt;/D&gt;&lt;/FQL&gt;&lt;FQL&gt;&lt;Q&gt;WCC-US^P_BETA_LOCIDX(45713,45534,,"SPX")&lt;/Q&gt;&lt;R&gt;1&lt;/R&gt;&lt;C&gt;1&lt;/C&gt;&lt;D xsi:type="xsd:double"&gt;1.6599762&lt;/D&gt;&lt;/FQL&gt;&lt;FQL&gt;&lt;Q&gt;WCC-US^P_BETA_LOCIDX(45712,45533,,"SPX")&lt;/Q&gt;&lt;R&gt;1&lt;/R&gt;&lt;C&gt;1&lt;/C&gt;&lt;D xsi:type="xsd:double"&gt;1.6547219&lt;/D&gt;&lt;/FQL&gt;&lt;FQL&gt;&lt;Q&gt;WCC-US^P_BETA_LOCIDX(45709,45532,,"SPX")&lt;/Q&gt;&lt;R&gt;1&lt;/R&gt;&lt;C&gt;1&lt;/C&gt;&lt;D xsi:type="xsd:double"&gt;1.6293919&lt;/D&gt;&lt;/FQL&gt;&lt;FQL&gt;&lt;Q&gt;WCC-US^P_BETA_LOCIDX(45708,45531,,"SPX")&lt;/Q&gt;&lt;R&gt;1&lt;/R&gt;&lt;C&gt;1&lt;/C&gt;&lt;D xsi:type="xsd:double"&gt;1.571828&lt;/D&gt;&lt;/FQL&gt;&lt;FQL&gt;&lt;Q&gt;WCC-US^P_BETA_LOCIDX(45707,45530,,"SPX")&lt;/Q&gt;&lt;R&gt;1&lt;/R&gt;&lt;C&gt;1&lt;/C&gt;&lt;D xsi:type="xsd:double"&gt;1.5588455&lt;/D&gt;&lt;/FQL&gt;&lt;FQL&gt;&lt;Q&gt;WCC-US^P_BETA_LOCIDX(45706,45527,,"SPX")&lt;/Q&gt;&lt;R&gt;1&lt;/R&gt;&lt;C&gt;1&lt;/C&gt;&lt;D xsi:type="xsd:double"&gt;1.5806407&lt;/D&gt;&lt;/FQL&gt;&lt;FQL&gt;&lt;Q&gt;WCC-US^P_BETA_LOCIDX(45702,45526,,"SPX")&lt;/Q&gt;&lt;R&gt;1&lt;/R&gt;&lt;C&gt;1&lt;/C&gt;&lt;D xsi:type="xsd:double"&gt;1.5723176&lt;/D&gt;&lt;/FQL&gt;&lt;FQL&gt;&lt;Q&gt;WCC-US^P_BETA_LOCIDX(45701,45525,,"SPX")&lt;/Q&gt;&lt;R&gt;1&lt;/R&gt;&lt;C&gt;1&lt;/C&gt;&lt;D xsi:type="xsd:double"&gt;1.5812984&lt;/D&gt;&lt;/FQL&gt;&lt;FQL&gt;&lt;Q&gt;WCC-US^P_BETA_LOCIDX(45700,45524,,"SPX")&lt;/Q&gt;&lt;R&gt;1&lt;/R&gt;&lt;C&gt;1&lt;/C&gt;&lt;D xsi:type="xsd:double"&gt;1.6027114&lt;/D&gt;&lt;/FQL&gt;&lt;FQL&gt;&lt;Q&gt;WCC-US^P_BETA_LOCIDX(45699,45523,,"SPX")&lt;/Q&gt;&lt;R&gt;1&lt;/R&gt;&lt;C&gt;1&lt;/C&gt;&lt;D xsi:type="xsd:double"&gt;1.6096723&lt;/D&gt;&lt;/FQL&gt;&lt;FQL&gt;&lt;Q&gt;WCC-US^P_BETA_LOCIDX(45698,45520,,"SPX")&lt;/Q&gt;&lt;R&gt;1&lt;/R&gt;&lt;C&gt;1&lt;/C&gt;&lt;D xsi:type="xsd:double"&gt;1.6077863&lt;/D&gt;&lt;/FQL&gt;&lt;FQL&gt;&lt;Q&gt;WCC-US^P_BETA_LOCIDX(45695,45519,,"SPX")&lt;/Q&gt;&lt;R&gt;1&lt;/R&gt;&lt;C&gt;1&lt;/C&gt;&lt;D xsi:type="xsd:double"&gt;1.608368&lt;/D&gt;&lt;/FQL&gt;&lt;FQL&gt;&lt;Q&gt;WCC-US^P_BETA_LOCIDX(45694,45518,,"SPX")&lt;/Q&gt;&lt;R&gt;1&lt;/R&gt;&lt;C&gt;1&lt;/C&gt;&lt;D xsi:type="xsd:double"&gt;1.6107973&lt;/D&gt;&lt;/FQL&gt;&lt;FQL&gt;&lt;Q&gt;WCC-US^P_BETA_LOCIDX(45693,45517,,"SPX")&lt;/Q&gt;&lt;R&gt;1&lt;/R&gt;&lt;C&gt;1&lt;/C&gt;&lt;D xsi:type="xsd:double"&gt;1.5920533&lt;/D&gt;&lt;/FQL&gt;&lt;FQL&gt;&lt;Q&gt;WCC-US^P_BETA_LOCIDX(45692,45516,,"SPX")&lt;/Q&gt;&lt;R&gt;1&lt;/R&gt;&lt;C&gt;1&lt;/C&gt;&lt;D xsi:type="xsd:double"&gt;1.5878373&lt;/D&gt;&lt;/FQL&gt;&lt;FQL&gt;&lt;Q&gt;WCC-US^P_BETA_LOCIDX(45691,45513,,"SPX")&lt;/Q&gt;&lt;R&gt;1&lt;/R&gt;&lt;C&gt;1&lt;/C&gt;&lt;D xsi:type="xsd:double"&gt;1.5919766&lt;/D&gt;&lt;/FQL&gt;&lt;FQL&gt;&lt;Q&gt;WCC-US^P_BETA_LOCIDX(45688,45512,,"SPX")&lt;/Q&gt;&lt;R&gt;1&lt;/R&gt;&lt;C&gt;1&lt;/C&gt;&lt;D xsi:type="xsd:double"&gt;1.5913956&lt;/D&gt;&lt;/FQL&gt;&lt;FQL&gt;&lt;Q&gt;WCC-US^P_BETA_LOCIDX(45687,45511,,"SPX")&lt;/Q&gt;&lt;R&gt;1&lt;/R&gt;&lt;C&gt;1&lt;/C&gt;&lt;D xsi:type="xsd:double"&gt;1.5899863&lt;/D&gt;&lt;/FQL&gt;&lt;FQL&gt;&lt;Q&gt;WCC-US^P_BETA_LOCIDX(45686,45510,,"SPX")&lt;/Q&gt;&lt;R&gt;1&lt;/R&gt;&lt;C&gt;1&lt;/C&gt;&lt;D xsi:type="xsd:double"&gt;1.5862004&lt;/D&gt;&lt;/FQL&gt;&lt;FQL&gt;&lt;Q&gt;WCC-US^P_BETA_LOCIDX(45685,45509,,"SPX")&lt;/Q&gt;&lt;R&gt;1&lt;/R&gt;&lt;C&gt;1&lt;/C&gt;&lt;D xsi:type="xsd:double"&gt;1.5050555&lt;/D&gt;&lt;/FQL&gt;&lt;FQL&gt;&lt;Q&gt;WCC-US^P_BETA_LOCIDX(45684,45506,,"SPX")&lt;/Q&gt;&lt;R&gt;1&lt;/R&gt;&lt;C&gt;1&lt;/C&gt;&lt;D xsi:type="xsd:double"&gt;1.5139992&lt;/D&gt;&lt;/FQL&gt;&lt;FQL&gt;&lt;Q&gt;WCC-US^P_BETA_LOCIDX(45681,45505,,"SPX")&lt;/Q&gt;&lt;R&gt;1&lt;/R&gt;&lt;C&gt;1&lt;/C&gt;&lt;D xsi:type="xsd:double"&gt;1.5247972&lt;/D&gt;&lt;/FQL&gt;&lt;FQL&gt;&lt;Q&gt;WCC-US^P_BETA_LOCIDX(45680,45504,,"SPX")&lt;/Q&gt;&lt;R&gt;1&lt;/R&gt;&lt;C&gt;1&lt;/C&gt;&lt;D xsi:type="xsd:double"&gt;1.5289061&lt;/D&gt;&lt;/FQL&gt;&lt;FQL&gt;&lt;Q&gt;WCC-US^P_BETA_LOCIDX(45679,45503,,"SPX")&lt;/Q&gt;&lt;R&gt;1&lt;/R&gt;&lt;C&gt;1&lt;/C&gt;&lt;D xsi:type="xsd:double"&gt;1.5378605&lt;/D&gt;&lt;/FQL&gt;&lt;FQL&gt;&lt;Q&gt;WCC-US^P_BETA_LOCIDX(45678,45502,,"SPX")&lt;/Q&gt;&lt;R&gt;1&lt;/R&gt;&lt;C&gt;1&lt;/C&gt;&lt;D xsi:type="xsd:double"&gt;1.5410546&lt;/D&gt;&lt;/FQL&gt;&lt;FQL&gt;&lt;Q&gt;WCC-US^P_BETA_LOCIDX(45674,45499,,"SPX")&lt;/Q&gt;&lt;R&gt;1&lt;/R&gt;&lt;C&gt;1&lt;/C&gt;&lt;D xsi:type="xsd:double"&gt;1.5214089&lt;/D&gt;&lt;/FQL&gt;&lt;FQL&gt;&lt;Q&gt;WCC-US^P_BETA_LOCIDX(45673,45498,,"SPX")&lt;/Q&gt;&lt;R&gt;1&lt;/R&gt;&lt;C&gt;1&lt;/C&gt;&lt;D xsi:type="xsd:double"&gt;1.5287355&lt;/D&gt;&lt;/FQL&gt;&lt;FQL&gt;&lt;Q&gt;WCC-US^P_BETA_LOCIDX(45672,45497,,"SPX")&lt;/Q&gt;&lt;R&gt;1&lt;/R&gt;&lt;C&gt;1&lt;/C&gt;&lt;D xsi:type="xsd:double"&gt;1.547074&lt;/D&gt;&lt;/FQL&gt;&lt;FQL&gt;&lt;Q&gt;WCC-US^P_BETA_LOCIDX(45671,45496,,"SPX")&lt;/Q&gt;&lt;R&gt;1&lt;/R&gt;&lt;C&gt;1&lt;/C&gt;&lt;D xsi:type="xsd:double"&gt;1.5905597&lt;/D&gt;&lt;/FQL&gt;&lt;FQL&gt;&lt;Q&gt;WCC-US^P_BETA_LOCIDX(45670,45495,,"SPX")&lt;/Q&gt;&lt;R&gt;1&lt;/R&gt;&lt;C&gt;1&lt;/C&gt;&lt;D xsi:type="xsd:double"&gt;1.5874196&lt;/D&gt;&lt;/FQL&gt;&lt;FQL&gt;&lt;Q&gt;WCC-US^P_BETA_LOCIDX(45667,45492,,"SPX")&lt;/Q&gt;&lt;R&gt;1&lt;/R&gt;&lt;C&gt;1&lt;/C&gt;&lt;D xsi:type="xsd:double"&gt;1.5850588&lt;/D&gt;&lt;/FQL&gt;&lt;FQL&gt;&lt;Q&gt;WCC-US^P_BETA_LOCIDX(45665,45491,,"SPX")&lt;/Q&gt;&lt;R&gt;1&lt;/R&gt;&lt;C&gt;1&lt;/C&gt;&lt;D xsi:type="xsd:double"&gt;1.5881547&lt;/D&gt;&lt;/FQL&gt;&lt;FQL&gt;&lt;Q&gt;WCC-US^P_BETA_LOCIDX(45664,45490,,"SPX")&lt;/Q&gt;&lt;R&gt;1&lt;/R&gt;&lt;C&gt;1&lt;/C&gt;&lt;D xsi:type="xsd:double"&gt;1.6146755&lt;/D&gt;&lt;/FQL&gt;&lt;FQL&gt;&lt;Q&gt;WCC-US^P_BETA_LOCIDX(45663,45489,,"SPX")&lt;/Q&gt;&lt;R&gt;1&lt;/R&gt;&lt;C&gt;1&lt;/C&gt;&lt;D xsi:type="xsd:double"&gt;1.6616337&lt;/D&gt;&lt;/FQL&gt;&lt;FQL&gt;&lt;Q&gt;WCC-US^P_BETA_LOCIDX(45660,45488,,"SPX")&lt;/Q&gt;&lt;R&gt;1&lt;/R&gt;&lt;C&gt;1&lt;/C&gt;&lt;D xsi:type="xsd:double"&gt;1.6639036&lt;/D&gt;&lt;/FQL&gt;&lt;FQL&gt;&lt;Q&gt;WCC-US^P_BETA_LOCIDX(45659,45485,,"SPX")&lt;/Q&gt;&lt;R&gt;1&lt;/R&gt;&lt;C&gt;1&lt;/C&gt;&lt;D xsi:type="xsd:double"&gt;1.6760261&lt;/D&gt;&lt;/FQL&gt;&lt;FQL&gt;&lt;Q&gt;WCC-US^P_BETA_LOCIDX(45657,45484,,"SPX")&lt;/Q&gt;&lt;R&gt;1&lt;/R&gt;&lt;C&gt;1&lt;/C&gt;&lt;D xsi:type="xsd:double"&gt;1.6216954&lt;/D&gt;&lt;/FQL&gt;&lt;FQL&gt;&lt;Q&gt;WCC-US^P_BETA_LOCIDX(45656,45483,,"SPX")&lt;/Q&gt;&lt;R&gt;1&lt;/R&gt;&lt;C&gt;1&lt;/C&gt;&lt;D xsi:type="xsd:double"&gt;1.6424574&lt;/D&gt;&lt;/FQL&gt;&lt;FQL&gt;&lt;Q&gt;WCC-US^P_BETA_LOCIDX(45653,45482,,"SPX")&lt;/Q&gt;&lt;R&gt;1&lt;/R&gt;&lt;C&gt;1&lt;/C&gt;&lt;D xsi:type="xsd:double"&gt;1.6632112&lt;/D&gt;&lt;/FQL&gt;&lt;FQL&gt;&lt;Q&gt;WCC-US^P_BETA_LOCIDX(45652,45481,,"SPX")&lt;/Q&gt;&lt;R&gt;1&lt;/R&gt;&lt;C&gt;1&lt;/C&gt;&lt;D xsi:type="xsd:double"&gt;1.6752688&lt;/D&gt;&lt;/FQL&gt;&lt;FQL&gt;&lt;Q&gt;WCC-US^P_BETA_LOCIDX(45650,45478,,"SPX")&lt;/Q&gt;&lt;R&gt;1&lt;/R&gt;&lt;C&gt;1&lt;/C&gt;&lt;D xsi:type="xsd:double"&gt;1.656507&lt;/D&gt;&lt;/FQL&gt;&lt;FQL&gt;&lt;Q&gt;WCC-US^P_BETA_LOCIDX(45649,45476,,"SPX")&lt;/Q&gt;&lt;R&gt;1&lt;/R&gt;&lt;C&gt;1&lt;/C&gt;&lt;D xsi:type="xsd:double"&gt;1.6695181&lt;/D&gt;&lt;/FQL&gt;&lt;FQL&gt;&lt;Q&gt;WCC-US^P_BETA_LOCIDX(45646,45475,,"SPX")&lt;/Q&gt;&lt;R&gt;1&lt;/R&gt;&lt;C&gt;1&lt;/C&gt;&lt;D xsi:type="xsd:double"&gt;1.6764537&lt;/D&gt;&lt;/FQL&gt;&lt;FQL&gt;&lt;Q&gt;WCC-US^P_BETA_LOCIDX(45645,45474,,"SPX")&lt;/Q&gt;&lt;R&gt;1&lt;/R&gt;&lt;C&gt;1&lt;/C&gt;&lt;D xsi:type="xsd:double"&gt;1.6727718&lt;/D&gt;&lt;/FQL&gt;&lt;FQL&gt;&lt;Q&gt;WCC-US^P_BETA_LOCIDX(45644,45471,,"SPX")&lt;/Q&gt;&lt;R&gt;1&lt;/R&gt;&lt;C&gt;1&lt;/C&gt;&lt;D xsi:type="xsd:double"&gt;1.668605&lt;/D&gt;&lt;/FQL&gt;&lt;FQL&gt;&lt;Q&gt;WCC-US^P_BETA_LOCIDX(45643,45470,,"SPX")&lt;/Q&gt;&lt;R&gt;1&lt;/R&gt;&lt;C&gt;1&lt;/C&gt;&lt;D xsi:type="xsd:double"&gt;1.6446431&lt;/D&gt;&lt;/FQL&gt;&lt;FQL&gt;&lt;Q&gt;WCC-US^P_BETA_LOCIDX(45642,45469,,"SPX")&lt;/Q&gt;&lt;R&gt;1&lt;/R&gt;&lt;C&gt;1&lt;/C&gt;&lt;D xsi:type="xsd:double"&gt;1.6367098&lt;/D&gt;&lt;/FQL&gt;&lt;FQL&gt;&lt;Q&gt;WCC-US^P_BETA_LOCIDX(45639,45468,,"SPX")&lt;/Q&gt;&lt;R&gt;1&lt;/R&gt;&lt;C&gt;1&lt;/C&gt;&lt;D xsi:type="xsd:double"&gt;1.6311483&lt;/D&gt;&lt;/FQL&gt;&lt;FQL&gt;&lt;Q&gt;WCC-US^P_BETA_LOCIDX(45638,45467,,"SPX")&lt;/Q&gt;&lt;R&gt;1&lt;/R&gt;&lt;C&gt;1&lt;/C&gt;&lt;D xsi:type="xsd:double"&gt;1.6286343&lt;/D&gt;&lt;/FQL&gt;&lt;FQL&gt;&lt;Q&gt;WCC-US^P_BETA_LOCIDX(45637,45464,,"SPX")&lt;/Q&gt;&lt;R&gt;1&lt;/R&gt;&lt;C&gt;1&lt;/C&gt;&lt;D xsi:type="xsd:double"&gt;1.6225739&lt;/D&gt;&lt;/FQL&gt;&lt;FQL&gt;&lt;Q&gt;WCC-US^P_BETA_LOCIDX(45636,45463,,"SPX")&lt;/Q&gt;&lt;R&gt;1&lt;/R&gt;&lt;C&gt;1&lt;/C&gt;&lt;D xsi:type="xsd:double"&gt;1.6387295&lt;/D&gt;&lt;/FQL&gt;&lt;FQL&gt;&lt;Q&gt;WCC-US^P_BETA_LOCIDX(45635,45461,,"SPX")&lt;/Q&gt;&lt;R&gt;1&lt;/R&gt;&lt;C&gt;1&lt;/C&gt;&lt;D xsi:type="xsd:double"&gt;1.6262755&lt;/D&gt;&lt;/FQL&gt;&lt;FQL&gt;&lt;Q&gt;WCC-US^P_BETA_LOCIDX(45632,45460,,"SPX")&lt;/Q&gt;&lt;R&gt;1&lt;/R&gt;&lt;C&gt;1&lt;/C&gt;&lt;D xsi:type="xsd:double"&gt;1.6042043&lt;/D&gt;&lt;/FQL&gt;&lt;FQL&gt;&lt;Q&gt;WCC-US^P_BETA_LOCIDX(45631,45457,,"SPX")&lt;/Q&gt;&lt;R&gt;1&lt;/R&gt;&lt;C&gt;1&lt;/C&gt;&lt;D xsi:type="xsd:double"&gt;1.6137706&lt;/D&gt;&lt;/FQL&gt;&lt;FQL&gt;&lt;Q&gt;WCC-US^P_BETA_LOCIDX(45630,45456,,"SPX")&lt;/Q&gt;&lt;R&gt;1&lt;/R&gt;&lt;C&gt;1&lt;/C&gt;&lt;D xsi:type="xsd:double"&gt;1.6074429&lt;/D&gt;&lt;/FQL&gt;&lt;FQL&gt;&lt;Q&gt;WCC-US^P_BETA_LOCIDX(45629,45455,,"SPX")&lt;/Q&gt;&lt;R&gt;1&lt;/R&gt;&lt;C&gt;1&lt;/C&gt;&lt;D xsi:type="xsd:double"&gt;1.6157714&lt;/D&gt;&lt;/FQL&gt;&lt;FQL&gt;&lt;Q&gt;WCC-US^P_BETA_LOCIDX(45628,45454,,"SPX")&lt;/Q&gt;&lt;R&gt;1&lt;/R&gt;&lt;C&gt;1&lt;/C&gt;&lt;D xsi:type="xsd:double"&gt;1.6096319&lt;/D&gt;&lt;/FQL&gt;&lt;FQL&gt;&lt;Q&gt;WCC-US^P_BETA_LOCIDX(45625,45453,,"SPX")&lt;/Q&gt;&lt;R&gt;1&lt;/R&gt;&lt;C&gt;1&lt;/C&gt;&lt;D xsi:type="xsd:double"&gt;1.612502&lt;/D&gt;&lt;/FQL&gt;&lt;FQL&gt;&lt;Q&gt;WCC-US^P_BETA_LOCIDX(45623,45450,,"SPX")&lt;/Q&gt;&lt;R&gt;1&lt;/R&gt;&lt;C&gt;1&lt;/C&gt;&lt;D xsi:type="xsd:double"&gt;1.6074337&lt;/D&gt;&lt;/FQL&gt;&lt;FQL&gt;&lt;Q&gt;WCC-US^P_BETA_LOCIDX(45622,45449,,"SPX")&lt;/Q&gt;&lt;R&gt;1&lt;/R&gt;&lt;C&gt;1&lt;/C&gt;&lt;D xsi:type="xsd:double"&gt;1.6057533&lt;/D&gt;&lt;/FQL&gt;&lt;FQL&gt;&lt;Q&gt;WCC-US^P_BETA_LOCIDX(45621,45448,,"SPX")&lt;/Q&gt;&lt;R&gt;1&lt;/R&gt;&lt;C&gt;1&lt;/C&gt;&lt;D xsi:type="xsd:double"&gt;1.6307187&lt;/D&gt;&lt;/FQL&gt;&lt;FQL&gt;&lt;Q&gt;WCC-US^P_BETA_LOCIDX(45618,45447,,"SPX")&lt;/Q&gt;&lt;R&gt;1&lt;/R&gt;&lt;C&gt;1&lt;/C&gt;&lt;D xsi:type="xsd:double"&gt;1.626885&lt;/D&gt;&lt;/FQL&gt;&lt;FQL&gt;&lt;Q&gt;WCC-US^P_BETA_LOCIDX(45617,45446,,"SPX")&lt;/Q&gt;&lt;R&gt;1&lt;/R&gt;&lt;C&gt;1&lt;/C&gt;&lt;D xsi:type="xsd:double"&gt;1.6250452&lt;/D&gt;&lt;/FQL&gt;&lt;FQL&gt;&lt;Q&gt;WCC-US^P_BETA_LOCIDX(45616,45443,,"SPX")&lt;/Q&gt;&lt;R&gt;1&lt;/R&gt;&lt;C&gt;1&lt;/C&gt;&lt;D xsi:type="xsd:double"&gt;1.6084627&lt;/D&gt;&lt;/FQL&gt;&lt;FQL&gt;&lt;Q&gt;WCC-US^P_BETA_LOCIDX(45615,45442,,"SPX")&lt;/Q&gt;&lt;R&gt;1&lt;/R&gt;&lt;C&gt;1&lt;/C&gt;&lt;D xsi:type="xsd:double"&gt;1.5904111&lt;/D&gt;&lt;/FQL&gt;&lt;FQL&gt;&lt;Q&gt;WCC-US^P_BETA_LOCIDX(45614,45441,,"SPX")&lt;/Q&gt;&lt;R&gt;1&lt;/R&gt;&lt;C&gt;1&lt;/C&gt;&lt;D xsi:type="xsd:double"&gt;1.6228062&lt;/D&gt;&lt;/FQL&gt;&lt;FQL&gt;&lt;Q&gt;WCC-US^P_BETA_LOCIDX(45611,45440,,"SPX")&lt;/Q&gt;&lt;R&gt;1&lt;/R&gt;&lt;C&gt;1&lt;/C&gt;&lt;D xsi:type="xsd:double"&gt;1.6283478&lt;/D&gt;&lt;/FQL&gt;&lt;FQL&gt;&lt;Q&gt;WCC-US^P_BETA_LOCIDX(45610,45436,,"SPX")&lt;/Q&gt;&lt;R&gt;1&lt;/R&gt;&lt;C&gt;1&lt;/C&gt;&lt;D xsi:type="xsd:double"&gt;1.6448846&lt;/D&gt;&lt;/FQL&gt;&lt;FQL&gt;&lt;Q&gt;WCC-US^P_BETA_LOCIDX(45609,45435,,"SPX")&lt;/Q&gt;&lt;R&gt;1&lt;/R&gt;&lt;C&gt;1&lt;/C&gt;&lt;D xsi:type="xsd:double"&gt;1.6507249&lt;/D&gt;&lt;/FQL&gt;&lt;FQL&gt;&lt;Q&gt;WCC-US^P_BETA_LOCIDX(45608,45434,,"SPX")&lt;/Q&gt;&lt;R&gt;1&lt;/R&gt;&lt;C&gt;1&lt;/C&gt;&lt;D xsi:type="xsd:double"&gt;1.6507732&lt;/D&gt;&lt;/FQL&gt;&lt;FQL&gt;&lt;Q&gt;WCC-US^P_BETA_LOCIDX(45607,45433,,"SPX")&lt;/Q&gt;&lt;R&gt;1&lt;/R&gt;&lt;C&gt;1&lt;/C&gt;&lt;D xsi:type="xsd:double"&gt;1.6421341&lt;/D&gt;&lt;/FQL&gt;&lt;FQL&gt;&lt;Q&gt;WCC-US^P_BETA_LOCIDX(45604,45432,,"SPX")&lt;/Q&gt;&lt;R&gt;1&lt;/R&gt;&lt;C&gt;1&lt;/C&gt;&lt;D xsi:type="xsd:double"&gt;1.6420593&lt;/D&gt;&lt;/FQL&gt;&lt;FQL&gt;&lt;Q&gt;WCC-US^P_BETA_LOCIDX(45603,45429,,"SPX")&lt;/Q&gt;&lt;R&gt;1&lt;/R&gt;&lt;C&gt;1&lt;/C&gt;&lt;D xsi:type="xsd:double"&gt;1.6469792&lt;/D&gt;&lt;/FQL&gt;&lt;FQL&gt;&lt;Q&gt;WCC-US^P_BETA_LOCIDX(45602,45428,,"SPX")&lt;/Q&gt;&lt;R&gt;1&lt;/R&gt;&lt;C&gt;1&lt;/C&gt;&lt;D xsi:type="xsd:double"&gt;1.6790042&lt;/D&gt;&lt;/FQL&gt;&lt;FQL&gt;&lt;Q&gt;WCC-US^P_BETA_LOCIDX(45601,45427,,"SPX")&lt;/Q&gt;&lt;R&gt;1&lt;/R&gt;&lt;C&gt;1&lt;/C&gt;&lt;D xsi:type="xsd:double"&gt;1.4407856&lt;/D&gt;&lt;/FQL&gt;&lt;FQL&gt;&lt;Q&gt;WCC-US^P_BETA_LOCIDX(45600,45426,,"SPX")&lt;/Q&gt;&lt;R&gt;1&lt;/R&gt;&lt;C&gt;1&lt;/C&gt;&lt;D xsi:type="xsd:double"&gt;1.4422395&lt;/D&gt;&lt;/FQL&gt;&lt;FQL&gt;&lt;Q&gt;WCC-US^P_BETA_LOCIDX(45597,45425,,"SPX")&lt;/Q&gt;&lt;R&gt;1&lt;/R&gt;&lt;C&gt;1&lt;/C&gt;&lt;D xsi:type="xsd:double"&gt;1.4344026&lt;/D&gt;&lt;/FQL&gt;&lt;FQL&gt;&lt;Q&gt;WCC-US^P_BETA_LOCIDX(45596,45422,,"SPX")&lt;/Q&gt;&lt;R&gt;1&lt;/R&gt;&lt;C&gt;1&lt;/C&gt;&lt;D xsi:type="xsd:double"&gt;1.4448372&lt;/D&gt;&lt;/FQL&gt;&lt;FQL&gt;&lt;Q&gt;WCC-US^P_BETA_LOCIDX(45595,45421,,"SPX")&lt;/Q&gt;&lt;R&gt;1&lt;/R&gt;&lt;C&gt;1&lt;/C&gt;&lt;D xsi:type="xsd:double"&gt;1.7129182&lt;/D&gt;&lt;/FQL&gt;&lt;FQL&gt;&lt;Q&gt;WCC-US^P_BETA_LOCIDX(45594,45420,,"SPX")&lt;/Q&gt;&lt;R&gt;1&lt;/R&gt;&lt;C&gt;1&lt;/C&gt;&lt;D xsi:type="xsd:double"&gt;1.7213457&lt;/D&gt;&lt;/FQL&gt;&lt;FQL&gt;&lt;Q&gt;WCC-US^P_BETA_LOCIDX(45593,45419,,"SPX")&lt;/Q&gt;&lt;R&gt;1&lt;/R&gt;&lt;C&gt;1&lt;/C&gt;&lt;D xsi:type="xsd:double"&gt;1.7240542&lt;/D&gt;&lt;/FQL&gt;&lt;FQL&gt;&lt;Q&gt;WCC-US^P_BETA_LOCIDX(45590,45418,,"SPX")&lt;/Q&gt;&lt;R&gt;1&lt;/R&gt;&lt;C&gt;1&lt;/C&gt;&lt;D xsi:type="xsd:double"&gt;1.7376184&lt;/D&gt;&lt;/FQL&gt;&lt;FQL&gt;&lt;Q&gt;WCC-US^P_BETA_LOCIDX(45589,45415,,"SPX")&lt;/Q&gt;&lt;R&gt;1&lt;/R&gt;&lt;C&gt;1&lt;/C&gt;&lt;D xsi:type="xsd:double"&gt;1.7296708&lt;/D&gt;&lt;/FQL&gt;&lt;FQL&gt;&lt;Q&gt;WCC-US^P_BETA_LOCIDX(45588,45414,,"SPX")&lt;/Q&gt;&lt;R&gt;1&lt;/R&gt;&lt;C&gt;1&lt;/C&gt;&lt;D xsi:type="xsd:double"&gt;1.7814882&lt;/D&gt;&lt;/FQL&gt;&lt;FQL&gt;&lt;Q&gt;WCC-US^P_BETA_LOCIDX(45587,45413,,"SPX")&lt;/Q&gt;&lt;R&gt;1&lt;/R&gt;&lt;C&gt;1&lt;/C&gt;&lt;D xsi:type="xsd:double"&gt;1.7922347&lt;/D&gt;&lt;/FQL&gt;&lt;FQL&gt;&lt;Q&gt;WCC-US^P_BETA_LOCIDX(45586,45412,,"SPX")&lt;/Q&gt;&lt;R&gt;1&lt;/R&gt;&lt;C&gt;1&lt;/C&gt;&lt;D xsi:type="xsd:double"&gt;1.799979&lt;/D&gt;&lt;/FQL&gt;&lt;FQL&gt;&lt;Q&gt;WCC-US^P_BETA_LOCIDX(45583,45411,,"SPX")&lt;/Q&gt;&lt;R&gt;1&lt;/R&gt;&lt;C&gt;1&lt;/C&gt;&lt;D xsi:type="xsd:double"&gt;1.7988968&lt;/D&gt;&lt;/FQL&gt;&lt;FQL&gt;&lt;Q&gt;WCC-US^P_BETA_LOCIDX(45582,45408,,"SPX")&lt;/Q&gt;&lt;R&gt;1&lt;/R&gt;&lt;C&gt;1&lt;/C&gt;&lt;D xsi:type="xsd:double"&gt;1.7745054&lt;/D&gt;&lt;/FQL&gt;&lt;FQL&gt;&lt;Q&gt;WCC-US^P_BETA_LOCIDX(45581,45407,,"SPX")&lt;/Q&gt;&lt;R&gt;1&lt;/R&gt;&lt;C&gt;1&lt;/C&gt;&lt;D xsi:type="xsd:double"&gt;1.7802893&lt;/D&gt;&lt;/FQL&gt;&lt;FQL&gt;&lt;Q&gt;WCC-US^P_BETA_LOCIDX(45580,45406,,"SPX")&lt;/Q&gt;&lt;R&gt;1&lt;/R&gt;&lt;C&gt;1&lt;/C&gt;&lt;D xsi:type="xsd:double"&gt;1.7657033&lt;/D&gt;&lt;/FQL&gt;&lt;FQL&gt;&lt;Q&gt;WCC-US^P_BETA_LOCIDX(45579,45405,,"SPX")&lt;/Q&gt;&lt;R&gt;1&lt;/R&gt;&lt;C&gt;1&lt;/C&gt;&lt;D xsi:type="xsd:double"&gt;1.7632987&lt;/D&gt;&lt;/FQL&gt;&lt;FQL&gt;&lt;Q&gt;WCC-US^P_BETA_LOCIDX(45576,45404,,"SPX")&lt;/Q&gt;&lt;R&gt;1&lt;/R&gt;&lt;C&gt;1&lt;/C&gt;&lt;D xsi:type="xsd:double"&gt;1.7682797&lt;/D&gt;&lt;/FQL&gt;&lt;FQL&gt;&lt;Q&gt;WCC-US^P_BETA_LOCIDX(45575,45401,,"SPX")&lt;/Q&gt;&lt;R&gt;1&lt;/R&gt;&lt;C&gt;1&lt;/C&gt;&lt;D xsi:type="xsd:double"&gt;1.7228179&lt;/D&gt;&lt;/FQL&gt;&lt;FQL&gt;&lt;Q&gt;WCC-US^P_BETA_LOCIDX(45574,45400,,"SPX")&lt;/Q&gt;&lt;R&gt;1&lt;/R&gt;&lt;C&gt;1&lt;/C&gt;&lt;D xsi:type="xsd:double"&gt;1.7205634&lt;/D&gt;&lt;/FQL&gt;&lt;FQL&gt;&lt;Q&gt;WCC-US^P_BETA_LOCIDX(45573,45399,,"SPX")&lt;/Q&gt;&lt;R&gt;1&lt;/R&gt;&lt;C&gt;1&lt;/C&gt;&lt;D xsi:type="xsd:double"&gt;1.7232131&lt;/D&gt;&lt;/FQL&gt;&lt;FQL&gt;&lt;Q&gt;WCC-US^P_BETA_LOCIDX(45572,45398,,"SPX")&lt;/Q&gt;&lt;R&gt;1&lt;/R&gt;&lt;C&gt;1&lt;/C&gt;&lt;D xsi:type="xsd:double"&gt;1.7455697&lt;/D&gt;&lt;/FQL&gt;&lt;FQL&gt;&lt;Q&gt;WCC-US^P_BETA_LOCIDX(45569,45397,,"SPX")&lt;/Q&gt;&lt;R&gt;1&lt;/R&gt;&lt;C&gt;1&lt;/C&gt;&lt;D xsi:type="xsd:double"&gt;1.7441623&lt;/D&gt;&lt;/FQL&gt;&lt;FQL&gt;&lt;Q&gt;WCC-US^P_BETA_LOCIDX(45568,45394,,"SPX")&lt;/Q&gt;&lt;R&gt;1&lt;/R&gt;&lt;C&gt;1&lt;/C&gt;&lt;D xsi:type="xsd:double"&gt;1.7513529&lt;/D&gt;&lt;/FQL&gt;&lt;FQL&gt;&lt;Q&gt;WCC-US^P_BETA_LOCIDX(45567,45393,,"SPX")&lt;/Q&gt;&lt;R&gt;1&lt;/R&gt;&lt;C&gt;1&lt;/C&gt;&lt;D xsi:type="xsd:double"&gt;1.731663&lt;/D&gt;&lt;/FQL&gt;&lt;FQL&gt;&lt;Q&gt;WCC-US^P_BETA_LOCIDX(45566,45392,,"SPX")&lt;/Q&gt;&lt;R&gt;1&lt;/R&gt;&lt;C&gt;1&lt;/C&gt;&lt;D xsi:type="xsd:double"&gt;1.7505116&lt;/D&gt;&lt;/FQL&gt;&lt;FQL&gt;&lt;Q&gt;WCC-US^P_BETA_LOCIDX(45565,45391,,"SPX")&lt;/Q&gt;&lt;R&gt;1&lt;/R&gt;&lt;C&gt;1&lt;/C&gt;&lt;D xsi:type="xsd:double"&gt;1.760752&lt;/D&gt;&lt;/FQL&gt;&lt;FQL&gt;&lt;Q&gt;WCC-US^P_BETA_LOCIDX(45562,45390,,"SPX")&lt;/Q&gt;&lt;R&gt;1&lt;/R&gt;&lt;C&gt;1&lt;/C&gt;&lt;D xsi:type="xsd:double"&gt;1.7703557&lt;/D&gt;&lt;/FQL&gt;&lt;FQL&gt;&lt;Q&gt;WCC-US^P_BETA_LOCIDX(45561,45387,,"SPX")&lt;/Q&gt;&lt;R&gt;1&lt;/R&gt;&lt;C&gt;1&lt;/C&gt;&lt;D xsi:type="xsd:double"&gt;1.7599436&lt;/D&gt;&lt;/FQL&gt;&lt;FQL&gt;&lt;Q&gt;WCC-US^P_BETA_LOCIDX(45560,45386,,"SPX")&lt;/Q&gt;&lt;R&gt;1&lt;/R&gt;&lt;C&gt;1&lt;/C&gt;&lt;D xsi:type="xsd:double"&gt;1.7425107&lt;/D&gt;&lt;/FQL&gt;&lt;FQL&gt;&lt;Q&gt;WCC-US^P_BETA_LOCIDX(45559,45385,,"SPX")&lt;/Q&gt;&lt;R&gt;1&lt;/R&gt;&lt;C&gt;1&lt;/C&gt;&lt;D xsi:type="xsd:double"&gt;1.7358476&lt;/D&gt;&lt;/FQL&gt;&lt;FQL&gt;&lt;Q&gt;WCC-US^P_BETA_LOCIDX(45558,45384,,"SPX")&lt;/Q&gt;&lt;R&gt;1&lt;/R&gt;&lt;C&gt;1&lt;/C&gt;&lt;D xsi:type="xsd:double"&gt;1.7447648&lt;/D&gt;&lt;/FQL&gt;&lt;FQL&gt;&lt;Q&gt;WCC-US^P_BETA_LOCIDX(45555,45383,,"SPX")&lt;/Q&gt;&lt;R&gt;1&lt;/R&gt;&lt;C&gt;1&lt;/C&gt;&lt;D xsi:type="xsd:double"&gt;1.7367338&lt;/D&gt;&lt;/FQL&gt;&lt;FQL&gt;&lt;Q&gt;WCC-US^P_BETA_LOCIDX(45554,45379,,"SPX")&lt;/Q&gt;&lt;R&gt;1&lt;/R&gt;&lt;C&gt;1&lt;/C&gt;&lt;D xsi:type="xsd:double"&gt;1.7299787&lt;/D&gt;&lt;/FQL&gt;&lt;FQL&gt;&lt;Q&gt;WCC-US^P_BETA_LOCIDX(45553,45378,,"SPX")&lt;/Q&gt;&lt;R&gt;1&lt;/R&gt;&lt;C&gt;1&lt;/C&gt;&lt;D xsi:type="xsd:double"&gt;1.716143&lt;/D&gt;&lt;/FQL&gt;&lt;FQL&gt;&lt;Q&gt;WCC-US^P_BETA_LOCIDX(45552,45377,,"SPX")&lt;/Q&gt;&lt;R&gt;1&lt;/R&gt;&lt;C&gt;1&lt;/C&gt;&lt;D xsi:type="xsd:double"&gt;1.7133483&lt;/D&gt;&lt;/FQL&gt;&lt;FQL&gt;&lt;Q&gt;WCC-US^P_BETA_LOCIDX(45551,45376,,"SPX")&lt;/Q&gt;&lt;R&gt;1&lt;/R&gt;&lt;C&gt;1&lt;/C&gt;&lt;D xsi:type="xsd:double"&gt;1.7141194&lt;/D&gt;&lt;/FQL&gt;&lt;FQL&gt;&lt;Q&gt;WCC-US^P_BETA_LOCIDX(45548,45373,,"SPX")&lt;/Q&gt;&lt;R&gt;1&lt;/R&gt;&lt;C&gt;1&lt;/C&gt;&lt;D xsi:type="xsd:double"&gt;1.7124578&lt;/D&gt;&lt;/FQL&gt;&lt;FQL&gt;&lt;Q&gt;WCC-US^P_BETA_LOCIDX(45547,45372,,"SPX")&lt;/Q&gt;&lt;R&gt;1&lt;/R&gt;&lt;C&gt;1&lt;/C&gt;&lt;D xsi:type="xsd:double"&gt;1.7072761&lt;/D&gt;&lt;/FQL&gt;&lt;FQL&gt;&lt;Q&gt;WCC-US^P_BETA_LOCIDX(45546,45371,,"SPX")&lt;/Q&gt;&lt;R&gt;1&lt;/R&gt;&lt;C&gt;1&lt;/C&gt;&lt;D xsi:type="xsd:double"&gt;1.7104125&lt;/D&gt;&lt;/FQL&gt;&lt;FQL&gt;&lt;Q&gt;WCC-US^P_BETA_LOCIDX(45545,45370,,"SPX")&lt;/Q&gt;&lt;R&gt;1&lt;/R&gt;&lt;C&gt;1&lt;/C&gt;&lt;D xsi:type="xsd:double"&gt;1.7188445&lt;/D&gt;&lt;/FQL&gt;&lt;FQL&gt;&lt;Q&gt;WCC-US^P_BETA_LOCIDX(45544,45369,,"SPX")&lt;/Q&gt;&lt;R&gt;1&lt;/R&gt;&lt;C&gt;1&lt;/C&gt;&lt;D xsi:type="xsd:double"&gt;1.723091&lt;/D&gt;&lt;/FQL&gt;&lt;FQL&gt;&lt;Q&gt;WCC-US^P_BETA_LOCIDX(45541,45366,,"SPX")&lt;/Q&gt;&lt;R&gt;1&lt;/R&gt;&lt;C&gt;1&lt;/C&gt;&lt;D xsi:type="xsd:double"&gt;1.7080529&lt;/D&gt;&lt;/FQL&gt;&lt;FQL&gt;&lt;Q&gt;WCC-US^P_BETA_LOCIDX(45540,45365,,"SPX")&lt;/Q&gt;&lt;R&gt;1&lt;/R&gt;&lt;C&gt;1&lt;/C&gt;&lt;D xsi:type="xsd:double"&gt;1.7495551&lt;/D&gt;&lt;/FQL&gt;&lt;FQL&gt;&lt;Q&gt;WCC-US^P_BETA_LOCIDX(45539,45364,,"SPX")&lt;/Q&gt;&lt;R&gt;1&lt;/R&gt;&lt;C&gt;1&lt;/C&gt;&lt;D xsi:type="xsd:double"&gt;1.7436352&lt;/D&gt;&lt;/FQL&gt;&lt;FQL&gt;&lt;Q&gt;WCC-US^P_BETA_LOCIDX(45538,45363,,"SPX")&lt;/Q&gt;&lt;R&gt;1&lt;/R&gt;&lt;C&gt;1&lt;/C&gt;&lt;D xsi:type="xsd:double"&gt;1.7550656&lt;/D&gt;&lt;/FQL&gt;&lt;FQL&gt;&lt;Q&gt;WCC-US^P_BETA_LOCIDX(45534,45362,,"SPX")&lt;/Q&gt;&lt;R&gt;1&lt;/R&gt;&lt;C&gt;1&lt;/C&gt;&lt;D xsi:type="xsd:double"&gt;1.6951758&lt;/D&gt;&lt;/FQL&gt;&lt;FQL&gt;&lt;Q&gt;WCC-US^P_BETA_LOCIDX(45533,45359,,"SPX")&lt;/Q&gt;&lt;R&gt;1&lt;/R&gt;&lt;C&gt;1&lt;/C&gt;&lt;D xsi:type="xsd:double"&gt;1.6879297&lt;/D&gt;&lt;/FQL&gt;&lt;FQL&gt;&lt;Q&gt;WCC-US^P_BETA_LOCIDX(45532,45358,,"SPX")&lt;/Q&gt;&lt;R&gt;1&lt;/R&gt;&lt;C&gt;1&lt;/C&gt;&lt;D xsi:type="xsd:double"&gt;1.7091242&lt;/D&gt;&lt;/FQL&gt;&lt;FQL&gt;&lt;Q&gt;WCC-US^P_BETA_LOCIDX(45531,45357,,"SPX")&lt;/Q&gt;&lt;R&gt;1&lt;/R&gt;&lt;C&gt;1&lt;/C&gt;&lt;D xsi:type="xsd:double"&gt;1.7158467&lt;/D&gt;&lt;/FQL&gt;&lt;FQL&gt;&lt;Q&gt;WCC-US^P_BETA_LOCIDX(45530,45356,,"SPX")&lt;/Q&gt;&lt;R&gt;1&lt;/R&gt;&lt;C&gt;1&lt;/C&gt;&lt;D xsi:type="xsd:double"&gt;1.658755&lt;/D&gt;&lt;/FQL&gt;&lt;FQL&gt;&lt;Q&gt;WCC-US^P_BETA_LOCIDX(45527,45355,,"SPX")&lt;/Q&gt;&lt;R&gt;1&lt;/R&gt;&lt;C&gt;1&lt;/C&gt;&lt;D xsi:type="xsd:double"&gt;1.6639004&lt;/D&gt;&lt;/FQL&gt;&lt;FQL&gt;&lt;Q&gt;WCC-US^P_BETA_LOCIDX(45526,45352,,"SPX")&lt;/Q&gt;&lt;R&gt;1&lt;/R&gt;&lt;C&gt;1&lt;/C&gt;&lt;D xsi:type="xsd:double"&gt;1.6513054&lt;/D&gt;&lt;/FQL&gt;&lt;FQL&gt;&lt;Q&gt;WCC-US^P_BETA_LOCIDX(45525,45351,,"SPX")&lt;/Q&gt;&lt;R&gt;1&lt;/R&gt;&lt;C&gt;1&lt;/C&gt;&lt;D xsi:type="xsd:double"&gt;1.6676226&lt;/D&gt;&lt;/FQL&gt;&lt;FQL&gt;&lt;Q&gt;WCC-US^P_BETA_LOCIDX(45524,45350,,"SPX")&lt;/Q&gt;&lt;R&gt;1&lt;/R&gt;&lt;C&gt;1&lt;/C&gt;&lt;D xsi:type="xsd:double"&gt;1.6558979&lt;/D&gt;&lt;/FQL&gt;&lt;FQL&gt;&lt;Q&gt;WCC-US^P_BETA_LOCIDX(45523,45349,,"SPX")&lt;/Q&gt;&lt;R&gt;1&lt;/R&gt;&lt;C&gt;1&lt;/C&gt;&lt;D xsi:type="xsd:double"&gt;1.6544143&lt;/D&gt;&lt;/FQL&gt;&lt;FQL&gt;&lt;Q&gt;WCC-US^P_BETA_LOCIDX(45520,45348,,"SPX")&lt;/Q&gt;&lt;R&gt;1&lt;/R&gt;&lt;C&gt;1&lt;/C&gt;&lt;D xsi:type="xsd:double"&gt;1.6594905&lt;/D&gt;&lt;/FQL&gt;&lt;FQL&gt;&lt;Q&gt;WCC-US^P_BETA_LOCIDX(45519,45345,,"SPX")&lt;/Q&gt;&lt;R&gt;1&lt;/R&gt;&lt;C&gt;1&lt;/C&gt;&lt;D xsi:type="xsd:double"&gt;1.6617988&lt;/D&gt;&lt;/FQL&gt;&lt;FQL&gt;&lt;Q&gt;WCC-US^P_BETA_LOCIDX(45518,45344,,"SPX")&lt;/Q&gt;&lt;R&gt;1&lt;/R&gt;&lt;C&gt;1&lt;/C&gt;&lt;D xsi:type="xsd:double"&gt;1.6196072&lt;/D&gt;&lt;/FQL&gt;&lt;FQL&gt;&lt;Q&gt;WCC-US^P_BETA_LOCIDX(45517,45343,,"SPX")&lt;/Q&gt;&lt;R&gt;1&lt;/R&gt;&lt;C&gt;1&lt;/C&gt;&lt;D xsi:type="xsd:double"&gt;1.6213298&lt;/D&gt;&lt;/FQL&gt;&lt;FQL&gt;&lt;Q&gt;WCC-US^P_BETA_LOCIDX(45516,45342,,"SPX")&lt;/Q&gt;&lt;R&gt;1&lt;/R&gt;&lt;C&gt;1&lt;/C&gt;&lt;D xsi:type="xsd:double"&gt;1.634206&lt;/D&gt;&lt;/FQL&gt;&lt;FQL&gt;&lt;Q&gt;WCC-US^P_BETA_LOCIDX(45513,45338,,"SPX")&lt;/Q&gt;&lt;R&gt;1&lt;/R&gt;&lt;C&gt;1&lt;/C&gt;&lt;D xsi:type="xsd:double"&gt;1.6357623&lt;/D&gt;&lt;/FQL&gt;&lt;FQL&gt;&lt;Q&gt;WCC-US^P_BETA_LOCIDX(45512,45337,,"SPX")&lt;/Q&gt;&lt;R&gt;1&lt;/R&gt;&lt;C&gt;1&lt;/C&gt;&lt;D xsi:type="xsd:double"&gt;1.6516047&lt;/D&gt;&lt;/FQL&gt;&lt;FQL&gt;&lt;Q&gt;WCC-US^P_BETA_LOCIDX(45511,45336,,"SPX")&lt;/Q&gt;&lt;R&gt;1&lt;/R&gt;&lt;C&gt;1&lt;/C&gt;&lt;D xsi:type="xsd:double"&gt;1.7221613&lt;/D&gt;&lt;/FQL&gt;&lt;FQL&gt;&lt;Q&gt;WCC-US^P_BETA_LOCIDX(45510,45335,,"SPX")&lt;/Q&gt;&lt;R&gt;1&lt;/R&gt;&lt;C&gt;1&lt;/C&gt;&lt;D xsi:type="xsd:double"&gt;2.2424726&lt;/D&gt;&lt;/FQL&gt;&lt;FQL&gt;&lt;Q&gt;WCC-US^P_BETA_LOCIDX(45509,45334,,"SPX")&lt;/Q&gt;&lt;R&gt;1&lt;/R&gt;&lt;C&gt;1&lt;/C&gt;&lt;D xsi:type="xsd:double"&gt;2.2502084&lt;/D&gt;&lt;/FQL&gt;&lt;FQL&gt;&lt;Q&gt;WCC-US^P_BETA_LOCIDX(45506,45331,,"SPX")&lt;/Q&gt;&lt;R&gt;1&lt;/R&gt;&lt;C&gt;1&lt;/C&gt;&lt;D xsi:type="xsd:double"&gt;2.481865&lt;/D&gt;&lt;/FQL&gt;&lt;FQL&gt;&lt;Q&gt;WCC-US^P_BETA_LOCIDX(45505,45330,,"SPX")&lt;/Q&gt;&lt;R&gt;1&lt;/R&gt;&lt;C&gt;1&lt;/C&gt;&lt;D xsi:type="xsd:double"&gt;2.5255356&lt;/D&gt;&lt;/FQL&gt;&lt;FQL&gt;&lt;Q&gt;WCC-US^P_BETA_LOCIDX(45504,45329,,"SPX")&lt;/Q&gt;&lt;R&gt;1&lt;/R&gt;&lt;C&gt;1&lt;/C&gt;&lt;D xsi:type="xsd:double"&gt;2.3947842&lt;/D&gt;&lt;/FQL&gt;&lt;FQL&gt;&lt;Q&gt;WCC-US^P_BETA_LOCIDX(45503,45328,,"SPX")&lt;/Q&gt;&lt;R&gt;1&lt;/R&gt;&lt;C&gt;1&lt;/C&gt;&lt;D xsi:type="xsd:double"&gt;2.428182&lt;/D&gt;&lt;/FQL&gt;&lt;FQL&gt;&lt;Q&gt;WCC-US^P_BETA_LOCIDX(45502,45327,,"SPX")&lt;/Q&gt;&lt;R&gt;1&lt;/R&gt;&lt;C&gt;1&lt;/C&gt;&lt;D xsi:type="xsd:double"&gt;2.4386032&lt;/D&gt;&lt;/FQL&gt;&lt;FQL&gt;&lt;Q&gt;WCC-US^P_BETA_LOCIDX(45499,45324,,"SPX")&lt;/Q&gt;&lt;R&gt;1&lt;/R&gt;&lt;C&gt;1&lt;/C&gt;&lt;D xsi:type="xsd:double"&gt;2.4722266&lt;/D&gt;&lt;/FQL&gt;&lt;FQL&gt;&lt;Q&gt;WCC-US^P_BETA_LOCIDX(45498,45323,,"SPX")&lt;/Q&gt;&lt;R&gt;1&lt;/R&gt;&lt;C&gt;1&lt;/C&gt;&lt;D xsi:type="xsd:double"&gt;2.46356&lt;/D&gt;&lt;/FQL&gt;&lt;FQL&gt;&lt;Q&gt;WCC-US^P_BETA_LOCIDX(45497,45322,,"SPX")&lt;/Q&gt;&lt;R&gt;1&lt;/R&gt;&lt;C&gt;1&lt;/C&gt;&lt;D xsi:type="xsd:double"&gt;2.4166057&lt;/D&gt;&lt;/FQL&gt;&lt;FQL&gt;&lt;Q&gt;WCC-US^P_BETA_LOCIDX(45496,45321,,"SPX")&lt;/Q&gt;&lt;R&gt;1&lt;/R&gt;&lt;C&gt;1&lt;/C&gt;&lt;D xsi:type="xsd:double"&gt;2.4875414&lt;/D&gt;&lt;/FQL&gt;&lt;FQL&gt;&lt;Q&gt;WCC-US^P_BETA_LOCIDX(45495,45320,,"SPX")&lt;/Q&gt;&lt;R&gt;1&lt;/R&gt;&lt;C&gt;1&lt;/C&gt;&lt;D xsi:type="xsd:double"&gt;2.4878573&lt;/D&gt;&lt;/FQL&gt;&lt;FQL&gt;&lt;Q&gt;WCC-US^P_BETA_LOCIDX(45492,45317,,"SPX")&lt;/Q&gt;&lt;R&gt;1&lt;/R&gt;&lt;C&gt;1&lt;/C&gt;&lt;D xsi:type="xsd:double"&gt;2.5045965&lt;/D&gt;&lt;/FQL&gt;&lt;FQL&gt;&lt;Q&gt;WCC-US^P_BETA_LOCIDX(45491,45316,,"SPX")&lt;/Q&gt;&lt;R&gt;1&lt;/R&gt;&lt;C&gt;1&lt;/C&gt;&lt;D xsi:type="xsd:double"&gt;2.5208707&lt;/D&gt;&lt;/FQL&gt;&lt;FQL&gt;&lt;Q&gt;WCC-US^P_BETA_LOCIDX(45490,45315,,"SPX")&lt;/Q&gt;&lt;R&gt;1&lt;/R&gt;&lt;C&gt;1&lt;/C&gt;&lt;D xsi:type="xsd:double"&gt;2.5157764&lt;/D&gt;&lt;/FQL&gt;&lt;FQL&gt;&lt;Q&gt;WCC-US^P_BETA_LOCIDX(45489,45314,,"SPX")&lt;/Q&gt;&lt;</t>
        </r>
      </text>
    </comment>
    <comment ref="A32" authorId="0" shapeId="0" xr:uid="{065A1C8F-BA64-4321-9959-06327396FCBB}">
      <text>
        <r>
          <rPr>
            <b/>
            <sz val="9"/>
            <color indexed="81"/>
            <rFont val="Tahoma"/>
            <family val="2"/>
          </rPr>
          <t>R&gt;1&lt;/R&gt;&lt;C&gt;1&lt;/C&gt;&lt;D xsi:type="xsd:double"&gt;2.4984367&lt;/D&gt;&lt;/FQL&gt;&lt;FQL&gt;&lt;Q&gt;WCC-US^P_BETA_LOCIDX(45488,45313,,"SPX")&lt;/Q&gt;&lt;R&gt;1&lt;/R&gt;&lt;C&gt;1&lt;/C&gt;&lt;D xsi:type="xsd:double"&gt;2.4617715&lt;/D&gt;&lt;/FQL&gt;&lt;FQL&gt;&lt;Q&gt;WCC-US^P_BETA_LOCIDX(45485,45310,,"SPX")&lt;/Q&gt;&lt;R&gt;1&lt;/R&gt;&lt;C&gt;1&lt;/C&gt;&lt;D xsi:type="xsd:double"&gt;2.4309487&lt;/D&gt;&lt;/FQL&gt;&lt;FQL&gt;&lt;Q&gt;WCC-US^P_BETA_LOCIDX(45484,45309,,"SPX")&lt;/Q&gt;&lt;R&gt;1&lt;/R&gt;&lt;C&gt;1&lt;/C&gt;&lt;D xsi:type="xsd:double"&gt;2.4145339&lt;/D&gt;&lt;/FQL&gt;&lt;FQL&gt;&lt;Q&gt;WCC-US^P_BETA_LOCIDX(45483,45308,,"SPX")&lt;/Q&gt;&lt;R&gt;1&lt;/R&gt;&lt;C&gt;1&lt;/C&gt;&lt;D xsi:type="xsd:double"&gt;2.520873&lt;/D&gt;&lt;/FQL&gt;&lt;FQL&gt;&lt;Q&gt;WCC-US^P_BETA_LOCIDX(45482,45307,,"SPX")&lt;/Q&gt;&lt;R&gt;1&lt;/R&gt;&lt;C&gt;1&lt;/C&gt;&lt;D xsi:type="xsd:double"&gt;2.496356&lt;/D&gt;&lt;/FQL&gt;&lt;FQL&gt;&lt;Q&gt;WCC-US^P_BETA_LOCIDX(45481,45303,,"SPX")&lt;/Q&gt;&lt;R&gt;1&lt;/R&gt;&lt;C&gt;1&lt;/C&gt;&lt;D xsi:type="xsd:double"&gt;2.4964373&lt;/D&gt;&lt;/FQL&gt;&lt;FQL&gt;&lt;Q&gt;WCC-US^P_BETA_LOCIDX(45478,45302,,"SPX")&lt;/Q&gt;&lt;R&gt;1&lt;/R&gt;&lt;C&gt;1&lt;/C&gt;&lt;D xsi:type="xsd:double"&gt;2.4952416&lt;/D&gt;&lt;/FQL&gt;&lt;FQL&gt;&lt;Q&gt;WCC-US^P_BETA_LOCIDX(45476,45301,,"SPX")&lt;/Q&gt;&lt;R&gt;1&lt;/R&gt;&lt;C&gt;1&lt;/C&gt;&lt;D xsi:type="xsd:double"&gt;2.5163848&lt;/D&gt;&lt;/FQL&gt;&lt;FQL&gt;&lt;Q&gt;WCC-US^P_BETA_LOCIDX(45475,45300,,"SPX")&lt;/Q&gt;&lt;R&gt;1&lt;/R&gt;&lt;C&gt;1&lt;/C&gt;&lt;D xsi:type="xsd:double"&gt;2.5108778&lt;/D&gt;&lt;/FQL&gt;&lt;FQL&gt;&lt;Q&gt;WCC-US^P_BETA_LOCIDX(45474,45299,,"SPX")&lt;/Q&gt;&lt;R&gt;1&lt;/R&gt;&lt;C&gt;1&lt;/C&gt;&lt;D xsi:type="xsd:double"&gt;2.487818&lt;/D&gt;&lt;/FQL&gt;&lt;FQL&gt;&lt;Q&gt;WCC-US^P_BETA_LOCIDX(45471,45296,,"SPX")&lt;/Q&gt;&lt;R&gt;1&lt;/R&gt;&lt;C&gt;1&lt;/C&gt;&lt;D xsi:type="xsd:double"&gt;2.494084&lt;/D&gt;&lt;/FQL&gt;&lt;FQL&gt;&lt;Q&gt;WCC-US^P_BETA_LOCIDX(45470,45295,,"SPX")&lt;/Q&gt;&lt;R&gt;1&lt;/R&gt;&lt;C&gt;1&lt;/C&gt;&lt;D xsi:type="xsd:double"&gt;2.498046&lt;/D&gt;&lt;/FQL&gt;&lt;FQL&gt;&lt;Q&gt;WCC-US^P_BETA_LOCIDX(45469,45294,,"SPX")&lt;/Q&gt;&lt;R&gt;1&lt;/R&gt;&lt;C&gt;1&lt;/C&gt;&lt;D xsi:type="xsd:double"&gt;2.5071845&lt;/D&gt;&lt;/FQL&gt;&lt;FQL&gt;&lt;Q&gt;WCC-US^P_BETA_LOCIDX(45468,45293,,"SPX")&lt;/Q&gt;&lt;R&gt;1&lt;/R&gt;&lt;C&gt;1&lt;/C&gt;&lt;D xsi:type="xsd:double"&gt;2.4897366&lt;/D&gt;&lt;/FQL&gt;&lt;FQL&gt;&lt;Q&gt;WCC-US^P_BETA_LOCIDX(45467,45289,,"SPX")&lt;/Q&gt;&lt;R&gt;1&lt;/R&gt;&lt;C&gt;1&lt;/C&gt;&lt;D xsi:type="xsd:double"&gt;2.5101497&lt;/D&gt;&lt;/FQL&gt;&lt;FQL&gt;&lt;Q&gt;WCC-US^P_BETA_LOCIDX(45464,45288,,"SPX")&lt;/Q&gt;&lt;R&gt;1&lt;/R&gt;&lt;C&gt;1&lt;/C&gt;&lt;D xsi:type="xsd:double"&gt;2.5152073&lt;/D&gt;&lt;/FQL&gt;&lt;FQL&gt;&lt;Q&gt;WCC-US^P_BETA_LOCIDX(45463,45287,,"SPX")&lt;/Q&gt;&lt;R&gt;1&lt;/R&gt;&lt;C&gt;1&lt;/C&gt;&lt;D xsi:type="xsd:double"&gt;2.5185735&lt;/D&gt;&lt;/FQL&gt;&lt;FQL&gt;&lt;Q&gt;WCC-US^P_BETA_LOCIDX(45461,45286,,"SPX")&lt;/Q&gt;&lt;R&gt;1&lt;/R&gt;&lt;C&gt;1&lt;/C&gt;&lt;D xsi:type="xsd:double"&gt;2.5222054&lt;/D&gt;&lt;/FQL&gt;&lt;FQL&gt;&lt;Q&gt;WCC-US^P_BETA_LOCIDX(45460,45282,,"SPX")&lt;/Q&gt;&lt;R&gt;1&lt;/R&gt;&lt;C&gt;1&lt;/C&gt;&lt;D xsi:type="xsd:double"&gt;2.525685&lt;/D&gt;&lt;/FQL&gt;&lt;FQL&gt;&lt;Q&gt;WCC-US^P_BETA_LOCIDX(45457,45281,,"SPX")&lt;/Q&gt;&lt;R&gt;1&lt;/R&gt;&lt;C&gt;1&lt;/C&gt;&lt;D xsi:type="xsd:double"&gt;2.5481138&lt;/D&gt;&lt;/FQL&gt;&lt;FQL&gt;&lt;Q&gt;WCC-US^P_BETA_LOCIDX(45456,45280,,"SPX")&lt;/Q&gt;&lt;R&gt;1&lt;/R&gt;&lt;C&gt;1&lt;/C&gt;&lt;D xsi:type="xsd:double"&gt;2.4905674&lt;/D&gt;&lt;/FQL&gt;&lt;FQL&gt;&lt;Q&gt;WCC-US^P_BETA_LOCIDX(45455,45279,,"SPX")&lt;/Q&gt;&lt;R&gt;1&lt;/R&gt;&lt;C&gt;1&lt;/C&gt;&lt;D xsi:type="xsd:double"&gt;2.4915202&lt;/D&gt;&lt;/FQL&gt;&lt;FQL&gt;&lt;Q&gt;WCC-US^P_BETA_LOCIDX(45454,45278,,"SPX")&lt;/Q&gt;&lt;R&gt;1&lt;/R&gt;&lt;C&gt;1&lt;/C&gt;&lt;D xsi:type="xsd:double"&gt;2.4881725&lt;/D&gt;&lt;/FQL&gt;&lt;FQL&gt;&lt;Q&gt;WCC-US^P_BETA_LOCIDX(45453,45275,,"SPX")&lt;/Q&gt;&lt;R&gt;1&lt;/R&gt;&lt;C&gt;1&lt;/C&gt;&lt;D xsi:type="xsd:double"&gt;2.499398&lt;/D&gt;&lt;/FQL&gt;&lt;FQL&gt;&lt;Q&gt;WCC-US^P_BETA_LOCIDX(45450,45274,,"SPX")&lt;/Q&gt;&lt;R&gt;1&lt;/R&gt;&lt;C&gt;1&lt;/C&gt;&lt;D xsi:type="xsd:double"&gt;2.5068078&lt;/D&gt;&lt;/FQL&gt;&lt;FQL&gt;&lt;Q&gt;WCC-US^P_BETA_LOCIDX(45449,45273,,"SPX")&lt;/Q&gt;&lt;R&gt;1&lt;/R&gt;&lt;C&gt;1&lt;/C&gt;&lt;D xsi:type="xsd:double"&gt;2.477702&lt;/D&gt;&lt;/FQL&gt;&lt;FQL&gt;&lt;Q&gt;WCC-US^P_BETA_LOCIDX(45448,45272,,"SPX")&lt;/Q&gt;&lt;R&gt;1&lt;/R&gt;&lt;C&gt;1&lt;/C&gt;&lt;D xsi:type="xsd:double"&gt;2.4717033&lt;/D&gt;&lt;/FQL&gt;&lt;FQL&gt;&lt;Q&gt;WCC-US^P_BETA_LOCIDX(45447,45271,,"SPX")&lt;/Q&gt;&lt;R&gt;1&lt;/R&gt;&lt;C&gt;1&lt;/C&gt;&lt;D xsi:type="xsd:double"&gt;2.4771094&lt;/D&gt;&lt;/FQL&gt;&lt;FQL&gt;&lt;Q&gt;WCC-US^P_BETA_LOCIDX(45446,45268,,"SPX")&lt;/Q&gt;&lt;R&gt;1&lt;/R&gt;&lt;C&gt;1&lt;/C&gt;&lt;D xsi:type="xsd:double"&gt;2.4845488&lt;/D&gt;&lt;/FQL&gt;&lt;FQL&gt;&lt;Q&gt;WCC-US^P_BETA_LOCIDX(45443,45267,,"SPX")&lt;/Q&gt;&lt;R&gt;1&lt;/R&gt;&lt;C&gt;1&lt;/C&gt;&lt;D xsi:type="xsd:double"&gt;2.4638383&lt;/D&gt;&lt;/FQL&gt;&lt;FQL&gt;&lt;Q&gt;WCC-US^P_BETA_LOCIDX(45442,45266,,"SPX")&lt;/Q&gt;&lt;R&gt;1&lt;/R&gt;&lt;C&gt;1&lt;/C&gt;&lt;D xsi:type="xsd:double"&gt;2.480652&lt;/D&gt;&lt;/FQL&gt;&lt;FQL&gt;&lt;Q&gt;WCC-US^P_BETA_LOCIDX(45441,45265,,"SPX")&lt;/Q&gt;&lt;R&gt;1&lt;/R&gt;&lt;C&gt;1&lt;/C&gt;&lt;D xsi:type="xsd:double"&gt;2.5196693&lt;/D&gt;&lt;/FQL&gt;&lt;FQL&gt;&lt;Q&gt;WCC-US^P_BETA_LOCIDX(45440,45264,,"SPX")&lt;/Q&gt;&lt;R&gt;1&lt;/R&gt;&lt;C&gt;1&lt;/C&gt;&lt;D xsi:type="xsd:double"&gt;2.462166&lt;/D&gt;&lt;/FQL&gt;&lt;FQL&gt;&lt;Q&gt;WCC-US^P_BETA_LOCIDX(45436,45261,,"SPX")&lt;/Q&gt;&lt;R&gt;1&lt;/R&gt;&lt;C&gt;1&lt;/C&gt;&lt;D xsi:type="xsd:double"&gt;2.480262&lt;/D&gt;&lt;/FQL&gt;&lt;FQL&gt;&lt;Q&gt;WCC-US^P_BETA_LOCIDX(45435,45260,,"SPX")&lt;/Q&gt;&lt;R&gt;1&lt;/R&gt;&lt;C&gt;1&lt;/C&gt;&lt;D xsi:type="xsd:double"&gt;2.4705021&lt;/D&gt;&lt;/FQL&gt;&lt;FQL&gt;&lt;Q&gt;WCC-US^P_BETA_LOCIDX(45434,45259,,"SPX")&lt;/Q&gt;&lt;R&gt;1&lt;/R&gt;&lt;C&gt;1&lt;/C&gt;&lt;D xsi:type="xsd:double"&gt;2.4793139&lt;/D&gt;&lt;/FQL&gt;&lt;FQL&gt;&lt;Q&gt;WCC-US^P_BETA_LOCIDX(45433,45258,,"SPX")&lt;/Q&gt;&lt;R&gt;1&lt;/R&gt;&lt;C&gt;1&lt;/C&gt;&lt;D xsi:type="xsd:double"&gt;2.484067&lt;/D&gt;&lt;/FQL&gt;&lt;FQL&gt;&lt;Q&gt;WCC-US^P_BETA_LOCIDX(45432,45257,,"SPX")&lt;/Q&gt;&lt;R&gt;1&lt;/R&gt;&lt;C&gt;1&lt;/C&gt;&lt;D xsi:type="xsd:double"&gt;2.4804597&lt;/D&gt;&lt;/FQL&gt;&lt;FQL&gt;&lt;Q&gt;WCC-US^P_BETA_LOCIDX(45429,45254,,"SPX")&lt;/Q&gt;&lt;R&gt;1&lt;/R&gt;&lt;C&gt;1&lt;/C&gt;&lt;D xsi:type="xsd:double"&gt;2.4801295&lt;/D&gt;&lt;/FQL&gt;&lt;FQL&gt;&lt;Q&gt;WCC-US^P_BETA_LOCIDX(45428,45252,,"SPX")&lt;/Q&gt;&lt;R&gt;1&lt;/R&gt;&lt;C&gt;1&lt;/C&gt;&lt;D xsi:type="xsd:double"&gt;2.4780679&lt;/D&gt;&lt;/FQL&gt;&lt;FQL&gt;&lt;Q&gt;WCC-US^P_BETA_LOCIDX(45427,45251,,"SPX")&lt;/Q&gt;&lt;R&gt;1&lt;/R&gt;&lt;C&gt;1&lt;/C&gt;&lt;D xsi:type="xsd:double"&gt;2.4692192&lt;/D&gt;&lt;/FQL&gt;&lt;FQL&gt;&lt;Q&gt;WCC-US^P_BETA_LOCIDX(45426,45250,,"SPX")&lt;/Q&gt;&lt;R&gt;1&lt;/R&gt;&lt;C&gt;1&lt;/C&gt;&lt;D xsi:type="xsd:double"&gt;2.4439583&lt;/D&gt;&lt;/FQL&gt;&lt;FQL&gt;&lt;Q&gt;WCC-US^P_BETA_LOCIDX(45425,45247,,"SPX")&lt;/Q&gt;&lt;R&gt;1&lt;/R&gt;&lt;C&gt;1&lt;/C&gt;&lt;D xsi:type="xsd:double"&gt;2.444749&lt;/D&gt;&lt;/FQL&gt;&lt;FQL&gt;&lt;Q&gt;WCC-US^P_BETA_LOCIDX(45422,45246,,"SPX")&lt;/Q&gt;&lt;R&gt;1&lt;/R&gt;&lt;C&gt;1&lt;/C&gt;&lt;D xsi:type="xsd:double"&gt;2.4480708&lt;/D&gt;&lt;/FQL&gt;&lt;FQL&gt;&lt;Q&gt;WCC-US^P_BETA_LOCIDX(45421,45245,,"SPX")&lt;/Q&gt;&lt;R&gt;1&lt;/R&gt;&lt;C&gt;1&lt;/C&gt;&lt;D xsi:type="xsd:double"&gt;2.44733&lt;/D&gt;&lt;/FQL&gt;&lt;FQL&gt;&lt;Q&gt;WCC-US^P_BETA_LOCIDX(45420,45244,,"SPX")&lt;/Q&gt;&lt;R&gt;1&lt;/R&gt;&lt;C&gt;1&lt;/C&gt;&lt;D xsi:type="xsd:double"&gt;2.4811087&lt;/D&gt;&lt;/FQL&gt;&lt;FQL&gt;&lt;Q&gt;WCC-US^P_BETA_LOCIDX(45419,45243,,"SPX")&lt;/Q&gt;&lt;R&gt;1&lt;/R&gt;&lt;C&gt;1&lt;/C&gt;&lt;D xsi:type="xsd:double"&gt;2.4727402&lt;/D&gt;&lt;/FQL&gt;&lt;FQL&gt;&lt;Q&gt;WCC-US^P_BETA_LOCIDX(45418,45240,,"SPX")&lt;/Q&gt;&lt;R&gt;1&lt;/R&gt;&lt;C&gt;1&lt;/C&gt;&lt;D xsi:type="xsd:double"&gt;2.4508233&lt;/D&gt;&lt;/FQL&gt;&lt;FQL&gt;&lt;Q&gt;WCC-US^P_BETA_LOCIDX(45415,45239,,"SPX")&lt;/Q&gt;&lt;R&gt;1&lt;/R&gt;&lt;C&gt;1&lt;/C&gt;&lt;D xsi:type="xsd:double"&gt;2.4022672&lt;/D&gt;&lt;/FQL&gt;&lt;FQL&gt;&lt;Q&gt;WCC-US^P_BETA_LOCIDX(45414,45238,,"SPX")&lt;/Q&gt;&lt;R&gt;1&lt;/R&gt;&lt;C&gt;1&lt;/C&gt;&lt;D xsi:type="xsd:double"&gt;2.4279945&lt;/D&gt;&lt;/FQL&gt;&lt;FQL&gt;&lt;Q&gt;WCC-US^P_BETA_LOCIDX(45413,45237,,"SPX")&lt;/Q&gt;&lt;R&gt;1&lt;/R&gt;&lt;C&gt;1&lt;/C&gt;&lt;D xsi:type="xsd:double"&gt;2.360047&lt;/D&gt;&lt;/FQL&gt;&lt;FQL&gt;&lt;Q&gt;WCC-US^P_BETA_LOCIDX(45412,45236,,"SPX")&lt;/Q&gt;&lt;R&gt;1&lt;/R&gt;&lt;C&gt;1&lt;/C&gt;&lt;D xsi:type="xsd:double"&gt;2.3735063&lt;/D&gt;&lt;/FQL&gt;&lt;FQL&gt;&lt;Q&gt;WCC-US^P_BETA_LOCIDX(45411,45233,,"SPX")&lt;/Q&gt;&lt;R&gt;1&lt;/R&gt;&lt;C&gt;1&lt;/C&gt;&lt;D xsi:type="xsd:double"&gt;2.428923&lt;/D&gt;&lt;/FQL&gt;&lt;FQL&gt;&lt;Q&gt;WCC-US^P_BETA_LOCIDX(45408,45232,,"SPX")&lt;/Q&gt;&lt;R&gt;1&lt;/R&gt;&lt;C&gt;1&lt;/C&gt;&lt;D xsi:type="xsd:double"&gt;2.4065952&lt;/D&gt;&lt;/FQL&gt;&lt;FQL&gt;&lt;Q&gt;WCC-US^P_BETA_LOCIDX(45407,45231,,"SPX")&lt;/Q&gt;&lt;R&gt;1&lt;/R&gt;&lt;C&gt;1&lt;/C&gt;&lt;D xsi:type="xsd:double"&gt;2.451222&lt;/D&gt;&lt;/FQL&gt;&lt;FQL&gt;&lt;Q&gt;WCC-US^P_BETA_LOCIDX(45406,45230,,"SPX")&lt;/Q&gt;&lt;R&gt;1&lt;/R&gt;&lt;C&gt;1&lt;/C&gt;&lt;D xsi:type="xsd:double"&gt;2.4383767&lt;/D&gt;&lt;/FQL&gt;&lt;FQL&gt;&lt;Q&gt;WCC-US^P_BETA_LOCIDX(45405,45229,,"SPX")&lt;/Q&gt;&lt;R&gt;1&lt;/R&gt;&lt;C&gt;1&lt;/C&gt;&lt;D xsi:type="xsd:double"&gt;2.4211514&lt;/D&gt;&lt;/FQL&gt;&lt;FQL&gt;&lt;Q&gt;WCC-US^P_BETA_LOCIDX(45404,45226,,"SPX")&lt;/Q&gt;&lt;R&gt;1&lt;/R&gt;&lt;C&gt;1&lt;/C&gt;&lt;D xsi:type="xsd:double"&gt;2.4242861&lt;/D&gt;&lt;/FQL&gt;&lt;FQL&gt;&lt;Q&gt;WCC-US^P_BETA_LOCIDX(45401,45225,,"SPX")&lt;/Q&gt;&lt;R&gt;1&lt;/R&gt;&lt;C&gt;1&lt;/C&gt;&lt;D xsi:type="xsd:double"&gt;2.3168344&lt;/D&gt;&lt;/FQL&gt;&lt;FQL&gt;&lt;Q&gt;WCC-US^P_BETA_LOCIDX(45400,45224,,"SPX")&lt;/Q&gt;&lt;R&gt;1&lt;/R&gt;&lt;C&gt;1&lt;/C&gt;&lt;D xsi:type="xsd:double"&gt;2.3174195&lt;/D&gt;&lt;/FQL&gt;&lt;FQL&gt;&lt;Q&gt;WCC-US^P_BETA_LOCIDX(45399,45223,,"SPX")&lt;/Q&gt;&lt;R&gt;1&lt;/R&gt;&lt;C&gt;1&lt;/C&gt;&lt;D xsi:type="xsd:double"&gt;2.3104613&lt;/D&gt;&lt;/FQL&gt;&lt;FQL&gt;&lt;Q&gt;WCC-US^P_BETA_LOCIDX(45398,45222,,"SPX")&lt;/Q&gt;&lt;R&gt;1&lt;/R&gt;&lt;C&gt;1&lt;/C&gt;&lt;D xsi:type="xsd:double"&gt;2.3064678&lt;/D&gt;&lt;/FQL&gt;&lt;FQL&gt;&lt;Q&gt;WCC-US^P_BETA_LOCIDX(45397,45219,,"SPX")&lt;/Q&gt;&lt;R&gt;1&lt;/R&gt;&lt;C&gt;1&lt;/C&gt;&lt;D xsi:type="xsd:double"&gt;2.3116992&lt;/D&gt;&lt;/FQL&gt;&lt;FQL&gt;&lt;Q&gt;WCC-US^P_BETA_LOCIDX(45394,45218,,"SPX")&lt;/Q&gt;&lt;R&gt;1&lt;/R&gt;&lt;C&gt;1&lt;/C&gt;&lt;D xsi:type="xsd:double"&gt;2.3436134&lt;/D&gt;&lt;/FQL&gt;&lt;FQL&gt;&lt;Q&gt;WCC-US^P_BETA_LOCIDX(45393,45217,,"SPX")&lt;/Q&gt;&lt;R&gt;1&lt;/R&gt;&lt;C&gt;1&lt;/C&gt;&lt;D xsi:type="xsd:double"&gt;2.3984694&lt;/D&gt;&lt;/FQL&gt;&lt;FQL&gt;&lt;Q&gt;WCC-US^P_BETA_LOCIDX(45392,45216,,"SPX")&lt;/Q&gt;&lt;R&gt;1&lt;/R&gt;&lt;C&gt;1&lt;/C&gt;&lt;D xsi:type="xsd:double"&gt;2.4207304&lt;/D&gt;&lt;/FQL&gt;&lt;FQL&gt;&lt;Q&gt;WCC-US^P_BETA_LOCIDX(45391,45215,,"SPX")&lt;/Q&gt;&lt;R&gt;1&lt;/R&gt;&lt;C&gt;1&lt;/C&gt;&lt;D xsi:type="xsd:double"&gt;2.4144356&lt;/D&gt;&lt;/FQL&gt;&lt;FQL&gt;&lt;Q&gt;WCC-US^P_BETA_LOCIDX(45390,45212,,"SPX")&lt;/Q&gt;&lt;R&gt;1&lt;/R&gt;&lt;C&gt;1&lt;/C&gt;&lt;D xsi:type="xsd:double"&gt;2.4836037&lt;/D&gt;&lt;/FQL&gt;&lt;FQL&gt;&lt;Q&gt;WCC-US^P_BETA_LOCIDX(45387,45211,,"SPX")&lt;/Q&gt;&lt;R&gt;1&lt;/R&gt;&lt;C&gt;1&lt;/C&gt;&lt;D xsi:type="xsd:double"&gt;2.4843645&lt;/D&gt;&lt;/FQL&gt;&lt;FQL&gt;&lt;Q&gt;WCC-US^P_BETA_LOCIDX(45386,45210,,"SPX")&lt;/Q&gt;&lt;R&gt;1&lt;/R&gt;&lt;C&gt;1&lt;/C&gt;&lt;D xsi:type="xsd:double"&gt;2.508973&lt;/D&gt;&lt;/FQL&gt;&lt;FQL&gt;&lt;Q&gt;WCC-US^P_BETA_LOCIDX(45385,45209,,"SPX")&lt;/Q&gt;&lt;R&gt;1&lt;/R&gt;&lt;C&gt;1&lt;/C&gt;&lt;D xsi:type="xsd:double"&gt;2.5185933&lt;/D&gt;&lt;/FQL&gt;&lt;FQL&gt;&lt;Q&gt;WCC-US^P_BETA_LOCIDX(45384,45208,,"SPX")&lt;/Q&gt;&lt;R&gt;1&lt;/R&gt;&lt;C&gt;1&lt;/C&gt;&lt;D xsi:type="xsd:double"&gt;2.5215626&lt;/D&gt;&lt;/FQL&gt;&lt;FQL&gt;&lt;Q&gt;WCC-US^P_BETA_LOCIDX(45383,45205,,"SPX")&lt;/Q&gt;&lt;R&gt;1&lt;/R&gt;&lt;C&gt;1&lt;/C&gt;&lt;D xsi:type="xsd:double"&gt;2.5378091&lt;/D&gt;&lt;/FQL&gt;&lt;FQL&gt;&lt;Q&gt;WCC-US^P_BETA_LOCIDX(45379,45204,,"SPX")&lt;/Q&gt;&lt;R&gt;1&lt;/R&gt;&lt;C&gt;1&lt;/C&gt;&lt;D xsi:type="xsd:double"&gt;2.5573914&lt;/D&gt;&lt;/FQL&gt;&lt;FQL&gt;&lt;Q&gt;WCC-US^P_BETA_LOCIDX(45378,45203,,"SPX")&lt;/Q&gt;&lt;R&gt;1&lt;/R&gt;&lt;C&gt;1&lt;/C&gt;&lt;D xsi:type="xsd:double"&gt;2.5575871&lt;/D&gt;&lt;/FQL&gt;&lt;FQL&gt;&lt;Q&gt;WCC-US^P_BETA_LOCIDX(45377,45202,,"SPX")&lt;/Q&gt;&lt;R&gt;1&lt;/R&gt;&lt;C&gt;1&lt;/C&gt;&lt;D xsi:type="xsd:double"&gt;2.5323012&lt;/D&gt;&lt;/FQL&gt;&lt;FQL&gt;&lt;Q&gt;WCC-US^P_BETA_LOCIDX(45376,45201,,"SPX")&lt;/Q&gt;&lt;R&gt;1&lt;/R&gt;&lt;C&gt;1&lt;/C&gt;&lt;D xsi:type="xsd:double"&gt;2.5433867&lt;/D&gt;&lt;/FQL&gt;&lt;FQL&gt;&lt;Q&gt;WCC-US^P_BETA_LOCIDX(45373,45198,,"SPX")&lt;/Q&gt;&lt;R&gt;1&lt;/R&gt;&lt;C&gt;1&lt;/C&gt;&lt;D xsi:type="xsd:double"&gt;2.5517402&lt;/D&gt;&lt;/FQL&gt;&lt;FQL&gt;&lt;Q&gt;WCC-US^P_BETA_LOCIDX(45372,45197,,"SPX")&lt;/Q&gt;&lt;R&gt;1&lt;/R&gt;&lt;C&gt;1&lt;/C&gt;&lt;D xsi:type="xsd:double"&gt;2.5475247&lt;/D&gt;&lt;/FQL&gt;&lt;FQL&gt;&lt;Q&gt;WCC-US^P_BETA_LOCIDX(45371,45196,,"SPX")&lt;/Q&gt;&lt;R&gt;1&lt;/R&gt;&lt;C&gt;1&lt;/C&gt;&lt;D xsi:type="xsd:double"&gt;2.5446239&lt;/D&gt;&lt;/FQL&gt;&lt;FQL&gt;&lt;Q&gt;WCC-US^P_BETA_LOCIDX(45370,45195,,"SPX")&lt;/Q&gt;&lt;R&gt;1&lt;/R&gt;&lt;C&gt;1&lt;/C&gt;&lt;D xsi:type="xsd:double"&gt;2.4716773&lt;/D&gt;&lt;/FQL&gt;&lt;FQL&gt;&lt;Q&gt;WCC-US^P_BETA_LOCIDX(45369,45194,,"SPX")&lt;/Q&gt;&lt;R&gt;1&lt;/R&gt;&lt;C&gt;1&lt;/C&gt;&lt;D xsi:type="xsd:double"&gt;2.4683383&lt;/D&gt;&lt;/FQL&gt;&lt;FQL&gt;&lt;Q&gt;WCC-US^P_BETA_LOCIDX(45366,45191,,"SPX")&lt;/Q&gt;&lt;R&gt;1&lt;/R&gt;&lt;C&gt;1&lt;/C&gt;&lt;D xsi:type="xsd:double"&gt;2.4631517&lt;/D&gt;&lt;/FQL&gt;&lt;FQL&gt;&lt;Q&gt;WCC-US^P_BETA_LOCIDX(45365,45190,,"SPX")&lt;/Q&gt;&lt;R&gt;1&lt;/R&gt;&lt;C&gt;1&lt;/C&gt;&lt;D xsi:type="xsd:double"&gt;2.4470115&lt;/D&gt;&lt;/FQL&gt;&lt;FQL&gt;&lt;Q&gt;WCC-US^P_BETA_LOCIDX(45364,45189,,"SPX")&lt;/Q&gt;&lt;R&gt;1&lt;/R&gt;&lt;C&gt;1&lt;/C&gt;&lt;D xsi:type="xsd:double"&gt;2.419066&lt;/D&gt;&lt;/FQL&gt;&lt;FQL&gt;&lt;Q&gt;WCC-US^P_BETA_LOCIDX(45363,45188,,"SPX")&lt;/Q&gt;&lt;R&gt;1&lt;/R&gt;&lt;C&gt;1&lt;/C&gt;&lt;D xsi:type="xsd:double"&gt;2.4266682&lt;/D&gt;&lt;/FQL&gt;&lt;FQL&gt;&lt;Q&gt;WCC-US^P_BETA_LOCIDX(45362,45187,,"SPX")&lt;/Q&gt;&lt;R&gt;1&lt;/R&gt;&lt;C&gt;1&lt;/C&gt;&lt;D xsi:type="xsd:double"&gt;2.4212499&lt;/D&gt;&lt;/FQL&gt;&lt;FQL&gt;&lt;Q&gt;WCC-US^P_BETA_LOCIDX(45359,45184,,"SPX")&lt;/Q&gt;&lt;R&gt;1&lt;/R&gt;&lt;C&gt;1&lt;/C&gt;&lt;D xsi:type="xsd:double"&gt;2.3845496&lt;/D&gt;&lt;/FQL&gt;&lt;FQL&gt;&lt;Q&gt;WCC-US^P_BETA_LOCIDX(45358,45183,,"SPX")&lt;/Q&gt;&lt;R&gt;1&lt;/R&gt;&lt;C&gt;1&lt;/C&gt;&lt;D xsi:type="xsd:double"&gt;2.3889647&lt;/D&gt;&lt;/FQL&gt;&lt;FQL&gt;&lt;Q&gt;WCC-US^P_BETA_LOCIDX(45357,45182,,"SPX")&lt;/Q&gt;&lt;R&gt;1&lt;/R&gt;&lt;C&gt;1&lt;/C&gt;&lt;D xsi:type="xsd:double"&gt;2.372616&lt;/D&gt;&lt;/FQL&gt;&lt;FQL&gt;&lt;Q&gt;WCC-US^P_BETA_LOCIDX(45356,45181,,"SPX")&lt;/Q&gt;&lt;R&gt;1&lt;/R&gt;&lt;C&gt;1&lt;/C&gt;&lt;D xsi:type="xsd:double"&gt;2.3637464&lt;/D&gt;&lt;/FQL&gt;&lt;FQL&gt;&lt;Q&gt;WCC-US^P_BETA_LOCIDX(45355,45180,,"SPX")&lt;/Q&gt;&lt;R&gt;1&lt;/R&gt;&lt;C&gt;1&lt;/C&gt;&lt;D xsi:type="xsd:double"&gt;2.4304624&lt;/D&gt;&lt;/FQL&gt;&lt;FQL&gt;&lt;Q&gt;WCC-US^P_BETA_LOCIDX(45352,45177,,"SPX")&lt;/Q&gt;&lt;R&gt;1&lt;/R&gt;&lt;C&gt;1&lt;/C&gt;&lt;D xsi:type="xsd:double"&gt;2.429819&lt;/D&gt;&lt;/FQL&gt;&lt;FQL&gt;&lt;Q&gt;WCC-US^P_BETA_LOCIDX(45351,45176,,"SPX")&lt;/Q&gt;&lt;R&gt;1&lt;/R&gt;&lt;C&gt;1&lt;/C&gt;&lt;D xsi:type="xsd:double"&gt;2.4312003&lt;/D&gt;&lt;/FQL&gt;&lt;FQL&gt;&lt;Q&gt;WCC-US^P_BETA_LOCIDX(45350,45175,,"SPX")&lt;/Q&gt;&lt;R&gt;1&lt;/R&gt;&lt;C&gt;1&lt;/C&gt;&lt;D xsi:type="xsd:double"&gt;2.390593&lt;/D&gt;&lt;/FQL&gt;&lt;FQL&gt;&lt;Q&gt;WCC-US^P_BETA_LOCIDX(45349,45174,,"SPX")&lt;/Q&gt;&lt;R&gt;1&lt;/R&gt;&lt;C&gt;1&lt;/C&gt;&lt;D xsi:type="xsd:double"&gt;2.4186287&lt;/D&gt;&lt;/FQL&gt;&lt;FQL&gt;&lt;Q&gt;WCC-US^P_BETA_LOCIDX(45348,45170,,"SPX")&lt;/Q&gt;&lt;R&gt;1&lt;/R&gt;&lt;C&gt;1&lt;/C&gt;&lt;D xsi:type="xsd:double"&gt;2.4197807&lt;/D&gt;&lt;/FQL&gt;&lt;FQL&gt;&lt;Q&gt;WCC-US^P_BETA_LOCIDX(45345,45169,,"SPX")&lt;/Q&gt;&lt;R&gt;1&lt;/R&gt;&lt;C&gt;1&lt;/C&gt;&lt;D xsi:type="xsd:double"&gt;2.4222248&lt;/D&gt;&lt;/FQL&gt;&lt;FQL&gt;&lt;Q&gt;WCC-US^P_BETA_LOCIDX(45344,45168,,"SPX")&lt;/Q&gt;&lt;R&gt;1&lt;/R&gt;&lt;C&gt;1&lt;/C&gt;&lt;D xsi:type="xsd:double"&gt;2.4224687&lt;/D&gt;&lt;/FQL&gt;&lt;FQL&gt;&lt;Q&gt;WCC-US^P_BETA_LOCIDX(45343,45167,,"SPX")&lt;/Q&gt;&lt;R&gt;1&lt;/R&gt;&lt;C&gt;1&lt;/C&gt;&lt;D xsi:type="xsd:double"&gt;2.491156&lt;/D&gt;&lt;/FQL&gt;&lt;FQL&gt;&lt;Q&gt;WCC-US^P_BETA_LOCIDX(45342,45166,,"SPX")&lt;/Q&gt;&lt;R&gt;1&lt;/R&gt;&lt;C&gt;1&lt;/C&gt;&lt;D xsi:type="xsd:double"&gt;2.4990356&lt;/D&gt;&lt;/FQL&gt;&lt;FQL&gt;&lt;Q&gt;WCC-US^P_BETA_LOCIDX(45338,45163,,"SPX")&lt;/Q&gt;&lt;R&gt;1&lt;/R&gt;&lt;C&gt;1&lt;/C&gt;&lt;D xsi:type="xsd:double"&gt;2.50166&lt;/D&gt;&lt;/FQL&gt;&lt;FQL&gt;&lt;Q&gt;WCC-US^P_BETA_LOCIDX(45337,45162,,"SPX")&lt;/Q&gt;&lt;R&gt;1&lt;/R&gt;&lt;C&gt;1&lt;/C&gt;&lt;D xsi:type="xsd:double"&gt;2.434171&lt;/D&gt;&lt;/FQL&gt;&lt;FQL&gt;&lt;Q&gt;WCC-US^P_BETA_LOCIDX(45336,45161,,"SPX")&lt;/Q&gt;&lt;R&gt;1&lt;/R&gt;&lt;C&gt;1&lt;/C&gt;&lt;D xsi:type="xsd:double"&gt;2.4138575&lt;/D&gt;&lt;/FQL&gt;&lt;FQL&gt;&lt;Q&gt;WCC-US^P_BETA_LOCIDX(45335,45160,,"SPX")&lt;/Q&gt;&lt;R&gt;1&lt;/R&gt;&lt;C&gt;1&lt;/C&gt;&lt;D xsi:type="xsd:double"&gt;2.3384595&lt;/D&gt;&lt;/FQL&gt;&lt;FQL&gt;&lt;Q&gt;WCC-US^P_BETA_LOCIDX(45334,45159,,"SPX")&lt;/Q&gt;&lt;R&gt;1&lt;/R&gt;&lt;C&gt;1&lt;/C&gt;&lt;D xsi:type="xsd:double"&gt;1.7206124&lt;/D&gt;&lt;/FQL&gt;&lt;FQL&gt;&lt;Q&gt;WCC-US^P_BETA_LOCIDX(45331,45156,,"SPX")&lt;/Q&gt;&lt;R&gt;1&lt;/R&gt;&lt;C&gt;1&lt;/C&gt;&lt;D xsi:type="xsd:double"&gt;1.7144196&lt;/D&gt;&lt;/FQL&gt;&lt;FQL&gt;&lt;Q&gt;WCC-US^P_BETA_LOCIDX(45330,45155,,"SPX")&lt;/Q&gt;&lt;R&gt;1&lt;/R&gt;&lt;C&gt;1&lt;/C&gt;&lt;D xsi:type="xsd:double"&gt;1.7148076&lt;/D&gt;&lt;/FQL&gt;&lt;FQL&gt;&lt;Q&gt;WCC-US^P_BETA_LOCIDX(45329,45154,,"SPX")&lt;/Q&gt;&lt;R&gt;1&lt;/R&gt;&lt;C&gt;1&lt;/C&gt;&lt;D xsi:type="xsd:double"&gt;1.7221948&lt;/D&gt;&lt;/FQL&gt;&lt;FQL&gt;&lt;Q&gt;WCC-US^P_BETA_LOCIDX(45328,45153,,"SPX")&lt;/Q&gt;&lt;R&gt;1&lt;/R&gt;&lt;C&gt;1&lt;/C&gt;&lt;D xsi:type="xsd:double"&gt;1.7090256&lt;/D&gt;&lt;/FQL&gt;&lt;FQL&gt;&lt;Q&gt;WCC-US^P_BETA_LOCIDX(45327,45152,,"SPX")&lt;/Q&gt;&lt;R&gt;1&lt;/R&gt;&lt;C&gt;1&lt;/C&gt;&lt;D xsi:type="xsd:double"&gt;1.7046914&lt;/D&gt;&lt;/FQL&gt;&lt;FQL&gt;&lt;Q&gt;WCC-US^P_BETA_LOCIDX(45324,45149,,"SPX")&lt;/Q&gt;&lt;R&gt;1&lt;/R&gt;&lt;C&gt;1&lt;/C&gt;&lt;D xsi:type="xsd:double"&gt;1.6931926&lt;/D&gt;&lt;/FQL&gt;&lt;FQL&gt;&lt;Q&gt;WCC-US^P_BETA_LOCIDX(45323,45148,,"SPX")&lt;/Q&gt;&lt;R&gt;1&lt;/R&gt;&lt;C&gt;1&lt;/C&gt;&lt;D xsi:type="xsd:double"&gt;1.6540444&lt;/D&gt;&lt;/FQL&gt;&lt;FQL&gt;&lt;Q&gt;WCC-US^P_BETA_LOCIDX(45322,45147,,"SPX")&lt;/Q&gt;&lt;R&gt;1&lt;/R&gt;&lt;C&gt;1&lt;/C&gt;&lt;D xsi:type="xsd:double"&gt;1.6571541&lt;/D&gt;&lt;/FQL&gt;&lt;FQL&gt;&lt;Q&gt;WCC-US^P_BETA_LOCIDX(45321,45146,,"SPX")&lt;/Q&gt;&lt;R&gt;1&lt;/R&gt;&lt;C&gt;1&lt;/C&gt;&lt;D xsi:type="xsd:double"&gt;1.6972599&lt;/D&gt;&lt;/FQL&gt;&lt;FQL&gt;&lt;Q&gt;WCC-US^P_BETA_LOCIDX(45320,45145,,"SPX")&lt;/Q&gt;&lt;R&gt;1&lt;/R&gt;&lt;C&gt;1&lt;/C&gt;&lt;D xsi:type="xsd:double"&gt;1.6854326&lt;/D&gt;&lt;/FQL&gt;&lt;FQL&gt;&lt;Q&gt;WCC-US^P_BETA_LOCIDX(45317,45142,,"SPX")&lt;/Q&gt;&lt;R&gt;1&lt;/R&gt;&lt;C&gt;1&lt;/C&gt;&lt;D xsi:type="xsd:double"&gt;1.6737379&lt;/D&gt;&lt;/FQL&gt;&lt;FQL&gt;&lt;Q&gt;WCC-US^P_BETA_LOCIDX(45316,45141,,"SPX")&lt;/Q&gt;&lt;R&gt;1&lt;/R&gt;&lt;C&gt;1&lt;/C&gt;&lt;D xsi:type="xsd:double"&gt;1.7414317&lt;/D&gt;&lt;/FQL&gt;&lt;FQL&gt;&lt;Q&gt;WCC-US^P_BETA_LOCIDX(45315,45140,,"SPX")&lt;/Q&gt;&lt;R&gt;1&lt;/R&gt;&lt;C&gt;1&lt;/C&gt;&lt;D xsi:type="xsd:double"&gt;1.6924622&lt;/D&gt;&lt;/FQL&gt;&lt;FQL&gt;&lt;Q&gt;WCC-US^P_BETA_LOCIDX(45314,45139,,"SPX")&lt;/Q&gt;&lt;R&gt;1&lt;/R&gt;&lt;C&gt;1&lt;/C&gt;&lt;D xsi:type="xsd:double"&gt;1.6777712&lt;/D&gt;&lt;/FQL&gt;&lt;FQL&gt;&lt;Q&gt;WCC-US^P_BETA_LOCIDX(45313,45138,,"SPX")&lt;/Q&gt;&lt;R&gt;1&lt;/R&gt;&lt;C&gt;1&lt;/C&gt;&lt;D xsi:type="xsd:double"&gt;1.6880931&lt;/D&gt;&lt;/FQL&gt;&lt;FQL&gt;&lt;Q&gt;WCC-US^P_BETA_LOCIDX(45310,45135,,"SPX")&lt;/Q&gt;&lt;R&gt;1&lt;/R&gt;&lt;C&gt;1&lt;/C&gt;&lt;D xsi:type="xsd:double"&gt;1.6842295&lt;/D&gt;&lt;/FQL&gt;&lt;FQL&gt;&lt;Q&gt;WCC-US^P_BETA_LOCIDX(45309,45134,,"SPX")&lt;/Q&gt;&lt;R&gt;1&lt;/R&gt;&lt;C&gt;1&lt;/C&gt;&lt;D xsi:type="xsd:double"&gt;1.6844021&lt;/D&gt;&lt;/FQL&gt;&lt;FQL&gt;&lt;Q&gt;WCC-US^P_BETA_LOCIDX(45308,45133,,"SPX")&lt;/Q&gt;&lt;R&gt;1&lt;/R&gt;&lt;C&gt;1&lt;/C&gt;&lt;D xsi:type="xsd:double"&gt;1.6837982&lt;/D&gt;&lt;/FQL&gt;&lt;FQL&gt;&lt;Q&gt;WCC-US^P_BETA_LOCIDX(45307,45132,,"SPX")&lt;/Q&gt;&lt;R&gt;1&lt;/R&gt;&lt;C&gt;1&lt;/C&gt;&lt;D xsi:type="xsd:double"&gt;1.690024&lt;/D&gt;&lt;/FQL&gt;&lt;FQL&gt;&lt;Q&gt;WCC-US^P_BETA_LOCIDX(45303,45131,,"SPX")&lt;/Q&gt;&lt;R&gt;1&lt;/R&gt;&lt;C&gt;1&lt;/C&gt;&lt;D xsi:type="xsd:double"&gt;1.6916025&lt;/D&gt;&lt;/FQL&gt;&lt;FQL&gt;&lt;Q&gt;WCC-US^P_BETA_LOCIDX(45302,45128,,"SPX")&lt;/Q&gt;&lt;R&gt;1&lt;/R&gt;&lt;C&gt;1&lt;/C&gt;&lt;D xsi:type="xsd:double"&gt;1.692544&lt;/D&gt;&lt;/FQL&gt;&lt;FQL&gt;&lt;Q&gt;WCC-US^P_BETA_LOCIDX(45301,45127,,"SPX")&lt;/Q&gt;&lt;R&gt;1&lt;/R&gt;&lt;C&gt;1&lt;/C&gt;&lt;D xsi:type="xsd:double"&gt;1.6724473&lt;/D&gt;&lt;/FQL&gt;&lt;FQL&gt;&lt;Q&gt;WCC-US^P_BETA_LOCIDX(45300,45126,,"SPX")&lt;/Q&gt;&lt;R&gt;1&lt;/R&gt;&lt;C&gt;1&lt;/C&gt;&lt;D xsi:type="xsd:double"&gt;1.6781824&lt;/D&gt;&lt;/FQL&gt;&lt;FQL&gt;&lt;Q&gt;WCC-US^P_BETA_LOCIDX(45299,45125,,"SPX")&lt;/Q&gt;&lt;R&gt;1&lt;/R&gt;&lt;C&gt;1&lt;/C&gt;&lt;D xsi:type="xsd:double"&gt;1.6896877&lt;/D&gt;&lt;/FQL&gt;&lt;FQL&gt;&lt;Q&gt;WCC-US^P_BETA_LOCIDX(45296,45124,,"SPX")&lt;/Q&gt;&lt;R&gt;1&lt;/R&gt;&lt;C&gt;1&lt;/C&gt;&lt;D xsi:type="xsd:double"&gt;1.6865015&lt;/D&gt;&lt;/FQL&gt;&lt;FQL&gt;&lt;Q&gt;WCC-US^P_BETA_LOCIDX(45295,45121,,"SPX")&lt;/Q&gt;&lt;R&gt;1&lt;/R&gt;&lt;C&gt;1&lt;/C&gt;&lt;D xsi:type="xsd:double"&gt;1.6932716&lt;/D&gt;&lt;/FQL&gt;&lt;FQL&gt;&lt;Q&gt;WCC-US^P_BETA_LOCIDX(45294,45120,,"SPX")&lt;/Q&gt;&lt;R&gt;1&lt;/R&gt;&lt;C&gt;1&lt;/C&gt;&lt;D xsi:type="xsd:double"&gt;1.6810044&lt;/D&gt;&lt;/FQL&gt;&lt;FQL&gt;&lt;Q&gt;WCC-US^P_BETA_LOCIDX(45293,45119,,"SPX")&lt;/Q&gt;&lt;R&gt;1&lt;/R&gt;&lt;C&gt;1&lt;/C&gt;&lt;D xsi:type="xsd:double"&gt;1.6455889&lt;/D&gt;&lt;/FQL&gt;&lt;FQL&gt;&lt;Q&gt;WCC-US^P_BETA_LOCIDX(45289,45118,,"SPX")&lt;/Q&gt;&lt;R&gt;1&lt;/R&gt;&lt;C&gt;1&lt;/C&gt;&lt;D xsi:type="xsd:double"&gt;1.6235046&lt;/D&gt;&lt;/FQL&gt;&lt;FQL&gt;&lt;Q&gt;WCC-US^P_BETA_LOCIDX(45288,45117,,"SPX")&lt;/Q&gt;&lt;R&gt;1&lt;/R&gt;&lt;C&gt;1&lt;/C&gt;&lt;D xsi:type="xsd:double"&gt;1.622979&lt;/D&gt;&lt;/FQL&gt;&lt;FQL&gt;&lt;Q&gt;WCC-US^P_BETA_LOCIDX(45287,45114,,"SPX")&lt;/Q&gt;&lt;R&gt;1&lt;/R&gt;&lt;C&gt;1&lt;/C&gt;&lt;D xsi:type="xsd:double"&gt;1.6104934&lt;/D&gt;&lt;/FQL&gt;&lt;FQL&gt;&lt;Q&gt;WCC-US^P_BETA_LOCIDX(45286,45113,,"SPX")&lt;/Q&gt;&lt;R&gt;1&lt;/R&gt;&lt;C&gt;1&lt;/C&gt;&lt;D xsi:type="xsd:double"&gt;1.6048583&lt;/D&gt;&lt;/FQL&gt;&lt;FQL&gt;&lt;Q&gt;WCC-US^P_BETA_LOCIDX(45282,45112,,"SPX")&lt;/Q&gt;&lt;R&gt;1&lt;/R&gt;&lt;C&gt;1&lt;/C&gt;&lt;D xsi:type="xsd:double"&gt;1.6088413&lt;/D&gt;&lt;/FQL&gt;&lt;FQL&gt;&lt;Q&gt;WCC-US^P_BETA_LOCIDX(45281,45110,,"SPX")&lt;/Q&gt;&lt;R&gt;1&lt;/R&gt;&lt;C&gt;1&lt;/C&gt;&lt;D xsi:type="xsd:double"&gt;1.6077386&lt;/D&gt;&lt;/FQL&gt;&lt;FQL&gt;&lt;Q&gt;WCC-US^P_BETA_LOCIDX(45280,45107,,"SPX")&lt;/Q&gt;&lt;R&gt;1&lt;/R&gt;&lt;C&gt;1&lt;/C&gt;&lt;D xsi:type="xsd:double"&gt;1.6032727&lt;/D&gt;&lt;/FQL&gt;&lt;FQL&gt;&lt;Q&gt;WCC-US^P_BETA_LOCIDX(45279,45106,,"SPX")&lt;/Q&gt;&lt;R&gt;1&lt;/R&gt;&lt;C&gt;1&lt;/C&gt;&lt;D xsi:type="xsd:double"&gt;1.6010846&lt;/D&gt;&lt;/FQL&gt;&lt;FQL&gt;&lt;Q&gt;WCC-US^P_BETA_LOCIDX(45278,45105,,"SPX")&lt;/Q&gt;&lt;R&gt;1&lt;/R&gt;&lt;C&gt;1&lt;/C&gt;&lt;D xsi:type="xsd:double"&gt;1.598762&lt;/D&gt;&lt;/FQL&gt;&lt;FQL&gt;&lt;Q&gt;WCC-US^P_BETA_LOCIDX(45275,45104,,"SPX")&lt;/Q&gt;&lt;R&gt;1&lt;/R&gt;&lt;C&gt;1&lt;/C&gt;&lt;D xsi:type="xsd:double"&gt;1.6401561&lt;/D&gt;&lt;/FQL&gt;&lt;FQL&gt;&lt;Q&gt;WCC-US^P_BETA_LOCIDX(45274,45103,,"SPX")&lt;/Q&gt;&lt;R&gt;1&lt;/R&gt;&lt;C&gt;1&lt;/C&gt;&lt;D xsi:type="xsd:double"&gt;1.6375538&lt;/D&gt;&lt;/FQL&gt;&lt;FQL&gt;&lt;Q&gt;WCC-US^P_BETA_LOCIDX(45273,45100,,"SPX")&lt;/Q&gt;&lt;R&gt;1&lt;/R&gt;&lt;C&gt;1&lt;/C&gt;&lt;D xsi:type="xsd:double"&gt;1.6063048&lt;/D&gt;&lt;/FQL&gt;&lt;FQL&gt;&lt;Q&gt;WCC-US^P_BETA_LOCIDX(45272,45099,,"SPX")&lt;/Q&gt;&lt;R&gt;1&lt;/R&gt;&lt;C&gt;1&lt;/C&gt;&lt;D xsi:type="xsd:double"&gt;1.5966922&lt;/D&gt;&lt;/FQL&gt;&lt;FQL&gt;&lt;Q&gt;WCC-US^P_BETA_LOCIDX(45271,45098,,"SPX")&lt;/Q&gt;&lt;R&gt;1&lt;/R&gt;&lt;C&gt;1&lt;/C&gt;&lt;D xsi:type="xsd:double"&gt;1.5737329&lt;/D&gt;&lt;/FQL&gt;&lt;FQL&gt;&lt;Q&gt;WCC-US^P_BETA_LOCIDX(45268,45097,,"SPX")&lt;/Q&gt;&lt;R&gt;1&lt;/R&gt;&lt;C&gt;1&lt;/C&gt;&lt;D xsi:type="xsd:double"&gt;1.541886&lt;/D&gt;&lt;/FQL&gt;&lt;FQL&gt;&lt;Q&gt;WCC-US^P_BETA_LOCIDX(45267,45093,,"SPX")&lt;/Q&gt;&lt;R&gt;1&lt;/R&gt;&lt;C&gt;1&lt;/C&gt;&lt;D xsi:type="xsd:double"&gt;1.5315527&lt;/D&gt;&lt;/FQL&gt;&lt;FQL&gt;&lt;Q&gt;WCC-US^P_BETA_LOCIDX(45266,45092,,"SPX")&lt;/Q&gt;&lt;R&gt;1&lt;/R&gt;&lt;C&gt;1&lt;/C&gt;&lt;D xsi:type="xsd:double"&gt;1.5630767&lt;/D&gt;&lt;/FQL&gt;&lt;FQL&gt;&lt;Q&gt;WCC-US^P_BETA_LOCIDX(45265,45091,,"SPX")&lt;/Q&gt;&lt;R&gt;1&lt;/R&gt;&lt;C&gt;1&lt;/C&gt;&lt;D xsi:type="xsd:double"&gt;1.5597894&lt;/D&gt;&lt;/FQL&gt;&lt;FQL&gt;&lt;Q&gt;WCC-US^P_BETA_LOCIDX(45264,45090,,"SPX")&lt;/Q&gt;&lt;R&gt;1&lt;/R&gt;&lt;C&gt;1&lt;/C&gt;&lt;D xsi:type="xsd:double"&gt;1.5794802&lt;/D&gt;&lt;/FQL&gt;&lt;FQL&gt;&lt;Q&gt;WCC-US^P_BETA_LOCIDX(45261,45089,,"SPX")&lt;/Q&gt;&lt;R&gt;1&lt;/R&gt;&lt;C&gt;1&lt;/C&gt;&lt;D xsi:type="xsd:double"&gt;1.6229706&lt;/D&gt;&lt;/FQL&gt;&lt;FQL&gt;&lt;Q&gt;WCC-US^P_BETA_LOCIDX(45260,45086,,"SPX")&lt;/Q&gt;&lt;R&gt;1&lt;/R&gt;&lt;C&gt;1&lt;/C&gt;&lt;D xsi:type="xsd:double"&gt;1.5954448&lt;/D&gt;&lt;/FQL&gt;&lt;FQL&gt;&lt;Q&gt;WCC-US^P_BETA_LOCIDX(45259,45085,,"SPX")&lt;/Q&gt;&lt;R&gt;1&lt;/R&gt;&lt;C&gt;1&lt;/C&gt;&lt;D xsi:type="xsd:double"&gt;1.5995214&lt;/D&gt;&lt;/FQL&gt;&lt;FQL&gt;&lt;Q&gt;WCC-US^P_BETA_LOCIDX(45258,45084,,"SPX")&lt;/Q&gt;&lt;R&gt;1&lt;/R&gt;&lt;C&gt;1&lt;/C&gt;&lt;D xsi:type="xsd:double"&gt;1.5796561&lt;/D&gt;&lt;/FQL&gt;&lt;FQL&gt;&lt;Q&gt;WCC-US^P_BETA_LOCIDX(45257,45083,,"SPX")&lt;/Q&gt;&lt;R&gt;1&lt;/R&gt;&lt;C&gt;1&lt;/C&gt;&lt;D xsi:type="xsd:double"&gt;1.5810101&lt;/D&gt;&lt;/FQL&gt;&lt;FQL&gt;&lt;Q&gt;WCC-US^P_BETA_LOCIDX(45254,45082,,"SPX")&lt;/Q&gt;&lt;R&gt;1&lt;/R&gt;&lt;C&gt;1&lt;/C&gt;&lt;D xsi:type="xsd:double"&gt;1.5760828&lt;/D&gt;&lt;/FQL&gt;&lt;FQL&gt;&lt;Q&gt;WCC-US^P_BETA_LOCIDX(45252,45079,,"SPX")&lt;/Q&gt;&lt;R&gt;1&lt;/R&gt;&lt;C&gt;1&lt;/C&gt;&lt;D xsi:type="xsd:double"&gt;1.6762348&lt;/D&gt;&lt;/FQL&gt;&lt;FQL&gt;&lt;Q&gt;WCC-US^P_BETA_LOCIDX(45251,45078,,"SPX")&lt;/Q&gt;&lt;R&gt;1&lt;/R&gt;&lt;C&gt;1&lt;/C&gt;&lt;D xsi:type="xsd:double"&gt;1.6451375&lt;/D&gt;&lt;/FQL&gt;&lt;FQL&gt;&lt;Q&gt;WCC-US^P_BETA_LOCIDX(45250,45077,,"SPX")&lt;/Q&gt;&lt;R&gt;1&lt;/R&gt;&lt;C&gt;1&lt;/C&gt;&lt;D xsi:type="xsd:double"&gt;1.6785958&lt;/D&gt;&lt;/FQL&gt;&lt;FQL&gt;&lt;Q&gt;WCC-US^P_BETA_LOCIDX(45247,45076,,"SPX")&lt;/Q&gt;&lt;R&gt;1&lt;/R&gt;&lt;C&gt;1&lt;/C&gt;&lt;D xsi:type="xsd:double"&gt;1.6820108&lt;/D&gt;&lt;/FQL&gt;&lt;FQL&gt;&lt;Q&gt;WCC-US^P_BETA_LOCIDX(45246,45072,,"SPX")&lt;/Q&gt;&lt;R&gt;1&lt;/R&gt;&lt;C&gt;1&lt;/C&gt;&lt;D xsi:type="xsd:double"&gt;1.8045517&lt;/D&gt;&lt;/FQL&gt;&lt;FQL&gt;&lt;Q&gt;WCC-US^P_BETA_LOCIDX(45245,45071,,"SPX")&lt;/Q&gt;&lt;R&gt;1&lt;/R&gt;&lt;C&gt;1&lt;/C&gt;&lt;D xsi:type="xsd:double"&gt;1.8387979&lt;/D&gt;&lt;/FQL&gt;&lt;FQL&gt;&lt;Q&gt;WCC-US^P_BETA_LOCIDX(45244,45070,,"SPX")&lt;/Q&gt;&lt;R&gt;1&lt;/R&gt;&lt;C&gt;1&lt;/C&gt;&lt;D xsi:type="xsd:double"&gt;1.8493631&lt;/D&gt;&lt;/FQL&gt;&lt;FQL&gt;&lt;Q&gt;WCC-US^P_BETA_LOCIDX(45243,45069,,"SPX")&lt;/Q&gt;&lt;R&gt;1&lt;/R&gt;&lt;C&gt;1&lt;/C&gt;&lt;D xsi:type="xsd:double"&gt;1.8043741&lt;/D&gt;&lt;/FQL&gt;&lt;FQL&gt;&lt;Q&gt;WCC-US^P_BETA_LOCIDX(45240,45068,,"SPX")&lt;/Q&gt;&lt;R&gt;1&lt;/R&gt;&lt;C&gt;1&lt;/C&gt;&lt;D xsi:type="xsd:double"&gt;1.8041105&lt;/D&gt;&lt;/FQL&gt;&lt;FQL&gt;&lt;Q&gt;WCC-US^P_BETA_LOCIDX(45239,45065,,"SPX")&lt;/Q&gt;&lt;R&gt;1&lt;/R&gt;&lt;C&gt;1&lt;/C&gt;&lt;D xsi:type="xsd:double"&gt;1.807517&lt;/D&gt;&lt;/FQL&gt;&lt;FQL&gt;&lt;Q&gt;WCC-US^P_BETA_LOCIDX(45238,45064,,"SPX")&lt;/Q&gt;&lt;R&gt;1&lt;/R&gt;&lt;C&gt;1&lt;/C&gt;&lt;D xsi:type="xsd:double"&gt;1.8480996&lt;/D&gt;&lt;/FQL&gt;&lt;FQL&gt;&lt;Q&gt;WCC-US^P_BETA_LOCIDX(45237,45063,,"SPX")&lt;/Q&gt;&lt;R&gt;1&lt;/R&gt;&lt;C&gt;1&lt;/C&gt;&lt;D xsi:type="xsd:double"&gt;1.8691112&lt;/D&gt;&lt;/FQL&gt;&lt;FQL&gt;&lt;Q&gt;WCC-US^P_BETA_LOCIDX(45236,45062,,"SPX")&lt;/Q&gt;&lt;R&gt;1&lt;/R&gt;&lt;C&gt;1&lt;/C&gt;&lt;D xsi:type="xsd:double"&gt;1.8937944&lt;/D&gt;&lt;/FQL&gt;&lt;FQL&gt;&lt;Q&gt;WCC-US^P_BETA_LOCIDX(45233,45061,,"SPX")&lt;/Q&gt;&lt;R&gt;1&lt;/R&gt;&lt;C&gt;1&lt;/C&gt;&lt;D xsi:type="xsd:double"&gt;1.9077023&lt;/D&gt;&lt;/FQL&gt;&lt;FQL&gt;&lt;Q&gt;WCC-US^P_BETA_LOCIDX(45232,45058,,"SPX")&lt;/Q&gt;&lt;R&gt;1&lt;/R&gt;&lt;C&gt;1&lt;/C&gt;&lt;D xsi:type="xsd:double"&gt;1.8645067&lt;/D&gt;&lt;/FQL&gt;&lt;FQL&gt;&lt;Q&gt;WCC-US^P_BETA_LOCIDX(45231,45057,,"SPX")&lt;/Q&gt;&lt;R&gt;1&lt;/R&gt;&lt;C&gt;1&lt;/C&gt;&lt;D xsi:type="xsd:double"&gt;1.8602515&lt;/D&gt;&lt;/FQL&gt;&lt;FQL&gt;&lt;Q&gt;WCC-US^P_BETA_LOCIDX(45230,45056,,"SPX")&lt;/Q&gt;&lt;R&gt;1&lt;/R&gt;&lt;C&gt;1&lt;/C&gt;&lt;D xsi:type="xsd:double"&gt;1.8409919&lt;/D&gt;&lt;/FQL&gt;&lt;FQL&gt;&lt;Q&gt;WCC-US^P_BETA_LOCIDX(45229,45055,,"SPX")&lt;/Q&gt;&lt;R&gt;1&lt;/R&gt;&lt;C&gt;1&lt;/C&gt;&lt;D xsi:type="xsd:double"&gt;1.8412148&lt;/D&gt;&lt;/FQL&gt;&lt;FQL&gt;&lt;Q&gt;WCC-US^P_BETA_LOCIDX(45226,45054,,"SPX")&lt;/Q&gt;&lt;R&gt;1&lt;/R&gt;&lt;C&gt;1&lt;/C&gt;&lt;D xsi:type="xsd:double"&gt;1.8512112&lt;/D&gt;&lt;/FQL&gt;&lt;FQL&gt;&lt;Q&gt;WCC-US^P_BETA_LOCIDX(45225,45051,,"SPX")&lt;/Q&gt;&lt;R&gt;1&lt;/R&gt;&lt;C&gt;1&lt;/C&gt;&lt;D xsi:type="xsd:double"&gt;1.9191358&lt;/D&gt;&lt;/FQL&gt;&lt;FQL&gt;&lt;Q&gt;WCC-US^P_BETA_LOCIDX(45224,45050,,"SPX")&lt;/Q&gt;&lt;R&gt;1&lt;/R&gt;&lt;C&gt;1&lt;/C&gt;&lt;D xsi:type="xsd:double"&gt;2.1571434&lt;/D&gt;&lt;/FQL&gt;&lt;FQL&gt;&lt;Q&gt;WCC-US^P_BETA_LOCIDX(45223,45049,,"SPX")&lt;/Q&gt;&lt;R&gt;1&lt;/R&gt;&lt;C&gt;1&lt;/C&gt;&lt;D xsi:type="xsd:double"&gt;2.1640768&lt;/D&gt;&lt;/FQL&gt;&lt;FQL&gt;&lt;Q&gt;WCC-US^P_BETA_LOCIDX(45222,45048,,"SPX")&lt;/Q&gt;&lt;R&gt;1&lt;/R&gt;&lt;C&gt;1&lt;/C&gt;&lt;D xsi:type="xsd:double"&gt;2.1353972&lt;/D&gt;&lt;/FQL&gt;&lt;FQL&gt;&lt;Q&gt;WCC-US^P_BETA_LOCIDX(45219,45047,,"SPX")&lt;/Q&gt;&lt;R&gt;1&lt;/R&gt;&lt;C&gt;1&lt;/C&gt;&lt;D xsi:type="xsd:double"&gt;2.137464&lt;/D&gt;&lt;/FQL&gt;&lt;FQL&gt;&lt;Q&gt;WCC-US^P_BETA_LOCIDX(45218,45044,,"SPX")&lt;/Q&gt;&lt;R&gt;1&lt;/R&gt;&lt;C&gt;1&lt;/C&gt;&lt;D xsi:type="xsd:double"&gt;2.1035128&lt;/D&gt;&lt;/FQL&gt;&lt;FQL&gt;&lt;Q&gt;WCC-US^P_BETA_LOCIDX(45217,45043,,"SPX")&lt;/Q&gt;&lt;R&gt;1&lt;/R&gt;&lt;C&gt;1&lt;/C&gt;&lt;D xsi:type="xsd:double"&gt;2.1171117&lt;/D&gt;&lt;/FQL&gt;&lt;FQL&gt;&lt;Q&gt;WCC-US^P_BETA_LOCIDX(45216,45042,,"SPX")&lt;/Q&gt;&lt;R&gt;1&lt;/R&gt;&lt;C&gt;1&lt;/C&gt;&lt;D xsi:type="xsd:double"&gt;2.1033545&lt;/D&gt;&lt;/FQL&gt;&lt;FQL&gt;&lt;Q&gt;WCC-US^P_BETA_LOCIDX(45215,45041,,"SPX")&lt;/Q&gt;&lt;R&gt;1&lt;/R&gt;&lt;C&gt;1&lt;/C&gt;&lt;D xsi:type="xsd:double"&gt;2.038653&lt;/D&gt;&lt;/FQL&gt;&lt;FQL&gt;&lt;Q&gt;WCC-US^P_BETA_LOCIDX(45212,45040,,"SPX")&lt;/Q&gt;&lt;R&gt;1&lt;/R&gt;&lt;C&gt;1&lt;/C&gt;&lt;D xsi:type="xsd:double"&gt;2.0223825&lt;/D&gt;&lt;/FQL&gt;&lt;FQL&gt;&lt;Q&gt;WCC-US^P_BETA_LOCIDX(45211,45037,,"SPX")&lt;/Q&gt;&lt;R&gt;1&lt;/R&gt;&lt;C&gt;1&lt;/C&gt;&lt;D xsi:type="xsd:double"&gt;1.964159&lt;/D&gt;&lt;/FQL&gt;&lt;FQL&gt;&lt;Q&gt;WCC-US^P_BETA_LOCIDX(45210,45036,,"SPX")&lt;/Q&gt;&lt;R&gt;1&lt;/R&gt;&lt;C&gt;1&lt;/C&gt;&lt;D xsi:type="xsd:double"&gt;1.9423143&lt;/D&gt;&lt;/FQL&gt;&lt;FQL&gt;&lt;Q&gt;WCC-US^P_BETA_LOCIDX(45209,45035,,"SPX")&lt;/Q&gt;&lt;R&gt;1&lt;/R&gt;&lt;C&gt;1&lt;/C&gt;&lt;D xsi:type="xsd:double"&gt;1.9435756&lt;/D&gt;&lt;/FQL&gt;&lt;FQL&gt;&lt;Q&gt;WCC-US^P_BETA_LOCIDX(45208,45034,,"SPX")&lt;/Q&gt;&lt;R&gt;1&lt;/R&gt;&lt;C&gt;1&lt;/C&gt;&lt;D xsi:type="xsd:double"&gt;1.9588950999999999&lt;/D&gt;&lt;/FQL&gt;&lt;FQL&gt;&lt;Q&gt;WCC-US^P_BETA_LOCIDX(45205,45033,,"SPX")&lt;/Q&gt;&lt;R&gt;1&lt;/R&gt;&lt;C&gt;1&lt;/C&gt;&lt;D xsi:type="xsd:double"&gt;1.9589059&lt;/D&gt;&lt;/FQL&gt;&lt;FQL&gt;&lt;Q&gt;WCC-US^P_BETA_LOCIDX(45204,45030,,"SPX")&lt;/Q&gt;&lt;R&gt;1&lt;/R&gt;&lt;C&gt;1&lt;/C&gt;&lt;D xsi:type="xsd:double"&gt;1.9246159&lt;/D&gt;&lt;/FQL&gt;&lt;FQL&gt;&lt;Q&gt;WCC-US^P_BETA_LOCIDX(45203,45029,,"SPX")&lt;/Q&gt;&lt;R&gt;1&lt;/R&gt;&lt;C&gt;1&lt;/C&gt;&lt;D xsi:type="xsd:double"&gt;1.87492&lt;/D&gt;&lt;/FQL&gt;&lt;FQL&gt;&lt;Q&gt;WCC-US^P_BETA_LOCIDX(45202,45028,,"SPX")&lt;/Q&gt;&lt;R&gt;1&lt;/R&gt;&lt;C&gt;1&lt;/C&gt;&lt;D xsi:type="xsd:double"&gt;1.8628178&lt;/D&gt;&lt;/FQL&gt;&lt;FQL&gt;&lt;Q&gt;WCC-US^P_BETA_LOCIDX(45201,45027,,"SPX")&lt;/Q&gt;&lt;R&gt;1&lt;/R&gt;&lt;C&gt;1&lt;/C&gt;&lt;D xsi:type="xsd:double"&gt;1.8664862&lt;/D&gt;&lt;/FQL&gt;&lt;FQL&gt;&lt;Q&gt;WCC-US^P_BETA_LOCIDX(45198,45026,,"SPX")&lt;/Q&gt;&lt;R&gt;1&lt;/R&gt;&lt;C&gt;1&lt;/C&gt;&lt;D xsi:type="xsd:double"&gt;1.8676258&lt;/D&gt;&lt;/FQL&gt;&lt;FQL&gt;&lt;Q&gt;WCC-US^P_BETA_LOCIDX(45197,45022,,"SPX")&lt;/Q&gt;&lt;R&gt;1&lt;/R&gt;&lt;C&gt;1&lt;/C&gt;&lt;D xsi:type="xsd:double"&gt;1.8415409&lt;/D&gt;&lt;/FQL&gt;&lt;FQL&gt;&lt;Q&gt;WCC-US^P_BETA_LOCIDX(45196,45021,,"SPX")&lt;/Q&gt;&lt;R&gt;1&lt;/R&gt;&lt;C&gt;1&lt;/C&gt;&lt;D xsi:type="xsd:double"&gt;1.8572952&lt;/D&gt;&lt;/FQL&gt;&lt;FQL&gt;&lt;Q&gt;WCC-US^P_BETA_LOCIDX(45195,45020,,"SPX")&lt;/Q&gt;&lt;R&gt;1&lt;/R&gt;&lt;C&gt;1&lt;/C&gt;&lt;D xsi:type="xsd:double"&gt;1.9068215&lt;/D&gt;&lt;/FQL&gt;&lt;FQL&gt;&lt;Q&gt;WCC-US^P_BETA_LOCIDX(45194,45019,,"SPX")&lt;/Q&gt;&lt;R&gt;1&lt;/R&gt;&lt;C&gt;1&lt;/C&gt;&lt;D xsi:type="xsd:double"&gt;1.9501717&lt;/D&gt;&lt;/FQL&gt;&lt;FQL&gt;&lt;Q&gt;WCC-US^P_BETA_LOCIDX(45191,45016,,"SPX")&lt;/Q&gt;&lt;R&gt;1&lt;/R&gt;&lt;C&gt;1&lt;/C&gt;&lt;D xsi:type="xsd:double"&gt;1.9468123&lt;/D&gt;&lt;/FQL&gt;&lt;FQL&gt;&lt;Q&gt;WCC-US^P_BETA_LOCIDX(45190,45015,,"SPX")&lt;/Q&gt;&lt;R&gt;1&lt;/R&gt;&lt;C&gt;1&lt;/C&gt;&lt;D xsi:type="xsd:double"&gt;1.9550394&lt;/D&gt;&lt;/FQL&gt;&lt;FQL&gt;&lt;Q&gt;WCC-US^P_BETA_LOCIDX(45189,45014,,"SPX")&lt;/Q&gt;&lt;R&gt;1&lt;/R&gt;&lt;C&gt;1&lt;/C&gt;&lt;D xsi:type="xsd:double"&gt;1.9992335&lt;/D&gt;&lt;/FQL&gt;&lt;FQL&gt;&lt;Q&gt;WCC-US^P_BETA_LOCIDX(45188,45013,,"SPX")&lt;/Q&gt;&lt;R&gt;1&lt;/R&gt;&lt;C&gt;1&lt;/C&gt;&lt;D xsi:type="xsd:double"&gt;2.0067482&lt;/D&gt;&lt;/FQL&gt;&lt;FQL&gt;&lt;Q&gt;WCC-US^P_BETA_LOCIDX(45187,45012,,"SPX")&lt;/Q&gt;&lt;R&gt;1&lt;/R&gt;&lt;C&gt;1&lt;/C&gt;&lt;D xsi:type="xsd:double"&gt;2.007151&lt;/D&gt;&lt;/FQL&gt;&lt;FQL&gt;&lt;Q&gt;WCC-US^P_BETA_LOCIDX(45184,45009,,"SPX")&lt;/Q&gt;&lt;R&gt;1&lt;/R&gt;&lt;C&gt;1&lt;/C&gt;&lt;D xsi:type="xsd:double"&gt;1.9843323&lt;/D&gt;&lt;/FQL&gt;&lt;FQL&gt;&lt;Q&gt;WCC-US^P_BETA_LOCIDX(45183,45008,,"SPX")&lt;/Q&gt;&lt;R&gt;1&lt;/R&gt;&lt;C&gt;1&lt;/C&gt;&lt;D xsi:type="xsd:double"&gt;2.0016801&lt;/D&gt;&lt;/FQL&gt;&lt;FQL&gt;&lt;Q&gt;WCC-US^P_BETA_LOCIDX(45182,45007,,"SPX")&lt;/Q&gt;&lt;R&gt;1&lt;/R&gt;&lt;C&gt;1&lt;/C&gt;&lt;D xsi:type="xsd:double"&gt;1.9810277&lt;/D&gt;&lt;/FQL&gt;&lt;FQL&gt;&lt;Q&gt;WCC-US^P_BETA_LOCIDX(45181,45006,,"SPX")&lt;/Q&gt;&lt;R&gt;1&lt;/R&gt;&lt;C&gt;1&lt;/C&gt;&lt;D xsi:type="xsd:double"&gt;2.0127194&lt;/D&gt;&lt;/FQL&gt;&lt;FQL&gt;&lt;Q&gt;WCC-US^P_BETA_LOCIDX(45180,45005,,"SPX")&lt;/Q&gt;&lt;R&gt;1&lt;/R&gt;&lt;C&gt;1&lt;/C&gt;&lt;D xsi:type="xsd:double"&gt;2.0308905&lt;/D&gt;&lt;/FQL&gt;&lt;FQL&gt;&lt;Q&gt;WCC-US^P_BETA_LOCIDX(45177,45002,,"SPX")&lt;/Q&gt;&lt;R&gt;1&lt;/R&gt;&lt;C&gt;1&lt;/C&gt;&lt;D xsi:type="xsd:double"&gt;2.1152394&lt;/D&gt;&lt;/FQL&gt;&lt;FQL&gt;&lt;Q&gt;WCC-US^P_BETA_LOCIDX(45176,45001,,"SPX")&lt;/Q&gt;&lt;R&gt;1&lt;/R&gt;&lt;C&gt;1&lt;/C&gt;&lt;D xsi:type="xsd:double"&gt;2.0715446&lt;/D&gt;&lt;/FQL&gt;&lt;FQL&gt;&lt;Q&gt;WCC-US^P_BETA_LOCIDX(45175,45000,,"SPX")&lt;/Q&gt;&lt;R&gt;1&lt;/R&gt;&lt;C&gt;1&lt;/C&gt;&lt;D xsi:type="xsd:double"&gt;2.1314683&lt;/D&gt;&lt;/FQL&gt;&lt;FQL&gt;&lt;Q&gt;WCC-US^P_BETA_LOCIDX(45174,44999,,"SPX")&lt;/Q&gt;&lt;R&gt;1&lt;/R&gt;&lt;C&gt;1&lt;/C&gt;&lt;D xsi:type="xsd:double"&gt;2.1340115&lt;/D&gt;&lt;/FQL&gt;&lt;FQL&gt;&lt;Q&gt;WCC-US^P_BETA_LOCIDX(45170,44998,,"SPX")&lt;/Q&gt;&lt;R&gt;1&lt;/R&gt;&lt;C&gt;1&lt;/C&gt;&lt;D xsi:type="xsd:double"&gt;2.1252644&lt;/D&gt;&lt;/FQL&gt;&lt;FQL&gt;&lt;Q&gt;WCC-US^P_BETA_LOCIDX(45169,44995,,"SPX")&lt;/Q&gt;&lt;R&gt;1&lt;/R&gt;&lt;C&gt;1&lt;/C&gt;&lt;D xsi:type="xsd:double"&gt;2.1539865&lt;/D&gt;&lt;/FQL&gt;&lt;FQL&gt;&lt;Q&gt;WCC-US^P_BETA_LOCIDX(45168,44994,,"SPX")&lt;/Q&gt;&lt;R&gt;1&lt;/R&gt;&lt;C&gt;1&lt;/C&gt;&lt;D xsi:type="xsd:double"&gt;2.13536&lt;/D&gt;&lt;/FQL&gt;&lt;FQL&gt;&lt;Q&gt;WCC-US^P_BETA_LOCIDX(45167,44993,,"SPX")&lt;/Q&gt;&lt;R&gt;1&lt;/R&gt;&lt;C&gt;1&lt;/C&gt;&lt;D xsi:type="xsd:double"&gt;2.136146&lt;/D&gt;&lt;/FQL&gt;&lt;FQL&gt;&lt;Q&gt;WCC-US^P_BETA_LOCIDX(45166,44992,,"SPX")&lt;/Q&gt;&lt;R&gt;1&lt;/R&gt;&lt;C&gt;1&lt;/C&gt;&lt;D xsi:type="xsd:double"&gt;2.097113&lt;/D&gt;&lt;/FQL&gt;&lt;FQL&gt;&lt;Q&gt;WCC-US^P_BETA_LOCIDX(45163,44991,,"SPX")&lt;/Q&gt;&lt;R&gt;1&lt;/R&gt;&lt;C&gt;1&lt;/C&gt;&lt;D xsi:type="xsd:double"&gt;2.0892348&lt;/D&gt;&lt;/FQL&gt;&lt;FQL&gt;&lt;Q&gt;WCC-US^P_BETA_LOCIDX(45162,44988,,"SPX")&lt;/Q&gt;&lt;R&gt;1&lt;/R&gt;&lt;C&gt;1&lt;/C&gt;&lt;D xsi:type="xsd:double"&gt;2.0648448&lt;/D&gt;&lt;/FQL&gt;&lt;FQL&gt;&lt;Q&gt;WCC-US^P_BETA_LOCIDX(45161,44987,,"SPX")&lt;/Q&gt;&lt;R&gt;1&lt;/R&gt;&lt;C&gt;1&lt;/C&gt;&lt;D xsi:type="xsd:double"&gt;2.110988&lt;/D&gt;&lt;/FQL&gt;&lt;FQL&gt;&lt;Q&gt;WCC-US^P_BETA_LOCIDX(45160,44986,,"SPX")&lt;/Q&gt;&lt;R&gt;1&lt;/R&gt;&lt;C&gt;1&lt;/C&gt;&lt;D xsi:type="xsd:double"&gt;2.0912251&lt;/D&gt;&lt;/FQL&gt;&lt;FQL&gt;&lt;Q&gt;WCC-US^P_BETA_LOCIDX(45159,44985,,"SPX")&lt;/Q&gt;&lt;R&gt;1&lt;/R&gt;&lt;C&gt;1&lt;/C&gt;&lt;D xsi:type="xsd:double"&gt;2.0907264&lt;/D&gt;&lt;/FQL&gt;&lt;FQL&gt;&lt;Q&gt;WCC-US^P_BETA_LOCIDX(45156,44984,,"SPX")&lt;/Q&gt;&lt;R&gt;1&lt;/R&gt;&lt;C&gt;1&lt;/C&gt;&lt;D xsi:type="xsd:double"&gt;2.0984337&lt;/D&gt;&lt;/FQL&gt;&lt;FQL&gt;&lt;Q&gt;WCC-US^P_BETA_LOCIDX(45155,44981,,"SPX")&lt;/Q&gt;&lt;R&gt;1&lt;/R&gt;&lt;C&gt;1&lt;/C&gt;&lt;D xsi:type="xsd:double"&gt;2.0556612&lt;/D&gt;&lt;/FQL&gt;&lt;FQL&gt;&lt;Q&gt;WCC-US^P_BETA_LOCIDX(45154,44980,,"SPX")&lt;/Q&gt;&lt;R&gt;1&lt;/R&gt;&lt;C&gt;1&lt;/C&gt;&lt;D xsi:type="xsd:double"&gt;2.055278&lt;/D&gt;&lt;/FQL&gt;&lt;FQL&gt;&lt;Q&gt;WCC-US^P_BETA_LOCIDX(45153,44979,,"SPX")&lt;/Q&gt;&lt;R&gt;1&lt;/R&gt;&lt;C&gt;1&lt;/C&gt;&lt;D xsi:type="xsd:double"&gt;2.0540476&lt;/D&gt;&lt;/FQL&gt;&lt;FQL&gt;&lt;Q&gt;WCC-US^P_BETA_LOCIDX(45152,44978,,"SPX")&lt;/Q&gt;&lt;R&gt;1&lt;/R&gt;&lt;C&gt;1&lt;/C&gt;&lt;D xsi:type="xsd:double"&gt;2.0555143&lt;/D&gt;&lt;/FQL&gt;&lt;FQL&gt;&lt;Q&gt;WCC-US^P_BETA_LOCIDX(45149,44974,,"SPX")&lt;/Q&gt;&lt;R&gt;1&lt;/R&gt;&lt;C&gt;1&lt;/C&gt;&lt;D xsi:type="xsd:double"&gt;2.0616927&lt;/D&gt;&lt;/FQL&gt;&lt;FQL&gt;&lt;Q&gt;WCC-US^P_BETA_LOCIDX(45148,44973,,"SPX")&lt;/Q&gt;&lt;R&gt;1&lt;/R&gt;&lt;C&gt;1&lt;/C&gt;&lt;D xsi:type="xsd:double"&gt;2.0137956&lt;/D&gt;&lt;/FQL&gt;&lt;FQL&gt;&lt;Q&gt;WCC-US^P_BETA_LOCIDX(45147,44972,,"SPX")&lt;/Q&gt;&lt;R&gt;1&lt;/R&gt;&lt;C&gt;1&lt;/C&gt;&lt;D xsi:type="xsd:double"&gt;2.023725&lt;/D&gt;&lt;/FQL&gt;&lt;FQL&gt;&lt;Q&gt;WCC-US^P_BETA_LOCIDX(45146,44971,,"SPX")&lt;/Q&gt;&lt;R&gt;1&lt;/R&gt;&lt;C&gt;1&lt;/C&gt;&lt;D xsi:type="xsd:double"&gt;2.0223136&lt;/D&gt;&lt;/FQL&gt;&lt;FQL&gt;&lt;Q&gt;WCC-US^P_BETA_LOCIDX(45145,44970,,"SPX")&lt;/Q&gt;&lt;R&gt;1&lt;/R&gt;&lt;C&gt;1&lt;/C&gt;&lt;D xsi:type="xsd:double"&gt;2.0317395&lt;/D&gt;&lt;/FQL&gt;&lt;FQL&gt;&lt;Q&gt;WCC-US^P_BETA_LOCIDX(45142,44967,,"SPX")&lt;/Q&gt;&lt;R&gt;1&lt;/R&gt;&lt;C&gt;1&lt;/C&gt;&lt;D xsi:type="xsd:double"&gt;2.0445108&lt;/D&gt;&lt;/FQL&gt;&lt;FQL&gt;&lt;Q&gt;WCC-US^P_BETA_LOCIDX(45141,44966,,"SPX")&lt;/Q&gt;&lt;R&gt;1&lt;/R&gt;&lt;C&gt;1&lt;/C&gt;&lt;D xsi:type="xsd:double"&gt;2.0522823&lt;/D&gt;&lt;/FQL&gt;&lt;FQL&gt;&lt;Q&gt;WCC-US^P_BETA_LOCIDX(45140,44965,,"SPX")&lt;/Q&gt;&lt;R&gt;1&lt;/R&gt;&lt;C&gt;1&lt;/C&gt;&lt;D xsi:type="xsd:double"&gt;1.9862854&lt;/D&gt;&lt;/FQL&gt;&lt;FQL&gt;&lt;Q&gt;WCC-US^P_BETA_LOCIDX(45139,44964,,"SPX")&lt;/Q&gt;&lt;R&gt;1&lt;/R&gt;&lt;C&gt;1&lt;/C&gt;&lt;D xsi:type="xsd:double"&gt;2.0032747&lt;/D&gt;&lt;/FQL&gt;&lt;FQL&gt;&lt;Q&gt;WCC-US^P_BETA_LOCIDX(45138,44963,,"SPX")&lt;/Q&gt;&lt;R&gt;1&lt;/R&gt;&lt;C&gt;1&lt;/C&gt;&lt;D xsi:type="xsd:double"&gt;2.0071626&lt;/D&gt;&lt;/FQL&gt;&lt;FQL&gt;&lt;Q&gt;WCC-US^P_BETA_LOCIDX(45135,44960,,"SPX")&lt;/Q&gt;&lt;R&gt;1&lt;/R&gt;&lt;C&gt;1&lt;/C&gt;&lt;D xsi:type="xsd:double"&gt;1.9700154&lt;/D&gt;&lt;/FQL&gt;&lt;FQL&gt;&lt;Q&gt;WCC-US^P_BETA_LOCIDX(45134,44959,,"SPX")&lt;/Q&gt;&lt;R&gt;1&lt;/R&gt;&lt;C&gt;1&lt;/C&gt;&lt;D xsi:type="xsd:double"&gt;1.9315196&lt;/D&gt;&lt;/FQL&gt;&lt;FQL&gt;&lt;Q&gt;WCC-US^P_BETA_LOCIDX(45133,44958,,"SPX")&lt;/Q&gt;&lt;R&gt;1&lt;/R&gt;&lt;C&gt;1&lt;/C&gt;&lt;D xsi:type="xsd:double"&gt;1.9380558&lt;/D&gt;&lt;/FQL&gt;&lt;FQL&gt;&lt;Q&gt;WCC-US^P_BETA_LOCIDX(45132,44957,,"SPX")&lt;/Q&gt;&lt;R&gt;1&lt;/R&gt;&lt;C&gt;1&lt;/C&gt;&lt;D xsi:type="xsd:double"&gt;1.9434353&lt;/D&gt;&lt;/FQL&gt;&lt;FQL&gt;&lt;Q&gt;WCC-US^P_BETA_LOCIDX(45131,44956,,"SPX")&lt;/Q&gt;&lt;R&gt;1&lt;/R&gt;&lt;C&gt;1&lt;/C&gt;&lt;D xsi:type="xsd:double"&gt;1.9195852&lt;/D&gt;&lt;/FQL&gt;&lt;FQL&gt;&lt;Q&gt;WCC-US^P_BETA_LOCIDX(45128,44953,,"SPX")&lt;/Q&gt;&lt;R&gt;1&lt;/R&gt;&lt;C&gt;1&lt;/C&gt;&lt;D xsi:type="xsd:double"&gt;1.9235423&lt;/D&gt;&lt;/FQL&gt;&lt;FQL&gt;&lt;Q&gt;WCC-US^P_BETA_LOCIDX(45127,44952,,"SPX")&lt;/Q&gt;&lt;R&gt;1&lt;/R&gt;&lt;C&gt;1&lt;/C&gt;&lt;D xsi:type="xsd:double"&gt;1.9343851&lt;/D&gt;&lt;/FQL&gt;&lt;FQL&gt;&lt;Q&gt;WCC-US^P_BETA_LOCIDX(45126,44951,,"SPX")&lt;/Q&gt;&lt;R&gt;1&lt;/R&gt;&lt;C&gt;1&lt;/C&gt;&lt;D xsi:type="xsd:double"&gt;1.9513998&lt;/D&gt;&lt;/FQL&gt;&lt;FQL&gt;&lt;Q&gt;WCC-US^P_BETA_LOCIDX(45125,44950,,"SPX")&lt;/Q&gt;&lt;R&gt;1&lt;/R&gt;&lt;C&gt;1&lt;/C&gt;&lt;D xsi:type="xsd:double"&gt;1.952389&lt;/D&gt;&lt;/FQL&gt;&lt;FQL&gt;&lt;Q&gt;WCC-US^P_BETA_LOCIDX(45124,44949,,"SPX")&lt;/Q&gt;&lt;R&gt;1&lt;/R&gt;&lt;C&gt;1&lt;/C&gt;&lt;D xsi:type="xsd:double"&gt;1.9359599&lt;/D&gt;&lt;/FQL&gt;&lt;FQL&gt;&lt;Q&gt;WCC-US^P_BETA_LOCIDX(45121,44946,,"SPX")&lt;/Q&gt;&lt;R&gt;1&lt;/R&gt;&lt;C&gt;1&lt;/C&gt;&lt;D xsi:type="xsd:double"&gt;1.9265252&lt;/D&gt;&lt;/FQL&gt;&lt;FQL&gt;&lt;Q&gt;WCC-US^P_BETA_LOCIDX(45120,44945,,"SPX")&lt;/Q&gt;&lt;R&gt;1&lt;/R&gt;&lt;C&gt;1&lt;/C&gt;&lt;D xsi:type="xsd:double"&gt;1.919092&lt;/D&gt;&lt;/FQL&gt;&lt;FQL&gt;&lt;Q&gt;WCC-US^P_BETA_LOCIDX(45119,44944,,"SPX")&lt;/Q&gt;&lt;R&gt;1&lt;/R&gt;&lt;C&gt;1&lt;/C&gt;&lt;D xsi:type="xsd:double"&gt;1.9117513&lt;/D&gt;&lt;/FQL&gt;&lt;FQL&gt;&lt;Q&gt;WCC-US^P_BETA_LOCIDX(45118,44943,,"SPX")&lt;/Q&gt;&lt;R&gt;1&lt;/R&gt;&lt;C&gt;1&lt;/C&gt;&lt;D xsi:type="xsd:double"&gt;1.9260995&lt;/D&gt;&lt;/FQL&gt;&lt;FQL&gt;&lt;Q&gt;WCC-US^P_BETA_LOCIDX(45117,44939,,"SPX")&lt;/Q&gt;&lt;R&gt;1&lt;/R&gt;&lt;C&gt;1&lt;/C&gt;&lt;D xsi:type="xsd:double"&gt;1.9461884&lt;/D&gt;&lt;/FQL&gt;&lt;FQL&gt;&lt;Q&gt;WCC-US^P_BETA_LOCIDX(45114,44938,,"SPX")&lt;/Q&gt;&lt;R&gt;1&lt;/R&gt;&lt;C&gt;1&lt;/C&gt;&lt;D xsi:type="xsd:double"&gt;1.9433488&lt;/D&gt;&lt;/FQL&gt;&lt;FQL&gt;&lt;Q&gt;WCC-US^P_BETA_LOCIDX(45113,44937,,"SPX")&lt;/Q&gt;&lt;R&gt;1&lt;/R&gt;&lt;C&gt;1&lt;/C&gt;&lt;D xsi:type="xsd:double"&gt;1.9089596&lt;/D&gt;&lt;/FQL&gt;&lt;FQL&gt;&lt;Q&gt;WCC-US^P_BETA_LOCIDX(45112,44936,,"SPX")&lt;/Q&gt;&lt;R&gt;1&lt;/R&gt;&lt;C&gt;1&lt;/C&gt;&lt;D xsi:type="xsd:double"&gt;1.9264615&lt;/D&gt;&lt;/FQL&gt;&lt;FQL&gt;&lt;Q&gt;WCC-US^P_BETA_LOCIDX(45110,44935,,"SPX")&lt;/Q&gt;&lt;R&gt;1&lt;/R&gt;&lt;C&gt;1&lt;/C&gt;&lt;D xsi:type="xsd:double"&gt;1.9216737&lt;/D&gt;&lt;/FQL&gt;&lt;FQL&gt;&lt;Q&gt;WCC-US^P_BETA_LOCIDX(45107,44932,,"SPX")&lt;/Q&gt;&lt;R&gt;1&lt;/R&gt;&lt;C&gt;1&lt;/C&gt;&lt;D xsi:type="xsd:double"&gt;1.9023348&lt;/D&gt;&lt;/FQL&gt;&lt;FQL&gt;&lt;Q&gt;WCC-US^P_BETA_LOCIDX(45106,44931,,"SPX")&lt;/Q&gt;&lt;R&gt;1&lt;/R&gt;&lt;C&gt;1&lt;/C&gt;&lt;D xsi:type="xsd:double"&gt;1.9026833&lt;/D&gt;&lt;/FQL&gt;&lt;FQL&gt;&lt;Q&gt;WCC-US^P_BETA_LOCIDX(45105,44930,,"SPX")&lt;/Q&gt;&lt;R&gt;1&lt;/R&gt;&lt;C&gt;1&lt;/C&gt;&lt;D xsi:type="xsd:double"&gt;1.9141237&lt;/D&gt;&lt;/FQL&gt;&lt;FQL&gt;&lt;Q&gt;WCC-US^P_BETA_LOCIDX(45104,44929,,"SPX")&lt;/Q&gt;&lt;R&gt;1&lt;/R&gt;&lt;C&gt;1&lt;/C&gt;&lt;D xsi:type="xsd:double"&gt;1.9150168&lt;/D&gt;&lt;/FQL&gt;&lt;FQL&gt;&lt;Q&gt;WCC-US^P_BETA_LOCIDX(45103,44925,,"SPX")&lt;/Q&gt;&lt;R&gt;1&lt;/R&gt;&lt;C&gt;1&lt;/C&gt;&lt;D xsi:type="xsd:double"&gt;1.8932759&lt;/D&gt;&lt;/FQL&gt;&lt;FQL&gt;&lt;Q&gt;WCC-US^P_BETA_LOCIDX(45100,44924,,"SPX")&lt;/Q&gt;&lt;R&gt;1&lt;/R&gt;&lt;C&gt;1&lt;/C&gt;&lt;D xsi:type="xsd:double"&gt;1.8994136&lt;/D&gt;&lt;/FQL&gt;&lt;FQL&gt;&lt;Q&gt;WCC-US^P_BETA_LOCIDX(45099,44923,,"SPX")&lt;/Q&gt;&lt;R&gt;1&lt;/R&gt;&lt;C&gt;1&lt;/C&gt;&lt;D xsi:type="xsd:double"&gt;1.9279418&lt;/D&gt;&lt;/FQL&gt;&lt;FQL&gt;&lt;Q&gt;WCC-US^P_BETA_LOCIDX(45098,44922,,"SPX")&lt;/Q&gt;&lt;R&gt;1&lt;/R&gt;&lt;C&gt;1&lt;/C&gt;&lt;D xsi:type="xsd:double"&gt;1.931753&lt;/D&gt;&lt;/FQL&gt;&lt;FQL&gt;&lt;Q&gt;WCC-US^P_BETA_LOCIDX(45097,44918,,"SPX")&lt;/Q&gt;&lt;R&gt;1&lt;/R&gt;&lt;C&gt;1&lt;/C&gt;&lt;D xsi:type="xsd:double"&gt;1.9520773&lt;/D&gt;&lt;/FQL&gt;&lt;FQL&gt;&lt;Q&gt;WCC-US^P_BETA_LOCIDX(45093,44917,,"SPX")&lt;/Q&gt;&lt;R&gt;1&lt;/R&gt;&lt;C&gt;1&lt;/C&gt;&lt;D xsi:type="xsd:double"&gt;1.9696364&lt;/D&gt;&lt;/FQL&gt;&lt;FQL&gt;&lt;Q&gt;WCC-US^P_BETA_LOCIDX(45092,44916,,"SPX")&lt;/Q&gt;&lt;R&gt;1&lt;/R&gt;&lt;C&gt;1&lt;/C&gt;&lt;D xsi:type="xsd:double"&gt;1.9696586&lt;/D&gt;&lt;/FQL&gt;&lt;FQL&gt;&lt;Q&gt;WCC-US^P_BETA_LOCIDX(45091,44915,,"SPX")&lt;/Q&gt;&lt;R&gt;1&lt;/R&gt;&lt;C&gt;1&lt;/C&gt;&lt;D xsi:type="xsd:double"&gt;1.9659022&lt;/D&gt;&lt;/FQL&gt;&lt;FQL&gt;&lt;Q&gt;WCC-US^P_BETA_LOCIDX(45090,44914,,"SPX")&lt;/Q&gt;&lt;R&gt;1&lt;/R&gt;&lt;C&gt;1&lt;/C&gt;&lt;D xsi:type="xsd:double"&gt;1.9378608&lt;/D&gt;&lt;/FQL&gt;&lt;FQL&gt;&lt;Q&gt;WCC-US^P_BETA_LOCIDX(45089,44911,,"SPX")&lt;/Q&gt;&lt;R&gt;1&lt;/R&gt;&lt;C&gt;1&lt;/C&gt;&lt;D xsi:type="xsd:double"&gt;1.91214&lt;/D&gt;&lt;/FQL&gt;&lt;FQL&gt;&lt;Q&gt;WCC-US^P_BETA_LOCIDX(45086,44910,,"SPX")&lt;/Q&gt;&lt;R&gt;1&lt;/R&gt;&lt;C&gt;1&lt;/C&gt;&lt;D xsi:type="xsd:double"&gt;1.8868089&lt;/D&gt;&lt;/FQL&gt;&lt;FQL&gt;&lt;Q&gt;WCC-US^P_BETA_LOCIDX(45085,44909,,"SPX")&lt;/Q&gt;&lt;R&gt;1&lt;/R&gt;&lt;C&gt;1&lt;/C&gt;&lt;D xsi:type="xsd:double"&gt;1.8887457&lt;/D&gt;&lt;/FQL&gt;&lt;FQL&gt;&lt;Q&gt;WCC-US^P_BETA_LOCIDX(45084,44908,,"SPX")&lt;/Q&gt;&lt;R&gt;1&lt;/R&gt;&lt;C&gt;1&lt;/C&gt;&lt;D xsi:type="xsd:double"&gt;1.8982009&lt;/D&gt;&lt;/FQL&gt;&lt;FQL&gt;&lt;Q&gt;WCC-US^P_BETA_LOCIDX(45083,44907,,"SPX")&lt;/Q&gt;&lt;R&gt;1&lt;/R&gt;&lt;C&gt;1&lt;/C&gt;&lt;D xsi:type="xsd:double"&gt;1.9095367&lt;/D&gt;&lt;/FQL&gt;&lt;FQL&gt;&lt;Q&gt;WCC-US^P_BETA_LOCIDX(45082,44904,,"SPX")&lt;/Q&gt;&lt;R&gt;1&lt;/R&gt;&lt;C&gt;1&lt;/C&gt;&lt;D xsi:type="xsd:double"&gt;1.911761&lt;/D&gt;&lt;/FQL&gt;&lt;FQL&gt;&lt;Q&gt;WCC-US^P_BETA_LOCIDX(45079,44903,,"SPX")&lt;/Q&gt;&lt;R&gt;1&lt;/R&gt;&lt;C&gt;1&lt;/C&gt;&lt;D xsi:type="xsd:double"&gt;1.9077495&lt;/D&gt;&lt;/FQL&gt;&lt;FQL&gt;&lt;Q&gt;WCC-US^P_BETA_LOCIDX(45078,44902,,"SPX")&lt;/Q&gt;&lt;R&gt;1&lt;/R&gt;&lt;C&gt;1&lt;/C&gt;&lt;D xsi:type="xsd:double"&gt;1.8503926&lt;/D&gt;&lt;/FQL&gt;&lt;FQL&gt;&lt;Q&gt;WCC-US^P_BETA_LOCIDX(45077,44901,,"SPX")&lt;/Q&gt;&lt;R&gt;1&lt;/R&gt;&lt;C&gt;1&lt;/C&gt;&lt;D xsi:type="xsd:double"&gt;1.842809&lt;/D&gt;&lt;/FQL&gt;&lt;FQL&gt;&lt;Q&gt;WCC-US^P_BETA_LOCIDX(45076,44900,,"SPX")&lt;/Q&gt;&lt;R&gt;1&lt;/R&gt;&lt;C&gt;1&lt;/C&gt;&lt;D xsi:type="xsd:double"&gt;1.8487883&lt;/D&gt;&lt;/FQL&gt;&lt;FQL&gt;&lt;Q&gt;WCC-US^P_BETA_LOCIDX(45072,44897,,"SPX")&lt;/Q&gt;&lt;R&gt;1&lt;/R&gt;&lt;C&gt;1&lt;/C&gt;&lt;D xsi:type="xsd:double"&gt;1.8478295&lt;/D&gt;&lt;/FQL&gt;&lt;FQL&gt;&lt;Q&gt;WCC-US^P_BETA_LOCIDX(45071,44896,,"SPX")&lt;/Q&gt;&lt;R&gt;1&lt;/R&gt;&lt;C&gt;1&lt;/C&gt;&lt;D xsi:type="xsd:double"&gt;1.7745007&lt;/D&gt;&lt;/FQL&gt;&lt;FQL&gt;&lt;Q&gt;WCC-US^P_BETA_LOCIDX(45070,44895,,"SPX")&lt;/Q&gt;&lt;R&gt;1&lt;/R&gt;&lt;C&gt;1&lt;/C&gt;&lt;D xsi:type="xsd:double"&gt;1.6763213&lt;/D&gt;&lt;/FQL&gt;&lt;FQL&gt;&lt;Q&gt;WCC-US^P_BETA_LOCIDX(45069,44894,,"SPX")&lt;/Q&gt;&lt;R&gt;1&lt;/R&gt;&lt;C&gt;1&lt;/C&gt;&lt;D xsi:type="xsd:double"&gt;1.6676526&lt;/D&gt;&lt;/FQL&gt;&lt;FQL&gt;&lt;Q&gt;WCC-US^P_BETA_LOCIDX(45068,44893,,"SPX")&lt;/Q&gt;&lt;R&gt;1&lt;/R&gt;&lt;C&gt;1&lt;/C&gt;&lt;D xsi:type="xsd:double"&gt;1.6646744&lt;/D&gt;&lt;/FQL&gt;&lt;FQL&gt;&lt;Q&gt;WCC-US^P_BETA_LOCIDX(45065,44890,,"SPX")&lt;/Q&gt;&lt;R&gt;1&lt;/R&gt;&lt;C&gt;1&lt;/C&gt;&lt;D xsi:type="xsd:double"&gt;1.6642668&lt;/D&gt;&lt;/FQL&gt;&lt;FQL&gt;&lt;Q&gt;WCC-US^P_BETA_LOCIDX(45064,44888,,"SPX")&lt;/Q&gt;&lt;R&gt;1&lt;/R&gt;&lt;C&gt;1&lt;/C&gt;&lt;D xsi:type="xsd:double"&gt;1.6571298&lt;/D&gt;&lt;/FQL&gt;&lt;FQL&gt;&lt;Q&gt;WCC-US^P_BETA_LOCIDX(45063,44887,,"SPX")&lt;/Q&gt;&lt;R&gt;1&lt;/R&gt;&lt;C&gt;1&lt;/C&gt;&lt;D xsi:type="xsd:double"&gt;1.6377918&lt;/D&gt;&lt;/FQL&gt;&lt;FQL&gt;&lt;Q&gt;WCC-US^P_BETA_LOCIDX(45062,44886,,"SPX")&lt;/Q&gt;&lt;R&gt;1&lt;/R&gt;&lt;C&gt;1&lt;/C&gt;&lt;D xsi:type="xsd:double"&gt;1.6259799&lt;/D&gt;&lt;/FQL&gt;&lt;FQL&gt;&lt;Q&gt;WCC-US^P_BETA_LOCIDX(45061,44883,,"SPX"</t>
        </r>
      </text>
    </comment>
    <comment ref="A33" authorId="0" shapeId="0" xr:uid="{83DCE9B7-AE22-47D5-ABAC-710475245110}">
      <text>
        <r>
          <rPr>
            <b/>
            <sz val="9"/>
            <color indexed="81"/>
            <rFont val="Tahoma"/>
            <family val="2"/>
          </rPr>
          <t>)&lt;/Q&gt;&lt;R&gt;1&lt;/R&gt;&lt;C&gt;1&lt;/C&gt;&lt;D xsi:type="xsd:double"&gt;1.618477&lt;/D&gt;&lt;/FQL&gt;&lt;FQL&gt;&lt;Q&gt;WCC-US^P_BETA_LOCIDX(45058,44882,,"SPX")&lt;/Q&gt;&lt;R&gt;1&lt;/R&gt;&lt;C&gt;1&lt;/C&gt;&lt;D xsi:type="xsd:double"&gt;1.6203225&lt;/D&gt;&lt;/FQL&gt;&lt;FQL&gt;&lt;Q&gt;WCC-US^P_BETA_LOCIDX(45057,44881,,"SPX")&lt;/Q&gt;&lt;R&gt;1&lt;/R&gt;&lt;C&gt;1&lt;/C&gt;&lt;D xsi:type="xsd:double"&gt;1.6133829&lt;/D&gt;&lt;/FQL&gt;&lt;FQL&gt;&lt;Q&gt;WCC-US^P_BETA_LOCIDX(45056,44880,,"SPX")&lt;/Q&gt;&lt;R&gt;1&lt;/R&gt;&lt;C&gt;1&lt;/C&gt;&lt;D xsi:type="xsd:double"&gt;1.5909281&lt;/D&gt;&lt;/FQL&gt;&lt;FQL&gt;&lt;Q&gt;WCC-US^P_BETA_LOCIDX(45055,44879,,"SPX")&lt;/Q&gt;&lt;R&gt;1&lt;/R&gt;&lt;C&gt;1&lt;/C&gt;&lt;D xsi:type="xsd:double"&gt;1.5911845&lt;/D&gt;&lt;/FQL&gt;&lt;FQL&gt;&lt;Q&gt;WCC-US^P_BETA_LOCIDX(45054,44876,,"SPX")&lt;/Q&gt;&lt;R&gt;1&lt;/R&gt;&lt;C&gt;1&lt;/C&gt;&lt;D xsi:type="xsd:double"&gt;1.616066&lt;/D&gt;&lt;/FQL&gt;&lt;FQL&gt;&lt;Q&gt;WCC-US^P_BETA_LOCIDX(45051,44875,,"SPX")&lt;/Q&gt;&lt;R&gt;1&lt;/R&gt;&lt;C&gt;1&lt;/C&gt;&lt;D xsi:type="xsd:double"&gt;1.4810784&lt;/D&gt;&lt;/FQL&gt;&lt;FQL&gt;&lt;Q&gt;WCC-US^P_BETA_LOCIDX(45050,44874,,"SPX")&lt;/Q&gt;&lt;R&gt;1&lt;/R&gt;&lt;C&gt;1&lt;/C&gt;&lt;D xsi:type="xsd:double"&gt;1.4213935&lt;/D&gt;&lt;/FQL&gt;&lt;FQL&gt;&lt;Q&gt;WCC-US^P_BETA_LOCIDX(45049,44873,,"SPX")&lt;/Q&gt;&lt;R&gt;1&lt;/R&gt;&lt;C&gt;1&lt;/C&gt;&lt;D xsi:type="xsd:double"&gt;1.3574107&lt;/D&gt;&lt;/FQL&gt;&lt;FQL&gt;&lt;Q&gt;WCC-US^P_BETA_LOCIDX(45048,44872,,"SPX")&lt;/Q&gt;&lt;R&gt;1&lt;/R&gt;&lt;C&gt;1&lt;/C&gt;&lt;D xsi:type="xsd:double"&gt;1.3567587&lt;/D&gt;&lt;/FQL&gt;&lt;FQL&gt;&lt;Q&gt;WCC-US^P_BETA_LOCIDX(45047,44869,,"SPX")&lt;/Q&gt;&lt;R&gt;1&lt;/R&gt;&lt;C&gt;1&lt;/C&gt;&lt;D xsi:type="xsd:double"&gt;1.3754481&lt;/D&gt;&lt;/FQL&gt;&lt;FQL&gt;&lt;Q&gt;WCC-US^P_BETA_LOCIDX(45044,44868,,"SPX")&lt;/Q&gt;&lt;R&gt;1&lt;/R&gt;&lt;C&gt;1&lt;/C&gt;&lt;D xsi:type="xsd:double"&gt;1.472733&lt;/D&gt;&lt;/FQL&gt;&lt;FQL&gt;&lt;Q&gt;WCC-US^P_BETA_LOCIDX(45043,44867,,"SPX")&lt;/Q&gt;&lt;R&gt;1&lt;/R&gt;&lt;C&gt;1&lt;/C&gt;&lt;D xsi:type="xsd:double"&gt;1.4503804&lt;/D&gt;&lt;/FQL&gt;&lt;FQL&gt;&lt;Q&gt;WCC-US^P_BETA_LOCIDX(45042,44866,,"SPX")&lt;/Q&gt;&lt;R&gt;1&lt;/R&gt;&lt;C&gt;1&lt;/C&gt;&lt;D xsi:type="xsd:double"&gt;1.4254376&lt;/D&gt;&lt;/FQL&gt;&lt;FQL&gt;&lt;Q&gt;WCC-US^P_BETA_LOCIDX(45041,44865,,"SPX")&lt;/Q&gt;&lt;R&gt;1&lt;/R&gt;&lt;C&gt;1&lt;/C&gt;&lt;D xsi:type="xsd:double"&gt;1.4128673&lt;/D&gt;&lt;/FQL&gt;&lt;FQL&gt;&lt;Q&gt;WCC-US^P_BETA_LOCIDX(45040,44862,,"SPX")&lt;/Q&gt;&lt;R&gt;1&lt;/R&gt;&lt;C&gt;1&lt;/C&gt;&lt;D xsi:type="xsd:double"&gt;1.416481&lt;/D&gt;&lt;/FQL&gt;&lt;FQL&gt;&lt;Q&gt;WCC-US^P_BETA_LOCIDX(45037,44861,,"SPX")&lt;/Q&gt;&lt;R&gt;1&lt;/R&gt;&lt;C&gt;1&lt;/C&gt;&lt;D xsi:type="xsd:double"&gt;1.4123266&lt;/D&gt;&lt;/FQL&gt;&lt;FQL&gt;&lt;Q&gt;WCC-US^P_BETA_LOCIDX(45036,44860,,"SPX")&lt;/Q&gt;&lt;R&gt;1&lt;/R&gt;&lt;C&gt;1&lt;/C&gt;&lt;D xsi:type="xsd:double"&gt;1.4053743&lt;/D&gt;&lt;/FQL&gt;&lt;FQL&gt;&lt;Q&gt;WCC-US^P_BETA_LOCIDX(45035,44859,,"SPX")&lt;/Q&gt;&lt;R&gt;1&lt;/R&gt;&lt;C&gt;1&lt;/C&gt;&lt;D xsi:type="xsd:double"&gt;1.4090972&lt;/D&gt;&lt;/FQL&gt;&lt;FQL&gt;&lt;Q&gt;WCC-US^P_BETA_LOCIDX(45034,44858,,"SPX")&lt;/Q&gt;&lt;R&gt;1&lt;/R&gt;&lt;C&gt;1&lt;/C&gt;&lt;D xsi:type="xsd:double"&gt;1.4167728&lt;/D&gt;&lt;/FQL&gt;&lt;FQL&gt;&lt;Q&gt;WCC-US^P_BETA_LOCIDX(45033,44855,,"SPX")&lt;/Q&gt;&lt;R&gt;1&lt;/R&gt;&lt;C&gt;1&lt;/C&gt;&lt;D xsi:type="xsd:double"&gt;1.4382976&lt;/D&gt;&lt;/FQL&gt;&lt;FQL&gt;&lt;Q&gt;WCC-US^P_BETA_LOCIDX(45030,44854,,"SPX")&lt;/Q&gt;&lt;R&gt;1&lt;/R&gt;&lt;C&gt;1&lt;/C&gt;&lt;D xsi:type="xsd:double"&gt;1.4458628&lt;/D&gt;&lt;/FQL&gt;&lt;FQL&gt;&lt;Q&gt;WCC-US^P_BETA_LOCIDX(45029,44853,,"SPX")&lt;/Q&gt;&lt;R&gt;1&lt;/R&gt;&lt;C&gt;1&lt;/C&gt;&lt;D xsi:type="xsd:double"&gt;1.4526018&lt;/D&gt;&lt;/FQL&gt;&lt;FQL&gt;&lt;Q&gt;WCC-US^P_BETA_LOCIDX(45028,44852,,"SPX")&lt;/Q&gt;&lt;R&gt;1&lt;/R&gt;&lt;C&gt;1&lt;/C&gt;&lt;D xsi:type="xsd:double"&gt;1.4684048&lt;/D&gt;&lt;/FQL&gt;&lt;FQL&gt;&lt;Q&gt;WCC-US^P_BETA_LOCIDX(45027,44851,,"SPX")&lt;/Q&gt;&lt;R&gt;1&lt;/R&gt;&lt;C&gt;1&lt;/C&gt;&lt;D xsi:type="xsd:double"&gt;1.4986299&lt;/D&gt;&lt;/FQL&gt;&lt;FQL&gt;&lt;Q&gt;WCC-US^P_BETA_LOCIDX(45026,44848,,"SPX")&lt;/Q&gt;&lt;R&gt;1&lt;/R&gt;&lt;C&gt;1&lt;/C&gt;&lt;D xsi:type="xsd:double"&gt;1.5305703&lt;/D&gt;&lt;/FQL&gt;&lt;FQL&gt;&lt;Q&gt;WCC-US^P_BETA_LOCIDX(45022,44847,,"SPX")&lt;/Q&gt;&lt;R&gt;1&lt;/R&gt;&lt;C&gt;1&lt;/C&gt;&lt;D xsi:type="xsd:double"&gt;1.5245754&lt;/D&gt;&lt;/FQL&gt;&lt;FQL&gt;&lt;Q&gt;WCC-US^P_BETA_LOCIDX(45021,44846,,"SPX")&lt;/Q&gt;&lt;R&gt;1&lt;/R&gt;&lt;C&gt;1&lt;/C&gt;&lt;D xsi:type="xsd:double"&gt;1.5312843&lt;/D&gt;&lt;/FQL&gt;&lt;FQL&gt;&lt;Q&gt;WCC-US^P_BETA_LOCIDX(45020,44845,,"SPX")&lt;/Q&gt;&lt;R&gt;1&lt;/R&gt;&lt;C&gt;1&lt;/C&gt;&lt;D xsi:type="xsd:double"&gt;1.5236155&lt;/D&gt;&lt;/FQL&gt;&lt;FQL&gt;&lt;Q&gt;WCC-US^P_BETA_LOCIDX(45019,44844,,"SPX")&lt;/Q&gt;&lt;R&gt;1&lt;/R&gt;&lt;C&gt;1&lt;/C&gt;&lt;D xsi:type="xsd:double"&gt;1.5039951&lt;/D&gt;&lt;/FQL&gt;&lt;FQL&gt;&lt;Q&gt;WCC-US^P_BETA_LOCIDX(45016,44841,,"SPX")&lt;/Q&gt;&lt;R&gt;1&lt;/R&gt;&lt;C&gt;1&lt;/C&gt;&lt;D xsi:type="xsd:double"&gt;1.4889733&lt;/D&gt;&lt;/FQL&gt;&lt;FQL&gt;&lt;Q&gt;WCC-US^P_BETA_LOCIDX(45015,44840,,"SPX")&lt;/Q&gt;&lt;R&gt;1&lt;/R&gt;&lt;C&gt;1&lt;/C&gt;&lt;D xsi:type="xsd:double"&gt;1.489588&lt;/D&gt;&lt;/FQL&gt;&lt;FQL&gt;&lt;Q&gt;WCC-US^P_BETA_LOCIDX(45014,44839,,"SPX")&lt;/Q&gt;&lt;R&gt;1&lt;/R&gt;&lt;C&gt;1&lt;/C&gt;&lt;D xsi:type="xsd:double"&gt;1.4870148&lt;/D&gt;&lt;/FQL&gt;&lt;FQL&gt;&lt;Q&gt;WCC-US^P_BETA_LOCIDX(45013,44838,,"SPX")&lt;/Q&gt;&lt;R&gt;1&lt;/R&gt;&lt;C&gt;1&lt;/C&gt;&lt;D xsi:type="xsd:double"&gt;1.4882637&lt;/D&gt;&lt;/FQL&gt;&lt;FQL&gt;&lt;Q&gt;WCC-US^P_BETA_LOCIDX(45012,44837,,"SPX")&lt;/Q&gt;&lt;R&gt;1&lt;/R&gt;&lt;C&gt;1&lt;/C&gt;&lt;D xsi:type="xsd:double"&gt;1.4784985&lt;/D&gt;&lt;/FQL&gt;&lt;FQL&gt;&lt;Q&gt;WCC-US^P_BETA_LOCIDX(45009,44834,,"SPX")&lt;/Q&gt;&lt;R&gt;1&lt;/R&gt;&lt;C&gt;1&lt;/C&gt;&lt;D xsi:type="xsd:double"&gt;1.4468031&lt;/D&gt;&lt;/FQL&gt;&lt;FQL&gt;&lt;Q&gt;WCC-US^P_BETA_LOCIDX(45008,44833,,"SPX")&lt;/Q&gt;&lt;R&gt;1&lt;/R&gt;&lt;C&gt;1&lt;/C&gt;&lt;D xsi:type="xsd:double"&gt;1.4413968&lt;/D&gt;&lt;/FQL&gt;&lt;FQL&gt;&lt;Q&gt;WCC-US^P_BETA_LOCIDX(45007,44832,,"SPX")&lt;/Q&gt;&lt;R&gt;1&lt;/R&gt;&lt;C&gt;1&lt;/C&gt;&lt;D xsi:type="xsd:double"&gt;1.4478362&lt;/D&gt;&lt;/FQL&gt;&lt;FQL&gt;&lt;Q&gt;WCC-US^P_BETA_LOCIDX(45006,44831,,"SPX")&lt;/Q&gt;&lt;R&gt;1&lt;/R&gt;&lt;C&gt;1&lt;/C&gt;&lt;D xsi:type="xsd:double"&gt;1.4436017&lt;/D&gt;&lt;/FQL&gt;&lt;FQL&gt;&lt;Q&gt;WCC-US^P_BETA_LOCIDX(45005,44830,,"SPX")&lt;/Q&gt;&lt;R&gt;1&lt;/R&gt;&lt;C&gt;1&lt;/C&gt;&lt;D xsi:type="xsd:double"&gt;1.4412363&lt;/D&gt;&lt;/FQL&gt;&lt;FQL&gt;&lt;Q&gt;WCC-US^P_BETA_LOCIDX(45002,44827,,"SPX")&lt;/Q&gt;&lt;R&gt;1&lt;/R&gt;&lt;C&gt;1&lt;/C&gt;&lt;D xsi:type="xsd:double"&gt;1.4511727&lt;/D&gt;&lt;/FQL&gt;&lt;FQL&gt;&lt;Q&gt;WCC-US^P_BETA_LOCIDX(45001,44826,,"SPX")&lt;/Q&gt;&lt;R&gt;1&lt;/R&gt;&lt;C&gt;1&lt;/C&gt;&lt;D xsi:type="xsd:double"&gt;1.4388973&lt;/D&gt;&lt;/FQL&gt;&lt;FQL&gt;&lt;Q&gt;WCC-US^P_BETA_LOCIDX(45000,44825,,"SPX")&lt;/Q&gt;&lt;R&gt;1&lt;/R&gt;&lt;C&gt;1&lt;/C&gt;&lt;D xsi:type="xsd:double"&gt;1.4443464&lt;/D&gt;&lt;/FQL&gt;&lt;FQL&gt;&lt;Q&gt;WCC-US^P_BETA_LOCIDX(44999,44824,,"SPX")&lt;/Q&gt;&lt;R&gt;1&lt;/R&gt;&lt;C&gt;1&lt;/C&gt;&lt;D xsi:type="xsd:double"&gt;1.4250302&lt;/D&gt;&lt;/FQL&gt;&lt;FQL&gt;&lt;Q&gt;WCC-US^P_BETA_LOCIDX(44998,44823,,"SPX")&lt;/Q&gt;&lt;R&gt;1&lt;/R&gt;&lt;C&gt;1&lt;/C&gt;&lt;D xsi:type="xsd:double"&gt;1.4311047&lt;/D&gt;&lt;/FQL&gt;&lt;FQL&gt;&lt;Q&gt;WCC-US^P_BETA_LOCIDX(44995,44820,,"SPX")&lt;/Q&gt;&lt;R&gt;1&lt;/R&gt;&lt;C&gt;1&lt;/C&gt;&lt;D xsi:type="xsd:double"&gt;1.4389678&lt;/D&gt;&lt;/FQL&gt;&lt;FQL&gt;&lt;Q&gt;WCC-US^P_BETA_LOCIDX(44994,44819,,"SPX")&lt;/Q&gt;&lt;R&gt;1&lt;/R&gt;&lt;C&gt;1&lt;/C&gt;&lt;D xsi:type="xsd:double"&gt;1.4191524&lt;/D&gt;&lt;/FQL&gt;&lt;FQL&gt;&lt;Q&gt;WCC-US^P_BETA_LOCIDX(44993,44818,,"SPX")&lt;/Q&gt;&lt;R&gt;1&lt;/R&gt;&lt;C&gt;1&lt;/C&gt;&lt;D xsi:type="xsd:double"&gt;1.4056234&lt;/D&gt;&lt;/FQL&gt;&lt;FQL&gt;&lt;Q&gt;WCC-US^P_BETA_LOCIDX(44992,44817,,"SPX")&lt;/Q&gt;&lt;R&gt;1&lt;/R&gt;&lt;C&gt;1&lt;/C&gt;&lt;D xsi:type="xsd:double"&gt;1.3573356&lt;/D&gt;&lt;/FQL&gt;&lt;FQL&gt;&lt;Q&gt;WCC-US^P_BETA_LOCIDX(44991,44816,,"SPX")&lt;/Q&gt;&lt;R&gt;1&lt;/R&gt;&lt;C&gt;1&lt;/C&gt;&lt;D xsi:type="xsd:double"&gt;1.3528812&lt;/D&gt;&lt;/FQL&gt;&lt;FQL&gt;&lt;Q&gt;WCC-US^P_BETA_LOCIDX(44988,44813,,"SPX")&lt;/Q&gt;&lt;R&gt;1&lt;/R&gt;&lt;C&gt;1&lt;/C&gt;&lt;D xsi:type="xsd:double"&gt;1.3678447&lt;/D&gt;&lt;/FQL&gt;&lt;FQL&gt;&lt;Q&gt;WCC-US^P_BETA_LOCIDX(44987,44812,,"SPX")&lt;/Q&gt;&lt;R&gt;1&lt;/R&gt;&lt;C&gt;1&lt;/C&gt;&lt;D xsi:type="xsd:double"&gt;1.3713142&lt;/D&gt;&lt;/FQL&gt;&lt;FQL&gt;&lt;Q&gt;WCC-US^P_BETA_LOCIDX(44986,44811,,"SPX")&lt;/Q&gt;&lt;R&gt;1&lt;/R&gt;&lt;C&gt;1&lt;/C&gt;&lt;D xsi:type="xsd:double"&gt;1.3767757&lt;/D&gt;&lt;/FQL&gt;&lt;FQL&gt;&lt;Q&gt;WCC-US^P_BETA_LOCIDX(44985,44810,,"SPX")&lt;/Q&gt;&lt;R&gt;1&lt;/R&gt;&lt;C&gt;1&lt;/C&gt;&lt;D xsi:type="xsd:double"&gt;1.3783678&lt;/D&gt;&lt;/FQL&gt;&lt;FQL&gt;&lt;Q&gt;WCC-US^P_BETA_LOCIDX(44984,44806,,"SPX")&lt;/Q&gt;&lt;R&gt;1&lt;/R&gt;&lt;C&gt;1&lt;/C&gt;&lt;D xsi:type="xsd:double"&gt;1.3711889&lt;/D&gt;&lt;/FQL&gt;&lt;FQL&gt;&lt;Q&gt;WCC-US^P_BETA_LOCIDX(44981,44805,,"SPX")&lt;/Q&gt;&lt;R&gt;1&lt;/R&gt;&lt;C&gt;1&lt;/C&gt;&lt;D xsi:type="xsd:double"&gt;1.369342&lt;/D&gt;&lt;/FQL&gt;&lt;FQL&gt;&lt;Q&gt;WCC-US^P_BETA_LOCIDX(44980,44804,,"SPX")&lt;/Q&gt;&lt;R&gt;1&lt;/R&gt;&lt;C&gt;1&lt;/C&gt;&lt;D xsi:type="xsd:double"&gt;1.3759687&lt;/D&gt;&lt;/FQL&gt;&lt;FQL&gt;&lt;Q&gt;WCC-US^P_BETA_LOCIDX(44979,44803,,"SPX")&lt;/Q&gt;&lt;R&gt;1&lt;/R&gt;&lt;C&gt;1&lt;/C&gt;&lt;D xsi:type="xsd:double"&gt;1.3858273&lt;/D&gt;&lt;/FQL&gt;&lt;FQL&gt;&lt;Q&gt;WCC-US^P_BETA_LOCIDX(44978,44802,,"SPX")&lt;/Q&gt;&lt;R&gt;1&lt;/R&gt;&lt;C&gt;1&lt;/C&gt;&lt;D xsi:type="xsd:double"&gt;1.381629&lt;/D&gt;&lt;/FQL&gt;&lt;FQL&gt;&lt;Q&gt;WCC-US^P_BETA_LOCIDX(44974,44799,,"SPX")&lt;/Q&gt;&lt;R&gt;1&lt;/R&gt;&lt;C&gt;1&lt;/C&gt;&lt;D xsi:type="xsd:double"&gt;1.3661288&lt;/D&gt;&lt;/FQL&gt;&lt;FQL&gt;&lt;Q&gt;WCC-US^P_BETA_LOCIDX(44973,44798,,"SPX")&lt;/Q&gt;&lt;R&gt;1&lt;/R&gt;&lt;C&gt;1&lt;/C&gt;&lt;D xsi:type="xsd:double"&gt;1.3780086&lt;/D&gt;&lt;/FQL&gt;&lt;FQL&gt;&lt;Q&gt;WCC-US^P_BETA_LOCIDX(44972,44797,,"SPX")&lt;/Q&gt;&lt;R&gt;1&lt;/R&gt;&lt;C&gt;1&lt;/C&gt;&lt;D xsi:type="xsd:double"&gt;1.3862585&lt;/D&gt;&lt;/FQL&gt;&lt;FQL&gt;&lt;Q&gt;WCC-US^P_BETA_LOCIDX(44971,44796,,"SPX")&lt;/Q&gt;&lt;R&gt;1&lt;/R&gt;&lt;C&gt;1&lt;/C&gt;&lt;D xsi:type="xsd:double"&gt;1.3819889&lt;/D&gt;&lt;/FQL&gt;&lt;FQL&gt;&lt;Q&gt;WCC-US^P_BETA_LOCIDX(44970,44795,,"SPX")&lt;/Q&gt;&lt;R&gt;1&lt;/R&gt;&lt;C&gt;1&lt;/C&gt;&lt;D xsi:type="xsd:double"&gt;1.3843073&lt;/D&gt;&lt;/FQL&gt;&lt;FQL&gt;&lt;Q&gt;WCC-US^P_BETA_LOCIDX(44967,44792,,"SPX")&lt;/Q&gt;&lt;R&gt;1&lt;/R&gt;&lt;C&gt;1&lt;/C&gt;&lt;D xsi:type="xsd:double"&gt;1.3862667&lt;/D&gt;&lt;/FQL&gt;&lt;FQL&gt;&lt;Q&gt;WCC-US^P_BETA_LOCIDX(44966,44791,,"SPX")&lt;/Q&gt;&lt;R&gt;1&lt;/R&gt;&lt;C&gt;1&lt;/C&gt;&lt;D xsi:type="xsd:double"&gt;1.3861293&lt;/D&gt;&lt;/FQL&gt;&lt;FQL&gt;&lt;Q&gt;WCC-US^P_BETA_LOCIDX(44965,44790,,"SPX")&lt;/Q&gt;&lt;R&gt;1&lt;/R&gt;&lt;C&gt;1&lt;/C&gt;&lt;D xsi:type="xsd:double"&gt;1.3842474&lt;/D&gt;&lt;/FQL&gt;&lt;FQL&gt;&lt;Q&gt;WCC-US^P_BETA_LOCIDX(44964,44789,,"SPX")&lt;/Q&gt;&lt;R&gt;1&lt;/R&gt;&lt;C&gt;1&lt;/C&gt;&lt;D xsi:type="xsd:double"&gt;1.3837155&lt;/D&gt;&lt;/FQL&gt;&lt;FQL&gt;&lt;Q&gt;WCC-US^P_BETA_LOCIDX(44963,44788,,"SPX")&lt;/Q&gt;&lt;R&gt;1&lt;/R&gt;&lt;C&gt;1&lt;/C&gt;&lt;D xsi:type="xsd:double"&gt;1.3898816&lt;/D&gt;&lt;/FQL&gt;&lt;FQL&gt;&lt;Q&gt;WCC-US^P_BETA_LOCIDX(44960,44785,,"SPX")&lt;/Q&gt;&lt;R&gt;1&lt;/R&gt;&lt;C&gt;1&lt;/C&gt;&lt;D xsi:type="xsd:double"&gt;1.3883523&lt;/D&gt;&lt;/FQL&gt;&lt;FQL&gt;&lt;Q&gt;WCC-US^P_BETA_LOCIDX(44959,44784,,"SPX")&lt;/Q&gt;&lt;R&gt;1&lt;/R&gt;&lt;C&gt;1&lt;/C&gt;&lt;D xsi:type="xsd:double"&gt;1.3953829&lt;/D&gt;&lt;/FQL&gt;&lt;FQL&gt;&lt;Q&gt;WCC-US^P_BETA_LOCIDX(44958,44783,,"SPX")&lt;/Q&gt;&lt;R&gt;1&lt;/R&gt;&lt;C&gt;1&lt;/C&gt;&lt;D xsi:type="xsd:double"&gt;1.398682&lt;/D&gt;&lt;/FQL&gt;&lt;FQL&gt;&lt;Q&gt;WCC-US^P_BETA_LOCIDX(44957,44782,,"SPX")&lt;/Q&gt;&lt;R&gt;1&lt;/R&gt;&lt;C&gt;1&lt;/C&gt;&lt;D xsi:type="xsd:double"&gt;1.3979744&lt;/D&gt;&lt;/FQL&gt;&lt;FQL&gt;&lt;Q&gt;WCC-US^P_BETA_LOCIDX(44956,44781,,"SPX")&lt;/Q&gt;&lt;R&gt;1&lt;/R&gt;&lt;C&gt;1&lt;/C&gt;&lt;D xsi:type="xsd:double"&gt;1.3904394&lt;/D&gt;&lt;/FQL&gt;&lt;FQL&gt;&lt;Q&gt;WCC-US^P_BETA_LOCIDX(44953,44778,,"SPX")&lt;/Q&gt;&lt;R&gt;1&lt;/R&gt;&lt;C&gt;1&lt;/C&gt;&lt;D xsi:type="xsd:double"&gt;1.3930318&lt;/D&gt;&lt;/FQL&gt;&lt;FQL&gt;&lt;Q&gt;WCC-US^P_BETA_LOCIDX(44952,44777,,"SPX")&lt;/Q&gt;&lt;R&gt;1&lt;/R&gt;&lt;C&gt;1&lt;/C&gt;&lt;D xsi:type="xsd:double"&gt;1.391725&lt;/D&gt;&lt;/FQL&gt;&lt;FQL&gt;&lt;Q&gt;WCC-US^P_BETA_LOCIDX(44951,44776,,"SPX")&lt;/Q&gt;&lt;R&gt;1&lt;/R&gt;&lt;C&gt;1&lt;/C&gt;&lt;D xsi:type="xsd:double"&gt;1.3797331&lt;/D&gt;&lt;/FQL&gt;&lt;FQL&gt;&lt;Q&gt;WCC-US^P_BETA_LOCIDX(44950,44775,,"SPX")&lt;/Q&gt;&lt;R&gt;1&lt;/R&gt;&lt;C&gt;1&lt;/C&gt;&lt;D xsi:type="xsd:double"&gt;1.3798229&lt;/D&gt;&lt;/FQL&gt;&lt;FQL&gt;&lt;Q&gt;WCC-US^P_BETA_LOCIDX(44949,44774,,"SPX")&lt;/Q&gt;&lt;R&gt;1&lt;/R&gt;&lt;C&gt;1&lt;/C&gt;&lt;D xsi:type="xsd:double"&gt;1.3786278&lt;/D&gt;&lt;/FQL&gt;&lt;FQL&gt;&lt;Q&gt;WCC-US^P_BETA_LOCIDX(44946,44771,,"SPX")&lt;/Q&gt;&lt;R&gt;1&lt;/R&gt;&lt;C&gt;1&lt;/C&gt;&lt;D xsi:type="xsd:double"&gt;1.3912804&lt;/D&gt;&lt;/FQL&gt;&lt;FQL&gt;&lt;Q&gt;WCC-US^P_BETA_LOCIDX(44945,44770,,"SPX")&lt;/Q&gt;&lt;R&gt;1&lt;/R&gt;&lt;C&gt;1&lt;/C&gt;&lt;D xsi:type="xsd:double"&gt;1.3996384&lt;/D&gt;&lt;/FQL&gt;&lt;FQL&gt;&lt;Q&gt;WCC-US^P_BETA_LOCIDX(44944,44769,,"SPX")&lt;/Q&gt;&lt;R&gt;1&lt;/R&gt;&lt;C&gt;1&lt;/C&gt;&lt;D xsi:type="xsd:double"&gt;1.3953656&lt;/D&gt;&lt;/FQL&gt;&lt;FQL&gt;&lt;Q&gt;WCC-US^P_BETA_LOCIDX(44943,44768,,"SPX")&lt;/Q&gt;&lt;R&gt;1&lt;/R&gt;&lt;C&gt;1&lt;/C&gt;&lt;D xsi:type="xsd:double"&gt;1.3906739&lt;/D&gt;&lt;/FQL&gt;&lt;FQL&gt;&lt;Q&gt;WCC-US^P_BETA_LOCIDX(44939,44767,,"SPX")&lt;/Q&gt;&lt;R&gt;1&lt;/R&gt;&lt;C&gt;1&lt;/C&gt;&lt;D xsi:type="xsd:double"&gt;1.3907406&lt;/D&gt;&lt;/FQL&gt;&lt;FQL&gt;&lt;Q&gt;WCC-US^P_BETA_LOCIDX(44938,44764,,"SPX")&lt;/Q&gt;&lt;R&gt;1&lt;/R&gt;&lt;C&gt;1&lt;/C&gt;&lt;D xsi:type="xsd:double"&gt;1.3911572&lt;/D&gt;&lt;/FQL&gt;&lt;FQL&gt;&lt;Q&gt;WCC-US^P_BETA_LOCIDX(44937,44763,,"SPX")&lt;/Q&gt;&lt;R&gt;1&lt;/R&gt;&lt;C&gt;1&lt;/C&gt;&lt;D xsi:type="xsd:double"&gt;1.3866142&lt;/D&gt;&lt;/FQL&gt;&lt;FQL&gt;&lt;Q&gt;WCC-US^P_BETA_LOCIDX(44936,44762,,"SPX")&lt;/Q&gt;&lt;R&gt;1&lt;/R&gt;&lt;C&gt;1&lt;/C&gt;&lt;D xsi:type="xsd:double"&gt;1.405758&lt;/D&gt;&lt;/FQL&gt;&lt;FQL&gt;&lt;Q&gt;WCC-US^P_BETA_LOCIDX(44935,44761,,"SPX")&lt;/Q&gt;&lt;R&gt;1&lt;/R&gt;&lt;C&gt;1&lt;/C&gt;&lt;D xsi:type="xsd:double"&gt;1.418809&lt;/D&gt;&lt;/FQL&gt;&lt;FQL&gt;&lt;Q&gt;WCC-US^P_BETA_LOCIDX(44932,44760,,"SPX")&lt;/Q&gt;&lt;R&gt;1&lt;/R&gt;&lt;C&gt;1&lt;/C&gt;&lt;D xsi:type="xsd:double"&gt;1.41801&lt;/D&gt;&lt;/FQL&gt;&lt;FQL&gt;&lt;Q&gt;WCC-US^P_BETA_LOCIDX(44931,44757,,"SPX")&lt;/Q&gt;&lt;R&gt;1&lt;/R&gt;&lt;C&gt;1&lt;/C&gt;&lt;D xsi:type="xsd:double"&gt;1.4120469&lt;/D&gt;&lt;/FQL&gt;&lt;FQL&gt;&lt;Q&gt;WCC-US^P_BETA_LOCIDX(44930,44756,,"SPX")&lt;/Q&gt;&lt;R&gt;1&lt;/R&gt;&lt;C&gt;1&lt;/C&gt;&lt;D xsi:type="xsd:double"&gt;1.4128165&lt;/D&gt;&lt;/FQL&gt;&lt;FQL&gt;&lt;Q&gt;WCC-US^P_BETA_LOCIDX(44929,44755,,"SPX")&lt;/Q&gt;&lt;R&gt;1&lt;/R&gt;&lt;C&gt;1&lt;/C&gt;&lt;D xsi:type="xsd:double"&gt;1.4107369&lt;/D&gt;&lt;/FQL&gt;&lt;FQL&gt;&lt;Q&gt;WCC-US^P_BETA_LOCIDX(44925,44754,,"SPX")&lt;/Q&gt;&lt;R&gt;1&lt;/R&gt;&lt;C&gt;1&lt;/C&gt;&lt;D xsi:type="xsd:double"&gt;1.4075273&lt;/D&gt;&lt;/FQL&gt;&lt;FQL&gt;&lt;Q&gt;WCC-US^P_BETA_LOCIDX(44924,44753,,"SPX")&lt;/Q&gt;&lt;R&gt;1&lt;/R&gt;&lt;C&gt;1&lt;/C&gt;&lt;D xsi:type="xsd:double"&gt;1.406064&lt;/D&gt;&lt;/FQL&gt;&lt;FQL&gt;&lt;Q&gt;WCC-US^P_BETA_LOCIDX(44923,44750,,"SPX")&lt;/Q&gt;&lt;R&gt;1&lt;/R&gt;&lt;C&gt;1&lt;/C&gt;&lt;D xsi:type="xsd:double"&gt;1.3984928&lt;/D&gt;&lt;/FQL&gt;&lt;FQL&gt;&lt;Q&gt;WCC-US^P_BETA_LOCIDX(44922,44749,,"SPX")&lt;/Q&gt;&lt;R&gt;1&lt;/R&gt;&lt;C&gt;1&lt;/C&gt;&lt;D xsi:type="xsd:double"&gt;1.4104313&lt;/D&gt;&lt;/FQL&gt;&lt;FQL&gt;&lt;Q&gt;WCC-US^P_BETA_LOCIDX(44918,44748,,"SPX")&lt;/Q&gt;&lt;R&gt;1&lt;/R&gt;&lt;C&gt;1&lt;/C&gt;&lt;D xsi:type="xsd:double"&gt;1.4086556&lt;/D&gt;&lt;/FQL&gt;&lt;FQL&gt;&lt;Q&gt;WCC-US^P_BETA_LOCIDX(44917,44747,,"SPX")&lt;/Q&gt;&lt;R&gt;1&lt;/R&gt;&lt;C&gt;1&lt;/C&gt;&lt;D xsi:type="xsd:double"&gt;1.4049708&lt;/D&gt;&lt;/FQL&gt;&lt;FQL&gt;&lt;Q&gt;WCC-US^P_BETA_LOCIDX(44916,44743,,"SPX")&lt;/Q&gt;&lt;R&gt;1&lt;/R&gt;&lt;C&gt;1&lt;/C&gt;&lt;D xsi:type="xsd:double"&gt;1.3871497&lt;/D&gt;&lt;/FQL&gt;&lt;FQL&gt;&lt;Q&gt;WCC-US^P_BETA_LOCIDX(44915,44742,,"SPX")&lt;/Q&gt;&lt;R&gt;1&lt;/R&gt;&lt;C&gt;1&lt;/C&gt;&lt;D xsi:type="xsd:double"&gt;1.380485&lt;/D&gt;&lt;/FQL&gt;&lt;FQL&gt;&lt;Q&gt;WCC-US^P_BETA_LOCIDX(44914,44741,,"SPX")&lt;/Q&gt;&lt;R&gt;1&lt;/R&gt;&lt;C&gt;1&lt;/C&gt;&lt;D xsi:type="xsd:double"&gt;1.3815649&lt;/D&gt;&lt;/FQL&gt;&lt;FQL&gt;&lt;Q&gt;WCC-US^P_BETA_LOCIDX(44911,44740,,"SPX")&lt;/Q&gt;&lt;R&gt;1&lt;/R&gt;&lt;C&gt;1&lt;/C&gt;&lt;D xsi:type="xsd:double"&gt;1.3811332&lt;/D&gt;&lt;/FQL&gt;&lt;FQL&gt;&lt;Q&gt;WCC-US^P_BETA_LOCIDX(44910,44739,,"SPX")&lt;/Q&gt;&lt;R&gt;1&lt;/R&gt;&lt;C&gt;1&lt;/C&gt;&lt;D xsi:type="xsd:double"&gt;1.3855337&lt;/D&gt;&lt;/FQL&gt;&lt;FQL&gt;&lt;Q&gt;WCC-US^P_BETA_LOCIDX(44909,44736,,"SPX")&lt;/Q&gt;&lt;R&gt;1&lt;/R&gt;&lt;C&gt;1&lt;/C&gt;&lt;D xsi:type="xsd:double"&gt;1.4361509&lt;/D&gt;&lt;/FQL&gt;&lt;FQL&gt;&lt;Q&gt;WCC-US^P_BETA_LOCIDX(44908,44735,,"SPX")&lt;/Q&gt;&lt;R&gt;1&lt;/R&gt;&lt;C&gt;1&lt;/C&gt;&lt;D xsi:type="xsd:double"&gt;1.4271641&lt;/D&gt;&lt;/FQL&gt;&lt;FQL&gt;&lt;Q&gt;WCC-US^P_BETA_LOCIDX(44907,44734,,"SPX")&lt;/Q&gt;&lt;R&gt;1&lt;/R&gt;&lt;C&gt;1&lt;/C&gt;&lt;D xsi:type="xsd:double"&gt;1.4241043&lt;/D&gt;&lt;/FQL&gt;&lt;FQL&gt;&lt;Q&gt;WCC-US^P_BETA_LOCIDX(44904,44733,,"SPX")&lt;/Q&gt;&lt;R&gt;1&lt;/R&gt;&lt;C&gt;1&lt;/C&gt;&lt;D xsi:type="xsd:double"&gt;1.3976125&lt;/D&gt;&lt;/FQL&gt;&lt;FQL&gt;&lt;Q&gt;WCC-US^P_BETA_LOCIDX(44903,44729,,"SPX")&lt;/Q&gt;&lt;R&gt;1&lt;/R&gt;&lt;C&gt;1&lt;/C&gt;&lt;D xsi:type="xsd:double"&gt;1.393879&lt;/D&gt;&lt;/FQL&gt;&lt;FQL&gt;&lt;Q&gt;WCC-US^P_BETA_LOCIDX(44902,44728,,"SPX")&lt;/Q&gt;&lt;R&gt;1&lt;/R&gt;&lt;C&gt;1&lt;/C&gt;&lt;D xsi:type="xsd:double"&gt;1.4491524&lt;/D&gt;&lt;/FQL&gt;&lt;FQL&gt;&lt;Q&gt;WCC-US^P_BETA_LOCIDX(44901,44727,,"SPX")&lt;/Q&gt;&lt;R&gt;1&lt;/R&gt;&lt;C&gt;1&lt;/C&gt;&lt;D xsi:type="xsd:double"&gt;1.4421781&lt;/D&gt;&lt;/FQL&gt;&lt;FQL&gt;&lt;Q&gt;WCC-US^P_BETA_LOCIDX(44900,44726,,"SPX")&lt;/Q&gt;&lt;R&gt;1&lt;/R&gt;&lt;C&gt;1&lt;/C&gt;&lt;D xsi:type="xsd:double"&gt;1.4507284&lt;/D&gt;&lt;/FQL&gt;&lt;FQL&gt;&lt;Q&gt;WCC-US^P_BETA_LOCIDX(44897,44725,,"SPX")&lt;/Q&gt;&lt;R&gt;1&lt;/R&gt;&lt;C&gt;1&lt;/C&gt;&lt;D xsi:type="xsd:double"&gt;1.433605&lt;/D&gt;&lt;/FQL&gt;&lt;FQL&gt;&lt;Q&gt;WCC-US^P_BETA_LOCIDX(44896,44722,,"SPX")&lt;/Q&gt;&lt;R&gt;1&lt;/R&gt;&lt;C&gt;1&lt;/C&gt;&lt;D xsi:type="xsd:double"&gt;1.4405166&lt;/D&gt;&lt;/FQL&gt;&lt;FQL&gt;&lt;Q&gt;WCC-US^P_BETA_LOCIDX(44895,44721,,"SPX")&lt;/Q&gt;&lt;R&gt;1&lt;/R&gt;&lt;C&gt;1&lt;/C&gt;&lt;D xsi:type="xsd:double"&gt;1.429699&lt;/D&gt;&lt;/FQL&gt;&lt;FQL&gt;&lt;Q&gt;WCC-US^P_BETA_LOCIDX(44894,44720,,"SPX")&lt;/Q&gt;&lt;R&gt;1&lt;/R&gt;&lt;C&gt;1&lt;/C&gt;&lt;D xsi:type="xsd:double"&gt;1.4645818&lt;/D&gt;&lt;/FQL&gt;&lt;FQL&gt;&lt;Q&gt;WCC-US^P_BETA_LOCIDX(44893,44719,,"SPX")&lt;/Q&gt;&lt;R&gt;1&lt;/R&gt;&lt;C&gt;1&lt;/C&gt;&lt;D xsi:type="xsd:double"&gt;1.4804856&lt;/D&gt;&lt;/FQL&gt;&lt;FQL&gt;&lt;Q&gt;WCC-US^P_BETA_LOCIDX(44890,44718,,"SPX")&lt;/Q&gt;&lt;R&gt;1&lt;/R&gt;&lt;C&gt;1&lt;/C&gt;&lt;D xsi:type="xsd:double"&gt;1.4741893&lt;/D&gt;&lt;/FQL&gt;&lt;FQL&gt;&lt;Q&gt;WCC-US^P_BETA_LOCIDX(44888,44715,,"SPX")&lt;/Q&gt;&lt;R&gt;1&lt;/R&gt;&lt;C&gt;1&lt;/C&gt;&lt;D xsi:type="xsd:double"&gt;1.4525937&lt;/D&gt;&lt;/FQL&gt;&lt;FQL&gt;&lt;Q&gt;WCC-US^P_BETA_LOCIDX(44887,44714,,"SPX")&lt;/Q&gt;&lt;R&gt;1&lt;/R&gt;&lt;C&gt;1&lt;/C&gt;&lt;D xsi:type="xsd:double"&gt;1.4575508&lt;/D&gt;&lt;/FQL&gt;&lt;FQL&gt;&lt;Q&gt;WCC-US^P_BETA_LOCIDX(44886,44713,,"SPX")&lt;/Q&gt;&lt;R&gt;1&lt;/R&gt;&lt;C&gt;1&lt;/C&gt;&lt;D xsi:type="xsd:double"&gt;1.4455365&lt;/D&gt;&lt;/FQL&gt;&lt;FQL&gt;&lt;Q&gt;WCC-US^P_BETA_LOCIDX(44883,44712,,"SPX")&lt;/Q&gt;&lt;R&gt;1&lt;/R&gt;&lt;C&gt;1&lt;/C&gt;&lt;D xsi:type="xsd:double"&gt;1.4451514&lt;/D&gt;&lt;/FQL&gt;&lt;FQL&gt;&lt;Q&gt;WCC-US^P_BETA_LOCIDX(44882,44708,,"SPX")&lt;/Q&gt;&lt;R&gt;1&lt;/R&gt;&lt;C&gt;1&lt;/C&gt;&lt;D xsi:type="xsd:double"&gt;1.4452639&lt;/D&gt;&lt;/FQL&gt;&lt;FQL&gt;&lt;Q&gt;WCC-US^P_BETA_LOCIDX(44881,44707,,"SPX")&lt;/Q&gt;&lt;R&gt;1&lt;/R&gt;&lt;C&gt;1&lt;/C&gt;&lt;D xsi:type="xsd:double"&gt;1.4599452&lt;/D&gt;&lt;/FQL&gt;&lt;FQL&gt;&lt;Q&gt;WCC-US^P_BETA_LOCIDX(44880,44706,,"SPX")&lt;/Q&gt;&lt;R&gt;1&lt;/R&gt;&lt;C&gt;1&lt;/C&gt;&lt;D xsi:type="xsd:double"&gt;1.4621813&lt;/D&gt;&lt;/FQL&gt;&lt;FQL&gt;&lt;Q&gt;WCC-US^P_BETA_LOCIDX(44879,44705,,"SPX")&lt;/Q&gt;&lt;R&gt;1&lt;/R&gt;&lt;C&gt;1&lt;/C&gt;&lt;D xsi:type="xsd:double"&gt;1.479522&lt;/D&gt;&lt;/FQL&gt;&lt;FQL&gt;&lt;Q&gt;WCC-US^P_BETA_LOCIDX(44876,44704,,"SPX")&lt;/Q&gt;&lt;R&gt;1&lt;/R&gt;&lt;C&gt;1&lt;/C&gt;&lt;D xsi:type="xsd:double"&gt;1.4713337&lt;/D&gt;&lt;/FQL&gt;&lt;FQL&gt;&lt;Q&gt;WCC-US^P_BETA_LOCIDX(44875,44701,,"SPX")&lt;/Q&gt;&lt;R&gt;1&lt;/R&gt;&lt;C&gt;1&lt;/C&gt;&lt;D xsi:type="xsd:double"&gt;1.4632268&lt;/D&gt;&lt;/FQL&gt;&lt;FQL&gt;&lt;Q&gt;WCC-US^P_BETA_LOCIDX(44874,44700,,"SPX")&lt;/Q&gt;&lt;R&gt;1&lt;/R&gt;&lt;C&gt;1&lt;/C&gt;&lt;D xsi:type="xsd:double"&gt;1.5249313&lt;/D&gt;&lt;/FQL&gt;&lt;FQL&gt;&lt;Q&gt;WCC-US^P_BETA_LOCIDX(44873,44699,,"SPX")&lt;/Q&gt;&lt;R&gt;1&lt;/R&gt;&lt;C&gt;1&lt;/C&gt;&lt;D xsi:type="xsd:double"&gt;1.5113807&lt;/D&gt;&lt;/FQL&gt;&lt;FQL&gt;&lt;Q&gt;WCC-US^P_BETA_LOCIDX(44872,44698,,"SPX")&lt;/Q&gt;&lt;R&gt;1&lt;/R&gt;&lt;C&gt;1&lt;/C&gt;&lt;D xsi:type="xsd:double"&gt;1.5123675&lt;/D&gt;&lt;/FQL&gt;&lt;FQL&gt;&lt;Q&gt;WCC-US^P_BETA_LOCIDX(44869,44697,,"SPX")&lt;/Q&gt;&lt;R&gt;1&lt;/R&gt;&lt;C&gt;1&lt;/C&gt;&lt;D xsi:type="xsd:double"&gt;1.5193907&lt;/D&gt;&lt;/FQL&gt;&lt;FQL&gt;&lt;Q&gt;WCC-US^P_BETA_LOCIDX(44868,44694,,"SPX")&lt;/Q&gt;&lt;R&gt;1&lt;/R&gt;&lt;C&gt;1&lt;/C&gt;&lt;D xsi:type="xsd:double"&gt;1.5164047&lt;/D&gt;&lt;/FQL&gt;&lt;FQL&gt;&lt;Q&gt;WCC-US^P_BETA_LOCIDX(44867,44693,,"SPX")&lt;/Q&gt;&lt;R&gt;1&lt;/R&gt;&lt;C&gt;1&lt;/C&gt;&lt;D xsi:type="xsd:double"&gt;1.4695638&lt;/D&gt;&lt;/FQL&gt;&lt;FQL&gt;&lt;Q&gt;WCC-US^P_BETA_LOCIDX(44866,44692,,"SPX")&lt;/Q&gt;&lt;R&gt;1&lt;/R&gt;&lt;C&gt;1&lt;/C&gt;&lt;D xsi:type="xsd:double"&gt;1.5015454&lt;/D&gt;&lt;/FQL&gt;&lt;FQL&gt;&lt;Q&gt;WCC-US^P_BETA_LOCIDX(44865,44691,,"SPX")&lt;/Q&gt;&lt;R&gt;1&lt;/R&gt;&lt;C&gt;1&lt;/C&gt;&lt;D xsi:type="xsd:double"&gt;1.502463&lt;/D&gt;&lt;/FQL&gt;&lt;FQL&gt;&lt;Q&gt;WCC-US^P_BETA_LOCIDX(44862,44690,,"SPX")&lt;/Q&gt;&lt;R&gt;1&lt;/R&gt;&lt;C&gt;1&lt;/C&gt;&lt;D xsi:type="xsd:double"&gt;1.5254865&lt;/D&gt;&lt;/FQL&gt;&lt;FQL&gt;&lt;Q&gt;WCC-US^P_BETA_LOCIDX(44861,44687,,"SPX")&lt;/Q&gt;&lt;R&gt;1&lt;/R&gt;&lt;C&gt;1&lt;/C&gt;&lt;D xsi:type="xsd:double"&gt;1.5336317&lt;/D&gt;&lt;/FQL&gt;&lt;FQL&gt;&lt;Q&gt;WCC-US^P_BETA_LOCIDX(44860,44686,,"SPX")&lt;/Q&gt;&lt;R&gt;1&lt;/R&gt;&lt;C&gt;1&lt;/C&gt;&lt;D xsi:type="xsd:double"&gt;1.4116026&lt;/D&gt;&lt;/FQL&gt;&lt;FQL&gt;&lt;Q&gt;WCC-US^P_BETA_LOCIDX(44859,44685,,"SPX")&lt;/Q&gt;&lt;R&gt;1&lt;/R&gt;&lt;C&gt;1&lt;/C&gt;&lt;D xsi:type="xsd:double"&gt;1.4156154&lt;/D&gt;&lt;/FQL&gt;&lt;FQL&gt;&lt;Q&gt;WCC-US^P_BETA_LOCIDX(44858,44684,,"SPX")&lt;/Q&gt;&lt;R&gt;1&lt;/R&gt;&lt;C&gt;1&lt;/C&gt;&lt;D xsi:type="xsd:double"&gt;1.4222522&lt;/D&gt;&lt;/FQL&gt;&lt;FQL&gt;&lt;Q&gt;WCC-US^P_BETA_LOCIDX(44855,44683,,"SPX")&lt;/Q&gt;&lt;R&gt;1&lt;/R&gt;&lt;C&gt;1&lt;/C&gt;&lt;D xsi:type="xsd:double"&gt;1.4149146&lt;/D&gt;&lt;/FQL&gt;&lt;FQL&gt;&lt;Q&gt;WCC-US^P_BETA_LOCIDX(44854,44680,,"SPX")&lt;/Q&gt;&lt;R&gt;1&lt;/R&gt;&lt;C&gt;1&lt;/C&gt;&lt;D xsi:type="xsd:double"&gt;1.3834244&lt;/D&gt;&lt;/FQL&gt;&lt;FQL&gt;&lt;Q&gt;WCC-US^P_BETA_LOCIDX(44853,44679,,"SPX")&lt;/Q&gt;&lt;R&gt;1&lt;/R&gt;&lt;C&gt;1&lt;/C&gt;&lt;D xsi:type="xsd:double"&gt;1.3769178&lt;/D&gt;&lt;/FQL&gt;&lt;FQL&gt;&lt;Q&gt;WCC-US^P_BETA_LOCIDX(44852,44678,,"SPX")&lt;/Q&gt;&lt;R&gt;1&lt;/R&gt;&lt;C&gt;1&lt;/C&gt;&lt;D xsi:type="xsd:double"&gt;1.3758967&lt;/D&gt;&lt;/FQL&gt;&lt;FQL&gt;&lt;Q&gt;WCC-US^P_BETA_LOCIDX(44851,44677,,"SPX")&lt;/Q&gt;&lt;R&gt;1&lt;/R&gt;&lt;C&gt;1&lt;/C&gt;&lt;D xsi:type="xsd:double"&gt;1.3787768&lt;/D&gt;&lt;/FQL&gt;&lt;FQL&gt;&lt;Q&gt;WCC-US^P_BETA_LOCIDX(44848,44676,,"SPX")&lt;/Q&gt;&lt;R&gt;1&lt;/R&gt;&lt;C&gt;1&lt;/C&gt;&lt;D xsi:type="xsd:double"&gt;1.3592415&lt;/D&gt;&lt;/FQL&gt;&lt;FQL&gt;&lt;Q&gt;WCC-US^P_BETA_LOCIDX(44847,44673,,"SPX")&lt;/Q&gt;&lt;R&gt;1&lt;/R&gt;&lt;C&gt;1&lt;/C&gt;&lt;D xsi:type="xsd:double"&gt;1.3551638&lt;/D&gt;&lt;/FQL&gt;&lt;FQL&gt;&lt;Q&gt;WCC-US^P_BETA_LOCIDX(44846,44672,,"SPX")&lt;/Q&gt;&lt;R&gt;1&lt;/R&gt;&lt;C&gt;1&lt;/C&gt;&lt;D xsi:type="xsd:double"&gt;1.3417311&lt;/D&gt;&lt;/FQL&gt;&lt;FQL&gt;&lt;Q&gt;WCC-US^P_BETA_LOCIDX(44845,44671,,"SPX")&lt;/Q&gt;&lt;R&gt;1&lt;/R&gt;&lt;C&gt;1&lt;/C&gt;&lt;D xsi:type="xsd:double"&gt;1.3412414&lt;/D&gt;&lt;/FQL&gt;&lt;FQL&gt;&lt;Q&gt;WCC-US^P_BETA_LOCIDX(44844,44670,,"SPX")&lt;/Q&gt;&lt;R&gt;1&lt;/R&gt;&lt;C&gt;1&lt;/C&gt;&lt;D xsi:type="xsd:double"&gt;1.3555148&lt;/D&gt;&lt;/FQL&gt;&lt;FQL&gt;&lt;Q&gt;WCC-US^P_BETA_LOCIDX(44841,44669,,"SPX")&lt;/Q&gt;&lt;R&gt;1&lt;/R&gt;&lt;C&gt;1&lt;/C&gt;&lt;D xsi:type="xsd:double"&gt;1.3553294&lt;/D&gt;&lt;/FQL&gt;&lt;FQL&gt;&lt;Q&gt;WCC-US^P_BETA_LOCIDX(44840,44665,,"SPX")&lt;/Q&gt;&lt;R&gt;1&lt;/R&gt;&lt;C&gt;1&lt;/C&gt;&lt;D xsi:type="xsd:double"&gt;1.358164&lt;/D&gt;&lt;/FQL&gt;&lt;FQL&gt;&lt;Q&gt;WCC-US^P_BETA_LOCIDX(44839,44664,,"SPX")&lt;/Q&gt;&lt;R&gt;1&lt;/R&gt;&lt;C&gt;1&lt;/C&gt;&lt;D xsi:type="xsd:double"&gt;1.362232&lt;/D&gt;&lt;/FQL&gt;&lt;FQL&gt;&lt;Q&gt;WCC-US^P_BETA_LOCIDX(44838,44663,,"SPX")&lt;/Q&gt;&lt;R&gt;1&lt;/R&gt;&lt;C&gt;1&lt;/C&gt;&lt;D xsi:type="xsd:double"&gt;1.3604292&lt;/D&gt;&lt;/FQL&gt;&lt;FQL&gt;&lt;Q&gt;WCC-US^P_BETA_LOCIDX(44837,44662,,"SPX")&lt;/Q&gt;&lt;R&gt;1&lt;/R&gt;&lt;C&gt;1&lt;/C&gt;&lt;D xsi:type="xsd:double"&gt;1.3458867&lt;/D&gt;&lt;/FQL&gt;&lt;FQL&gt;&lt;Q&gt;WCC-US^P_BETA_LOCIDX(44834,44659,,"SPX")&lt;/Q&gt;&lt;R&gt;1&lt;/R&gt;&lt;C&gt;1&lt;/C&gt;&lt;D xsi:type="xsd:double"&gt;1.3535509&lt;/D&gt;&lt;/FQL&gt;&lt;FQL&gt;&lt;Q&gt;WCC-US^P_BETA_LOCIDX(44833,44658,,"SPX")&lt;/Q&gt;&lt;R&gt;1&lt;/R&gt;&lt;C&gt;1&lt;/C&gt;&lt;D xsi:type="xsd:double"&gt;1.3614377&lt;/D&gt;&lt;/FQL&gt;&lt;FQL&gt;&lt;Q&gt;WCC-US^P_BETA_LOCIDX(44832,44657,,"SPX")&lt;/Q&gt;&lt;R&gt;1&lt;/R&gt;&lt;C&gt;1&lt;/C&gt;&lt;D xsi:type="xsd:double"&gt;1.3676951&lt;/D&gt;&lt;/FQL&gt;&lt;FQL&gt;&lt;Q&gt;WCC-US^P_BETA_LOCIDX(44831,44656,,"SPX")&lt;/Q&gt;&lt;R&gt;1&lt;/R&gt;&lt;C&gt;1&lt;/C&gt;&lt;D xsi:type="xsd:double"&gt;1.3680497&lt;/D&gt;&lt;/FQL&gt;&lt;FQL&gt;&lt;Q&gt;WCC-US^P_BETA_LOCIDX(44830,44655,,"SPX")&lt;/Q&gt;&lt;R&gt;1&lt;/R&gt;&lt;C&gt;1&lt;/C&gt;&lt;D xsi:type="xsd:double"&gt;1.3578359&lt;/D&gt;&lt;/FQL&gt;&lt;FQL&gt;&lt;Q&gt;WCC-US^P_BETA_LOCIDX(44827,44652,,"SPX")&lt;/Q&gt;&lt;R&gt;1&lt;/R&gt;&lt;C&gt;1&lt;/C&gt;&lt;D xsi:type="xsd:double"&gt;1.3534923&lt;/D&gt;&lt;/FQL&gt;&lt;FQL&gt;&lt;Q&gt;WCC-US^P_BETA_LOCIDX(44826,44651,,"SPX")&lt;/Q&gt;&lt;R&gt;1&lt;/R&gt;&lt;C&gt;1&lt;/C&gt;&lt;D xsi:type="xsd:double"&gt;1.3365432&lt;/D&gt;&lt;/FQL&gt;&lt;FQL&gt;&lt;Q&gt;WCC-US^P_BETA_LOCIDX(44825,44650,,"SPX")&lt;/Q&gt;&lt;R&gt;1&lt;/R&gt;&lt;C&gt;1&lt;/C&gt;&lt;D xsi:type="xsd:double"&gt;1.3337307&lt;/D&gt;&lt;/FQL&gt;&lt;FQL&gt;&lt;Q&gt;WCC-US^P_BETA_LOCIDX(44824,44649,,"SPX")&lt;/Q&gt;&lt;R&gt;1&lt;/R&gt;&lt;C&gt;1&lt;/C&gt;&lt;D xsi:type="xsd:double"&gt;1.3366278&lt;/D&gt;&lt;/FQL&gt;&lt;FQL&gt;&lt;Q&gt;WCC-US^P_BETA_LOCIDX(44823,44648,,"SPX")&lt;/Q&gt;&lt;R&gt;1&lt;/R&gt;&lt;C&gt;1&lt;/C&gt;&lt;D xsi:type="xsd:double"&gt;1.3292534&lt;/D&gt;&lt;/FQL&gt;&lt;FQL&gt;&lt;Q&gt;WCC-US^P_BETA_LOCIDX(44820,44645,,"SPX")&lt;/Q&gt;&lt;R&gt;1&lt;/R&gt;&lt;C&gt;1&lt;/C&gt;&lt;D xsi:type="xsd:double"&gt;1.3260964&lt;/D&gt;&lt;/FQL&gt;&lt;FQL&gt;&lt;Q&gt;WCC-US^P_BETA_LOCIDX(44819,44644,,"SPX")&lt;/Q&gt;&lt;R&gt;1&lt;/R&gt;&lt;C&gt;1&lt;/C&gt;&lt;D xsi:type="xsd:double"&gt;1.3180405&lt;/D&gt;&lt;/FQL&gt;&lt;FQL&gt;&lt;Q&gt;WCC-US^P_BETA_LOCIDX(44818,44643,,"SPX")&lt;/Q&gt;&lt;R&gt;1&lt;/R&gt;&lt;C&gt;1&lt;/C&gt;&lt;D xsi:type="xsd:double"&gt;1.3184122&lt;/D&gt;&lt;/FQL&gt;&lt;FQL&gt;&lt;Q&gt;WCC-US^P_BETA_LOCIDX(44817,44642,,"SPX")&lt;/Q&gt;&lt;R&gt;1&lt;/R&gt;&lt;C&gt;1&lt;/C&gt;&lt;D xsi:type="xsd:double"&gt;1.3167537&lt;/D&gt;&lt;/FQL&gt;&lt;FQL&gt;&lt;Q&gt;WCC-US^P_BETA_LOCIDX(44816,44641,,"SPX")&lt;/Q&gt;&lt;R&gt;1&lt;/R&gt;&lt;C&gt;1&lt;/C&gt;&lt;D xsi:type="xsd:double"&gt;1.3513348&lt;/D&gt;&lt;/FQL&gt;&lt;FQL&gt;&lt;Q&gt;WCC-US^P_BETA_LOCIDX(44813,44638,,"SPX")&lt;/Q&gt;&lt;R&gt;1&lt;/R&gt;&lt;C&gt;1&lt;/C&gt;&lt;D xsi:type="xsd:double"&gt;1.3502399&lt;/D&gt;&lt;/FQL&gt;&lt;FQL&gt;&lt;Q&gt;WCC-US^P_BETA_LOCIDX(44812,44637,,"SPX")&lt;/Q&gt;&lt;R&gt;1&lt;/R&gt;&lt;C&gt;1&lt;/C&gt;&lt;D xsi:type="xsd:double"&gt;1.3357265&lt;/D&gt;&lt;/FQL&gt;&lt;FQL&gt;&lt;Q&gt;WCC-US^P_BETA_LOCIDX(44811,44636,,"SPX")&lt;/Q&gt;&lt;R&gt;1&lt;/R&gt;&lt;C&gt;1&lt;/C&gt;&lt;D xsi:type="xsd:double"&gt;1.3513108&lt;/D&gt;&lt;/FQL&gt;&lt;FQL&gt;&lt;Q&gt;WCC-US^P_BETA_LOCIDX(44810,44635,,"SPX")&lt;/Q&gt;&lt;R&gt;1&lt;/R&gt;&lt;C&gt;1&lt;/C&gt;&lt;D xsi:type="xsd:double"&gt;1.3524092&lt;/D&gt;&lt;/FQL&gt;&lt;FQL&gt;&lt;Q&gt;WCC-US^P_BETA_LOCIDX(44806,44634,,"SPX")&lt;/Q&gt;&lt;R&gt;1&lt;/R&gt;&lt;C&gt;1&lt;/C&gt;&lt;D xsi:type="xsd:double"&gt;1.3508735&lt;/D&gt;&lt;/FQL&gt;&lt;FQL&gt;&lt;Q&gt;WCC-US^P_BETA_LOCIDX(44805,44631,,"SPX")&lt;/Q&gt;&lt;R&gt;1&lt;/R&gt;&lt;C&gt;1&lt;/C&gt;&lt;D xsi:type="xsd:double"&gt;1.3362329&lt;/D&gt;&lt;/FQL&gt;&lt;FQL&gt;&lt;Q&gt;WCC-US^P_BETA_LOCIDX(44804,44630,,"SPX")&lt;/Q&gt;&lt;R&gt;1&lt;/R&gt;&lt;C&gt;1&lt;/C&gt;&lt;D xsi:type="xsd:double"&gt;1.3341047&lt;/D&gt;&lt;/FQL&gt;&lt;FQL&gt;&lt;Q&gt;WCC-US^P_BETA_LOCIDX(44803,44629,,"SPX")&lt;/Q&gt;&lt;R&gt;1&lt;/R&gt;&lt;C&gt;1&lt;/C&gt;&lt;D xsi:type="xsd:double"&gt;1.3387587&lt;/D&gt;&lt;/FQL&gt;&lt;FQL&gt;&lt;Q&gt;WCC-US^P_BETA_LOCIDX(44802,44628,,"SPX")&lt;/Q&gt;&lt;R&gt;1&lt;/R&gt;&lt;C&gt;1&lt;/C&gt;&lt;D xsi:type="xsd:double"&gt;1.3233702&lt;/D&gt;&lt;/FQL&gt;&lt;FQL&gt;&lt;Q&gt;WCC-US^P_BETA_LOCIDX(44799,44627,,"SPX")&lt;/Q&gt;&lt;R&gt;1&lt;/R&gt;&lt;C&gt;1&lt;/C&gt;&lt;D xsi:type="xsd:double"&gt;1.3503845&lt;/D&gt;&lt;/FQL&gt;&lt;FQL&gt;&lt;Q&gt;WCC-US^P_BETA_LOCIDX(44798,44624,,"SPX")&lt;/Q&gt;&lt;R&gt;1&lt;/R&gt;&lt;C&gt;1&lt;/C&gt;&lt;D xsi:type="xsd:double"&gt;1.3647691&lt;/D&gt;&lt;/FQL&gt;&lt;FQL&gt;&lt;Q&gt;WCC-US^P_BETA_LOCIDX(44797,44623,,"SPX")&lt;/Q&gt;&lt;R&gt;1&lt;/R&gt;&lt;C&gt;1&lt;/C&gt;&lt;D xsi:type="xsd:double"&gt;1.3539652&lt;/D&gt;&lt;/FQL&gt;&lt;FQL&gt;&lt;Q&gt;WCC-US^P_BETA_LOCIDX(44796,44622,,"SPX")&lt;/Q&gt;&lt;R&gt;1&lt;/R&gt;&lt;C&gt;1&lt;/C&gt;&lt;D xsi:type="xsd:double"&gt;1.3674903&lt;/D&gt;&lt;/FQL&gt;&lt;FQL&gt;&lt;Q&gt;WCC-US^P_BETA_LOCIDX(44795,44621,,"SPX")&lt;/Q&gt;&lt;R&gt;1&lt;/R&gt;&lt;C&gt;1&lt;/C&gt;&lt;D xsi:type="xsd:double"&gt;1.3819253&lt;/D&gt;&lt;/FQL&gt;&lt;FQL&gt;&lt;Q&gt;WCC-US^P_BETA_LOCIDX(44792,44620,,"SPX")&lt;/Q&gt;&lt;R&gt;1&lt;/R&gt;&lt;C&gt;1&lt;/C&gt;&lt;D xsi:type="xsd:double"&gt;1.3818479&lt;/D&gt;&lt;/FQL&gt;&lt;FQL&gt;&lt;Q&gt;WCC-US^P_BETA_LOCIDX(44791,44617,,"SPX")&lt;/Q&gt;&lt;R&gt;1&lt;/R&gt;&lt;C&gt;1&lt;/C&gt;&lt;D xsi:type="xsd:double"&gt;1.361347&lt;/D&gt;&lt;/FQL&gt;&lt;FQL&gt;&lt;Q&gt;WCC-US^P_BETA_LOCIDX(44790,44616,,"SPX")&lt;/Q&gt;&lt;R&gt;1&lt;/R&gt;&lt;C&gt;1&lt;/C&gt;&lt;D xsi:type="xsd:double"&gt;1.3696506&lt;/D&gt;&lt;/FQL&gt;&lt;FQL&gt;&lt;Q&gt;WCC-US^P_BETA_LOCIDX(44789,44615,,"SPX")&lt;/Q&gt;&lt;R&gt;1&lt;/R&gt;&lt;C&gt;1&lt;/C&gt;&lt;D xsi:type="xsd:double"&gt;1.3822216&lt;/D&gt;&lt;/FQL&gt;&lt;FQL&gt;&lt;Q&gt;WCC-US^P_BETA_LOCIDX(44788,44614,,"SPX")&lt;/Q&gt;&lt;R&gt;1&lt;/R&gt;&lt;C&gt;1&lt;/C&gt;&lt;D xsi:type="xsd:double"&gt;1.376155&lt;/D&gt;&lt;/FQL&gt;&lt;FQL&gt;&lt;Q&gt;WCC-US^P_BETA_LOCIDX(44785,44610,,"SPX")&lt;/Q&gt;&lt;R&gt;1&lt;/R&gt;&lt;C&gt;1&lt;/C&gt;&lt;D xsi:type="xsd:double"&gt;1.3724835&lt;/D&gt;&lt;/FQL&gt;&lt;FQL&gt;&lt;Q&gt;WCC-US^P_BETA_LOCIDX(44784,44609,,"SPX")&lt;/Q&gt;&lt;R&gt;1&lt;/R&gt;&lt;C&gt;1&lt;/C&gt;&lt;D xsi:type="xsd:double"&gt;1.3938278&lt;/D&gt;&lt;/FQL&gt;&lt;FQL&gt;&lt;Q&gt;WCC-US^P_BETA_LOCIDX(44783,44608,,"SPX")&lt;/Q&gt;&lt;R&gt;1&lt;/R&gt;&lt;C&gt;1&lt;/C&gt;&lt;D xsi:type="xsd:double"&gt;1.393303&lt;/D&gt;&lt;/FQL&gt;&lt;FQL&gt;&lt;Q&gt;WCC-US^P_BETA_LOCIDX(44782,44607,,"SPX")&lt;/Q&gt;&lt;R&gt;1&lt;/R&gt;&lt;C&gt;1&lt;/C&gt;&lt;D xsi:type="xsd:double"&gt;1.42008&lt;/D&gt;&lt;/FQL&gt;&lt;FQL&gt;&lt;Q&gt;WCC-US^P_BETA_LOCIDX(44781,44606,,"SPX")&lt;/Q&gt;&lt;R&gt;1&lt;/R&gt;&lt;C&gt;1&lt;/C&gt;&lt;D xsi:type="xsd:double"&gt;1.4196383&lt;/D&gt;&lt;/FQL&gt;&lt;FQL&gt;&lt;Q&gt;WCC-US^P_BETA_LOCIDX(44778,44603,,"SPX")&lt;/Q&gt;&lt;R&gt;1&lt;/R&gt;&lt;C&gt;1&lt;/C&gt;&lt;D xsi:type="xsd:double"&gt;1.4226336&lt;/D&gt;&lt;/FQL&gt;&lt;FQL&gt;&lt;Q&gt;WCC-US^P_BETA_LOCIDX(44777,44602,,"SPX")&lt;/Q&gt;&lt;R&gt;1&lt;/R&gt;&lt;C&gt;1&lt;/C&gt;&lt;D xsi:type="xsd:double"&gt;1.425402&lt;/D&gt;&lt;/FQL&gt;&lt;FQL&gt;&lt;Q&gt;WCC-US^P_BETA_LOCIDX(44776,44601,,"SPX")&lt;/Q&gt;&lt;R&gt;1&lt;/R&gt;&lt;C&gt;1&lt;/C&gt;&lt;D xsi:type="xsd:double"&gt;1.4345828&lt;/D&gt;&lt;/FQL&gt;&lt;FQL&gt;&lt;Q&gt;WCC-US^P_BETA_LOCIDX(44775,44600,,"SPX")&lt;/Q&gt;&lt;R&gt;1&lt;/R&gt;&lt;C&gt;1&lt;/C&gt;&lt;D xsi:type="xsd:double"&gt;1.4464582&lt;/D&gt;&lt;/FQL&gt;&lt;FQL&gt;&lt;Q&gt;WCC-US^P_BETA_LOCIDX(44774,44599,,"SPX")&lt;/Q&gt;&lt;R&gt;1&lt;/R&gt;&lt;C&gt;1&lt;/C&gt;&lt;D xsi:type="xsd:double"&gt;1.4444002&lt;/D&gt;&lt;/FQL&gt;&lt;FQL&gt;&lt;Q&gt;WCC-US^P_BETA_LOCIDX(45845,45670,,"SPX")&lt;/Q&gt;&lt;R&gt;1&lt;/R&gt;&lt;C&gt;1&lt;/C&gt;&lt;D xsi:type="xsd:double"&gt;1.6109542&lt;/D&gt;&lt;/FQL&gt;&lt;FQL&gt;&lt;Q&gt;CRH-US^P_BETA_LOCIDX(45533,45359,,"SPX")&lt;/Q&gt;&lt;R&gt;1&lt;/R&gt;&lt;C&gt;1&lt;/C&gt;&lt;D xsi:type="xsd:double"&gt;1.4445219&lt;/D&gt;&lt;/FQL&gt;&lt;FQL&gt;&lt;Q&gt;CRH-US^P_BETA_LOCIDX(45183,45008,,"SPX")&lt;/Q&gt;&lt;R&gt;1&lt;/R&gt;&lt;C&gt;1&lt;/C&gt;&lt;D xsi:type="xsd:double"&gt;1.0231038&lt;/D&gt;&lt;/FQL&gt;&lt;FQL&gt;&lt;Q&gt;CRH-US^P_BETA_LOCIDX(45351,45176,,"SPX")&lt;/Q&gt;&lt;R&gt;1&lt;/R&gt;&lt;C&gt;1&lt;/C&gt;&lt;D xsi:type="xsd:double"&gt;1.2046798&lt;/D&gt;&lt;/FQL&gt;&lt;FQL&gt;&lt;Q&gt;CRH-US^P_BETA_LOCIDX(45930,45757,,"SPX")&lt;/Q&gt;&lt;R&gt;1&lt;/R&gt;&lt;C&gt;1&lt;/C&gt;&lt;D xsi:type="xsd:double"&gt;1.3863037&lt;/D&gt;&lt;/FQL&gt;&lt;FQL&gt;&lt;Q&gt;CRH-US^P_BETA_LOCIDX(45982,45813,,"SPX")&lt;/Q&gt;&lt;R&gt;1&lt;/R&gt;&lt;C&gt;1&lt;/C&gt;&lt;D xsi:type="xsd:double"&gt;1.0776421&lt;/D&gt;&lt;/FQL&gt;&lt;FQL&gt;&lt;Q&gt;CRH-US^P_BETA_LOCIDX(45412,45236,,"SPX")&lt;/Q&gt;&lt;R&gt;1&lt;/R&gt;&lt;C&gt;1&lt;/C&gt;&lt;D xsi:type="xsd:double"&gt;1.1255054&lt;/D&gt;&lt;/FQL&gt;&lt;FQL&gt;&lt;Q&gt;CRH-US^P_BETA_LOCIDX(45030,44854,,"SPX")&lt;/Q&gt;&lt;R&gt;1&lt;/R&gt;&lt;C&gt;1&lt;/C&gt;&lt;D xsi:type="xsd:double"&gt;1.135328&lt;/D&gt;&lt;/FQL&gt;&lt;FQL&gt;&lt;Q&gt;CRH-US^P_BETA_LOCIDX(45873,45699,,"SPX")&lt;/Q&gt;&lt;R&gt;1&lt;/R&gt;&lt;C&gt;1&lt;/C&gt;&lt;D xsi:type="xsd:double"&gt;1.2732589&lt;/D&gt;&lt;/FQL&gt;&lt;FQL&gt;&lt;Q&gt;CRH-US^P_BETA_LOCIDX(45506,45331,,"SPX")&lt;/Q&gt;&lt;R&gt;1&lt;/R&gt;&lt;C&gt;1&lt;/C&gt;&lt;D xsi:type="xsd:double"&gt;1.3219154&lt;/D&gt;&lt;/FQL&gt;&lt;FQL&gt;&lt;Q&gt;CRH-US^P_BETA_LOCIDX(45757,45581,,"SPX")&lt;/Q&gt;&lt;R&gt;1&lt;/R&gt;&lt;C&gt;1&lt;/C&gt;&lt;D xsi:type="xsd:double"&gt;1.2556114&lt;/D&gt;&lt;/FQL&gt;&lt;FQL&gt;&lt;Q&gt;CRH-US^P_BETA_LOCIDX(45240,45068,,"SPX")&lt;/Q&gt;&lt;R&gt;1&lt;/R&gt;&lt;C&gt;1&lt;/C&gt;&lt;D xsi:type="xsd:double"&gt;1.2649453&lt;/D&gt;&lt;/FQL&gt;&lt;FQL&gt;&lt;Q&gt;CRH-US^P_BETA_LOCIDX(45225,45051,,"SPX")&lt;/Q&gt;&lt;R&gt;1&lt;/R&gt;&lt;C&gt;1&lt;/C&gt;&lt;D xsi:type="xsd:double"&gt;1.2359563&lt;/D&gt;&lt;/FQL&gt;&lt;FQL&gt;&lt;Q&gt;CRH-US^P_BETA_LOCIDX(45014,44839,,"SPX")&lt;/Q&gt;&lt;R&gt;1&lt;/R&gt;&lt;C&gt;1&lt;/C&gt;&lt;D xsi:type="xsd:double"&gt;1.1779103&lt;/D&gt;&lt;/FQL&gt;&lt;FQL&gt;&lt;Q&gt;CRH-US^P_BETA_LOCIDX(45834,45657,,"SPX")&lt;/Q&gt;&lt;R&gt;1&lt;/R&gt;&lt;C&gt;1&lt;/C&gt;&lt;D xsi:type="xsd:double"&gt;1.269484&lt;/D&gt;&lt;/FQL&gt;&lt;FQL&gt;&lt;Q&gt;CRH-US^P_BETA_LOCIDX(45678,45502,,"SPX")&lt;/Q&gt;&lt;R&gt;1&lt;/R&gt;&lt;C&gt;1&lt;/C&gt;&lt;D xsi:type="xsd:double"&gt;1.2313724&lt;/D&gt;&lt;/FQL&gt;&lt;FQL&gt;&lt;Q&gt;CRH-US^P_BETA_LOCIDX(45552,45377,,"SPX")&lt;/Q&gt;&lt;R&gt;1&lt;/R&gt;&lt;C&gt;1&lt;/C&gt;&lt;D xsi:type="xsd:double"&gt;1.3496414&lt;/D&gt;&lt;/FQL&gt;&lt;FQL&gt;&lt;Q&gt;CRH-US^P_BETA_LOCIDX(45714,45538,,"SPX")&lt;/Q&gt;&lt;R&gt;1&lt;/R&gt;&lt;C&gt;1&lt;/C&gt;&lt;D xsi:type="xsd:double"&gt;1.0688381&lt;/D&gt;&lt;/FQL&gt;&lt;FQL&gt;&lt;Q&gt;CRH-US^P_BETA_LOCIDX(45112,44936,,"SPX")&lt;/Q&gt;&lt;R&gt;1&lt;/R&gt;&lt;C&gt;1&lt;/C&gt;&lt;D xsi:type="xsd:double"&gt;1.0259328&lt;/D&gt;&lt;/FQL&gt;&lt;FQL&gt;&lt;Q&gt;CRH-US^P_BETA_LOCIDX(45078,44902,,"SPX")&lt;/Q&gt;&lt;R&gt;1&lt;/R&gt;&lt;C&gt;1&lt;/C&gt;&lt;D xsi:type="xsd:double"&gt;1.0209008&lt;/D&gt;&lt;/FQL&gt;&lt;FQL&gt;&lt;Q&gt;CRH-US^P_BETA_LOCIDX(46021,45848,,"SPX")&lt;/Q&gt;&lt;R&gt;1&lt;/R&gt;&lt;C&gt;1&lt;/C&gt;&lt;D xsi:type="xsd:double"&gt;1.1082423&lt;/D&gt;&lt;/FQL&gt;&lt;FQL&gt;&lt;Q&gt;CRH-US^P_BETA_LOCIDX(45218,45044,,"SPX")&lt;/Q&gt;&lt;R&gt;1&lt;/R&gt;&lt;C&gt;1&lt;/C&gt;&lt;D xsi:type="xsd:double"&gt;1.2221119&lt;/D&gt;&lt;/FQL&gt;&lt;FQL&gt;&lt;Q&gt;CRH-US^P_BETA_LOCIDX(45414,45238,,"SPX")&lt;/Q&gt;&lt;R&gt;1&lt;/R&gt;&lt;C&gt;1&lt;/C&gt;&lt;D xsi:type="xsd:double"&gt;1.1499484&lt;/D&gt;&lt;/FQL&gt;&lt;FQL&gt;&lt;Q&gt;CRH-US^P_BETA_LOCIDX(45337,45162,,"SPX")&lt;/Q&gt;&lt;R&gt;1&lt;/R&gt;&lt;C&gt;1&lt;/C&gt;&lt;D xsi:type="xsd:double"&gt;1.2557231&lt;/D&gt;&lt;/FQL&gt;&lt;FQL&gt;&lt;Q&gt;CRH-US^P_BETA_LOCIDX(45348,45170,,"SPX")&lt;/Q&gt;&lt;R&gt;1&lt;/R&gt;&lt;C&gt;1&lt;/C&gt;&lt;D xsi:type="xsd:double"&gt;1.1969365&lt;/D&gt;&lt;/FQL&gt;&lt;FQL&gt;&lt;Q&gt;CRH-US^P_BETA_LOCIDX(45925,45751,,"SPX")&lt;/Q&gt;&lt;R&gt;1&lt;/R&gt;&lt;C&gt;1&lt;/C&gt;&lt;D xsi:type="xsd:double"&gt;1.2121625&lt;/D&gt;&lt;/FQL&gt;&lt;FQL&gt;&lt;Q&gt;CRH-US^P_BETA_LOCIDX(45372,45197,,"SPX")&lt;/Q&gt;&lt;R&gt;1&lt;/R&gt;&lt;C&gt;1&lt;/C&gt;&lt;D xsi:type="xsd:double"&gt;1.2211345&lt;/D&gt;&lt;/FQL&gt;&lt;FQL&gt;&lt;Q&gt;CRH-US^P_BETA_LOCIDX(45558,45384,,"SPX")&lt;/Q&gt;&lt;R&gt;1&lt;/R&gt;&lt;C&gt;1&lt;/C&gt;&lt;D xsi:type="xsd:double"&gt;1.3736727&lt;/D&gt;&lt;/FQL&gt;&lt;FQL&gt;&lt;Q&gt;CRH-US^P_BETA_LOCIDX(45622,45449,,"SPX")&lt;/Q&gt;&lt;R&gt;1&lt;/R&gt;&lt;C&gt;1&lt;/C&gt;&lt;D xsi:type="xsd:double"&gt;1.2604331&lt;/D&gt;&lt;/FQL&gt;&lt;FQL&gt;&lt;Q&gt;CRH-US^P_BETA_LOCIDX(45503,45328,,"SPX")&lt;/Q&gt;&lt;R&gt;1&lt;/R&gt;&lt;C&gt;1&lt;/C&gt;&lt;D xsi:type="xsd:double"&gt;1.2402911&lt;/D&gt;&lt;/FQL&gt;&lt;FQL&gt;&lt;Q&gt;CRH-US^P_BETA_LOCIDX(45330,45155,,"SPX")&lt;/Q&gt;&lt;R&gt;1&lt;/R&gt;&lt;C&gt;1&lt;/C&gt;&lt;D xsi:type="xsd:double"&gt;1.2269434&lt;/D&gt;&lt;/FQL&gt;&lt;FQL&gt;&lt;Q&gt;CRH-US^P_BETA_LOCIDX(45849,45674,,"SPX")&lt;/Q&gt;&lt;R&gt;1&lt;/R&gt;&lt;C&gt;1&lt;/C&gt;&lt;D xsi:type="xsd:double"&gt;1.2786847&lt;/D&gt;&lt;/FQL&gt;&lt;FQL&gt;&lt;Q&gt;CRH-US^P_BETA_LOCIDX(45615,45442,,"SPX")&lt;/Q&gt;&lt;R&gt;1&lt;/R&gt;&lt;C&gt;1&lt;/C&gt;&lt;D xsi:type="xsd:double"&gt;1.251322&lt;/D&gt;&lt;/FQL&gt;&lt;FQL&gt;&lt;Q&gt;CRH-US^P_BETA_LOCIDX(45582,45408,,"SPX")&lt;/Q&gt;&lt;R&gt;1&lt;/R&gt;&lt;C&gt;1&lt;/C&gt;&lt;D xsi:type="xsd:double"&gt;1.3607997&lt;/D&gt;&lt;/FQL&gt;&lt;FQL&gt;&lt;Q&gt;CRH-US^P_BETA_LOCIDX(45387,45211,,"SPX")&lt;/Q&gt;&lt;R&gt;1&lt;/R&gt;&lt;C&gt;1&lt;/C&gt;&lt;D xsi:type="xsd:double"&gt;1.1701695&lt;/D&gt;&lt;/FQL&gt;&lt;FQL&gt;&lt;Q&gt;CRH-US^P_BETA_LOCIDX(44987,44812,,"SPX")&lt;/Q&gt;&lt;R&gt;1&lt;/R&gt;&lt;C&gt;1&lt;/C&gt;&lt;D xsi:type="xsd:double"&gt;1.2454621&lt;/D&gt;&lt;/FQL&gt;&lt;FQL&gt;&lt;Q&gt;CRH-US^P_BETA_LOCIDX(45909,45736,,"SPX")&lt;/Q&gt;&lt;R&gt;1&lt;/R&gt;&lt;C&gt;1&lt;/C&gt;&lt;D xsi:type="xsd:double"&gt;1.2277306&lt;/D&gt;&lt;/FQL&gt;&lt;FQL&gt;&lt;Q&gt;CRH-US^P_BETA_LOCIDX(45936,45763,,"SPX")&lt;/Q&gt;&lt;R&gt;1&lt;/R&gt;&lt;C&gt;1&lt;/C&gt;&lt;D xsi:type="xsd:double"&gt;1.3134166&lt;/D&gt;&lt;/FQL&gt;&lt;FQL&gt;&lt;Q&gt;CRH-US^P_BETA_LOCIDX(45961,45791,,"SPX")&lt;/Q&gt;&lt;R&gt;1&lt;/R&gt;&lt;C&gt;1&lt;/C&gt;&lt;D xsi:type="xsd:double"&gt;1.1411998&lt;/D&gt;&lt;/FQL&gt;&lt;FQL&gt;&lt;Q&gt;CRH-US^P_BETA_LOCIDX(45989,45820,,"SPX")&lt;/Q&gt;&lt;R&gt;1&lt;/R&gt;&lt;C&gt;1&lt;/C&gt;&lt;D xsi:type="xsd:double"&gt;1.1854112&lt;/D&gt;&lt;/FQL&gt;&lt;FQL&gt;&lt;Q&gt;CRH-US^P_BETA_LOCIDX(45904,45730,,"SPX")&lt;/Q&gt;&lt;R&gt;1&lt;/R&gt;&lt;C&gt;1&lt;/C&gt;&lt;D xsi:type="xsd:double"&gt;1.2342027&lt;/D&gt;&lt;/FQL&gt;&lt;FQL&gt;&lt;Q&gt;CRH-US^P_BETA_LOCIDX(45597,45425,,"SPX")&lt;/Q&gt;&lt;R&gt;1&lt;/R&gt;&lt;C&gt;1&lt;/C&gt;&lt;D xsi:type="xsd:double"&gt;1.2878035&lt;/D&gt;&lt;/FQL&gt;&lt;FQL&gt;&lt;Q&gt;CRH-US^P_BETA_LOCIDX(45505,45330,,"SPX")&lt;/Q&gt;&lt;R&gt;1&lt;/R&gt;&lt;C&gt;1&lt;/C&gt;&lt;D xsi:type="xsd:double"&gt;1.2936913&lt;/D&gt;&lt;/FQL&gt;&lt;FQL&gt;&lt;Q&gt;CRH-US^P_BETA_LOCIDX(45160,44986,,"SPX")&lt;/Q&gt;&lt;R&gt;1&lt;/R&gt;&lt;C&gt;1&lt;/C&gt;&lt;D xsi:type="xsd:double"&gt;1.0668352&lt;/D&gt;&lt;/FQL&gt;&lt;FQL&gt;&lt;Q&gt;CRH-US^P_BETA_LOCIDX(45349,45174,,"SPX")&lt;/Q&gt;&lt;R&gt;1&lt;/R&gt;&lt;C&gt;1&lt;/C&gt;&lt;D xsi:type="xsd:double"&gt;1.1964505&lt;/D&gt;&lt;/FQL&gt;&lt;FQL&gt;&lt;Q&gt;CRH-US^P_BETA_LOCIDX(45908,45734,,"SPX")&lt;/Q&gt;&lt;R&gt;1&lt;/R&gt;&lt;C&gt;1&lt;/C&gt;&lt;D xsi:type="xsd:double"&gt;1.233485&lt;/D&gt;&lt;/FQL&gt;&lt;FQL&gt;&lt;Q&gt;CRH-US^P_BETA_LOCIDX(45545,45370,,"SPX")&lt;/Q&gt;&lt;R&gt;1&lt;/R&gt;&lt;C&gt;1&lt;/C&gt;&lt;D xsi:type="xsd:double"&gt;1.355443&lt;/D&gt;&lt;/FQL&gt;&lt;FQL&gt;&lt;Q&gt;CRH-US^P_BETA_LOCIDX(45910,45737,,"SPX")&lt;/Q&gt;&lt;R&gt;1&lt;/R&gt;&lt;C&gt;1&lt;/C&gt;&lt;D xsi:type="xsd:double"&gt;1.2265953&lt;/D&gt;&lt;/FQL&gt;&lt;FQL&gt;&lt;Q&gt;CRH-US^P_BETA_LOCIDX(45964,45792,,"SPX")&lt;/Q&gt;&lt;R&gt;1&lt;/R&gt;&lt;C&gt;1&lt;/C&gt;&lt;D xsi:type="xsd:double"&gt;1.1400793&lt;/D&gt;&lt;/FQL&gt;&lt;FQL&gt;&lt;Q&gt;CRH-US^P_BETA_LOCIDX(45993,45824,,"SPX")&lt;/Q&gt;&lt;R&gt;1&lt;/R&gt;&lt;C&gt;1&lt;/C&gt;&lt;D xsi:type="xsd:double"&gt;1.1400934&lt;/D&gt;&lt;/FQL&gt;&lt;FQL&gt;&lt;Q&gt;CRH-US^P_BETA_LOCIDX(45932,45758,,"SPX")&lt;/Q&gt;&lt;R&gt;1&lt;/R&gt;&lt;C&gt;1&lt;/C&gt;&lt;D xsi:type="xsd:double"&gt;1.3008221&lt;/D&gt;&lt;/FQL&gt;&lt;FQL&gt;&lt;Q&gt;CRH-US^P_BETA_LOCIDX(45233,45061,,"SPX")&lt;/Q&gt;&lt;R&gt;1&lt;/R&gt;&lt;C&gt;1&lt;/C&gt;&lt;D xsi:type="xsd:double"&gt;1.2379813&lt;/D&gt;&lt;/FQL&gt;&lt;FQL&gt;&lt;Q&gt;CRH-US^P_BETA_LOCIDX(45833,45656,,"SPX")&lt;/Q&gt;&lt;R&gt;1&lt;/R&gt;&lt;C&gt;1&lt;/C&gt;&lt;D xsi:type="xsd:double"&gt;1.2700185&lt;/D&gt;&lt;/FQL&gt;&lt;FQL&gt;&lt;Q&gt;CRH-US^P_BETA_LOCIDX(45147,44972,,"SPX")&lt;/Q&gt;&lt;R&gt;1&lt;/R&gt;&lt;C&gt;1&lt;/C&gt;&lt;D xsi:type="xsd:double"&gt;1.0623907&lt;/D&gt;&lt;/FQL&gt;&lt;FQL&gt;&lt;Q&gt;CRH-US^P_BETA_LOCIDX(45579,45405,,"SPX")&lt;/Q&gt;&lt;R&gt;1&lt;/R&gt;&lt;C&gt;1&lt;/C&gt;&lt;D xsi:type="xsd:double"&gt;1.3845949&lt;/D&gt;&lt;/FQL&gt;&lt;FQL&gt;&lt;Q&gt;CRH-US^P_BETA_LOCIDX(45041,44865,,"SPX")&lt;/Q&gt;&lt;R&gt;1&lt;/R&gt;&lt;C&gt;1&lt;/C&gt;&lt;D xsi:type="xsd:double"&gt;1.123608&lt;/D&gt;&lt;/FQL&gt;&lt;FQL&gt;&lt;Q&gt;CRH-US^P_BETA_LOCIDX(45938,45768,,"SPX")&lt;/Q&gt;&lt;R&gt;1&lt;/R&gt;&lt;C&gt;1&lt;/C&gt;&lt;D xsi:type="xsd:double"&gt;1.3913804&lt;/D&gt;&lt;/FQL&gt;&lt;FQL&gt;&lt;Q&gt;CRH-US^P_BETA_LOCIDX(46021,45853,,"SPX")&lt;/Q&gt;&lt;R&gt;1&lt;/R&gt;&lt;C&gt;1&lt;/C&gt;&lt;D xsi:type="xsd:double"&gt;1.1091973&lt;/D&gt;&lt;/FQL&gt;&lt;FQL&gt;&lt;Q&gt;CRH-US^P_BETA_LOCIDX(45846,45671,,"SPX")&lt;/Q&gt;&lt;R&gt;1&lt;/R&gt;&lt;C&gt;1&lt;/C&gt;&lt;D xsi:type="xsd:double"&gt;1.2830789&lt;/D&gt;&lt;/FQL&gt;&lt;FQL&gt;&lt;Q&gt;CRH-US^P_BETA_LOCIDX(45636,45463,,"SPX")&lt;/Q&gt;&lt;R&gt;1&lt;/R&gt;&lt;C&gt;1&lt;/C&gt;&lt;D xsi:type="xsd:double"&gt;1.2628044&lt;/D&gt;&lt;/FQL&gt;&lt;FQL&gt;&lt;Q&gt;CRH-US^P_BETA_LOCIDX(45280,45107,,"SPX")&lt;/Q&gt;&lt;R&gt;1&lt;/R&gt;&lt;C&gt;1&lt;/C&gt;&lt;D xsi:type="xsd:double"&gt;1.2207875&lt;/D&gt;&lt;/FQL&gt;&lt;FQL&gt;&lt;Q&gt;CRH-US^P_BETA_LOCIDX(44971,44796,,"SPX")&lt;/Q&gt;&lt;R&gt;1&lt;/R&gt;&lt;C&gt;1&lt;/C&gt;&lt;D xsi:type="xsd:double"&gt;1.208479&lt;/D&gt;&lt;/FQL&gt;&lt;FQL&gt;&lt;Q&gt;CRH-US^P_BETA_LOCIDX(45693,45517,,"SPX")&lt;/Q&gt;&lt;R&gt;1&lt;/R&gt;&lt;C&gt;1&lt;/C&gt;&lt;D xsi:type="xsd:double"&gt;1.0667881&lt;/D&gt;&lt;/FQL&gt;&lt;FQL&gt;&lt;Q&gt;CRH-US^P_BETA_LOCIDX(45912,45741,,"SPX")&lt;/Q&gt;&lt;R&gt;1&lt;/R&gt;&lt;C&gt;1&lt;/C&gt;&lt;D xsi:type="xsd:double"&gt;1.2219864&lt;/D&gt;&lt;/FQL&gt;&lt;FQL&gt;&lt;Q&gt;CRH-US^P_BETA_LOCIDX(45939,45769,,"SPX")&lt;/Q&gt;&lt;R&gt;1&lt;/R&gt;&lt;C&gt;1&lt;/C&gt;&lt;D xsi:type="xsd:double"&gt;1.4268101&lt;/D&gt;&lt;/FQL&gt;&lt;FQL&gt;&lt;Q&gt;CRH-US^P_BETA_LOCIDX(45966,45796,,"SPX")&lt;/Q&gt;&lt;R&gt;1&lt;/R&gt;&lt;C&gt;1&lt;/C&gt;&lt;D xsi:type="xsd:double"&gt;1.1188762&lt;/D&gt;&lt;/FQL&gt;&lt;FQL&gt;&lt;Q&gt;CRH-US^P_BETA_LOCIDX(46022,45854,,"SPX")&lt;/Q&gt;&lt;R&gt;1&lt;/R&gt;&lt;C&gt;1&lt;/C&gt;&lt;D xsi:type="xsd:double"&gt;1.1079104&lt;/D&gt;&lt;/FQL&gt;&lt;FQL&gt;&lt;Q&gt;CRH-US^P_BETA_LOCIDX(45005,44830,,"SPX")&lt;/Q&gt;&lt;R&gt;1&lt;/R&gt;&lt;C&gt;1&lt;/C&gt;&lt;D xsi:type="xsd:double"&gt;1.2154254&lt;/D&gt;&lt;/FQL&gt;&lt;FQL&gt;&lt;Q&gt;CRH-US^P_BETA_LOCIDX(45758,45582,,"SPX")&lt;/Q&gt;&lt;R&gt;1&lt;/R&gt;&lt;C&gt;1&lt;/C&gt;&lt;D xsi:type="xsd:double"&gt;1.2534299&lt;/D&gt;&lt;/FQL&gt;&lt;FQL&gt;&lt;Q&gt;CRH-US^P_BETA_LOCIDX(45203,45029,,"SPX")&lt;/Q&gt;&lt;R&gt;1&lt;/R&gt;&lt;C&gt;1&lt;/C&gt;&lt;D xsi:type="xsd:double"&gt;1.0319428&lt;/D&gt;&lt;/FQL&gt;&lt;FQL&gt;&lt;Q&gt;CRH-US^P_BETA_LOCIDX(45251,45078,,"SPX")&lt;/Q&gt;&lt;R&gt;1&lt;/R&gt;&lt;C&gt;1&lt;/C&gt;&lt;D xsi:type="xsd:double"&gt;1.1545297&lt;/D&gt;&lt;/FQL&gt;&lt;FQL&gt;&lt;Q&gt;CRH-US^P_BETA_LOCIDX(45267,45093,,"SPX")&lt;/Q&gt;&lt;R&gt;1&lt;/R&gt;&lt;C&gt;1&lt;/C&gt;&lt;D xsi:type="xsd:double"&gt;1.1763699&lt;/D&gt;&lt;/FQL&gt;&lt;FQL&gt;&lt;Q&gt;CRH-US^P_BETA_LOCIDX(45588,45414,,"SPX")&lt;/Q&gt;&lt;R&gt;1&lt;/R&gt;&lt;C&gt;1&lt;/C&gt;&lt;D xsi:type="xsd:double"&gt;1.3646939&lt;/D&gt;&lt;/FQL&gt;&lt;FQL&gt;&lt;Q&gt;CRH-US^P_BETA_LOCIDX(45915,45742,,"SPX")&lt;/Q&gt;&lt;R&gt;1&lt;/R&gt;&lt;C&gt;1&lt;/C&gt;&lt;D xsi:type="xsd:double"&gt;1.2209564&lt;/D&gt;&lt;/FQL&gt;&lt;FQL&gt;&lt;Q&gt;CRH-US^P_BETA_LOCIDX(45995,45826,,"SPX")&lt;/Q&gt;&lt;R&gt;1&lt;/R&gt;&lt;C&gt;1&lt;/C&gt;&lt;D xsi:type="xsd:double"&gt;1.1571763&lt;/D&gt;&lt;/FQL&gt;&lt;FQL&gt;&lt;Q&gt;CRH-US^P_BETA_LOCIDX(46020,45847,,"SPX")&lt;/Q&gt;&lt;R&gt;1&lt;/R&gt;&lt;C&gt;1&lt;/C&gt;&lt;D xsi:type="xsd:double"&gt;1.1135874&lt;/D&gt;&lt;/FQL&gt;&lt;FQL&gt;&lt;Q&gt;CRH-US^P_BETA_LOCIDX(45126,44951,,"SPX")&lt;/Q&gt;&lt;R&gt;1&lt;/R&gt;&lt;C&gt;1&lt;/C&gt;&lt;D xsi:type="xsd:double"&gt;1.0805665&lt;/D&gt;&lt;/FQL&gt;&lt;FQL&gt;&lt;Q&gt;CRH-US^P_BETA_LOCIDX(45954,45783,,"SPX")&lt;/Q&gt;&lt;R&gt;1&lt;/R&gt;&lt;C&gt;1&lt;/C&gt;&lt;D xsi:type="xsd:double"&gt;1.2208827&lt;/D&gt;&lt;/FQL&gt;&lt;FQL&gt;&lt;Q&gt;CRH-US^P_BETA_LOCIDX(45448,45272,,"SPX")&lt;/Q&gt;&lt;R&gt;1&lt;/R&gt;&lt;C&gt;1&lt;/C&gt;&lt;D xsi:type="xsd:double"&gt;1.2760651&lt;/D&gt;&lt;/FQL&gt;&lt;FQL&gt;&lt;Q&gt;CRH-US^P_BETA_LOCIDX(45603,45429,,"SPX")&lt;/Q&gt;&lt;R&gt;1&lt;/R&gt;&lt;C&gt;1&lt;/C&gt;&lt;D xsi:type="xsd:double"&gt;1.2598822&lt;/D&gt;&lt;/FQL&gt;&lt;FQL&gt;&lt;Q&gt;CRH-US^P_BETA_LOCIDX(45862,45688,,"SPX")&lt;/Q&gt;&lt;R&gt;1&lt;/R&gt;&lt;C&gt;1&lt;/C&gt;&lt;D xsi:type="xsd:double"&gt;1.2791624&lt;/D&gt;&lt;/FQL&gt;&lt;FQL&gt;&lt;Q&gt;CRH-US^P_BETA_LOCIDX(45727,45551,,"SPX")&lt;/Q&gt;&lt;R&gt;1&lt;/R&gt;&lt;C&gt;1&lt;/C&gt;&lt;D xsi:type="xsd:double"&gt;1.268093&lt;/D&gt;&lt;/FQL&gt;&lt;FQL&gt;&lt;Q&gt;CRH-US^P_BETA_LOCIDX(45940,45770,,"SPX")&lt;/Q&gt;&lt;R&gt;1&lt;/R&gt;&lt;C&gt;1&lt;/C&gt;&lt;D xsi:type="xsd:double"&gt;1.3098342&lt;/D&gt;&lt;/FQL&gt;&lt;FQL&gt;&lt;Q&gt;CRH-US^P_BETA_LOCIDX(45968,45798,,"SPX")&lt;/Q&gt;&lt;R&gt;1&lt;/R&gt;&lt;C&gt;1&lt;/C&gt;&lt;D xsi:type="xsd:double"&gt;1.0934885&lt;/D&gt;&lt;/FQL&gt;&lt;FQL&gt;&lt;Q&gt;CRH-US^P_BETA_LOCIDX(46024,45856,,"SPX")&lt;/Q&gt;&lt;R&gt;1&lt;/R&gt;&lt;C&gt;1&lt;/C&gt;&lt;D xsi:type="xsd:double"&gt;1.123775&lt;/D&gt;&lt;/FQL&gt;&lt;FQL&gt;&lt;Q&gt;CRH-US^P_BETA_LOCIDX(45972,45800,,"SPX")&lt;/Q&gt;&lt;R&gt;1&lt;/R&gt;&lt;C&gt;1&lt;/C&gt;&lt;D xsi:type="xsd:double"&gt;1.070908&lt;/D&gt;&lt;/FQL&gt;&lt;FQL&gt;&lt;Q&gt;CRH-US^P_BETA_LOCIDX(46028,45860,,"SPX")&lt;/Q&gt;&lt;R&gt;1&lt;/R&gt;&lt;C&gt;1&lt;/C&gt;&lt;D xsi:type="xsd:double"&gt;1.1268582&lt;/D&gt;&lt;/FQL&gt;&lt;FQL&gt;&lt;Q&gt;CRH-US^P_BETA_LOCIDX(45156,44984,,"SPX")&lt;/Q&gt;&lt;R&gt;1&lt;/R&gt;&lt;C&gt;1&lt;/C&gt;&lt;D xsi:type="xsd:double"&gt;1.0778266&lt;/D&gt;&lt;/FQL&gt;&lt;FQL&gt;&lt;Q&gt;CRH-US^P_BETA_LOCIDX(45264,45090,,"SPX")&lt;/Q&gt;&lt;R&gt;1&lt;/R&gt;&lt;C&gt;1&lt;/C&gt;&lt;D xsi:type="xsd:double"&gt;1.1661656&lt;/D&gt;&lt;/FQL&gt;&lt;FQL&gt;&lt;Q&gt;CRH-US^P_BETA_LOCIDX(45450,45274,,"SPX")&lt;/Q&gt;&lt;R&gt;1&lt;/R&gt;&lt;C&gt;1&lt;/C&gt;&lt;D xsi:type="xsd:double"&gt;1.2651378&lt;/D&gt;&lt;/FQL&gt;&lt;FQL&gt;&lt;Q&gt;CRH-US^P_BETA_LOCIDX(45163,44991,,"SPX")&lt;/Q&gt;&lt;R&gt;1&lt;/R&gt;&lt;C&gt;1&lt;/C&gt;&lt;D xsi:type="xsd:double"&gt;1.0469213&lt;/D&gt;&lt;/FQL&gt;&lt;FQL&gt;&lt;Q&gt;CRH-US^P_BETA_LOCIDX(45854,45680,,"SPX")&lt;/Q&gt;&lt;R&gt;1&lt;/R&gt;&lt;C&gt;1&lt;/C&gt;&lt;D xsi:type="xsd:double"&gt;1.2712417&lt;/D&gt;&lt;/FQL&gt;&lt;FQL&gt;&lt;Q&gt;CRH-US^P_BETA_LOCIDX(45744,45568,,"SPX")&lt;/Q&gt;&lt;R&gt;1&lt;/R&gt;&lt;C&gt;1&lt;/C&gt;&lt;D xsi:type="xsd:double"&gt;1.4005665&lt;/D&gt;&lt;/FQL&gt;&lt;FQL&gt;&lt;Q&gt;CRH-US^P_BETA_LOCIDX(45720,45544,,"SPX")&lt;/Q&gt;&lt;R&gt;1&lt;/R&gt;&lt;C&gt;1&lt;/C&gt;&lt;D xsi:type="xsd:double"&gt;1.1224482&lt;/D&gt;&lt;/FQL&gt;&lt;FQL&gt;&lt;Q&gt;CRH-US^P_BETA_LOCIDX(45719,</t>
        </r>
      </text>
    </comment>
    <comment ref="A34" authorId="0" shapeId="0" xr:uid="{BB7FEBB6-7823-4849-8900-9A7D09F95707}">
      <text>
        <r>
          <rPr>
            <b/>
            <sz val="9"/>
            <color indexed="81"/>
            <rFont val="Tahoma"/>
            <family val="2"/>
          </rPr>
          <t>45541,,"SPX")&lt;/Q&gt;&lt;R&gt;1&lt;/R&gt;&lt;C&gt;1&lt;/C&gt;&lt;D xsi:type="xsd:double"&gt;1.0209184&lt;/D&gt;&lt;/FQL&gt;&lt;FQL&gt;&lt;Q&gt;CRH-US^P_BETA_LOCIDX(45965,45792,,"SPX")&lt;/Q&gt;&lt;R&gt;1&lt;/R&gt;&lt;C&gt;1&lt;/C&gt;&lt;D xsi:type="xsd:double"&gt;1.1304411&lt;/D&gt;&lt;/FQL&gt;&lt;FQL&gt;&lt;Q&gt;CRH-US^P_BETA_LOCIDX(45672,45497,,"SPX")&lt;/Q&gt;&lt;R&gt;1&lt;/R&gt;&lt;C&gt;1&lt;/C&gt;&lt;D xsi:type="xsd:double"&gt;1.2360847&lt;/D&gt;&lt;/FQL&gt;&lt;FQL&gt;&lt;Q&gt;CRH-US^P_BETA_LOCIDX(45258,45084,,"SPX")&lt;/Q&gt;&lt;R&gt;1&lt;/R&gt;&lt;C&gt;1&lt;/C&gt;&lt;D xsi:type="xsd:double"&gt;1.1475993&lt;/D&gt;&lt;/FQL&gt;&lt;FQL&gt;&lt;Q&gt;CRH-US^P_BETA_LOCIDX(45194,45019,,"SPX")&lt;/Q&gt;&lt;R&gt;1&lt;/R&gt;&lt;C&gt;1&lt;/C&gt;&lt;D xsi:type="xsd:double"&gt;1.056596&lt;/D&gt;&lt;/FQL&gt;&lt;FQL&gt;&lt;Q&gt;CRH-US^P_BETA_LOCIDX(45068,44893,,"SPX")&lt;/Q&gt;&lt;R&gt;1&lt;/R&gt;&lt;C&gt;1&lt;/C&gt;&lt;D xsi:type="xsd:double"&gt;0.9495382&lt;/D&gt;&lt;/FQL&gt;&lt;FQL&gt;&lt;Q&gt;CRH-US^P_BETA_LOCIDX(45084,44908,,"SPX")&lt;/Q&gt;&lt;R&gt;1&lt;/R&gt;&lt;C&gt;1&lt;/C&gt;&lt;D xsi:type="xsd:double"&gt;1.0512515&lt;/D&gt;&lt;/FQL&gt;&lt;FQL&gt;&lt;Q&gt;CRH-US^P_BETA_LOCIDX(45457,45281,,"SPX")&lt;/Q&gt;&lt;R&gt;1&lt;/R&gt;&lt;C&gt;1&lt;/C&gt;&lt;D xsi:type="xsd:double"&gt;1.2776804&lt;/D&gt;&lt;/FQL&gt;&lt;FQL&gt;&lt;Q&gt;CRH-US^P_BETA_LOCIDX(45422,45246,,"SPX")&lt;/Q&gt;&lt;R&gt;1&lt;/R&gt;&lt;C&gt;1&lt;/C&gt;&lt;D xsi:type="xsd:double"&gt;1.1939256&lt;/D&gt;&lt;/FQL&gt;&lt;FQL&gt;&lt;Q&gt;CRH-US^P_BETA_LOCIDX(45159,44985,,"SPX")&lt;/Q&gt;&lt;R&gt;1&lt;/R&gt;&lt;C&gt;1&lt;/C&gt;&lt;D xsi:type="xsd:double"&gt;1.0694027&lt;/D&gt;&lt;/FQL&gt;&lt;FQL&gt;&lt;Q&gt;CRH-US^P_BETA_LOCIDX(45117,44939,,"SPX")&lt;/Q&gt;&lt;R&gt;1&lt;/R&gt;&lt;C&gt;1&lt;/C&gt;&lt;D xsi:type="xsd:double"&gt;1.0393705&lt;/D&gt;&lt;/FQL&gt;&lt;FQL&gt;&lt;Q&gt;CRH-US^P_BETA_LOCIDX(45012,44837,,"SPX")&lt;/Q&gt;&lt;R&gt;1&lt;/R&gt;&lt;C&gt;1&lt;/C&gt;&lt;D xsi:type="xsd:double"&gt;1.2116635&lt;/D&gt;&lt;/FQL&gt;&lt;FQL&gt;&lt;Q&gt;CRH-US^P_BETA_LOCIDX(45874,45700,,"SPX")&lt;/Q&gt;&lt;R&gt;1&lt;/R&gt;&lt;C&gt;1&lt;/C&gt;&lt;D xsi:type="xsd:double"&gt;1.2725192&lt;/D&gt;&lt;/FQL&gt;&lt;FQL&gt;&lt;Q&gt;CRH-US^P_BETA_LOCIDX(45642,45469,,"SPX")&lt;/Q&gt;&lt;R&gt;1&lt;/R&gt;&lt;C&gt;1&lt;/C&gt;&lt;D xsi:type="xsd:double"&gt;1.2368149&lt;/D&gt;&lt;/FQL&gt;&lt;FQL&gt;&lt;Q&gt;CRH-US^P_BETA_LOCIDX(45772,45595,,"SPX")&lt;/Q&gt;&lt;R&gt;1&lt;/R&gt;&lt;C&gt;1&lt;/C&gt;&lt;D xsi:type="xsd:double"&gt;1.2515498&lt;/D&gt;&lt;/FQL&gt;&lt;FQL&gt;&lt;Q&gt;CRH-US^P_BETA_LOCIDX(45918,45747,,"SPX")&lt;/Q&gt;&lt;R&gt;1&lt;/R&gt;&lt;C&gt;1&lt;/C&gt;&lt;D xsi:type="xsd:double"&gt;1.1876134&lt;/D&gt;&lt;/FQL&gt;&lt;FQL&gt;&lt;Q&gt;CRH-US^P_BETA_LOCIDX(45946,45776,,"SPX")&lt;/Q&gt;&lt;R&gt;1&lt;/R&gt;&lt;C&gt;1&lt;/C&gt;&lt;D xsi:type="xsd:double"&gt;1.2318312&lt;/D&gt;&lt;/FQL&gt;&lt;FQL&gt;&lt;Q&gt;CRH-US^P_BETA_LOCIDX(46000,45832,,"SPX")&lt;/Q&gt;&lt;R&gt;1&lt;/R&gt;&lt;C&gt;1&lt;/C&gt;&lt;D xsi:type="xsd:double"&gt;1.0916172&lt;/D&gt;&lt;/FQL&gt;&lt;FQL&gt;&lt;Q&gt;CRH-US^P_BETA_LOCIDX(46029,45861,,"SPX")&lt;/Q&gt;&lt;R&gt;1&lt;/R&gt;&lt;C&gt;1&lt;/C&gt;&lt;D xsi:type="xsd:double"&gt;1.1603193&lt;/D&gt;&lt;/FQL&gt;&lt;FQL&gt;&lt;Q&gt;CRH-US^P_BETA_LOCIDX(45604,45432,,"SPX")&lt;/Q&gt;&lt;R&gt;1&lt;/R&gt;&lt;C&gt;1&lt;/C&gt;&lt;D xsi:type="xsd:double"&gt;1.2584902&lt;/D&gt;&lt;/FQL&gt;&lt;FQL&gt;&lt;Q&gt;CRH-US^P_BETA_LOCIDX(45593,45419,,"SPX")&lt;/Q&gt;&lt;R&gt;1&lt;/R&gt;&lt;C&gt;1&lt;/C&gt;&lt;D xsi:type="xsd:double"&gt;1.3486437&lt;/D&gt;&lt;/FQL&gt;&lt;FQL&gt;&lt;Q&gt;CRH-US^P_BETA_LOCIDX(45065,44890,,"SPX")&lt;/Q&gt;&lt;R&gt;1&lt;/R&gt;&lt;C&gt;1&lt;/C&gt;&lt;D xsi:type="xsd:double"&gt;0.94907564&lt;/D&gt;&lt;/FQL&gt;&lt;FQL&gt;&lt;Q&gt;CRH-US^P_BETA_LOCIDX(45587,45413,,"SPX")&lt;/Q&gt;&lt;R&gt;1&lt;/R&gt;&lt;C&gt;1&lt;/C&gt;&lt;D xsi:type="xsd:double"&gt;1.3661073&lt;/D&gt;&lt;/FQL&gt;&lt;FQL&gt;&lt;Q&gt;CRH-US^P_BETA_LOCIDX(45583,45411,,"SPX")&lt;/Q&gt;&lt;R&gt;1&lt;/R&gt;&lt;C&gt;1&lt;/C&gt;&lt;D xsi:type="xsd:double"&gt;1.3545257&lt;/D&gt;&lt;/FQL&gt;&lt;FQL&gt;&lt;Q&gt;CRH-US^P_BETA_LOCIDX(45967,45796,,"SPX")&lt;/Q&gt;&lt;R&gt;1&lt;/R&gt;&lt;C&gt;1&lt;/C&gt;&lt;D xsi:type="xsd:double"&gt;1.1084607&lt;/D&gt;&lt;/FQL&gt;&lt;FQL&gt;&lt;Q&gt;CRH-US^P_BETA_LOCIDX(45551,45376,,"SPX")&lt;/Q&gt;&lt;R&gt;1&lt;/R&gt;&lt;C&gt;1&lt;/C&gt;&lt;D xsi:type="xsd:double"&gt;1.3448509&lt;/D&gt;&lt;/FQL&gt;&lt;FQL&gt;&lt;Q&gt;CRH-US^P_BETA_LOCIDX(45560,45386,,"SPX")&lt;/Q&gt;&lt;R&gt;1&lt;/R&gt;&lt;C&gt;1&lt;/C&gt;&lt;D xsi:type="xsd:double"&gt;1.3736559&lt;/D&gt;&lt;/FQL&gt;&lt;FQL&gt;&lt;Q&gt;CRH-US^P_BETA_LOCIDX(45602,45428,,"SPX")&lt;/Q&gt;&lt;R&gt;1&lt;/R&gt;&lt;C&gt;1&lt;/C&gt;&lt;D xsi:type="xsd:double"&gt;1.2723447&lt;/D&gt;&lt;/FQL&gt;&lt;FQL&gt;&lt;Q&gt;CRH-US^P_BETA_LOCIDX(45868,45694,,"SPX")&lt;/Q&gt;&lt;R&gt;1&lt;/R&gt;&lt;C&gt;1&lt;/C&gt;&lt;D xsi:type="xsd:double"&gt;1.2781467&lt;/D&gt;&lt;/FQL&gt;&lt;FQL&gt;&lt;Q&gt;CRH-US^P_BETA_LOCIDX(45691,45513,,"SPX")&lt;/Q&gt;&lt;R&gt;1&lt;/R&gt;&lt;C&gt;1&lt;/C&gt;&lt;D xsi:type="xsd:double"&gt;1.0583985&lt;/D&gt;&lt;/FQL&gt;&lt;FQL&gt;&lt;Q&gt;CRH-US^P_BETA_LOCIDX(45573,45399,,"SPX")&lt;/Q&gt;&lt;R&gt;1&lt;/R&gt;&lt;C&gt;1&lt;/C&gt;&lt;D xsi:type="xsd:double"&gt;1.3765285&lt;/D&gt;&lt;/FQL&gt;&lt;FQL&gt;&lt;Q&gt;CRH-US^P_BETA_LOCIDX(45498,45323,,"SPX")&lt;/Q&gt;&lt;R&gt;1&lt;/R&gt;&lt;C&gt;1&lt;/C&gt;&lt;D xsi:type="xsd:double"&gt;1.2350942&lt;/D&gt;&lt;/FQL&gt;&lt;FQL&gt;&lt;Q&gt;CRH-US^P_BETA_LOCIDX(45611,45440,,"SPX")&lt;/Q&gt;&lt;R&gt;1&lt;/R&gt;&lt;C&gt;1&lt;/C&gt;&lt;D xsi:type="xsd:double"&gt;1.258147&lt;/D&gt;&lt;/FQL&gt;&lt;FQL&gt;&lt;Q&gt;CRH-US^P_BETA_LOCIDX(45889,45716,,"SPX")&lt;/Q&gt;&lt;R&gt;1&lt;/R&gt;&lt;C&gt;1&lt;/C&gt;&lt;D xsi:type="xsd:double"&gt;1.2858769&lt;/D&gt;&lt;/FQL&gt;&lt;FQL&gt;&lt;Q&gt;CRH-US^P_BETA_LOCIDX(45364,45189,,"SPX")&lt;/Q&gt;&lt;R&gt;1&lt;/R&gt;&lt;C&gt;1&lt;/C&gt;&lt;D xsi:type="xsd:double"&gt;1.1649652&lt;/D&gt;&lt;/FQL&gt;&lt;FQL&gt;&lt;Q&gt;CRH-US^P_BETA_LOCIDX(45754,45576,,"SPX")&lt;/Q&gt;&lt;R&gt;1&lt;/R&gt;&lt;C&gt;1&lt;/C&gt;&lt;D xsi:type="xsd:double"&gt;1.2825809&lt;/D&gt;&lt;/FQL&gt;&lt;FQL&gt;&lt;Q&gt;CRH-US^P_BETA_LOCIDX(45890,45719,,"SPX")&lt;/Q&gt;&lt;R&gt;1&lt;/R&gt;&lt;C&gt;1&lt;/C&gt;&lt;D xsi:type="xsd:double"&gt;1.2908081&lt;/D&gt;&lt;/FQL&gt;&lt;FQL&gt;&lt;Q&gt;CRH-US^P_BETA_LOCIDX(45168,44994,,"SPX")&lt;/Q&gt;&lt;R&gt;1&lt;/R&gt;&lt;C&gt;1&lt;/C&gt;&lt;D xsi:type="xsd:double"&gt;1.044829&lt;/D&gt;&lt;/FQL&gt;&lt;FQL&gt;&lt;Q&gt;CRH-US^P_BETA_LOCIDX(45847,45672,,"SPX")&lt;/Q&gt;&lt;R&gt;1&lt;/R&gt;&lt;C&gt;1&lt;/C&gt;&lt;D xsi:type="xsd:double"&gt;1.2851086&lt;/D&gt;&lt;/FQL&gt;&lt;FQL&gt;&lt;Q&gt;CRH-US^P_BETA_LOCIDX(44988,44813,,"SPX")&lt;/Q&gt;&lt;R&gt;1&lt;/R&gt;&lt;C&gt;1&lt;/C&gt;&lt;D xsi:type="xsd:double"&gt;1.2328988&lt;/D&gt;&lt;/FQL&gt;&lt;FQL&gt;&lt;Q&gt;CRH-US^P_BETA_LOCIDX(45973,45804,,"SPX")&lt;/Q&gt;&lt;R&gt;1&lt;/R&gt;&lt;C&gt;1&lt;/C&gt;&lt;D xsi:type="xsd:double"&gt;1.0635575&lt;/D&gt;&lt;/FQL&gt;&lt;FQL&gt;&lt;Q&gt;CRH-US^P_BETA_LOCIDX(46030,45862,,"SPX")&lt;/Q&gt;&lt;R&gt;1&lt;/R&gt;&lt;C&gt;1&lt;/C&gt;&lt;D xsi:type="xsd:double"&gt;1.154961&lt;/D&gt;&lt;/FQL&gt;&lt;FQL&gt;&lt;Q&gt;CRH-US^P_BETA_LOCIDX(45762,45586,,"SPX")&lt;/Q&gt;&lt;R&gt;1&lt;/R&gt;&lt;C&gt;1&lt;/C&gt;&lt;D xsi:type="xsd:double"&gt;1.2550012&lt;/D&gt;&lt;/FQL&gt;&lt;FQL&gt;&lt;Q&gt;CRH-US^P_BETA_LOCIDX(45659,45485,,"SPX")&lt;/Q&gt;&lt;R&gt;1&lt;/R&gt;&lt;C&gt;1&lt;/C&gt;&lt;D xsi:type="xsd:double"&gt;1.2759999&lt;/D&gt;&lt;/FQL&gt;&lt;FQL&gt;&lt;Q&gt;CRH-US^P_BETA_LOCIDX(45390,45212,,"SPX")&lt;/Q&gt;&lt;R&gt;1&lt;/R&gt;&lt;C&gt;1&lt;/C&gt;&lt;D xsi:type="xsd:double"&gt;1.1573323&lt;/D&gt;&lt;/FQL&gt;&lt;FQL&gt;&lt;Q&gt;CRH-US^P_BETA_LOCIDX(45119,44944,,"SPX")&lt;/Q&gt;&lt;R&gt;1&lt;/R&gt;&lt;C&gt;1&lt;/C&gt;&lt;D xsi:type="xsd:double"&gt;1.0505004&lt;/D&gt;&lt;/FQL&gt;&lt;FQL&gt;&lt;Q&gt;CRH-US^P_BETA_LOCIDX(45959,45786,,"SPX")&lt;/Q&gt;&lt;R&gt;1&lt;/R&gt;&lt;C&gt;1&lt;/C&gt;&lt;D xsi:type="xsd:double"&gt;1.1562663&lt;/D&gt;&lt;/FQL&gt;&lt;FQL&gt;&lt;Q&gt;CRH-US^P_BETA_LOCIDX(45358,45183,,"SPX")&lt;/Q&gt;&lt;R&gt;1&lt;/R&gt;&lt;C&gt;1&lt;/C&gt;&lt;D xsi:type="xsd:double"&gt;1.1861864&lt;/D&gt;&lt;/FQL&gt;&lt;FQL&gt;&lt;Q&gt;CRH-US^P_BETA_LOCIDX(45274,45103,,"SPX")&lt;/Q&gt;&lt;R&gt;1&lt;/R&gt;&lt;C&gt;1&lt;/C&gt;&lt;D xsi:type="xsd:double"&gt;1.2310659&lt;/D&gt;&lt;/FQL&gt;&lt;FQL&gt;&lt;Q&gt;CRH-US^P_BETA_LOCIDX(45881,45708,,"SPX")&lt;/Q&gt;&lt;R&gt;1&lt;/R&gt;&lt;C&gt;1&lt;/C&gt;&lt;D xsi:type="xsd:double"&gt;1.2816297&lt;/D&gt;&lt;/FQL&gt;&lt;FQL&gt;&lt;Q&gt;CRH-US^P_BETA_LOCIDX(45793,45616,,"SPX")&lt;/Q&gt;&lt;R&gt;1&lt;/R&gt;&lt;C&gt;1&lt;/C&gt;&lt;D xsi:type="xsd:double"&gt;1.2704589&lt;/D&gt;&lt;/FQL&gt;&lt;FQL&gt;&lt;Q&gt;CRH-US^P_BETA_LOCIDX(45608,45434,,"SPX")&lt;/Q&gt;&lt;R&gt;1&lt;/R&gt;&lt;C&gt;1&lt;/C&gt;&lt;D xsi:type="xsd:double"&gt;1.2683691&lt;/D&gt;&lt;/FQL&gt;&lt;FQL&gt;&lt;Q&gt;CRH-US^P_BETA_LOCIDX(45673,45498,,"SPX")&lt;/Q&gt;&lt;R&gt;1&lt;/R&gt;&lt;C&gt;1&lt;/C&gt;&lt;D xsi:type="xsd:double"&gt;1.2274996&lt;/D&gt;&lt;/FQL&gt;&lt;FQL&gt;&lt;Q&gt;CRH-US^P_BETA_LOCIDX(45594,45420,,"SPX")&lt;/Q&gt;&lt;R&gt;1&lt;/R&gt;&lt;C&gt;1&lt;/C&gt;&lt;D xsi:type="xsd:double"&gt;1.3493677&lt;/D&gt;&lt;/FQL&gt;&lt;FQL&gt;&lt;Q&gt;CRH-US^P_BETA_LOCIDX(45937,45763,,"SPX")&lt;/Q&gt;&lt;R&gt;1&lt;/R&gt;&lt;C&gt;1&lt;/C&gt;&lt;D xsi:type="xsd:double"&gt;1.3216112&lt;/D&gt;&lt;/FQL&gt;&lt;FQL&gt;&lt;Q&gt;CRH-US^P_BETA_LOCIDX(45296,45124,,"SPX")&lt;/Q&gt;&lt;R&gt;1&lt;/R&gt;&lt;C&gt;1&lt;/C&gt;&lt;D xsi:type="xsd:double"&gt;1.2070115&lt;/D&gt;&lt;/FQL&gt;&lt;FQL&gt;&lt;Q&gt;CRH-US^P_BETA_LOCIDX(45652,45481,,"SPX")&lt;/Q&gt;&lt;R&gt;1&lt;/R&gt;&lt;C&gt;1&lt;/C&gt;&lt;D xsi:type="xsd:double"&gt;1.2438085&lt;/D&gt;&lt;/FQL&gt;&lt;FQL&gt;&lt;Q&gt;CRH-US^P_BETA_LOCIDX(45282,45112,,"SPX")&lt;/Q&gt;&lt;R&gt;1&lt;/R&gt;&lt;C&gt;1&lt;/C&gt;&lt;D xsi:type="xsd:double"&gt;1.2292613&lt;/D&gt;&lt;/FQL&gt;&lt;FQL&gt;&lt;Q&gt;CRH-US^P_BETA_LOCIDX(45271,45098,,"SPX")&lt;/Q&gt;&lt;R&gt;1&lt;/R&gt;&lt;C&gt;1&lt;/C&gt;&lt;D xsi:type="xsd:double"&gt;1.1871988&lt;/D&gt;&lt;/FQL&gt;&lt;FQL&gt;&lt;Q&gt;CRH-US^P_BETA_LOCIDX(45307,45132,,"SPX")&lt;/Q&gt;&lt;R&gt;1&lt;/R&gt;&lt;C&gt;1&lt;/C&gt;&lt;D xsi:type="xsd:double"&gt;1.2617711&lt;/D&gt;&lt;/FQL&gt;&lt;FQL&gt;&lt;Q&gt;CRH-US^P_BETA_LOCIDX(45919,45748,,"SPX")&lt;/Q&gt;&lt;R&gt;1&lt;/R&gt;&lt;C&gt;1&lt;/C&gt;&lt;D xsi:type="xsd:double"&gt;1.1890059&lt;/D&gt;&lt;/FQL&gt;&lt;FQL&gt;&lt;Q&gt;CRH-US^P_BETA_LOCIDX(45947,45777,,"SPX")&lt;/Q&gt;&lt;R&gt;1&lt;/R&gt;&lt;C&gt;1&lt;/C&gt;&lt;D xsi:type="xsd:double"&gt;1.2324361&lt;/D&gt;&lt;/FQL&gt;&lt;FQL&gt;&lt;Q&gt;CRH-US^P_BETA_LOCIDX(46001,45833,,"SPX")&lt;/Q&gt;&lt;R&gt;1&lt;/R&gt;&lt;C&gt;1&lt;/C&gt;&lt;D xsi:type="xsd:double"&gt;1.087233&lt;/D&gt;&lt;/FQL&gt;&lt;FQL&gt;&lt;Q&gt;CRH-US^P_BETA_LOCIDX(45376,45201,,"SPX")&lt;/Q&gt;&lt;R&gt;1&lt;/R&gt;&lt;C&gt;1&lt;/C&gt;&lt;D xsi:type="xsd:double"&gt;1.2031254&lt;/D&gt;&lt;/FQL&gt;&lt;FQL&gt;&lt;Q&gt;CRH-US^P_BETA_LOCIDX(45734,45558,,"SPX")&lt;/Q&gt;&lt;R&gt;1&lt;/R&gt;&lt;C&gt;1&lt;/C&gt;&lt;D xsi:type="xsd:double"&gt;1.2957746&lt;/D&gt;&lt;/FQL&gt;&lt;FQL&gt;&lt;Q&gt;CRH-US^P_BETA_LOCIDX(44970,44795,,"SPX")&lt;/Q&gt;&lt;R&gt;1&lt;/R&gt;&lt;C&gt;1&lt;/C&gt;&lt;D xsi:type="xsd:double"&gt;1.2150537&lt;/D&gt;&lt;/FQL&gt;&lt;FQL&gt;&lt;Q&gt;CRH-US^P_BETA_LOCIDX(45581,45407,,"SPX")&lt;/Q&gt;&lt;R&gt;1&lt;/R&gt;&lt;C&gt;1&lt;/C&gt;&lt;D xsi:type="xsd:double"&gt;1.3618298&lt;/D&gt;&lt;/FQL&gt;&lt;FQL&gt;&lt;Q&gt;CRH-US^P_BETA_LOCIDX(45070,44895,,"SPX")&lt;/Q&gt;&lt;R&gt;1&lt;/R&gt;&lt;C&gt;1&lt;/C&gt;&lt;D xsi:type="xsd:double"&gt;0.95411414&lt;/D&gt;&lt;/FQL&gt;&lt;FQL&gt;&lt;Q&gt;CRH-US^P_BETA_LOCIDX(45945,45772,,"SPX")&lt;/Q&gt;&lt;R&gt;1&lt;/R&gt;&lt;C&gt;1&lt;/C&gt;&lt;D xsi:type="xsd:double"&gt;1.2252338&lt;/D&gt;&lt;/FQL&gt;&lt;FQL&gt;&lt;Q&gt;CRH-US^P_BETA_LOCIDX(45215,45041,,"SPX")&lt;/Q&gt;&lt;R&gt;1&lt;/R&gt;&lt;C&gt;1&lt;/C&gt;&lt;D xsi:type="xsd:double"&gt;1.0873111&lt;/D&gt;&lt;/FQL&gt;&lt;FQL&gt;&lt;Q&gt;CRH-US^P_BETA_LOCIDX(45824,45645,,"SPX")&lt;/Q&gt;&lt;R&gt;1&lt;/R&gt;&lt;C&gt;1&lt;/C&gt;&lt;D xsi:type="xsd:double"&gt;1.2585326&lt;/D&gt;&lt;/FQL&gt;&lt;FQL&gt;&lt;Q&gt;CRH-US^P_BETA_LOCIDX(46003,45833,,"SPX")&lt;/Q&gt;&lt;R&gt;1&lt;/R&gt;&lt;C&gt;1&lt;/C&gt;&lt;D xsi:type="xsd:double"&gt;1.0782889&lt;/D&gt;&lt;/FQL&gt;&lt;FQL&gt;&lt;Q&gt;CRH-US^P_BETA_LOCIDX(45715,45539,,"SPX")&lt;/Q&gt;&lt;R&gt;1&lt;/R&gt;&lt;C&gt;1&lt;/C&gt;&lt;D xsi:type="xsd:double"&gt;1.0284317&lt;/D&gt;&lt;/FQL&gt;&lt;FQL&gt;&lt;Q&gt;CRH-US^P_BETA_LOCIDX(45845,45670,,"SPX")&lt;/Q&gt;&lt;R&gt;1&lt;/R&gt;&lt;C&gt;1&lt;/C&gt;&lt;D xsi:type="xsd:double"&gt;1.283162&lt;/D&gt;&lt;/FQL&gt;&lt;FQL&gt;&lt;Q&gt;CRH-US^P_BETA_LOCIDX(44991,44816,,"SPX")&lt;/Q&gt;&lt;R&gt;1&lt;/R&gt;&lt;C&gt;1&lt;/C&gt;&lt;D xsi:type="xsd:double"&gt;1.2318171&lt;/D&gt;&lt;/FQL&gt;&lt;FQL&gt;&lt;Q&gt;CRH-US^P_BETA_LOCIDX(45576,45404,,"SPX")&lt;/Q&gt;&lt;R&gt;1&lt;/R&gt;&lt;C&gt;1&lt;/C&gt;&lt;D xsi:type="xsd:double"&gt;1.3835617&lt;/D&gt;&lt;/FQL&gt;&lt;FQL&gt;&lt;Q&gt;CRH-US^P_BETA_LOCIDX(45538,45363,,"SPX")&lt;/Q&gt;&lt;R&gt;1&lt;/R&gt;&lt;C&gt;1&lt;/C&gt;&lt;D xsi:type="xsd:double"&gt;1.4541324&lt;/D&gt;&lt;/FQL&gt;&lt;FQL&gt;&lt;Q&gt;CRH-US^P_BETA_LOCIDX(45373,45198,,"SPX")&lt;/Q&gt;&lt;R&gt;1&lt;/R&gt;&lt;C&gt;1&lt;/C&gt;&lt;D xsi:type="xsd:double"&gt;1.2261469&lt;/D&gt;&lt;/FQL&gt;&lt;FQL&gt;&lt;Q&gt;CRH-US^P_BETA_LOCIDX(45392,45216,,"SPX")&lt;/Q&gt;&lt;R&gt;1&lt;/R&gt;&lt;C&gt;1&lt;/C&gt;&lt;D xsi:type="xsd:double"&gt;1.1393741&lt;/D&gt;&lt;/FQL&gt;&lt;FQL&gt;&lt;Q&gt;CRH-US^P_BETA_LOCIDX(45546,45371,,"SPX")&lt;/Q&gt;&lt;R&gt;1&lt;/R&gt;&lt;C&gt;1&lt;/C&gt;&lt;D xsi:type="xsd:double"&gt;1.3354571&lt;/D&gt;&lt;/FQL&gt;&lt;FQL&gt;&lt;Q&gt;CRH-US^P_BETA_LOCIDX(45922,45749,,"SPX")&lt;/Q&gt;&lt;R&gt;1&lt;/R&gt;&lt;C&gt;1&lt;/C&gt;&lt;D xsi:type="xsd:double"&gt;1.1895698&lt;/D&gt;&lt;/FQL&gt;&lt;FQL&gt;&lt;Q&gt;CRH-US^P_BETA_LOCIDX(45974,45805,,"SPX")&lt;/Q&gt;&lt;R&gt;1&lt;/R&gt;&lt;C&gt;1&lt;/C&gt;&lt;D xsi:type="xsd:double"&gt;1.1090814&lt;/D&gt;&lt;/FQL&gt;&lt;FQL&gt;&lt;Q&gt;CRH-US^P_BETA_LOCIDX(46031,45863,,"SPX")&lt;/Q&gt;&lt;R&gt;1&lt;/R&gt;&lt;C&gt;1&lt;/C&gt;&lt;D xsi:type="xsd:double"&gt;1.1998643&lt;/D&gt;&lt;/FQL&gt;&lt;FQL&gt;&lt;Q&gt;CRH-US^P_BETA_LOCIDX(45863,45691,,"SPX")&lt;/Q&gt;&lt;R&gt;1&lt;/R&gt;&lt;C&gt;1&lt;/C&gt;&lt;D xsi:type="xsd:double"&gt;1.2821358&lt;/D&gt;&lt;/FQL&gt;&lt;FQL&gt;&lt;Q&gt;CRH-US^P_BETA_LOCIDX(45436,45261,,"SPX")&lt;/Q&gt;&lt;R&gt;1&lt;/R&gt;&lt;C&gt;1&lt;/C&gt;&lt;D xsi:type="xsd:double"&gt;1.32458&lt;/D&gt;&lt;/FQL&gt;&lt;FQL&gt;&lt;Q&gt;CRH-US^P_BETA_LOCIDX(45429,45254,,"SPX")&lt;/Q&gt;&lt;R&gt;1&lt;/R&gt;&lt;C&gt;1&lt;/C&gt;&lt;D xsi:type="xsd:double"&gt;1.3196088&lt;/D&gt;&lt;/FQL&gt;&lt;FQL&gt;&lt;Q&gt;CRH-US^P_BETA_LOCIDX(45639,45468,,"SPX")&lt;/Q&gt;&lt;R&gt;1&lt;/R&gt;&lt;C&gt;1&lt;/C&gt;&lt;D xsi:type="xsd:double"&gt;1.231022&lt;/D&gt;&lt;/FQL&gt;&lt;FQL&gt;&lt;Q&gt;CRH-US^P_BETA_LOCIDX(45986,45814,,"SPX")&lt;/Q&gt;&lt;R&gt;1&lt;/R&gt;&lt;C&gt;1&lt;/C&gt;&lt;D xsi:type="xsd:double"&gt;1.1476933&lt;/D&gt;&lt;/FQL&gt;&lt;FQL&gt;&lt;Q&gt;CRH-US^P_BETA_LOCIDX(45217,45043,,"SPX")&lt;/Q&gt;&lt;R&gt;1&lt;/R&gt;&lt;C&gt;1&lt;/C&gt;&lt;D xsi:type="xsd:double"&gt;1.1610416&lt;/D&gt;&lt;/FQL&gt;&lt;FQL&gt;&lt;Q&gt;CRH-US^P_BETA_LOCIDX(45022,44847,,"SPX")&lt;/Q&gt;&lt;R&gt;1&lt;/R&gt;&lt;C&gt;1&lt;/C&gt;&lt;D xsi:type="xsd:double"&gt;1.1775161&lt;/D&gt;&lt;/FQL&gt;&lt;FQL&gt;&lt;Q&gt;CRH-US^P_BETA_LOCIDX(45407,45231,,"SPX")&lt;/Q&gt;&lt;R&gt;1&lt;/R&gt;&lt;C&gt;1&lt;/C&gt;&lt;D xsi:type="xsd:double"&gt;1.1061383&lt;/D&gt;&lt;/FQL&gt;&lt;FQL&gt;&lt;Q&gt;CRH-US^P_BETA_LOCIDX(45425,45247,,"SPX")&lt;/Q&gt;&lt;R&gt;1&lt;/R&gt;&lt;C&gt;1&lt;/C&gt;&lt;D xsi:type="xsd:double"&gt;1.1993669&lt;/D&gt;&lt;/FQL&gt;&lt;FQL&gt;&lt;Q&gt;CRH-US^P_BETA_LOCIDX(45127,44952,,"SPX")&lt;/Q&gt;&lt;R&gt;1&lt;/R&gt;&lt;C&gt;1&lt;/C&gt;&lt;D xsi:type="xsd:double"&gt;1.0688523&lt;/D&gt;&lt;/FQL&gt;&lt;FQL&gt;&lt;Q&gt;CRH-US^P_BETA_LOCIDX(45488,45313,,"SPX")&lt;/Q&gt;&lt;R&gt;1&lt;/R&gt;&lt;C&gt;1&lt;/C&gt;&lt;D xsi:type="xsd:double"&gt;1.1375971&lt;/D&gt;&lt;/FQL&gt;&lt;FQL&gt;&lt;Q&gt;CRH-US^P_BETA_LOCIDX(45483,45308,,"SPX")&lt;/Q&gt;&lt;R&gt;1&lt;/R&gt;&lt;C&gt;1&lt;/C&gt;&lt;D xsi:type="xsd:double"&gt;1.2034687&lt;/D&gt;&lt;/FQL&gt;&lt;FQL&gt;&lt;Q&gt;CRH-US^P_BETA_LOCIDX(45471,45296,,"SPX")&lt;/Q&gt;&lt;R&gt;1&lt;/R&gt;&lt;C&gt;1&lt;/C&gt;&lt;D xsi:type="xsd:double"&gt;1.2629406&lt;/D&gt;&lt;/FQL&gt;&lt;FQL&gt;&lt;Q&gt;CRH-US^P_BETA_LOCIDX(45995,45824,,"SPX")&lt;/Q&gt;&lt;R&gt;1&lt;/R&gt;&lt;C&gt;1&lt;/C&gt;&lt;D xsi:type="xsd:double"&gt;1.1460917&lt;/D&gt;&lt;/FQL&gt;&lt;FQL&gt;&lt;Q&gt;CRH-US^P_BETA_LOCIDX(45302,45128,,"SPX")&lt;/Q&gt;&lt;R&gt;1&lt;/R&gt;&lt;C&gt;1&lt;/C&gt;&lt;D xsi:type="xsd:double"&gt;1.2495861&lt;/D&gt;&lt;/FQL&gt;&lt;FQL&gt;&lt;Q&gt;CRH-US^P_BETA_LOCIDX(45903,45729,,"SPX")&lt;/Q&gt;&lt;R&gt;1&lt;/R&gt;&lt;C&gt;1&lt;/C&gt;&lt;D xsi:type="xsd:double"&gt;1.2501596&lt;/D&gt;&lt;/FQL&gt;&lt;FQL&gt;&lt;Q&gt;CRH-US^P_BETA_LOCIDX(45118,44943,,"SPX")&lt;/Q&gt;&lt;R&gt;1&lt;/R&gt;&lt;C&gt;1&lt;/C&gt;&lt;D xsi:type="xsd:double"&gt;1.0452074&lt;/D&gt;&lt;/FQL&gt;&lt;FQL&gt;&lt;Q&gt;CRH-US^P_BETA_LOCIDX(45338,45163,,"SPX")&lt;/Q&gt;&lt;R&gt;1&lt;/R&gt;&lt;C&gt;1&lt;/C&gt;&lt;D xsi:type="xsd:double"&gt;1.230267&lt;/D&gt;&lt;/FQL&gt;&lt;FQL&gt;&lt;Q&gt;CRH-US^P_BETA_LOCIDX(45442,45266,,"SPX")&lt;/Q&gt;&lt;R&gt;1&lt;/R&gt;&lt;C&gt;1&lt;/C&gt;&lt;D xsi:type="xsd:double"&gt;1.2661607&lt;/D&gt;&lt;/FQL&gt;&lt;FQL&gt;&lt;Q&gt;CRH-US^P_BETA_LOCIDX(45910,45736,,"SPX")&lt;/Q&gt;&lt;R&gt;1&lt;/R&gt;&lt;C&gt;1&lt;/C&gt;&lt;D xsi:type="xsd:double"&gt;1.2278353&lt;/D&gt;&lt;/FQL&gt;&lt;FQL&gt;&lt;Q&gt;CRH-US^P_BETA_LOCIDX(45016,44841,,"SPX")&lt;/Q&gt;&lt;R&gt;1&lt;/R&gt;&lt;C&gt;1&lt;/C&gt;&lt;D xsi:type="xsd:double"&gt;1.1619811&lt;/D&gt;&lt;/FQL&gt;&lt;FQL&gt;&lt;Q&gt;CRH-US^P_BETA_LOCIDX(45950,45778,,"SPX")&lt;/Q&gt;&lt;R&gt;1&lt;/R&gt;&lt;C&gt;1&lt;/C&gt;&lt;D xsi:type="xsd:double"&gt;1.212934&lt;/D&gt;&lt;/FQL&gt;&lt;FQL&gt;&lt;Q&gt;CRH-US^P_BETA_LOCIDX(45968,45797,,"SPX")&lt;/Q&gt;&lt;R&gt;1&lt;/R&gt;&lt;C&gt;1&lt;/C&gt;&lt;D xsi:type="xsd:double"&gt;1.1076082&lt;/D&gt;&lt;/FQL&gt;&lt;FQL&gt;&lt;Q&gt;CRH-US^P_BETA_LOCIDX(45747,45569,,"SPX")&lt;/Q&gt;&lt;R&gt;1&lt;/R&gt;&lt;C&gt;1&lt;/C&gt;&lt;D xsi:type="xsd:double"&gt;1.3939159&lt;/D&gt;&lt;/FQL&gt;&lt;FQL&gt;&lt;Q&gt;CRH-US^P_BETA_LOCIDX(45547,45372,,"SPX")&lt;/Q&gt;&lt;R&gt;1&lt;/R&gt;&lt;C&gt;1&lt;/C&gt;&lt;D xsi:type="xsd:double"&gt;1.337734&lt;/D&gt;&lt;/FQL&gt;&lt;FQL&gt;&lt;Q&gt;CRH-US^P_BETA_LOCIDX(45660,45488,,"SPX")&lt;/Q&gt;&lt;R&gt;1&lt;/R&gt;&lt;C&gt;1&lt;/C&gt;&lt;D xsi:type="xsd:double"&gt;1.2677768&lt;/D&gt;&lt;/FQL&gt;&lt;FQL&gt;&lt;Q&gt;CRH-US^P_BETA_LOCIDX(45960,45789,,"SPX")&lt;/Q&gt;&lt;R&gt;1&lt;/R&gt;&lt;C&gt;1&lt;/C&gt;&lt;D xsi:type="xsd:double"&gt;1.1577036&lt;/D&gt;&lt;/FQL&gt;&lt;FQL&gt;&lt;Q&gt;CRH-US^P_BETA_LOCIDX(45209,45035,,"SPX")&lt;/Q&gt;&lt;R&gt;1&lt;/R&gt;&lt;C&gt;1&lt;/C&gt;&lt;D xsi:type="xsd:double"&gt;1.0425444&lt;/D&gt;&lt;/FQL&gt;&lt;FQL&gt;&lt;Q&gt;CRH-US^P_BETA_LOCIDX(45750,45574,,"SPX")&lt;/Q&gt;&lt;R&gt;1&lt;/R&gt;&lt;C&gt;1&lt;/C&gt;&lt;D xsi:type="xsd:double"&gt;1.3427843&lt;/D&gt;&lt;/FQL&gt;&lt;FQL&gt;&lt;Q&gt;CRH-US^P_BETA_LOCIDX(45315,45140,,"SPX")&lt;/Q&gt;&lt;R&gt;1&lt;/R&gt;&lt;C&gt;1&lt;/C&gt;&lt;D xsi:type="xsd:double"&gt;1.2383739&lt;/D&gt;&lt;/FQL&gt;&lt;FQL&gt;&lt;Q&gt;CRH-US^P_BETA_LOCIDX(45859,45685,,"SPX")&lt;/Q&gt;&lt;R&gt;1&lt;/R&gt;&lt;C&gt;1&lt;/C&gt;&lt;D xsi:type="xsd:double"&gt;1.2707196&lt;/D&gt;&lt;/FQL&gt;&lt;FQL&gt;&lt;Q&gt;CRH-US^P_BETA_LOCIDX(46002,45834,,"SPX")&lt;/Q&gt;&lt;R&gt;1&lt;/R&gt;&lt;C&gt;1&lt;/C&gt;&lt;D xsi:type="xsd:double"&gt;1.0826775&lt;/D&gt;&lt;/FQL&gt;&lt;FQL&gt;&lt;Q&gt;CRH-US^P_BETA_LOCIDX(45566,45392,,"SPX")&lt;/Q&gt;&lt;R&gt;1&lt;/R&gt;&lt;C&gt;1&lt;/C&gt;&lt;D xsi:type="xsd:double"&gt;1.3850803&lt;/D&gt;&lt;/FQL&gt;&lt;FQL&gt;&lt;Q&gt;CRH-US^P_BETA_LOCIDX(46000,45828,,"SPX")&lt;/Q&gt;&lt;R&gt;1&lt;/R&gt;&lt;C&gt;1&lt;/C&gt;&lt;D xsi:type="xsd:double"&gt;1.1093367&lt;/D&gt;&lt;/FQL&gt;&lt;FQL&gt;&lt;Q&gt;CRH-US^P_BETA_LOCIDX(45077,44901,,"SPX")&lt;/Q&gt;&lt;R&gt;1&lt;/R&gt;&lt;C&gt;1&lt;/C&gt;&lt;D xsi:type="xsd:double"&gt;1.0073582&lt;/D&gt;&lt;/FQL&gt;&lt;FQL&gt;&lt;Q&gt;CRH-US^P_BETA_LOCIDX(45492,45317,,"SPX")&lt;/Q&gt;&lt;R&gt;1&lt;/R&gt;&lt;C&gt;1&lt;/C&gt;&lt;D xsi:type="xsd:double"&gt;1.1643167&lt;/D&gt;&lt;/FQL&gt;&lt;FQL&gt;&lt;Q&gt;CRH-US^P_BETA_LOCIDX(44967,44792,,"SPX")&lt;/Q&gt;&lt;R&gt;1&lt;/R&gt;&lt;C&gt;1&lt;/C&gt;&lt;D xsi:type="xsd:double"&gt;1.213911&lt;/D&gt;&lt;/FQL&gt;&lt;FQL&gt;&lt;Q&gt;CRH-US^P_BETA_LOCIDX(45219,45047,,"SPX")&lt;/Q&gt;&lt;R&gt;1&lt;/R&gt;&lt;C&gt;1&lt;/C&gt;&lt;D xsi:type="xsd:double"&gt;1.1940968&lt;/D&gt;&lt;/FQL&gt;&lt;FQL&gt;&lt;Q&gt;CRH-US^P_BETA_LOCIDX(45460,45282,,"SPX")&lt;/Q&gt;&lt;R&gt;1&lt;/R&gt;&lt;C&gt;1&lt;/C&gt;&lt;D xsi:type="xsd:double"&gt;1.291125&lt;/D&gt;&lt;/FQL&gt;&lt;FQL&gt;&lt;Q&gt;CRH-US^P_BETA_LOCIDX(45674,45499,,"SPX")&lt;/Q&gt;&lt;R&gt;1&lt;/R&gt;&lt;C&gt;1&lt;/C&gt;&lt;D xsi:type="xsd:double"&gt;1.2389473&lt;/D&gt;&lt;/FQL&gt;&lt;FQL&gt;&lt;Q&gt;CRH-US^P_BETA_LOCIDX(45295,45121,,"SPX")&lt;/Q&gt;&lt;R&gt;1&lt;/R&gt;&lt;C&gt;1&lt;/C&gt;&lt;D xsi:type="xsd:double"&gt;1.2046822&lt;/D&gt;&lt;/FQL&gt;&lt;FQL&gt;&lt;Q&gt;CRH-US^P_BETA_LOCIDX(45534,45362,,"SPX")&lt;/Q&gt;&lt;R&gt;1&lt;/R&gt;&lt;C&gt;1&lt;/C&gt;&lt;D xsi:type="xsd:double"&gt;1.4537016&lt;/D&gt;&lt;/FQL&gt;&lt;FQL&gt;&lt;Q&gt;CRH-US^P_BETA_LOCIDX(45167,44993,,"SPX")&lt;/Q&gt;&lt;R&gt;1&lt;/R&gt;&lt;C&gt;1&lt;/C&gt;&lt;D xsi:type="xsd:double"&gt;1.0494716&lt;/D&gt;&lt;/FQL&gt;&lt;FQL&gt;&lt;Q&gt;CRH-US^P_BETA_LOCIDX(45161,44987,,"SPX")&lt;/Q&gt;&lt;R&gt;1&lt;/R&gt;&lt;C&gt;1&lt;/C&gt;&lt;D xsi:type="xsd:double"&gt;1.0712407&lt;/D&gt;&lt;/FQL&gt;&lt;FQL&gt;&lt;Q&gt;CRH-US^P_BETA_LOCIDX(45027,44851,,"SPX")&lt;/Q&gt;&lt;R&gt;1&lt;/R&gt;&lt;C&gt;1&lt;/C&gt;&lt;D xsi:type="xsd:double"&gt;1.1661155&lt;/D&gt;&lt;/FQL&gt;&lt;FQL&gt;&lt;Q&gt;CRH-US^P_BETA_LOCIDX(45924,45751,,"SPX")&lt;/Q&gt;&lt;R&gt;1&lt;/R&gt;&lt;C&gt;1&lt;/C&gt;&lt;D xsi:type="xsd:double"&gt;1.2117052&lt;/D&gt;&lt;/FQL&gt;&lt;FQL&gt;&lt;Q&gt;CRH-US^P_BETA_LOCIDX(45975,45806,,"SPX")&lt;/Q&gt;&lt;R&gt;1&lt;/R&gt;&lt;C&gt;1&lt;/C&gt;&lt;D xsi:type="xsd:double"&gt;1.0767213&lt;/D&gt;&lt;/FQL&gt;&lt;FQL&gt;&lt;Q&gt;CRH-US^P_BETA_LOCIDX(46003,45835,,"SPX")&lt;/Q&gt;&lt;R&gt;1&lt;/R&gt;&lt;C&gt;1&lt;/C&gt;&lt;D xsi:type="xsd:double"&gt;1.0804046&lt;/D&gt;&lt;/FQL&gt;&lt;FQL&gt;&lt;Q&gt;CRH-US^P_BETA_LOCIDX(46034,45866,,"SPX")&lt;/Q&gt;&lt;R&gt;1&lt;/R&gt;&lt;C&gt;1&lt;/C&gt;&lt;D xsi:type="xsd:double"&gt;1.1863252&lt;/D&gt;&lt;/FQL&gt;&lt;FQL&gt;&lt;Q&gt;CRH-US^P_BETA_LOCIDX(45476,45301,,"SPX")&lt;/Q&gt;&lt;R&gt;1&lt;/R&gt;&lt;C&gt;1&lt;/C&gt;&lt;D xsi:type="xsd:double"&gt;1.2158258&lt;/D&gt;&lt;/FQL&gt;&lt;FQL&gt;&lt;Q&gt;CRH-US^P_BETA_LOCIDX(45966,45793,,"SPX")&lt;/Q&gt;&lt;R&gt;1&lt;/R&gt;&lt;C&gt;1&lt;/C&gt;&lt;D xsi:type="xsd:double"&gt;1.1225258&lt;/D&gt;&lt;/FQL&gt;&lt;FQL&gt;&lt;Q&gt;CRH-US^P_BETA_LOCIDX(45882,45709,,"SPX")&lt;/Q&gt;&lt;R&gt;1&lt;/R&gt;&lt;C&gt;1&lt;/C&gt;&lt;D xsi:type="xsd:double"&gt;1.2777334&lt;/D&gt;&lt;/FQL&gt;&lt;FQL&gt;&lt;Q&gt;CRH-US^P_BETA_LOCIDX(45987,45817,,"SPX")&lt;/Q&gt;&lt;R&gt;1&lt;/R&gt;&lt;C&gt;1&lt;/C&gt;&lt;D xsi:type="xsd:double"&gt;1.1923795&lt;/D&gt;&lt;/FQL&gt;&lt;FQL&gt;&lt;Q&gt;CRH-US^P_BETA_LOCIDX(45713,45534,,"SPX")&lt;/Q&gt;&lt;R&gt;1&lt;/R&gt;&lt;C&gt;1&lt;/C&gt;&lt;D xsi:type="xsd:double"&gt;1.0900859&lt;/D&gt;&lt;/FQL&gt;&lt;FQL&gt;&lt;Q&gt;CRH-US^P_BETA_LOCIDX(46006,45834,,"SPX")&lt;/Q&gt;&lt;R&gt;1&lt;/R&gt;&lt;C&gt;1&lt;/C&gt;&lt;D xsi:type="xsd:double"&gt;1.0694807&lt;/D&gt;&lt;/FQL&gt;&lt;FQL&gt;&lt;Q&gt;CRH-US^P_BETA_LOCIDX(45273,45100,,"SPX")&lt;/Q&gt;&lt;R&gt;1&lt;/R&gt;&lt;C&gt;1&lt;/C&gt;&lt;D xsi:type="xsd:double"&gt;1.2221043&lt;/D&gt;&lt;/FQL&gt;&lt;FQL&gt;&lt;Q&gt;CRH-US^P_BETA_LOCIDX(45614,45441,,"SPX")&lt;/Q&gt;&lt;R&gt;1&lt;/R&gt;&lt;C&gt;1&lt;/C&gt;&lt;D xsi:type="xsd:double"&gt;1.2584747&lt;/D&gt;&lt;/FQL&gt;&lt;FQL&gt;&lt;Q&gt;CRH-US^P_BETA_LOCIDX(45026,44848,,"SPX")&lt;/Q&gt;&lt;R&gt;1&lt;/R&gt;&lt;C&gt;1&lt;/C&gt;&lt;D xsi:type="xsd:double"&gt;1.1781477&lt;/D&gt;&lt;/FQL&gt;&lt;FQL&gt;&lt;Q&gt;CRH-US^P_BETA_LOCIDX(45524,45350,,"SPX")&lt;/Q&gt;&lt;R&gt;1&lt;/R&gt;&lt;C&gt;1&lt;/C&gt;&lt;D xsi:type="xsd:double"&gt;1.465975&lt;/D&gt;&lt;/FQL&gt;&lt;FQL&gt;&lt;Q&gt;CRH-US^P_BETA_LOCIDX(45797,45618,,"SPX")&lt;/Q&gt;&lt;R&gt;1&lt;/R&gt;&lt;C&gt;1&lt;/C&gt;&lt;D xsi:type="xsd:double"&gt;1.2730572&lt;/D&gt;&lt;/FQL&gt;&lt;FQL&gt;&lt;Q&gt;CRH-US^P_BETA_LOCIDX(45825,45646,,"SPX")&lt;/Q&gt;&lt;R&gt;1&lt;/R&gt;&lt;C&gt;1&lt;/C&gt;&lt;D xsi:type="xsd:double"&gt;1.2573684&lt;/D&gt;&lt;/FQL&gt;&lt;FQL&gt;&lt;Q&gt;CRH-US^P_BETA_LOCIDX(45751,45575,,"SPX")&lt;/Q&gt;&lt;R&gt;1&lt;/R&gt;&lt;C&gt;1&lt;/C&gt;&lt;D xsi:type="xsd:double"&gt;1.28267&lt;/D&gt;&lt;/FQL&gt;&lt;FQL&gt;&lt;Q&gt;CRH-US^P_BETA_LOCIDX(44960,44785,,"SPX")&lt;/Q&gt;&lt;R&gt;1&lt;/R&gt;&lt;C&gt;1&lt;/C&gt;&lt;D xsi:type="xsd:double"&gt;1.21104&lt;/D&gt;&lt;/FQL&gt;&lt;FQL&gt;&lt;Q&gt;CRH-US^P_BETA_LOCIDX(45896,45723,,"SPX")&lt;/Q&gt;&lt;R&gt;1&lt;/R&gt;&lt;C&gt;1&lt;/C&gt;&lt;D xsi:type="xsd:double"&gt;1.2505145&lt;/D&gt;&lt;/FQL&gt;&lt;FQL&gt;&lt;Q&gt;CRH-US^P_BETA_LOCIDX(45981,45811,,"SPX")&lt;/Q&gt;&lt;R&gt;1&lt;/R&gt;&lt;C&gt;1&lt;/C&gt;&lt;D xsi:type="xsd:double"&gt;1.0650162&lt;/D&gt;&lt;/FQL&gt;&lt;FQL&gt;&lt;Q&gt;CRH-US^P_BETA_LOCIDX(45224,45050,,"SPX")&lt;/Q&gt;&lt;R&gt;1&lt;/R&gt;&lt;C&gt;1&lt;/C&gt;&lt;D xsi:type="xsd:double"&gt;1.1917362&lt;/D&gt;&lt;/FQL&gt;&lt;FQL&gt;&lt;Q&gt;CRH-US^P_BETA_LOCIDX(45523,45349,,"SPX")&lt;/Q&gt;&lt;R&gt;1&lt;/R&gt;&lt;C&gt;1&lt;/C&gt;&lt;D xsi:type="xsd:double"&gt;1.4668175&lt;/D&gt;&lt;/FQL&gt;&lt;FQL&gt;&lt;Q&gt;CRH-US^P_BETA_LOCIDX(45657,45484,,"SPX")&lt;/Q&gt;&lt;R&gt;1&lt;/R&gt;&lt;C&gt;1&lt;/C&gt;&lt;D xsi:type="xsd:double"&gt;1.2379225&lt;/D&gt;&lt;/FQL&gt;&lt;FQL&gt;&lt;Q&gt;CRH-US^P_BETA_LOCIDX(45805,45628,,"SPX")&lt;/Q&gt;&lt;R&gt;1&lt;/R&gt;&lt;C&gt;1&lt;/C&gt;&lt;D xsi:type="xsd:double"&gt;1.2667227&lt;/D&gt;&lt;/FQL&gt;&lt;FQL&gt;&lt;Q&gt;CRH-US^P_BETA_LOCIDX(45931,45757,,"SPX")&lt;/Q&gt;&lt;R&gt;1&lt;/R&gt;&lt;C&gt;1&lt;/C&gt;&lt;D xsi:type="xsd:double"&gt;1.3853129&lt;/D&gt;&lt;/FQL&gt;&lt;FQL&gt;&lt;Q&gt;CRH-US^P_BETA_LOCIDX(45650,45478,,"SPX")&lt;/Q&gt;&lt;R&gt;1&lt;/R&gt;&lt;C&gt;1&lt;/C&gt;&lt;D xsi:type="xsd:double"&gt;1.2418287&lt;/D&gt;&lt;/FQL&gt;&lt;FQL&gt;&lt;Q&gt;CRH-US^P_BETA_LOCIDX(45852,45678,,"SPX")&lt;/Q&gt;&lt;R&gt;1&lt;/R&gt;&lt;C&gt;1&lt;/C&gt;&lt;D xsi:type="xsd:double"&gt;1.2750276&lt;/D&gt;&lt;/FQL&gt;&lt;FQL&gt;&lt;Q&gt;CRH-US^P_BETA_LOCIDX(45499,45324,,"SPX")&lt;/Q&gt;&lt;R&gt;1&lt;/R&gt;&lt;C&gt;1&lt;/C&gt;&lt;D xsi:type="xsd:double"&gt;1.245322&lt;/D&gt;&lt;/FQL&gt;&lt;FQL&gt;&lt;Q&gt;CRH-US^P_BETA_LOCIDX(45694,45518,,"SPX")&lt;/Q&gt;&lt;R&gt;1&lt;/R&gt;&lt;C&gt;1&lt;/C&gt;&lt;D xsi:type="xsd:double"&gt;1.0784501&lt;/D&gt;&lt;/FQL&gt;&lt;FQL&gt;&lt;Q&gt;CRH-US^P_BETA_LOCIDX(45420,45244,,"SPX")&lt;/Q&gt;&lt;R&gt;1&lt;/R&gt;&lt;C&gt;1&lt;/C&gt;&lt;D xsi:type="xsd:double"&gt;1.1406072&lt;/D&gt;&lt;/FQL&gt;&lt;FQL&gt;&lt;Q&gt;CRH-US^P_BETA_LOCIDX(45288,45117,,"SPX")&lt;/Q&gt;&lt;R&gt;1&lt;/R&gt;&lt;C&gt;1&lt;/C&gt;&lt;D xsi:type="xsd:double"&gt;1.2038382&lt;/D&gt;&lt;/FQL&gt;&lt;FQL&gt;&lt;Q&gt;CRH-US^P_BETA_LOCIDX(45320,45145,,"SPX")&lt;/Q&gt;&lt;R&gt;1&lt;/R&gt;&lt;C&gt;1&lt;/C&gt;&lt;D xsi:type="xsd:double"&gt;1.2635508&lt;/D&gt;&lt;/FQL&gt;&lt;FQL&gt;&lt;Q&gt;CRH-US^P_BETA_LOCIDX(45838,45660,,"SPX")&lt;/Q&gt;&lt;R&gt;1&lt;/R&gt;&lt;C&gt;1&lt;/C&gt;&lt;D xsi:type="xsd:double"&gt;1.2741203&lt;/D&gt;&lt;/FQL&gt;&lt;FQL&gt;&lt;Q&gt;CRH-US^P_BETA_LOCIDX(45057,44881,,"SPX")&lt;/Q&gt;&lt;R&gt;1&lt;/R&gt;&lt;C&gt;1&lt;/C&gt;&lt;D xsi:type="xsd:double"&gt;0.94783276&lt;/D&gt;&lt;/FQL&gt;&lt;FQL&gt;&lt;Q&gt;CRH-US^P_BETA_LOCIDX(45729,45553,,"SPX")&lt;/Q&gt;&lt;R&gt;1&lt;/R&gt;&lt;C&gt;1&lt;/C&gt;&lt;D xsi:type="xsd:double"&gt;1.3165526&lt;/D&gt;&lt;/FQL&gt;&lt;FQL&gt;&lt;Q&gt;CRH-US^P_BETA_LOCIDX(45712,45533,,"SPX")&lt;/Q&gt;&lt;R&gt;1&lt;/R&gt;&lt;C&gt;1&lt;/C&gt;&lt;D xsi:type="xsd:double"&gt;1.0921973&lt;/D&gt;&lt;/FQL&gt;&lt;FQL&gt;&lt;Q&gt;CRH-US^P_BETA_LOCIDX(45951,45779,,"SPX")&lt;/Q&gt;&lt;R&gt;1&lt;/R&gt;&lt;C&gt;1&lt;/C&gt;&lt;D xsi:type="xsd:double"&gt;1.2100611&lt;/D&gt;&lt;/FQL&gt;&lt;FQL&gt;&lt;Q&gt;CRH-US^P_BETA_LOCIDX(46006,45838,,"SPX")&lt;/Q&gt;&lt;R&gt;1&lt;/R&gt;&lt;C&gt;1&lt;/C&gt;&lt;D xsi:type="xsd:double"&gt;1.0618521&lt;/D&gt;&lt;/FQL&gt;&lt;FQL&gt;&lt;Q&gt;CRH-US^P_BETA_LOCIDX(45565,45391,,"SPX")&lt;/Q&gt;&lt;R&gt;1&lt;/R&gt;&lt;C&gt;1&lt;/C&gt;&lt;D xsi:type="xsd:double"&gt;1.3751018&lt;/D&gt;&lt;/FQL&gt;&lt;FQL&gt;&lt;Q&gt;CRH-US^P_BETA_LOCIDX(45853,45679,,"SPX")&lt;/Q&gt;&lt;R&gt;1&lt;/R&gt;&lt;C&gt;1&lt;/C&gt;&lt;D xsi:type="xsd:double"&gt;1.2736784&lt;/D&gt;&lt;/FQL&gt;&lt;FQL&gt;&lt;Q&gt;CRH-US^P_BETA_LOCIDX(45086,44910,,"SPX")&lt;/Q&gt;&lt;R&gt;1&lt;/R&gt;&lt;C&gt;1&lt;/C&gt;&lt;D xsi:type="xsd:double"&gt;1.053611&lt;/D&gt;&lt;/FQL&gt;&lt;FQL&gt;&lt;Q&gt;CRH-US^P_BETA_LOCIDX(45154,44980,,"SPX")&lt;/Q&gt;&lt;R&gt;1&lt;/R&gt;&lt;C&gt;1&lt;/C&gt;&lt;D xsi:type="xsd:double"&gt;1.0715562&lt;/D&gt;&lt;/FQL&gt;&lt;FQL&gt;&lt;Q&gt;CRH-US^P_BETA_LOCIDX(45569,45397,,"SPX")&lt;/Q&gt;&lt;R&gt;1&lt;/R&gt;&lt;C&gt;1&lt;/C&gt;&lt;D xsi:type="xsd:double"&gt;1.4132462&lt;/D&gt;&lt;/FQL&gt;&lt;FQL&gt;&lt;Q&gt;CRH-US^P_BETA_LOCIDX(45973,45800,,"SPX")&lt;/Q&gt;&lt;R&gt;1&lt;/R&gt;&lt;C&gt;1&lt;/C&gt;&lt;D xsi:type="xsd:double"&gt;1.070107&lt;/D&gt;&lt;/FQL&gt;&lt;FQL&gt;&lt;Q&gt;CRH-US^P_BETA_LOCIDX(45860,45686,,"SPX")&lt;/Q&gt;&lt;R&gt;1&lt;/R&gt;&lt;C&gt;1&lt;/C&gt;&lt;D xsi:type="xsd:double"&gt;1.2759197&lt;/D&gt;&lt;/FQL&gt;&lt;FQL&gt;&lt;Q&gt;CRH-US^P_BETA_LOCIDX(45831,45652,,"SPX")&lt;/Q&gt;&lt;R&gt;1&lt;/R&gt;&lt;C&gt;1&lt;/C&gt;&lt;D xsi:type="xsd:double"&gt;1.2671096&lt;/D&gt;&lt;/FQL&gt;&lt;FQL&gt;&lt;Q&gt;CRH-US^P_BETA_LOCIDX(45887,45714,,"SPX")&lt;/Q&gt;&lt;R&gt;1&lt;/R&gt;&lt;C&gt;1&lt;/C&gt;&lt;D xsi:type="xsd:double"&gt;1.2804137&lt;/D&gt;&lt;/FQL&gt;&lt;FQL&gt;&lt;Q&gt;CRH-US^P_BETA_LOCIDX(46007,45835,,"SPX")&lt;/Q&gt;&lt;R&gt;1&lt;/R&gt;&lt;C&gt;1&lt;/C&gt;&lt;D xsi:type="xsd:double"&gt;1.0788438&lt;/D&gt;&lt;/FQL&gt;&lt;FQL&gt;&lt;Q&gt;CRH-US^P_BETA_LOCIDX(45923,45750,,"SPX")&lt;/Q&gt;&lt;R&gt;1&lt;/R&gt;&lt;C&gt;1&lt;/C&gt;&lt;D xsi:type="xsd:double"&gt;1.1868906&lt;/D&gt;&lt;/FQL&gt;&lt;FQL&gt;&lt;Q&gt;CRH-US^P_BETA_LOCIDX(45945,45775,,"SPX")&lt;/Q&gt;&lt;R&gt;1&lt;/R&gt;&lt;C&gt;1&lt;/C&gt;&lt;D xsi:type="xsd:double"&gt;1.2227421&lt;/D&gt;&lt;/FQL&gt;&lt;FQL&gt;&lt;Q&gt;CRH-US^P_BETA_LOCIDX(45967,45797,,"SPX")&lt;/Q&gt;&lt;R&gt;1&lt;/R&gt;&lt;C&gt;1&lt;/C&gt;&lt;D xsi:type="xsd:double"&gt;1.1083454&lt;/D&gt;&lt;/FQL&gt;&lt;FQL&gt;&lt;Q&gt;CRH-US^P_BETA_LOCIDX(45992,45821,,"SPX")&lt;/Q&gt;&lt;R&gt;1&lt;/R&gt;&lt;C&gt;1&lt;/C&gt;&lt;D xsi:type="xsd:double"&gt;1.1770445&lt;/D&gt;&lt;/FQL&gt;&lt;FQL&gt;&lt;Q&gt;CRH-US^P_BETA_LOCIDX(46014,45846,,"SPX")&lt;/Q&gt;&lt;R&gt;1&lt;/R&gt;&lt;C&gt;1&lt;/C&gt;&lt;D xsi:type="xsd:double"&gt;1.1062016&lt;/D&gt;&lt;/FQL&gt;&lt;FQL&gt;&lt;Q&gt;CRH-US^P_BETA_LOCIDX(46038,45870,,"SPX")&lt;/Q&gt;&lt;R&gt;1&lt;/R&gt;&lt;C&gt;1&lt;/C&gt;&lt;D xsi:type="xsd:double"&gt;1.2229832&lt;/D&gt;&lt;/FQL&gt;&lt;FQL&gt;&lt;Q&gt;CRH-US^P_BETA_LOCIDX(45698,45520,,"SPX")&lt;/Q&gt;&lt;R&gt;1&lt;/R&gt;&lt;C&gt;1&lt;/C&gt;&lt;D xsi:type="xsd:double"&gt;1.0584093&lt;/D&gt;&lt;/FQL&gt;&lt;FQL&gt;&lt;Q&gt;CRH-US^P_BETA_LOCIDX(45495,45320,,"SPX")&lt;/Q&gt;&lt;R&gt;1&lt;/R&gt;&lt;C&gt;1&lt;/C&gt;&lt;D xsi:type="xsd:double"&gt;1.1832677&lt;/D&gt;&lt;/FQL&gt;&lt;FQL&gt;&lt;Q&gt;CRH-US^P_BETA_LOCIDX(44994,44819,,"SPX")&lt;/Q&gt;&lt;R&gt;1&lt;/R&gt;&lt;C&gt;1&lt;/C&gt;&lt;D xsi:type="xsd:double"&gt;1.2294842&lt;/D&gt;&lt;/FQL&gt;&lt;FQL&gt;&lt;Q&gt;CRH-US^P_BETA_LOCIDX(45512,45337,,"SPX")&lt;/Q&gt;&lt;R&gt;1&lt;/R&gt;&lt;C&gt;1&lt;/C&gt;&lt;D xsi:type="xsd:double"&gt;1.3917531&lt;/D&gt;&lt;/FQL&gt;&lt;FQL&gt;&lt;Q&gt;CRH-US^P_BETA_LOCIDX(45061,44883,,"SPX")&lt;/Q&gt;&lt;R&gt;1&lt;/R&gt;&lt;C&gt;1&lt;/C&gt;&lt;D xsi:type="xsd:double"&gt;0.94586307&lt;/D&gt;&lt;/FQL&gt;&lt;FQL&gt;&lt;Q&gt;CRH-US^P_BETA_LOCIDX(45090,44914,,"SPX")&lt;/Q&gt;&lt;R&gt;1&lt;/R&gt;&lt;C&gt;1&lt;/C&gt;&lt;D xsi:type="xsd:double"&gt;1.041338&lt;/D&gt;&lt;/FQL&gt;&lt;FQL&gt;&lt;Q&gt;CRH-US^P_BETA_LOCIDX(45497,45322,,"SPX")&lt;/Q&gt;&lt;R&gt;1&lt;/R&gt;&lt;C&gt;1&lt;/C&gt;&lt;D xsi:type="xsd:double"&gt;1.2001628&lt;/D&gt;&lt;/FQL&gt;&lt;FQL&gt;&lt;Q&gt;CRH-US^P_BETA_LOCIDX(45064,44888,,"SPX")&lt;/Q&gt;&lt;R&gt;1&lt;/R&gt;&lt;C&gt;1&lt;/C&gt;&lt;D xsi:type="xsd:double"&gt;0.9532054&lt;/D&gt;&lt;/FQL&gt;&lt;FQL&gt;&lt;Q&gt;CRH-US^P_BETA_LOCIDX(45532,45358,,"SPX")&lt;/Q&gt;&lt;R&gt;1&lt;/R&gt;&lt;C&gt;1&lt;/C&gt;&lt;D xsi:type="xsd:double"&gt;1.428039&lt;/D&gt;&lt;/FQL&gt;&lt;FQL&gt;&lt;Q&gt;CRH-US^P_BETA_LOCIDX(45247,45076,,"SPX")&lt;/Q&gt;&lt;R&gt;1&lt;/R&gt;&lt;C&gt;1&lt;/C&gt;&lt;D xsi:type="xsd:double"&gt;1.2160203&lt;/D&gt;&lt;/FQL&gt;&lt;FQL&gt;&lt;Q&gt;CRH-US^P_BETA_LOCIDX(45071,44896,,"SPX")&lt;/Q&gt;&lt;R&gt;1&lt;/R&gt;&lt;C&gt;1&lt;/C&gt;&lt;D xsi:type="xsd:double"&gt;1.0089326&lt;/D&gt;&lt;/FQL&gt;&lt;FQL&gt;&lt;Q&gt;CRH-US^P_BETA_LOCIDX(45384,45208,,"SPX")&lt;/Q&gt;&lt;R&gt;1&lt;/R&gt;&lt;C&gt;1&lt;/C&gt;&lt;D xsi:type="xsd:double"&gt;1.1695601&lt;/D&gt;&lt;/FQL&gt;&lt;FQL&gt;&lt;Q&gt;CRH-US^P_BETA_LOCIDX(45944,45771,,"SPX")&lt;/Q&gt;&lt;R&gt;1&lt;/R&gt;&lt;C&gt;1&lt;/C&gt;&lt;D xsi:type="xsd:double"&gt;1.275456&lt;/D&gt;&lt;/FQL&gt;&lt;FQL&gt;&lt;Q&gt;CRH-US^P_BETA_LOCIDX(45708,45531,,"SPX")&lt;/Q&gt;&lt;R&gt;1&lt;/R&gt;&lt;C&gt;1&lt;/C&gt;&lt;D xsi:type="xsd:double"&gt;1.0830516&lt;/D&gt;&lt;/FQL&gt;&lt;FQL&gt;&lt;Q&gt;CRH-US^P_BETA_LOCIDX(45237,45063,,"SPX")&lt;/Q&gt;&lt;R&gt;1&lt;/R&gt;&lt;C&gt;1&lt;/C&gt;&lt;D xsi:type="xsd:double"&gt;1.2382343&lt;/D&gt;&lt;/FQL&gt;&lt;FQL&gt;&lt;Q&gt;CRH-US^P_BETA_LOCIDX(45120,44945,,"SPX")&lt;/Q&gt;&lt;R&gt;1&lt;/R&gt;&lt;C&gt;1&lt;/C&gt;&lt;D xsi:type="xsd:double"&gt;1.0564581&lt;/D&gt;&lt;/FQL&gt;&lt;FQL&gt;&lt;Q&gt;CRH-US^P_BETA_LOCIDX(45888,45715,,"SPX")&lt;/Q&gt;&lt;R&gt;1&lt;/R&gt;&lt;C&gt;1&lt;/C&gt;&lt;D xsi:type="xsd:double"&gt;1.2771695&lt;/D&gt;&lt;/FQL&gt;&lt;FQL&gt;&lt;Q&gt;CRH-US^P_BETA_LOCIDX(45093,44917,,"SPX")&lt;/Q&gt;&lt;R&gt;1&lt;/R&gt;&lt;C&gt;1&lt;/C&gt;&lt;D xsi:type="xsd:double"&gt;1.0503072&lt;/D&gt;&lt;/FQL&gt;&lt;FQL&gt;&lt;Q&gt;CRH-US^P_BETA_LOCIDX(45278,45105,,"SPX")&lt;/Q&gt;&lt;R&gt;1&lt;/R&gt;&lt;C&gt;1&lt;/C&gt;&lt;D xsi:type="xsd:double"&gt;1.2013808&lt;/D&gt;&lt;/FQL&gt;&lt;FQL&gt;&lt;Q&gt;CRH-US^P_BETA_LOCIDX(45352,45177,,"SPX")&lt;/Q&gt;&lt;R&gt;1&lt;/R&gt;&lt;C&gt;1&lt;/C&gt;&lt;D xsi:type="xsd:double"&gt;1.1845012&lt;/D&gt;&lt;/FQL&gt;&lt;FQL&gt;&lt;Q&gt;CRH-US^P_BETA_LOCIDX(45743,45567,,"SPX")&lt;/Q&gt;&lt;R&gt;1&lt;/R&gt;&lt;C&gt;1&lt;/C&gt;&lt;D xsi:type="xsd:double"&gt;1.3680358&lt;/D&gt;&lt;/FQL&gt;&lt;FQL&gt;&lt;Q&gt;CRH-US^P_BETA_LOCIDX(45749,45573,,"SPX")&lt;/Q&gt;&lt;R&gt;1&lt;/R&gt;&lt;C&gt;1&lt;/C&gt;&lt;D xsi:type="xsd:double"&gt;1.4178003&lt;/D&gt;&lt;/FQL&gt;&lt;FQL&gt;&lt;Q&gt;CRH-US^P_BETA_LOCIDX(45322,45147,,"SPX")&lt;/Q&gt;&lt;R&gt;1&lt;/R&gt;&lt;C&gt;1&lt;/C&gt;&lt;D xsi:type="xsd:double"&gt;1.2235742&lt;/D&gt;&lt;/FQL&gt;&lt;FQL&gt;&lt;Q&gt;CRH-US^P_BETA_LOCIDX(44995,44820,,"SPX")&lt;/Q&gt;&lt;R&gt;1&lt;/R&gt;&lt;C&gt;1&lt;/C&gt;&lt;D xsi:type="xsd:double"&gt;1.2313502&lt;/D&gt;&lt;/FQL&gt;&lt;FQL&gt;&lt;Q&gt;CRH-US^P_BETA_LOCIDX(45930,45756,,"SPX")&lt;/Q&gt;&lt;R&gt;1&lt;/R&gt;&lt;C&gt;1&lt;/C&gt;&lt;D xsi:type="xsd:double"&gt;1.2589328&lt;/D&gt;&lt;/FQL&gt;&lt;FQL&gt;&lt;Q&gt;CRH-US^P_BETA_LOCIDX(45835,45659,,"SPX")&lt;/Q&gt;&lt;R&gt;1&lt;/R&gt;&lt;C&gt;1&lt;/C&gt;&lt;D xsi:type="xsd:double"&gt;1.27409&lt;/D&gt;&lt;/FQL&gt;&lt;FQL&gt;&lt;Q&gt;CRH-US^P_BETA_LOCIDX(45317,45142,,"SPX")&lt;/Q&gt;&lt;R&gt;1&lt;/R&gt;&lt;C&gt;1&lt;/C&gt;&lt;D xsi:type="xsd:double"&gt;1.2540414&lt;/D&gt;&lt;/FQL&gt;&lt;FQL&gt;&lt;Q&gt;CRH-US^P_BETA_LOCIDX(45994,45821,,"SPX")&lt;/Q&gt;&lt;R&gt;1&lt;/R&gt;&lt;C&gt;1&lt;/C&gt;&lt;D xsi:type="xsd:double"&gt;1.1800507&lt;/D&gt;&lt;/FQL&gt;&lt;FQL&gt;&lt;Q&gt;CRH-US^P_BETA_LOCIDX(45222,45048,,"SPX")&lt;/Q&gt;&lt;R&gt;1&lt;/R&gt;&lt;C&gt;1&lt;/C&gt;&lt;D xsi:type="xsd:double"&gt;1.194343&lt;/D&gt;&lt;/FQL&gt;&lt;FQL&gt;&lt;Q&gt;CRH-US^P_BETA_LOCIDX(45957,45784,,"SPX")&lt;/Q&gt;&lt;R&gt;1&lt;/R&gt;&lt;C&gt;1&lt;/C&gt;&lt;D xsi:type="xsd:double"&gt;1.152565&lt;/D&gt;&lt;/FQL&gt;&lt;FQL&gt;&lt;Q&gt;CRH-US^P_BETA_LOCIDX(45875,45701,,"SPX")&lt;/Q&gt;&lt;R&gt;1&lt;/R&gt;&lt;C&gt;1&lt;/C&gt;&lt;D xsi:type="xsd:double"&gt;1.2714416&lt;/D&gt;&lt;/FQL&gt;&lt;FQL&gt;&lt;Q&gt;CRH-US^P_BETA_LOCIDX(45266,45092,,"SPX")&lt;/Q&gt;&lt;R&gt;1&lt;/R&gt;&lt;C&gt;1&lt;/C&gt;&lt;D xsi:type="xsd:double"&gt;1.1646327&lt;/D&gt;&lt;/FQL&gt;&lt;FQL&gt;&lt;Q&gt;CRH-US^P_BETA_LOCIDX(45618,45447,,"SPX")&lt;/Q&gt;&lt;R&gt;1&lt;/R&gt;&lt;C&gt;1&lt;/C&gt;&lt;D xsi:type="xsd:double"&gt;1.2648726&lt;/D&gt;&lt;/FQL&gt;&lt;FQL&gt;&lt;Q&gt;CRH-US^P_BETA_LOCIDX(45702,45526,,"SPX")&lt;/Q&gt;&lt;R&gt;1&lt;/R&gt;&lt;C&gt;1&lt;/C&gt;&lt;D xsi:type="xsd:double"&gt;1.0605674&lt;/D&gt;&lt;/FQL&gt;&lt;FQL&gt;&lt;Q&gt;CRH-US^P_BETA_LOCIDX(45265,45091,,"SPX")&lt;/Q&gt;&lt;R&gt;1&lt;/R&gt;&lt;C&gt;1&lt;/C&gt;&lt;D xsi:type="xsd:double"&gt;1.1677773&lt;/D&gt;&lt;/FQL&gt;&lt;FQL&gt;&lt;Q&gt;CRH-US^P_BETA_LOCIDX(45909,45735,,"SPX")&lt;/Q&gt;&lt;R&gt;1&lt;/R&gt;&lt;C&gt;1&lt;/C&gt;&lt;D xsi:type="xsd:double"&gt;1.2331374&lt;/D&gt;&lt;/FQL&gt;&lt;FQL&gt;&lt;Q&gt;CRH-US^P_BETA_LOCIDX(45530,45356,,"SPX")&lt;/Q&gt;&lt;R&gt;1&lt;/R&gt;&lt;C&gt;1&lt;/C&gt;&lt;D xsi:type="xsd:double"&gt;1.4469777&lt;/D&gt;&lt;/FQL&gt;&lt;FQL&gt;&lt;Q&gt;CRH-US^P_BETA_LOCIDX(45516,45342,,"SPX")&lt;/Q&gt;&lt;R&gt;1&lt;/R&gt;&lt;C&gt;1&lt;/C&gt;&lt;D xsi:type="xsd:double"&gt;1.404328&lt;/D&gt;&lt;/FQL&gt;&lt;FQL&gt;&lt;Q&gt;CRH-US^P_BETA_LOCIDX(45866,45692,,"SPX")&lt;/Q&gt;&lt;R&gt;1&lt;/R&gt;&lt;C&gt;1&lt;/C&gt;&lt;D xsi:type="xsd:double"&gt;1.2803131&lt;/D&gt;&lt;/FQL&gt;&lt;FQL&gt;&lt;Q&gt;CRH-US^P_BETA_LOCIDX(46035,45861,,"SPX")&lt;/Q&gt;&lt;R&gt;1&lt;/R&gt;&lt;C&gt;1&lt;/C&gt;&lt;D xsi:type="xsd:double"&gt;1.216635&lt;/D&gt;&lt;/FQL&gt;&lt;FQL&gt;&lt;Q&gt;CRH-US^P_BETA_LOCIDX(46028,45854,,"SPX")&lt;/Q&gt;&lt;R&gt;1&lt;/R&gt;&lt;C&gt;1&lt;/C&gt;&lt;D xsi:type="xsd:double"&gt;1.1115065&lt;/D&gt;&lt;/FQL&gt;&lt;FQL&gt;&lt;Q&gt;CRH-US^P_BETA_LOCIDX(45029,44853,,"SPX")&lt;/Q&gt;&lt;R&gt;1&lt;/R&gt;&lt;C&gt;1&lt;/C&gt;&lt;D xsi:type="xsd:double"&gt;1.1384214&lt;/D&gt;&lt;/FQL&gt;&lt;FQL&gt;&lt;Q&gt;CRH-US^P_BETA_LOCIDX(45131,44956,,"SPX")&lt;/Q&gt;&lt;R&gt;1&lt;/R&gt;&lt;C&gt;1&lt;/C&gt;&lt;D xsi:type="xsd:double"&gt;1.06807&lt;/D&gt;&lt;/FQL&gt;&lt;FQL&gt;&lt;Q&gt;CRH-US^P_BETA_LOCIDX(45943,45770,,"SPX")&lt;/Q&gt;&lt;R&gt;1&lt;/R&gt;&lt;C&gt;1&lt;/C&gt;&lt;D xsi:type="xsd:double"&gt;1.2938459&lt;/D&gt;&lt;/FQL&gt;&lt;FQL&gt;&lt;Q&gt;CRH-US^P_BETA_LOCIDX(45861,45687,,"SPX")&lt;/Q&gt;&lt;R&gt;1&lt;/R&gt;&lt;C&gt;1&lt;/C&gt;&lt;D xsi:type="xsd:double"&gt;1.2792962&lt;/D&gt;&lt;/FQL&gt;&lt;FQL&gt;&lt;Q&gt;CRH-US^P_BETA_LOCIDX(45205,45033,,"SPX")&lt;/Q&gt;&lt;R&gt;1&lt;/R&gt;&lt;C&gt;1&lt;/C&gt;&lt;D xsi:type="xsd:double"&gt;1.0430025&lt;/D&gt;&lt;/FQL&gt;&lt;FQL&gt;&lt;Q&gt;CRH-US^P_BETA_LOCIDX(45756,45580,,"SPX")&lt;/Q&gt;&lt;R&gt;1&lt;/R&gt;&lt;C&gt;1&lt;/C&gt;&lt;D xsi:type="xsd:double"&gt;1.2213948&lt;/D&gt;&lt;/FQL&gt;&lt;FQL&gt;&lt;Q&gt;CRH-US^P_BETA_LOCIDX(45056,44880,,"SPX")&lt;/Q&gt;&lt;R&gt;1&lt;/R&gt;&lt;C&gt;1&lt;/C&gt;&lt;D xsi:type="xsd:double"&gt;0.94906306&lt;/D&gt;&lt;/FQL&gt;&lt;FQL&gt;&lt;Q&gt;CRH-US^P_BETA_LOCIDX(45985,45813,,"SPX")&lt;/Q&gt;&lt;R&gt;1&lt;/R&gt;&lt;C&gt;1&lt;/C&gt;&lt;D xsi:type="xsd:double"&gt;1.0903139&lt;/D&gt;&lt;/FQL&gt;&lt;FQL&gt;&lt;Q&gt;CRH-US^P_BETA_LOCIDX(45490,45315,,"SPX")&lt;/Q&gt;&lt;R&gt;1&lt;/R&gt;&lt;C&gt;1&lt;/C&gt;&lt;D xsi:type="xsd:double"&gt;1.1879208&lt;/D&gt;&lt;/FQL&gt;&lt;FQL&gt;&lt;Q&gt;CRH-US^P_BETA_LOCIDX(44965,44790,,"SPX")&lt;/Q&gt;&lt;R&gt;1&lt;/R&gt;&lt;C&gt;1&lt;/C&gt;&lt;D xsi:type="xsd:double"&gt;1.2209847&lt;/D&gt;&lt;/FQL&gt;&lt;FQL&gt;&lt;Q&gt;CRH-US^P_BETA_LOCIDX(45518,45344,,"SPX")&lt;/Q&gt;&lt;R&gt;1&lt;/R&gt;&lt;C&gt;1&lt;/C&gt;&lt;D xsi:type="xsd:double"&gt;1.4000049&lt;/D&gt;&lt;/FQL&gt;&lt;FQL&gt;&lt;Q&gt;CRH-US^P_BETA_LOCIDX(45482,45307,,"SPX")&lt;/Q&gt;&lt;R&gt;1&lt;/R&gt;&lt;C&gt;1&lt;/C&gt;&lt;D xsi:type="xsd:double"&gt;1.2116297&lt;/D&gt;&lt;/FQL&gt;&lt;FQL&gt;&lt;Q&gt;CRH-US^P_BETA_LOCIDX(45048,44872,,"SPX")&lt;/Q&gt;&lt;R&gt;1&lt;/R&gt;&lt;C&gt;1&lt;/C&gt;&lt;D xsi:type="xsd:double"&gt;1.0697771&lt;/D&gt;&lt;/FQL&gt;&lt;FQL&gt;&lt;Q&gt;CRH-US^P_BETA_LOCIDX(45561,45387,,"SPX")&lt;/Q&gt;&lt;R&gt;1&lt;/R&gt;&lt;C&gt;1&lt;/C&gt;&lt;D xsi:type="xsd:double"&gt;1.3849826&lt;/D&gt;&lt;/FQL&gt;&lt;FQL&gt;&lt;Q&gt;CRH-US^P_BETA_LOCIDX(45840,45664,,"SPX")&lt;/Q&gt;&lt;R&gt;1&lt;/R&gt;&lt;C&gt;1&lt;/C&gt;&lt;D xsi:type="xsd:double"&gt;1.2787681&lt;/D&gt;&lt;/FQL&gt;&lt;FQL&gt;&lt;Q&gt;CRH-US^P_BETA_LOCIDX(45526,45352,,"SPX")&lt;/Q&gt;&lt;R&gt;1&lt;/R&gt;&lt;C&gt;1&lt;/C&gt;&lt;D xsi:type="xsd:double"&gt;1.421706&lt;/D&gt;&lt;/FQL&gt;&lt;FQL&gt;&lt;Q&gt;CRH-US^P_BETA_LOCIDX(45464,45288,,"SPX")&lt;/Q&gt;&lt;R&gt;1&lt;/R&gt;&lt;C&gt;1&lt;/C&gt;&lt;D xsi:type="xsd:double"&gt;1.2999384&lt;/D&gt;&lt;/FQL&gt;&lt;FQL&gt;&lt;Q&gt;CRH-US^P_BETA_LOCIDX(45236,45062,,"SPX")&lt;/Q&gt;&lt;R&gt;1&lt;/R&gt;&lt;C&gt;1&lt;/C&gt;&lt;D xsi:type="xsd:double"&gt;1.237774&lt;/D&gt;&lt;/FQL&gt;&lt;FQL&gt;&lt;Q&gt;CRH-US^P_BETA_LOCIDX(45138,44963,,"SPX")&lt;/Q&gt;&lt;R&gt;1&lt;/R&gt;&lt;C&gt;1&lt;/C&gt;&lt;D xsi:type="xsd:double"&gt;1.0538392&lt;/D&gt;&lt;/FQL&gt;&lt;FQL&gt;&lt;Q&gt;CRH-US^P_BETA_LOCIDX(45162,44988,,"SPX")&lt;/Q&gt;&lt;R&gt;1&lt;/R&gt;&lt;C&gt;1&lt;/C&gt;&lt;D xsi:type="xsd:double"&gt;1.0067326&lt;/D&gt;&lt;/FQL&gt;&lt;FQL&gt;&lt;Q&gt;CRH-US^P_BETA_LOCIDX(45644,45471,,"SPX")&lt;/Q&gt;&lt;R&gt;1&lt;/R&gt;&lt;C&gt;1&lt;/C&gt;&lt;D xsi:type="xsd:double"&gt;1.2436353&lt;/D&gt;&lt;/FQL&gt;&lt;FQL&gt;&lt;Q&gt;CRH-US^P_BETA_LOCIDX(44992,44817,,"SPX")&lt;/Q&gt;&lt;R&gt;1&lt;/R&gt;&lt;C&gt;1&lt;/C&gt;&lt;D xsi:type="xsd:double"&gt;1.2217749&lt;/D&gt;&lt;/FQL&gt;&lt;FQL&gt;&lt;Q&gt;CRH-US^P_BETA_LOCIDX(45880,45707,,"SPX")&lt;/Q&gt;&lt;R&gt;1&lt;/R&gt;&lt;C&gt;1&lt;/C&gt;&lt;D xsi:type="xsd:double"&gt;1.2676158&lt;/D&gt;&lt;/FQL&gt;&lt;FQL&gt;&lt;Q&gt;CRH-US^P_BETA_LOCIDX(44986,44811,,"SPX")&lt;/Q&gt;&lt;R&gt;1&lt;/R&gt;&lt;C&gt;1&lt;/C&gt;&lt;D xsi:type="xsd:double"&gt;1.2196034&lt;/D&gt;&lt;/FQL&gt;&lt;FQL&gt;&lt;Q&gt;CRH-US^P_BETA_LOCIDX(45989,45818,,"SPX")&lt;/Q&gt;&lt;R&gt;1&lt;/R&gt;&lt;C&gt;1&lt;/C&gt;&lt;D xsi:type="xsd:double"&gt;1.1890173&lt;/D&gt;&lt;/FQL&gt;&lt;FQL&gt;&lt;Q&gt;CRH-US^P_BETA_LOCIDX(46009,45839,,"SPX")&lt;/Q&gt;&lt;R&gt;1&lt;/R&gt;&lt;C&gt;1&lt;/C&gt;&lt;D xsi:type="xsd:double"&gt;1.139518&lt;/D&gt;&lt;/FQL&gt;&lt;FQL&gt;&lt;Q&gt;CRH-US^P_BETA_LOCIDX(45820,45643,,"SPX")&lt;/Q&gt;&lt;R&gt;1&lt;/R&gt;&lt;C&gt;1&lt;/C&gt;&lt;D xsi:type="xsd:double"&gt;1.2547206&lt;/D&gt;&lt;/FQL&gt;&lt;FQL&gt;&lt;Q&gt;CRH-US^P_BETA_LOCIDX(44979,44803,,"SPX")&lt;/Q&gt;&lt;R&gt;1&lt;/R&gt;&lt;C&gt;1&lt;/C&gt;&lt;D xsi:type="xsd:double"&gt;1.2104304&lt;/D&gt;&lt;/FQL&gt;&lt;FQL&gt;&lt;Q&gt;CRH-US^P_BETA_LOCIDX(45812,45635,,"SPX")&lt;/Q&gt;&lt;R&gt;1&lt;/R&gt;&lt;C&gt;1&lt;/C&gt;&lt;D xsi:type="xsd:double"&gt;1.2638359&lt;/D&gt;&lt;/FQL&gt;&lt;FQL&gt;&lt;Q&gt;CRH-US^P_BETA_LOCIDX(45531,45357,,"SPX")&lt;/Q&gt;&lt;R&gt;1&lt;/R&gt;&lt;C&gt;1&lt;/C&gt;&lt;D xsi:type="xsd:double"&gt;1.4341859&lt;/D&gt;&lt;/FQL&gt;&lt;FQL&gt;&lt;Q&gt;CRH-US^P_BETA_LOCIDX(45811,45632,,"SPX")&lt;/Q&gt;&lt;R&gt;1&lt;/R&gt;&lt;C&gt;1&lt;/C&gt;&lt;D xsi:type="xsd:double"&gt;1.2637653&lt;/D&gt;&lt;/FQL&gt;&lt;FQL&gt;&lt;Q&gt;CRH-US^P_BETA_LOCIDX(46036,45862,,"SPX")&lt;/Q&gt;&lt;R&gt;1&lt;/R&gt;&lt;C&gt;1&lt;/C&gt;&lt;D xsi:type="xsd:double"&gt;1.253867&lt;/D&gt;&lt;/FQL&gt;&lt;FQL&gt;&lt;Q&gt;CRH-US^P_BETA_LOCIDX(45475,45300,,"SPX")&lt;/Q&gt;&lt;R&gt;1&lt;/R&gt;&lt;C&gt;1&lt;/C&gt;&lt;D xsi:type="xsd:double"&gt;1.2037605&lt;/D&gt;&lt;/FQL&gt;&lt;FQL&gt;&lt;Q&gt;CRH-US^P_BETA_LOCIDX(45379,45204,,"SPX")&lt;/Q&gt;&lt;R&gt;1&lt;/R&gt;&lt;C&gt;1&lt;/C&gt;&lt;D xsi:type="xsd:double"&gt;1.1654608&lt;/D&gt;&lt;/FQL&gt;&lt;FQL&gt;&lt;Q&gt;CRH-US^P_BETA_LOCIDX(45898,45727,,"SPX")&lt;/Q&gt;&lt;R&gt;1&lt;/R&gt;&lt;C&gt;1&lt;/C&gt;&lt;D xsi:type="xsd:double"&gt;1.2466087&lt;/D&gt;&lt;/FQL&gt;&lt;FQL&gt;&lt;Q&gt;CRH-US^P_BETA_LOCIDX(45798,45621,,"SPX")&lt;/Q&gt;&lt;R&gt;1&lt;/R&gt;&lt;C&gt;1&lt;/C&gt;&lt;D xsi:type="xsd:double"&gt;1.2704287&lt;/D&gt;&lt;/FQL&gt;&lt;FQL&gt;&lt;Q&gt;CRH-US^P_BETA_LOCIDX(45810,45631,,"SPX")&lt;/Q&gt;&lt;R&gt;1&lt;/R&gt;&lt;C&gt;1&lt;/C&gt;&lt;D xsi:type="xsd:double"&gt;1.2649276&lt;/D&gt;&lt;/FQL&gt;&lt;FQL&gt;&lt;Q&gt;CRH-US^P_BETA_LOCIDX(45559,45385,,"SPX")&lt;/Q&gt;&lt;R&gt;1&lt;/R&gt;&lt;C&gt;1&lt;/C&gt;&lt;D xsi:type="xsd:double"&gt;1.3762084&lt;/D&gt;&lt;/FQL&gt;&lt;FQL&gt;&lt;Q&gt;CRH-US^P_BETA_LOCIDX(45231,45057,,"SPX")&lt;/Q&gt;&lt;R&gt;1&lt;/R&gt;&lt;C&gt;1&lt;/C&gt;&lt;D xsi:type="xsd:double"&gt;1.3209192&lt;/D&gt;&lt;/FQL&gt;&lt;FQL&gt;&lt;Q&gt;CRH-US^P_BETA_LOCIDX(45002,44827,,"SPX")&lt;/Q&gt;&lt;R&gt;1&lt;/R&gt;&lt;C&gt;1&lt;/C&gt;&lt;D xsi:type="xsd:double"&gt;1.2291298&lt;/D&gt;&lt;/FQL&gt;&lt;FQL&gt;&lt;Q&gt;CRH-US^P_BETA_LOCIDX(45184,45009,,"SPX")&lt;/Q&gt;&lt;R&gt;1&lt;/R&gt;&lt;C&gt;1&lt;/C&gt;&lt;D xsi:type="xsd:double"&gt;1.0385938&lt;/D&gt;&lt;/FQL&gt;&lt;FQL&gt;&lt;Q&gt;CRH-US^P_BETA_LOCIDX(45415,45239,,"SPX")&lt;/Q&gt;&lt;R&gt;1&lt;/R&gt;&lt;C&gt;1&lt;/C&gt;&lt;D xsi:type="xsd:double"&gt;1.1422755&lt;/D&gt;&lt;/FQL&gt;&lt;FQL&gt;&lt;Q&gt;CRH-US^P_BETA_LOCIDX(45097,44918,,"SPX")&lt;/Q&gt;&lt;R&gt;1&lt;/R&gt;&lt;C&gt;1&lt;/C&gt;&lt;D xsi:type="xsd:double"&gt;1.0582262&lt;/D&gt;&lt;/FQL&gt;&lt;FQL&gt;&lt;Q&gt;CRH-US^P_BETA_LOCIDX(45926,45754,,"SPX")&lt;/Q&gt;&lt;R&gt;1&lt;/R&gt;&lt;C&gt;1&lt;/C&gt;&lt;D xsi:type="xsd:double"&gt;1.2443094&lt;/D&gt;&lt;/FQL&gt;&lt;FQL&gt;&lt;Q&gt;CRH-US^P_BETA_LOCIDX(45595,45421,,"SPX")&lt;/Q&gt;&lt;R&gt;1&lt;/R&gt;&lt;C&gt;1&lt;/C&gt;&lt;D xsi:type="xsd:double"&gt;1.3374953&lt;/D&gt;&lt;/FQL&gt;&lt;FQL&gt;&lt;Q&gt;CRH-US^P_BETA_LOCIDX(45058,44882,,"SPX")&lt;/Q&gt;&lt;R&gt;1&lt;/R&gt;&lt;C&gt;1&lt;/C&gt;&lt;D xsi:type="xsd:double"&gt;0.9454408&lt;/D&gt;&lt;/FQL&gt;&lt;FQL&gt;&lt;Q&gt;CRH-US^P_BETA_LOCIDX(45268,45097,,"SPX")&lt;/Q&gt;&lt;R&gt;1&lt;/R&gt;&lt;C&gt;1&lt;/C&gt;&lt;D xsi:type="xsd:double"&gt;1.1881175&lt;/D&gt;&lt;/FQL&gt;&lt;FQL&gt;&lt;Q&gt;CRH-US^P_BETA_LOCIDX(45755,45579,,"SPX")&lt;/Q&gt;&lt;R&gt;1&lt;/R&gt;&lt;C&gt;1&lt;/C&gt;&lt;D xsi:type="xsd:double"&gt;1.2723222&lt;/D&gt;&lt;/FQL&gt;&lt;FQL&gt;&lt;Q&gt;CRH-US^P_BETA_LOCIDX(45244,45070,,"SPX")&lt;/Q&gt;&lt;R&gt;1&lt;/R&gt;&lt;C&gt;1&lt;/C&gt;&lt;D xsi:type="xsd:double"&gt;1.1956869&lt;/D&gt;&lt;/FQL&gt;&lt;FQL&gt;&lt;Q&gt;CRH-US^P_BETA_LOCIDX(45828,45650,,"SPX")&lt;/Q&gt;&lt;R&gt;1&lt;/R&gt;&lt;C&gt;1&lt;/C&gt;&lt;D xsi:type="xsd:double"&gt;1.2612481&lt;/D&gt;&lt;/FQL&gt;&lt;FQL&gt;&lt;Q&gt;CRH-US^P_BETA_LOCIDX(45019,44844,,"SPX")&lt;/Q&gt;&lt;R&gt;1&lt;/R&gt;&lt;C&gt;1&lt;/C&gt;&lt;D xsi:type="xsd:double"&gt;1.1592957&lt;/D&gt;&lt;/FQL&gt;&lt;FQL&gt;&lt;Q&gt;CRH-US^P_BETA_LOCIDX(45054,44876,,"SPX")&lt;/Q&gt;&lt;R&gt;1&lt;/R&gt;&lt;C&gt;1&lt;/C&gt;&lt;D xsi:type="xsd:double"&gt;0.9789685&lt;/D&gt;&lt;/FQL&gt;&lt;FQL&gt;&lt;Q&gt;CRH-US^P_BETA_LOCIDX(45789,45610,,"SPX")&lt;/Q&gt;&lt;R&gt;1&lt;/R&gt;&lt;C&gt;1&lt;/C&gt;&lt;D xsi:type="xsd:double"&gt;1.2714424&lt;/D&gt;&lt;/FQL&gt;&lt;FQL&gt;&lt;Q&gt;CRH-US^P_BETA_LOCIDX(45971,45798,,"SPX")&lt;/Q&gt;&lt;R&gt;1&lt;/R&gt;&lt;C&gt;1&lt;/C&gt;&lt;D xsi:type="xsd:double"&gt;1.0720739&lt;/D&gt;&lt;/FQL&gt;&lt;FQL&gt;&lt;Q&gt;CRH-US^P_BETA_LOCIDX(46002,45832,,"SPX")&lt;/Q&gt;&lt;R&gt;1&lt;/R&gt;&lt;C&gt;1&lt;/C&gt;&lt;D xsi:type="xsd:double"&gt;1.0961792&lt;/D&gt;&lt;/FQL&gt;&lt;FQL&gt;&lt;Q&gt;CRH-US^P_BETA_LOCIDX(45091,44915,,"SPX")&lt;/Q&gt;&lt;R&gt;1&lt;/R&gt;&lt;C&gt;1&lt;/C&gt;&lt;D xsi:type="xsd:double"&gt;1.0517458&lt;/D&gt;&lt;/FQL&gt;&lt;FQL&gt;&lt;Q&gt;CRH-US^P_BETA_LOCIDX(45174,44999,,"SPX")&lt;/Q&gt;&lt;R&gt;1&lt;/R&gt;&lt;C&gt;1&lt;/C&gt;&lt;D xsi:type="xsd:double"&gt;1.0608333&lt;/D&gt;&lt;/FQL&gt;&lt;FQL&gt;&lt;Q&gt;CRH-US^P_BETA_LOCIDX(45146,44971,,"SPX")&lt;/Q&gt;&lt;R&gt;1&lt;/R&gt;&lt;C&gt;1&lt;/C&gt;&lt;D xsi:type="xsd:double"&gt;1.0515409&lt;/D&gt;&lt;/FQL&gt;&lt;/Schema&gt;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<sst xmlns="http://schemas.openxmlformats.org/spreadsheetml/2006/main" count="53" uniqueCount="30">
  <si>
    <t>Performance vs. Beta over Time</t>
  </si>
  <si>
    <t>Date</t>
  </si>
  <si>
    <t>PX LAST</t>
  </si>
  <si>
    <t>Price</t>
  </si>
  <si>
    <t>Start Date:</t>
  </si>
  <si>
    <t>End Date:</t>
  </si>
  <si>
    <t>Stock Ticker BBERG:</t>
  </si>
  <si>
    <t>Stock Ticker FDS:</t>
  </si>
  <si>
    <t>Index Ticker BBERG:</t>
  </si>
  <si>
    <t>Index Ticker FDS:</t>
  </si>
  <si>
    <t>SPX</t>
  </si>
  <si>
    <t>6 Month Beta</t>
  </si>
  <si>
    <t>Performance vs. Beta</t>
  </si>
  <si>
    <t>Return (Beta Implied)</t>
  </si>
  <si>
    <t>1W</t>
  </si>
  <si>
    <t>2W</t>
  </si>
  <si>
    <t>4W</t>
  </si>
  <si>
    <t>T</t>
  </si>
  <si>
    <t>T-1W</t>
  </si>
  <si>
    <t>T-2W</t>
  </si>
  <si>
    <t>T-4W</t>
  </si>
  <si>
    <t>Return: Index</t>
  </si>
  <si>
    <t>Price: Index</t>
  </si>
  <si>
    <t>Price: Stock</t>
  </si>
  <si>
    <t>Return: Stock Actual</t>
  </si>
  <si>
    <t>T-6M</t>
  </si>
  <si>
    <t>Holidays</t>
  </si>
  <si>
    <t>T-12W</t>
  </si>
  <si>
    <t>12W</t>
  </si>
  <si>
    <t>This sheet contains FactSet XML data for use with this workbook's =FDS codes.  Modifying the worksheet's contents may damage the workbook's =FDS functionality.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</si>
</sst>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3" formatCode="_(* #,##0.00_);_(* \(#,##0.00\);_(* &quot;-&quot;??_);_(@_)"/>
    <numFmt numFmtId="164" formatCode="0.0%"/>
    <numFmt numFmtId="167" formatCode="&quot;$&quot;#,##0.00_);\(&quot;$&quot;#,##0.00\);\-\-_);@_)\ "/>
    <numFmt numFmtId="170" formatCode="#,##0.00_);\(#,##0.00\);\-\-_);@_)\ "/>
    <numFmt numFmtId="171" formatCode="0.0%_);\(0.0%\);\-\-_);@_)"/>
  </numFmts>
  <fonts count="1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color rgb="FFFF0000"/>
      <name val="Calibri"/>
      <family val="2"/>
    </font>
    <font>
      <b/>
      <sz val="11"/>
      <color theme="1"/>
      <name val="Calibri"/>
      <family val="2"/>
    </font>
    <font>
      <sz val="11"/>
      <color rgb="FF008000"/>
      <name val="Calibri"/>
      <family val="2"/>
      <scheme val="minor"/>
    </font>
    <font>
      <sz val="11"/>
      <color theme="1"/>
      <name val="Garamond"/>
      <family val="2"/>
    </font>
    <font>
      <sz val="11"/>
      <color rgb="FF0000FF"/>
      <name val="Calibri"/>
      <family val="2"/>
    </font>
    <font>
      <sz val="11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CC"/>
        <bgColor rgb="FF000000"/>
      </patternFill>
    </fill>
  </fills>
  <borders count="7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 style="thick">
        <color theme="0"/>
      </right>
      <top/>
      <bottom style="medium">
        <color indexed="64"/>
      </bottom>
      <diagonal/>
    </border>
    <border>
      <left style="thick">
        <color theme="0"/>
      </left>
      <right style="thick">
        <color theme="0"/>
      </right>
      <top style="medium">
        <color auto="1"/>
      </top>
      <bottom/>
      <diagonal/>
    </border>
    <border>
      <left style="thick">
        <color theme="0"/>
      </left>
      <right/>
      <top style="medium">
        <color auto="1"/>
      </top>
      <bottom/>
      <diagonal/>
    </border>
    <border>
      <left/>
      <right style="thick">
        <color theme="0"/>
      </right>
      <top style="medium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7" fillId="0" borderId="0"/>
  </cellStyleXfs>
  <cellXfs count="31">
    <xf numFmtId="0" fontId="0" fillId="0" borderId="0" xfId="0"/>
    <xf numFmtId="0" fontId="0" fillId="0" borderId="1" xfId="0" applyBorder="1"/>
    <xf numFmtId="0" fontId="2" fillId="0" borderId="1" xfId="0" applyFont="1" applyBorder="1"/>
    <xf numFmtId="0" fontId="2" fillId="0" borderId="0" xfId="0" applyFont="1"/>
    <xf numFmtId="14" fontId="3" fillId="2" borderId="0" xfId="0" applyNumberFormat="1" applyFont="1" applyFill="1"/>
    <xf numFmtId="0" fontId="3" fillId="3" borderId="0" xfId="0" applyFont="1" applyFill="1" applyAlignment="1">
      <alignment horizontal="centerContinuous"/>
    </xf>
    <xf numFmtId="14" fontId="1" fillId="0" borderId="0" xfId="0" applyNumberFormat="1" applyFont="1" applyAlignment="1">
      <alignment vertical="center"/>
    </xf>
    <xf numFmtId="43" fontId="1" fillId="0" borderId="0" xfId="0" applyNumberFormat="1" applyFont="1" applyAlignment="1">
      <alignment horizontal="center"/>
    </xf>
    <xf numFmtId="14" fontId="0" fillId="0" borderId="0" xfId="0" applyNumberFormat="1"/>
    <xf numFmtId="42" fontId="4" fillId="0" borderId="0" xfId="0" applyNumberFormat="1" applyFont="1"/>
    <xf numFmtId="14" fontId="3" fillId="2" borderId="0" xfId="0" applyNumberFormat="1" applyFont="1" applyFill="1" applyAlignment="1">
      <alignment horizontal="center"/>
    </xf>
    <xf numFmtId="14" fontId="1" fillId="2" borderId="0" xfId="0" applyNumberFormat="1" applyFont="1" applyFill="1" applyAlignment="1">
      <alignment horizontal="center"/>
    </xf>
    <xf numFmtId="0" fontId="5" fillId="0" borderId="1" xfId="0" applyFont="1" applyBorder="1" applyAlignment="1">
      <alignment horizontal="centerContinuous"/>
    </xf>
    <xf numFmtId="0" fontId="0" fillId="0" borderId="1" xfId="0" applyBorder="1" applyAlignment="1">
      <alignment horizontal="centerContinuous"/>
    </xf>
    <xf numFmtId="0" fontId="0" fillId="0" borderId="2" xfId="0" applyBorder="1" applyAlignment="1">
      <alignment horizontal="centerContinuous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Continuous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14" fontId="6" fillId="0" borderId="0" xfId="0" applyNumberFormat="1" applyFont="1"/>
    <xf numFmtId="14" fontId="8" fillId="0" borderId="0" xfId="0" applyNumberFormat="1" applyFont="1"/>
    <xf numFmtId="14" fontId="9" fillId="0" borderId="0" xfId="0" applyNumberFormat="1" applyFont="1"/>
    <xf numFmtId="43" fontId="10" fillId="0" borderId="0" xfId="0" applyNumberFormat="1" applyFont="1"/>
    <xf numFmtId="164" fontId="0" fillId="0" borderId="0" xfId="0" applyNumberFormat="1"/>
    <xf numFmtId="0" fontId="2" fillId="0" borderId="0" xfId="0" applyFont="1" applyAlignment="1">
      <alignment horizontal="center"/>
    </xf>
    <xf numFmtId="14" fontId="3" fillId="4" borderId="6" xfId="0" applyNumberFormat="1" applyFont="1" applyFill="1" applyBorder="1" applyAlignment="1">
      <alignment horizontal="center"/>
    </xf>
    <xf numFmtId="14" fontId="3" fillId="0" borderId="0" xfId="0" applyNumberFormat="1" applyFont="1"/>
    <xf numFmtId="167" fontId="1" fillId="0" borderId="0" xfId="0" applyNumberFormat="1" applyFont="1" applyAlignment="1">
      <alignment horizontal="right"/>
    </xf>
    <xf numFmtId="170" fontId="10" fillId="0" borderId="0" xfId="0" applyNumberFormat="1" applyFont="1"/>
    <xf numFmtId="171" fontId="0" fillId="0" borderId="0" xfId="0" applyNumberFormat="1"/>
  </cellXfs>
  <cellStyles count="2">
    <cellStyle name="Normal" xfId="0" builtinId="0"/>
    <cellStyle name="Normal 3" xfId="1" xr:uid="{57A37A3B-C89C-4A8D-86AD-BE6B581139AD}"/>
  </cellStyles>
  <dxfs count="4">
    <dxf>
      <font>
        <color rgb="FFC00000"/>
      </font>
      <fill>
        <patternFill>
          <bgColor theme="5" tint="0.79998168889431442"/>
        </patternFill>
      </fill>
    </dxf>
    <dxf>
      <font>
        <color rgb="FF008000"/>
      </font>
      <fill>
        <patternFill>
          <bgColor theme="9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008000"/>
      </font>
      <fill>
        <patternFill>
          <bgColor theme="9" tint="0.79998168889431442"/>
        </patternFill>
      </fill>
    </dxf>
  </dxfs>
  <tableStyles count="0" defaultTableStyle="TableStyleMedium2" defaultPivotStyle="PivotStyleLight16"/>
  <colors>
    <mruColors>
      <color rgb="FF0000FF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BDH|10595200755535140809</stp>
        <tr r="AD421" s="5"/>
        <tr r="AE411" s="5"/>
        <tr r="AC426" s="5"/>
        <tr r="AF371" s="5"/>
        <tr r="AB431" s="5"/>
      </tp>
      <tp t="s">
        <v>#N/A N/A</v>
        <stp/>
        <stp>BDH|14160752543144109971</stp>
        <tr r="W738" s="5"/>
      </tp>
      <tp t="s">
        <v>#N/A N/A</v>
        <stp/>
        <stp>BDH|10015369107091181809</stp>
        <tr r="T396" s="5"/>
        <tr r="U391" s="5"/>
        <tr r="W341" s="5"/>
        <tr r="V381" s="5"/>
        <tr r="S401" s="5"/>
      </tp>
      <tp t="s">
        <v>#N/A N/A</v>
        <stp/>
        <stp>BDH|10494137465695051824</stp>
        <tr r="AE362" s="5"/>
        <tr r="AC377" s="5"/>
        <tr r="AF322" s="5"/>
        <tr r="AD372" s="5"/>
        <tr r="AB382" s="5"/>
      </tp>
      <tp t="s">
        <v>#N/A N/A</v>
        <stp/>
        <stp>BDH|12378919247917643230</stp>
        <tr r="U542" s="5"/>
        <tr r="T547" s="5"/>
        <tr r="W492" s="5"/>
        <tr r="V532" s="5"/>
        <tr r="S552" s="5"/>
      </tp>
      <tp t="s">
        <v>#N/A N/A</v>
        <stp/>
        <stp>BDH|18382174650815617325</stp>
        <tr r="AE192" s="5"/>
        <tr r="AF153" s="5"/>
        <tr r="AC207" s="5"/>
        <tr r="AD202" s="5"/>
        <tr r="AB212" s="5"/>
      </tp>
      <tp t="s">
        <v>#N/A N/A</v>
        <stp/>
        <stp>BDH|17117912737717210052</stp>
        <tr r="U611" s="5"/>
        <tr r="V601" s="5"/>
        <tr r="W561" s="5"/>
        <tr r="T616" s="5"/>
        <tr r="S621" s="5"/>
      </tp>
      <tp t="s">
        <v>#N/A N/A</v>
        <stp/>
        <stp>BDH|10009030332759070015</stp>
        <tr r="AC60" s="5"/>
        <tr r="AE45" s="5"/>
        <tr r="AD55" s="5"/>
        <tr r="AB65" s="5"/>
      </tp>
      <tp t="s">
        <v>#N/A N/A</v>
        <stp/>
        <stp>BDH|16287926960957448471</stp>
        <tr r="U210" s="5"/>
        <tr r="V200" s="5"/>
        <tr r="T215" s="5"/>
        <tr r="W160" s="5"/>
        <tr r="S220" s="5"/>
      </tp>
      <tp t="s">
        <v>#N/A N/A</v>
        <stp/>
        <stp>BDH|17093670601228109359</stp>
        <tr r="W81" s="5"/>
        <tr r="T136" s="5"/>
        <tr r="U131" s="5"/>
        <tr r="V121" s="5"/>
        <tr r="S141" s="5"/>
      </tp>
      <tp t="s">
        <v>#N/A N/A</v>
        <stp/>
        <stp>BDH|14255357527398398760</stp>
        <tr r="AC346" s="5"/>
        <tr r="AD341" s="5"/>
        <tr r="AF291" s="5"/>
        <tr r="AE331" s="5"/>
        <tr r="AB351" s="5"/>
      </tp>
      <tp t="s">
        <v>#N/A N/A</v>
        <stp/>
        <stp>BDH|17453697475189577589</stp>
        <tr r="W305" s="5"/>
        <tr r="T360" s="5"/>
        <tr r="U355" s="5"/>
        <tr r="V345" s="5"/>
        <tr r="S365" s="5"/>
      </tp>
      <tp t="s">
        <v>#N/A N/A</v>
        <stp/>
        <stp>BDH|17462914452007264609</stp>
        <tr r="AD44" s="5"/>
        <tr r="AC49" s="5"/>
        <tr r="AE34" s="5"/>
        <tr r="AB54" s="5"/>
      </tp>
      <tp t="s">
        <v>#N/A N/A</v>
        <stp/>
        <stp>BDH|15722433188404021790</stp>
        <tr r="AE155" s="5"/>
        <tr r="AC169" s="5"/>
        <tr r="AD164" s="5"/>
        <tr r="AF115" s="5"/>
        <tr r="AB174" s="5"/>
      </tp>
      <tp t="s">
        <v>#N/A N/A</v>
        <stp/>
        <stp>BDH|11794980845450644682</stp>
        <tr r="W674" s="5"/>
        <tr r="V714" s="5"/>
        <tr r="U724" s="5"/>
        <tr r="T729" s="5"/>
        <tr r="S734" s="5"/>
      </tp>
      <tp t="s">
        <v>#N/A N/A</v>
        <stp/>
        <stp>BDH|15887356677739992272</stp>
        <tr r="T391" s="5"/>
        <tr r="U386" s="5"/>
        <tr r="V376" s="5"/>
        <tr r="W336" s="5"/>
        <tr r="S396" s="5"/>
      </tp>
      <tp t="s">
        <v>#N/A N/A</v>
        <stp/>
        <stp>BDH|15366705893287779630</stp>
        <tr r="AC584" s="5"/>
        <tr r="AD579" s="5"/>
        <tr r="AF529" s="5"/>
        <tr r="AE569" s="5"/>
        <tr r="AB589" s="5"/>
      </tp>
      <tp t="s">
        <v>#N/A N/A</v>
        <stp/>
        <stp>BDH|16314110034217428964</stp>
        <tr r="AC88" s="5"/>
        <tr r="AF33" s="5"/>
        <tr r="AD83" s="5"/>
        <tr r="AE73" s="5"/>
        <tr r="AB93" s="5"/>
      </tp>
      <tp t="s">
        <v>#N/A N/A</v>
        <stp/>
        <stp>BDH|10209867959903979430</stp>
        <tr r="V211" s="5"/>
        <tr r="T226" s="5"/>
        <tr r="U221" s="5"/>
        <tr r="W171" s="5"/>
        <tr r="S231" s="5"/>
      </tp>
      <tp t="s">
        <v>#N/A N/A</v>
        <stp/>
        <stp>BDH|18184669046939418925</stp>
        <tr r="AF362" s="5"/>
        <tr r="AE402" s="5"/>
        <tr r="AD412" s="5"/>
        <tr r="AC417" s="5"/>
        <tr r="AB422" s="5"/>
      </tp>
      <tp t="s">
        <v>#N/A N/A</v>
        <stp/>
        <stp>BDH|17273993257202961331</stp>
        <tr r="U244" s="5"/>
        <tr r="W194" s="5"/>
        <tr r="T249" s="5"/>
        <tr r="V234" s="5"/>
        <tr r="S254" s="5"/>
      </tp>
      <tp t="s">
        <v>#N/A N/A</v>
        <stp/>
        <stp>BDH|16178536838692187821</stp>
        <tr r="V258" s="5"/>
        <tr r="T273" s="5"/>
        <tr r="W218" s="5"/>
        <tr r="U268" s="5"/>
        <tr r="S278" s="5"/>
      </tp>
      <tp t="s">
        <v>#N/A N/A</v>
        <stp/>
        <stp>BDH|16991913722906716142</stp>
        <tr r="AC222" s="5"/>
        <tr r="AF167" s="5"/>
        <tr r="AD217" s="5"/>
        <tr r="AE207" s="5"/>
        <tr r="AB227" s="5"/>
      </tp>
      <tp t="s">
        <v>#N/A N/A</v>
        <stp/>
        <stp>BDH|14478656055118977542</stp>
        <tr r="V688" s="5"/>
        <tr r="T703" s="5"/>
        <tr r="W648" s="5"/>
        <tr r="U698" s="5"/>
        <tr r="S708" s="5"/>
      </tp>
      <tp t="s">
        <v>#N/A N/A</v>
        <stp/>
        <stp>BDH|12845927056293332778</stp>
        <tr r="AF548" s="5"/>
        <tr r="AE588" s="5"/>
        <tr r="AD598" s="5"/>
        <tr r="AC603" s="5"/>
        <tr r="AB608" s="5"/>
      </tp>
      <tp t="s">
        <v>#N/A N/A</v>
        <stp/>
        <stp>BDH|12440790213397293947</stp>
        <tr r="AD57" s="5"/>
        <tr r="AC62" s="5"/>
        <tr r="AE47" s="5"/>
        <tr r="AB67" s="5"/>
      </tp>
      <tp t="s">
        <v>#N/A N/A</v>
        <stp/>
        <stp>BDH|10029706099597949382</stp>
        <tr r="U319" s="5"/>
        <tr r="W269" s="5"/>
        <tr r="T324" s="5"/>
        <tr r="V309" s="5"/>
        <tr r="S329" s="5"/>
      </tp>
      <tp t="s">
        <v>#N/A N/A</v>
        <stp/>
        <stp>BDH|11823499799807124123</stp>
        <tr r="AC140" s="5"/>
        <tr r="AD135" s="5"/>
        <tr r="AF85" s="5"/>
        <tr r="AE125" s="5"/>
        <tr r="AB145" s="5"/>
      </tp>
      <tp t="s">
        <v>#N/A N/A</v>
        <stp/>
        <stp>BDH|10785487101296738828</stp>
        <tr r="U457" s="5"/>
        <tr r="V447" s="5"/>
        <tr r="W407" s="5"/>
        <tr r="T462" s="5"/>
        <tr r="S467" s="5"/>
      </tp>
      <tp t="s">
        <v>#N/A N/A</v>
        <stp/>
        <stp>BDH|18043461589599324717</stp>
        <tr r="AC701" s="5"/>
        <tr r="AF646" s="5"/>
        <tr r="AE686" s="5"/>
        <tr r="AD696" s="5"/>
        <tr r="AB706" s="5"/>
      </tp>
      <tp t="s">
        <v>#N/A N/A</v>
        <stp/>
        <stp>BDH|16047438399428249940</stp>
        <tr r="U641" s="5"/>
        <tr r="T646" s="5"/>
        <tr r="W591" s="5"/>
        <tr r="V631" s="5"/>
        <tr r="S651" s="5"/>
      </tp>
      <tp t="s">
        <v>#N/A N/A</v>
        <stp/>
        <stp>BDH|14355870039882684776</stp>
        <tr r="W104" s="5"/>
        <tr r="T159" s="5"/>
        <tr r="U154" s="5"/>
        <tr r="V144" s="5"/>
        <tr r="S163" s="5"/>
      </tp>
      <tp t="s">
        <v>#N/A N/A</v>
        <stp/>
        <stp>BDH|12394737194733082581</stp>
        <tr r="AF746" s="5"/>
      </tp>
      <tp t="s">
        <v>#N/A N/A</v>
        <stp/>
        <stp>BDH|16923678813543492851</stp>
        <tr r="AD129" s="5"/>
        <tr r="AC134" s="5"/>
        <tr r="AF79" s="5"/>
        <tr r="AE119" s="5"/>
        <tr r="AB139" s="5"/>
      </tp>
      <tp t="s">
        <v>#N/A N/A</v>
        <stp/>
        <stp>BDH|10824157654027052957</stp>
        <tr r="U496" s="5"/>
        <tr r="V486" s="5"/>
        <tr r="T501" s="5"/>
        <tr r="W446" s="5"/>
        <tr r="S506" s="5"/>
      </tp>
      <tp t="s">
        <v>#N/A N/A</v>
        <stp/>
        <stp>BDH|18409597868955290481</stp>
        <tr r="AC235" s="5"/>
        <tr r="AE220" s="5"/>
        <tr r="AD230" s="5"/>
        <tr r="AF180" s="5"/>
        <tr r="AB240" s="5"/>
      </tp>
      <tp t="s">
        <v>#N/A N/A</v>
        <stp/>
        <stp>BDH|16544593967417619831</stp>
        <tr r="AD493" s="5"/>
        <tr r="AF443" s="5"/>
        <tr r="AE483" s="5"/>
        <tr r="AC498" s="5"/>
        <tr r="AB503" s="5"/>
      </tp>
      <tp t="s">
        <v>#N/A N/A</v>
        <stp/>
        <stp>BDH|17222260394561745794</stp>
        <tr r="U360" s="5"/>
        <tr r="W310" s="5"/>
        <tr r="V350" s="5"/>
        <tr r="T365" s="5"/>
        <tr r="S370" s="5"/>
      </tp>
      <tp t="s">
        <v>#N/A N/A</v>
        <stp/>
        <stp>BDH|11973263938923502837</stp>
        <tr r="AD748" s="5"/>
        <tr r="AE738" s="5"/>
        <tr r="AC753" s="5"/>
        <tr r="AF698" s="5"/>
        <tr r="AB758" s="5"/>
      </tp>
      <tp t="s">
        <v>#N/A N/A</v>
        <stp/>
        <stp>BDH|13602925714258873899</stp>
        <tr r="AC405" s="5"/>
        <tr r="AF350" s="5"/>
        <tr r="AD400" s="5"/>
        <tr r="AE390" s="5"/>
        <tr r="AB410" s="5"/>
      </tp>
      <tp t="s">
        <v>#N/A N/A</v>
        <stp/>
        <stp>BDH|13039650447609283312</stp>
        <tr r="U597" s="5"/>
        <tr r="T602" s="5"/>
        <tr r="W547" s="5"/>
        <tr r="V587" s="5"/>
        <tr r="S607" s="5"/>
      </tp>
      <tp t="s">
        <v>#N/A N/A</v>
        <stp/>
        <stp>BDH|10675439554719767370</stp>
        <tr r="W731" s="5"/>
      </tp>
      <tp t="s">
        <v>#N/A N/A</v>
        <stp/>
        <stp>BDH|15622017397473249438</stp>
        <tr r="W92" s="5"/>
        <tr r="V132" s="5"/>
        <tr r="U142" s="5"/>
        <tr r="T147" s="5"/>
        <tr r="S152" s="5"/>
      </tp>
      <tp t="s">
        <v>#N/A N/A</v>
        <stp/>
        <stp>BDH|13116310832921425963</stp>
        <tr r="AE40" s="5"/>
        <tr r="AC55" s="5"/>
        <tr r="AD50" s="5"/>
        <tr r="AB60" s="5"/>
      </tp>
      <tp t="s">
        <v>#N/A N/A</v>
        <stp/>
        <stp>BDH|16650927566615344717</stp>
        <tr r="AC545" s="5"/>
        <tr r="AF490" s="5"/>
        <tr r="AE530" s="5"/>
        <tr r="AD540" s="5"/>
        <tr r="AB550" s="5"/>
      </tp>
      <tp t="s">
        <v>#N/A N/A</v>
        <stp/>
        <stp>BDH|10624368162496968886</stp>
        <tr r="W746" s="5"/>
      </tp>
      <tp t="s">
        <v>#N/A N/A</v>
        <stp/>
        <stp>BDH|18284997033378340186</stp>
        <tr r="W324" s="5"/>
        <tr r="V364" s="5"/>
        <tr r="T379" s="5"/>
        <tr r="U374" s="5"/>
        <tr r="S384" s="5"/>
      </tp>
      <tp t="s">
        <v>#N/A N/A</v>
        <stp/>
        <stp>BDH|18354368965361642746</stp>
        <tr r="AE751" s="5"/>
        <tr r="AD761" s="5"/>
        <tr r="AF711" s="5"/>
        <tr r="AC766" s="5"/>
      </tp>
      <tp t="s">
        <v>#N/A N/A</v>
        <stp/>
        <stp>BDH|10460075094152001029</stp>
        <tr r="AD224" s="5"/>
        <tr r="AC229" s="5"/>
        <tr r="AF174" s="5"/>
        <tr r="AE214" s="5"/>
        <tr r="AB234" s="5"/>
      </tp>
      <tp t="s">
        <v>#N/A N/A</v>
        <stp/>
        <stp>BDH|16622498424112628986</stp>
        <tr r="T34" s="5"/>
        <tr r="U29" s="5"/>
        <tr r="S39" s="5"/>
      </tp>
      <tp t="s">
        <v>#N/A N/A</v>
        <stp/>
        <stp>BDH|14449033446829585219</stp>
        <tr r="U387" s="5"/>
        <tr r="V377" s="5"/>
        <tr r="W337" s="5"/>
        <tr r="T392" s="5"/>
        <tr r="S397" s="5"/>
      </tp>
      <tp t="s">
        <v>#N/A N/A</v>
        <stp/>
        <stp>BDH|15693616077976726926</stp>
        <tr r="W213" s="5"/>
        <tr r="U263" s="5"/>
        <tr r="V253" s="5"/>
        <tr r="T268" s="5"/>
        <tr r="S273" s="5"/>
      </tp>
      <tp t="s">
        <v>#N/A N/A</v>
        <stp/>
        <stp>BDH|14501744820519067340</stp>
        <tr r="AD218" s="5"/>
        <tr r="AE208" s="5"/>
        <tr r="AC223" s="5"/>
        <tr r="AF168" s="5"/>
        <tr r="AB228" s="5"/>
      </tp>
      <tp t="s">
        <v>#N/A N/A</v>
        <stp/>
        <stp>BDH|16545026446248026144</stp>
        <tr r="AF764" s="5"/>
      </tp>
      <tp t="s">
        <v>#N/A N/A</v>
        <stp/>
        <stp>BDH|10582061646709474652</stp>
        <tr r="W204" s="5"/>
        <tr r="V244" s="5"/>
        <tr r="T259" s="5"/>
        <tr r="U254" s="5"/>
        <tr r="S264" s="5"/>
      </tp>
      <tp t="s">
        <v>#N/A N/A</v>
        <stp/>
        <stp>BDH|12249800266651916692</stp>
        <tr r="AF95" s="5"/>
        <tr r="AC150" s="5"/>
        <tr r="AE135" s="5"/>
        <tr r="AD145" s="5"/>
        <tr r="AB155" s="5"/>
      </tp>
      <tp t="s">
        <v>#N/A N/A</v>
        <stp/>
        <stp>BDH|18307614170277242579</stp>
        <tr r="AF114" s="5"/>
        <tr r="AC168" s="5"/>
        <tr r="AD163" s="5"/>
        <tr r="AE154" s="5"/>
        <tr r="AB173" s="5"/>
      </tp>
      <tp t="s">
        <v>#N/A N/A</v>
        <stp/>
        <stp>BDH|10718462387893561456</stp>
        <tr r="W226" s="5"/>
        <tr r="V266" s="5"/>
        <tr r="T281" s="5"/>
        <tr r="U276" s="5"/>
        <tr r="S286" s="5"/>
      </tp>
      <tp t="s">
        <v>#N/A N/A</v>
        <stp/>
        <stp>BDH|15670656565857573954</stp>
        <tr r="AE66" s="5"/>
        <tr r="AC81" s="5"/>
        <tr r="AF26" s="5"/>
        <tr r="AD76" s="5"/>
        <tr r="AB86" s="5"/>
      </tp>
      <tp t="s">
        <v>#N/A N/A</v>
        <stp/>
        <stp>BDH|17948292953473535808</stp>
        <tr r="U509" s="5"/>
        <tr r="V499" s="5"/>
        <tr r="W459" s="5"/>
        <tr r="T514" s="5"/>
        <tr r="S519" s="5"/>
      </tp>
      <tp t="s">
        <v>#N/A N/A</v>
        <stp/>
        <stp>BDH|11657857028080444097</stp>
        <tr r="AF527" s="5"/>
        <tr r="AE567" s="5"/>
        <tr r="AC582" s="5"/>
        <tr r="AD577" s="5"/>
        <tr r="AB587" s="5"/>
      </tp>
      <tp t="s">
        <v>#N/A N/A</v>
        <stp/>
        <stp>BDH|14631230586186776325</stp>
        <tr r="AF116" s="5"/>
        <tr r="AC170" s="5"/>
        <tr r="AD165" s="5"/>
        <tr r="AE156" s="5"/>
        <tr r="AB175" s="5"/>
      </tp>
      <tp t="s">
        <v>#N/A N/A</v>
        <stp/>
        <stp>BDH|10719312642598445466</stp>
        <tr r="V32" s="5"/>
        <tr r="U42" s="5"/>
        <tr r="T47" s="5"/>
        <tr r="S52" s="5"/>
      </tp>
      <tp t="s">
        <v>#N/A N/A</v>
        <stp/>
        <stp>BDH|12499240998757975586</stp>
        <tr r="AD513" s="5"/>
        <tr r="AC518" s="5"/>
        <tr r="AE503" s="5"/>
        <tr r="AF463" s="5"/>
        <tr r="AB523" s="5"/>
      </tp>
      <tp t="s">
        <v>#N/A N/A</v>
        <stp/>
        <stp>BDH|10896570657619914288</stp>
        <tr r="AF741" s="5"/>
      </tp>
      <tp t="s">
        <v>#N/A N/A</v>
        <stp/>
        <stp>BDH|13719964548491731469</stp>
        <tr r="U272" s="5"/>
        <tr r="V262" s="5"/>
        <tr r="T277" s="5"/>
        <tr r="W222" s="5"/>
        <tr r="S282" s="5"/>
      </tp>
      <tp t="s">
        <v>#N/A N/A</v>
        <stp/>
        <stp>BDH|17826158632606224857</stp>
        <tr r="W552" s="5"/>
        <tr r="U602" s="5"/>
        <tr r="T607" s="5"/>
        <tr r="V592" s="5"/>
        <tr r="S612" s="5"/>
      </tp>
      <tp t="s">
        <v>#N/A N/A</v>
        <stp/>
        <stp>BDH|14623306219454355942</stp>
        <tr r="AF477" s="5"/>
        <tr r="AD527" s="5"/>
        <tr r="AE517" s="5"/>
        <tr r="AC532" s="5"/>
        <tr r="AB537" s="5"/>
      </tp>
      <tp t="s">
        <v>#N/A N/A</v>
        <stp/>
        <stp>BDH|17037618470404933936</stp>
        <tr r="U24" s="5"/>
        <tr r="T29" s="5"/>
        <tr r="S34" s="5"/>
      </tp>
      <tp t="s">
        <v>#N/A N/A</v>
        <stp/>
        <stp>BDH|14926545906798386231</stp>
        <tr r="AD48" s="5"/>
        <tr r="AE38" s="5"/>
        <tr r="AC53" s="5"/>
        <tr r="AB58" s="5"/>
      </tp>
      <tp t="s">
        <v>#N/A N/A</v>
        <stp/>
        <stp>BDH|17976814975010169378</stp>
        <tr r="T240" s="5"/>
        <tr r="U235" s="5"/>
        <tr r="W185" s="5"/>
        <tr r="V225" s="5"/>
        <tr r="S245" s="5"/>
      </tp>
      <tp t="s">
        <v>#N/A N/A</v>
        <stp/>
        <stp>BDH|10324208299399096913</stp>
        <tr r="AE63" s="5"/>
        <tr r="AC78" s="5"/>
        <tr r="AD73" s="5"/>
        <tr r="AF23" s="5"/>
        <tr r="AB83" s="5"/>
      </tp>
      <tp t="s">
        <v>#N/A N/A</v>
        <stp/>
        <stp>BDH|11762995757171662742</stp>
        <tr r="T401" s="5"/>
        <tr r="U396" s="5"/>
        <tr r="W346" s="5"/>
        <tr r="V386" s="5"/>
        <tr r="S406" s="5"/>
      </tp>
      <tp t="s">
        <v>#N/A N/A</v>
        <stp/>
        <stp>BDH|16188769889926549419</stp>
        <tr r="AE256" s="5"/>
        <tr r="AD266" s="5"/>
        <tr r="AC271" s="5"/>
        <tr r="AF216" s="5"/>
        <tr r="AB276" s="5"/>
      </tp>
      <tp t="s">
        <v>#N/A N/A</v>
        <stp/>
        <stp>BDH|15843910771166664629</stp>
        <tr r="W376" s="5"/>
        <tr r="V416" s="5"/>
        <tr r="T431" s="5"/>
        <tr r="U426" s="5"/>
        <tr r="S436" s="5"/>
      </tp>
      <tp t="s">
        <v>#N/A N/A</v>
        <stp/>
        <stp>BDH|17385994675005354708</stp>
        <tr r="U246" s="5"/>
        <tr r="T251" s="5"/>
        <tr r="W196" s="5"/>
        <tr r="V236" s="5"/>
        <tr r="S256" s="5"/>
      </tp>
      <tp t="s">
        <v>#N/A N/A</v>
        <stp/>
        <stp>BDH|10017738978542276960</stp>
        <tr r="AC93" s="5"/>
        <tr r="AD88" s="5"/>
        <tr r="AF38" s="5"/>
        <tr r="AE78" s="5"/>
        <tr r="AB98" s="5"/>
      </tp>
      <tp t="s">
        <v>#N/A N/A</v>
        <stp/>
        <stp>BDH|11963185015803201990</stp>
        <tr r="AF439" s="5"/>
        <tr r="AE479" s="5"/>
        <tr r="AC494" s="5"/>
        <tr r="AD489" s="5"/>
        <tr r="AB499" s="5"/>
      </tp>
      <tp t="s">
        <v>#N/A N/A</v>
        <stp/>
        <stp>BDH|17198165722426970936</stp>
        <tr r="AD653" s="5"/>
        <tr r="AE643" s="5"/>
        <tr r="AC658" s="5"/>
        <tr r="AF603" s="5"/>
        <tr r="AB663" s="5"/>
      </tp>
      <tp t="s">
        <v>#N/A N/A</v>
        <stp/>
        <stp>BDH|13235198594678416841</stp>
        <tr r="AF319" s="5"/>
        <tr r="AE359" s="5"/>
        <tr r="AC374" s="5"/>
        <tr r="AD369" s="5"/>
        <tr r="AB379" s="5"/>
      </tp>
      <tp t="s">
        <v>#N/A N/A</v>
        <stp/>
        <stp>BDH|14125783022992158858</stp>
        <tr r="U117" s="5"/>
        <tr r="W67" s="5"/>
        <tr r="V107" s="5"/>
        <tr r="T122" s="5"/>
        <tr r="S127" s="5"/>
      </tp>
      <tp t="s">
        <v>#N/A N/A</v>
        <stp/>
        <stp>BDH|10511389900629066130</stp>
        <tr r="AE606" s="5"/>
        <tr r="AC621" s="5"/>
        <tr r="AD616" s="5"/>
        <tr r="AF566" s="5"/>
        <tr r="AB626" s="5"/>
      </tp>
      <tp t="s">
        <v>#N/A N/A</v>
        <stp/>
        <stp>BDH|12970703774429144026</stp>
        <tr r="U231" s="5"/>
        <tr r="T236" s="5"/>
        <tr r="V221" s="5"/>
        <tr r="W181" s="5"/>
        <tr r="S241" s="5"/>
      </tp>
      <tp t="s">
        <v>#N/A N/A</v>
        <stp/>
        <stp>BDH|11266088819912446992</stp>
        <tr r="T531" s="5"/>
        <tr r="W476" s="5"/>
        <tr r="V516" s="5"/>
        <tr r="U526" s="5"/>
        <tr r="S536" s="5"/>
      </tp>
      <tp t="s">
        <v>#N/A N/A</v>
        <stp/>
        <stp>BDH|12254898848307997241</stp>
        <tr r="U702" s="5"/>
        <tr r="T707" s="5"/>
        <tr r="V692" s="5"/>
        <tr r="W652" s="5"/>
        <tr r="S712" s="5"/>
      </tp>
      <tp t="s">
        <v>#N/A N/A</v>
        <stp/>
        <stp>BDH|10900737560431946828</stp>
        <tr r="W77" s="5"/>
        <tr r="V117" s="5"/>
        <tr r="T132" s="5"/>
        <tr r="U127" s="5"/>
        <tr r="S137" s="5"/>
      </tp>
      <tp t="s">
        <v>#N/A N/A</v>
        <stp/>
        <stp>BDH|13928739850711308880</stp>
        <tr r="T248" s="5"/>
        <tr r="V233" s="5"/>
        <tr r="U243" s="5"/>
        <tr r="W193" s="5"/>
        <tr r="S253" s="5"/>
      </tp>
      <tp t="s">
        <v>#N/A N/A</v>
        <stp/>
        <stp>BDH|10584067010778666157</stp>
        <tr r="AC326" s="5"/>
        <tr r="AF271" s="5"/>
        <tr r="AD321" s="5"/>
        <tr r="AE311" s="5"/>
        <tr r="AB331" s="5"/>
      </tp>
      <tp t="s">
        <v>#N/A N/A</v>
        <stp/>
        <stp>BDH|12546950601305598648</stp>
        <tr r="AC378" s="5"/>
        <tr r="AD373" s="5"/>
        <tr r="AF323" s="5"/>
        <tr r="AE363" s="5"/>
        <tr r="AB383" s="5"/>
      </tp>
      <tp t="s">
        <v>#N/A N/A</v>
        <stp/>
        <stp>BDH|10745119062429560624</stp>
        <tr r="AE432" s="5"/>
        <tr r="AC447" s="5"/>
        <tr r="AD442" s="5"/>
        <tr r="AF392" s="5"/>
        <tr r="AB452" s="5"/>
      </tp>
      <tp t="s">
        <v>#N/A N/A</v>
        <stp/>
        <stp>BDH|14380003837498210757</stp>
        <tr r="AF729" s="5"/>
      </tp>
      <tp t="s">
        <v>#N/A N/A</v>
        <stp/>
        <stp>BDH|13510177064625044957</stp>
        <tr r="T584" s="5"/>
        <tr r="U579" s="5"/>
        <tr r="W529" s="5"/>
        <tr r="V569" s="5"/>
        <tr r="S589" s="5"/>
      </tp>
      <tp t="s">
        <v>#N/A N/A</v>
        <stp/>
        <stp>BDH|10178450857098122111</stp>
        <tr r="AD764" s="5"/>
        <tr r="AF714" s="5"/>
        <tr r="AE754" s="5"/>
      </tp>
      <tp t="s">
        <v>#N/A N/A</v>
        <stp/>
        <stp>BDH|15675971181578021435</stp>
        <tr r="AD726" s="5"/>
        <tr r="AF676" s="5"/>
        <tr r="AE716" s="5"/>
        <tr r="AC731" s="5"/>
        <tr r="AB736" s="5"/>
      </tp>
      <tp t="s">
        <v>#N/A N/A</v>
        <stp/>
        <stp>BDH|17096332502725522964</stp>
        <tr r="T370" s="5"/>
        <tr r="V355" s="5"/>
        <tr r="U365" s="5"/>
        <tr r="W315" s="5"/>
        <tr r="S375" s="5"/>
      </tp>
      <tp t="s">
        <v>#N/A N/A</v>
        <stp/>
        <stp>BDH|15087406073969538747</stp>
        <tr r="T307" s="5"/>
        <tr r="W252" s="5"/>
        <tr r="V292" s="5"/>
        <tr r="U302" s="5"/>
        <tr r="S312" s="5"/>
      </tp>
      <tp t="s">
        <v>#N/A N/A</v>
        <stp/>
        <stp>BDH|13597159612062951992</stp>
        <tr r="W742" s="5"/>
      </tp>
      <tp t="s">
        <v>#N/A N/A</v>
        <stp/>
        <stp>BDH|16647207662628445227</stp>
        <tr r="U57" s="5"/>
        <tr r="T62" s="5"/>
        <tr r="V47" s="5"/>
        <tr r="S67" s="5"/>
      </tp>
      <tp t="s">
        <v>#N/A N/A</v>
        <stp/>
        <stp>BDH|14921136559431139979</stp>
        <tr r="AE655" s="5"/>
        <tr r="AD665" s="5"/>
        <tr r="AF615" s="5"/>
        <tr r="AC670" s="5"/>
        <tr r="AB675" s="5"/>
      </tp>
      <tp t="s">
        <v>#N/A N/A</v>
        <stp/>
        <stp>BDH|17937336893880569598</stp>
        <tr r="AD358" s="5"/>
        <tr r="AC363" s="5"/>
        <tr r="AF308" s="5"/>
        <tr r="AE348" s="5"/>
        <tr r="AB368" s="5"/>
      </tp>
      <tp t="s">
        <v>#N/A N/A</v>
        <stp/>
        <stp>BDH|11670580505684661883</stp>
        <tr r="AF496" s="5"/>
        <tr r="AE536" s="5"/>
        <tr r="AC551" s="5"/>
        <tr r="AD546" s="5"/>
        <tr r="AB556" s="5"/>
      </tp>
      <tp t="s">
        <v>#N/A N/A</v>
        <stp/>
        <stp>BDH|17958525093537882447</stp>
        <tr r="AF710" s="5"/>
        <tr r="AE750" s="5"/>
        <tr r="AD760" s="5"/>
        <tr r="AC765" s="5"/>
      </tp>
      <tp t="s">
        <v>#N/A N/A</v>
        <stp/>
        <stp>BDH|15086051471392362839</stp>
        <tr r="AF258" s="5"/>
        <tr r="AC313" s="5"/>
        <tr r="AE298" s="5"/>
        <tr r="AD308" s="5"/>
        <tr r="AB318" s="5"/>
      </tp>
      <tp t="s">
        <v>#N/A N/A</v>
        <stp/>
        <stp>BDH|17740555324991406951</stp>
        <tr r="AC228" s="5"/>
        <tr r="AD223" s="5"/>
        <tr r="AF173" s="5"/>
        <tr r="AE213" s="5"/>
        <tr r="AB233" s="5"/>
      </tp>
      <tp t="s">
        <v>#N/A N/A</v>
        <stp/>
        <stp>BDH|12065588659168546235</stp>
        <tr r="AF80" s="5"/>
        <tr r="AE120" s="5"/>
        <tr r="AC135" s="5"/>
        <tr r="AD130" s="5"/>
        <tr r="AB140" s="5"/>
      </tp>
      <tp t="s">
        <v>#N/A N/A</v>
        <stp/>
        <stp>BDH|16092540446566632938</stp>
        <tr r="T468" s="5"/>
        <tr r="W413" s="5"/>
        <tr r="U463" s="5"/>
        <tr r="V453" s="5"/>
        <tr r="S473" s="5"/>
      </tp>
      <tp t="s">
        <v>#N/A N/A</v>
        <stp/>
        <stp>BDH|10926369738758789070</stp>
        <tr r="U224" s="5"/>
        <tr r="T229" s="5"/>
        <tr r="W174" s="5"/>
        <tr r="V214" s="5"/>
        <tr r="S234" s="5"/>
      </tp>
      <tp t="s">
        <v>#N/A N/A</v>
        <stp/>
        <stp>BDH|17707144893725302247</stp>
        <tr r="AD464" s="5"/>
        <tr r="AE454" s="5"/>
        <tr r="AC469" s="5"/>
        <tr r="AF414" s="5"/>
        <tr r="AB474" s="5"/>
      </tp>
      <tp t="s">
        <v>#N/A N/A</v>
        <stp/>
        <stp>BDH|17436801058775988731</stp>
        <tr r="AF81" s="5"/>
        <tr r="AC136" s="5"/>
        <tr r="AD131" s="5"/>
        <tr r="AE121" s="5"/>
        <tr r="AB141" s="5"/>
      </tp>
      <tp t="s">
        <v>#N/A N/A</v>
        <stp/>
        <stp>BDH|16114040404256779800</stp>
        <tr r="U512" s="5"/>
        <tr r="V502" s="5"/>
        <tr r="T517" s="5"/>
        <tr r="W462" s="5"/>
        <tr r="S522" s="5"/>
      </tp>
      <tp t="s">
        <v>#N/A N/A</v>
        <stp/>
        <stp>BDH|14847723071628430461</stp>
        <tr r="V432" s="5"/>
        <tr r="T447" s="5"/>
        <tr r="U442" s="5"/>
        <tr r="W392" s="5"/>
        <tr r="S452" s="5"/>
      </tp>
      <tp t="s">
        <v>#N/A N/A</v>
        <stp/>
        <stp>BDH|16972830696947278862</stp>
        <tr r="AE726" s="5"/>
        <tr r="AD736" s="5"/>
        <tr r="AC741" s="5"/>
        <tr r="AF686" s="5"/>
        <tr r="AB746" s="5"/>
      </tp>
      <tp t="s">
        <v>#N/A N/A</v>
        <stp/>
        <stp>BDH|17573659108859894084</stp>
        <tr r="AE367" s="5"/>
        <tr r="AC382" s="5"/>
        <tr r="AD377" s="5"/>
        <tr r="AF327" s="5"/>
        <tr r="AB387" s="5"/>
      </tp>
      <tp t="s">
        <v>#N/A N/A</v>
        <stp/>
        <stp>BDH|12226404088372707456</stp>
        <tr r="U204" s="5"/>
        <tr r="V194" s="5"/>
        <tr r="T209" s="5"/>
        <tr r="W155" s="5"/>
        <tr r="S214" s="5"/>
      </tp>
      <tp t="s">
        <v>#N/A N/A</v>
        <stp/>
        <stp>BDH|14430679497333569099</stp>
        <tr r="AD742" s="5"/>
        <tr r="AF692" s="5"/>
        <tr r="AE732" s="5"/>
        <tr r="AC747" s="5"/>
        <tr r="AB752" s="5"/>
      </tp>
      <tp t="s">
        <v>#N/A N/A</v>
        <stp/>
        <stp>BDH|16537409840058843658</stp>
        <tr r="U187" s="5"/>
        <tr r="W138" s="5"/>
        <tr r="V177" s="5"/>
        <tr r="T192" s="5"/>
        <tr r="S197" s="5"/>
      </tp>
      <tp t="s">
        <v>#N/A N/A</v>
        <stp/>
        <stp>BDH|11505819961413913479</stp>
        <tr r="AC461" s="5"/>
        <tr r="AD456" s="5"/>
        <tr r="AE446" s="5"/>
        <tr r="AF406" s="5"/>
        <tr r="AB466" s="5"/>
      </tp>
      <tp t="s">
        <v>#N/A N/A</v>
        <stp/>
        <stp>BDH|14906743846528507746</stp>
        <tr r="U39" s="5"/>
        <tr r="V29" s="5"/>
        <tr r="T44" s="5"/>
        <tr r="S49" s="5"/>
      </tp>
      <tp t="s">
        <v>#N/A N/A</v>
        <stp/>
        <stp>BDH|10870708237984525800</stp>
        <tr r="AD45" s="5"/>
        <tr r="AC50" s="5"/>
        <tr r="AE35" s="5"/>
        <tr r="AB55" s="5"/>
      </tp>
      <tp t="s">
        <v>#N/A N/A</v>
        <stp/>
        <stp>BDH|17179847026972822762</stp>
        <tr r="AC748" s="5"/>
        <tr r="AD743" s="5"/>
        <tr r="AF693" s="5"/>
        <tr r="AE733" s="5"/>
        <tr r="AB753" s="5"/>
      </tp>
      <tp t="s">
        <v>#N/A N/A</v>
        <stp/>
        <stp>BDH|14560463887954069496</stp>
        <tr r="W253" s="5"/>
        <tr r="U303" s="5"/>
        <tr r="V293" s="5"/>
        <tr r="T308" s="5"/>
        <tr r="S313" s="5"/>
      </tp>
      <tp t="s">
        <v>#N/A N/A</v>
        <stp/>
        <stp>BDH|13979302061176130854</stp>
        <tr r="AE312" s="5"/>
        <tr r="AF272" s="5"/>
        <tr r="AC327" s="5"/>
        <tr r="AD322" s="5"/>
        <tr r="AB332" s="5"/>
      </tp>
      <tp t="s">
        <v>#N/A N/A</v>
        <stp/>
        <stp>BDH|13238200495328914818</stp>
        <tr r="AC149" s="5"/>
        <tr r="AE134" s="5"/>
        <tr r="AF94" s="5"/>
        <tr r="AD144" s="5"/>
        <tr r="AB154" s="5"/>
      </tp>
      <tp t="s">
        <v>#N/A N/A</v>
        <stp/>
        <stp>BDH|17180613133762564892</stp>
        <tr r="AE418" s="5"/>
        <tr r="AF378" s="5"/>
        <tr r="AC433" s="5"/>
        <tr r="AD428" s="5"/>
        <tr r="AB438" s="5"/>
      </tp>
      <tp t="s">
        <v>#N/A N/A</v>
        <stp/>
        <stp>BDH|17880679800498524141</stp>
        <tr r="W147" s="5"/>
        <tr r="T201" s="5"/>
        <tr r="U196" s="5"/>
        <tr r="V186" s="5"/>
        <tr r="S206" s="5"/>
      </tp>
      <tp t="s">
        <v>#N/A N/A</v>
        <stp/>
        <stp>BDH|18087710241953693174</stp>
        <tr r="AD613" s="5"/>
        <tr r="AE603" s="5"/>
        <tr r="AC618" s="5"/>
        <tr r="AF563" s="5"/>
        <tr r="AB623" s="5"/>
      </tp>
      <tp t="s">
        <v>#N/A N/A</v>
        <stp/>
        <stp>BDH|12522732445379606143</stp>
        <tr r="W523" s="5"/>
        <tr r="T578" s="5"/>
        <tr r="U573" s="5"/>
        <tr r="V563" s="5"/>
        <tr r="S583" s="5"/>
      </tp>
      <tp t="s">
        <v>#N/A N/A</v>
        <stp/>
        <stp>BDH|15632842521383716545</stp>
        <tr r="AC649" s="5"/>
        <tr r="AF594" s="5"/>
        <tr r="AE634" s="5"/>
        <tr r="AD644" s="5"/>
        <tr r="AB654" s="5"/>
      </tp>
      <tp t="s">
        <v>#N/A N/A</v>
        <stp/>
        <stp>BDH|18263081316414914454</stp>
        <tr r="T751" s="5"/>
        <tr r="U746" s="5"/>
        <tr r="V736" s="5"/>
        <tr r="W696" s="5"/>
        <tr r="S756" s="5"/>
      </tp>
      <tp t="s">
        <v>#N/A N/A</v>
        <stp/>
        <stp>BDH|12104082721210120994</stp>
        <tr r="U316" s="5"/>
        <tr r="T321" s="5"/>
        <tr r="W266" s="5"/>
        <tr r="V306" s="5"/>
        <tr r="S326" s="5"/>
      </tp>
      <tp t="s">
        <v>#N/A N/A</v>
        <stp/>
        <stp>BDH|14400374768079895106</stp>
        <tr r="V554" s="5"/>
        <tr r="U564" s="5"/>
        <tr r="W514" s="5"/>
        <tr r="T569" s="5"/>
        <tr r="S574" s="5"/>
      </tp>
      <tp t="s">
        <v>#N/A N/A</v>
        <stp/>
        <stp>BDH|17697706395904656465</stp>
        <tr r="V399" s="5"/>
        <tr r="T414" s="5"/>
        <tr r="W359" s="5"/>
        <tr r="U409" s="5"/>
        <tr r="S419" s="5"/>
      </tp>
      <tp t="s">
        <v>#N/A N/A</v>
        <stp/>
        <stp>BDH|12299365542848281467</stp>
        <tr r="W537" s="5"/>
        <tr r="U587" s="5"/>
        <tr r="T592" s="5"/>
        <tr r="V577" s="5"/>
        <tr r="S597" s="5"/>
      </tp>
      <tp t="s">
        <v>#N/A N/A</v>
        <stp/>
        <stp>BDH|14670143847658385041</stp>
        <tr r="AF159" s="5"/>
        <tr r="AD208" s="5"/>
        <tr r="AE198" s="5"/>
        <tr r="AC213" s="5"/>
        <tr r="AB218" s="5"/>
      </tp>
      <tp t="s">
        <v>#N/A N/A</v>
        <stp/>
        <stp>BDH|13884243332938529398</stp>
        <tr r="T364" s="5"/>
        <tr r="W309" s="5"/>
        <tr r="U359" s="5"/>
        <tr r="V349" s="5"/>
        <tr r="S369" s="5"/>
      </tp>
      <tp t="s">
        <v>#N/A N/A</v>
        <stp/>
        <stp>BDH|14616096050830510880</stp>
        <tr r="U326" s="5"/>
        <tr r="V316" s="5"/>
        <tr r="T331" s="5"/>
        <tr r="W276" s="5"/>
        <tr r="S336" s="5"/>
      </tp>
      <tp t="s">
        <v>#N/A N/A</v>
        <stp/>
        <stp>BDH|17256787970626867807</stp>
        <tr r="AE744" s="5"/>
        <tr r="AF704" s="5"/>
        <tr r="AC759" s="5"/>
        <tr r="AD754" s="5"/>
        <tr r="AB764" s="5"/>
      </tp>
      <tp t="s">
        <v>#N/A N/A</v>
        <stp/>
        <stp>BDH|10562910289761889903</stp>
        <tr r="AF718" s="5"/>
        <tr r="AE758" s="5"/>
      </tp>
      <tp t="s">
        <v>#N/A N/A</v>
        <stp/>
        <stp>BDH|17767958032412328667</stp>
        <tr r="W29" s="5"/>
        <tr r="T84" s="5"/>
        <tr r="U79" s="5"/>
        <tr r="V69" s="5"/>
        <tr r="S89" s="5"/>
      </tp>
      <tp t="s">
        <v>#N/A N/A</v>
        <stp/>
        <stp>BDH|12754865665946777363</stp>
        <tr r="AC330" s="5"/>
        <tr r="AD325" s="5"/>
        <tr r="AE315" s="5"/>
        <tr r="AF275" s="5"/>
        <tr r="AB335" s="5"/>
      </tp>
      <tp t="s">
        <v>#N/A N/A</v>
        <stp/>
        <stp>BDH|11581831948374281092</stp>
        <tr r="V496" s="5"/>
        <tr r="U506" s="5"/>
        <tr r="T511" s="5"/>
        <tr r="W456" s="5"/>
        <tr r="S516" s="5"/>
      </tp>
      <tp t="s">
        <v>#N/A N/A</v>
        <stp/>
        <stp>BDH|10775903021182299001</stp>
        <tr r="AF83" s="5"/>
        <tr r="AC138" s="5"/>
        <tr r="AD133" s="5"/>
        <tr r="AE123" s="5"/>
        <tr r="AB143" s="5"/>
      </tp>
      <tp t="s">
        <v>#N/A N/A</v>
        <stp/>
        <stp>BDH|13856283653704700902</stp>
        <tr r="W44" s="5"/>
        <tr r="U94" s="5"/>
        <tr r="T99" s="5"/>
        <tr r="V84" s="5"/>
        <tr r="S104" s="5"/>
      </tp>
      <tp t="s">
        <v>#N/A N/A</v>
        <stp/>
        <stp>BDH|13476749294482587661</stp>
        <tr r="T459" s="5"/>
        <tr r="V444" s="5"/>
        <tr r="U454" s="5"/>
        <tr r="W404" s="5"/>
        <tr r="S464" s="5"/>
      </tp>
      <tp t="s">
        <v>#N/A N/A</v>
        <stp/>
        <stp>BDH|18218344795893673828</stp>
        <tr r="T278" s="5"/>
        <tr r="V263" s="5"/>
        <tr r="W223" s="5"/>
        <tr r="U273" s="5"/>
        <tr r="S283" s="5"/>
      </tp>
      <tp t="s">
        <v>#N/A N/A</v>
        <stp/>
        <stp>BDH|17300333159840568853</stp>
        <tr r="T109" s="5"/>
        <tr r="U104" s="5"/>
        <tr r="W54" s="5"/>
        <tr r="V94" s="5"/>
        <tr r="S114" s="5"/>
      </tp>
      <tp t="s">
        <v>#N/A N/A</v>
        <stp/>
        <stp>BDH|13825422859603966837</stp>
        <tr r="V424" s="5"/>
        <tr r="T439" s="5"/>
        <tr r="W384" s="5"/>
        <tr r="U434" s="5"/>
        <tr r="S444" s="5"/>
      </tp>
      <tp t="s">
        <v>#N/A N/A</v>
        <stp/>
        <stp>BDH|18392785160312326201</stp>
        <tr r="AD152" s="5"/>
        <tr r="AE142" s="5"/>
        <tr r="AC157" s="5"/>
        <tr r="AF102" s="5"/>
        <tr r="AB161" s="5"/>
      </tp>
      <tp t="s">
        <v>#N/A N/A</v>
        <stp/>
        <stp>BDH|18177670782896453988</stp>
        <tr r="AF184" s="5"/>
        <tr r="AE224" s="5"/>
        <tr r="AD234" s="5"/>
        <tr r="AC239" s="5"/>
        <tr r="AB244" s="5"/>
      </tp>
      <tp t="s">
        <v>#N/A N/A</v>
        <stp/>
        <stp>BDH|12451829336565897501</stp>
        <tr r="AC522" s="5"/>
        <tr r="AD517" s="5"/>
        <tr r="AE507" s="5"/>
        <tr r="AF467" s="5"/>
        <tr r="AB527" s="5"/>
      </tp>
      <tp t="s">
        <v>#N/A N/A</v>
        <stp/>
        <stp>BDH|18183647025951071486</stp>
        <tr r="T301" s="5"/>
        <tr r="U296" s="5"/>
        <tr r="W246" s="5"/>
        <tr r="V286" s="5"/>
        <tr r="S306" s="5"/>
      </tp>
      <tp t="s">
        <v>#N/A N/A</v>
        <stp/>
        <stp>BDH|12718662462393871831</stp>
        <tr r="AE497" s="5"/>
        <tr r="AF457" s="5"/>
        <tr r="AC512" s="5"/>
        <tr r="AD507" s="5"/>
        <tr r="AB517" s="5"/>
      </tp>
      <tp t="s">
        <v>#N/A N/A</v>
        <stp/>
        <stp>BDH|17252479958326027958</stp>
        <tr r="U535" s="5"/>
        <tr r="W485" s="5"/>
        <tr r="T540" s="5"/>
        <tr r="V525" s="5"/>
        <tr r="S545" s="5"/>
      </tp>
      <tp t="s">
        <v>#N/A N/A</v>
        <stp/>
        <stp>BDH|15353603307689764389</stp>
        <tr r="T292" s="5"/>
        <tr r="U287" s="5"/>
        <tr r="W237" s="5"/>
        <tr r="V277" s="5"/>
        <tr r="S297" s="5"/>
      </tp>
      <tp t="s">
        <v>#N/A N/A</v>
        <stp/>
        <stp>BDH|17973677203698168014</stp>
        <tr r="AC110" s="5"/>
        <tr r="AE95" s="5"/>
        <tr r="AD105" s="5"/>
        <tr r="AF55" s="5"/>
        <tr r="AB115" s="5"/>
      </tp>
      <tp t="s">
        <v>#N/A N/A</v>
        <stp/>
        <stp>BDH|13798228540748898417</stp>
        <tr r="AD132" s="5"/>
        <tr r="AE122" s="5"/>
        <tr r="AC137" s="5"/>
        <tr r="AF82" s="5"/>
        <tr r="AB142" s="5"/>
      </tp>
      <tp t="s">
        <v>#N/A N/A</v>
        <stp/>
        <stp>BDH|17827195378841107970</stp>
        <tr r="V351" s="5"/>
        <tr r="T366" s="5"/>
        <tr r="U361" s="5"/>
        <tr r="W311" s="5"/>
        <tr r="S371" s="5"/>
      </tp>
      <tp t="s">
        <v>#N/A N/A</v>
        <stp/>
        <stp>BDH|17408888048454974627</stp>
        <tr r="V676" s="5"/>
        <tr r="W636" s="5"/>
        <tr r="T691" s="5"/>
        <tr r="U686" s="5"/>
        <tr r="S696" s="5"/>
      </tp>
      <tp t="s">
        <v>#N/A N/A</v>
        <stp/>
        <stp>BDH|14753217219009568757</stp>
        <tr r="AC396" s="5"/>
        <tr r="AD391" s="5"/>
        <tr r="AF341" s="5"/>
        <tr r="AE381" s="5"/>
        <tr r="AB401" s="5"/>
      </tp>
      <tp t="s">
        <v>#N/A N/A</v>
        <stp/>
        <stp>BDH|13869066090335710667</stp>
        <tr r="AC115" s="5"/>
        <tr r="AF60" s="5"/>
        <tr r="AE100" s="5"/>
        <tr r="AD110" s="5"/>
        <tr r="AB120" s="5"/>
      </tp>
      <tp t="s">
        <v>#N/A N/A</v>
        <stp/>
        <stp>BDH|10157096051415458938</stp>
        <tr r="U513" s="5"/>
        <tr r="T518" s="5"/>
        <tr r="V503" s="5"/>
        <tr r="W463" s="5"/>
        <tr r="S523" s="5"/>
      </tp>
      <tp t="s">
        <v>#N/A N/A</v>
        <stp/>
        <stp>BDH|12934839564175224024</stp>
        <tr r="T484" s="5"/>
        <tr r="U479" s="5"/>
        <tr r="W429" s="5"/>
        <tr r="V469" s="5"/>
        <tr r="S489" s="5"/>
      </tp>
      <tp t="s">
        <v>#N/A N/A</v>
        <stp/>
        <stp>BDH|11685421381787821339</stp>
        <tr r="V199" s="5"/>
        <tr r="U209" s="5"/>
        <tr r="T214" s="5"/>
        <tr r="S219" s="5"/>
      </tp>
      <tp t="s">
        <v>#N/A N/A</v>
        <stp/>
        <stp>BDH|18200430017582714107</stp>
        <tr r="AF674" s="5"/>
        <tr r="AE714" s="5"/>
        <tr r="AD724" s="5"/>
        <tr r="AC729" s="5"/>
        <tr r="AB734" s="5"/>
      </tp>
      <tp t="s">
        <v>#N/A N/A</v>
        <stp/>
        <stp>BDH|17541220998901924363</stp>
        <tr r="AF312" s="5"/>
        <tr r="AC367" s="5"/>
        <tr r="AD362" s="5"/>
        <tr r="AE352" s="5"/>
        <tr r="AB372" s="5"/>
      </tp>
      <tp t="s">
        <v>#N/A N/A</v>
        <stp/>
        <stp>BDH|13258054527926323906</stp>
        <tr r="T267" s="5"/>
        <tr r="V252" s="5"/>
        <tr r="U262" s="5"/>
        <tr r="W212" s="5"/>
        <tr r="S272" s="5"/>
      </tp>
      <tp t="s">
        <v>#N/A N/A</v>
        <stp/>
        <stp>BDH|13247443076267463970</stp>
        <tr r="AD533" s="5"/>
        <tr r="AC538" s="5"/>
        <tr r="AF483" s="5"/>
        <tr r="AE523" s="5"/>
        <tr r="AB543" s="5"/>
      </tp>
      <tp t="s">
        <v>#N/A N/A</v>
        <stp/>
        <stp>BDH|16744757788293145487</stp>
        <tr r="AF671" s="5"/>
        <tr r="AC726" s="5"/>
        <tr r="AE711" s="5"/>
        <tr r="AD721" s="5"/>
        <tr r="AB731" s="5"/>
      </tp>
      <tp t="s">
        <v>#N/A N/A</v>
        <stp/>
        <stp>BDH|12733717898342470095</stp>
        <tr r="T666" s="5"/>
        <tr r="W611" s="5"/>
        <tr r="V651" s="5"/>
        <tr r="U661" s="5"/>
        <tr r="S671" s="5"/>
      </tp>
      <tp t="s">
        <v>#N/A N/A</v>
        <stp/>
        <stp>BDH|12795136697727447348</stp>
        <tr r="U508" s="5"/>
        <tr r="T513" s="5"/>
        <tr r="W458" s="5"/>
        <tr r="V498" s="5"/>
        <tr r="S518" s="5"/>
      </tp>
      <tp t="s">
        <v>#N/A N/A</v>
        <stp/>
        <stp>BDH|12449977952036404608</stp>
        <tr r="AE22" s="5"/>
        <tr r="AD32" s="5"/>
        <tr r="AC37" s="5"/>
        <tr r="AB42" s="5"/>
      </tp>
      <tp t="s">
        <v>#N/A N/A</v>
        <stp/>
        <stp>BDH|14152339107961467858</stp>
        <tr r="U37" s="5"/>
        <tr r="V27" s="5"/>
        <tr r="T42" s="5"/>
        <tr r="S47" s="5"/>
      </tp>
      <tp t="s">
        <v>#N/A N/A</v>
        <stp/>
        <stp>BDH|12334460189108106890</stp>
        <tr r="U729" s="5"/>
        <tr r="V719" s="5"/>
        <tr r="T734" s="5"/>
        <tr r="W679" s="5"/>
        <tr r="S739" s="5"/>
      </tp>
      <tp t="s">
        <v>#N/A N/A</v>
        <stp/>
        <stp>BDH|12170662281557049520</stp>
        <tr r="T402" s="5"/>
        <tr r="W347" s="5"/>
        <tr r="V387" s="5"/>
        <tr r="U397" s="5"/>
        <tr r="S407" s="5"/>
      </tp>
      <tp t="s">
        <v>#N/A N/A</v>
        <stp/>
        <stp>BDH|12657816850846159715</stp>
        <tr r="U22" s="5"/>
        <tr r="T27" s="5"/>
        <tr r="S32" s="5"/>
      </tp>
      <tp t="s">
        <v>#N/A N/A</v>
        <stp/>
        <stp>BDH|14173711447328434154</stp>
        <tr r="U106" s="5"/>
        <tr r="V96" s="5"/>
        <tr r="T111" s="5"/>
        <tr r="W56" s="5"/>
        <tr r="S116" s="5"/>
      </tp>
      <tp t="s">
        <v>#N/A N/A</v>
        <stp/>
        <stp>BDH|15123865611677378532</stp>
        <tr r="AC401" s="5"/>
        <tr r="AD396" s="5"/>
        <tr r="AF346" s="5"/>
        <tr r="AE386" s="5"/>
        <tr r="AB406" s="5"/>
      </tp>
      <tp t="s">
        <v>#N/A N/A</v>
        <stp/>
        <stp>BDH|10081194195716001059</stp>
        <tr r="W441" s="5"/>
        <tr r="U491" s="5"/>
        <tr r="T496" s="5"/>
        <tr r="V481" s="5"/>
        <tr r="S501" s="5"/>
      </tp>
      <tp t="s">
        <v>#N/A N/A</v>
        <stp/>
        <stp>BDH|14291785297737478309</stp>
        <tr r="V330" s="5"/>
        <tr r="U340" s="5"/>
        <tr r="W290" s="5"/>
        <tr r="T345" s="5"/>
        <tr r="S350" s="5"/>
      </tp>
      <tp t="s">
        <v>#N/A N/A</v>
        <stp/>
        <stp>BDH|15637972198289321235</stp>
        <tr r="W210" s="5"/>
        <tr r="T265" s="5"/>
        <tr r="V250" s="5"/>
        <tr r="U260" s="5"/>
        <tr r="S270" s="5"/>
      </tp>
      <tp t="s">
        <v>#N/A N/A</v>
        <stp/>
        <stp>BDH|13128895055337089754</stp>
        <tr r="AD258" s="5"/>
        <tr r="AC263" s="5"/>
        <tr r="AE248" s="5"/>
        <tr r="AF208" s="5"/>
        <tr r="AB268" s="5"/>
      </tp>
      <tp t="s">
        <v>#N/A N/A</v>
        <stp/>
        <stp>BDH|17936985978930469758</stp>
        <tr r="AD537" s="5"/>
        <tr r="AE527" s="5"/>
        <tr r="AC542" s="5"/>
        <tr r="AF487" s="5"/>
        <tr r="AB547" s="5"/>
      </tp>
      <tp t="s">
        <v>#N/A N/A</v>
        <stp/>
        <stp>BDH|16812523181270140520</stp>
        <tr r="V229" s="5"/>
        <tr r="T244" s="5"/>
        <tr r="W189" s="5"/>
        <tr r="U239" s="5"/>
        <tr r="S249" s="5"/>
      </tp>
      <tp t="s">
        <v>#N/A N/A</v>
        <stp/>
        <stp>BDH|16237437539976170920</stp>
        <tr r="W57" s="5"/>
        <tr r="V97" s="5"/>
        <tr r="U107" s="5"/>
        <tr r="T112" s="5"/>
        <tr r="S117" s="5"/>
      </tp>
      <tp t="s">
        <v>#N/A N/A</v>
        <stp/>
        <stp>BDH|12141400089985279515</stp>
        <tr r="V183" s="5"/>
        <tr r="U193" s="5"/>
        <tr r="W144" s="5"/>
        <tr r="T198" s="5"/>
        <tr r="S203" s="5"/>
      </tp>
      <tp t="s">
        <v>#N/A N/A</v>
        <stp/>
        <stp>BDH|16102586933958062617</stp>
        <tr r="V59" s="5"/>
        <tr r="T74" s="5"/>
        <tr r="U69" s="5"/>
        <tr r="S79" s="5"/>
      </tp>
      <tp t="s">
        <v>#N/A N/A</v>
        <stp/>
        <stp>BDH|14130915758751315701</stp>
        <tr r="U651" s="5"/>
        <tr r="T656" s="5"/>
        <tr r="V641" s="5"/>
        <tr r="W601" s="5"/>
        <tr r="S661" s="5"/>
      </tp>
      <tp t="s">
        <v>#N/A N/A</v>
        <stp/>
        <stp>BDH|14950458586697539152</stp>
        <tr r="W316" s="5"/>
        <tr r="U366" s="5"/>
        <tr r="T371" s="5"/>
        <tr r="V356" s="5"/>
        <tr r="S376" s="5"/>
      </tp>
      <tp t="s">
        <v>#N/A N/A</v>
        <stp/>
        <stp>BDH|15513537008547452903</stp>
        <tr r="W333" s="5"/>
        <tr r="V373" s="5"/>
        <tr r="T388" s="5"/>
        <tr r="U383" s="5"/>
        <tr r="S393" s="5"/>
      </tp>
      <tp t="s">
        <v>#N/A N/A</v>
        <stp/>
        <stp>BDH|11333728137679242292</stp>
        <tr r="U685" s="5"/>
        <tr r="W635" s="5"/>
        <tr r="T690" s="5"/>
        <tr r="V675" s="5"/>
        <tr r="S695" s="5"/>
      </tp>
      <tp t="s">
        <v>#N/A N/A</v>
        <stp/>
        <stp>BDH|12020895013544398143</stp>
        <tr r="W450" s="5"/>
        <tr r="T505" s="5"/>
        <tr r="V490" s="5"/>
        <tr r="U500" s="5"/>
        <tr r="S510" s="5"/>
      </tp>
      <tp t="s">
        <v>#N/A N/A</v>
        <stp/>
        <stp>BDH|15546316009441659964</stp>
        <tr r="AD25" s="5"/>
        <tr r="AC30" s="5"/>
        <tr r="AB35" s="5"/>
      </tp>
      <tp t="s">
        <v>#N/A N/A</v>
        <stp/>
        <stp>BDH|14926352802639159024</stp>
        <tr r="AE511" s="5"/>
        <tr r="AF471" s="5"/>
        <tr r="AC526" s="5"/>
        <tr r="AD521" s="5"/>
        <tr r="AB531" s="5"/>
      </tp>
      <tp t="s">
        <v>#N/A N/A</v>
        <stp/>
        <stp>BDH|16707398877549633504</stp>
        <tr r="V360" s="5"/>
        <tr r="W320" s="5"/>
        <tr r="U370" s="5"/>
        <tr r="T375" s="5"/>
        <tr r="S380" s="5"/>
      </tp>
      <tp t="s">
        <v>#N/A N/A</v>
        <stp/>
        <stp>BDH|11286536607418804217</stp>
        <tr r="V504" s="5"/>
        <tr r="W464" s="5"/>
        <tr r="U514" s="5"/>
        <tr r="T519" s="5"/>
        <tr r="S524" s="5"/>
      </tp>
      <tp t="s">
        <v>#N/A N/A</v>
        <stp/>
        <stp>BDH|10516037072151803834</stp>
        <tr r="AF582" s="5"/>
        <tr r="AE622" s="5"/>
        <tr r="AD632" s="5"/>
        <tr r="AC637" s="5"/>
        <tr r="AB642" s="5"/>
      </tp>
      <tp t="s">
        <v>#N/A N/A</v>
        <stp/>
        <stp>BDH|16775879063787134030</stp>
        <tr r="AD461" s="5"/>
        <tr r="AF411" s="5"/>
        <tr r="AC466" s="5"/>
        <tr r="AE451" s="5"/>
        <tr r="AB471" s="5"/>
      </tp>
      <tp t="s">
        <v>#N/A N/A</v>
        <stp/>
        <stp>BDH|12175558830703213870</stp>
        <tr r="AD324" s="5"/>
        <tr r="AE314" s="5"/>
        <tr r="AC329" s="5"/>
        <tr r="AF274" s="5"/>
        <tr r="AB334" s="5"/>
      </tp>
      <tp t="s">
        <v>#N/A N/A</v>
        <stp/>
        <stp>BDH|17301744492951520710</stp>
        <tr r="AD174" s="5"/>
        <tr r="AC179" s="5"/>
        <tr r="AE164" s="5"/>
        <tr r="AF125" s="5"/>
        <tr r="AB184" s="5"/>
      </tp>
      <tp t="s">
        <v>#N/A N/A</v>
        <stp/>
        <stp>BDH|10577892852613800172</stp>
        <tr r="W283" s="5"/>
        <tr r="V323" s="5"/>
        <tr r="T338" s="5"/>
        <tr r="U333" s="5"/>
        <tr r="S343" s="5"/>
      </tp>
      <tp t="s">
        <v>#N/A N/A</v>
        <stp/>
        <stp>BDH|15133743940831373860</stp>
        <tr r="AF321" s="5"/>
        <tr r="AE361" s="5"/>
        <tr r="AC376" s="5"/>
        <tr r="AD371" s="5"/>
        <tr r="AB381" s="5"/>
      </tp>
      <tp t="s">
        <v>#N/A N/A</v>
        <stp/>
        <stp>BDH|18022312443054011426</stp>
        <tr r="V511" s="5"/>
        <tr r="W471" s="5"/>
        <tr r="T526" s="5"/>
        <tr r="U521" s="5"/>
        <tr r="S531" s="5"/>
      </tp>
      <tp t="s">
        <v>#N/A N/A</v>
        <stp/>
        <stp>BDH|11872359747699057096</stp>
        <tr r="U93" s="5"/>
        <tr r="V83" s="5"/>
        <tr r="T98" s="5"/>
        <tr r="W43" s="5"/>
        <tr r="S103" s="5"/>
      </tp>
      <tp t="s">
        <v>#N/A N/A</v>
        <stp/>
        <stp>BDH|17772406524938094608</stp>
        <tr r="AD510" s="5"/>
        <tr r="AC515" s="5"/>
        <tr r="AF460" s="5"/>
        <tr r="AE500" s="5"/>
        <tr r="AB520" s="5"/>
      </tp>
      <tp t="s">
        <v>#N/A N/A</v>
        <stp/>
        <stp>BDH|13463955840858079922</stp>
        <tr r="AE665" s="5"/>
        <tr r="AF625" s="5"/>
        <tr r="AC680" s="5"/>
        <tr r="AD675" s="5"/>
        <tr r="AB685" s="5"/>
      </tp>
      <tp t="s">
        <v>#N/A N/A</v>
        <stp/>
        <stp>BDH|16377862272877056148</stp>
        <tr r="V148" s="5"/>
        <tr r="U158" s="5"/>
        <tr r="W108" s="5"/>
        <tr r="T162" s="5"/>
        <tr r="S167" s="5"/>
      </tp>
      <tp t="s">
        <v>#N/A N/A</v>
        <stp/>
        <stp>BDH|11981993544092399158</stp>
        <tr r="AC190" s="5"/>
        <tr r="AD185" s="5"/>
        <tr r="AF136" s="5"/>
        <tr r="AE175" s="5"/>
        <tr r="AB195" s="5"/>
      </tp>
      <tp t="s">
        <v>#N/A N/A</v>
        <stp/>
        <stp>BDH|14615908791212431917</stp>
        <tr r="AD285" s="5"/>
        <tr r="AF235" s="5"/>
        <tr r="AE275" s="5"/>
        <tr r="AC290" s="5"/>
        <tr r="AB295" s="5"/>
      </tp>
      <tp t="s">
        <v>#N/A N/A</v>
        <stp/>
        <stp>BDH|17635101975537940984</stp>
        <tr r="V319" s="5"/>
        <tr r="W279" s="5"/>
        <tr r="T334" s="5"/>
        <tr r="U329" s="5"/>
        <tr r="S339" s="5"/>
      </tp>
      <tp t="s">
        <v>#N/A N/A</v>
        <stp/>
        <stp>BDH|12953491992817498738</stp>
        <tr r="AE39" s="5"/>
        <tr r="AD49" s="5"/>
        <tr r="AC54" s="5"/>
        <tr r="AB59" s="5"/>
      </tp>
      <tp t="s">
        <v>#N/A N/A</v>
        <stp/>
        <stp>BDH|13538741555448069612</stp>
        <tr r="W766" s="5"/>
      </tp>
      <tp t="s">
        <v>#N/A N/A</v>
        <stp/>
        <stp>BDH|18100811640423671833</stp>
        <tr r="AD317" s="5"/>
        <tr r="AF267" s="5"/>
        <tr r="AE307" s="5"/>
        <tr r="AC322" s="5"/>
        <tr r="AB327" s="5"/>
      </tp>
      <tp t="s">
        <v>#N/A N/A</v>
        <stp/>
        <stp>BDH|13760609957879428600</stp>
        <tr r="V321" s="5"/>
        <tr r="W281" s="5"/>
        <tr r="T336" s="5"/>
        <tr r="U331" s="5"/>
        <tr r="S341" s="5"/>
      </tp>
      <tp t="s">
        <v>#N/A N/A</v>
        <stp/>
        <stp>BDH|14670749750449269074</stp>
        <tr r="W542" s="5"/>
        <tr r="T597" s="5"/>
        <tr r="U592" s="5"/>
        <tr r="V582" s="5"/>
        <tr r="S602" s="5"/>
      </tp>
      <tp t="s">
        <v>#N/A N/A</v>
        <stp/>
        <stp>BDH|12106642610099099328</stp>
        <tr r="T75" s="5"/>
        <tr r="V60" s="5"/>
        <tr r="U70" s="5"/>
        <tr r="S80" s="5"/>
      </tp>
      <tp t="s">
        <v>#N/A N/A</v>
        <stp/>
        <stp>BDH|13513020783710210413</stp>
        <tr r="AF749" s="5"/>
      </tp>
      <tp t="s">
        <v>#N/A N/A</v>
        <stp/>
        <stp>BDH|10081605070659673705</stp>
        <tr r="AE626" s="5"/>
        <tr r="AF586" s="5"/>
        <tr r="AD636" s="5"/>
        <tr r="AC641" s="5"/>
        <tr r="AB646" s="5"/>
      </tp>
      <tp t="s">
        <v>#N/A N/A</v>
        <stp/>
        <stp>BDH|10399404196072213019</stp>
        <tr r="AE166" s="5"/>
        <tr r="AC181" s="5"/>
        <tr r="AF127" s="5"/>
        <tr r="AD176" s="5"/>
        <tr r="AB186" s="5"/>
      </tp>
      <tp t="s">
        <v>#N/A N/A</v>
        <stp/>
        <stp>BDH|16821856778413963559</stp>
        <tr r="AD668" s="5"/>
        <tr r="AC673" s="5"/>
        <tr r="AE658" s="5"/>
        <tr r="AF618" s="5"/>
        <tr r="AB678" s="5"/>
      </tp>
      <tp t="s">
        <v>#N/A N/A</v>
        <stp/>
        <stp>BDH|16302396610708364305</stp>
        <tr r="AE440" s="5"/>
        <tr r="AC455" s="5"/>
        <tr r="AD450" s="5"/>
        <tr r="AF400" s="5"/>
        <tr r="AB460" s="5"/>
      </tp>
      <tp t="s">
        <v>#N/A N/A</v>
        <stp/>
        <stp>BDH|17510810032080910361</stp>
        <tr r="V737" s="5"/>
        <tr r="W697" s="5"/>
        <tr r="T752" s="5"/>
        <tr r="U747" s="5"/>
        <tr r="S757" s="5"/>
      </tp>
      <tp t="s">
        <v>#N/A N/A</v>
        <stp/>
        <stp>BDH|13790905600132870771</stp>
        <tr r="T128" s="5"/>
        <tr r="U123" s="5"/>
        <tr r="V113" s="5"/>
        <tr r="W73" s="5"/>
        <tr r="S133" s="5"/>
      </tp>
      <tp t="s">
        <v>#N/A N/A</v>
        <stp/>
        <stp>BDH|17557631684940807623</stp>
        <tr r="AF719" s="5"/>
        <tr r="AE759" s="5"/>
      </tp>
      <tp t="s">
        <v>#N/A N/A</v>
        <stp/>
        <stp>BDH|11976872339462963764</stp>
        <tr r="V219" s="5"/>
        <tr r="U229" s="5"/>
        <tr r="W179" s="5"/>
        <tr r="T234" s="5"/>
        <tr r="S239" s="5"/>
      </tp>
      <tp t="s">
        <v>#N/A N/A</v>
        <stp/>
        <stp>BDH|14308285280477228613</stp>
        <tr r="T687" s="5"/>
        <tr r="V672" s="5"/>
        <tr r="U682" s="5"/>
        <tr r="W632" s="5"/>
        <tr r="S692" s="5"/>
      </tp>
      <tp t="s">
        <v>#N/A N/A</v>
        <stp/>
        <stp>BDH|17704048687504730485</stp>
        <tr r="AF142" s="5"/>
        <tr r="AE181" s="5"/>
        <tr r="AC196" s="5"/>
        <tr r="AD191" s="5"/>
        <tr r="AB201" s="5"/>
      </tp>
      <tp t="s">
        <v>#N/A N/A</v>
        <stp/>
        <stp>BDH|14557886871056536228</stp>
        <tr r="AC312" s="5"/>
        <tr r="AD307" s="5"/>
        <tr r="AF257" s="5"/>
        <tr r="AE297" s="5"/>
        <tr r="AB317" s="5"/>
      </tp>
      <tp t="s">
        <v>#N/A N/A</v>
        <stp/>
        <stp>BDH|11773270176949810253</stp>
        <tr r="AF24" s="5"/>
        <tr r="AE64" s="5"/>
        <tr r="AC79" s="5"/>
        <tr r="AD74" s="5"/>
        <tr r="AB84" s="5"/>
      </tp>
      <tp t="s">
        <v>#N/A N/A</v>
        <stp/>
        <stp>BDH|15751352685631801041</stp>
        <tr r="AC751" s="5"/>
        <tr r="AD746" s="5"/>
        <tr r="AE736" s="5"/>
        <tr r="AF696" s="5"/>
        <tr r="AB756" s="5"/>
      </tp>
      <tp t="s">
        <v>#N/A N/A</v>
        <stp/>
        <stp>BDH|11988498697955490698</stp>
        <tr r="AF25" s="5"/>
        <tr r="AE65" s="5"/>
        <tr r="AC80" s="5"/>
        <tr r="AD75" s="5"/>
        <tr r="AB85" s="5"/>
      </tp>
      <tp t="s">
        <v>#N/A N/A</v>
        <stp/>
        <stp>BDH|10157507130161378888</stp>
        <tr r="V273" s="5"/>
        <tr r="W233" s="5"/>
        <tr r="U283" s="5"/>
        <tr r="T288" s="5"/>
        <tr r="S293" s="5"/>
      </tp>
      <tp t="s">
        <v>#N/A N/A</v>
        <stp/>
        <stp>BDH|10745025037685013987</stp>
        <tr r="U649" s="5"/>
        <tr r="V639" s="5"/>
        <tr r="W599" s="5"/>
        <tr r="T654" s="5"/>
        <tr r="S659" s="5"/>
      </tp>
      <tp t="s">
        <v>#N/A N/A</v>
        <stp/>
        <stp>BDH|11889471301813038939</stp>
        <tr r="U630" s="5"/>
        <tr r="V620" s="5"/>
        <tr r="T635" s="5"/>
        <tr r="W580" s="5"/>
        <tr r="S640" s="5"/>
      </tp>
      <tp t="s">
        <v>#N/A N/A</v>
        <stp/>
        <stp>BDH|10412250289907297272</stp>
        <tr r="AC130" s="5"/>
        <tr r="AD125" s="5"/>
        <tr r="AE115" s="5"/>
        <tr r="AF75" s="5"/>
        <tr r="AB135" s="5"/>
      </tp>
      <tp t="s">
        <v>#N/A N/A</v>
        <stp/>
        <stp>BDH|11681871052066693587</stp>
        <tr r="V739" s="5"/>
        <tr r="W699" s="5"/>
        <tr r="U749" s="5"/>
        <tr r="T754" s="5"/>
        <tr r="S759" s="5"/>
      </tp>
      <tp t="s">
        <v>#N/A N/A</v>
        <stp/>
        <stp>BDH|14319605712529999547</stp>
        <tr r="U444" s="5"/>
        <tr r="T449" s="5"/>
        <tr r="V434" s="5"/>
        <tr r="W394" s="5"/>
        <tr r="S454" s="5"/>
      </tp>
      <tp t="s">
        <v>#N/A N/A</v>
        <stp/>
        <stp>BDH|16075758928205253906</stp>
        <tr r="W752" s="5"/>
      </tp>
      <tp t="s">
        <v>#N/A N/A</v>
        <stp/>
        <stp>BDH|11529396063463191817</stp>
        <tr r="AE433" s="5"/>
        <tr r="AF393" s="5"/>
        <tr r="AC448" s="5"/>
        <tr r="AD443" s="5"/>
        <tr r="AB453" s="5"/>
      </tp>
      <tp t="s">
        <v>#N/A N/A</v>
        <stp/>
        <stp>BDH|18088876954191375813</stp>
        <tr r="AD688" s="5"/>
        <tr r="AE678" s="5"/>
        <tr r="AC693" s="5"/>
        <tr r="AF638" s="5"/>
        <tr r="AB698" s="5"/>
      </tp>
      <tp t="s">
        <v>#N/A N/A</v>
        <stp/>
        <stp>BDH|15366001586899642822</stp>
        <tr r="AE232" s="5"/>
        <tr r="AC247" s="5"/>
        <tr r="AF192" s="5"/>
        <tr r="AD242" s="5"/>
        <tr r="AB252" s="5"/>
      </tp>
      <tp t="s">
        <v>#N/A N/A</v>
        <stp/>
        <stp>BDH|17295596088203558576</stp>
        <tr r="AD166" s="5"/>
        <tr r="AC171" s="5"/>
        <tr r="AE157" s="5"/>
        <tr r="AF117" s="5"/>
        <tr r="AB176" s="5"/>
      </tp>
      <tp t="s">
        <v>#N/A N/A</v>
        <stp/>
        <stp>BDH|11301367132819173462</stp>
        <tr r="T72" s="5"/>
        <tr r="V57" s="5"/>
        <tr r="U67" s="5"/>
        <tr r="S77" s="5"/>
      </tp>
      <tp t="s">
        <v>#N/A N/A</v>
        <stp/>
        <stp>BDH|16764041737098646120</stp>
        <tr r="W352" s="5"/>
        <tr r="U402" s="5"/>
        <tr r="T407" s="5"/>
        <tr r="V392" s="5"/>
        <tr r="S412" s="5"/>
      </tp>
      <tp t="s">
        <v>#N/A N/A</v>
        <stp/>
        <stp>BDH|10930428852228058599</stp>
        <tr r="T187" s="5"/>
        <tr r="V172" s="5"/>
        <tr r="W133" s="5"/>
        <tr r="U182" s="5"/>
        <tr r="S192" s="5"/>
      </tp>
      <tp t="s">
        <v>#N/A N/A</v>
        <stp/>
        <stp>BDH|15621839398949796192</stp>
        <tr r="AD531" s="5"/>
        <tr r="AC536" s="5"/>
        <tr r="AF481" s="5"/>
        <tr r="AE521" s="5"/>
        <tr r="AB541" s="5"/>
      </tp>
      <tp t="s">
        <v>#N/A N/A</v>
        <stp/>
        <stp>BDH|12162500781224640758</stp>
        <tr r="AD582" s="5"/>
        <tr r="AC587" s="5"/>
        <tr r="AE572" s="5"/>
        <tr r="AF532" s="5"/>
        <tr r="AB592" s="5"/>
      </tp>
      <tp t="s">
        <v>#N/A N/A</v>
        <stp/>
        <stp>BDH|12411969962936098734</stp>
        <tr r="AE669" s="5"/>
        <tr r="AC684" s="5"/>
        <tr r="AF629" s="5"/>
        <tr r="AD679" s="5"/>
        <tr r="AB689" s="5"/>
      </tp>
      <tp t="s">
        <v>#N/A N/A</v>
        <stp/>
        <stp>BDH|10799256166891732902</stp>
        <tr r="AD172" s="5"/>
        <tr r="AE162" s="5"/>
        <tr r="AF123" s="5"/>
        <tr r="AC177" s="5"/>
        <tr r="AB182" s="5"/>
      </tp>
      <tp t="s">
        <v>#N/A N/A</v>
        <stp/>
        <stp>BDH|10835285599154294393</stp>
        <tr r="AC685" s="5"/>
        <tr r="AD680" s="5"/>
        <tr r="AF630" s="5"/>
        <tr r="AE670" s="5"/>
        <tr r="AB690" s="5"/>
      </tp>
      <tp t="s">
        <v>#N/A N/A</v>
        <stp/>
        <stp>BDH|11788509854439713466</stp>
        <tr r="AD536" s="5"/>
        <tr r="AE526" s="5"/>
        <tr r="AF486" s="5"/>
        <tr r="AC541" s="5"/>
        <tr r="AB546" s="5"/>
      </tp>
      <tp t="s">
        <v>#N/A N/A</v>
        <stp/>
        <stp>BDH|15584838821276468511</stp>
        <tr r="AE210" s="5"/>
        <tr r="AF170" s="5"/>
        <tr r="AD220" s="5"/>
        <tr r="AC225" s="5"/>
        <tr r="AB230" s="5"/>
      </tp>
      <tp t="s">
        <v>#N/A N/A</v>
        <stp/>
        <stp>BDH|17125770953310053907</stp>
        <tr r="W760" s="5"/>
      </tp>
      <tp t="s">
        <v>#N/A N/A</v>
        <stp/>
        <stp>BDH|18017764732858951897</stp>
        <tr r="AD473" s="5"/>
        <tr r="AE463" s="5"/>
        <tr r="AF423" s="5"/>
        <tr r="AC478" s="5"/>
        <tr r="AB483" s="5"/>
      </tp>
      <tp t="s">
        <v>#N/A N/A</v>
        <stp/>
        <stp>BDH|18018384407816257194</stp>
        <tr r="U134" s="5"/>
        <tr r="T139" s="5"/>
        <tr r="V124" s="5"/>
        <tr r="W84" s="5"/>
        <tr r="S144" s="5"/>
      </tp>
      <tp t="s">
        <v>#N/A N/A</v>
        <stp/>
        <stp>BDH|13054734324058042236</stp>
        <tr r="V435" s="5"/>
        <tr r="T450" s="5"/>
        <tr r="U445" s="5"/>
        <tr r="W395" s="5"/>
        <tr r="S455" s="5"/>
      </tp>
      <tp t="s">
        <v>#N/A N/A</v>
        <stp/>
        <stp>BDH|14864512680827671281</stp>
        <tr r="T279" s="5"/>
        <tr r="V264" s="5"/>
        <tr r="W224" s="5"/>
        <tr r="U274" s="5"/>
        <tr r="S284" s="5"/>
      </tp>
      <tp t="s">
        <v>#N/A N/A</v>
        <stp/>
        <stp>BDH|13779521443439196706</stp>
        <tr r="V734" s="5"/>
        <tr r="W694" s="5"/>
        <tr r="T749" s="5"/>
        <tr r="U744" s="5"/>
        <tr r="S754" s="5"/>
      </tp>
      <tp t="s">
        <v>#N/A N/A</v>
        <stp/>
        <stp>BDH|10722628064508474424</stp>
        <tr r="AE508" s="5"/>
        <tr r="AF468" s="5"/>
        <tr r="AD518" s="5"/>
        <tr r="AC523" s="5"/>
        <tr r="AB528" s="5"/>
      </tp>
      <tp t="s">
        <v>#N/A N/A</v>
        <stp/>
        <stp>BDH|12193205563158496214</stp>
        <tr r="T644" s="5"/>
        <tr r="U639" s="5"/>
        <tr r="V629" s="5"/>
        <tr r="W589" s="5"/>
        <tr r="S649" s="5"/>
      </tp>
      <tp t="s">
        <v>#N/A N/A</v>
        <stp/>
        <stp>BDH|14595838468282950402</stp>
        <tr r="AE59" s="5"/>
        <tr r="AC74" s="5"/>
        <tr r="AD69" s="5"/>
        <tr r="AB79" s="5"/>
      </tp>
      <tp t="s">
        <v>#N/A N/A</v>
        <stp/>
        <stp>BDH|10418826422267434168</stp>
        <tr r="AE199" s="5"/>
        <tr r="AD209" s="5"/>
        <tr r="AC214" s="5"/>
        <tr r="AB219" s="5"/>
      </tp>
      <tp t="s">
        <v>#N/A N/A</v>
        <stp/>
        <stp>BDH|16128437333284004975</stp>
        <tr r="AE594" s="5"/>
        <tr r="AF554" s="5"/>
        <tr r="AD604" s="5"/>
        <tr r="AC609" s="5"/>
        <tr r="AB614" s="5"/>
      </tp>
      <tp t="s">
        <v>#N/A N/A</v>
        <stp/>
        <stp>BDH|12033060038495962817</stp>
        <tr r="U126" s="5"/>
        <tr r="T131" s="5"/>
        <tr r="W76" s="5"/>
        <tr r="V116" s="5"/>
        <tr r="S136" s="5"/>
      </tp>
      <tp t="s">
        <v>#N/A N/A</v>
        <stp/>
        <stp>BDH|11113210189363659492</stp>
        <tr r="AF523" s="5"/>
        <tr r="AC578" s="5"/>
        <tr r="AD573" s="5"/>
        <tr r="AE563" s="5"/>
        <tr r="AB583" s="5"/>
      </tp>
      <tp t="s">
        <v>#N/A N/A</v>
        <stp/>
        <stp>BDH|17582186813308109362</stp>
        <tr r="AF642" s="5"/>
        <tr r="AE682" s="5"/>
        <tr r="AC697" s="5"/>
        <tr r="AD692" s="5"/>
        <tr r="AB702" s="5"/>
      </tp>
      <tp t="s">
        <v>#N/A N/A</v>
        <stp/>
        <stp>BDH|13544159598064320334</stp>
        <tr r="AC310" s="5"/>
        <tr r="AF255" s="5"/>
        <tr r="AE295" s="5"/>
        <tr r="AD305" s="5"/>
        <tr r="AB315" s="5"/>
      </tp>
      <tp t="s">
        <v>#N/A N/A</v>
        <stp/>
        <stp>BDH|11559896447706684755</stp>
        <tr r="AE204" s="5"/>
        <tr r="AC219" s="5"/>
        <tr r="AF164" s="5"/>
        <tr r="AD214" s="5"/>
        <tr r="AB224" s="5"/>
      </tp>
      <tp t="s">
        <v>#N/A N/A</v>
        <stp/>
        <stp>BDH|18342276909570452611</stp>
        <tr r="W319" s="5"/>
        <tr r="V359" s="5"/>
        <tr r="T374" s="5"/>
        <tr r="U369" s="5"/>
        <tr r="S379" s="5"/>
      </tp>
      <tp t="s">
        <v>#N/A N/A</v>
        <stp/>
        <stp>BDH|10531189394503787763</stp>
        <tr r="AF253" s="5"/>
        <tr r="AD303" s="5"/>
        <tr r="AE293" s="5"/>
        <tr r="AC308" s="5"/>
        <tr r="AB313" s="5"/>
      </tp>
      <tp t="s">
        <v>#N/A N/A</v>
        <stp/>
        <stp>BDH|11185170639899457618</stp>
        <tr r="V335" s="5"/>
        <tr r="T350" s="5"/>
        <tr r="U345" s="5"/>
        <tr r="W295" s="5"/>
        <tr r="S355" s="5"/>
      </tp>
      <tp t="s">
        <v>#N/A N/A</v>
        <stp/>
        <stp>BDH|13612431664604879949</stp>
        <tr r="AF273" s="5"/>
        <tr r="AC328" s="5"/>
        <tr r="AE313" s="5"/>
        <tr r="AD323" s="5"/>
        <tr r="AB333" s="5"/>
      </tp>
      <tp t="s">
        <v>#N/A N/A</v>
        <stp/>
        <stp>BDH|12441607205898863040</stp>
        <tr r="W22" s="5"/>
        <tr r="T77" s="5"/>
        <tr r="U72" s="5"/>
        <tr r="V62" s="5"/>
        <tr r="S82" s="5"/>
      </tp>
      <tp t="s">
        <v>#N/A N/A</v>
        <stp/>
        <stp>BDH|10743871655800991119</stp>
        <tr r="AD467" s="5"/>
        <tr r="AE457" s="5"/>
        <tr r="AC472" s="5"/>
        <tr r="AF417" s="5"/>
        <tr r="AB477" s="5"/>
      </tp>
      <tp t="s">
        <v>#N/A N/A</v>
        <stp/>
        <stp>BDH|13459676172089938752</stp>
        <tr r="U764" s="5"/>
        <tr r="W714" s="5"/>
        <tr r="V754" s="5"/>
      </tp>
      <tp t="s">
        <v>#N/A N/A</v>
        <stp/>
        <stp>BDH|15555606814616552882</stp>
        <tr r="AE452" s="5"/>
        <tr r="AF412" s="5"/>
        <tr r="AC467" s="5"/>
        <tr r="AD462" s="5"/>
        <tr r="AB472" s="5"/>
      </tp>
      <tp t="s">
        <v>#N/A N/A</v>
        <stp/>
        <stp>BDH|15983135554408450550</stp>
        <tr r="T166" s="5"/>
        <tr r="U161" s="5"/>
        <tr r="V152" s="5"/>
        <tr r="W112" s="5"/>
        <tr r="S171" s="5"/>
      </tp>
      <tp t="s">
        <v>#N/A N/A</v>
        <stp/>
        <stp>BDH|11092304485984262283</stp>
        <tr r="AF755" s="5"/>
      </tp>
      <tp t="s">
        <v>#N/A N/A</v>
        <stp/>
        <stp>BDH|15198884522716498505</stp>
        <tr r="AC252" s="5"/>
        <tr r="AF197" s="5"/>
        <tr r="AE237" s="5"/>
        <tr r="AD247" s="5"/>
        <tr r="AB257" s="5"/>
      </tp>
      <tp t="s">
        <v>#N/A N/A</v>
        <stp/>
        <stp>BDH|17398704341449555188</stp>
        <tr r="U364" s="5"/>
        <tr r="V354" s="5"/>
        <tr r="T369" s="5"/>
        <tr r="W314" s="5"/>
        <tr r="S374" s="5"/>
      </tp>
      <tp t="s">
        <v>#N/A N/A</v>
        <stp/>
        <stp>BDH|16775997543513163428</stp>
        <tr r="T24" s="5"/>
        <tr r="S29" s="5"/>
      </tp>
      <tp t="s">
        <v>#N/A N/A</v>
        <stp/>
        <stp>BDH|17521823038569824996</stp>
        <tr r="W598" s="5"/>
        <tr r="T653" s="5"/>
        <tr r="U648" s="5"/>
        <tr r="V638" s="5"/>
        <tr r="S658" s="5"/>
      </tp>
      <tp t="s">
        <v>#N/A N/A</v>
        <stp/>
        <stp>BDH|11014091513679165554</stp>
        <tr r="AD624" s="5"/>
        <tr r="AE614" s="5"/>
        <tr r="AF574" s="5"/>
        <tr r="AC629" s="5"/>
        <tr r="AB634" s="5"/>
      </tp>
      <tp t="s">
        <v>#N/A N/A</v>
        <stp/>
        <stp>BDH|10403538587673224331</stp>
        <tr r="V393" s="5"/>
        <tr r="W353" s="5"/>
        <tr r="T408" s="5"/>
        <tr r="U403" s="5"/>
        <tr r="S413" s="5"/>
      </tp>
      <tp t="s">
        <v>#N/A N/A</v>
        <stp/>
        <stp>BDH|10417919445049557940</stp>
        <tr r="U643" s="5"/>
        <tr r="V633" s="5"/>
        <tr r="T648" s="5"/>
        <tr r="W593" s="5"/>
        <tr r="S653" s="5"/>
      </tp>
      <tp t="s">
        <v>#N/A N/A</v>
        <stp/>
        <stp>BDH|15062923524360300344</stp>
        <tr r="AD108" s="5"/>
        <tr r="AE98" s="5"/>
        <tr r="AF58" s="5"/>
        <tr r="AC113" s="5"/>
        <tr r="AB118" s="5"/>
      </tp>
      <tp t="s">
        <v>#N/A N/A</v>
        <stp/>
        <stp>BDH|17427070596056531516</stp>
        <tr r="T22" s="5"/>
        <tr r="S27" s="5"/>
      </tp>
      <tp t="s">
        <v>#N/A N/A</v>
        <stp/>
        <stp>BDH|10608194694607916237</stp>
        <tr r="AF53" s="5"/>
        <tr r="AE93" s="5"/>
        <tr r="AC108" s="5"/>
        <tr r="AD103" s="5"/>
        <tr r="AB113" s="5"/>
      </tp>
      <tp t="s">
        <v>#N/A N/A</v>
        <stp/>
        <stp>BDH|18242879831906061848</stp>
        <tr r="AC543" s="5"/>
        <tr r="AF488" s="5"/>
        <tr r="AD538" s="5"/>
        <tr r="AE528" s="5"/>
        <tr r="AB548" s="5"/>
      </tp>
      <tp t="s">
        <v>#N/A N/A</v>
        <stp/>
        <stp>BDH|16495236590461316140</stp>
        <tr r="W86" s="5"/>
        <tr r="U136" s="5"/>
        <tr r="V126" s="5"/>
        <tr r="T141" s="5"/>
        <tr r="S146" s="5"/>
      </tp>
      <tp t="s">
        <v>#N/A N/A</v>
        <stp/>
        <stp>BDH|11249562734233410949</stp>
        <tr r="V761" s="5"/>
        <tr r="W721" s="5"/>
      </tp>
      <tp t="s">
        <v>#N/A N/A</v>
        <stp/>
        <stp>BDH|15408114544344343924</stp>
        <tr r="V655" s="5"/>
        <tr r="U665" s="5"/>
        <tr r="W615" s="5"/>
        <tr r="T670" s="5"/>
        <tr r="S675" s="5"/>
      </tp>
      <tp t="s">
        <v>#N/A N/A</v>
        <stp/>
        <stp>BDH|10413866251986562653</stp>
        <tr r="U278" s="5"/>
        <tr r="T283" s="5"/>
        <tr r="W228" s="5"/>
        <tr r="V268" s="5"/>
        <tr r="S288" s="5"/>
      </tp>
      <tp t="s">
        <v>#N/A N/A</v>
        <stp/>
        <stp>BDH|13048840604494566266</stp>
        <tr r="AE715" s="5"/>
        <tr r="AC730" s="5"/>
        <tr r="AD725" s="5"/>
        <tr r="AF675" s="5"/>
        <tr r="AB735" s="5"/>
      </tp>
      <tp t="s">
        <v>#N/A N/A</v>
        <stp/>
        <stp>BDH|14063386387642939051</stp>
        <tr r="T509" s="5"/>
        <tr r="U504" s="5"/>
        <tr r="W454" s="5"/>
        <tr r="V494" s="5"/>
        <tr r="S514" s="5"/>
      </tp>
      <tp t="s">
        <v>#N/A N/A</v>
        <stp/>
        <stp>BDH|14580942226797303579</stp>
        <tr r="AE533" s="5"/>
        <tr r="AF493" s="5"/>
        <tr r="AD543" s="5"/>
        <tr r="AC548" s="5"/>
        <tr r="AB553" s="5"/>
      </tp>
      <tp t="s">
        <v>#N/A N/A</v>
        <stp/>
        <stp>BDH|10523912497938254535</stp>
        <tr r="AC699" s="5"/>
        <tr r="AF644" s="5"/>
        <tr r="AD694" s="5"/>
        <tr r="AE684" s="5"/>
        <tr r="AB704" s="5"/>
      </tp>
      <tp t="s">
        <v>#N/A N/A</v>
        <stp/>
        <stp>BDH|16830816782139920205</stp>
        <tr r="AE586" s="5"/>
        <tr r="AC601" s="5"/>
        <tr r="AF546" s="5"/>
        <tr r="AD596" s="5"/>
        <tr r="AB606" s="5"/>
      </tp>
      <tp t="s">
        <v>#N/A N/A</v>
        <stp/>
        <stp>BDH|14950135178686254956</stp>
        <tr r="T441" s="5"/>
        <tr r="U436" s="5"/>
        <tr r="W386" s="5"/>
        <tr r="V426" s="5"/>
        <tr r="S446" s="5"/>
      </tp>
      <tp t="s">
        <v>#N/A N/A</v>
        <stp/>
        <stp>BDH|17376334086631374007</stp>
        <tr r="T326" s="5"/>
        <tr r="W271" s="5"/>
        <tr r="U321" s="5"/>
        <tr r="V311" s="5"/>
        <tr r="S331" s="5"/>
      </tp>
      <tp t="s">
        <v>#N/A N/A</v>
        <stp/>
        <stp>BDH|13196750948118898515</stp>
        <tr r="AD480" s="5"/>
        <tr r="AC485" s="5"/>
        <tr r="AE470" s="5"/>
        <tr r="AF430" s="5"/>
        <tr r="AB490" s="5"/>
      </tp>
      <tp t="s">
        <v>#N/A N/A</v>
        <stp/>
        <stp>BDH|17564372467517200825</stp>
        <tr r="V512" s="5"/>
        <tr r="T527" s="5"/>
        <tr r="U522" s="5"/>
        <tr r="W472" s="5"/>
        <tr r="S532" s="5"/>
      </tp>
      <tp t="s">
        <v>#N/A N/A</v>
        <stp/>
        <stp>BDH|14496802906508710910</stp>
        <tr r="V267" s="5"/>
        <tr r="U277" s="5"/>
        <tr r="T282" s="5"/>
        <tr r="W227" s="5"/>
        <tr r="S287" s="5"/>
      </tp>
      <tp t="s">
        <v>#N/A N/A</v>
        <stp/>
        <stp>BDH|10106140487776239248</stp>
        <tr r="AE326" s="5"/>
        <tr r="AF286" s="5"/>
        <tr r="AC341" s="5"/>
        <tr r="AD336" s="5"/>
        <tr r="AB346" s="5"/>
      </tp>
      <tp t="s">
        <v>#N/A N/A</v>
        <stp/>
        <stp>BDH|13288242592293077609</stp>
        <tr r="T231" s="5"/>
        <tr r="U226" s="5"/>
        <tr r="V216" s="5"/>
        <tr r="W176" s="5"/>
        <tr r="S236" s="5"/>
      </tp>
      <tp t="s">
        <v>#N/A N/A</v>
        <stp/>
        <stp>BDH|16299801758003590588</stp>
        <tr r="AF88" s="5"/>
        <tr r="AE128" s="5"/>
        <tr r="AC143" s="5"/>
        <tr r="AD138" s="5"/>
        <tr r="AB148" s="5"/>
      </tp>
      <tp t="s">
        <v>#N/A N/A</v>
        <stp/>
        <stp>BDH|12670963946262508047</stp>
        <tr r="W28" s="5"/>
        <tr r="V68" s="5"/>
        <tr r="T83" s="5"/>
        <tr r="U78" s="5"/>
        <tr r="S88" s="5"/>
      </tp>
      <tp t="s">
        <v>#N/A N/A</v>
        <stp/>
        <stp>BDH|16775792536627891861</stp>
        <tr r="U389" s="5"/>
        <tr r="V379" s="5"/>
        <tr r="T394" s="5"/>
        <tr r="W339" s="5"/>
        <tr r="S399" s="5"/>
      </tp>
      <tp t="s">
        <v>#N/A N/A</v>
        <stp/>
        <stp>BDH|11932431096608762929</stp>
        <tr r="AF479" s="5"/>
        <tr r="AC534" s="5"/>
        <tr r="AE519" s="5"/>
        <tr r="AD529" s="5"/>
        <tr r="AB539" s="5"/>
      </tp>
      <tp t="s">
        <v>#N/A N/A</v>
        <stp/>
        <stp>BDH|11780936911776450290</stp>
        <tr r="S23" s="5"/>
      </tp>
      <tp t="s">
        <v>#N/A N/A</v>
        <stp/>
        <stp>BDH|10053564222822846841</stp>
        <tr r="V129" s="5"/>
        <tr r="W89" s="5"/>
        <tr r="T144" s="5"/>
        <tr r="U139" s="5"/>
        <tr r="S149" s="5"/>
      </tp>
      <tp t="s">
        <v>#N/A N/A</v>
        <stp/>
        <stp>BDH|13837307800019158413</stp>
        <tr r="AD755" s="5"/>
        <tr r="AF705" s="5"/>
        <tr r="AE745" s="5"/>
        <tr r="AC760" s="5"/>
        <tr r="AB765" s="5"/>
      </tp>
      <tp t="s">
        <v>#N/A N/A</v>
        <stp/>
        <stp>BDH|14886529867223152940</stp>
        <tr r="W631" s="5"/>
        <tr r="V671" s="5"/>
        <tr r="T686" s="5"/>
        <tr r="U681" s="5"/>
        <tr r="S691" s="5"/>
      </tp>
      <tp t="s">
        <v>#N/A N/A</v>
        <stp/>
        <stp>BDH|10788303048002798806</stp>
        <tr r="T610" s="5"/>
        <tr r="U605" s="5"/>
        <tr r="V595" s="5"/>
        <tr r="W555" s="5"/>
        <tr r="S615" s="5"/>
      </tp>
      <tp t="s">
        <v>#N/A N/A</v>
        <stp/>
        <stp>BDH|16801828313941787351</stp>
        <tr r="V204" s="5"/>
        <tr r="T219" s="5"/>
        <tr r="W164" s="5"/>
        <tr r="U214" s="5"/>
        <tr r="S224" s="5"/>
      </tp>
      <tp t="s">
        <v>#N/A N/A</v>
        <stp/>
        <stp>BDH|10286986912254024132</stp>
        <tr r="AC630" s="5"/>
        <tr r="AE615" s="5"/>
        <tr r="AD625" s="5"/>
        <tr r="AF575" s="5"/>
        <tr r="AB635" s="5"/>
      </tp>
      <tp t="s">
        <v>#N/A N/A</v>
        <stp/>
        <stp>BDH|17128268680561547186</stp>
        <tr r="W637" s="5"/>
        <tr r="U687" s="5"/>
        <tr r="T692" s="5"/>
        <tr r="V677" s="5"/>
        <tr r="S697" s="5"/>
      </tp>
      <tp t="s">
        <v>#N/A N/A</v>
        <stp/>
        <stp>BDH|12803412780200534367</stp>
        <tr r="T717" s="5"/>
        <tr r="U712" s="5"/>
        <tr r="V702" s="5"/>
        <tr r="W662" s="5"/>
        <tr r="S722" s="5"/>
      </tp>
      <tp t="s">
        <v>#N/A N/A</v>
        <stp/>
        <stp>BDH|18050082626332022538</stp>
        <tr r="AC717" s="5"/>
        <tr r="AD712" s="5"/>
        <tr r="AE702" s="5"/>
        <tr r="AF662" s="5"/>
        <tr r="AB722" s="5"/>
      </tp>
      <tp t="s">
        <v>#N/A N/A</v>
        <stp/>
        <stp>BDH|14019896072774186257</stp>
        <tr r="V30" s="5"/>
        <tr r="T45" s="5"/>
        <tr r="U40" s="5"/>
        <tr r="S50" s="5"/>
      </tp>
      <tp t="s">
        <v>#N/A N/A</v>
        <stp/>
        <stp>BDH|18346119171480583393</stp>
        <tr r="AC491" s="5"/>
        <tr r="AF436" s="5"/>
        <tr r="AE476" s="5"/>
        <tr r="AD486" s="5"/>
        <tr r="AB496" s="5"/>
      </tp>
      <tp t="s">
        <v>#N/A N/A</v>
        <stp/>
        <stp>BDH|10744253512709884779</stp>
        <tr r="V196" s="5"/>
        <tr r="U206" s="5"/>
        <tr r="T211" s="5"/>
        <tr r="W157" s="5"/>
        <tr r="S216" s="5"/>
      </tp>
      <tp t="s">
        <v>#N/A N/A</v>
        <stp/>
        <stp>BDH|16415643618068698401</stp>
        <tr r="T124" s="5"/>
        <tr r="V109" s="5"/>
        <tr r="U119" s="5"/>
        <tr r="W69" s="5"/>
        <tr r="S129" s="5"/>
      </tp>
      <tp t="s">
        <v>#N/A N/A</v>
        <stp/>
        <stp>BDH|15073997201510206145</stp>
        <tr r="V762" s="5"/>
        <tr r="W722" s="5"/>
      </tp>
      <tp t="s">
        <v>#N/A N/A</v>
        <stp/>
        <stp>BDH|14377663503737842800</stp>
        <tr r="W671" s="5"/>
        <tr r="T726" s="5"/>
        <tr r="V711" s="5"/>
        <tr r="U721" s="5"/>
        <tr r="S731" s="5"/>
      </tp>
      <tp t="s">
        <v>#N/A N/A</v>
        <stp/>
        <stp>BDH|16379457495546840057</stp>
        <tr r="AC676" s="5"/>
        <tr r="AD671" s="5"/>
        <tr r="AF621" s="5"/>
        <tr r="AE661" s="5"/>
        <tr r="AB681" s="5"/>
      </tp>
      <tp t="s">
        <v>#N/A N/A</v>
        <stp/>
        <stp>BDH|16581244844773683129</stp>
        <tr r="AB23" s="5"/>
      </tp>
      <tp t="s">
        <v>#N/A N/A</v>
        <stp/>
        <stp>BDH|10351406138202831728</stp>
        <tr r="W767" s="5"/>
      </tp>
      <tp t="s">
        <v>#N/A N/A</v>
        <stp/>
        <stp>BDH|10122580249312179109</stp>
        <tr r="AC432" s="5"/>
        <tr r="AD427" s="5"/>
        <tr r="AF377" s="5"/>
        <tr r="AE417" s="5"/>
        <tr r="AB437" s="5"/>
      </tp>
      <tp t="s">
        <v>#N/A N/A</v>
        <stp/>
        <stp>BDH|12132003541100856494</stp>
        <tr r="AC626" s="5"/>
        <tr r="AE611" s="5"/>
        <tr r="AD621" s="5"/>
        <tr r="AF571" s="5"/>
        <tr r="AB631" s="5"/>
      </tp>
      <tp t="s">
        <v>#N/A N/A</v>
        <stp/>
        <stp>BDH|10546924162608096548</stp>
        <tr r="AD502" s="5"/>
        <tr r="AF452" s="5"/>
        <tr r="AE492" s="5"/>
        <tr r="AC507" s="5"/>
        <tr r="AB512" s="5"/>
      </tp>
      <tp t="s">
        <v>#N/A N/A</v>
        <stp/>
        <stp>BDH|17074841700428488507</stp>
        <tr r="AD509" s="5"/>
        <tr r="AE499" s="5"/>
        <tr r="AF459" s="5"/>
        <tr r="AC514" s="5"/>
        <tr r="AB519" s="5"/>
      </tp>
      <tp t="s">
        <v>#N/A N/A</v>
        <stp/>
        <stp>BDH|13281261731333237379</stp>
        <tr r="AF542" s="5"/>
        <tr r="AC597" s="5"/>
        <tr r="AD592" s="5"/>
        <tr r="AE582" s="5"/>
        <tr r="AB602" s="5"/>
      </tp>
      <tp t="s">
        <v>#N/A N/A</v>
        <stp/>
        <stp>BDH|12499398445071296690</stp>
        <tr r="W590" s="5"/>
        <tr r="V630" s="5"/>
        <tr r="T645" s="5"/>
        <tr r="U640" s="5"/>
        <tr r="S650" s="5"/>
      </tp>
      <tp t="s">
        <v>#N/A N/A</v>
        <stp/>
        <stp>BDH|11887201408569234810</stp>
        <tr r="AE229" s="5"/>
        <tr r="AC244" s="5"/>
        <tr r="AF189" s="5"/>
        <tr r="AD239" s="5"/>
        <tr r="AB249" s="5"/>
      </tp>
      <tp t="s">
        <v>#N/A N/A</v>
        <stp/>
        <stp>BDH|17121022249406890712</stp>
        <tr r="V744" s="5"/>
        <tr r="W704" s="5"/>
        <tr r="T759" s="5"/>
        <tr r="U754" s="5"/>
        <tr r="S764" s="5"/>
      </tp>
      <tp t="s">
        <v>#N/A N/A</v>
        <stp/>
        <stp>BDH|16494145936364722223</stp>
        <tr r="AE180" s="5"/>
        <tr r="AD190" s="5"/>
        <tr r="AC195" s="5"/>
        <tr r="AF141" s="5"/>
        <tr r="AB200" s="5"/>
      </tp>
      <tp t="s">
        <v>#N/A N/A</v>
        <stp/>
        <stp>BDH|11885297136806587411</stp>
        <tr r="U647" s="5"/>
        <tr r="V637" s="5"/>
        <tr r="W597" s="5"/>
        <tr r="T652" s="5"/>
        <tr r="S657" s="5"/>
      </tp>
      <tp t="s">
        <v>#N/A N/A</v>
        <stp/>
        <stp>BDH|15887778207661829139</stp>
        <tr r="T425" s="5"/>
        <tr r="W370" s="5"/>
        <tr r="U420" s="5"/>
        <tr r="V410" s="5"/>
        <tr r="S430" s="5"/>
      </tp>
      <tp t="s">
        <v>#N/A N/A</v>
        <stp/>
        <stp>BDH|17099159197824916988</stp>
        <tr r="V367" s="5"/>
        <tr r="T382" s="5"/>
        <tr r="U377" s="5"/>
        <tr r="W327" s="5"/>
        <tr r="S387" s="5"/>
      </tp>
      <tp t="s">
        <v>#N/A N/A</v>
        <stp/>
        <stp>BDH|17204243590127631931</stp>
        <tr r="T197" s="5"/>
        <tr r="V182" s="5"/>
        <tr r="W143" s="5"/>
        <tr r="U192" s="5"/>
        <tr r="S202" s="5"/>
      </tp>
      <tp t="s">
        <v>#N/A N/A</v>
        <stp/>
        <stp>BDH|12092644631404324141</stp>
        <tr r="AC715" s="5"/>
        <tr r="AD710" s="5"/>
        <tr r="AF660" s="5"/>
        <tr r="AE700" s="5"/>
        <tr r="AB720" s="5"/>
      </tp>
      <tp t="s">
        <v>#N/A N/A</v>
        <stp/>
        <stp>BDH|11143049262660013555</stp>
        <tr r="AF735" s="5"/>
      </tp>
      <tp t="s">
        <v>#N/A N/A</v>
        <stp/>
        <stp>BDH|15357615127505039670</stp>
        <tr r="AC457" s="5"/>
        <tr r="AF402" s="5"/>
        <tr r="AD452" s="5"/>
        <tr r="AE442" s="5"/>
        <tr r="AB462" s="5"/>
      </tp>
      <tp t="s">
        <v>#N/A N/A</v>
        <stp/>
        <stp>BDH|15210425374916830290</stp>
        <tr r="AE766" s="5"/>
        <tr r="AF726" s="5"/>
      </tp>
      <tp t="s">
        <v>#N/A N/A</v>
        <stp/>
        <stp>BDH|17920304731812453796</stp>
        <tr r="AC509" s="5"/>
        <tr r="AD504" s="5"/>
        <tr r="AF454" s="5"/>
        <tr r="AE494" s="5"/>
        <tr r="AB514" s="5"/>
      </tp>
      <tp t="s">
        <v>#N/A N/A</v>
        <stp/>
        <stp>BDH|14282485839448131976</stp>
        <tr r="AD252" s="5"/>
        <tr r="AC257" s="5"/>
        <tr r="AE242" s="5"/>
        <tr r="AF202" s="5"/>
        <tr r="AB262" s="5"/>
      </tp>
      <tp t="s">
        <v>#N/A N/A</v>
        <stp/>
        <stp>BDH|16620626743891571777</stp>
        <tr r="T701" s="5"/>
        <tr r="W646" s="5"/>
        <tr r="V686" s="5"/>
        <tr r="U696" s="5"/>
        <tr r="S706" s="5"/>
      </tp>
      <tp t="s">
        <v>#N/A N/A</v>
        <stp/>
        <stp>BDH|13846696124247846284</stp>
        <tr r="W747" s="5"/>
      </tp>
      <tp t="s">
        <v>#N/A N/A</v>
        <stp/>
        <stp>BDH|15749131783249542760</stp>
        <tr r="AC194" s="5"/>
        <tr r="AF140" s="5"/>
        <tr r="AD189" s="5"/>
        <tr r="AE179" s="5"/>
        <tr r="AB199" s="5"/>
      </tp>
      <tp t="s">
        <v>#N/A N/A</v>
        <stp/>
        <stp>BDH|14979415401310849254</stp>
        <tr r="AD97" s="5"/>
        <tr r="AC102" s="5"/>
        <tr r="AE87" s="5"/>
        <tr r="AF47" s="5"/>
        <tr r="AB107" s="5"/>
      </tp>
      <tp t="s">
        <v>#N/A N/A</v>
        <stp/>
        <stp>BDH|16323874896436468322</stp>
        <tr r="AF598" s="5"/>
        <tr r="AC653" s="5"/>
        <tr r="AD648" s="5"/>
        <tr r="AE638" s="5"/>
        <tr r="AB658" s="5"/>
      </tp>
      <tp t="s">
        <v>#N/A N/A</v>
        <stp/>
        <stp>BDH|12750487517376946350</stp>
        <tr r="W701" s="5"/>
        <tr r="U751" s="5"/>
        <tr r="V741" s="5"/>
        <tr r="T756" s="5"/>
        <tr r="S761" s="5"/>
      </tp>
      <tp t="s">
        <v>#N/A N/A</v>
        <stp/>
        <stp>BDH|10397911483375302652</stp>
        <tr r="W588" s="5"/>
        <tr r="V628" s="5"/>
        <tr r="T643" s="5"/>
        <tr r="U638" s="5"/>
        <tr r="S648" s="5"/>
      </tp>
      <tp t="s">
        <v>#N/A N/A</v>
        <stp/>
        <stp>BDH|14521354819862977671</stp>
        <tr r="W695" s="5"/>
        <tr r="V735" s="5"/>
        <tr r="T750" s="5"/>
        <tr r="U745" s="5"/>
        <tr r="S755" s="5"/>
      </tp>
      <tp t="s">
        <v>#N/A N/A</v>
        <stp/>
        <stp>BDH|13729257253575606302</stp>
        <tr r="AD148" s="5"/>
        <tr r="AC153" s="5"/>
        <tr r="AE138" s="5"/>
        <tr r="AF98" s="5"/>
        <tr r="AB158" s="5"/>
      </tp>
      <tp t="s">
        <v>#N/A N/A</v>
        <stp/>
        <stp>BDH|13111000318335808563</stp>
        <tr r="AC233" s="5"/>
        <tr r="AE218" s="5"/>
        <tr r="AF178" s="5"/>
        <tr r="AD228" s="5"/>
        <tr r="AB238" s="5"/>
      </tp>
      <tp t="s">
        <v>#N/A N/A</v>
        <stp/>
        <stp>BDH|11520067244542665567</stp>
        <tr r="T737" s="5"/>
        <tr r="V722" s="5"/>
        <tr r="W682" s="5"/>
        <tr r="U732" s="5"/>
        <tr r="S742" s="5"/>
      </tp>
      <tp t="s">
        <v>#N/A N/A</v>
        <stp/>
        <stp>BDH|10809043259606001120</stp>
        <tr r="AF579" s="5"/>
        <tr r="AE619" s="5"/>
        <tr r="AC634" s="5"/>
        <tr r="AD629" s="5"/>
        <tr r="AB639" s="5"/>
      </tp>
      <tp t="s">
        <v>#N/A N/A</v>
        <stp/>
        <stp>BDH|14942979955142459890</stp>
        <tr r="U673" s="5"/>
        <tr r="T678" s="5"/>
        <tr r="V663" s="5"/>
        <tr r="W623" s="5"/>
        <tr r="S683" s="5"/>
      </tp>
      <tp t="s">
        <v>#N/A N/A</v>
        <stp/>
        <stp>BDH|13156404046538214938</stp>
        <tr r="W432" s="5"/>
        <tr r="V472" s="5"/>
        <tr r="T487" s="5"/>
        <tr r="U482" s="5"/>
        <tr r="S492" s="5"/>
      </tp>
      <tp t="s">
        <v>#N/A N/A</v>
        <stp/>
        <stp>BDH|16786159435812105408</stp>
        <tr r="AF358" s="5"/>
        <tr r="AE398" s="5"/>
        <tr r="AD408" s="5"/>
        <tr r="AC413" s="5"/>
        <tr r="AB418" s="5"/>
      </tp>
      <tp t="s">
        <v>#N/A N/A</v>
        <stp/>
        <stp>BDH|11863644305174777179</stp>
        <tr r="AC35" s="5"/>
        <tr r="AD30" s="5"/>
        <tr r="AB40" s="5"/>
      </tp>
      <tp t="s">
        <v>#N/A N/A</v>
        <stp/>
        <stp>BDH|14507945928619968495</stp>
        <tr r="U109" s="5"/>
        <tr r="T114" s="5"/>
        <tr r="W59" s="5"/>
        <tr r="V99" s="5"/>
        <tr r="S119" s="5"/>
      </tp>
      <tp t="s">
        <v>#N/A N/A</v>
        <stp/>
        <stp>BDH|11934255254107285325</stp>
        <tr r="V430" s="5"/>
        <tr r="T445" s="5"/>
        <tr r="W390" s="5"/>
        <tr r="U440" s="5"/>
        <tr r="S450" s="5"/>
      </tp>
      <tp t="s">
        <v>#N/A N/A</v>
        <stp/>
        <stp>BDH|12225659526280889412</stp>
        <tr r="AD155" s="5"/>
        <tr r="AF105" s="5"/>
        <tr r="AE145" s="5"/>
        <tr r="AB164" s="5"/>
      </tp>
      <tp t="s">
        <v>#N/A N/A</v>
        <stp/>
        <stp>BDH|11451179123650895003</stp>
        <tr r="AC667" s="5"/>
        <tr r="AE652" s="5"/>
        <tr r="AF612" s="5"/>
        <tr r="AD662" s="5"/>
        <tr r="AB672" s="5"/>
      </tp>
      <tp t="s">
        <v>#N/A N/A</v>
        <stp/>
        <stp>BDH|14330590530583779354</stp>
        <tr r="AD647" s="5"/>
        <tr r="AE637" s="5"/>
        <tr r="AF597" s="5"/>
        <tr r="AC652" s="5"/>
        <tr r="AB657" s="5"/>
      </tp>
      <tp t="s">
        <v>#N/A N/A</v>
        <stp/>
        <stp>BDH|14906420144473504520</stp>
        <tr r="AF149" s="5"/>
        <tr r="AC203" s="5"/>
        <tr r="AE188" s="5"/>
        <tr r="AD198" s="5"/>
        <tr r="AB208" s="5"/>
      </tp>
      <tp t="s">
        <v>#N/A N/A</v>
        <stp/>
        <stp>BDH|15752785669301964740</stp>
        <tr r="U723" s="5"/>
        <tr r="W673" s="5"/>
        <tr r="V713" s="5"/>
        <tr r="T728" s="5"/>
        <tr r="S733" s="5"/>
      </tp>
      <tp t="s">
        <v>#N/A N/A</v>
        <stp/>
        <stp>BDH|16274192511852773675</stp>
        <tr r="W700" s="5"/>
        <tr r="T755" s="5"/>
        <tr r="V740" s="5"/>
        <tr r="U750" s="5"/>
        <tr r="S760" s="5"/>
      </tp>
      <tp t="s">
        <v>#N/A N/A</v>
        <stp/>
        <stp>BDH|10572203934360986321</stp>
        <tr r="AE261" s="5"/>
        <tr r="AF221" s="5"/>
        <tr r="AD271" s="5"/>
        <tr r="AC276" s="5"/>
        <tr r="AB281" s="5"/>
      </tp>
      <tp t="s">
        <v>#N/A N/A</v>
        <stp/>
        <stp>BDH|14825590363163974613</stp>
        <tr r="AD183" s="5"/>
        <tr r="AC188" s="5"/>
        <tr r="AE173" s="5"/>
        <tr r="AF134" s="5"/>
        <tr r="AB193" s="5"/>
      </tp>
      <tp t="s">
        <v>#N/A N/A</v>
        <stp/>
        <stp>BDH|10604755874745929744</stp>
        <tr r="U45" s="5"/>
        <tr r="T50" s="5"/>
        <tr r="V35" s="5"/>
        <tr r="S55" s="5"/>
      </tp>
      <tp t="s">
        <v>#N/A N/A</v>
        <stp/>
        <stp>BDH|16572290351064985790</stp>
        <tr r="AF229" s="5"/>
        <tr r="AC284" s="5"/>
        <tr r="AD279" s="5"/>
        <tr r="AE269" s="5"/>
        <tr r="AB289" s="5"/>
      </tp>
      <tp t="s">
        <v>#N/A N/A</v>
        <stp/>
        <stp>BDH|14596069157676971500</stp>
        <tr r="W357" s="5"/>
        <tr r="T412" s="5"/>
        <tr r="U407" s="5"/>
        <tr r="V397" s="5"/>
        <tr r="S417" s="5"/>
      </tp>
      <tp t="s">
        <v>#N/A N/A</v>
        <stp/>
        <stp>BDH|10636793898768928429</stp>
        <tr r="T310" s="5"/>
        <tr r="W255" s="5"/>
        <tr r="V295" s="5"/>
        <tr r="U305" s="5"/>
        <tr r="S315" s="5"/>
      </tp>
      <tp t="s">
        <v>#N/A N/A</v>
        <stp/>
        <stp>BDH|13909073454242350654</stp>
        <tr r="V487" s="5"/>
        <tr r="T502" s="5"/>
        <tr r="W447" s="5"/>
        <tr r="U497" s="5"/>
        <tr r="S507" s="5"/>
      </tp>
      <tp t="s">
        <v>#N/A N/A</v>
        <stp/>
        <stp>BDH|17836710618894998742</stp>
        <tr r="AC292" s="5"/>
        <tr r="AD287" s="5"/>
        <tr r="AF237" s="5"/>
        <tr r="AE277" s="5"/>
        <tr r="AB297" s="5"/>
      </tp>
      <tp t="s">
        <v>#N/A N/A</v>
        <stp/>
        <stp>BDH|16405126290404828827</stp>
        <tr r="V667" s="5"/>
        <tr r="T682" s="5"/>
        <tr r="W627" s="5"/>
        <tr r="U677" s="5"/>
        <tr r="S687" s="5"/>
      </tp>
      <tp t="s">
        <v>#N/A N/A</v>
        <stp/>
        <stp>BDH|13424409073593054182</stp>
        <tr r="U645" s="5"/>
        <tr r="V635" s="5"/>
        <tr r="T650" s="5"/>
        <tr r="W595" s="5"/>
        <tr r="S655" s="5"/>
      </tp>
      <tp t="s">
        <v>#N/A N/A</v>
        <stp/>
        <stp>BDH|16883461813860239101</stp>
        <tr r="AF366" s="5"/>
        <tr r="AC421" s="5"/>
        <tr r="AD416" s="5"/>
        <tr r="AE406" s="5"/>
        <tr r="AB426" s="5"/>
      </tp>
      <tp t="s">
        <v>#N/A N/A</v>
        <stp/>
        <stp>BDH|11612817371549174587</stp>
        <tr r="V428" s="5"/>
        <tr r="U438" s="5"/>
        <tr r="T443" s="5"/>
        <tr r="W388" s="5"/>
        <tr r="S448" s="5"/>
      </tp>
      <tp t="s">
        <v>#N/A N/A</v>
        <stp/>
        <stp>BDH|16805723513767449526</stp>
        <tr r="AF391" s="5"/>
        <tr r="AE431" s="5"/>
        <tr r="AC446" s="5"/>
        <tr r="AD441" s="5"/>
        <tr r="AB451" s="5"/>
      </tp>
      <tp t="s">
        <v>#N/A N/A</v>
        <stp/>
        <stp>BDH|16440556953647841348</stp>
        <tr r="U622" s="5"/>
        <tr r="V612" s="5"/>
        <tr r="W572" s="5"/>
        <tr r="T627" s="5"/>
        <tr r="S632" s="5"/>
      </tp>
      <tp t="s">
        <v>#N/A N/A</v>
        <stp/>
        <stp>BDH|11071294314534158427</stp>
        <tr r="AF620" s="5"/>
        <tr r="AD670" s="5"/>
        <tr r="AC675" s="5"/>
        <tr r="AE660" s="5"/>
        <tr r="AB680" s="5"/>
      </tp>
      <tp t="s">
        <v>#N/A N/A</v>
        <stp/>
        <stp>BDH|12690431903981098473</stp>
        <tr r="AD630" s="5"/>
        <tr r="AE620" s="5"/>
        <tr r="AC635" s="5"/>
        <tr r="AF580" s="5"/>
        <tr r="AB640" s="5"/>
      </tp>
      <tp t="s">
        <v>#N/A N/A</v>
        <stp/>
        <stp>BDH|18034222569619246688</stp>
        <tr r="AE321" s="5"/>
        <tr r="AF281" s="5"/>
        <tr r="AC336" s="5"/>
        <tr r="AD331" s="5"/>
        <tr r="AB341" s="5"/>
      </tp>
      <tp t="s">
        <v>#N/A N/A</v>
        <stp/>
        <stp>BDH|16369403732890129216</stp>
        <tr r="V104" s="5"/>
        <tr r="W64" s="5"/>
        <tr r="T119" s="5"/>
        <tr r="U114" s="5"/>
        <tr r="S124" s="5"/>
      </tp>
      <tp t="s">
        <v>#N/A N/A</v>
        <stp/>
        <stp>BDH|17030159755366635673</stp>
        <tr r="AF292" s="5"/>
        <tr r="AE332" s="5"/>
        <tr r="AC347" s="5"/>
        <tr r="AD342" s="5"/>
        <tr r="AB352" s="5"/>
      </tp>
      <tp t="s">
        <v>#N/A N/A</v>
        <stp/>
        <stp>BDH|14589555555810085745</stp>
        <tr r="V146" s="5"/>
        <tr r="U156" s="5"/>
        <tr r="T160" s="5"/>
        <tr r="W106" s="5"/>
        <tr r="S165" s="5"/>
      </tp>
      <tp t="s">
        <v>#N/A N/A</v>
        <stp/>
        <stp>BDH|15600143438383288794</stp>
        <tr r="V261" s="5"/>
        <tr r="W221" s="5"/>
        <tr r="U271" s="5"/>
        <tr r="T276" s="5"/>
        <tr r="S281" s="5"/>
      </tp>
      <tp t="s">
        <v>#N/A N/A</v>
        <stp/>
        <stp>BDH|12762236195558363230</stp>
        <tr r="W518" s="5"/>
        <tr r="V558" s="5"/>
        <tr r="U568" s="5"/>
        <tr r="T573" s="5"/>
        <tr r="S578" s="5"/>
      </tp>
      <tp t="s">
        <v>#N/A N/A</v>
        <stp/>
        <stp>BDH|17214339898247119984</stp>
        <tr r="AE535" s="5"/>
        <tr r="AF495" s="5"/>
        <tr r="AD545" s="5"/>
        <tr r="AC550" s="5"/>
        <tr r="AB555" s="5"/>
      </tp>
      <tp t="s">
        <v>#N/A N/A</v>
        <stp/>
        <stp>BDH|15495167128214357197</stp>
        <tr r="W703" s="5"/>
        <tr r="V743" s="5"/>
        <tr r="T758" s="5"/>
        <tr r="U753" s="5"/>
        <tr r="S763" s="5"/>
      </tp>
      <tp t="s">
        <v>#N/A N/A</v>
        <stp/>
        <stp>BDH|17576923886631377424</stp>
        <tr r="W100" s="5"/>
        <tr r="U150" s="5"/>
        <tr r="T155" s="5"/>
        <tr r="V140" s="5"/>
      </tp>
      <tp t="s">
        <v>#N/A N/A</v>
        <stp/>
        <stp>BDH|14888466823024884568</stp>
        <tr r="W145" s="5"/>
        <tr r="T199" s="5"/>
        <tr r="U194" s="5"/>
        <tr r="V184" s="5"/>
        <tr r="S204" s="5"/>
      </tp>
      <tp t="s">
        <v>#N/A N/A</v>
        <stp/>
        <stp>BDH|10063634620153965493</stp>
        <tr r="AF330" s="5"/>
        <tr r="AE370" s="5"/>
        <tr r="AD380" s="5"/>
        <tr r="AC385" s="5"/>
        <tr r="AB390" s="5"/>
      </tp>
      <tp t="s">
        <v>#N/A N/A</v>
        <stp/>
        <stp>BDH|14068457078916745286</stp>
        <tr r="AD734" s="5"/>
        <tr r="AC739" s="5"/>
        <tr r="AE724" s="5"/>
        <tr r="AF684" s="5"/>
        <tr r="AB744" s="5"/>
      </tp>
      <tp t="s">
        <v>#N/A N/A</v>
        <stp/>
        <stp>BDH|13830123476826838065</stp>
        <tr r="U317" s="5"/>
        <tr r="W267" s="5"/>
        <tr r="V307" s="5"/>
        <tr r="T322" s="5"/>
        <tr r="S327" s="5"/>
      </tp>
      <tp t="s">
        <v>#N/A N/A</v>
        <stp/>
        <stp>BDH|10664814730300758828</stp>
        <tr r="V712" s="5"/>
        <tr r="W672" s="5"/>
        <tr r="T727" s="5"/>
        <tr r="U722" s="5"/>
        <tr r="S732" s="5"/>
      </tp>
      <tp t="s">
        <v>#N/A N/A</v>
        <stp/>
        <stp>BDH|13621964185410492137</stp>
        <tr r="T252" s="5"/>
        <tr r="W197" s="5"/>
        <tr r="V237" s="5"/>
        <tr r="U247" s="5"/>
        <tr r="S257" s="5"/>
      </tp>
      <tp t="s">
        <v>#N/A N/A</v>
        <stp/>
        <stp>BDH|18267156002103184965</stp>
        <tr r="AE28" s="5"/>
        <tr r="AC43" s="5"/>
        <tr r="AD38" s="5"/>
        <tr r="AB48" s="5"/>
      </tp>
      <tp t="s">
        <v>#N/A N/A</v>
        <stp/>
        <stp>BDH|17516518107574987587</stp>
        <tr r="U77" s="5"/>
        <tr r="T82" s="5"/>
        <tr r="V67" s="5"/>
        <tr r="W27" s="5"/>
        <tr r="S87" s="5"/>
      </tp>
      <tp t="s">
        <v>#N/A N/A</v>
        <stp/>
        <stp>BDH|17042604267197536302</stp>
        <tr r="U537" s="5"/>
        <tr r="V527" s="5"/>
        <tr r="T542" s="5"/>
        <tr r="W487" s="5"/>
        <tr r="S547" s="5"/>
      </tp>
      <tp t="s">
        <v>#N/A N/A</v>
        <stp/>
        <stp>BDH|13070228623306109657</stp>
        <tr r="W326" s="5"/>
        <tr r="V366" s="5"/>
        <tr r="U376" s="5"/>
        <tr r="T381" s="5"/>
        <tr r="S386" s="5"/>
      </tp>
      <tp t="s">
        <v>#N/A N/A</v>
        <stp/>
        <stp>BDH|12053649343071227205</stp>
        <tr r="AF736" s="5"/>
      </tp>
      <tp t="s">
        <v>#N/A N/A</v>
        <stp/>
        <stp>BDH|13027824686276558643</stp>
        <tr r="U201" s="5"/>
        <tr r="T206" s="5"/>
        <tr r="V191" s="5"/>
        <tr r="W152" s="5"/>
        <tr r="S211" s="5"/>
      </tp>
      <tp t="s">
        <v>#N/A N/A</v>
        <stp/>
        <stp>BDH|11656187453910893607</stp>
        <tr r="W159" s="5"/>
        <tr r="U208" s="5"/>
        <tr r="V198" s="5"/>
        <tr r="T213" s="5"/>
        <tr r="S218" s="5"/>
      </tp>
      <tp t="s">
        <v>#N/A N/A</v>
        <stp/>
        <stp>BDH|16506606648826043190</stp>
        <tr r="W729" s="5"/>
      </tp>
      <tp t="s">
        <v>#N/A N/A</v>
        <stp/>
        <stp>BDH|14640929292225652244</stp>
        <tr r="W733" s="5"/>
      </tp>
      <tp t="s">
        <v>#N/A N/A</v>
        <stp/>
        <stp>BDH|17593832883274720069</stp>
        <tr r="V606" s="5"/>
        <tr r="T621" s="5"/>
        <tr r="U616" s="5"/>
        <tr r="W566" s="5"/>
        <tr r="S626" s="5"/>
      </tp>
      <tp t="s">
        <v>#N/A N/A</v>
        <stp/>
        <stp>BDH|12455921823483893998</stp>
        <tr r="AC633" s="5"/>
        <tr r="AF578" s="5"/>
        <tr r="AD628" s="5"/>
        <tr r="AE618" s="5"/>
        <tr r="AB638" s="5"/>
      </tp>
      <tp t="s">
        <v>#N/A N/A</v>
        <stp/>
        <stp>BDH|15250579756237224163</stp>
        <tr r="W755" s="5"/>
      </tp>
      <tp t="s">
        <v>#N/A N/A</v>
        <stp/>
        <stp>BDH|12041921199689462888</stp>
        <tr r="AF344" s="5"/>
        <tr r="AE384" s="5"/>
        <tr r="AC399" s="5"/>
        <tr r="AD394" s="5"/>
        <tr r="AB404" s="5"/>
      </tp>
      <tp t="s">
        <v>#N/A N/A</v>
        <stp/>
        <stp>BDH|17774133032414000215</stp>
        <tr r="AC617" s="5"/>
        <tr r="AF562" s="5"/>
        <tr r="AE602" s="5"/>
        <tr r="AD612" s="5"/>
        <tr r="AB622" s="5"/>
      </tp>
      <tp t="s">
        <v>#N/A N/A</v>
        <stp/>
        <stp>BDH|14414652267417773065</stp>
        <tr r="AF663" s="5"/>
        <tr r="AE703" s="5"/>
        <tr r="AC718" s="5"/>
        <tr r="AD713" s="5"/>
        <tr r="AB723" s="5"/>
      </tp>
      <tp t="s">
        <v>#N/A N/A</v>
        <stp/>
        <stp>BDH|16502708515046020562</stp>
        <tr r="V597" s="5"/>
        <tr r="T612" s="5"/>
        <tr r="U607" s="5"/>
        <tr r="W557" s="5"/>
        <tr r="S617" s="5"/>
      </tp>
      <tp t="s">
        <v>#N/A N/A</v>
        <stp/>
        <stp>BDH|11958467518436000110</stp>
        <tr r="AE389" s="5"/>
        <tr r="AC404" s="5"/>
        <tr r="AF349" s="5"/>
        <tr r="AD399" s="5"/>
        <tr r="AB409" s="5"/>
      </tp>
      <tp t="s">
        <v>#N/A N/A</v>
        <stp/>
        <stp>BDH|10213237445502210707</stp>
        <tr r="AF93" s="5"/>
        <tr r="AD143" s="5"/>
        <tr r="AE133" s="5"/>
        <tr r="AC148" s="5"/>
        <tr r="AB153" s="5"/>
      </tp>
      <tp t="s">
        <v>#N/A N/A</v>
        <stp/>
        <stp>BDH|13514437749337715713</stp>
        <tr r="AD210" s="5"/>
        <tr r="AE200" s="5"/>
        <tr r="AC215" s="5"/>
        <tr r="AF160" s="5"/>
        <tr r="AB220" s="5"/>
      </tp>
      <tp t="s">
        <v>#N/A N/A</v>
        <stp/>
        <stp>BDH|10298213366943927442</stp>
        <tr r="AF549" s="5"/>
        <tr r="AC604" s="5"/>
        <tr r="AD599" s="5"/>
        <tr r="AE589" s="5"/>
        <tr r="AB609" s="5"/>
      </tp>
      <tp t="s">
        <v>#N/A N/A</v>
        <stp/>
        <stp>BDH|12996709548994226683</stp>
        <tr r="AC409" s="5"/>
        <tr r="AE394" s="5"/>
        <tr r="AF354" s="5"/>
        <tr r="AD404" s="5"/>
        <tr r="AB414" s="5"/>
      </tp>
      <tp t="s">
        <v>#N/A N/A</v>
        <stp/>
        <stp>BDH|14761133076549923801</stp>
        <tr r="AC669" s="5"/>
        <tr r="AF614" s="5"/>
        <tr r="AE654" s="5"/>
        <tr r="AD664" s="5"/>
        <tr r="AB674" s="5"/>
      </tp>
      <tp t="s">
        <v>#N/A N/A</v>
        <stp/>
        <stp>BDH|14776992877838023128</stp>
        <tr r="V543" s="5"/>
        <tr r="T558" s="5"/>
        <tr r="W503" s="5"/>
        <tr r="U553" s="5"/>
        <tr r="S563" s="5"/>
      </tp>
      <tp t="s">
        <v>#N/A N/A</v>
        <stp/>
        <stp>BDH|16884179773277799411</stp>
        <tr r="AD326" s="5"/>
        <tr r="AE316" s="5"/>
        <tr r="AC331" s="5"/>
        <tr r="AF276" s="5"/>
        <tr r="AB336" s="5"/>
      </tp>
      <tp t="s">
        <v>#N/A N/A</v>
        <stp/>
        <stp>BDH|11861752516730282435</stp>
        <tr r="V304" s="5"/>
        <tr r="T319" s="5"/>
        <tr r="W264" s="5"/>
        <tr r="U314" s="5"/>
        <tr r="S324" s="5"/>
      </tp>
      <tp t="s">
        <v>#N/A N/A</v>
        <stp/>
        <stp>BDH|11271864883883533188</stp>
        <tr r="AF241" s="5"/>
        <tr r="AC296" s="5"/>
        <tr r="AD291" s="5"/>
        <tr r="AE281" s="5"/>
        <tr r="AB301" s="5"/>
      </tp>
      <tp t="s">
        <v>#N/A N/A</v>
        <stp/>
        <stp>BDH|18400423879379701126</stp>
        <tr r="V662" s="5"/>
        <tr r="U672" s="5"/>
        <tr r="T677" s="5"/>
        <tr r="W622" s="5"/>
        <tr r="S682" s="5"/>
      </tp>
      <tp t="s">
        <v>#N/A N/A</v>
        <stp/>
        <stp>BDH|13845685834905685086</stp>
        <tr r="AF278" s="5"/>
        <tr r="AD328" s="5"/>
        <tr r="AC333" s="5"/>
        <tr r="AE318" s="5"/>
        <tr r="AB338" s="5"/>
      </tp>
      <tp t="s">
        <v>#N/A N/A</v>
        <stp/>
        <stp>BDH|18275330546988439498</stp>
        <tr r="T339" s="5"/>
        <tr r="W284" s="5"/>
        <tr r="V324" s="5"/>
        <tr r="U334" s="5"/>
        <tr r="S344" s="5"/>
      </tp>
      <tp t="s">
        <v>#N/A N/A</v>
        <stp/>
        <stp>BDH|17135398707901537605</stp>
        <tr r="V726" s="5"/>
        <tr r="U736" s="5"/>
        <tr r="T741" s="5"/>
        <tr r="W686" s="5"/>
        <tr r="S746" s="5"/>
      </tp>
      <tp t="s">
        <v>#N/A N/A</v>
        <stp/>
        <stp>BDH|16754428996069959172</stp>
        <tr r="T676" s="5"/>
        <tr r="U671" s="5"/>
        <tr r="W621" s="5"/>
        <tr r="V661" s="5"/>
        <tr r="S681" s="5"/>
      </tp>
      <tp t="s">
        <v>#N/A N/A</v>
        <stp/>
        <stp>BDH|17406583205929513815</stp>
        <tr r="V51" s="5"/>
        <tr r="U61" s="5"/>
        <tr r="T66" s="5"/>
        <tr r="S71" s="5"/>
      </tp>
      <tp t="s">
        <v>#N/A N/A</v>
        <stp/>
        <stp>BDH|10549093515442572017</stp>
        <tr r="W556" s="5"/>
        <tr r="V596" s="5"/>
        <tr r="T611" s="5"/>
        <tr r="U606" s="5"/>
        <tr r="S616" s="5"/>
      </tp>
      <tp t="s">
        <v>#N/A N/A</v>
        <stp/>
        <stp>BDH|12914707114840397731</stp>
        <tr r="T172" s="5"/>
        <tr r="U167" s="5"/>
        <tr r="W118" s="5"/>
        <tr r="V158" s="5"/>
        <tr r="S177" s="5"/>
      </tp>
      <tp t="s">
        <v>#N/A N/A</v>
        <stp/>
        <stp>BDH|11605583564872253345</stp>
        <tr r="AE720" s="5"/>
        <tr r="AC735" s="5"/>
        <tr r="AF680" s="5"/>
        <tr r="AD730" s="5"/>
        <tr r="AB740" s="5"/>
      </tp>
      <tp t="s">
        <v>#N/A N/A</v>
        <stp/>
        <stp>BDH|16427082565334238778</stp>
        <tr r="V534" s="5"/>
        <tr r="T549" s="5"/>
        <tr r="U544" s="5"/>
        <tr r="W494" s="5"/>
        <tr r="S554" s="5"/>
      </tp>
      <tp t="s">
        <v>#N/A N/A</v>
        <stp/>
        <stp>BDH|12201468850473918310</stp>
        <tr r="AC474" s="5"/>
        <tr r="AF419" s="5"/>
        <tr r="AE459" s="5"/>
        <tr r="AD469" s="5"/>
        <tr r="AB479" s="5"/>
      </tp>
      <tp t="s">
        <v>#N/A N/A</v>
        <stp/>
        <stp>BDH|11216625458881255069</stp>
        <tr r="AE287" s="5"/>
        <tr r="AC302" s="5"/>
        <tr r="AF247" s="5"/>
        <tr r="AD297" s="5"/>
        <tr r="AB307" s="5"/>
      </tp>
      <tp t="s">
        <v>#N/A N/A</v>
        <stp/>
        <stp>BDH|11175374251386376282</stp>
        <tr r="W727" s="5"/>
        <tr r="V767" s="5"/>
      </tp>
      <tp t="s">
        <v>#N/A N/A</v>
        <stp/>
        <stp>BDH|10417411221390909528</stp>
        <tr r="U97" s="5"/>
        <tr r="T102" s="5"/>
        <tr r="V87" s="5"/>
        <tr r="W47" s="5"/>
        <tr r="S107" s="5"/>
      </tp>
      <tp t="s">
        <v>#N/A N/A</v>
        <stp/>
        <stp>BDH|10547075729794192557</stp>
        <tr r="AF761" s="5"/>
      </tp>
      <tp t="s">
        <v>#N/A N/A</v>
        <stp/>
        <stp>BDH|10562372311587493685</stp>
        <tr r="T25" s="5"/>
        <tr r="S30" s="5"/>
      </tp>
      <tp t="s">
        <v>#N/A N/A</v>
        <stp/>
        <stp>BDH|12353013428912655139</stp>
        <tr r="U324" s="5"/>
        <tr r="V314" s="5"/>
        <tr r="T329" s="5"/>
        <tr r="W274" s="5"/>
        <tr r="S334" s="5"/>
      </tp>
      <tp t="s">
        <v>#N/A N/A</v>
        <stp/>
        <stp>BDH|12120446266810548399</stp>
        <tr r="AE319" s="5"/>
        <tr r="AF279" s="5"/>
        <tr r="AC334" s="5"/>
        <tr r="AD329" s="5"/>
        <tr r="AB339" s="5"/>
      </tp>
      <tp t="s">
        <v>#N/A N/A</v>
        <stp/>
        <stp>BDH|15890561221468439951</stp>
        <tr r="W681" s="5"/>
        <tr r="T736" s="5"/>
        <tr r="U731" s="5"/>
        <tr r="V721" s="5"/>
        <tr r="S741" s="5"/>
      </tp>
      <tp t="s">
        <v>#N/A N/A</v>
        <stp/>
        <stp>BDH|13564619932254838108</stp>
        <tr r="T269" s="5"/>
        <tr r="U264" s="5"/>
        <tr r="W214" s="5"/>
        <tr r="V254" s="5"/>
        <tr r="S274" s="5"/>
      </tp>
      <tp t="s">
        <v>#N/A N/A</v>
        <stp/>
        <stp>BDH|16739920781477963334</stp>
        <tr r="AF543" s="5"/>
        <tr r="AC598" s="5"/>
        <tr r="AE583" s="5"/>
        <tr r="AD593" s="5"/>
        <tr r="AB603" s="5"/>
      </tp>
      <tp t="s">
        <v>#N/A N/A</v>
        <stp/>
        <stp>BDH|11405077547782865422</stp>
        <tr r="V226" s="5"/>
        <tr r="T241" s="5"/>
        <tr r="W186" s="5"/>
        <tr r="U236" s="5"/>
        <tr r="S246" s="5"/>
      </tp>
      <tp t="s">
        <v>#N/A N/A</v>
        <stp/>
        <stp>BDH|11795942173759218633</stp>
        <tr r="AF120" s="5"/>
        <tr r="AC174" s="5"/>
        <tr r="AD169" s="5"/>
        <tr r="AB179" s="5"/>
      </tp>
      <tp t="s">
        <v>#N/A N/A</v>
        <stp/>
        <stp>BDH|10255465868257830550</stp>
        <tr r="AC733" s="5"/>
        <tr r="AF678" s="5"/>
        <tr r="AE718" s="5"/>
        <tr r="AD728" s="5"/>
        <tr r="AB738" s="5"/>
      </tp>
      <tp t="s">
        <v>#N/A N/A</v>
        <stp/>
        <stp>BDH|16753525141187170040</stp>
        <tr r="V36" s="5"/>
        <tr r="T51" s="5"/>
        <tr r="U46" s="5"/>
        <tr r="S56" s="5"/>
      </tp>
      <tp t="s">
        <v>#N/A N/A</v>
        <stp/>
        <stp>BDH|11118223525413078269</stp>
        <tr r="V477" s="5"/>
        <tr r="T492" s="5"/>
        <tr r="W437" s="5"/>
        <tr r="U487" s="5"/>
        <tr r="S497" s="5"/>
      </tp>
      <tp t="s">
        <v>#N/A N/A</v>
        <stp/>
        <stp>BDH|14371241034032371705</stp>
        <tr r="AE301" s="5"/>
        <tr r="AF261" s="5"/>
        <tr r="AD311" s="5"/>
        <tr r="AC316" s="5"/>
        <tr r="AB321" s="5"/>
      </tp>
      <tp t="s">
        <v>#N/A N/A</v>
        <stp/>
        <stp>BDH|15157504245937029373</stp>
        <tr r="T477" s="5"/>
        <tr r="U472" s="5"/>
        <tr r="W422" s="5"/>
        <tr r="V462" s="5"/>
        <tr r="S482" s="5"/>
      </tp>
      <tp t="s">
        <v>#N/A N/A</v>
        <stp/>
        <stp>BDH|14335231272783991285</stp>
        <tr r="T405" s="5"/>
        <tr r="W350" s="5"/>
        <tr r="U400" s="5"/>
        <tr r="V390" s="5"/>
        <tr r="S410" s="5"/>
      </tp>
      <tp t="s">
        <v>#N/A N/A</v>
        <stp/>
        <stp>BDH|18413252882991848387</stp>
        <tr r="U619" s="5"/>
        <tr r="V609" s="5"/>
        <tr r="W569" s="5"/>
        <tr r="T624" s="5"/>
        <tr r="S629" s="5"/>
      </tp>
      <tp t="s">
        <v>#N/A N/A</v>
        <stp/>
        <stp>BDH|11561528147619511960</stp>
        <tr r="T575" s="5"/>
        <tr r="W520" s="5"/>
        <tr r="U570" s="5"/>
        <tr r="V560" s="5"/>
        <tr r="S580" s="5"/>
      </tp>
      <tp t="s">
        <v>#N/A N/A</v>
        <stp/>
        <stp>BDH|12749016862817760305</stp>
        <tr r="U53" s="5"/>
        <tr r="V43" s="5"/>
        <tr r="T58" s="5"/>
        <tr r="S63" s="5"/>
      </tp>
      <tp t="s">
        <v>#N/A N/A</v>
        <stp/>
        <stp>BDH|16710024336555601068</stp>
        <tr r="AF356" s="5"/>
        <tr r="AE396" s="5"/>
        <tr r="AD406" s="5"/>
        <tr r="AC411" s="5"/>
        <tr r="AB416" s="5"/>
      </tp>
      <tp t="s">
        <v>#N/A N/A</v>
        <stp/>
        <stp>BDH|15878575219303088254</stp>
        <tr r="T630" s="5"/>
        <tr r="V615" s="5"/>
        <tr r="U625" s="5"/>
        <tr r="W575" s="5"/>
        <tr r="S635" s="5"/>
      </tp>
      <tp t="s">
        <v>#N/A N/A</v>
        <stp/>
        <stp>BDH|10482628919632504592</stp>
        <tr r="AD89" s="5"/>
        <tr r="AE79" s="5"/>
        <tr r="AC94" s="5"/>
        <tr r="AF39" s="5"/>
        <tr r="AB99" s="5"/>
      </tp>
      <tp t="s">
        <v>#N/A N/A</v>
        <stp/>
        <stp>BDH|12523741747680495105</stp>
        <tr r="T123" s="5"/>
        <tr r="W68" s="5"/>
        <tr r="U118" s="5"/>
        <tr r="V108" s="5"/>
        <tr r="S128" s="5"/>
      </tp>
      <tp t="s">
        <v>#N/A N/A</v>
        <stp/>
        <stp>BDH|13095265114060839087</stp>
        <tr r="AD117" s="5"/>
        <tr r="AF67" s="5"/>
        <tr r="AE107" s="5"/>
        <tr r="AC122" s="5"/>
        <tr r="AB127" s="5"/>
      </tp>
      <tp t="s">
        <v>#N/A N/A</v>
        <stp/>
        <stp>BDH|11268238317294613621</stp>
        <tr r="AD86" s="5"/>
        <tr r="AC91" s="5"/>
        <tr r="AF36" s="5"/>
        <tr r="AE76" s="5"/>
        <tr r="AB96" s="5"/>
      </tp>
      <tp t="s">
        <v>#N/A N/A</v>
        <stp/>
        <stp>BDH|14538515261867067079</stp>
        <tr r="W477" s="5"/>
        <tr r="U527" s="5"/>
        <tr r="V517" s="5"/>
        <tr r="T532" s="5"/>
        <tr r="S537" s="5"/>
      </tp>
      <tp t="s">
        <v>#N/A N/A</v>
        <stp/>
        <stp>BDH|12542120684648723361</stp>
        <tr r="U112" s="5"/>
        <tr r="V102" s="5"/>
        <tr r="W62" s="5"/>
        <tr r="T117" s="5"/>
        <tr r="S122" s="5"/>
      </tp>
      <tp t="s">
        <v>#N/A N/A</v>
        <stp/>
        <stp>BDH|13645661503032408755</stp>
        <tr r="AB25" s="5"/>
      </tp>
      <tp t="s">
        <v>#N/A N/A</v>
        <stp/>
        <stp>BDH|11271483162790271382</stp>
        <tr r="AE296" s="5"/>
        <tr r="AF256" s="5"/>
        <tr r="AC311" s="5"/>
        <tr r="AD306" s="5"/>
        <tr r="AB316" s="5"/>
      </tp>
      <tp t="s">
        <v>#N/A N/A</v>
        <stp/>
        <stp>BDH|13010261004886282759</stp>
        <tr r="AF441" s="5"/>
        <tr r="AD491" s="5"/>
        <tr r="AC496" s="5"/>
        <tr r="AE481" s="5"/>
        <tr r="AB501" s="5"/>
      </tp>
      <tp t="s">
        <v>#N/A N/A</v>
        <stp/>
        <stp>BDH|11194997238562053951</stp>
        <tr r="AC423" s="5"/>
        <tr r="AD418" s="5"/>
        <tr r="AE408" s="5"/>
        <tr r="AF368" s="5"/>
        <tr r="AB428" s="5"/>
      </tp>
      <tp t="s">
        <v>#N/A N/A</v>
        <stp/>
        <stp>BDH|12012737108186753397</stp>
        <tr r="AD53" s="5"/>
        <tr r="AE43" s="5"/>
        <tr r="AC58" s="5"/>
        <tr r="AB63" s="5"/>
      </tp>
      <tp t="s">
        <v>#N/A N/A</v>
        <stp/>
        <stp>BDH|14107044631017415051</stp>
        <tr r="U735" s="5"/>
        <tr r="W685" s="5"/>
        <tr r="T740" s="5"/>
        <tr r="V725" s="5"/>
        <tr r="S745" s="5"/>
      </tp>
      <tp t="s">
        <v>#N/A N/A</v>
        <stp/>
        <stp>BDH|18418579397302024602</stp>
        <tr r="W137" s="5"/>
        <tr r="T191" s="5"/>
        <tr r="V176" s="5"/>
        <tr r="U186" s="5"/>
        <tr r="S196" s="5"/>
      </tp>
      <tp t="s">
        <v>#N/A N/A</v>
        <stp/>
        <stp>BDH|17708485461604295180</stp>
        <tr r="AD701" s="5"/>
        <tr r="AF651" s="5"/>
        <tr r="AE691" s="5"/>
        <tr r="AC706" s="5"/>
        <tr r="AB711" s="5"/>
      </tp>
      <tp t="s">
        <v>#N/A N/A</v>
        <stp/>
        <stp>BDH|18165508393451558505</stp>
        <tr r="U666" s="5"/>
        <tr r="V656" s="5"/>
        <tr r="T671" s="5"/>
        <tr r="W616" s="5"/>
        <tr r="S676" s="5"/>
      </tp>
      <tp t="s">
        <v>#N/A N/A</v>
        <stp/>
        <stp>BDH|10990756622302939706</stp>
        <tr r="AD641" s="5"/>
        <tr r="AC646" s="5"/>
        <tr r="AF591" s="5"/>
        <tr r="AE631" s="5"/>
        <tr r="AB651" s="5"/>
      </tp>
      <tp t="s">
        <v>#N/A N/A</v>
        <stp/>
        <stp>BDH|13467973272034477923</stp>
        <tr r="AE335" s="5"/>
        <tr r="AC350" s="5"/>
        <tr r="AD345" s="5"/>
        <tr r="AF295" s="5"/>
        <tr r="AB355" s="5"/>
      </tp>
      <tp t="s">
        <v>#N/A N/A</v>
        <stp/>
        <stp>BDH|12465736804492472704</stp>
        <tr r="W201" s="5"/>
        <tr r="V241" s="5"/>
        <tr r="T256" s="5"/>
        <tr r="U251" s="5"/>
        <tr r="S261" s="5"/>
      </tp>
      <tp t="s">
        <v>#N/A N/A</v>
        <stp/>
        <stp>BDH|14526122017007281342</stp>
        <tr r="U734" s="5"/>
        <tr r="T739" s="5"/>
        <tr r="V724" s="5"/>
        <tr r="W684" s="5"/>
        <tr r="S744" s="5"/>
      </tp>
      <tp t="s">
        <v>#N/A N/A</v>
        <stp/>
        <stp>BDH|12913959798373536170</stp>
        <tr r="AE201" s="5"/>
        <tr r="AD211" s="5"/>
        <tr r="AC216" s="5"/>
        <tr r="AF161" s="5"/>
        <tr r="AB221" s="5"/>
      </tp>
      <tp t="s">
        <v>#N/A N/A</v>
        <stp/>
        <stp>BDH|11641531185178089462</stp>
        <tr r="AE666" s="5"/>
        <tr r="AF626" s="5"/>
        <tr r="AD676" s="5"/>
        <tr r="AC681" s="5"/>
        <tr r="AB686" s="5"/>
      </tp>
      <tp t="s">
        <v>#N/A N/A</v>
        <stp/>
        <stp>BDH|12675919487705047696</stp>
        <tr r="U28" s="5"/>
        <tr r="T33" s="5"/>
        <tr r="S38" s="5"/>
      </tp>
      <tp t="s">
        <v>#N/A N/A</v>
        <stp/>
        <stp>BDH|12736255339802297102</stp>
        <tr r="AC683" s="5"/>
        <tr r="AF628" s="5"/>
        <tr r="AE668" s="5"/>
        <tr r="AD678" s="5"/>
        <tr r="AB688" s="5"/>
      </tp>
      <tp t="s">
        <v>#N/A N/A</v>
        <stp/>
        <stp>BDH|18133994974303372578</stp>
        <tr r="V136" s="5"/>
        <tr r="U146" s="5"/>
        <tr r="T151" s="5"/>
        <tr r="W96" s="5"/>
        <tr r="S156" s="5"/>
      </tp>
      <tp t="s">
        <v>#N/A N/A</v>
        <stp/>
        <stp>BDH|11969928732558652372</stp>
        <tr r="T418" s="5"/>
        <tr r="U413" s="5"/>
        <tr r="W363" s="5"/>
        <tr r="V403" s="5"/>
        <tr r="S423" s="5"/>
      </tp>
      <tp t="s">
        <v>#N/A N/A</v>
        <stp/>
        <stp>BDH|13341999787311587304</stp>
        <tr r="AE496" s="5"/>
        <tr r="AD506" s="5"/>
        <tr r="AC511" s="5"/>
        <tr r="AF456" s="5"/>
        <tr r="AB516" s="5"/>
      </tp>
      <tp t="s">
        <v>#N/A N/A</v>
        <stp/>
        <stp>BDH|16875072304864255219</stp>
        <tr r="W568" s="5"/>
        <tr r="V608" s="5"/>
        <tr r="U618" s="5"/>
        <tr r="T623" s="5"/>
        <tr r="S628" s="5"/>
      </tp>
      <tp t="s">
        <v>#N/A N/A</v>
        <stp/>
        <stp>BDH|17070772041235636183</stp>
        <tr r="U539" s="5"/>
        <tr r="T544" s="5"/>
        <tr r="W489" s="5"/>
        <tr r="V529" s="5"/>
        <tr r="S549" s="5"/>
      </tp>
      <tp t="s">
        <v>#N/A N/A</v>
        <stp/>
        <stp>BDH|14815262866543802383</stp>
        <tr r="T312" s="5"/>
        <tr r="U307" s="5"/>
        <tr r="W257" s="5"/>
        <tr r="V297" s="5"/>
        <tr r="S317" s="5"/>
      </tp>
      <tp t="s">
        <v>#N/A N/A</v>
        <stp/>
        <stp>BDH|10534352520814964527</stp>
        <tr r="AD569" s="5"/>
        <tr r="AE559" s="5"/>
        <tr r="AC574" s="5"/>
        <tr r="AF519" s="5"/>
        <tr r="AB579" s="5"/>
      </tp>
      <tp t="s">
        <v>#N/A N/A</v>
        <stp/>
        <stp>BDH|13910404179648288897</stp>
        <tr r="V594" s="5"/>
        <tr r="W554" s="5"/>
        <tr r="U604" s="5"/>
        <tr r="T609" s="5"/>
        <tr r="S614" s="5"/>
      </tp>
      <tp t="s">
        <v>#N/A N/A</v>
        <stp/>
        <stp>BDH|17519562900756191485</stp>
        <tr r="W51" s="5"/>
        <tr r="T106" s="5"/>
        <tr r="U101" s="5"/>
        <tr r="V91" s="5"/>
        <tr r="S111" s="5"/>
      </tp>
      <tp t="s">
        <v>#N/A N/A</v>
        <stp/>
        <stp>BDH|13539627452307688793</stp>
        <tr r="W103" s="5"/>
        <tr r="T158" s="5"/>
        <tr r="U153" s="5"/>
        <tr r="V143" s="5"/>
        <tr r="S162" s="5"/>
      </tp>
      <tp t="s">
        <v>#N/A N/A</v>
        <stp/>
        <stp>BDH|12012546338651122577</stp>
        <tr r="V488" s="5"/>
        <tr r="T503" s="5"/>
        <tr r="W448" s="5"/>
        <tr r="U498" s="5"/>
        <tr r="S508" s="5"/>
      </tp>
      <tp t="s">
        <v>#N/A N/A</v>
        <stp/>
        <stp>BDH|13934592583628695685</stp>
        <tr r="W190" s="5"/>
        <tr r="U240" s="5"/>
        <tr r="V230" s="5"/>
        <tr r="T245" s="5"/>
        <tr r="S250" s="5"/>
      </tp>
      <tp t="s">
        <v>#N/A N/A</v>
        <stp/>
        <stp>BDH|15653701838625599462</stp>
        <tr r="V227" s="5"/>
        <tr r="W187" s="5"/>
        <tr r="U237" s="5"/>
        <tr r="T242" s="5"/>
        <tr r="S247" s="5"/>
      </tp>
      <tp t="s">
        <v>#N/A N/A</v>
        <stp/>
        <stp>BDH|12188960360038221585</stp>
        <tr r="T647" s="5"/>
        <tr r="U642" s="5"/>
        <tr r="W592" s="5"/>
        <tr r="V632" s="5"/>
        <tr r="S652" s="5"/>
      </tp>
      <tp t="s">
        <v>#N/A N/A</v>
        <stp/>
        <stp>BDH|18217767746642882974</stp>
        <tr r="AC358" s="5"/>
        <tr r="AF303" s="5"/>
        <tr r="AE343" s="5"/>
        <tr r="AD353" s="5"/>
        <tr r="AB363" s="5"/>
      </tp>
      <tp t="s">
        <v>#N/A N/A</v>
        <stp/>
        <stp>BDH|14940658302936604452</stp>
        <tr r="AF552" s="5"/>
        <tr r="AD602" s="5"/>
        <tr r="AC607" s="5"/>
        <tr r="AE592" s="5"/>
        <tr r="AB612" s="5"/>
      </tp>
      <tp t="s">
        <v>#N/A N/A</v>
        <stp/>
        <stp>BDH|15113358580998976602</stp>
        <tr r="U358" s="5"/>
        <tr r="T363" s="5"/>
        <tr r="W308" s="5"/>
        <tr r="V348" s="5"/>
        <tr r="S368" s="5"/>
      </tp>
      <tp t="s">
        <v>#N/A N/A</v>
        <stp/>
        <stp>BDH|16351338460666506590</stp>
        <tr r="U558" s="5"/>
        <tr r="W508" s="5"/>
        <tr r="T563" s="5"/>
        <tr r="V548" s="5"/>
        <tr r="S568" s="5"/>
      </tp>
      <tp t="s">
        <v>#N/A N/A</v>
        <stp/>
        <stp>BDH|14716559828800524335</stp>
        <tr r="AD720" s="5"/>
        <tr r="AC725" s="5"/>
        <tr r="AE710" s="5"/>
        <tr r="AF670" s="5"/>
        <tr r="AB730" s="5"/>
      </tp>
      <tp t="s">
        <v>#N/A N/A</v>
        <stp/>
        <stp>BDH|14508353699757535903</stp>
        <tr r="AC383" s="5"/>
        <tr r="AE368" s="5"/>
        <tr r="AD378" s="5"/>
        <tr r="AF328" s="5"/>
        <tr r="AB388" s="5"/>
      </tp>
      <tp t="s">
        <v>#N/A N/A</v>
        <stp/>
        <stp>BDH|13080344836850839363</stp>
        <tr r="AC593" s="5"/>
        <tr r="AD588" s="5"/>
        <tr r="AE578" s="5"/>
        <tr r="AF538" s="5"/>
        <tr r="AB598" s="5"/>
      </tp>
      <tp t="s">
        <v>#N/A N/A</v>
        <stp/>
        <stp>BDH|10850567676792626010</stp>
        <tr r="T210" s="5"/>
        <tr r="V195" s="5"/>
        <tr r="U205" s="5"/>
        <tr r="W156" s="5"/>
        <tr r="S215" s="5"/>
      </tp>
      <tp t="s">
        <v>#N/A N/A</v>
        <stp/>
        <stp>BDH|12672938411648226372</stp>
        <tr r="AF199" s="5"/>
        <tr r="AD249" s="5"/>
        <tr r="AC254" s="5"/>
        <tr r="AE239" s="5"/>
        <tr r="AB259" s="5"/>
      </tp>
      <tp t="s">
        <v>#N/A N/A</v>
        <stp/>
        <stp>BDH|14198216401055606261</stp>
        <tr r="AC615" s="5"/>
        <tr r="AD610" s="5"/>
        <tr r="AF560" s="5"/>
        <tr r="AE600" s="5"/>
        <tr r="AB620" s="5"/>
      </tp>
      <tp t="s">
        <v>#N/A N/A</v>
        <stp/>
        <stp>BDH|17045960996310520644</stp>
        <tr r="AF137" s="5"/>
        <tr r="AC191" s="5"/>
        <tr r="AE176" s="5"/>
        <tr r="AD186" s="5"/>
        <tr r="AB196" s="5"/>
      </tp>
      <tp t="s">
        <v>#N/A N/A</v>
        <stp/>
        <stp>BDH|17340537427953184262</stp>
        <tr r="W387" s="5"/>
        <tr r="V427" s="5"/>
        <tr r="U437" s="5"/>
        <tr r="T442" s="5"/>
        <tr r="S447" s="5"/>
      </tp>
      <tp t="s">
        <v>#N/A N/A</v>
        <stp/>
        <stp>BDH|15549356311341294703</stp>
        <tr r="AE183" s="5"/>
        <tr r="AD193" s="5"/>
        <tr r="AF144" s="5"/>
        <tr r="AC198" s="5"/>
        <tr r="AB203" s="5"/>
      </tp>
      <tp t="s">
        <v>#N/A N/A</v>
        <stp/>
        <stp>BDH|14763616722309158869</stp>
        <tr r="AE729" s="5"/>
        <tr r="AF689" s="5"/>
        <tr r="AC744" s="5"/>
        <tr r="AD739" s="5"/>
        <tr r="AB749" s="5"/>
      </tp>
      <tp t="s">
        <v>#N/A N/A</v>
        <stp/>
        <stp>BDH|16896527427747801766</stp>
        <tr r="AF568" s="5"/>
        <tr r="AE608" s="5"/>
        <tr r="AD618" s="5"/>
        <tr r="AC623" s="5"/>
        <tr r="AB628" s="5"/>
      </tp>
      <tp t="s">
        <v>#N/A N/A</v>
        <stp/>
        <stp>BDH|12468124695399378235</stp>
        <tr r="V746" s="5"/>
        <tr r="T761" s="5"/>
        <tr r="U756" s="5"/>
        <tr r="W706" s="5"/>
        <tr r="S766" s="5"/>
      </tp>
      <tp t="s">
        <v>#N/A N/A</v>
        <stp/>
        <stp>BDH|11504060430092822180</stp>
        <tr r="V246" s="5"/>
        <tr r="U256" s="5"/>
        <tr r="W206" s="5"/>
        <tr r="T261" s="5"/>
        <tr r="S266" s="5"/>
      </tp>
      <tp t="s">
        <v>#N/A N/A</v>
        <stp/>
        <stp>BDH|12630164992292107907</stp>
        <tr r="AF522" s="5"/>
        <tr r="AD572" s="5"/>
        <tr r="AE562" s="5"/>
        <tr r="AC577" s="5"/>
        <tr r="AB582" s="5"/>
      </tp>
      <tp t="s">
        <v>#N/A N/A</v>
        <stp/>
        <stp>BDH|11948326401376883519</stp>
        <tr r="AF77" s="5"/>
        <tr r="AE117" s="5"/>
        <tr r="AC132" s="5"/>
        <tr r="AD127" s="5"/>
        <tr r="AB137" s="5"/>
      </tp>
      <tp t="s">
        <v>#N/A N/A</v>
        <stp/>
        <stp>BDH|16790281869081208265</stp>
        <tr r="V210" s="5"/>
        <tr r="W170" s="5"/>
        <tr r="U220" s="5"/>
        <tr r="T225" s="5"/>
        <tr r="S230" s="5"/>
      </tp>
      <tp t="s">
        <v>#N/A N/A</v>
        <stp/>
        <stp>BDH|10799618433293163763</stp>
        <tr r="V642" s="5"/>
        <tr r="T657" s="5"/>
        <tr r="W602" s="5"/>
        <tr r="U652" s="5"/>
        <tr r="S662" s="5"/>
      </tp>
      <tp t="s">
        <v>#N/A N/A</v>
        <stp/>
        <stp>BDH|10853462793964872802</stp>
        <tr r="V251" s="5"/>
        <tr r="T266" s="5"/>
        <tr r="W211" s="5"/>
        <tr r="U261" s="5"/>
        <tr r="S271" s="5"/>
      </tp>
      <tp t="s">
        <v>#N/A N/A</v>
        <stp/>
        <stp>BDH|11583667717751176606</stp>
        <tr r="T100" s="5"/>
        <tr r="U95" s="5"/>
        <tr r="V85" s="5"/>
        <tr r="W45" s="5"/>
        <tr r="S105" s="5"/>
      </tp>
      <tp t="s">
        <v>#N/A N/A</v>
        <stp/>
        <stp>BDH|17745553320850541126</stp>
        <tr r="W756" s="5"/>
      </tp>
      <tp t="s">
        <v>#N/A N/A</v>
        <stp/>
        <stp>BDH|12220410200863010468</stp>
        <tr r="AC619" s="5"/>
        <tr r="AE604" s="5"/>
        <tr r="AD614" s="5"/>
        <tr r="AF564" s="5"/>
        <tr r="AB624" s="5"/>
      </tp>
      <tp t="s">
        <v>#N/A N/A</v>
        <stp/>
        <stp>BDH|12009221245864732149</stp>
        <tr r="V475" s="5"/>
        <tr r="T490" s="5"/>
        <tr r="W435" s="5"/>
        <tr r="U485" s="5"/>
        <tr r="S495" s="5"/>
      </tp>
      <tp t="s">
        <v>#N/A N/A</v>
        <stp/>
        <stp>BDH|11610254182759655332</stp>
        <tr r="V310" s="5"/>
        <tr r="T325" s="5"/>
        <tr r="U320" s="5"/>
        <tr r="W270" s="5"/>
        <tr r="S330" s="5"/>
      </tp>
      <tp t="s">
        <v>#N/A N/A</v>
        <stp/>
        <stp>BDH|14041173654804794502</stp>
        <tr r="AD248" s="5"/>
        <tr r="AE238" s="5"/>
        <tr r="AC253" s="5"/>
        <tr r="AF198" s="5"/>
        <tr r="AB258" s="5"/>
      </tp>
      <tp t="s">
        <v>#N/A N/A</v>
        <stp/>
        <stp>BDH|14179231797568208608</stp>
        <tr r="AC764" s="5"/>
        <tr r="AD759" s="5"/>
        <tr r="AF709" s="5"/>
        <tr r="AE749" s="5"/>
      </tp>
      <tp t="s">
        <v>#N/A N/A</v>
        <stp/>
        <stp>BDH|11404271009437564582</stp>
        <tr r="U250" s="5"/>
        <tr r="V240" s="5"/>
        <tr r="T255" s="5"/>
        <tr r="W200" s="5"/>
        <tr r="S260" s="5"/>
      </tp>
      <tp t="s">
        <v>#N/A N/A</v>
        <stp/>
        <stp>BDH|15064701917735747774</stp>
        <tr r="AE591" s="5"/>
        <tr r="AC606" s="5"/>
        <tr r="AF551" s="5"/>
        <tr r="AD601" s="5"/>
        <tr r="AB611" s="5"/>
      </tp>
      <tp t="s">
        <v>#N/A N/A</v>
        <stp/>
        <stp>BDH|11497503254854557423</stp>
        <tr r="AF382" s="5"/>
        <tr r="AD432" s="5"/>
        <tr r="AE422" s="5"/>
        <tr r="AC437" s="5"/>
        <tr r="AB442" s="5"/>
      </tp>
      <tp t="s">
        <v>#N/A N/A</v>
        <stp/>
        <stp>BDH|14353864683805924094</stp>
        <tr r="AE310" s="5"/>
        <tr r="AC325" s="5"/>
        <tr r="AD320" s="5"/>
        <tr r="AF270" s="5"/>
        <tr r="AB330" s="5"/>
      </tp>
      <tp t="s">
        <v>#N/A N/A</v>
        <stp/>
        <stp>BDH|17965795397928543040</stp>
        <tr r="T493" s="5"/>
        <tr r="W438" s="5"/>
        <tr r="U488" s="5"/>
        <tr r="V478" s="5"/>
        <tr r="S498" s="5"/>
      </tp>
      <tp t="s">
        <v>#N/A N/A</v>
        <stp/>
        <stp>BDH|10549015572154554257</stp>
        <tr r="AC395" s="5"/>
        <tr r="AE380" s="5"/>
        <tr r="AF340" s="5"/>
        <tr r="AD390" s="5"/>
        <tr r="AB400" s="5"/>
      </tp>
      <tp t="s">
        <v>#N/A N/A</v>
        <stp/>
        <stp>BDH|16500188124114245025</stp>
        <tr r="T38" s="5"/>
        <tr r="U33" s="5"/>
        <tr r="V23" s="5"/>
        <tr r="S43" s="5"/>
      </tp>
      <tp t="s">
        <v>#N/A N/A</v>
        <stp/>
        <stp>BDH|10264512332717000090</stp>
        <tr r="AF760" s="5"/>
      </tp>
      <tp t="s">
        <v>#N/A N/A</v>
        <stp/>
        <stp>BDH|14770519368507727123</stp>
        <tr r="W740" s="5"/>
      </tp>
      <tp t="s">
        <v>#N/A N/A</v>
        <stp/>
        <stp>BDH|12199489920911410464</stp>
        <tr r="U528" s="5"/>
        <tr r="V518" s="5"/>
        <tr r="T533" s="5"/>
        <tr r="W478" s="5"/>
        <tr r="S538" s="5"/>
      </tp>
      <tp t="s">
        <v>#N/A N/A</v>
        <stp/>
        <stp>BDH|16542267319346830288</stp>
        <tr r="AF289" s="5"/>
        <tr r="AE329" s="5"/>
        <tr r="AC344" s="5"/>
        <tr r="AD339" s="5"/>
        <tr r="AB349" s="5"/>
      </tp>
      <tp t="s">
        <v>#N/A N/A</v>
        <stp/>
        <stp>BDH|12681793730511539605</stp>
        <tr r="AE226" s="5"/>
        <tr r="AC241" s="5"/>
        <tr r="AF186" s="5"/>
        <tr r="AD236" s="5"/>
        <tr r="AB246" s="5"/>
      </tp>
      <tp t="s">
        <v>#N/A N/A</v>
        <stp/>
        <stp>BDH|10716604527775950039</stp>
        <tr r="AE712" s="5"/>
        <tr r="AF672" s="5"/>
        <tr r="AC727" s="5"/>
        <tr r="AD722" s="5"/>
        <tr r="AB732" s="5"/>
      </tp>
      <tp t="s">
        <v>#N/A N/A</v>
        <stp/>
        <stp>BDH|18348705080575944303</stp>
        <tr r="T32" s="5"/>
        <tr r="U27" s="5"/>
        <tr r="S37" s="5"/>
      </tp>
      <tp t="s">
        <v>#N/A N/A</v>
        <stp/>
        <stp>BDH|11920775621622606749</stp>
        <tr r="AE662" s="5"/>
        <tr r="AD672" s="5"/>
        <tr r="AC677" s="5"/>
        <tr r="AF622" s="5"/>
        <tr r="AB682" s="5"/>
      </tp>
      <tp t="s">
        <v>#N/A N/A</v>
        <stp/>
        <stp>BDH|10984197404024928402</stp>
        <tr r="V751" s="5"/>
        <tr r="U761" s="5"/>
        <tr r="W711" s="5"/>
        <tr r="T766" s="5"/>
      </tp>
      <tp t="s">
        <v>#N/A N/A</v>
        <stp/>
        <stp>BDH|15315731278753042750</stp>
        <tr r="T60" s="5"/>
        <tr r="V45" s="5"/>
        <tr r="U55" s="5"/>
        <tr r="S65" s="5"/>
      </tp>
      <tp t="s">
        <v>#N/A N/A</v>
        <stp/>
        <stp>BDH|14604658236646000693</stp>
        <tr r="AD34" s="5"/>
        <tr r="AE24" s="5"/>
        <tr r="AC39" s="5"/>
        <tr r="AB44" s="5"/>
      </tp>
      <tp t="s">
        <v>#N/A N/A</v>
        <stp/>
        <stp>BDH|18415960738861792214</stp>
        <tr r="AC26" s="5"/>
        <tr r="AD21" s="5"/>
        <tr r="AB31" s="5"/>
      </tp>
      <tp t="s">
        <v>#N/A N/A</v>
        <stp/>
        <stp>BDH|14220892450951503910</stp>
        <tr r="T625" s="5"/>
        <tr r="U620" s="5"/>
        <tr r="V610" s="5"/>
        <tr r="W570" s="5"/>
        <tr r="S630" s="5"/>
      </tp>
      <tp t="s">
        <v>#N/A N/A</v>
        <stp/>
        <stp>BDH|10739456878452065058</stp>
        <tr r="W522" s="5"/>
        <tr r="U572" s="5"/>
        <tr r="V562" s="5"/>
        <tr r="T577" s="5"/>
        <tr r="S582" s="5"/>
      </tp>
      <tp t="s">
        <v>#N/A N/A</v>
        <stp/>
        <stp>BDH|16870558861776317207</stp>
        <tr r="V206" s="5"/>
        <tr r="W166" s="5"/>
        <tr r="T221" s="5"/>
        <tr r="U216" s="5"/>
        <tr r="S226" s="5"/>
      </tp>
      <tp t="s">
        <v>#N/A N/A</v>
        <stp/>
        <stp>BDH|12559691627864130352</stp>
        <tr r="V520" s="5"/>
        <tr r="T535" s="5"/>
        <tr r="W480" s="5"/>
        <tr r="U530" s="5"/>
        <tr r="S540" s="5"/>
      </tp>
      <tp t="s">
        <v>#N/A N/A</v>
        <stp/>
        <stp>BDH|14324286792526613803</stp>
        <tr r="V341" s="5"/>
        <tr r="U351" s="5"/>
        <tr r="W301" s="5"/>
        <tr r="T356" s="5"/>
        <tr r="S361" s="5"/>
      </tp>
      <tp t="s">
        <v>#N/A N/A</v>
        <stp/>
        <stp>BDH|16279349201887950308</stp>
        <tr r="AE554" s="5"/>
        <tr r="AD564" s="5"/>
        <tr r="AF514" s="5"/>
        <tr r="AC569" s="5"/>
        <tr r="AB574" s="5"/>
      </tp>
      <tp t="s">
        <v>#N/A N/A</v>
        <stp/>
        <stp>BDH|12240903789314447618</stp>
        <tr r="V187" s="5"/>
        <tr r="U197" s="5"/>
        <tr r="W148" s="5"/>
        <tr r="T202" s="5"/>
        <tr r="S207" s="5"/>
      </tp>
      <tp t="s">
        <v>#N/A N/A</v>
        <stp/>
        <stp>BDH|15307251941582014098</stp>
        <tr r="AD319" s="5"/>
        <tr r="AF269" s="5"/>
        <tr r="AC324" s="5"/>
        <tr r="AE309" s="5"/>
        <tr r="AB329" s="5"/>
      </tp>
      <tp t="s">
        <v>#N/A N/A</v>
        <stp/>
        <stp>BDH|14323807908018551503</stp>
        <tr r="AF606" s="5"/>
        <tr r="AD656" s="5"/>
        <tr r="AE646" s="5"/>
        <tr r="AC661" s="5"/>
        <tr r="AB666" s="5"/>
      </tp>
      <tp t="s">
        <v>#N/A N/A</v>
        <stp/>
        <stp>BDH|11206525445456847734</stp>
        <tr r="AD395" s="5"/>
        <tr r="AE385" s="5"/>
        <tr r="AF345" s="5"/>
        <tr r="AC400" s="5"/>
        <tr r="AB405" s="5"/>
      </tp>
      <tp t="s">
        <v>#N/A N/A</v>
        <stp/>
        <stp>BDH|17342445016497994469</stp>
        <tr r="V212" s="5"/>
        <tr r="W172" s="5"/>
        <tr r="T227" s="5"/>
        <tr r="U222" s="5"/>
        <tr r="S232" s="5"/>
      </tp>
      <tp t="s">
        <v>#N/A N/A</v>
        <stp/>
        <stp>BDH|11093758870213221468</stp>
        <tr r="AF559" s="5"/>
        <tr r="AE599" s="5"/>
        <tr r="AD609" s="5"/>
        <tr r="AC614" s="5"/>
        <tr r="AB619" s="5"/>
      </tp>
      <tp t="s">
        <v>#N/A N/A</v>
        <stp/>
        <stp>BDH|12783807009465989965</stp>
        <tr r="T357" s="5"/>
        <tr r="V342" s="5"/>
        <tr r="U352" s="5"/>
        <tr r="W302" s="5"/>
        <tr r="S362" s="5"/>
      </tp>
      <tp t="s">
        <v>#N/A N/A</v>
        <stp/>
        <stp>BDH|15683422766370678144</stp>
        <tr r="AE701" s="5"/>
        <tr r="AC716" s="5"/>
        <tr r="AF661" s="5"/>
        <tr r="AD711" s="5"/>
        <tr r="AB721" s="5"/>
      </tp>
      <tp t="s">
        <v>#N/A N/A</v>
        <stp/>
        <stp>BDH|17862006236685812768</stp>
        <tr r="AC172" s="5"/>
        <tr r="AD167" s="5"/>
        <tr r="AF118" s="5"/>
        <tr r="AE158" s="5"/>
        <tr r="AB177" s="5"/>
      </tp>
      <tp t="s">
        <v>#N/A N/A</v>
        <stp/>
        <stp>BDH|12138071615173036636</stp>
        <tr r="W358" s="5"/>
        <tr r="V398" s="5"/>
        <tr r="U408" s="5"/>
        <tr r="T413" s="5"/>
        <tr r="S418" s="5"/>
      </tp>
      <tp t="s">
        <v>#N/A N/A</v>
        <stp/>
        <stp>BDH|17056566318363712695</stp>
        <tr r="T178" s="5"/>
        <tr r="V163" s="5"/>
        <tr r="U173" s="5"/>
        <tr r="W124" s="5"/>
        <tr r="S183" s="5"/>
      </tp>
      <tp t="s">
        <v>#N/A N/A</v>
        <stp/>
        <stp>BDH|17344388724865974567</stp>
        <tr r="AF107" s="5"/>
        <tr r="AE147" s="5"/>
        <tr r="AD157" s="5"/>
        <tr r="AC161" s="5"/>
        <tr r="AB166" s="5"/>
      </tp>
      <tp t="s">
        <v>#N/A N/A</v>
        <stp/>
        <stp>BDH|10884941186066393194</stp>
        <tr r="AC278" s="5"/>
        <tr r="AE263" s="5"/>
        <tr r="AF223" s="5"/>
        <tr r="AD273" s="5"/>
        <tr r="AB283" s="5"/>
      </tp>
      <tp t="s">
        <v>#N/A N/A</v>
        <stp/>
        <stp>BDH|11947723058937223226</stp>
        <tr r="T428" s="5"/>
        <tr r="W373" s="5"/>
        <tr r="U423" s="5"/>
        <tr r="V413" s="5"/>
        <tr r="S433" s="5"/>
      </tp>
      <tp t="s">
        <v>#N/A N/A</v>
        <stp/>
        <stp>BDH|17846304608927337506</stp>
        <tr r="V334" s="5"/>
        <tr r="W294" s="5"/>
        <tr r="U344" s="5"/>
        <tr r="T349" s="5"/>
        <tr r="S354" s="5"/>
      </tp>
      <tp t="s">
        <v>#N/A N/A</v>
        <stp/>
        <stp>BDH|13504446233043457146</stp>
        <tr r="U548" s="5"/>
        <tr r="W498" s="5"/>
        <tr r="T553" s="5"/>
        <tr r="V538" s="5"/>
        <tr r="S558" s="5"/>
      </tp>
      <tp t="s">
        <v>#N/A N/A</v>
        <stp/>
        <stp>BDH|14428825265558294442</stp>
        <tr r="V704" s="5"/>
        <tr r="T719" s="5"/>
        <tr r="U714" s="5"/>
        <tr r="W664" s="5"/>
        <tr r="S724" s="5"/>
      </tp>
      <tp t="s">
        <v>#N/A N/A</v>
        <stp/>
        <stp>BDH|11707186807160463691</stp>
        <tr r="T194" s="5"/>
        <tr r="W140" s="5"/>
        <tr r="U189" s="5"/>
        <tr r="V179" s="5"/>
        <tr r="S199" s="5"/>
      </tp>
      <tp t="s">
        <v>#N/A N/A</v>
        <stp/>
        <stp>BDH|17903645575681871152</stp>
        <tr r="V299" s="5"/>
        <tr r="T314" s="5"/>
        <tr r="U309" s="5"/>
        <tr r="W259" s="5"/>
        <tr r="S319" s="5"/>
      </tp>
      <tp t="s">
        <v>#N/A N/A</v>
        <stp/>
        <stp>BDH|11779445163577206268</stp>
        <tr r="AE617" s="5"/>
        <tr r="AC632" s="5"/>
        <tr r="AD627" s="5"/>
        <tr r="AF577" s="5"/>
        <tr r="AB637" s="5"/>
      </tp>
      <tp t="s">
        <v>#N/A N/A</v>
        <stp/>
        <stp>BDH|17111517474633310031</stp>
        <tr r="T708" s="5"/>
        <tr r="U703" s="5"/>
        <tr r="W653" s="5"/>
        <tr r="V693" s="5"/>
        <tr r="S713" s="5"/>
      </tp>
      <tp t="s">
        <v>#N/A N/A</v>
        <stp/>
        <stp>BDH|13206091199235750912</stp>
        <tr r="AE734" s="5"/>
        <tr r="AF694" s="5"/>
        <tr r="AC749" s="5"/>
        <tr r="AD744" s="5"/>
        <tr r="AB754" s="5"/>
      </tp>
      <tp t="s">
        <v>#N/A N/A</v>
        <stp/>
        <stp>BDH|17659177286951849987</stp>
        <tr r="AF585" s="5"/>
        <tr r="AC640" s="5"/>
        <tr r="AE625" s="5"/>
        <tr r="AD635" s="5"/>
        <tr r="AB645" s="5"/>
      </tp>
      <tp t="s">
        <v>#N/A N/A</v>
        <stp/>
        <stp>BDH|12863626678545027053</stp>
        <tr r="AC317" s="5"/>
        <tr r="AD312" s="5"/>
        <tr r="AE302" s="5"/>
        <tr r="AF262" s="5"/>
        <tr r="AB322" s="5"/>
      </tp>
      <tp t="s">
        <v>#N/A N/A</v>
        <stp/>
        <stp>BDH|10213845885280051647</stp>
        <tr r="AD715" s="5"/>
        <tr r="AE705" s="5"/>
        <tr r="AC720" s="5"/>
        <tr r="AF665" s="5"/>
        <tr r="AB725" s="5"/>
      </tp>
      <tp t="s">
        <v>#N/A N/A</v>
        <stp/>
        <stp>BDH|14702909950686009810</stp>
        <tr r="T299" s="5"/>
        <tr r="W244" s="5"/>
        <tr r="V284" s="5"/>
        <tr r="U294" s="5"/>
        <tr r="S304" s="5"/>
      </tp>
      <tp t="s">
        <v>#N/A N/A</v>
        <stp/>
        <stp>BDH|13980745077907872241</stp>
        <tr r="AE762" s="5"/>
        <tr r="AF722" s="5"/>
      </tp>
      <tp t="s">
        <v>#N/A N/A</v>
        <stp/>
        <stp>BDH|17378412031936621038</stp>
        <tr r="AD379" s="5"/>
        <tr r="AF329" s="5"/>
        <tr r="AE369" s="5"/>
        <tr r="AC384" s="5"/>
        <tr r="AB389" s="5"/>
      </tp>
      <tp t="s">
        <v>#N/A N/A</v>
        <stp/>
        <stp>BDH|10349926126644284938</stp>
        <tr r="U708" s="5"/>
        <tr r="V698" s="5"/>
        <tr r="T713" s="5"/>
        <tr r="W658" s="5"/>
        <tr r="S718" s="5"/>
      </tp>
      <tp t="s">
        <v>#N/A N/A</v>
        <stp/>
        <stp>BDH|10675565078076160208</stp>
        <tr r="AD667" s="5"/>
        <tr r="AF617" s="5"/>
        <tr r="AE657" s="5"/>
        <tr r="AC672" s="5"/>
        <tr r="AB677" s="5"/>
      </tp>
      <tp t="s">
        <v>#N/A N/A</v>
        <stp/>
        <stp>BDH|15395646165855378683</stp>
        <tr r="AC264" s="5"/>
        <tr r="AE249" s="5"/>
        <tr r="AF209" s="5"/>
        <tr r="AD259" s="5"/>
        <tr r="AB269" s="5"/>
      </tp>
      <tp t="s">
        <v>#N/A N/A</v>
        <stp/>
        <stp>BDH|12164482864410759632</stp>
        <tr r="U285" s="5"/>
        <tr r="W235" s="5"/>
        <tr r="V275" s="5"/>
        <tr r="T290" s="5"/>
        <tr r="S295" s="5"/>
      </tp>
      <tp t="s">
        <v>#N/A N/A</v>
        <stp/>
        <stp>BDH|14836230494269219068</stp>
        <tr r="AE251" s="5"/>
        <tr r="AC266" s="5"/>
        <tr r="AF211" s="5"/>
        <tr r="AD261" s="5"/>
        <tr r="AB271" s="5"/>
      </tp>
      <tp t="s">
        <v>#N/A N/A</v>
        <stp/>
        <stp>BDH|16267250794369881205</stp>
        <tr r="AE399" s="5"/>
        <tr r="AC414" s="5"/>
        <tr r="AF359" s="5"/>
        <tr r="AD409" s="5"/>
        <tr r="AB419" s="5"/>
      </tp>
      <tp t="s">
        <v>#N/A N/A</v>
        <stp/>
        <stp>BDH|12089065389478353472</stp>
        <tr r="AF122" s="5"/>
        <tr r="AD171" s="5"/>
        <tr r="AC176" s="5"/>
        <tr r="AE161" s="5"/>
        <tr r="AB181" s="5"/>
      </tp>
      <tp t="s">
        <v>#N/A N/A</v>
        <stp/>
        <stp>BDH|14341158885112933910</stp>
        <tr r="W735" s="5"/>
      </tp>
      <tp t="s">
        <v>#N/A N/A</v>
        <stp/>
        <stp>BDH|11779048963628844920</stp>
        <tr r="AC178" s="5"/>
        <tr r="AE163" s="5"/>
        <tr r="AD173" s="5"/>
        <tr r="AF124" s="5"/>
        <tr r="AB183" s="5"/>
      </tp>
      <tp t="s">
        <v>#N/A N/A</v>
        <stp/>
        <stp>BDH|16937509933424745276</stp>
        <tr r="W666" s="5"/>
        <tr r="U716" s="5"/>
        <tr r="V706" s="5"/>
        <tr r="T721" s="5"/>
        <tr r="S726" s="5"/>
      </tp>
      <tp t="s">
        <v>#N/A N/A</v>
        <stp/>
        <stp>BDH|18326771089644551526</stp>
        <tr r="T667" s="5"/>
        <tr r="V652" s="5"/>
        <tr r="W612" s="5"/>
        <tr r="U662" s="5"/>
        <tr r="S672" s="5"/>
      </tp>
      <tp t="s">
        <v>#N/A N/A</v>
        <stp/>
        <stp>BDH|17029575379666670550</stp>
        <tr r="W61" s="5"/>
        <tr r="U111" s="5"/>
        <tr r="V101" s="5"/>
        <tr r="T116" s="5"/>
        <tr r="S121" s="5"/>
      </tp>
      <tp t="s">
        <v>#N/A N/A</v>
        <stp/>
        <stp>BDH|13300312512237529099</stp>
        <tr r="V52" s="5"/>
        <tr r="U62" s="5"/>
        <tr r="T67" s="5"/>
        <tr r="S72" s="5"/>
      </tp>
      <tp t="s">
        <v>#N/A N/A</v>
        <stp/>
        <stp>BDH|18317458755016696992</stp>
        <tr r="T679" s="5"/>
        <tr r="U674" s="5"/>
        <tr r="W624" s="5"/>
        <tr r="V664" s="5"/>
        <tr r="S684" s="5"/>
      </tp>
      <tp t="s">
        <v>#N/A N/A</v>
        <stp/>
        <stp>BDH|16320083404712527266</stp>
        <tr r="W83" s="5"/>
        <tr r="T138" s="5"/>
        <tr r="U133" s="5"/>
        <tr r="V123" s="5"/>
        <tr r="S143" s="5"/>
      </tp>
      <tp t="s">
        <v>#N/A N/A</v>
        <stp/>
        <stp>BDH|17084507998674087978</stp>
        <tr r="AF666" s="5"/>
        <tr r="AD716" s="5"/>
        <tr r="AE706" s="5"/>
        <tr r="AC721" s="5"/>
        <tr r="AB726" s="5"/>
      </tp>
      <tp t="s">
        <v>#N/A N/A</v>
        <stp/>
        <stp>BDH|10372438502735570780</stp>
        <tr r="AC269" s="5"/>
        <tr r="AD264" s="5"/>
        <tr r="AF214" s="5"/>
        <tr r="AE254" s="5"/>
        <tr r="AB274" s="5"/>
      </tp>
      <tp t="s">
        <v>#N/A N/A</v>
        <stp/>
        <stp>BDH|12887124813497649302</stp>
        <tr r="W539" s="5"/>
        <tr r="T594" s="5"/>
        <tr r="V579" s="5"/>
        <tr r="U589" s="5"/>
        <tr r="S599" s="5"/>
      </tp>
      <tp t="s">
        <v>#N/A N/A</v>
        <stp/>
        <stp>BDH|11675894617856455830</stp>
        <tr r="W688" s="5"/>
        <tr r="T743" s="5"/>
        <tr r="U738" s="5"/>
        <tr r="V728" s="5"/>
        <tr r="S748" s="5"/>
      </tp>
      <tp t="s">
        <v>#N/A N/A</v>
        <stp/>
        <stp>BDH|16367493197489180435</stp>
        <tr r="AF389" s="5"/>
        <tr r="AC444" s="5"/>
        <tr r="AE429" s="5"/>
        <tr r="AD439" s="5"/>
        <tr r="AB449" s="5"/>
      </tp>
      <tp t="s">
        <v>#N/A N/A</v>
        <stp/>
        <stp>BDH|16054388954912132427</stp>
        <tr r="AC391" s="5"/>
        <tr r="AD386" s="5"/>
        <tr r="AE376" s="5"/>
        <tr r="AF336" s="5"/>
        <tr r="AB396" s="5"/>
      </tp>
      <tp t="s">
        <v>#N/A N/A</v>
        <stp/>
        <stp>BDH|14155817390864870765</stp>
        <tr r="U275" s="5"/>
        <tr r="W225" s="5"/>
        <tr r="T280" s="5"/>
        <tr r="V265" s="5"/>
        <tr r="S285" s="5"/>
      </tp>
      <tp t="s">
        <v>#N/A N/A</v>
        <stp/>
        <stp>BDH|15589350626150014287</stp>
        <tr r="U453" s="5"/>
        <tr r="T458" s="5"/>
        <tr r="W403" s="5"/>
        <tr r="V443" s="5"/>
        <tr r="S463" s="5"/>
      </tp>
      <tp t="s">
        <v>#N/A N/A</v>
        <stp/>
        <stp>BDH|16423536790038053497</stp>
        <tr r="AF728" s="5"/>
      </tp>
      <tp t="s">
        <v>#N/A N/A</v>
        <stp/>
        <stp>BDH|17621167051115554159</stp>
        <tr r="W720" s="5"/>
        <tr r="V760" s="5"/>
      </tp>
      <tp t="s">
        <v>#N/A N/A</v>
        <stp/>
        <stp>BDH|10169708303708029834</stp>
        <tr r="W565" s="5"/>
        <tr r="U615" s="5"/>
        <tr r="V605" s="5"/>
        <tr r="T620" s="5"/>
        <tr r="S625" s="5"/>
      </tp>
      <tp t="s">
        <v>#N/A N/A</v>
        <stp/>
        <stp>BDH|16427214537339577961</stp>
        <tr r="AE695" s="5"/>
        <tr r="AD705" s="5"/>
        <tr r="AC710" s="5"/>
        <tr r="AF655" s="5"/>
        <tr r="AB715" s="5"/>
      </tp>
      <tp t="s">
        <v>#N/A N/A</v>
        <stp/>
        <stp>BDH|16031077874353412567</stp>
        <tr r="AF758" s="5"/>
      </tp>
      <tp t="s">
        <v>#N/A N/A</v>
        <stp/>
        <stp>BDH|12511511291799536013</stp>
        <tr r="T235" s="5"/>
        <tr r="V220" s="5"/>
        <tr r="U230" s="5"/>
        <tr r="W180" s="5"/>
        <tr r="S240" s="5"/>
      </tp>
      <tp t="s">
        <v>#N/A N/A</v>
        <stp/>
        <stp>BDH|15029205952815298009</stp>
        <tr r="AD389" s="5"/>
        <tr r="AE379" s="5"/>
        <tr r="AC394" s="5"/>
        <tr r="AF339" s="5"/>
        <tr r="AB399" s="5"/>
      </tp>
      <tp t="s">
        <v>#N/A N/A</v>
        <stp/>
        <stp>BDH|16159241710551705326</stp>
        <tr r="W90" s="5"/>
        <tr r="U140" s="5"/>
        <tr r="V130" s="5"/>
        <tr r="T145" s="5"/>
        <tr r="S150" s="5"/>
      </tp>
      <tp t="s">
        <v>#N/A N/A</v>
        <stp/>
        <stp>BDH|16364170857341583469</stp>
        <tr r="U31" s="5"/>
        <tr r="T36" s="5"/>
        <tr r="V21" s="5"/>
        <tr r="S41" s="5"/>
      </tp>
      <tp t="s">
        <v>#N/A N/A</v>
        <stp/>
        <stp>BDH|17833447490375765898</stp>
        <tr r="AD550" s="5"/>
        <tr r="AC555" s="5"/>
        <tr r="AF500" s="5"/>
        <tr r="AE540" s="5"/>
        <tr r="AB560" s="5"/>
      </tp>
      <tp t="s">
        <v>#N/A N/A</v>
        <stp/>
        <stp>BDH|13343524657282770648</stp>
        <tr r="W428" s="5"/>
        <tr r="U478" s="5"/>
        <tr r="T483" s="5"/>
        <tr r="V468" s="5"/>
        <tr r="S488" s="5"/>
      </tp>
      <tp t="s">
        <v>#N/A N/A</v>
        <stp/>
        <stp>BDH|10132006385967652879</stp>
        <tr r="U174" s="5"/>
        <tr r="T179" s="5"/>
        <tr r="V164" s="5"/>
        <tr r="W125" s="5"/>
        <tr r="S184" s="5"/>
      </tp>
      <tp t="s">
        <v>#N/A N/A</v>
        <stp/>
        <stp>BDH|12929823402334871942</stp>
        <tr r="AD468" s="5"/>
        <tr r="AC473" s="5"/>
        <tr r="AF418" s="5"/>
        <tr r="AE458" s="5"/>
        <tr r="AB478" s="5"/>
      </tp>
      <tp t="s">
        <v>#N/A N/A</v>
        <stp/>
        <stp>BDH|16524481345342972340</stp>
        <tr r="V296" s="5"/>
        <tr r="W256" s="5"/>
        <tr r="T311" s="5"/>
        <tr r="U306" s="5"/>
        <tr r="S316" s="5"/>
      </tp>
      <tp t="s">
        <v>#N/A N/A</v>
        <stp/>
        <stp>BDH|14120279042164360134</stp>
        <tr r="AC468" s="5"/>
        <tr r="AF413" s="5"/>
        <tr r="AD463" s="5"/>
        <tr r="AE453" s="5"/>
        <tr r="AB473" s="5"/>
      </tp>
      <tp t="s">
        <v>#N/A N/A</v>
        <stp/>
        <stp>BDH|12576159875867209435</stp>
        <tr r="V375" s="5"/>
        <tr r="U385" s="5"/>
        <tr r="W335" s="5"/>
        <tr r="T390" s="5"/>
        <tr r="S395" s="5"/>
      </tp>
      <tp t="s">
        <v>#N/A N/A</v>
        <stp/>
        <stp>BDH|10318290638134745216</stp>
        <tr r="AF565" s="5"/>
        <tr r="AD615" s="5"/>
        <tr r="AE605" s="5"/>
        <tr r="AC620" s="5"/>
        <tr r="AB625" s="5"/>
      </tp>
      <tp t="s">
        <v>#N/A N/A</v>
        <stp/>
        <stp>BDH|16106200217875065718</stp>
        <tr r="AD398" s="5"/>
        <tr r="AC403" s="5"/>
        <tr r="AE388" s="5"/>
        <tr r="AF348" s="5"/>
        <tr r="AB408" s="5"/>
      </tp>
      <tp t="s">
        <v>#N/A N/A</v>
        <stp/>
        <stp>BDH|12080592982818919048</stp>
        <tr r="AC525" s="5"/>
        <tr r="AD520" s="5"/>
        <tr r="AE510" s="5"/>
        <tr r="AF470" s="5"/>
        <tr r="AB530" s="5"/>
      </tp>
      <tp t="s">
        <v>#N/A N/A</v>
        <stp/>
        <stp>BDH|13618619068712900603</stp>
        <tr r="AF51" s="5"/>
        <tr r="AC106" s="5"/>
        <tr r="AD101" s="5"/>
        <tr r="AE91" s="5"/>
        <tr r="AB111" s="5"/>
      </tp>
      <tp t="s">
        <v>#N/A N/A</v>
        <stp/>
        <stp>BDH|12087768956506798110</stp>
        <tr r="W734" s="5"/>
      </tp>
      <tp t="s">
        <v>#N/A N/A</v>
        <stp/>
        <stp>BDH|12623387424537925357</stp>
        <tr r="V445" s="5"/>
        <tr r="U455" s="5"/>
        <tr r="W405" s="5"/>
        <tr r="T460" s="5"/>
        <tr r="S465" s="5"/>
      </tp>
      <tp t="s">
        <v>#N/A N/A</v>
        <stp/>
        <stp>BDH|10769638101032436386</stp>
        <tr r="T591" s="5"/>
        <tr r="U586" s="5"/>
        <tr r="W536" s="5"/>
        <tr r="V576" s="5"/>
        <tr r="S596" s="5"/>
      </tp>
      <tp t="s">
        <v>#N/A N/A</v>
        <stp/>
        <stp>BDH|14483568051545820628</stp>
        <tr r="T164" s="5"/>
        <tr r="V150" s="5"/>
        <tr r="W110" s="5"/>
        <tr r="S169" s="5"/>
      </tp>
      <tp t="s">
        <v>#N/A N/A</v>
        <stp/>
        <stp>BDH|14048390183979151137</stp>
        <tr r="W231" s="5"/>
        <tr r="V271" s="5"/>
        <tr r="T286" s="5"/>
        <tr r="U281" s="5"/>
        <tr r="S291" s="5"/>
      </tp>
      <tp t="s">
        <v>#N/A N/A</v>
        <stp/>
        <stp>BDH|16885047236650456262</stp>
        <tr r="AE219" s="5"/>
        <tr r="AD229" s="5"/>
        <tr r="AF179" s="5"/>
        <tr r="AC234" s="5"/>
        <tr r="AB239" s="5"/>
      </tp>
      <tp t="s">
        <v>#N/A N/A</v>
        <stp/>
        <stp>BDH|11927593141586994101</stp>
        <tr r="U461" s="5"/>
        <tr r="W411" s="5"/>
        <tr r="T466" s="5"/>
        <tr r="V451" s="5"/>
        <tr r="S471" s="5"/>
      </tp>
      <tp t="s">
        <v>#N/A N/A</v>
        <stp/>
        <stp>BDH|18007690114169660134</stp>
        <tr r="AE351" s="5"/>
        <tr r="AC366" s="5"/>
        <tr r="AD361" s="5"/>
        <tr r="AF311" s="5"/>
        <tr r="AB371" s="5"/>
      </tp>
      <tp t="s">
        <v>#N/A N/A</v>
        <stp/>
        <stp>BDH|14869274246430076511</stp>
        <tr r="W544" s="5"/>
        <tr r="U594" s="5"/>
        <tr r="T599" s="5"/>
        <tr r="V584" s="5"/>
        <tr r="S604" s="5"/>
      </tp>
      <tp t="s">
        <v>#N/A N/A</v>
        <stp/>
        <stp>BDH|11304505226826814759</stp>
        <tr r="AD660" s="5"/>
        <tr r="AF610" s="5"/>
        <tr r="AE650" s="5"/>
        <tr r="AC665" s="5"/>
        <tr r="AB670" s="5"/>
      </tp>
      <tp t="s">
        <v>#N/A N/A</v>
        <stp/>
        <stp>BDH|14038273600510611190</stp>
        <tr r="U170" s="5"/>
        <tr r="T175" s="5"/>
        <tr r="V160" s="5"/>
        <tr r="W121" s="5"/>
        <tr r="S180" s="5"/>
      </tp>
      <tp t="s">
        <v>#N/A N/A</v>
        <stp/>
        <stp>BDH|12930412840096139321</stp>
        <tr r="T764" s="5"/>
        <tr r="U759" s="5"/>
        <tr r="W709" s="5"/>
        <tr r="V749" s="5"/>
      </tp>
      <tp t="s">
        <v>#N/A N/A</v>
        <stp/>
        <stp>BDH|17783419472437685483</stp>
        <tr r="V180" s="5"/>
        <tr r="U190" s="5"/>
        <tr r="T195" s="5"/>
        <tr r="W141" s="5"/>
        <tr r="S200" s="5"/>
      </tp>
      <tp t="s">
        <v>#N/A N/A</v>
        <stp/>
        <stp>BDH|13684297104017123100</stp>
        <tr r="AE704" s="5"/>
        <tr r="AC719" s="5"/>
        <tr r="AD714" s="5"/>
        <tr r="AF664" s="5"/>
        <tr r="AB724" s="5"/>
      </tp>
      <tp t="s">
        <v>#N/A N/A</v>
        <stp/>
        <stp>BDH|14520243539153743158</stp>
        <tr r="V433" s="5"/>
        <tr r="W393" s="5"/>
        <tr r="T448" s="5"/>
        <tr r="U443" s="5"/>
        <tr r="S453" s="5"/>
      </tp>
      <tp t="s">
        <v>#N/A N/A</v>
        <stp/>
        <stp>BDH|12238285866352767311</stp>
        <tr r="AD332" s="5"/>
        <tr r="AE322" s="5"/>
        <tr r="AC337" s="5"/>
        <tr r="AF282" s="5"/>
        <tr r="AB342" s="5"/>
      </tp>
      <tp t="s">
        <v>#N/A N/A</v>
        <stp/>
        <stp>BDH|15051353463322916551</stp>
        <tr r="AF738" s="5"/>
      </tp>
      <tp t="s">
        <v>#N/A N/A</v>
        <stp/>
        <stp>BDH|13997560450243276707</stp>
        <tr r="AD757" s="5"/>
        <tr r="AC762" s="5"/>
        <tr r="AF707" s="5"/>
        <tr r="AE747" s="5"/>
        <tr r="AB767" s="5"/>
      </tp>
      <tp t="s">
        <v>#N/A N/A</v>
        <stp/>
        <stp>BDH|14205679569044820798</stp>
        <tr r="AC272" s="5"/>
        <tr r="AD267" s="5"/>
        <tr r="AF217" s="5"/>
        <tr r="AE257" s="5"/>
        <tr r="AB277" s="5"/>
      </tp>
      <tp t="s">
        <v>#N/A N/A</v>
        <stp/>
        <stp>BDH|11935120946114453747</stp>
        <tr r="W183" s="5"/>
        <tr r="V223" s="5"/>
        <tr r="U233" s="5"/>
        <tr r="T238" s="5"/>
        <tr r="S243" s="5"/>
      </tp>
      <tp t="s">
        <v>#N/A N/A</v>
        <stp/>
        <stp>BDH|17593559387768243583</stp>
        <tr r="AE552" s="5"/>
        <tr r="AF512" s="5"/>
        <tr r="AC567" s="5"/>
        <tr r="AD562" s="5"/>
        <tr r="AB572" s="5"/>
      </tp>
      <tp t="s">
        <v>#N/A N/A</v>
        <stp/>
        <stp>BDH|15958344627594238753</stp>
        <tr r="T409" s="5"/>
        <tr r="V394" s="5"/>
        <tr r="W354" s="5"/>
        <tr r="U404" s="5"/>
        <tr r="S414" s="5"/>
      </tp>
      <tp t="s">
        <v>#N/A N/A</v>
        <stp/>
        <stp>BDH|13557648328965487508</stp>
        <tr r="AD225" s="5"/>
        <tr r="AE215" s="5"/>
        <tr r="AF175" s="5"/>
        <tr r="AC230" s="5"/>
        <tr r="AB235" s="5"/>
      </tp>
      <tp t="s">
        <v>#N/A N/A</v>
        <stp/>
        <stp>BDH|10113502133652851374</stp>
        <tr r="AB21" s="5"/>
      </tp>
      <tp t="s">
        <v>#N/A N/A</v>
        <stp/>
        <stp>BDH|14949140854435687231</stp>
        <tr r="U668" s="5"/>
        <tr r="T673" s="5"/>
        <tr r="V658" s="5"/>
        <tr r="W618" s="5"/>
        <tr r="S678" s="5"/>
      </tp>
      <tp t="s">
        <v>#N/A N/A</v>
        <stp/>
        <stp>BDH|15536779457269911904</stp>
        <tr r="W132" s="5"/>
        <tr r="V171" s="5"/>
        <tr r="T186" s="5"/>
        <tr r="U181" s="5"/>
        <tr r="S191" s="5"/>
      </tp>
      <tp t="s">
        <v>#N/A N/A</v>
        <stp/>
        <stp>BDH|11724803169918789054</stp>
        <tr r="U660" s="5"/>
        <tr r="W610" s="5"/>
        <tr r="V650" s="5"/>
        <tr r="T665" s="5"/>
        <tr r="S670" s="5"/>
      </tp>
      <tp t="s">
        <v>#N/A N/A</v>
        <stp/>
        <stp>BDH|16968499684764892933</stp>
        <tr r="W748" s="5"/>
      </tp>
      <tp t="s">
        <v>#N/A N/A</v>
        <stp/>
        <stp>BDH|12318837119258216440</stp>
        <tr r="AF739" s="5"/>
      </tp>
      <tp t="s">
        <v>#N/A N/A</v>
        <stp/>
        <stp>BDH|17846555022034946390</stp>
        <tr r="AE146" s="5"/>
        <tr r="AD156" s="5"/>
        <tr r="AC160" s="5"/>
        <tr r="AF106" s="5"/>
        <tr r="AB165" s="5"/>
      </tp>
      <tp t="s">
        <v>#N/A N/A</v>
        <stp/>
        <stp>BDH|16548024104204492596</stp>
        <tr r="AE545" s="5"/>
        <tr r="AF505" s="5"/>
        <tr r="AC560" s="5"/>
        <tr r="AD555" s="5"/>
        <tr r="AB565" s="5"/>
      </tp>
      <tp t="s">
        <v>#N/A N/A</v>
        <stp/>
        <stp>BDH|14945791949447574721</stp>
        <tr r="AF445" s="5"/>
        <tr r="AD495" s="5"/>
        <tr r="AE485" s="5"/>
        <tr r="AC500" s="5"/>
        <tr r="AB505" s="5"/>
      </tp>
      <tp t="s">
        <v>#N/A N/A</v>
        <stp/>
        <stp>BDH|11810554610215124720</stp>
        <tr r="V228" s="5"/>
        <tr r="W188" s="5"/>
        <tr r="T243" s="5"/>
        <tr r="U238" s="5"/>
        <tr r="S248" s="5"/>
      </tp>
      <tp t="s">
        <v>#N/A N/A</v>
        <stp/>
        <stp>BDH|13712085069060746105</stp>
        <tr r="AD611" s="5"/>
        <tr r="AE601" s="5"/>
        <tr r="AF561" s="5"/>
        <tr r="AC616" s="5"/>
        <tr r="AB621" s="5"/>
      </tp>
      <tp t="s">
        <v>#N/A N/A</v>
        <stp/>
        <stp>BDH|14562648314004221368</stp>
        <tr r="AE674" s="5"/>
        <tr r="AC689" s="5"/>
        <tr r="AF634" s="5"/>
        <tr r="AD684" s="5"/>
        <tr r="AB694" s="5"/>
      </tp>
      <tp t="s">
        <v>#N/A N/A</v>
        <stp/>
        <stp>BDH|13632602068433661489</stp>
        <tr r="U301" s="5"/>
        <tr r="W251" s="5"/>
        <tr r="V291" s="5"/>
        <tr r="T306" s="5"/>
        <tr r="S311" s="5"/>
      </tp>
      <tp t="s">
        <v>#N/A N/A</v>
        <stp/>
        <stp>BDH|11825172690545974868</stp>
        <tr r="AD128" s="5"/>
        <tr r="AE118" s="5"/>
        <tr r="AC133" s="5"/>
        <tr r="AF78" s="5"/>
        <tr r="AB138" s="5"/>
      </tp>
      <tp t="s">
        <v>#N/A N/A</v>
        <stp/>
        <stp>BDH|17698120471066333365</stp>
        <tr r="V89" s="5"/>
        <tr r="W49" s="5"/>
        <tr r="T104" s="5"/>
        <tr r="U99" s="5"/>
        <tr r="S109" s="5"/>
      </tp>
      <tp t="s">
        <v>#N/A N/A</v>
        <stp/>
        <stp>BDH|11641759733241233021</stp>
        <tr r="AF759" s="5"/>
      </tp>
      <tp t="s">
        <v>#N/A N/A</v>
        <stp/>
        <stp>BDH|17770248472945837392</stp>
        <tr r="W116" s="5"/>
        <tr r="T170" s="5"/>
        <tr r="U165" s="5"/>
        <tr r="V156" s="5"/>
        <tr r="S175" s="5"/>
      </tp>
      <tp t="s">
        <v>#N/A N/A</v>
        <stp/>
        <stp>BDH|10845170833100876647</stp>
        <tr r="AE341" s="5"/>
        <tr r="AD351" s="5"/>
        <tr r="AF301" s="5"/>
        <tr r="AC356" s="5"/>
        <tr r="AB361" s="5"/>
      </tp>
      <tp t="s">
        <v>#N/A N/A</v>
        <stp/>
        <stp>BDH|11153765730332213357</stp>
        <tr r="T35" s="5"/>
        <tr r="U30" s="5"/>
        <tr r="S40" s="5"/>
      </tp>
      <tp t="s">
        <v>#N/A N/A</v>
        <stp/>
        <stp>BDH|11371294326650888549</stp>
        <tr r="AF740" s="5"/>
      </tp>
      <tp t="s">
        <v>#N/A N/A</v>
        <stp/>
        <stp>BDH|16530456136562131777</stp>
        <tr r="AE129" s="5"/>
        <tr r="AF89" s="5"/>
        <tr r="AC144" s="5"/>
        <tr r="AD139" s="5"/>
        <tr r="AB149" s="5"/>
      </tp>
      <tp t="s">
        <v>#N/A N/A</v>
        <stp/>
        <stp>BDH|17695008382288442339</stp>
        <tr r="AD575" s="5"/>
        <tr r="AF525" s="5"/>
        <tr r="AE565" s="5"/>
        <tr r="AC580" s="5"/>
        <tr r="AB585" s="5"/>
      </tp>
      <tp t="s">
        <v>#N/A N/A</v>
        <stp/>
        <stp>BDH|14872693743742833093</stp>
        <tr r="W745" s="5"/>
      </tp>
      <tp t="s">
        <v>#N/A N/A</v>
        <stp/>
        <stp>BDH|11009844117624227822</stp>
        <tr r="AE689" s="5"/>
        <tr r="AF649" s="5"/>
        <tr r="AC704" s="5"/>
        <tr r="AD699" s="5"/>
        <tr r="AB709" s="5"/>
      </tp>
      <tp t="s">
        <v>#N/A N/A</v>
        <stp/>
        <stp>BDH|10285319861499938881</stp>
        <tr r="AF333" s="5"/>
        <tr r="AE373" s="5"/>
        <tr r="AC388" s="5"/>
        <tr r="AD383" s="5"/>
        <tr r="AB393" s="5"/>
      </tp>
      <tp t="s">
        <v>#N/A N/A</v>
        <stp/>
        <stp>BDH|17253577213033710426</stp>
        <tr r="AF304" s="5"/>
        <tr r="AC359" s="5"/>
        <tr r="AD354" s="5"/>
        <tr r="AE344" s="5"/>
        <tr r="AB364" s="5"/>
      </tp>
      <tp t="s">
        <v>#N/A N/A</v>
        <stp/>
        <stp>BDH|16934814591620828330</stp>
        <tr r="U582" s="5"/>
        <tr r="T587" s="5"/>
        <tr r="V572" s="5"/>
        <tr r="W532" s="5"/>
        <tr r="S592" s="5"/>
      </tp>
      <tp t="s">
        <v>#N/A N/A</v>
        <stp/>
        <stp>BDH|12039146876658913891</stp>
        <tr r="T457" s="5"/>
        <tr r="W402" s="5"/>
        <tr r="U452" s="5"/>
        <tr r="V442" s="5"/>
        <tr r="S462" s="5"/>
      </tp>
      <tp t="s">
        <v>#N/A N/A</v>
        <stp/>
        <stp>BDH|18372442381673425303</stp>
        <tr r="AC441" s="5"/>
        <tr r="AD436" s="5"/>
        <tr r="AF386" s="5"/>
        <tr r="AE426" s="5"/>
        <tr r="AB446" s="5"/>
      </tp>
      <tp t="s">
        <v>#N/A N/A</v>
        <stp/>
        <stp>BDH|14177143430071734302</stp>
        <tr r="U468" s="5"/>
        <tr r="T473" s="5"/>
        <tr r="W418" s="5"/>
        <tr r="V458" s="5"/>
        <tr r="S478" s="5"/>
      </tp>
      <tp t="s">
        <v>#N/A N/A</v>
        <stp/>
        <stp>BDH|17636705458433947252</stp>
        <tr r="W93" s="5"/>
        <tr r="U143" s="5"/>
        <tr r="V133" s="5"/>
        <tr r="T148" s="5"/>
        <tr r="S153" s="5"/>
      </tp>
      <tp t="s">
        <v>#N/A N/A</v>
        <stp/>
        <stp>BDH|11179973997892518714</stp>
        <tr r="W455" s="5"/>
        <tr r="U505" s="5"/>
        <tr r="V495" s="5"/>
        <tr r="T510" s="5"/>
        <tr r="S515" s="5"/>
      </tp>
      <tp t="s">
        <v>#N/A N/A</v>
        <stp/>
        <stp>BDH|11087282452481606390</stp>
        <tr r="U757" s="5"/>
        <tr r="T762" s="5"/>
        <tr r="W707" s="5"/>
        <tr r="V747" s="5"/>
        <tr r="S767" s="5"/>
      </tp>
      <tp t="s">
        <v>#N/A N/A</v>
        <stp/>
        <stp>BDH|14874831098408245948</stp>
        <tr r="AD250" s="5"/>
        <tr r="AE240" s="5"/>
        <tr r="AC255" s="5"/>
        <tr r="AF200" s="5"/>
        <tr r="AB260" s="5"/>
      </tp>
      <tp t="s">
        <v>#N/A N/A</v>
        <stp/>
        <stp>BDH|14834110020067906449</stp>
        <tr r="W732" s="5"/>
      </tp>
      <tp t="s">
        <v>#N/A N/A</v>
        <stp/>
        <stp>BDH|11731447537571865384</stp>
        <tr r="U65" s="5"/>
        <tr r="T70" s="5"/>
        <tr r="V55" s="5"/>
        <tr r="S75" s="5"/>
      </tp>
      <tp t="s">
        <v>#N/A N/A</v>
        <stp/>
        <stp>BDH|16201744955095412535</stp>
        <tr r="AC126" s="5"/>
        <tr r="AD121" s="5"/>
        <tr r="AF71" s="5"/>
        <tr r="AE111" s="5"/>
        <tr r="AB131" s="5"/>
      </tp>
      <tp t="s">
        <v>#N/A N/A</v>
        <stp/>
        <stp>BDH|15412144774044322332</stp>
        <tr r="U567" s="5"/>
        <tr r="W517" s="5"/>
        <tr r="T572" s="5"/>
        <tr r="V557" s="5"/>
        <tr r="S577" s="5"/>
      </tp>
      <tp t="s">
        <v>#N/A N/A</v>
        <stp/>
        <stp>BDH|11833584667817740173</stp>
        <tr r="AC279" s="5"/>
        <tr r="AE264" s="5"/>
        <tr r="AF224" s="5"/>
        <tr r="AD274" s="5"/>
        <tr r="AB284" s="5"/>
      </tp>
      <tp t="s">
        <v>#N/A N/A</v>
        <stp/>
        <stp>BDH|10604316326706009362</stp>
        <tr r="T21" s="5"/>
        <tr r="S26" s="5"/>
      </tp>
      <tp t="s">
        <v>#N/A N/A</v>
        <stp/>
        <stp>BDH|10065251137671172446</stp>
        <tr r="AC516" s="5"/>
        <tr r="AD511" s="5"/>
        <tr r="AF461" s="5"/>
        <tr r="AE501" s="5"/>
        <tr r="AB521" s="5"/>
      </tp>
      <tp t="s">
        <v>#N/A N/A</v>
        <stp/>
        <stp>BDH|17137366756874364145</stp>
        <tr r="W263" s="5"/>
        <tr r="V303" s="5"/>
        <tr r="U313" s="5"/>
        <tr r="T318" s="5"/>
        <tr r="S323" s="5"/>
      </tp>
      <tp t="s">
        <v>#N/A N/A</v>
        <stp/>
        <stp>BDH|10341371222204507153</stp>
        <tr r="V285" s="5"/>
        <tr r="T300" s="5"/>
        <tr r="W245" s="5"/>
        <tr r="U295" s="5"/>
        <tr r="S305" s="5"/>
      </tp>
      <tp t="s">
        <v>#N/A N/A</v>
        <stp/>
        <stp>BDH|12741855099493083427</stp>
        <tr r="AC471" s="5"/>
        <tr r="AE456" s="5"/>
        <tr r="AF416" s="5"/>
        <tr r="AD466" s="5"/>
        <tr r="AB476" s="5"/>
      </tp>
      <tp t="s">
        <v>#N/A N/A</v>
        <stp/>
        <stp>BDH|11317833429227980895</stp>
        <tr r="AC531" s="5"/>
        <tr r="AF476" s="5"/>
        <tr r="AE516" s="5"/>
        <tr r="AD526" s="5"/>
        <tr r="AB536" s="5"/>
      </tp>
      <tp t="s">
        <v>#N/A N/A</v>
        <stp/>
        <stp>BDH|15924175026712622077</stp>
        <tr r="W497" s="5"/>
        <tr r="T552" s="5"/>
        <tr r="V537" s="5"/>
        <tr r="U547" s="5"/>
        <tr r="S557" s="5"/>
      </tp>
      <tp t="s">
        <v>#N/A N/A</v>
        <stp/>
        <stp>BDH|12927326498615808935</stp>
        <tr r="U292" s="5"/>
        <tr r="T297" s="5"/>
        <tr r="W242" s="5"/>
        <tr r="V282" s="5"/>
        <tr r="S302" s="5"/>
      </tp>
      <tp t="s">
        <v>#N/A N/A</v>
        <stp/>
        <stp>BDH|17930188059713250412</stp>
        <tr r="T389" s="5"/>
        <tr r="W334" s="5"/>
        <tr r="V374" s="5"/>
        <tr r="U384" s="5"/>
        <tr r="S394" s="5"/>
      </tp>
      <tp t="s">
        <v>#N/A N/A</v>
        <stp/>
        <stp>BDH|11328281473673197324</stp>
        <tr r="AF753" s="5"/>
      </tp>
      <tp t="s">
        <v>#N/A N/A</v>
        <stp/>
        <stp>BDH|13873004434814071071</stp>
        <tr r="AE378" s="5"/>
        <tr r="AC393" s="5"/>
        <tr r="AD388" s="5"/>
        <tr r="AF338" s="5"/>
        <tr r="AB398" s="5"/>
      </tp>
      <tp t="s">
        <v>#N/A N/A</v>
        <stp/>
        <stp>BDH|10081561040480575595</stp>
        <tr r="V63" s="5"/>
        <tr r="T78" s="5"/>
        <tr r="U73" s="5"/>
        <tr r="W23" s="5"/>
        <tr r="S83" s="5"/>
      </tp>
      <tp t="s">
        <v>#N/A N/A</v>
        <stp/>
        <stp>BDH|10817085957636982746</stp>
        <tr r="W292" s="5"/>
        <tr r="V332" s="5"/>
        <tr r="T347" s="5"/>
        <tr r="U342" s="5"/>
        <tr r="S352" s="5"/>
      </tp>
      <tp t="s">
        <v>#N/A N/A</v>
        <stp/>
        <stp>BDH|11067194337947630028</stp>
        <tr r="AD631" s="5"/>
        <tr r="AF581" s="5"/>
        <tr r="AC636" s="5"/>
        <tr r="AE621" s="5"/>
        <tr r="AB641" s="5"/>
      </tp>
      <tp t="s">
        <v>#N/A N/A</v>
        <stp/>
        <stp>BDH|10990560511319088944</stp>
        <tr r="U219" s="5"/>
        <tr r="V209" s="5"/>
        <tr r="W169" s="5"/>
        <tr r="T224" s="5"/>
        <tr r="S229" s="5"/>
      </tp>
      <tp t="s">
        <v>#N/A N/A</v>
        <stp/>
        <stp>BDH|17069792712087684209</stp>
        <tr r="W620" s="5"/>
        <tr r="U670" s="5"/>
        <tr r="T675" s="5"/>
        <tr r="V660" s="5"/>
        <tr r="S680" s="5"/>
      </tp>
      <tp t="s">
        <v>#N/A N/A</v>
        <stp/>
        <stp>BDH|12193711351697925346</stp>
        <tr r="AF450" s="5"/>
        <tr r="AC505" s="5"/>
        <tr r="AE490" s="5"/>
        <tr r="AD500" s="5"/>
        <tr r="AB510" s="5"/>
      </tp>
      <tp t="s">
        <v>#N/A N/A</v>
        <stp/>
        <stp>BDH|11102894184831211423</stp>
        <tr r="AC370" s="5"/>
        <tr r="AE355" s="5"/>
        <tr r="AD365" s="5"/>
        <tr r="AF315" s="5"/>
        <tr r="AB375" s="5"/>
      </tp>
      <tp t="s">
        <v>#N/A N/A</v>
        <stp/>
        <stp>BDH|15229824897801203193</stp>
        <tr r="AD539" s="5"/>
        <tr r="AC544" s="5"/>
        <tr r="AF489" s="5"/>
        <tr r="AE529" s="5"/>
        <tr r="AB549" s="5"/>
      </tp>
      <tp t="s">
        <v>#N/A N/A</v>
        <stp/>
        <stp>BDH|12876645964144415203</stp>
        <tr r="AE450" s="5"/>
        <tr r="AC465" s="5"/>
        <tr r="AF410" s="5"/>
        <tr r="AD460" s="5"/>
        <tr r="AB470" s="5"/>
      </tp>
      <tp t="s">
        <v>#N/A N/A</v>
        <stp/>
        <stp>BDH|18397718601612874976</stp>
        <tr r="AF72" s="5"/>
        <tr r="AE112" s="5"/>
        <tr r="AC127" s="5"/>
        <tr r="AD122" s="5"/>
        <tr r="AB132" s="5"/>
      </tp>
      <tp t="s">
        <v>#N/A N/A</v>
        <stp/>
        <stp>BDH|11992820553829544110</stp>
        <tr r="T733" s="5"/>
        <tr r="W678" s="5"/>
        <tr r="V718" s="5"/>
        <tr r="U728" s="5"/>
        <tr r="S738" s="5"/>
      </tp>
      <tp t="s">
        <v>#N/A N/A</v>
        <stp/>
        <stp>BDH|16999275416650390146</stp>
        <tr r="V127" s="5"/>
        <tr r="T142" s="5"/>
        <tr r="U137" s="5"/>
        <tr r="W87" s="5"/>
        <tr r="S147" s="5"/>
      </tp>
      <tp t="s">
        <v>#N/A N/A</v>
        <stp/>
        <stp>BDH|14555058749554551023</stp>
        <tr r="AD735" s="5"/>
        <tr r="AF685" s="5"/>
        <tr r="AC740" s="5"/>
        <tr r="AE725" s="5"/>
        <tr r="AB745" s="5"/>
      </tp>
      <tp t="s">
        <v>#N/A N/A</v>
        <stp/>
        <stp>BDH|17529121031260871103</stp>
        <tr r="U755" s="5"/>
        <tr r="W705" s="5"/>
        <tr r="V745" s="5"/>
        <tr r="T760" s="5"/>
        <tr r="S765" s="5"/>
      </tp>
      <tp t="s">
        <v>#N/A N/A</v>
        <stp/>
        <stp>BDH|10287597839036237517</stp>
        <tr r="V414" s="5"/>
        <tr r="T429" s="5"/>
        <tr r="U424" s="5"/>
        <tr r="W374" s="5"/>
        <tr r="S434" s="5"/>
      </tp>
      <tp t="s">
        <v>#N/A N/A</v>
        <stp/>
        <stp>BDH|14238045823504359778</stp>
        <tr r="AE421" s="5"/>
        <tr r="AC436" s="5"/>
        <tr r="AF381" s="5"/>
        <tr r="AD431" s="5"/>
        <tr r="AB441" s="5"/>
      </tp>
      <tp t="s">
        <v>#N/A N/A</v>
        <stp/>
        <stp>BDH|10325212640464659753</stp>
        <tr r="T260" s="5"/>
        <tr r="W205" s="5"/>
        <tr r="U255" s="5"/>
        <tr r="V245" s="5"/>
        <tr r="S265" s="5"/>
      </tp>
      <tp t="s">
        <v>#N/A N/A</v>
        <stp/>
        <stp>BDH|13353551675527335315</stp>
        <tr r="V689" s="5"/>
        <tr r="W649" s="5"/>
        <tr r="T704" s="5"/>
        <tr r="U699" s="5"/>
        <tr r="S709" s="5"/>
      </tp>
      <tp t="s">
        <v>#N/A N/A</v>
        <stp/>
        <stp>BDH|17812400877026945773</stp>
        <tr r="AE328" s="5"/>
        <tr r="AF288" s="5"/>
        <tr r="AD338" s="5"/>
        <tr r="AC343" s="5"/>
        <tr r="AB348" s="5"/>
      </tp>
      <tp t="s">
        <v>#N/A N/A</v>
        <stp/>
        <stp>BDH|13212067071267077650</stp>
        <tr r="AF509" s="5"/>
        <tr r="AD559" s="5"/>
        <tr r="AE549" s="5"/>
        <tr r="AC564" s="5"/>
        <tr r="AB569" s="5"/>
      </tp>
      <tp t="s">
        <v>#N/A N/A</v>
        <stp/>
        <stp>BDH|10061747191883770829</stp>
        <tr r="AC31" s="5"/>
        <tr r="AD26" s="5"/>
        <tr r="AB36" s="5"/>
      </tp>
      <tp t="s">
        <v>#N/A N/A</v>
        <stp/>
        <stp>BDH|15025260803842476018</stp>
        <tr r="AF299" s="5"/>
        <tr r="AE339" s="5"/>
        <tr r="AC354" s="5"/>
        <tr r="AD349" s="5"/>
        <tr r="AB359" s="5"/>
      </tp>
      <tp t="s">
        <v>#N/A N/A</v>
        <stp/>
        <stp>BDH|13385293021567139190</stp>
        <tr r="AC723" s="5"/>
        <tr r="AF668" s="5"/>
        <tr r="AE708" s="5"/>
        <tr r="AD718" s="5"/>
        <tr r="AB728" s="5"/>
      </tp>
      <tp t="s">
        <v>#N/A N/A</v>
        <stp/>
        <stp>BDH|17275019817171269254</stp>
        <tr r="V88" s="5"/>
        <tr r="W48" s="5"/>
        <tr r="U98" s="5"/>
        <tr r="T103" s="5"/>
        <tr r="S108" s="5"/>
      </tp>
      <tp t="s">
        <v>#N/A N/A</v>
        <stp/>
        <stp>BDH|10600771860245705150</stp>
        <tr r="AE723" s="5"/>
        <tr r="AF683" s="5"/>
        <tr r="AC738" s="5"/>
        <tr r="AD733" s="5"/>
        <tr r="AB743" s="5"/>
      </tp>
      <tp t="s">
        <v>#N/A N/A</v>
        <stp/>
        <stp>BDH|11383084358580205128</stp>
        <tr r="AF316" s="5"/>
        <tr r="AD366" s="5"/>
        <tr r="AC371" s="5"/>
        <tr r="AE356" s="5"/>
        <tr r="AB376" s="5"/>
      </tp>
      <tp t="s">
        <v>#N/A N/A</v>
        <stp/>
        <stp>BDH|12033450066404616166</stp>
        <tr r="AD649" s="5"/>
        <tr r="AE639" s="5"/>
        <tr r="AF599" s="5"/>
        <tr r="AC654" s="5"/>
        <tr r="AB659" s="5"/>
      </tp>
      <tp t="s">
        <v>#N/A N/A</v>
        <stp/>
        <stp>BDH|10325800266452415927</stp>
        <tr r="AF65" s="5"/>
        <tr r="AC120" s="5"/>
        <tr r="AE105" s="5"/>
        <tr r="AD115" s="5"/>
        <tr r="AB125" s="5"/>
      </tp>
      <tp t="s">
        <v>#N/A N/A</v>
        <stp/>
        <stp>BDH|18436758826961431906</stp>
        <tr r="AE688" s="5"/>
        <tr r="AC703" s="5"/>
        <tr r="AF648" s="5"/>
        <tr r="AD698" s="5"/>
        <tr r="AB708" s="5"/>
      </tp>
      <tp t="s">
        <v>#N/A N/A</v>
        <stp/>
        <stp>BDH|15519754945210230340</stp>
        <tr r="V545" s="5"/>
        <tr r="W505" s="5"/>
        <tr r="T560" s="5"/>
        <tr r="U555" s="5"/>
        <tr r="S565" s="5"/>
      </tp>
      <tp t="s">
        <v>#N/A N/A</v>
        <stp/>
        <stp>BDH|12819190335477070269</stp>
        <tr r="AE475" s="5"/>
        <tr r="AC490" s="5"/>
        <tr r="AF435" s="5"/>
        <tr r="AD485" s="5"/>
        <tr r="AB495" s="5"/>
      </tp>
      <tp t="s">
        <v>#N/A N/A</v>
        <stp/>
        <stp>BDH|17331526474079633915</stp>
        <tr r="AD201" s="5"/>
        <tr r="AC206" s="5"/>
        <tr r="AE191" s="5"/>
        <tr r="AF152" s="5"/>
        <tr r="AB211" s="5"/>
      </tp>
      <tp t="s">
        <v>#N/A N/A</v>
        <stp/>
        <stp>BDH|11067546642667432201</stp>
        <tr r="AD414" s="5"/>
        <tr r="AC419" s="5"/>
        <tr r="AF364" s="5"/>
        <tr r="AE404" s="5"/>
        <tr r="AB424" s="5"/>
      </tp>
      <tp t="s">
        <v>#N/A N/A</v>
        <stp/>
        <stp>BDH|14121350634352233379</stp>
        <tr r="AE48" s="5"/>
        <tr r="AD58" s="5"/>
        <tr r="AC63" s="5"/>
        <tr r="AB68" s="5"/>
      </tp>
      <tp t="s">
        <v>#N/A N/A</v>
        <stp/>
        <stp>BDH|13785095676128939946</stp>
        <tr r="V497" s="5"/>
        <tr r="W457" s="5"/>
        <tr r="T512" s="5"/>
        <tr r="U507" s="5"/>
        <tr r="S517" s="5"/>
      </tp>
      <tp t="s">
        <v>#N/A N/A</v>
        <stp/>
        <stp>BDH|10469418205161683037</stp>
        <tr r="AC187" s="5"/>
        <tr r="AE172" s="5"/>
        <tr r="AF133" s="5"/>
        <tr r="AD182" s="5"/>
        <tr r="AB192" s="5"/>
      </tp>
      <tp t="s">
        <v>#N/A N/A</v>
        <stp/>
        <stp>BDH|16488179101025121767</stp>
        <tr r="T746" s="5"/>
        <tr r="W691" s="5"/>
        <tr r="V731" s="5"/>
        <tr r="U741" s="5"/>
        <tr r="S751" s="5"/>
      </tp>
      <tp t="s">
        <v>#N/A N/A</v>
        <stp/>
        <stp>BDH|14285205828356956770</stp>
        <tr r="AE104" s="5"/>
        <tr r="AF64" s="5"/>
        <tr r="AC119" s="5"/>
        <tr r="AD114" s="5"/>
        <tr r="AB124" s="5"/>
      </tp>
      <tp t="s">
        <v>#N/A N/A</v>
        <stp/>
        <stp>BDH|13289222975582624177</stp>
        <tr r="U590" s="5"/>
        <tr r="T595" s="5"/>
        <tr r="V580" s="5"/>
        <tr r="W540" s="5"/>
        <tr r="S600" s="5"/>
      </tp>
      <tp t="s">
        <v>#N/A N/A</v>
        <stp/>
        <stp>BDH|16577335706207052749</stp>
        <tr r="W273" s="5"/>
        <tr r="T328" s="5"/>
        <tr r="V313" s="5"/>
        <tr r="U323" s="5"/>
        <tr r="S333" s="5"/>
      </tp>
      <tp t="s">
        <v>#N/A N/A</v>
        <stp/>
        <stp>BDH|10073262941794438771</stp>
        <tr r="AE627" s="5"/>
        <tr r="AC642" s="5"/>
        <tr r="AD637" s="5"/>
        <tr r="AF587" s="5"/>
        <tr r="AB647" s="5"/>
      </tp>
      <tp t="s">
        <v>#N/A N/A</v>
        <stp/>
        <stp>BDH|10004398520550418498</stp>
        <tr r="AC591" s="5"/>
        <tr r="AD586" s="5"/>
        <tr r="AF536" s="5"/>
        <tr r="AE576" s="5"/>
        <tr r="AB596" s="5"/>
      </tp>
      <tp t="s">
        <v>#N/A N/A</v>
        <stp/>
        <stp>BDH|17868492648392677084</stp>
        <tr r="AD318" s="5"/>
        <tr r="AC323" s="5"/>
        <tr r="AE308" s="5"/>
        <tr r="AF268" s="5"/>
        <tr r="AB328" s="5"/>
      </tp>
      <tp t="s">
        <v>#N/A N/A</v>
        <stp/>
        <stp>BDH|14034620800870118750</stp>
        <tr r="AE697" s="5"/>
        <tr r="AF657" s="5"/>
        <tr r="AC712" s="5"/>
        <tr r="AD707" s="5"/>
        <tr r="AB717" s="5"/>
      </tp>
      <tp t="s">
        <v>#N/A N/A</v>
        <stp/>
        <stp>BDH|12185016647832884192</stp>
        <tr r="W757" s="5"/>
      </tp>
      <tp t="s">
        <v>#N/A N/A</v>
        <stp/>
        <stp>BDH|16381213496850338816</stp>
        <tr r="V333" s="5"/>
        <tr r="W293" s="5"/>
        <tr r="U343" s="5"/>
        <tr r="T348" s="5"/>
        <tr r="S353" s="5"/>
      </tp>
      <tp t="s">
        <v>#N/A N/A</v>
        <stp/>
        <stp>BDH|15765607854876354594</stp>
        <tr r="AD622" s="5"/>
        <tr r="AE612" s="5"/>
        <tr r="AF572" s="5"/>
        <tr r="AC627" s="5"/>
        <tr r="AB632" s="5"/>
      </tp>
      <tp t="s">
        <v>#N/A N/A</v>
        <stp/>
        <stp>BDH|14331196443306082201</stp>
        <tr r="AC167" s="5"/>
        <tr r="AD162" s="5"/>
        <tr r="AE153" s="5"/>
        <tr r="AF113" s="5"/>
        <tr r="AB172" s="5"/>
      </tp>
      <tp t="s">
        <v>#N/A N/A</v>
        <stp/>
        <stp>BDH|11949047386568427464</stp>
        <tr r="AC742" s="5"/>
        <tr r="AF687" s="5"/>
        <tr r="AD737" s="5"/>
        <tr r="AE727" s="5"/>
        <tr r="AB747" s="5"/>
      </tp>
      <tp t="s">
        <v>#N/A N/A</v>
        <stp/>
        <stp>BDH|15423082414862865386</stp>
        <tr r="V312" s="5"/>
        <tr r="W272" s="5"/>
        <tr r="T327" s="5"/>
        <tr r="U322" s="5"/>
        <tr r="S332" s="5"/>
      </tp>
      <tp t="s">
        <v>#N/A N/A</v>
        <stp/>
        <stp>BDH|12678251199409190538</stp>
        <tr r="W120" s="5"/>
        <tr r="T174" s="5"/>
        <tr r="U169" s="5"/>
        <tr r="S179" s="5"/>
      </tp>
      <tp t="s">
        <v>#N/A N/A</v>
        <stp/>
        <stp>BDH|10869179277211696264</stp>
        <tr r="U715" s="5"/>
        <tr r="V705" s="5"/>
        <tr r="T720" s="5"/>
        <tr r="W665" s="5"/>
        <tr r="S725" s="5"/>
      </tp>
      <tp t="s">
        <v>#N/A N/A</v>
        <stp/>
        <stp>BDH|10538914584280807403</stp>
        <tr r="AC714" s="5"/>
        <tr r="AE699" s="5"/>
        <tr r="AD709" s="5"/>
        <tr r="AF659" s="5"/>
        <tr r="AB719" s="5"/>
      </tp>
      <tp t="s">
        <v>#N/A N/A</v>
        <stp/>
        <stp>BDH|13547144709460678767</stp>
        <tr r="AE430" s="5"/>
        <tr r="AC445" s="5"/>
        <tr r="AF390" s="5"/>
        <tr r="AD440" s="5"/>
        <tr r="AB450" s="5"/>
      </tp>
      <tp t="s">
        <v>#N/A N/A</v>
        <stp/>
        <stp>BDH|15957887145175673999</stp>
        <tr r="AF637" s="5"/>
        <tr r="AD687" s="5"/>
        <tr r="AC692" s="5"/>
        <tr r="AE677" s="5"/>
        <tr r="AB697" s="5"/>
      </tp>
      <tp t="s">
        <v>#N/A N/A</v>
        <stp/>
        <stp>BDH|14877066600752118342</stp>
        <tr r="T89" s="5"/>
        <tr r="V74" s="5"/>
        <tr r="U84" s="5"/>
        <tr r="W34" s="5"/>
        <tr r="S94" s="5"/>
      </tp>
      <tp t="s">
        <v>#N/A N/A</v>
        <stp/>
        <stp>BDH|15122341838309539937</stp>
        <tr r="V155" s="5"/>
        <tr r="T169" s="5"/>
        <tr r="U164" s="5"/>
        <tr r="W115" s="5"/>
        <tr r="S174" s="5"/>
      </tp>
      <tp t="s">
        <v>#N/A N/A</v>
        <stp/>
        <stp>BDH|13641984183813261455</stp>
        <tr r="AD106" s="5"/>
        <tr r="AE96" s="5"/>
        <tr r="AC111" s="5"/>
        <tr r="AF56" s="5"/>
        <tr r="AB116" s="5"/>
      </tp>
      <tp t="s">
        <v>#N/A N/A</v>
        <stp/>
        <stp>BDH|14517736609873765521</stp>
        <tr r="W758" s="5"/>
      </tp>
      <tp t="s">
        <v>#N/A N/A</v>
        <stp/>
        <stp>BDH|17427880014833251800</stp>
        <tr r="U720" s="5"/>
        <tr r="T725" s="5"/>
        <tr r="V710" s="5"/>
        <tr r="W670" s="5"/>
        <tr r="S730" s="5"/>
      </tp>
      <tp t="s">
        <v>#N/A N/A</v>
        <stp/>
        <stp>BDH|12029255973457496584</stp>
        <tr r="AF421" s="5"/>
        <tr r="AC476" s="5"/>
        <tr r="AE461" s="5"/>
        <tr r="AD471" s="5"/>
        <tr r="AB481" s="5"/>
      </tp>
      <tp t="s">
        <v>#N/A N/A</v>
        <stp/>
        <stp>BDH|17905300142555291042</stp>
        <tr r="AF681" s="5"/>
        <tr r="AC736" s="5"/>
        <tr r="AD731" s="5"/>
        <tr r="AE721" s="5"/>
        <tr r="AB741" s="5"/>
      </tp>
      <tp t="s">
        <v>#N/A N/A</v>
        <stp/>
        <stp>BDH|10641753826796850604</stp>
        <tr r="T619" s="5"/>
        <tr r="V604" s="5"/>
        <tr r="U614" s="5"/>
        <tr r="W564" s="5"/>
        <tr r="S624" s="5"/>
      </tp>
      <tp t="s">
        <v>#N/A N/A</v>
        <stp/>
        <stp>BDH|14946128070574797310</stp>
        <tr r="AE401" s="5"/>
        <tr r="AF361" s="5"/>
        <tr r="AC416" s="5"/>
        <tr r="AD411" s="5"/>
        <tr r="AB421" s="5"/>
      </tp>
      <tp t="s">
        <v>#N/A N/A</v>
        <stp/>
        <stp>BDH|16091712800701506598</stp>
        <tr r="AD60" s="5"/>
        <tr r="AC65" s="5"/>
        <tr r="AE50" s="5"/>
        <tr r="AB70" s="5"/>
      </tp>
      <tp t="s">
        <v>#N/A N/A</v>
        <stp/>
        <stp>BDH|11903979628416960930</stp>
        <tr r="T556" s="5"/>
        <tr r="U551" s="5"/>
        <tr r="W501" s="5"/>
        <tr r="V541" s="5"/>
        <tr r="S561" s="5"/>
      </tp>
      <tp t="s">
        <v>#N/A N/A</v>
        <stp/>
        <stp>BDH|14517243713800740296</stp>
        <tr r="AD475" s="5"/>
        <tr r="AE465" s="5"/>
        <tr r="AF425" s="5"/>
        <tr r="AC480" s="5"/>
        <tr r="AB485" s="5"/>
      </tp>
      <tp t="s">
        <v>#N/A N/A</v>
        <stp/>
        <stp>BDH|11219723365221287483</stp>
        <tr r="AF357" s="5"/>
        <tr r="AC412" s="5"/>
        <tr r="AD407" s="5"/>
        <tr r="AE397" s="5"/>
        <tr r="AB417" s="5"/>
      </tp>
      <tp t="s">
        <v>#N/A N/A</v>
        <stp/>
        <stp>BDH|11809108830822658417</stp>
        <tr r="AE41" s="5"/>
        <tr r="AC56" s="5"/>
        <tr r="AD51" s="5"/>
        <tr r="AB61" s="5"/>
      </tp>
      <tp t="s">
        <v>#N/A N/A</v>
        <stp/>
        <stp>BDH|18427886118307865335</stp>
        <tr r="T464" s="5"/>
        <tr r="U459" s="5"/>
        <tr r="V449" s="5"/>
        <tr r="W409" s="5"/>
        <tr r="S469" s="5"/>
      </tp>
      <tp t="s">
        <v>#N/A N/A</v>
        <stp/>
        <stp>BDH|18021926404707981316</stp>
        <tr r="V28" s="5"/>
        <tr r="T43" s="5"/>
        <tr r="U38" s="5"/>
        <tr r="S48" s="5"/>
      </tp>
      <tp t="s">
        <v>#N/A N/A</v>
        <stp/>
        <stp>BDH|11262418769840260664</stp>
        <tr r="AC34" s="5"/>
        <tr r="AD29" s="5"/>
        <tr r="AB39" s="5"/>
      </tp>
    </main>
    <main first="bofaddin.rtdserver">
      <tp t="s">
        <v>#N/A N/A</v>
        <stp/>
        <stp>BDH|8417289323534283070</stp>
        <tr r="AF723" s="5"/>
        <tr r="AE763" s="5"/>
      </tp>
      <tp t="s">
        <v>#N/A N/A</v>
        <stp/>
        <stp>BDH|4362282589084837613</stp>
        <tr r="W46" s="5"/>
        <tr r="V86" s="5"/>
        <tr r="U96" s="5"/>
        <tr r="T101" s="5"/>
        <tr r="S106" s="5"/>
      </tp>
      <tp t="s">
        <v>#N/A N/A</v>
        <stp/>
        <stp>BDH|7701045224631972853</stp>
        <tr r="AE89" s="5"/>
        <tr r="AF49" s="5"/>
        <tr r="AC104" s="5"/>
        <tr r="AD99" s="5"/>
        <tr r="AB109" s="5"/>
      </tp>
      <tp t="s">
        <v>#N/A N/A</v>
        <stp/>
        <stp>BDH|8189493326813040151</stp>
        <tr r="AD77" s="5"/>
        <tr r="AC82" s="5"/>
        <tr r="AE67" s="5"/>
        <tr r="AF27" s="5"/>
        <tr r="AB87" s="5"/>
      </tp>
      <tp t="s">
        <v>#N/A N/A</v>
        <stp/>
        <stp>BDH|8100084512354387131</stp>
        <tr r="T674" s="5"/>
        <tr r="V659" s="5"/>
        <tr r="U669" s="5"/>
        <tr r="W619" s="5"/>
        <tr r="S679" s="5"/>
      </tp>
      <tp t="s">
        <v>#N/A N/A</v>
        <stp/>
        <stp>BDH|3031504788220243224</stp>
        <tr r="V425" s="5"/>
        <tr r="T440" s="5"/>
        <tr r="U435" s="5"/>
        <tr r="W385" s="5"/>
        <tr r="S445" s="5"/>
      </tp>
      <tp t="s">
        <v>#N/A N/A</v>
        <stp/>
        <stp>BDH|5349471231049596785</stp>
        <tr r="T140" s="5"/>
        <tr r="U135" s="5"/>
        <tr r="W85" s="5"/>
        <tr r="V125" s="5"/>
        <tr r="S145" s="5"/>
      </tp>
      <tp t="s">
        <v>#N/A N/A</v>
        <stp/>
        <stp>BDH|1369478749804030946</stp>
        <tr r="AF182" s="5"/>
        <tr r="AC237" s="5"/>
        <tr r="AD232" s="5"/>
        <tr r="AE222" s="5"/>
        <tr r="AB242" s="5"/>
      </tp>
      <tp t="s">
        <v>#N/A N/A</v>
        <stp/>
        <stp>BDH|4032616299571800692</stp>
        <tr r="W25" s="5"/>
        <tr r="V65" s="5"/>
        <tr r="T80" s="5"/>
        <tr r="U75" s="5"/>
        <tr r="S85" s="5"/>
      </tp>
      <tp t="s">
        <v>#N/A N/A</v>
        <stp/>
        <stp>BDH|9827375501234152262</stp>
        <tr r="U304" s="5"/>
        <tr r="V294" s="5"/>
        <tr r="T309" s="5"/>
        <tr r="W254" s="5"/>
        <tr r="S314" s="5"/>
      </tp>
      <tp t="s">
        <v>#N/A N/A</v>
        <stp/>
        <stp>BDH|2832582486803688093</stp>
        <tr r="AC260" s="5"/>
        <tr r="AF205" s="5"/>
        <tr r="AD255" s="5"/>
        <tr r="AE245" s="5"/>
        <tr r="AB265" s="5"/>
      </tp>
      <tp t="s">
        <v>#N/A N/A</v>
        <stp/>
        <stp>BDH|4772829276175547289</stp>
        <tr r="U414" s="5"/>
        <tr r="T419" s="5"/>
        <tr r="W364" s="5"/>
        <tr r="V404" s="5"/>
        <tr r="S424" s="5"/>
      </tp>
      <tp t="s">
        <v>#N/A N/A</v>
        <stp/>
        <stp>BDH|2905949973364005404</stp>
        <tr r="T149" s="5"/>
        <tr r="V134" s="5"/>
        <tr r="W94" s="5"/>
        <tr r="U144" s="5"/>
        <tr r="S154" s="5"/>
      </tp>
      <tp t="s">
        <v>#N/A N/A</v>
        <stp/>
        <stp>BDH|3152913876423050297</stp>
        <tr r="T543" s="5"/>
        <tr r="W488" s="5"/>
        <tr r="U538" s="5"/>
        <tr r="V528" s="5"/>
        <tr r="S548" s="5"/>
      </tp>
      <tp t="s">
        <v>#N/A N/A</v>
        <stp/>
        <stp>BDH|5976926214690772175</stp>
        <tr r="AC364" s="5"/>
        <tr r="AF309" s="5"/>
        <tr r="AD359" s="5"/>
        <tr r="AE349" s="5"/>
        <tr r="AB369" s="5"/>
      </tp>
      <tp t="s">
        <v>#N/A N/A</v>
        <stp/>
        <stp>BDH|7585804708803769059</stp>
        <tr r="AE488" s="5"/>
        <tr r="AC503" s="5"/>
        <tr r="AF448" s="5"/>
        <tr r="AD498" s="5"/>
        <tr r="AB508" s="5"/>
      </tp>
      <tp t="s">
        <v>#N/A N/A</v>
        <stp/>
        <stp>BDH|6680157115573810917</stp>
        <tr r="AE739" s="5"/>
        <tr r="AF699" s="5"/>
        <tr r="AD749" s="5"/>
        <tr r="AC754" s="5"/>
        <tr r="AB759" s="5"/>
      </tp>
      <tp t="s">
        <v>#N/A N/A</v>
        <stp/>
        <stp>BDH|3977774260906605858</stp>
        <tr r="V192" s="5"/>
        <tr r="W153" s="5"/>
        <tr r="T207" s="5"/>
        <tr r="U202" s="5"/>
        <tr r="S212" s="5"/>
      </tp>
      <tp t="s">
        <v>#N/A N/A</v>
        <stp/>
        <stp>BDH|8368181668253627081</stp>
        <tr r="U89" s="5"/>
        <tr r="V79" s="5"/>
        <tr r="T94" s="5"/>
        <tr r="W39" s="5"/>
        <tr r="S99" s="5"/>
      </tp>
      <tp t="s">
        <v>#N/A N/A</v>
        <stp/>
        <stp>BDH|9317676908117099412</stp>
        <tr r="T474" s="5"/>
        <tr r="W419" s="5"/>
        <tr r="V459" s="5"/>
        <tr r="U469" s="5"/>
        <tr r="S479" s="5"/>
      </tp>
      <tp t="s">
        <v>#N/A N/A</v>
        <stp/>
        <stp>BDH|1887650225820961937</stp>
        <tr r="AE357" s="5"/>
        <tr r="AD367" s="5"/>
        <tr r="AC372" s="5"/>
        <tr r="AF317" s="5"/>
        <tr r="AB377" s="5"/>
      </tp>
      <tp t="s">
        <v>#N/A N/A</v>
        <stp/>
        <stp>BDH|2051192593811832709</stp>
        <tr r="V701" s="5"/>
        <tr r="T716" s="5"/>
        <tr r="W661" s="5"/>
        <tr r="U711" s="5"/>
        <tr r="S721" s="5"/>
      </tp>
      <tp t="s">
        <v>#N/A N/A</v>
        <stp/>
        <stp>BDH|2643545161398821595</stp>
        <tr r="V474" s="5"/>
        <tr r="W434" s="5"/>
        <tr r="U484" s="5"/>
        <tr r="T489" s="5"/>
        <tr r="S494" s="5"/>
      </tp>
      <tp t="s">
        <v>#N/A N/A</v>
        <stp/>
        <stp>BDH|2515108083766341170</stp>
        <tr r="AF360" s="5"/>
        <tr r="AE400" s="5"/>
        <tr r="AC415" s="5"/>
        <tr r="AD410" s="5"/>
        <tr r="AB420" s="5"/>
      </tp>
      <tp t="s">
        <v>#N/A N/A</v>
        <stp/>
        <stp>BDH|1415074796384353053</stp>
        <tr r="U467" s="5"/>
        <tr r="V457" s="5"/>
        <tr r="T472" s="5"/>
        <tr r="W417" s="5"/>
        <tr r="S477" s="5"/>
      </tp>
      <tp t="s">
        <v>#N/A N/A</v>
        <stp/>
        <stp>BDH|9791151613945625041</stp>
        <tr r="T683" s="5"/>
        <tr r="W628" s="5"/>
        <tr r="V668" s="5"/>
        <tr r="U678" s="5"/>
        <tr r="S688" s="5"/>
      </tp>
      <tp t="s">
        <v>#N/A N/A</v>
        <stp/>
        <stp>BDH|4859793485374319340</stp>
        <tr r="U449" s="5"/>
        <tr r="T454" s="5"/>
        <tr r="V439" s="5"/>
        <tr r="W399" s="5"/>
        <tr r="S459" s="5"/>
      </tp>
      <tp t="s">
        <v>#N/A N/A</v>
        <stp/>
        <stp>BDH|6424313357809157504</stp>
        <tr r="AC197" s="5"/>
        <tr r="AE182" s="5"/>
        <tr r="AF143" s="5"/>
        <tr r="AD192" s="5"/>
        <tr r="AB202" s="5"/>
      </tp>
      <tp t="s">
        <v>#N/A N/A</v>
        <stp/>
        <stp>BDH|3693337524627663944</stp>
        <tr r="W641" s="5"/>
        <tr r="T696" s="5"/>
        <tr r="V681" s="5"/>
        <tr r="U691" s="5"/>
        <tr r="S701" s="5"/>
      </tp>
      <tp t="s">
        <v>#N/A N/A</v>
        <stp/>
        <stp>BDH|2409472617983427809</stp>
        <tr r="AD405" s="5"/>
        <tr r="AF355" s="5"/>
        <tr r="AE395" s="5"/>
        <tr r="AC410" s="5"/>
        <tr r="AB415" s="5"/>
      </tp>
      <tp t="s">
        <v>#N/A N/A</v>
        <stp/>
        <stp>BDH|2636205393437007251</stp>
        <tr r="V665" s="5"/>
        <tr r="W625" s="5"/>
        <tr r="T680" s="5"/>
        <tr r="U675" s="5"/>
        <tr r="S685" s="5"/>
      </tp>
      <tp t="s">
        <v>#N/A N/A</v>
        <stp/>
        <stp>BDH|9646480544282921733</stp>
        <tr r="AE54" s="5"/>
        <tr r="AD64" s="5"/>
        <tr r="AC69" s="5"/>
        <tr r="AB74" s="5"/>
      </tp>
      <tp t="s">
        <v>#N/A N/A</v>
        <stp/>
        <stp>BDH|2721802198527814860</stp>
        <tr r="T633" s="5"/>
        <tr r="W578" s="5"/>
        <tr r="U628" s="5"/>
        <tr r="V618" s="5"/>
        <tr r="S638" s="5"/>
      </tp>
      <tp t="s">
        <v>#N/A N/A</v>
        <stp/>
        <stp>BDH|3843996345706294475</stp>
        <tr r="AD170" s="5"/>
        <tr r="AC175" s="5"/>
        <tr r="AE160" s="5"/>
        <tr r="AF121" s="5"/>
        <tr r="AB180" s="5"/>
      </tp>
      <tp t="s">
        <v>#N/A N/A</v>
        <stp/>
        <stp>BDH|3576818865403629219</stp>
        <tr r="U683" s="5"/>
        <tr r="T688" s="5"/>
        <tr r="W633" s="5"/>
        <tr r="V673" s="5"/>
        <tr r="S693" s="5"/>
      </tp>
      <tp t="s">
        <v>#N/A N/A</v>
        <stp/>
        <stp>BDH|5606513245041218962</stp>
        <tr r="AF550" s="5"/>
        <tr r="AE590" s="5"/>
        <tr r="AC605" s="5"/>
        <tr r="AD600" s="5"/>
        <tr r="AB610" s="5"/>
      </tp>
      <tp t="s">
        <v>#N/A N/A</v>
        <stp/>
        <stp>BDH|9101120021594306276</stp>
        <tr r="W749" s="5"/>
      </tp>
      <tp t="s">
        <v>#N/A N/A</v>
        <stp/>
        <stp>BDH|9289211567089246809</stp>
        <tr r="W149" s="5"/>
        <tr r="T203" s="5"/>
        <tr r="V188" s="5"/>
        <tr r="U198" s="5"/>
        <tr r="S208" s="5"/>
      </tp>
      <tp t="e">
        <v>#N/A</v>
        <stp/>
        <stp>BDP|5318564968183972937</stp>
        <tr r="E8" s="5"/>
      </tp>
      <tp t="s">
        <v>#N/A N/A</v>
        <stp/>
        <stp>BDH|6010793788477096262</stp>
        <tr r="AE414" s="5"/>
        <tr r="AC429" s="5"/>
        <tr r="AD424" s="5"/>
        <tr r="AF374" s="5"/>
        <tr r="AB434" s="5"/>
      </tp>
      <tp t="s">
        <v>#N/A N/A</v>
        <stp/>
        <stp>BDH|5566531187872412620</stp>
        <tr r="AF63" s="5"/>
        <tr r="AC118" s="5"/>
        <tr r="AE103" s="5"/>
        <tr r="AD113" s="5"/>
        <tr r="AB123" s="5"/>
      </tp>
      <tp t="s">
        <v>#N/A N/A</v>
        <stp/>
        <stp>BDH|8123031640672668204</stp>
        <tr r="T346" s="5"/>
        <tr r="U341" s="5"/>
        <tr r="W291" s="5"/>
        <tr r="V331" s="5"/>
        <tr r="S351" s="5"/>
      </tp>
      <tp t="s">
        <v>#N/A N/A</v>
        <stp/>
        <stp>BDH|5313089939179734317</stp>
        <tr r="AD717" s="5"/>
        <tr r="AE707" s="5"/>
        <tr r="AF667" s="5"/>
        <tr r="AC722" s="5"/>
        <tr r="AB727" s="5"/>
      </tp>
      <tp t="s">
        <v>#N/A N/A</v>
        <stp/>
        <stp>BDH|8407240673699140877</stp>
        <tr r="AD430" s="5"/>
        <tr r="AE420" s="5"/>
        <tr r="AF380" s="5"/>
        <tr r="AC435" s="5"/>
        <tr r="AB440" s="5"/>
      </tp>
      <tp t="s">
        <v>#N/A N/A</v>
        <stp/>
        <stp>BDH|9436370975071616054</stp>
        <tr r="AF716" s="5"/>
        <tr r="AE756" s="5"/>
        <tr r="AD766" s="5"/>
      </tp>
      <tp t="s">
        <v>#N/A N/A</v>
        <stp/>
        <stp>BDH|6924734920257980862</stp>
        <tr r="V178" s="5"/>
        <tr r="U188" s="5"/>
        <tr r="T193" s="5"/>
        <tr r="W139" s="5"/>
        <tr r="S198" s="5"/>
      </tp>
      <tp t="s">
        <v>#N/A N/A</v>
        <stp/>
        <stp>BDH|8297088173476523466</stp>
        <tr r="AE642" s="5"/>
        <tr r="AC657" s="5"/>
        <tr r="AF602" s="5"/>
        <tr r="AD652" s="5"/>
        <tr r="AB662" s="5"/>
      </tp>
      <tp t="s">
        <v>#N/A N/A</v>
        <stp/>
        <stp>BDH|3842498170335822839</stp>
        <tr r="AE393" s="5"/>
        <tr r="AF353" s="5"/>
        <tr r="AC408" s="5"/>
        <tr r="AD403" s="5"/>
        <tr r="AB413" s="5"/>
      </tp>
      <tp t="s">
        <v>#N/A N/A</v>
        <stp/>
        <stp>BDH|1125901005813801660</stp>
        <tr r="AC357" s="5"/>
        <tr r="AE342" s="5"/>
        <tr r="AD352" s="5"/>
        <tr r="AF302" s="5"/>
        <tr r="AB362" s="5"/>
      </tp>
      <tp t="s">
        <v>#N/A N/A</v>
        <stp/>
        <stp>BDH|4624369388665406766</stp>
        <tr r="AF213" s="5"/>
        <tr r="AD263" s="5"/>
        <tr r="AE253" s="5"/>
        <tr r="AC268" s="5"/>
        <tr r="AB273" s="5"/>
      </tp>
      <tp t="s">
        <v>#N/A N/A</v>
        <stp/>
        <stp>BDH|9321617919262024119</stp>
        <tr r="AC240" s="5"/>
        <tr r="AD235" s="5"/>
        <tr r="AF185" s="5"/>
        <tr r="AE225" s="5"/>
        <tr r="AB245" s="5"/>
      </tp>
      <tp t="s">
        <v>#N/A N/A</v>
        <stp/>
        <stp>BDH|1326380613957571958</stp>
        <tr r="AF210" s="5"/>
        <tr r="AC265" s="5"/>
        <tr r="AE250" s="5"/>
        <tr r="AD260" s="5"/>
        <tr r="AB270" s="5"/>
      </tp>
      <tp t="s">
        <v>#N/A N/A</v>
        <stp/>
        <stp>BDH|4827888345686481398</stp>
        <tr r="V40" s="5"/>
        <tr r="T55" s="5"/>
        <tr r="U50" s="5"/>
        <tr r="S60" s="5"/>
      </tp>
      <tp t="s">
        <v>#N/A N/A</v>
        <stp/>
        <stp>BDH|5611881536810127314</stp>
        <tr r="U493" s="5"/>
        <tr r="W443" s="5"/>
        <tr r="V483" s="5"/>
        <tr r="T498" s="5"/>
        <tr r="S503" s="5"/>
      </tp>
      <tp t="s">
        <v>#N/A N/A</v>
        <stp/>
        <stp>BDH|9098671714975227683</stp>
        <tr r="AF715" s="5"/>
        <tr r="AE755" s="5"/>
        <tr r="AD765" s="5"/>
      </tp>
      <tp t="s">
        <v>#N/A N/A</v>
        <stp/>
        <stp>BDH|3615770998130852083</stp>
        <tr r="AC475" s="5"/>
        <tr r="AF420" s="5"/>
        <tr r="AD470" s="5"/>
        <tr r="AE460" s="5"/>
        <tr r="AB480" s="5"/>
      </tp>
      <tp t="s">
        <v>#N/A N/A</v>
        <stp/>
        <stp>BDH|1218995455115860581</stp>
        <tr r="V674" s="5"/>
        <tr r="T689" s="5"/>
        <tr r="W634" s="5"/>
        <tr r="U684" s="5"/>
        <tr r="S694" s="5"/>
      </tp>
      <tp t="s">
        <v>#N/A N/A</v>
        <stp/>
        <stp>BDH|2120231899907430312</stp>
        <tr r="U148" s="5"/>
        <tr r="T153" s="5"/>
        <tr r="V138" s="5"/>
        <tr r="W98" s="5"/>
        <tr r="S158" s="5"/>
      </tp>
      <tp t="s">
        <v>#N/A N/A</v>
        <stp/>
        <stp>BDH|9951645875716158361</stp>
        <tr r="AE279" s="5"/>
        <tr r="AD289" s="5"/>
        <tr r="AC294" s="5"/>
        <tr r="AF239" s="5"/>
        <tr r="AB299" s="5"/>
      </tp>
      <tp t="s">
        <v>#N/A N/A</v>
        <stp/>
        <stp>BDH|7635960927285151496</stp>
        <tr r="AD350" s="5"/>
        <tr r="AC355" s="5"/>
        <tr r="AF300" s="5"/>
        <tr r="AE340" s="5"/>
        <tr r="AB360" s="5"/>
      </tp>
      <tp t="s">
        <v>#N/A N/A</v>
        <stp/>
        <stp>BDH|1991783843407686885</stp>
        <tr r="U132" s="5"/>
        <tr r="V122" s="5"/>
        <tr r="T137" s="5"/>
        <tr r="W82" s="5"/>
        <tr r="S142" s="5"/>
      </tp>
      <tp t="s">
        <v>#N/A N/A</v>
        <stp/>
        <stp>BDH|6709706640370810836</stp>
        <tr r="W278" s="5"/>
        <tr r="U328" s="5"/>
        <tr r="T333" s="5"/>
        <tr r="V318" s="5"/>
        <tr r="S338" s="5"/>
      </tp>
      <tp t="s">
        <v>#N/A N/A</v>
        <stp/>
        <stp>BDH|2466261873472475891</stp>
        <tr r="U575" s="5"/>
        <tr r="W525" s="5"/>
        <tr r="V565" s="5"/>
        <tr r="T580" s="5"/>
        <tr r="S585" s="5"/>
      </tp>
      <tp t="s">
        <v>#N/A N/A</v>
        <stp/>
        <stp>BDH|2014242685587950245</stp>
        <tr r="AF604" s="5"/>
        <tr r="AE644" s="5"/>
        <tr r="AC659" s="5"/>
        <tr r="AD654" s="5"/>
        <tr r="AB664" s="5"/>
      </tp>
      <tp t="s">
        <v>#N/A N/A</v>
        <stp/>
        <stp>BDH|9578798066645040061</stp>
        <tr r="AD704" s="5"/>
        <tr r="AE694" s="5"/>
        <tr r="AC709" s="5"/>
        <tr r="AF654" s="5"/>
        <tr r="AB714" s="5"/>
      </tp>
      <tp t="s">
        <v>#N/A N/A</v>
        <stp/>
        <stp>BDH|3436428562488024494</stp>
        <tr r="T566" s="5"/>
        <tr r="W511" s="5"/>
        <tr r="V551" s="5"/>
        <tr r="U561" s="5"/>
        <tr r="S571" s="5"/>
      </tp>
      <tp t="s">
        <v>#N/A N/A</v>
        <stp/>
        <stp>BDH|6568030405522333921</stp>
        <tr r="AC231" s="5"/>
        <tr r="AD226" s="5"/>
        <tr r="AE216" s="5"/>
        <tr r="AF176" s="5"/>
        <tr r="AB236" s="5"/>
      </tp>
      <tp t="s">
        <v>#N/A N/A</v>
        <stp/>
        <stp>BDH|2225616795647747736</stp>
        <tr r="V715" s="5"/>
        <tr r="T730" s="5"/>
        <tr r="U725" s="5"/>
        <tr r="W675" s="5"/>
        <tr r="S735" s="5"/>
      </tp>
      <tp t="s">
        <v>#N/A N/A</v>
        <stp/>
        <stp>BDH|9849368249875522606</stp>
        <tr r="W723" s="5"/>
        <tr r="V763" s="5"/>
      </tp>
      <tp t="s">
        <v>#N/A N/A</v>
        <stp/>
        <stp>BDH|3742328880760206559</stp>
        <tr r="AD525" s="5"/>
        <tr r="AF475" s="5"/>
        <tr r="AC530" s="5"/>
        <tr r="AE515" s="5"/>
        <tr r="AB535" s="5"/>
      </tp>
      <tp t="s">
        <v>#N/A N/A</v>
        <stp/>
        <stp>BDH|8976016044784871567</stp>
        <tr r="V506" s="5"/>
        <tr r="U516" s="5"/>
        <tr r="T521" s="5"/>
        <tr r="W466" s="5"/>
        <tr r="S526" s="5"/>
      </tp>
      <tp t="s">
        <v>#N/A N/A</v>
        <stp/>
        <stp>BDH|9962723661291893406</stp>
        <tr r="AE382" s="5"/>
        <tr r="AC397" s="5"/>
        <tr r="AF342" s="5"/>
        <tr r="AD392" s="5"/>
        <tr r="AB402" s="5"/>
      </tp>
      <tp t="s">
        <v>#N/A N/A</v>
        <stp/>
        <stp>BDH|1925983713290400448</stp>
        <tr r="T317" s="5"/>
        <tr r="U312" s="5"/>
        <tr r="V302" s="5"/>
        <tr r="W262" s="5"/>
        <tr r="S322" s="5"/>
      </tp>
      <tp t="s">
        <v>#N/A N/A</v>
        <stp/>
        <stp>BDH|7463155593550093202</stp>
        <tr r="U748" s="5"/>
        <tr r="V738" s="5"/>
        <tr r="T753" s="5"/>
        <tr r="W698" s="5"/>
        <tr r="S758" s="5"/>
      </tp>
      <tp t="s">
        <v>#N/A N/A</v>
        <stp/>
        <stp>BDH|9885584742820417552</stp>
        <tr r="V22" s="5"/>
        <tr r="U32" s="5"/>
        <tr r="T37" s="5"/>
        <tr r="S42" s="5"/>
      </tp>
      <tp t="s">
        <v>#N/A N/A</v>
        <stp/>
        <stp>BDH|9331012500832205631</stp>
        <tr r="AC164" s="5"/>
        <tr r="AE150" s="5"/>
        <tr r="AF110" s="5"/>
        <tr r="AB169" s="5"/>
      </tp>
      <tp t="s">
        <v>#N/A N/A</v>
        <stp/>
        <stp>BDH|9426724102096721508</stp>
        <tr r="T97" s="5"/>
        <tr r="W42" s="5"/>
        <tr r="V82" s="5"/>
        <tr r="U92" s="5"/>
        <tr r="S102" s="5"/>
      </tp>
      <tp t="s">
        <v>#N/A N/A</v>
        <stp/>
        <stp>BDH|1360636686800493220</stp>
        <tr r="V283" s="5"/>
        <tr r="T298" s="5"/>
        <tr r="U293" s="5"/>
        <tr r="W243" s="5"/>
        <tr r="S303" s="5"/>
      </tp>
      <tp t="s">
        <v>#N/A N/A</v>
        <stp/>
        <stp>BDH|5584877805472587222</stp>
        <tr r="AC124" s="5"/>
        <tr r="AE109" s="5"/>
        <tr r="AD119" s="5"/>
        <tr r="AF69" s="5"/>
        <tr r="AB129" s="5"/>
      </tp>
      <tp t="s">
        <v>#N/A N/A</v>
        <stp/>
        <stp>BDH|1861945659792725229</stp>
        <tr r="V649" s="5"/>
        <tr r="W609" s="5"/>
        <tr r="U659" s="5"/>
        <tr r="T664" s="5"/>
        <tr r="S669" s="5"/>
      </tp>
      <tp t="s">
        <v>#N/A N/A</v>
        <stp/>
        <stp>BDH|9472096116564989122</stp>
        <tr r="T593" s="5"/>
        <tr r="U588" s="5"/>
        <tr r="V578" s="5"/>
        <tr r="W538" s="5"/>
        <tr r="S598" s="5"/>
      </tp>
      <tp t="s">
        <v>#N/A N/A</v>
        <stp/>
        <stp>BDH|2891590423000490870</stp>
        <tr r="W559" s="5"/>
        <tr r="V599" s="5"/>
        <tr r="U609" s="5"/>
        <tr r="T614" s="5"/>
        <tr r="S619" s="5"/>
      </tp>
      <tp t="s">
        <v>#N/A N/A</v>
        <stp/>
        <stp>BDH|4529667499603305585</stp>
        <tr r="V586" s="5"/>
        <tr r="T601" s="5"/>
        <tr r="W546" s="5"/>
        <tr r="U596" s="5"/>
        <tr r="S606" s="5"/>
      </tp>
      <tp t="s">
        <v>#N/A N/A</v>
        <stp/>
        <stp>BDH|4895501604395971947</stp>
        <tr r="AE267" s="5"/>
        <tr r="AD277" s="5"/>
        <tr r="AC282" s="5"/>
        <tr r="AF227" s="5"/>
        <tr r="AB287" s="5"/>
      </tp>
      <tp t="s">
        <v>#N/A N/A</v>
        <stp/>
        <stp>BDH|1780311993703665558</stp>
        <tr r="AF537" s="5"/>
        <tr r="AD587" s="5"/>
        <tr r="AC592" s="5"/>
        <tr r="AE577" s="5"/>
        <tr r="AB597" s="5"/>
      </tp>
      <tp t="s">
        <v>#N/A N/A</v>
        <stp/>
        <stp>BDH|2280607224563214820</stp>
        <tr r="AF506" s="5"/>
        <tr r="AD556" s="5"/>
        <tr r="AE546" s="5"/>
        <tr r="AC561" s="5"/>
        <tr r="AB566" s="5"/>
      </tp>
      <tp t="s">
        <v>#N/A N/A</v>
        <stp/>
        <stp>BDH|4437368902483577935</stp>
        <tr r="W129" s="5"/>
        <tr r="U178" s="5"/>
        <tr r="T183" s="5"/>
        <tr r="V168" s="5"/>
        <tr r="S188" s="5"/>
      </tp>
      <tp t="s">
        <v>#N/A N/A</v>
        <stp/>
        <stp>BDH|7479929432629431966</stp>
        <tr r="AD512" s="5"/>
        <tr r="AE502" s="5"/>
        <tr r="AC517" s="5"/>
        <tr r="AF462" s="5"/>
        <tr r="AB522" s="5"/>
      </tp>
      <tp t="s">
        <v>#N/A N/A</v>
        <stp/>
        <stp>BDH|2231294699222540603</stp>
        <tr r="AF530" s="5"/>
        <tr r="AE570" s="5"/>
        <tr r="AC585" s="5"/>
        <tr r="AD580" s="5"/>
        <tr r="AB590" s="5"/>
      </tp>
      <tp t="s">
        <v>#N/A N/A</v>
        <stp/>
        <stp>BDH|5862088007130527850</stp>
        <tr r="AF32" s="5"/>
        <tr r="AC87" s="5"/>
        <tr r="AE72" s="5"/>
        <tr r="AD82" s="5"/>
        <tr r="AB92" s="5"/>
      </tp>
      <tp t="s">
        <v>#N/A N/A</v>
        <stp/>
        <stp>BDH|9201014917336212324</stp>
        <tr r="T233" s="5"/>
        <tr r="V218" s="5"/>
        <tr r="W178" s="5"/>
        <tr r="U228" s="5"/>
        <tr r="S238" s="5"/>
      </tp>
      <tp t="s">
        <v>#N/A N/A</v>
        <stp/>
        <stp>BDH|9210017119636925379</stp>
        <tr r="U523" s="5"/>
        <tr r="W473" s="5"/>
        <tr r="V513" s="5"/>
        <tr r="T528" s="5"/>
        <tr r="S533" s="5"/>
      </tp>
      <tp t="s">
        <v>#N/A N/A</v>
        <stp/>
        <stp>BDH|3660080399531249606</stp>
        <tr r="U100" s="5"/>
        <tr r="V90" s="5"/>
        <tr r="T105" s="5"/>
        <tr r="W50" s="5"/>
        <tr r="S110" s="5"/>
      </tp>
      <tp t="s">
        <v>#N/A N/A</v>
        <stp/>
        <stp>BDH|1032520303658342171</stp>
        <tr r="W154" s="5"/>
        <tr r="U203" s="5"/>
        <tr r="V193" s="5"/>
        <tr r="T208" s="5"/>
        <tr r="S213" s="5"/>
      </tp>
      <tp t="s">
        <v>#N/A N/A</v>
        <stp/>
        <stp>BDH|9075417445577092318</stp>
        <tr r="AF379" s="5"/>
        <tr r="AC434" s="5"/>
        <tr r="AE419" s="5"/>
        <tr r="AD429" s="5"/>
        <tr r="AB439" s="5"/>
      </tp>
      <tp t="s">
        <v>#N/A N/A</v>
        <stp/>
        <stp>BDH|2465244688193102533</stp>
        <tr r="W63" s="5"/>
        <tr r="T118" s="5"/>
        <tr r="V103" s="5"/>
        <tr r="U113" s="5"/>
        <tr r="S123" s="5"/>
      </tp>
      <tp t="s">
        <v>#N/A N/A</v>
        <stp/>
        <stp>BDH|3713890320407591018</stp>
        <tr r="V764" s="5"/>
        <tr r="W724" s="5"/>
      </tp>
      <tp t="s">
        <v>#N/A N/A</v>
        <stp/>
        <stp>BDH|9618866702359813602</stp>
        <tr r="V448" s="5"/>
        <tr r="W408" s="5"/>
        <tr r="U458" s="5"/>
        <tr r="T463" s="5"/>
        <tr r="S468" s="5"/>
      </tp>
      <tp t="s">
        <v>#N/A N/A</v>
        <stp/>
        <stp>BDH|9812226912332346616</stp>
        <tr r="AE487" s="5"/>
        <tr r="AC502" s="5"/>
        <tr r="AF447" s="5"/>
        <tr r="AD497" s="5"/>
        <tr r="AB507" s="5"/>
      </tp>
      <tp t="s">
        <v>#N/A N/A</v>
        <stp/>
        <stp>BDH|5524985281029647308</stp>
        <tr r="T588" s="5"/>
        <tr r="U583" s="5"/>
        <tr r="W533" s="5"/>
        <tr r="V573" s="5"/>
        <tr r="S593" s="5"/>
      </tp>
      <tp t="s">
        <v>#N/A N/A</v>
        <stp/>
        <stp>BDH|6304797882706053132</stp>
        <tr r="AE273" s="5"/>
        <tr r="AF233" s="5"/>
        <tr r="AD283" s="5"/>
        <tr r="AC288" s="5"/>
        <tr r="AB293" s="5"/>
      </tp>
      <tp t="s">
        <v>#N/A N/A</v>
        <stp/>
        <stp>BDH|2248611673314986922</stp>
        <tr r="W669" s="5"/>
        <tr r="U719" s="5"/>
        <tr r="V709" s="5"/>
        <tr r="T724" s="5"/>
        <tr r="S729" s="5"/>
      </tp>
      <tp t="s">
        <v>#N/A N/A</v>
        <stp/>
        <stp>BDH|9114976074221942838</stp>
        <tr r="U286" s="5"/>
        <tr r="V276" s="5"/>
        <tr r="T291" s="5"/>
        <tr r="W236" s="5"/>
        <tr r="S296" s="5"/>
      </tp>
      <tp t="s">
        <v>#N/A N/A</v>
        <stp/>
        <stp>BDH|5185535552118183380</stp>
        <tr r="AD591" s="5"/>
        <tr r="AC596" s="5"/>
        <tr r="AE581" s="5"/>
        <tr r="AF541" s="5"/>
        <tr r="AB601" s="5"/>
      </tp>
      <tp t="s">
        <v>#N/A N/A</v>
        <stp/>
        <stp>BDH|8942446842056435025</stp>
        <tr r="AC418" s="5"/>
        <tr r="AD413" s="5"/>
        <tr r="AF363" s="5"/>
        <tr r="AE403" s="5"/>
        <tr r="AB423" s="5"/>
      </tp>
      <tp t="s">
        <v>#N/A N/A</v>
        <stp/>
        <stp>BDH|9982482995339842325</stp>
        <tr r="V317" s="5"/>
        <tr r="W277" s="5"/>
        <tr r="T332" s="5"/>
        <tr r="U327" s="5"/>
        <tr r="S337" s="5"/>
      </tp>
      <tp t="s">
        <v>#N/A N/A</v>
        <stp/>
        <stp>BDH|5400824354453485586</stp>
        <tr r="AF534" s="5"/>
        <tr r="AE574" s="5"/>
        <tr r="AC589" s="5"/>
        <tr r="AD584" s="5"/>
        <tr r="AB594" s="5"/>
      </tp>
      <tp t="s">
        <v>#N/A N/A</v>
        <stp/>
        <stp>BDH|7469336196677964471</stp>
        <tr r="AF90" s="5"/>
        <tr r="AD140" s="5"/>
        <tr r="AE130" s="5"/>
        <tr r="AC145" s="5"/>
        <tr r="AB150" s="5"/>
      </tp>
      <tp t="s">
        <v>#N/A N/A</v>
        <stp/>
        <stp>BDH|4531397082620264134</stp>
        <tr r="AF313" s="5"/>
        <tr r="AC368" s="5"/>
        <tr r="AD363" s="5"/>
        <tr r="AE353" s="5"/>
        <tr r="AB373" s="5"/>
      </tp>
      <tp t="s">
        <v>#N/A N/A</v>
        <stp/>
        <stp>BDH|7073972519115959484</stp>
        <tr r="T362" s="5"/>
        <tr r="V347" s="5"/>
        <tr r="W307" s="5"/>
        <tr r="U357" s="5"/>
        <tr r="S367" s="5"/>
      </tp>
      <tp t="s">
        <v>#N/A N/A</v>
        <stp/>
        <stp>BDH|8193934778518619037</stp>
        <tr r="W32" s="5"/>
        <tr r="T87" s="5"/>
        <tr r="V72" s="5"/>
        <tr r="U82" s="5"/>
        <tr r="S92" s="5"/>
      </tp>
      <tp t="s">
        <v>#N/A N/A</v>
        <stp/>
        <stp>BDH|1858446990424625665</stp>
        <tr r="AE37" s="5"/>
        <tr r="AC52" s="5"/>
        <tr r="AD47" s="5"/>
        <tr r="AB57" s="5"/>
      </tp>
      <tp t="s">
        <v>#N/A N/A</v>
        <stp/>
        <stp>BDH|3394414057059548528</stp>
        <tr r="AF28" s="5"/>
        <tr r="AE68" s="5"/>
        <tr r="AC83" s="5"/>
        <tr r="AD78" s="5"/>
        <tr r="AB88" s="5"/>
      </tp>
      <tp t="s">
        <v>#N/A N/A</v>
        <stp/>
        <stp>BDH|5287516800088277628</stp>
        <tr r="AD286" s="5"/>
        <tr r="AE276" s="5"/>
        <tr r="AC291" s="5"/>
        <tr r="AF236" s="5"/>
        <tr r="AB296" s="5"/>
      </tp>
      <tp t="s">
        <v>#N/A N/A</v>
        <stp/>
        <stp>BDH|4665632009099756580</stp>
        <tr r="AF497" s="5"/>
        <tr r="AC552" s="5"/>
        <tr r="AE537" s="5"/>
        <tr r="AD547" s="5"/>
        <tr r="AB557" s="5"/>
      </tp>
      <tp t="s">
        <v>#N/A N/A</v>
        <stp/>
        <stp>BDH|1725252243148085129</stp>
        <tr r="AE80" s="5"/>
        <tr r="AC95" s="5"/>
        <tr r="AD90" s="5"/>
        <tr r="AF40" s="5"/>
        <tr r="AB100" s="5"/>
      </tp>
      <tp t="s">
        <v>#N/A N/A</v>
        <stp/>
        <stp>BDH|5476457892381685763</stp>
        <tr r="AF220" s="5"/>
        <tr r="AC275" s="5"/>
        <tr r="AE260" s="5"/>
        <tr r="AD270" s="5"/>
        <tr r="AB280" s="5"/>
      </tp>
      <tp t="s">
        <v>#N/A N/A</v>
        <stp/>
        <stp>BDH|3582345950289520270</stp>
        <tr r="AC539" s="5"/>
        <tr r="AD534" s="5"/>
        <tr r="AF484" s="5"/>
        <tr r="AE524" s="5"/>
        <tr r="AB544" s="5"/>
      </tp>
      <tp t="s">
        <v>#N/A N/A</v>
        <stp/>
        <stp>BDH|4499158367108616508</stp>
        <tr r="W72" s="5"/>
        <tr r="V112" s="5"/>
        <tr r="T127" s="5"/>
        <tr r="U122" s="5"/>
        <tr r="S132" s="5"/>
      </tp>
      <tp t="s">
        <v>#N/A N/A</v>
        <stp/>
        <stp>BDH|1974955342902756095</stp>
        <tr r="V80" s="5"/>
        <tr r="T95" s="5"/>
        <tr r="W40" s="5"/>
        <tr r="U90" s="5"/>
        <tr r="S100" s="5"/>
      </tp>
      <tp t="s">
        <v>#N/A N/A</v>
        <stp/>
        <stp>BDH|8204425427397094763</stp>
        <tr r="AD700" s="5"/>
        <tr r="AC705" s="5"/>
        <tr r="AF650" s="5"/>
        <tr r="AE690" s="5"/>
        <tr r="AB710" s="5"/>
      </tp>
      <tp t="s">
        <v>#N/A N/A</v>
        <stp/>
        <stp>BDH|5119888749663598449</stp>
        <tr r="AF588" s="5"/>
        <tr r="AE628" s="5"/>
        <tr r="AC643" s="5"/>
        <tr r="AD638" s="5"/>
        <tr r="AB648" s="5"/>
      </tp>
      <tp t="s">
        <v>#N/A N/A</v>
        <stp/>
        <stp>BDH|5454995039289483815</stp>
        <tr r="AC556" s="5"/>
        <tr r="AD551" s="5"/>
        <tr r="AF501" s="5"/>
        <tr r="AE541" s="5"/>
        <tr r="AB561" s="5"/>
      </tp>
      <tp t="s">
        <v>#N/A N/A</v>
        <stp/>
        <stp>BDH|4570199662144172999</stp>
        <tr r="T576" s="5"/>
        <tr r="U571" s="5"/>
        <tr r="V561" s="5"/>
        <tr r="W521" s="5"/>
        <tr r="S581" s="5"/>
      </tp>
      <tp t="s">
        <v>#N/A N/A</v>
        <stp/>
        <stp>BDH|4611360532223399962</stp>
        <tr r="U318" s="5"/>
        <tr r="T323" s="5"/>
        <tr r="V308" s="5"/>
        <tr r="W268" s="5"/>
        <tr r="S328" s="5"/>
      </tp>
      <tp t="s">
        <v>#N/A N/A</v>
        <stp/>
        <stp>BDH|3207849286344353942</stp>
        <tr r="AC48" s="5"/>
        <tr r="AD43" s="5"/>
        <tr r="AE33" s="5"/>
        <tr r="AB53" s="5"/>
      </tp>
      <tp t="s">
        <v>#N/A N/A</v>
        <stp/>
        <stp>BDH|8239870434378752521</stp>
        <tr r="AE597" s="5"/>
        <tr r="AC612" s="5"/>
        <tr r="AD607" s="5"/>
        <tr r="AF557" s="5"/>
        <tr r="AB617" s="5"/>
      </tp>
      <tp t="s">
        <v>#N/A N/A</v>
        <stp/>
        <stp>BDH|4537477047183180905</stp>
        <tr r="AE746" s="5"/>
        <tr r="AC761" s="5"/>
        <tr r="AD756" s="5"/>
        <tr r="AF706" s="5"/>
        <tr r="AB766" s="5"/>
      </tp>
      <tp t="s">
        <v>#N/A N/A</v>
        <stp/>
        <stp>BDH|6786414881831696557</stp>
        <tr r="V31" s="5"/>
        <tr r="U41" s="5"/>
        <tr r="T46" s="5"/>
        <tr r="S51" s="5"/>
      </tp>
      <tp t="s">
        <v>#N/A N/A</v>
        <stp/>
        <stp>BDH|9361303914347445267</stp>
        <tr r="T491" s="5"/>
        <tr r="W436" s="5"/>
        <tr r="V476" s="5"/>
        <tr r="U486" s="5"/>
        <tr r="S496" s="5"/>
      </tp>
      <tp t="s">
        <v>#N/A N/A</v>
        <stp/>
        <stp>BDH|3599041895002663675</stp>
        <tr r="AC402" s="5"/>
        <tr r="AF347" s="5"/>
        <tr r="AE387" s="5"/>
        <tr r="AD397" s="5"/>
        <tr r="AB407" s="5"/>
      </tp>
      <tp t="s">
        <v>#N/A N/A</v>
        <stp/>
        <stp>BDH|6163568653771939985</stp>
        <tr r="T539" s="5"/>
        <tr r="U534" s="5"/>
        <tr r="W484" s="5"/>
        <tr r="V524" s="5"/>
        <tr r="S544" s="5"/>
      </tp>
      <tp t="s">
        <v>#N/A N/A</v>
        <stp/>
        <stp>BDH|5626876407585879749</stp>
        <tr r="AD651" s="5"/>
        <tr r="AC656" s="5"/>
        <tr r="AE641" s="5"/>
        <tr r="AF601" s="5"/>
        <tr r="AB661" s="5"/>
      </tp>
      <tp t="s">
        <v>#N/A N/A</v>
        <stp/>
        <stp>BDH|1206480364445700922</stp>
        <tr r="W762" s="5"/>
      </tp>
      <tp t="s">
        <v>#N/A N/A</v>
        <stp/>
        <stp>BDH|5419600338587339873</stp>
        <tr r="V450" s="5"/>
        <tr r="T465" s="5"/>
        <tr r="W410" s="5"/>
        <tr r="U460" s="5"/>
        <tr r="S470" s="5"/>
      </tp>
      <tp t="s">
        <v>#N/A N/A</v>
        <stp/>
        <stp>BDH|3655941963494011796</stp>
        <tr r="V742" s="5"/>
        <tr r="T757" s="5"/>
        <tr r="W702" s="5"/>
        <tr r="U752" s="5"/>
        <tr r="S762" s="5"/>
      </tp>
      <tp t="s">
        <v>#N/A N/A</v>
        <stp/>
        <stp>BDH|9423106916043308593</stp>
        <tr r="AF766" s="5"/>
      </tp>
      <tp t="s">
        <v>#N/A N/A</v>
        <stp/>
        <stp>BDH|6055489891864429045</stp>
        <tr r="AE136" s="5"/>
        <tr r="AD146" s="5"/>
        <tr r="AC151" s="5"/>
        <tr r="AF96" s="5"/>
        <tr r="AB156" s="5"/>
      </tp>
      <tp t="s">
        <v>#N/A N/A</v>
        <stp/>
        <stp>BDH|2352779985325919719</stp>
        <tr r="V695" s="5"/>
        <tr r="U705" s="5"/>
        <tr r="T710" s="5"/>
        <tr r="W655" s="5"/>
        <tr r="S715" s="5"/>
      </tp>
      <tp t="s">
        <v>#N/A N/A</v>
        <stp/>
        <stp>BDH|5072494450298291321</stp>
        <tr r="W304" s="5"/>
        <tr r="T359" s="5"/>
        <tr r="U354" s="5"/>
        <tr r="V344" s="5"/>
        <tr r="S364" s="5"/>
      </tp>
      <tp t="s">
        <v>#N/A N/A</v>
        <stp/>
        <stp>BDH|1258891003956767063</stp>
        <tr r="V326" s="5"/>
        <tr r="W286" s="5"/>
        <tr r="T341" s="5"/>
        <tr r="U336" s="5"/>
        <tr r="S346" s="5"/>
      </tp>
      <tp t="s">
        <v>#N/A N/A</v>
        <stp/>
        <stp>BDH|8898600977006228040</stp>
        <tr r="W730" s="5"/>
      </tp>
      <tp t="s">
        <v>#N/A N/A</v>
        <stp/>
        <stp>BDH|6760400668758812391</stp>
        <tr r="U726" s="5"/>
        <tr r="W676" s="5"/>
        <tr r="V716" s="5"/>
        <tr r="T731" s="5"/>
        <tr r="S736" s="5"/>
      </tp>
      <tp t="s">
        <v>#N/A N/A</v>
        <stp/>
        <stp>BDH|5460303587626467792</stp>
        <tr r="T562" s="5"/>
        <tr r="V547" s="5"/>
        <tr r="W507" s="5"/>
        <tr r="U557" s="5"/>
        <tr r="S567" s="5"/>
      </tp>
      <tp t="s">
        <v>#N/A N/A</v>
        <stp/>
        <stp>BDH|2055388943382414819</stp>
        <tr r="U591" s="5"/>
        <tr r="T596" s="5"/>
        <tr r="V581" s="5"/>
        <tr r="W541" s="5"/>
        <tr r="S601" s="5"/>
      </tp>
      <tp t="s">
        <v>#N/A N/A</v>
        <stp/>
        <stp>BDH|6287889474726991097</stp>
        <tr r="AE509" s="5"/>
        <tr r="AC524" s="5"/>
        <tr r="AD519" s="5"/>
        <tr r="AF469" s="5"/>
        <tr r="AB529" s="5"/>
      </tp>
      <tp t="s">
        <v>#N/A N/A</v>
        <stp/>
        <stp>BDH|8701146338801335473</stp>
        <tr r="U569" s="5"/>
        <tr r="V559" s="5"/>
        <tr r="T574" s="5"/>
        <tr r="W519" s="5"/>
        <tr r="S579" s="5"/>
      </tp>
      <tp t="s">
        <v>#N/A N/A</v>
        <stp/>
        <stp>BDH|6504590490281450444</stp>
        <tr r="V440" s="5"/>
        <tr r="T455" s="5"/>
        <tr r="U450" s="5"/>
        <tr r="W400" s="5"/>
        <tr r="S460" s="5"/>
      </tp>
      <tp t="s">
        <v>#N/A N/A</v>
        <stp/>
        <stp>BDH|9272295110071625401</stp>
        <tr r="AD590" s="5"/>
        <tr r="AC595" s="5"/>
        <tr r="AE580" s="5"/>
        <tr r="AF540" s="5"/>
        <tr r="AB600" s="5"/>
      </tp>
      <tp t="s">
        <v>#N/A N/A</v>
        <stp/>
        <stp>BDH|1371032379108757136</stp>
        <tr r="AC613" s="5"/>
        <tr r="AF558" s="5"/>
        <tr r="AE598" s="5"/>
        <tr r="AD608" s="5"/>
        <tr r="AB618" s="5"/>
      </tp>
      <tp t="s">
        <v>#N/A N/A</v>
        <stp/>
        <stp>BDH|6743259232869920141</stp>
        <tr r="AE575" s="5"/>
        <tr r="AC590" s="5"/>
        <tr r="AF535" s="5"/>
        <tr r="AD585" s="5"/>
        <tr r="AB595" s="5"/>
      </tp>
      <tp t="s">
        <v>#N/A N/A</v>
        <stp/>
        <stp>BDH|9209426803052745099</stp>
        <tr r="W128" s="5"/>
        <tr r="T182" s="5"/>
        <tr r="V167" s="5"/>
        <tr r="U177" s="5"/>
        <tr r="S187" s="5"/>
      </tp>
      <tp t="s">
        <v>#N/A N/A</v>
        <stp/>
        <stp>BDH|2339675128781625887</stp>
        <tr r="AD241" s="5"/>
        <tr r="AE231" s="5"/>
        <tr r="AC246" s="5"/>
        <tr r="AF191" s="5"/>
        <tr r="AB251" s="5"/>
      </tp>
      <tp t="s">
        <v>#N/A N/A</v>
        <stp/>
        <stp>BDH|5377501651542173810</stp>
        <tr r="U550" s="5"/>
        <tr r="T555" s="5"/>
        <tr r="W500" s="5"/>
        <tr r="V540" s="5"/>
        <tr r="S560" s="5"/>
      </tp>
      <tp t="s">
        <v>#N/A N/A</v>
        <stp/>
        <stp>BDH|4118340904511678957</stp>
        <tr r="W111" s="5"/>
        <tr r="V151" s="5"/>
        <tr r="T165" s="5"/>
        <tr r="U160" s="5"/>
        <tr r="S170" s="5"/>
      </tp>
      <tp t="s">
        <v>#N/A N/A</v>
        <stp/>
        <stp>BDH|8552663492669186120</stp>
        <tr r="AC97" s="5"/>
        <tr r="AF42" s="5"/>
        <tr r="AE82" s="5"/>
        <tr r="AD92" s="5"/>
        <tr r="AB102" s="5"/>
      </tp>
      <tp t="s">
        <v>#N/A N/A</v>
        <stp/>
        <stp>BDH|2691774999956819529</stp>
        <tr r="W751" s="5"/>
      </tp>
      <tp t="s">
        <v>#N/A N/A</v>
        <stp/>
        <stp>BDH|1159950657663950195</stp>
        <tr r="AE477" s="5"/>
        <tr r="AC492" s="5"/>
        <tr r="AF437" s="5"/>
        <tr r="AD487" s="5"/>
        <tr r="AB497" s="5"/>
      </tp>
      <tp t="s">
        <v>#N/A N/A</v>
        <stp/>
        <stp>BDH|8731412920445712420</stp>
        <tr r="W496" s="5"/>
        <tr r="V536" s="5"/>
        <tr r="T551" s="5"/>
        <tr r="U546" s="5"/>
        <tr r="S556" s="5"/>
      </tp>
      <tp t="s">
        <v>#N/A N/A</v>
        <stp/>
        <stp>BDH|1362964516542272428</stp>
        <tr r="V131" s="5"/>
        <tr r="T146" s="5"/>
        <tr r="U141" s="5"/>
        <tr r="W91" s="5"/>
        <tr r="S151" s="5"/>
      </tp>
      <tp t="s">
        <v>#N/A N/A</v>
        <stp/>
        <stp>BDH|5474118335978272023</stp>
        <tr r="W70" s="5"/>
        <tr r="V110" s="5"/>
        <tr r="U120" s="5"/>
        <tr r="T125" s="5"/>
        <tr r="S130" s="5"/>
      </tp>
      <tp t="s">
        <v>#N/A N/A</v>
        <stp/>
        <stp>BDH|6149201238079909100</stp>
        <tr r="U183" s="5"/>
        <tr r="T188" s="5"/>
        <tr r="V173" s="5"/>
        <tr r="W134" s="5"/>
        <tr r="S193" s="5"/>
      </tp>
      <tp t="s">
        <v>#N/A N/A</v>
        <stp/>
        <stp>BDH|2446938605994574075</stp>
        <tr r="U631" s="5"/>
        <tr r="W581" s="5"/>
        <tr r="T636" s="5"/>
        <tr r="V621" s="5"/>
        <tr r="S641" s="5"/>
      </tp>
      <tp t="s">
        <v>#N/A N/A</v>
        <stp/>
        <stp>BDH|5321994883392132980</stp>
        <tr r="W325" s="5"/>
        <tr r="U375" s="5"/>
        <tr r="T380" s="5"/>
        <tr r="V365" s="5"/>
        <tr r="S385" s="5"/>
      </tp>
      <tp t="s">
        <v>#N/A N/A</v>
        <stp/>
        <stp>BDH|7370958245095137026</stp>
        <tr r="AE283" s="5"/>
        <tr r="AC298" s="5"/>
        <tr r="AD293" s="5"/>
        <tr r="AF243" s="5"/>
        <tr r="AB303" s="5"/>
      </tp>
      <tp t="s">
        <v>#N/A N/A</v>
        <stp/>
        <stp>BDH|1167338869623969839</stp>
        <tr r="AE174" s="5"/>
        <tr r="AD184" s="5"/>
        <tr r="AF135" s="5"/>
        <tr r="AC189" s="5"/>
        <tr r="AB194" s="5"/>
      </tp>
      <tp t="s">
        <v>#N/A N/A</v>
        <stp/>
        <stp>BDH|6379801710111194135</stp>
        <tr r="U742" s="5"/>
        <tr r="W692" s="5"/>
        <tr r="V732" s="5"/>
        <tr r="T747" s="5"/>
        <tr r="S752" s="5"/>
      </tp>
      <tp t="s">
        <v>#N/A N/A</v>
        <stp/>
        <stp>BDH|5363076931258581167</stp>
        <tr r="AF86" s="5"/>
        <tr r="AD136" s="5"/>
        <tr r="AE126" s="5"/>
        <tr r="AC141" s="5"/>
        <tr r="AB146" s="5"/>
      </tp>
      <tp t="s">
        <v>#N/A N/A</v>
        <stp/>
        <stp>BDH|9025847073081302830</stp>
        <tr r="AF745" s="5"/>
      </tp>
      <tp t="s">
        <v>#N/A N/A</v>
        <stp/>
        <stp>BDH|7797140417801339905</stp>
        <tr r="AF145" s="5"/>
        <tr r="AC199" s="5"/>
        <tr r="AD194" s="5"/>
        <tr r="AE184" s="5"/>
        <tr r="AB204" s="5"/>
      </tp>
      <tp t="s">
        <v>#N/A N/A</v>
        <stp/>
        <stp>BDH|5231591782494832363</stp>
        <tr r="U740" s="5"/>
        <tr r="T745" s="5"/>
        <tr r="V730" s="5"/>
        <tr r="W690" s="5"/>
        <tr r="S750" s="5"/>
      </tp>
      <tp t="s">
        <v>#N/A N/A</v>
        <stp/>
        <stp>BDH|3351802040892735232</stp>
        <tr r="AF730" s="5"/>
      </tp>
      <tp t="s">
        <v>#N/A N/A</v>
        <stp/>
        <stp>BDH|2058679619898250282</stp>
        <tr r="AF46" s="5"/>
        <tr r="AE86" s="5"/>
        <tr r="AD96" s="5"/>
        <tr r="AC101" s="5"/>
        <tr r="AB106" s="5"/>
      </tp>
      <tp t="s">
        <v>#N/A N/A</v>
        <stp/>
        <stp>BDH|7356878072030267708</stp>
        <tr r="T93" s="5"/>
        <tr r="U88" s="5"/>
        <tr r="W38" s="5"/>
        <tr r="V78" s="5"/>
        <tr r="S98" s="5"/>
      </tp>
      <tp t="s">
        <v>#N/A N/A</v>
        <stp/>
        <stp>BDH|9450009870067145617</stp>
        <tr r="S21" s="5"/>
      </tp>
      <tp t="s">
        <v>#N/A N/A</v>
        <stp/>
        <stp>BDH|1787739024019467214</stp>
        <tr r="T358" s="5"/>
        <tr r="W303" s="5"/>
        <tr r="V343" s="5"/>
        <tr r="U353" s="5"/>
        <tr r="S363" s="5"/>
      </tp>
      <tp t="s">
        <v>#N/A N/A</v>
        <stp/>
        <stp>BDH|9722145286239171615</stp>
        <tr r="T218" s="5"/>
        <tr r="W163" s="5"/>
        <tr r="V203" s="5"/>
        <tr r="U213" s="5"/>
        <tr r="S223" s="5"/>
      </tp>
      <tp t="s">
        <v>#N/A N/A</v>
        <stp/>
        <stp>BDH|9805170054010878592</stp>
        <tr r="W527" s="5"/>
        <tr r="V567" s="5"/>
        <tr r="T582" s="5"/>
        <tr r="U577" s="5"/>
        <tr r="S587" s="5"/>
      </tp>
      <tp t="s">
        <v>#N/A N/A</v>
        <stp/>
        <stp>BDH|6011614410951361887</stp>
        <tr r="AE543" s="5"/>
        <tr r="AC558" s="5"/>
        <tr r="AF503" s="5"/>
        <tr r="AD553" s="5"/>
        <tr r="AB563" s="5"/>
      </tp>
      <tp t="s">
        <v>#N/A N/A</v>
        <stp/>
        <stp>BDH|8885663683578165664</stp>
        <tr r="AE190" s="5"/>
        <tr r="AF151" s="5"/>
        <tr r="AD200" s="5"/>
        <tr r="AC205" s="5"/>
        <tr r="AB210" s="5"/>
      </tp>
      <tp t="s">
        <v>#N/A N/A</v>
        <stp/>
        <stp>BDH|9571898184902070312</stp>
        <tr r="AD310" s="5"/>
        <tr r="AF260" s="5"/>
        <tr r="AE300" s="5"/>
        <tr r="AC315" s="5"/>
        <tr r="AB320" s="5"/>
      </tp>
      <tp t="s">
        <v>#N/A N/A</v>
        <stp/>
        <stp>BDH|2344861425636095692</stp>
        <tr r="W65" s="5"/>
        <tr r="T120" s="5"/>
        <tr r="V105" s="5"/>
        <tr r="U115" s="5"/>
        <tr r="S125" s="5"/>
      </tp>
      <tp t="s">
        <v>#N/A N/A</v>
        <stp/>
        <stp>BDH|1343610198437221161</stp>
        <tr r="W97" s="5"/>
        <tr r="U147" s="5"/>
        <tr r="V137" s="5"/>
        <tr r="T152" s="5"/>
        <tr r="S157" s="5"/>
      </tp>
      <tp t="s">
        <v>#N/A N/A</v>
        <stp/>
        <stp>BDH|1195059498592361215</stp>
        <tr r="AC663" s="5"/>
        <tr r="AE648" s="5"/>
        <tr r="AF608" s="5"/>
        <tr r="AD658" s="5"/>
        <tr r="AB668" s="5"/>
      </tp>
      <tp t="s">
        <v>#N/A N/A</v>
        <stp/>
        <stp>BDH|5322971920895330392</stp>
        <tr r="AD299" s="5"/>
        <tr r="AC304" s="5"/>
        <tr r="AE289" s="5"/>
        <tr r="AF249" s="5"/>
        <tr r="AB309" s="5"/>
      </tp>
      <tp t="s">
        <v>#N/A N/A</v>
        <stp/>
        <stp>BDH|4185770008953980895</stp>
        <tr r="V550" s="5"/>
        <tr r="T565" s="5"/>
        <tr r="W510" s="5"/>
        <tr r="U560" s="5"/>
        <tr r="S570" s="5"/>
      </tp>
      <tp t="s">
        <v>#N/A N/A</v>
        <stp/>
        <stp>BDH|3832369994874316567</stp>
        <tr r="AD100" s="5"/>
        <tr r="AE90" s="5"/>
        <tr r="AC105" s="5"/>
        <tr r="AF50" s="5"/>
        <tr r="AB110" s="5"/>
      </tp>
      <tp t="s">
        <v>#N/A N/A</v>
        <stp/>
        <stp>BDH|1405892205491209069</stp>
        <tr r="AF57" s="5"/>
        <tr r="AE97" s="5"/>
        <tr r="AD107" s="5"/>
        <tr r="AC112" s="5"/>
        <tr r="AB117" s="5"/>
      </tp>
      <tp t="s">
        <v>#N/A N/A</v>
        <stp/>
        <stp>BDH|5789720884863801140</stp>
        <tr r="U464" s="5"/>
        <tr r="V454" s="5"/>
        <tr r="T469" s="5"/>
        <tr r="W414" s="5"/>
        <tr r="S474" s="5"/>
      </tp>
      <tp t="s">
        <v>#N/A N/A</v>
        <stp/>
        <stp>BDH|7079464198347374504</stp>
        <tr r="AE255" s="5"/>
        <tr r="AF215" s="5"/>
        <tr r="AC270" s="5"/>
        <tr r="AD265" s="5"/>
        <tr r="AB275" s="5"/>
      </tp>
      <tp t="s">
        <v>#N/A N/A</v>
        <stp/>
        <stp>BDH|9400357428662860233</stp>
        <tr r="T71" s="5"/>
        <tr r="U66" s="5"/>
        <tr r="V56" s="5"/>
        <tr r="S76" s="5"/>
      </tp>
      <tp t="s">
        <v>#N/A N/A</v>
        <stp/>
        <stp>BDH|9566640630185387116</stp>
        <tr r="AD558" s="5"/>
        <tr r="AF508" s="5"/>
        <tr r="AC563" s="5"/>
        <tr r="AE548" s="5"/>
        <tr r="AB568" s="5"/>
      </tp>
      <tp t="s">
        <v>#N/A N/A</v>
        <stp/>
        <stp>BDH|9322071504466310709</stp>
        <tr r="AE491" s="5"/>
        <tr r="AC506" s="5"/>
        <tr r="AD501" s="5"/>
        <tr r="AF451" s="5"/>
        <tr r="AB511" s="5"/>
      </tp>
      <tp t="s">
        <v>#N/A N/A</v>
        <stp/>
        <stp>BDH|9222763596316786951</stp>
        <tr r="AC248" s="5"/>
        <tr r="AE233" s="5"/>
        <tr r="AD243" s="5"/>
        <tr r="AF193" s="5"/>
        <tr r="AB253" s="5"/>
      </tp>
      <tp t="s">
        <v>#N/A N/A</v>
        <stp/>
        <stp>BDH|7209121226884296850</stp>
        <tr r="T471" s="5"/>
        <tr r="V456" s="5"/>
        <tr r="W416" s="5"/>
        <tr r="U466" s="5"/>
        <tr r="S476" s="5"/>
      </tp>
      <tp t="s">
        <v>#N/A N/A</v>
        <stp/>
        <stp>BDH|9646476000182754771</stp>
        <tr r="T86" s="5"/>
        <tr r="U81" s="5"/>
        <tr r="W31" s="5"/>
        <tr r="V71" s="5"/>
        <tr r="S91" s="5"/>
      </tp>
      <tp t="s">
        <v>#N/A N/A</v>
        <stp/>
        <stp>BDH|7646823316443081530</stp>
        <tr r="AE36" s="5"/>
        <tr r="AC51" s="5"/>
        <tr r="AD46" s="5"/>
        <tr r="AB56" s="5"/>
      </tp>
      <tp t="s">
        <v>#N/A N/A</v>
        <stp/>
        <stp>BDH|2236387221679384290</stp>
        <tr r="U195" s="5"/>
        <tr r="V185" s="5"/>
        <tr r="W146" s="5"/>
        <tr r="T200" s="5"/>
        <tr r="S205" s="5"/>
      </tp>
      <tp t="s">
        <v>#N/A N/A</v>
        <stp/>
        <stp>BDH|6248304167778067335</stp>
        <tr r="U613" s="5"/>
        <tr r="V603" s="5"/>
        <tr r="T618" s="5"/>
        <tr r="W563" s="5"/>
        <tr r="S623" s="5"/>
      </tp>
      <tp t="s">
        <v>#N/A N/A</v>
        <stp/>
        <stp>BDH|6531426993845435661</stp>
        <tr r="U717" s="5"/>
        <tr r="V707" s="5"/>
        <tr r="W667" s="5"/>
        <tr r="T722" s="5"/>
        <tr r="S727" s="5"/>
      </tp>
      <tp t="s">
        <v>#N/A N/A</v>
        <stp/>
        <stp>BDH|4373459766009120772</stp>
        <tr r="AD109" s="5"/>
        <tr r="AC114" s="5"/>
        <tr r="AF59" s="5"/>
        <tr r="AE99" s="5"/>
        <tr r="AB119" s="5"/>
      </tp>
      <tp t="s">
        <v>#N/A N/A</v>
        <stp/>
        <stp>BDH|1617242813309357368</stp>
        <tr r="AF283" s="5"/>
        <tr r="AE323" s="5"/>
        <tr r="AC338" s="5"/>
        <tr r="AD333" s="5"/>
        <tr r="AB343" s="5"/>
      </tp>
      <tp t="s">
        <v>#N/A N/A</v>
        <stp/>
        <stp>BDH|6356692866208949606</stp>
        <tr r="U350" s="5"/>
        <tr r="T355" s="5"/>
        <tr r="W300" s="5"/>
        <tr r="V340" s="5"/>
        <tr r="S360" s="5"/>
      </tp>
      <tp t="s">
        <v>#N/A N/A</v>
        <stp/>
        <stp>BDH|9950662373379051997</stp>
        <tr r="AF305" s="5"/>
        <tr r="AC360" s="5"/>
        <tr r="AD355" s="5"/>
        <tr r="AE345" s="5"/>
        <tr r="AB365" s="5"/>
      </tp>
      <tp t="s">
        <v>#N/A N/A</v>
        <stp/>
        <stp>BDH|5531317004476331869</stp>
        <tr r="AE436" s="5"/>
        <tr r="AD446" s="5"/>
        <tr r="AF396" s="5"/>
        <tr r="AC451" s="5"/>
        <tr r="AB456" s="5"/>
      </tp>
      <tp t="s">
        <v>#N/A N/A</v>
        <stp/>
        <stp>BDH|9610911123279171309</stp>
        <tr r="V279" s="5"/>
        <tr r="U289" s="5"/>
        <tr r="T294" s="5"/>
        <tr r="W239" s="5"/>
        <tr r="S299" s="5"/>
      </tp>
      <tp t="s">
        <v>#N/A N/A</v>
        <stp/>
        <stp>BDH|5148430026089934289</stp>
        <tr r="AD31" s="5"/>
        <tr r="AC36" s="5"/>
        <tr r="AE21" s="5"/>
        <tr r="AB41" s="5"/>
      </tp>
      <tp t="s">
        <v>#N/A N/A</v>
        <stp/>
        <stp>BDH|8852570973625196784</stp>
        <tr r="AC687" s="5"/>
        <tr r="AE672" s="5"/>
        <tr r="AD682" s="5"/>
        <tr r="AF632" s="5"/>
        <tr r="AB692" s="5"/>
      </tp>
      <tp t="s">
        <v>#N/A N/A</v>
        <stp/>
        <stp>BDH|3382431085687393038</stp>
        <tr r="AF556" s="5"/>
        <tr r="AE596" s="5"/>
        <tr r="AC611" s="5"/>
        <tr r="AD606" s="5"/>
        <tr r="AB616" s="5"/>
      </tp>
      <tp t="s">
        <v>#N/A N/A</v>
        <stp/>
        <stp>BDH|95842833206323815</stp>
        <tr r="V723" s="5"/>
        <tr r="W683" s="5"/>
        <tr r="T738" s="5"/>
        <tr r="U733" s="5"/>
        <tr r="S743" s="5"/>
      </tp>
      <tp t="s">
        <v>#N/A N/A</v>
        <stp/>
        <stp>BDH|6878050131665213944</stp>
        <tr r="W479" s="5"/>
        <tr r="T534" s="5"/>
        <tr r="V519" s="5"/>
        <tr r="U529" s="5"/>
        <tr r="S539" s="5"/>
      </tp>
      <tp t="s">
        <v>#N/A N/A</v>
        <stp/>
        <stp>BDH|4551943902364963014</stp>
        <tr r="T461" s="5"/>
        <tr r="U456" s="5"/>
        <tr r="V446" s="5"/>
        <tr r="W406" s="5"/>
        <tr r="S466" s="5"/>
      </tp>
      <tp t="s">
        <v>#N/A N/A</v>
        <stp/>
        <stp>BDH|8926596631816948117</stp>
        <tr r="AF703" s="5"/>
        <tr r="AE743" s="5"/>
        <tr r="AC758" s="5"/>
        <tr r="AD753" s="5"/>
        <tr r="AB763" s="5"/>
      </tp>
      <tp t="s">
        <v>#N/A N/A</v>
        <stp/>
        <stp>BDH|1597189447898180555</stp>
        <tr r="W24" s="5"/>
        <tr r="V64" s="5"/>
        <tr r="T79" s="5"/>
        <tr r="U74" s="5"/>
        <tr r="S84" s="5"/>
      </tp>
      <tp t="s">
        <v>#N/A N/A</v>
        <stp/>
        <stp>BDH|8306601371511965147</stp>
        <tr r="AD523" s="5"/>
        <tr r="AF473" s="5"/>
        <tr r="AE513" s="5"/>
        <tr r="AC528" s="5"/>
        <tr r="AB533" s="5"/>
      </tp>
      <tp t="s">
        <v>#N/A N/A</v>
        <stp/>
        <stp>BDH|3426639600035029982</stp>
        <tr r="T28" s="5"/>
        <tr r="U23" s="5"/>
        <tr r="S33" s="5"/>
      </tp>
      <tp t="s">
        <v>#N/A N/A</v>
        <stp/>
        <stp>BDH|1352282239360718996</stp>
        <tr r="W99" s="5"/>
        <tr r="T154" s="5"/>
        <tr r="U149" s="5"/>
        <tr r="V139" s="5"/>
        <tr r="S159" s="5"/>
      </tp>
      <tp t="s">
        <v>#N/A N/A</v>
        <stp/>
        <stp>BDH|2139596694505071209</stp>
        <tr r="AF453" s="5"/>
        <tr r="AC508" s="5"/>
        <tr r="AE493" s="5"/>
        <tr r="AD503" s="5"/>
        <tr r="AB513" s="5"/>
      </tp>
      <tp t="s">
        <v>#N/A N/A</v>
        <stp/>
        <stp>BDH|2415294685094209574</stp>
        <tr r="AF700" s="5"/>
        <tr r="AC755" s="5"/>
        <tr r="AE740" s="5"/>
        <tr r="AD750" s="5"/>
        <tr r="AB760" s="5"/>
      </tp>
      <tp t="s">
        <v>#N/A N/A</v>
        <stp/>
        <stp>BDH|1940962639652260091</stp>
        <tr r="AF737" s="5"/>
      </tp>
      <tp t="s">
        <v>#N/A N/A</v>
        <stp/>
        <stp>BDH|5404428148384379801</stp>
        <tr r="AC123" s="5"/>
        <tr r="AF68" s="5"/>
        <tr r="AD118" s="5"/>
        <tr r="AE108" s="5"/>
        <tr r="AB128" s="5"/>
      </tp>
      <tp t="s">
        <v>#N/A N/A</v>
        <stp/>
        <stp>BDH|6502048540833315805</stp>
        <tr r="W240" s="5"/>
        <tr r="V280" s="5"/>
        <tr r="T295" s="5"/>
        <tr r="U290" s="5"/>
        <tr r="S300" s="5"/>
      </tp>
      <tp t="s">
        <v>#N/A N/A</v>
        <stp/>
        <stp>BDH|5055554591093658303</stp>
        <tr r="T423" s="5"/>
        <tr r="U418" s="5"/>
        <tr r="V408" s="5"/>
        <tr r="W368" s="5"/>
        <tr r="S428" s="5"/>
      </tp>
      <tp t="s">
        <v>#N/A N/A</v>
        <stp/>
        <stp>BDH|4420338895820452740</stp>
        <tr r="W642" s="5"/>
        <tr r="V682" s="5"/>
        <tr r="T697" s="5"/>
        <tr r="U692" s="5"/>
        <tr r="S702" s="5"/>
      </tp>
      <tp t="s">
        <v>#N/A N/A</v>
        <stp/>
        <stp>BDH|3284956275364476043</stp>
        <tr r="AC299" s="5"/>
        <tr r="AF244" s="5"/>
        <tr r="AE284" s="5"/>
        <tr r="AD294" s="5"/>
        <tr r="AB304" s="5"/>
      </tp>
      <tp t="s">
        <v>#N/A N/A</v>
        <stp/>
        <stp>BDH|6702051168568898102</stp>
        <tr r="V473" s="5"/>
        <tr r="W433" s="5"/>
        <tr r="T488" s="5"/>
        <tr r="U483" s="5"/>
        <tr r="S493" s="5"/>
      </tp>
      <tp t="s">
        <v>#N/A N/A</v>
        <stp/>
        <stp>BDH|2557591985407215180</stp>
        <tr r="W199" s="5"/>
        <tr r="U249" s="5"/>
        <tr r="T254" s="5"/>
        <tr r="V239" s="5"/>
        <tr r="S259" s="5"/>
      </tp>
      <tp t="s">
        <v>#N/A N/A</v>
        <stp/>
        <stp>BDH|8379640810551400705</stp>
        <tr r="AE506" s="5"/>
        <tr r="AD516" s="5"/>
        <tr r="AC521" s="5"/>
        <tr r="AF466" s="5"/>
        <tr r="AB526" s="5"/>
      </tp>
      <tp t="s">
        <v>#N/A N/A</v>
        <stp/>
        <stp>BDH|9389891308951031919</stp>
        <tr r="T742" s="5"/>
        <tr r="W687" s="5"/>
        <tr r="U737" s="5"/>
        <tr r="V727" s="5"/>
        <tr r="S747" s="5"/>
      </tp>
      <tp t="s">
        <v>#N/A N/A</v>
        <stp/>
        <stp>BDH|7199363561982589905</stp>
        <tr r="U633" s="5"/>
        <tr r="W583" s="5"/>
        <tr r="V623" s="5"/>
        <tr r="T638" s="5"/>
        <tr r="S643" s="5"/>
      </tp>
      <tp t="s">
        <v>#N/A N/A</v>
        <stp/>
        <stp>BDH|9952724804016936162</stp>
        <tr r="AD28" s="5"/>
        <tr r="AC33" s="5"/>
        <tr r="AB38" s="5"/>
      </tp>
      <tp t="s">
        <v>#N/A N/A</v>
        <stp/>
        <stp>BDH|9204534454602470218</stp>
        <tr r="AF539" s="5"/>
        <tr r="AC594" s="5"/>
        <tr r="AE579" s="5"/>
        <tr r="AD589" s="5"/>
        <tr r="AB599" s="5"/>
      </tp>
      <tp t="s">
        <v>#N/A N/A</v>
        <stp/>
        <stp>BDH|5985870356778032981</stp>
        <tr r="AC301" s="5"/>
        <tr r="AD296" s="5"/>
        <tr r="AF246" s="5"/>
        <tr r="AE286" s="5"/>
        <tr r="AB306" s="5"/>
      </tp>
      <tp t="s">
        <v>#N/A N/A</v>
        <stp/>
        <stp>BDH|5674388694121277790</stp>
        <tr r="AC389" s="5"/>
        <tr r="AF334" s="5"/>
        <tr r="AE374" s="5"/>
        <tr r="AD384" s="5"/>
        <tr r="AB394" s="5"/>
      </tp>
      <tp t="s">
        <v>#N/A N/A</v>
        <stp/>
        <stp>BDH|7600543653937610963</stp>
        <tr r="AE640" s="5"/>
        <tr r="AD650" s="5"/>
        <tr r="AF600" s="5"/>
        <tr r="AC655" s="5"/>
        <tr r="AB660" s="5"/>
      </tp>
      <tp t="s">
        <v>#N/A N/A</v>
        <stp/>
        <stp>BDH|3715418496125242234</stp>
        <tr r="AC504" s="5"/>
        <tr r="AF449" s="5"/>
        <tr r="AD499" s="5"/>
        <tr r="AE489" s="5"/>
        <tr r="AB509" s="5"/>
      </tp>
      <tp t="s">
        <v>#N/A N/A</v>
        <stp/>
        <stp>BDH|8395733172427608652</stp>
        <tr r="V346" s="5"/>
        <tr r="U356" s="5"/>
        <tr r="T361" s="5"/>
        <tr r="W306" s="5"/>
        <tr r="S366" s="5"/>
      </tp>
      <tp t="s">
        <v>#N/A N/A</v>
        <stp/>
        <stp>BDH|2273695456539356182</stp>
        <tr r="AF688" s="5"/>
        <tr r="AC743" s="5"/>
        <tr r="AD738" s="5"/>
        <tr r="AE728" s="5"/>
        <tr r="AB748" s="5"/>
      </tp>
      <tp t="s">
        <v>#N/A N/A</v>
        <stp/>
        <stp>BDH|4640744642997136974</stp>
        <tr r="T285" s="5"/>
        <tr r="W230" s="5"/>
        <tr r="V270" s="5"/>
        <tr r="U280" s="5"/>
        <tr r="S290" s="5"/>
      </tp>
      <tp t="s">
        <v>#N/A N/A</v>
        <stp/>
        <stp>BDH|5621865127735680368</stp>
        <tr r="U269" s="5"/>
        <tr r="W219" s="5"/>
        <tr r="T274" s="5"/>
        <tr r="V259" s="5"/>
        <tr r="S279" s="5"/>
      </tp>
      <tp t="s">
        <v>#N/A N/A</v>
        <stp/>
        <stp>BDH|1394808442991483520</stp>
        <tr r="AD151" s="5"/>
        <tr r="AC156" s="5"/>
        <tr r="AE141" s="5"/>
        <tr r="AF101" s="5"/>
        <tr r="AB160" s="5"/>
      </tp>
      <tp t="s">
        <v>#N/A N/A</v>
        <stp/>
        <stp>BDH|8738517415231192458</stp>
        <tr r="W743" s="5"/>
      </tp>
      <tp t="s">
        <v>#N/A N/A</v>
        <stp/>
        <stp>BDH|3313584078941055947</stp>
        <tr r="AC267" s="5"/>
        <tr r="AE252" s="5"/>
        <tr r="AD262" s="5"/>
        <tr r="AF212" s="5"/>
        <tr r="AB272" s="5"/>
      </tp>
      <tp t="s">
        <v>#N/A N/A</v>
        <stp/>
        <stp>BDH|7085852126842360647</stp>
        <tr r="AD524" s="5"/>
        <tr r="AE514" s="5"/>
        <tr r="AF474" s="5"/>
        <tr r="AC529" s="5"/>
        <tr r="AB534" s="5"/>
      </tp>
      <tp t="s">
        <v>#N/A N/A</v>
        <stp/>
        <stp>BDH|8742130530665580659</stp>
        <tr r="U225" s="5"/>
        <tr r="V215" s="5"/>
        <tr r="W175" s="5"/>
        <tr r="T230" s="5"/>
        <tr r="S235" s="5"/>
      </tp>
      <tp t="s">
        <v>#N/A N/A</v>
        <stp/>
        <stp>BDH|9369464477277533436</stp>
        <tr r="AD387" s="5"/>
        <tr r="AE377" s="5"/>
        <tr r="AF337" s="5"/>
        <tr r="AC392" s="5"/>
        <tr r="AB397" s="5"/>
      </tp>
      <tp t="s">
        <v>#N/A N/A</v>
        <stp/>
        <stp>BDH|9464419341712583254</stp>
        <tr r="W74" s="5"/>
        <tr r="V114" s="5"/>
        <tr r="T129" s="5"/>
        <tr r="U124" s="5"/>
        <tr r="S134" s="5"/>
      </tp>
      <tp t="s">
        <v>#N/A N/A</v>
        <stp/>
        <stp>BDH|2037643325858554701</stp>
        <tr r="V301" s="5"/>
        <tr r="W261" s="5"/>
        <tr r="U311" s="5"/>
        <tr r="T316" s="5"/>
        <tr r="S321" s="5"/>
      </tp>
      <tp t="s">
        <v>#N/A N/A</v>
        <stp/>
        <stp>BDH|6319658618168801024</stp>
        <tr r="T395" s="5"/>
        <tr r="V380" s="5"/>
        <tr r="W340" s="5"/>
        <tr r="U390" s="5"/>
        <tr r="S400" s="5"/>
      </tp>
      <tp t="s">
        <v>#N/A N/A</v>
        <stp/>
        <stp>BDH|4534194625446428883</stp>
        <tr r="AD763" s="5"/>
        <tr r="AF713" s="5"/>
        <tr r="AE753" s="5"/>
      </tp>
      <tp t="s">
        <v>#N/A N/A</v>
        <stp/>
        <stp>BDH|7187323751591716908</stp>
        <tr r="AE649" s="5"/>
        <tr r="AF609" s="5"/>
        <tr r="AD659" s="5"/>
        <tr r="AC664" s="5"/>
        <tr r="AB669" s="5"/>
      </tp>
      <tp t="s">
        <v>#N/A N/A</v>
        <stp/>
        <stp>BDH|7454039825249259556</stp>
        <tr r="AF375" s="5"/>
        <tr r="AD425" s="5"/>
        <tr r="AE415" s="5"/>
        <tr r="AC430" s="5"/>
        <tr r="AB435" s="5"/>
      </tp>
      <tp t="s">
        <v>#N/A N/A</v>
        <stp/>
        <stp>BDH|12166894119620517</stp>
        <tr r="AD633" s="5"/>
        <tr r="AF583" s="5"/>
        <tr r="AE623" s="5"/>
        <tr r="AC638" s="5"/>
        <tr r="AB643" s="5"/>
      </tp>
      <tp t="s">
        <v>#N/A N/A</v>
        <stp/>
        <stp>BDH|16252401390951633</stp>
        <tr r="W366" s="5"/>
        <tr r="T421" s="5"/>
        <tr r="U416" s="5"/>
        <tr r="V406" s="5"/>
        <tr r="S426" s="5"/>
      </tp>
      <tp t="s">
        <v>#N/A N/A</v>
        <stp/>
        <stp>BDH|4912534161419375427</stp>
        <tr r="U25" s="5"/>
        <tr r="T30" s="5"/>
        <tr r="S35" s="5"/>
      </tp>
      <tp t="e">
        <v>#N/A</v>
        <stp/>
        <stp>BDH|8860296569076006031</stp>
        <tr r="S770" s="5"/>
        <tr r="S773" s="5"/>
        <tr r="S769" s="5"/>
        <tr r="S768" s="5"/>
        <tr r="S772" s="5"/>
        <tr r="S771" s="5"/>
      </tp>
      <tp t="s">
        <v>#N/A N/A</v>
        <stp/>
        <stp>BDH|7834978460062009043</stp>
        <tr r="T264" s="5"/>
        <tr r="V249" s="5"/>
        <tr r="W209" s="5"/>
        <tr r="U259" s="5"/>
        <tr r="S269" s="5"/>
      </tp>
      <tp t="s">
        <v>#N/A N/A</v>
        <stp/>
        <stp>BDH|4493665855195803878</stp>
        <tr r="T714" s="5"/>
        <tr r="V699" s="5"/>
        <tr r="U709" s="5"/>
        <tr r="W659" s="5"/>
        <tr r="S719" s="5"/>
      </tp>
      <tp t="s">
        <v>#N/A N/A</v>
        <stp/>
        <stp>BDH|7632983892099506414</stp>
        <tr r="AC320" s="5"/>
        <tr r="AD315" s="5"/>
        <tr r="AE305" s="5"/>
        <tr r="AF265" s="5"/>
        <tr r="AB325" s="5"/>
      </tp>
      <tp t="s">
        <v>#N/A N/A</v>
        <stp/>
        <stp>BDH|2333524982533956620</stp>
        <tr r="AD476" s="5"/>
        <tr r="AC481" s="5"/>
        <tr r="AE466" s="5"/>
        <tr r="AF426" s="5"/>
        <tr r="AB486" s="5"/>
      </tp>
      <tp t="s">
        <v>#N/A N/A</v>
        <stp/>
        <stp>BDH|1889080884487449481</stp>
        <tr r="AD257" s="5"/>
        <tr r="AC262" s="5"/>
        <tr r="AE247" s="5"/>
        <tr r="AF207" s="5"/>
        <tr r="AB267" s="5"/>
      </tp>
      <tp t="s">
        <v>#N/A N/A</v>
        <stp/>
        <stp>BDH|7955723963828606462</stp>
        <tr r="V54" s="5"/>
        <tr r="U64" s="5"/>
        <tr r="T69" s="5"/>
        <tr r="S74" s="5"/>
      </tp>
      <tp t="s">
        <v>#N/A N/A</v>
        <stp/>
        <stp>BDH|3451684416068472669</stp>
        <tr r="AF104" s="5"/>
        <tr r="AC159" s="5"/>
        <tr r="AD154" s="5"/>
        <tr r="AE144" s="5"/>
        <tr r="AB163" s="5"/>
      </tp>
      <tp t="s">
        <v>#N/A N/A</v>
        <stp/>
        <stp>BDH|8311280875464640314</stp>
        <tr r="AC651" s="5"/>
        <tr r="AE636" s="5"/>
        <tr r="AD646" s="5"/>
        <tr r="AF596" s="5"/>
        <tr r="AB656" s="5"/>
      </tp>
      <tp t="s">
        <v>#N/A N/A</v>
        <stp/>
        <stp>BDH|6229494708201265986</stp>
        <tr r="AF70" s="5"/>
        <tr r="AE110" s="5"/>
        <tr r="AD120" s="5"/>
        <tr r="AC125" s="5"/>
        <tr r="AB130" s="5"/>
      </tp>
      <tp t="s">
        <v>#N/A N/A</v>
        <stp/>
        <stp>BDH|4419857906044952275</stp>
        <tr r="T190" s="5"/>
        <tr r="U185" s="5"/>
        <tr r="W136" s="5"/>
        <tr r="V175" s="5"/>
        <tr r="S195" s="5"/>
      </tp>
      <tp t="s">
        <v>#N/A N/A</v>
        <stp/>
        <stp>BDH|8093450181307578985</stp>
        <tr r="AC695" s="5"/>
        <tr r="AE680" s="5"/>
        <tr r="AF640" s="5"/>
        <tr r="AD690" s="5"/>
        <tr r="AB700" s="5"/>
      </tp>
      <tp t="s">
        <v>#N/A N/A</v>
        <stp/>
        <stp>BDH|9297097835021475133</stp>
        <tr r="AE246" s="5"/>
        <tr r="AD256" s="5"/>
        <tr r="AF206" s="5"/>
        <tr r="AC261" s="5"/>
        <tr r="AB266" s="5"/>
      </tp>
      <tp t="s">
        <v>#N/A N/A</v>
        <stp/>
        <stp>BDH|4934140132908562448</stp>
        <tr r="V389" s="5"/>
        <tr r="W349" s="5"/>
        <tr r="U399" s="5"/>
        <tr r="T404" s="5"/>
        <tr r="S409" s="5"/>
      </tp>
      <tp t="s">
        <v>#N/A N/A</v>
        <stp/>
        <stp>BDH|7571422862629368688</stp>
        <tr r="AC72" s="5"/>
        <tr r="AE57" s="5"/>
        <tr r="AD67" s="5"/>
        <tr r="AB77" s="5"/>
      </tp>
      <tp t="s">
        <v>#N/A N/A</v>
        <stp/>
        <stp>BDH|7343599291910362170</stp>
        <tr r="AE32" s="5"/>
        <tr r="AD42" s="5"/>
        <tr r="AC47" s="5"/>
        <tr r="AB52" s="5"/>
      </tp>
      <tp t="s">
        <v>#N/A N/A</v>
        <stp/>
        <stp>BDH|5648144618546288976</stp>
        <tr r="T545" s="5"/>
        <tr r="W490" s="5"/>
        <tr r="V530" s="5"/>
        <tr r="U540" s="5"/>
        <tr r="S550" s="5"/>
      </tp>
      <tp t="s">
        <v>#N/A N/A</v>
        <stp/>
        <stp>BDH|6215538836122345886</stp>
        <tr r="AD508" s="5"/>
        <tr r="AC513" s="5"/>
        <tr r="AF458" s="5"/>
        <tr r="AE498" s="5"/>
        <tr r="AB518" s="5"/>
      </tp>
      <tp t="s">
        <v>#N/A N/A</v>
        <stp/>
        <stp>BDH|6002351476918710064</stp>
        <tr r="AC32" s="5"/>
        <tr r="AD27" s="5"/>
        <tr r="AB37" s="5"/>
      </tp>
      <tp t="s">
        <v>#N/A N/A</v>
        <stp/>
        <stp>BDH|1011075287222326118</stp>
        <tr r="V272" s="5"/>
        <tr r="T287" s="5"/>
        <tr r="W232" s="5"/>
        <tr r="U282" s="5"/>
        <tr r="S292" s="5"/>
      </tp>
      <tp t="s">
        <v>#N/A N/A</v>
        <stp/>
        <stp>BDH|4417670750999391436</stp>
        <tr r="AF744" s="5"/>
      </tp>
      <tp t="s">
        <v>#N/A N/A</v>
        <stp/>
        <stp>BDH|7406038283151266454</stp>
        <tr r="AB773" s="5"/>
        <tr r="AB771" s="5"/>
        <tr r="AB770" s="5"/>
        <tr r="AB769" s="5"/>
        <tr r="AB768" s="5"/>
        <tr r="AB772" s="5"/>
      </tp>
      <tp t="s">
        <v>#N/A N/A</v>
        <stp/>
        <stp>BDH|2967680422575500962</stp>
        <tr r="AF97" s="5"/>
        <tr r="AD147" s="5"/>
        <tr r="AE137" s="5"/>
        <tr r="AC152" s="5"/>
        <tr r="AB157" s="5"/>
      </tp>
      <tp t="s">
        <v>#N/A N/A</v>
        <stp/>
        <stp>BDH|1880344689880657032</stp>
        <tr r="AE647" s="5"/>
        <tr r="AD657" s="5"/>
        <tr r="AC662" s="5"/>
        <tr r="AF607" s="5"/>
        <tr r="AB667" s="5"/>
      </tp>
      <tp t="s">
        <v>#N/A N/A</v>
        <stp/>
        <stp>BDH|6805193931596217825</stp>
        <tr r="V362" s="5"/>
        <tr r="T377" s="5"/>
        <tr r="W322" s="5"/>
        <tr r="U372" s="5"/>
        <tr r="S382" s="5"/>
      </tp>
      <tp t="s">
        <v>#N/A N/A</v>
        <stp/>
        <stp>BDH|8814365945800245592</stp>
        <tr r="V256" s="5"/>
        <tr r="U266" s="5"/>
        <tr r="T271" s="5"/>
        <tr r="W216" s="5"/>
        <tr r="S276" s="5"/>
      </tp>
      <tp t="s">
        <v>#N/A N/A</v>
        <stp/>
        <stp>BDH|1102191264879911546</stp>
        <tr r="AF751" s="5"/>
      </tp>
      <tp t="s">
        <v>#N/A N/A</v>
        <stp/>
        <stp>BDH|4370655638718802302</stp>
        <tr r="AC398" s="5"/>
        <tr r="AD393" s="5"/>
        <tr r="AF343" s="5"/>
        <tr r="AE383" s="5"/>
        <tr r="AB403" s="5"/>
      </tp>
      <tp t="s">
        <v>#N/A N/A</v>
        <stp/>
        <stp>BDH|9837973670455101883</stp>
        <tr r="U552" s="5"/>
        <tr r="V542" s="5"/>
        <tr r="W502" s="5"/>
        <tr r="T557" s="5"/>
        <tr r="S562" s="5"/>
      </tp>
      <tp t="s">
        <v>#N/A N/A</v>
        <stp/>
        <stp>BDH|2151812433163647034</stp>
        <tr r="AF545" s="5"/>
        <tr r="AE585" s="5"/>
        <tr r="AD595" s="5"/>
        <tr r="AC600" s="5"/>
        <tr r="AB605" s="5"/>
      </tp>
      <tp t="s">
        <v>#N/A N/A</v>
        <stp/>
        <stp>BDH|8372043853734635349</stp>
        <tr r="AE676" s="5"/>
        <tr r="AF636" s="5"/>
        <tr r="AC691" s="5"/>
        <tr r="AD686" s="5"/>
        <tr r="AB696" s="5"/>
      </tp>
      <tp t="s">
        <v>#N/A N/A</v>
        <stp/>
        <stp>BDH|5421553056788368715</stp>
        <tr r="AC89" s="5"/>
        <tr r="AE74" s="5"/>
        <tr r="AD84" s="5"/>
        <tr r="AF34" s="5"/>
        <tr r="AB94" s="5"/>
      </tp>
      <tp t="s">
        <v>#N/A N/A</v>
        <stp/>
        <stp>BDH|8741302372192230429</stp>
        <tr r="T126" s="5"/>
        <tr r="U121" s="5"/>
        <tr r="W71" s="5"/>
        <tr r="V111" s="5"/>
        <tr r="S131" s="5"/>
      </tp>
      <tp t="s">
        <v>#N/A N/A</v>
        <stp/>
        <stp>BDH|7128447994377012748</stp>
        <tr r="AD581" s="5"/>
        <tr r="AC586" s="5"/>
        <tr r="AE571" s="5"/>
        <tr r="AF531" s="5"/>
        <tr r="AB591" s="5"/>
      </tp>
      <tp t="s">
        <v>#N/A N/A</v>
        <stp/>
        <stp>BDH|70987733528925539</stp>
        <tr r="W750" s="5"/>
      </tp>
      <tp t="s">
        <v>#N/A N/A</v>
        <stp/>
        <stp>BDH|2658809512235716598</stp>
        <tr r="W710" s="5"/>
        <tr r="V750" s="5"/>
        <tr r="U760" s="5"/>
        <tr r="T765" s="5"/>
      </tp>
      <tp t="s">
        <v>#N/A N/A</v>
        <stp/>
        <stp>BDH|8326513257413948068</stp>
        <tr r="U310" s="5"/>
        <tr r="W260" s="5"/>
        <tr r="V300" s="5"/>
        <tr r="T315" s="5"/>
        <tr r="S320" s="5"/>
      </tp>
      <tp t="s">
        <v>#N/A N/A</v>
        <stp/>
        <stp>BDH|6291194286840062479</stp>
        <tr r="AC41" s="5"/>
        <tr r="AE26" s="5"/>
        <tr r="AD36" s="5"/>
        <tr r="AB46" s="5"/>
      </tp>
      <tp t="s">
        <v>#N/A N/A</v>
        <stp/>
        <stp>BDH|4959159573090536917</stp>
        <tr r="AF756" s="5"/>
      </tp>
      <tp t="s">
        <v>#N/A N/A</v>
        <stp/>
        <stp>BDH|2988653773079197172</stp>
        <tr r="AF750" s="5"/>
      </tp>
      <tp t="s">
        <v>#N/A N/A</v>
        <stp/>
        <stp>BDH|4248120939825382832</stp>
        <tr r="AF35" s="5"/>
        <tr r="AE75" s="5"/>
        <tr r="AD85" s="5"/>
        <tr r="AC90" s="5"/>
        <tr r="AB95" s="5"/>
      </tp>
      <tp t="s">
        <v>#N/A N/A</v>
        <stp/>
        <stp>BDH|1752674377089980272</stp>
        <tr r="T352" s="5"/>
        <tr r="U347" s="5"/>
        <tr r="W297" s="5"/>
        <tr r="V337" s="5"/>
        <tr r="S357" s="5"/>
      </tp>
      <tp t="s">
        <v>#N/A N/A</v>
        <stp/>
        <stp>BDH|2984695167608962172</stp>
        <tr r="AD269" s="5"/>
        <tr r="AF219" s="5"/>
        <tr r="AC274" s="5"/>
        <tr r="AE259" s="5"/>
        <tr r="AB279" s="5"/>
      </tp>
      <tp t="s">
        <v>#N/A N/A</v>
        <stp/>
        <stp>BDH|9032536029475182027</stp>
        <tr r="V480" s="5"/>
        <tr r="U490" s="5"/>
        <tr r="W440" s="5"/>
        <tr r="T495" s="5"/>
        <tr r="S500" s="5"/>
      </tp>
      <tp t="s">
        <v>#N/A N/A</v>
        <stp/>
        <stp>BDH|9293369529794663751</stp>
        <tr r="W585" s="5"/>
        <tr r="T640" s="5"/>
        <tr r="V625" s="5"/>
        <tr r="U635" s="5"/>
        <tr r="S645" s="5"/>
      </tp>
      <tp t="s">
        <v>#N/A N/A</v>
        <stp/>
        <stp>BDH|9513194744207636001</stp>
        <tr r="U52" s="5"/>
        <tr r="T57" s="5"/>
        <tr r="V42" s="5"/>
        <tr r="S62" s="5"/>
      </tp>
      <tp t="s">
        <v>#N/A N/A</v>
        <stp/>
        <stp>BDH|6746071758461252942</stp>
        <tr r="AD683" s="5"/>
        <tr r="AC688" s="5"/>
        <tr r="AF633" s="5"/>
        <tr r="AE673" s="5"/>
        <tr r="AB693" s="5"/>
      </tp>
      <tp t="s">
        <v>#N/A N/A</v>
        <stp/>
        <stp>BDH|2527798871469385014</stp>
        <tr r="W114" s="5"/>
        <tr r="T168" s="5"/>
        <tr r="U163" s="5"/>
        <tr r="V154" s="5"/>
        <tr r="S173" s="5"/>
      </tp>
      <tp t="s">
        <v>#N/A N/A</v>
        <stp/>
        <stp>BDH|5564025192854825321</stp>
        <tr r="AE243" s="5"/>
        <tr r="AC258" s="5"/>
        <tr r="AD253" s="5"/>
        <tr r="AF203" s="5"/>
        <tr r="AB263" s="5"/>
      </tp>
      <tp t="s">
        <v>#N/A N/A</v>
        <stp/>
        <stp>BDH|6502423245794463998</stp>
        <tr r="W289" s="5"/>
        <tr r="V329" s="5"/>
        <tr r="T344" s="5"/>
        <tr r="U339" s="5"/>
        <tr r="S349" s="5"/>
      </tp>
      <tp t="s">
        <v>#N/A N/A</v>
        <stp/>
        <stp>BDH|6568025787582934768</stp>
        <tr r="AE320" s="5"/>
        <tr r="AD330" s="5"/>
        <tr r="AC335" s="5"/>
        <tr r="AF280" s="5"/>
        <tr r="AB340" s="5"/>
      </tp>
      <tp t="s">
        <v>#N/A N/A</v>
        <stp/>
        <stp>BDH|8591670884638383594</stp>
        <tr r="V423" s="5"/>
        <tr r="T438" s="5"/>
        <tr r="U433" s="5"/>
        <tr r="W383" s="5"/>
        <tr r="S443" s="5"/>
      </tp>
      <tp t="s">
        <v>#N/A N/A</v>
        <stp/>
        <stp>BDH|7486398622329217405</stp>
        <tr r="U241" s="5"/>
        <tr r="V231" s="5"/>
        <tr r="T246" s="5"/>
        <tr r="W191" s="5"/>
        <tr r="S251" s="5"/>
      </tp>
      <tp t="s">
        <v>#N/A N/A</v>
        <stp/>
        <stp>BDH|7591447073499754688</stp>
        <tr r="AD301" s="5"/>
        <tr r="AF251" s="5"/>
        <tr r="AE291" s="5"/>
        <tr r="AC306" s="5"/>
        <tr r="AB311" s="5"/>
      </tp>
      <tp t="s">
        <v>#N/A N/A</v>
        <stp/>
        <stp>BDH|5452172484644447303</stp>
        <tr r="W719" s="5"/>
        <tr r="V759" s="5"/>
      </tp>
      <tp t="s">
        <v>#N/A N/A</v>
        <stp/>
        <stp>BDH|3862819158374723155</stp>
        <tr r="W543" s="5"/>
        <tr r="T598" s="5"/>
        <tr r="V583" s="5"/>
        <tr r="U593" s="5"/>
        <tr r="S603" s="5"/>
      </tp>
      <tp t="s">
        <v>#N/A N/A</v>
        <stp/>
        <stp>BDH|8221769010267032270</stp>
        <tr r="T581" s="5"/>
        <tr r="W526" s="5"/>
        <tr r="V566" s="5"/>
        <tr r="U576" s="5"/>
        <tr r="S586" s="5"/>
      </tp>
      <tp t="s">
        <v>#N/A N/A</v>
        <stp/>
        <stp>BDH|2418940868267319188</stp>
        <tr r="T130" s="5"/>
        <tr r="U125" s="5"/>
        <tr r="V115" s="5"/>
        <tr r="W75" s="5"/>
        <tr r="S135" s="5"/>
      </tp>
      <tp t="s">
        <v>#N/A N/A</v>
        <stp/>
        <stp>BDH|4669568101702258833</stp>
        <tr r="AF195" s="5"/>
        <tr r="AC250" s="5"/>
        <tr r="AE235" s="5"/>
        <tr r="AD245" s="5"/>
        <tr r="AB255" s="5"/>
      </tp>
      <tp t="s">
        <v>#N/A N/A</v>
        <stp/>
        <stp>BDH|1786275702581610946</stp>
        <tr r="W754" s="5"/>
      </tp>
      <tp t="s">
        <v>#N/A N/A</v>
        <stp/>
        <stp>BDH|5758442579094378981</stp>
        <tr r="T649" s="5"/>
        <tr r="W594" s="5"/>
        <tr r="V634" s="5"/>
        <tr r="U644" s="5"/>
        <tr r="S654" s="5"/>
      </tp>
      <tp t="s">
        <v>#N/A N/A</v>
        <stp/>
        <stp>BDH|5833947604320956701</stp>
        <tr r="U257" s="5"/>
        <tr r="T262" s="5"/>
        <tr r="V247" s="5"/>
        <tr r="W207" s="5"/>
        <tr r="S267" s="5"/>
      </tp>
      <tp t="s">
        <v>#N/A N/A</v>
        <stp/>
        <stp>BDH|6513748593007789447</stp>
        <tr r="W258" s="5"/>
        <tr r="T313" s="5"/>
        <tr r="V298" s="5"/>
        <tr r="U308" s="5"/>
        <tr r="S318" s="5"/>
      </tp>
      <tp t="s">
        <v>#N/A N/A</v>
        <stp/>
        <stp>BDH|1525656610394792968</stp>
        <tr r="V401" s="5"/>
        <tr r="W361" s="5"/>
        <tr r="T416" s="5"/>
        <tr r="U411" s="5"/>
        <tr r="S421" s="5"/>
      </tp>
      <tp t="s">
        <v>#N/A N/A</v>
        <stp/>
        <stp>BDH|3626537135848904681</stp>
        <tr r="U60" s="5"/>
        <tr r="T65" s="5"/>
        <tr r="V50" s="5"/>
        <tr r="S70" s="5"/>
      </tp>
      <tp t="s">
        <v>#N/A N/A</v>
        <stp/>
        <stp>BDH|9724153163294146166</stp>
        <tr r="T715" s="5"/>
        <tr r="U710" s="5"/>
        <tr r="W660" s="5"/>
        <tr r="V700" s="5"/>
        <tr r="S720" s="5"/>
      </tp>
      <tp t="s">
        <v>#N/A N/A</v>
        <stp/>
        <stp>BDH|2518275595131330324</stp>
        <tr r="U284" s="5"/>
        <tr r="T289" s="5"/>
        <tr r="W234" s="5"/>
        <tr r="V274" s="5"/>
        <tr r="S294" s="5"/>
      </tp>
      <tp t="s">
        <v>#N/A N/A</v>
        <stp/>
        <stp>BDH|5052247712944765978</stp>
        <tr r="AC477" s="5"/>
        <tr r="AD472" s="5"/>
        <tr r="AF422" s="5"/>
        <tr r="AE462" s="5"/>
        <tr r="AB482" s="5"/>
      </tp>
      <tp t="s">
        <v>#N/A N/A</v>
        <stp/>
        <stp>BDH|4239447085327576407</stp>
        <tr r="V418" s="5"/>
        <tr r="W378" s="5"/>
        <tr r="T433" s="5"/>
        <tr r="U428" s="5"/>
        <tr r="S438" s="5"/>
      </tp>
      <tp t="s">
        <v>#N/A N/A</v>
        <stp/>
        <stp>BDH|8392705485644200839</stp>
        <tr r="U626" s="5"/>
        <tr r="V616" s="5"/>
        <tr r="T631" s="5"/>
        <tr r="W576" s="5"/>
        <tr r="S636" s="5"/>
      </tp>
      <tp t="s">
        <v>#N/A N/A</v>
        <stp/>
        <stp>BDH|6260919961193696131</stp>
        <tr r="AE187" s="5"/>
        <tr r="AD197" s="5"/>
        <tr r="AF148" s="5"/>
        <tr r="AC202" s="5"/>
        <tr r="AB207" s="5"/>
      </tp>
      <tp t="s">
        <v>#N/A N/A</v>
        <stp/>
        <stp>BDH|1346437126688002418</stp>
        <tr r="V409" s="5"/>
        <tr r="U419" s="5"/>
        <tr r="W369" s="5"/>
        <tr r="T424" s="5"/>
        <tr r="S429" s="5"/>
      </tp>
      <tp t="s">
        <v>#N/A N/A</v>
        <stp/>
        <stp>BDH|8996019782913687882</stp>
        <tr r="AC353" s="5"/>
        <tr r="AE338" s="5"/>
        <tr r="AF298" s="5"/>
        <tr r="AD348" s="5"/>
        <tr r="AB358" s="5"/>
      </tp>
      <tp t="s">
        <v>#N/A N/A</v>
        <stp/>
        <stp>BDH|1747560522439002472</stp>
        <tr r="T554" s="5"/>
        <tr r="W499" s="5"/>
        <tr r="U549" s="5"/>
        <tr r="V539" s="5"/>
        <tr r="S559" s="5"/>
      </tp>
      <tp t="s">
        <v>#N/A N/A</v>
        <stp/>
        <stp>BDH|9183610324120310634</stp>
        <tr r="AE405" s="5"/>
        <tr r="AC420" s="5"/>
        <tr r="AD415" s="5"/>
        <tr r="AF365" s="5"/>
        <tr r="AB425" s="5"/>
      </tp>
      <tp t="s">
        <v>#N/A N/A</v>
        <stp/>
        <stp>BDH|6647316688881320790</stp>
        <tr r="W439" s="5"/>
        <tr r="V479" s="5"/>
        <tr r="T494" s="5"/>
        <tr r="U489" s="5"/>
        <tr r="S499" s="5"/>
      </tp>
      <tp t="s">
        <v>#N/A N/A</v>
        <stp/>
        <stp>BDH|5223349202344550942</stp>
        <tr r="W248" s="5"/>
        <tr r="V288" s="5"/>
        <tr r="T303" s="5"/>
        <tr r="U298" s="5"/>
        <tr r="S308" s="5"/>
      </tp>
      <tp t="s">
        <v>#N/A N/A</v>
        <stp/>
        <stp>BDH|86876358588691356</stp>
        <tr r="W285" s="5"/>
        <tr r="U335" s="5"/>
        <tr r="V325" s="5"/>
        <tr r="T340" s="5"/>
        <tr r="S345" s="5"/>
      </tp>
      <tp t="s">
        <v>#N/A N/A</v>
        <stp/>
        <stp>BDH|84146478530472021</stp>
        <tr r="AC679" s="5"/>
        <tr r="AD674" s="5"/>
        <tr r="AF624" s="5"/>
        <tr r="AE664" s="5"/>
        <tr r="AB684" s="5"/>
      </tp>
      <tp t="s">
        <v>#N/A N/A</v>
        <stp/>
        <stp>BDH|6099564079306745629</stp>
        <tr r="AF132" s="5"/>
        <tr r="AE171" s="5"/>
        <tr r="AC186" s="5"/>
        <tr r="AD181" s="5"/>
        <tr r="AB191" s="5"/>
      </tp>
      <tp t="s">
        <v>#N/A N/A</v>
        <stp/>
        <stp>BDH|8562341059448130238</stp>
        <tr r="AD304" s="5"/>
        <tr r="AE294" s="5"/>
        <tr r="AC309" s="5"/>
        <tr r="AF254" s="5"/>
        <tr r="AB314" s="5"/>
      </tp>
      <tp t="s">
        <v>#N/A N/A</v>
        <stp/>
        <stp>BDH|1290099588444084996</stp>
        <tr r="W663" s="5"/>
        <tr r="V703" s="5"/>
        <tr r="T718" s="5"/>
        <tr r="U713" s="5"/>
        <tr r="S723" s="5"/>
      </tp>
      <tp t="s">
        <v>#N/A N/A</v>
        <stp/>
        <stp>BDH|8508542730818338298</stp>
        <tr r="W712" s="5"/>
        <tr r="U762" s="5"/>
        <tr r="V752" s="5"/>
        <tr r="T767" s="5"/>
      </tp>
      <tp t="s">
        <v>#N/A N/A</v>
        <stp/>
        <stp>BDH|6798721633280848656</stp>
        <tr r="AF201" s="5"/>
        <tr r="AE241" s="5"/>
        <tr r="AC256" s="5"/>
        <tr r="AD251" s="5"/>
        <tr r="AB261" s="5"/>
      </tp>
      <tp t="s">
        <v>#N/A N/A</v>
        <stp/>
        <stp>BDH|5533691564771589063</stp>
        <tr r="AD552" s="5"/>
        <tr r="AE542" s="5"/>
        <tr r="AF502" s="5"/>
        <tr r="AC557" s="5"/>
        <tr r="AB562" s="5"/>
      </tp>
      <tp t="s">
        <v>#N/A N/A</v>
        <stp/>
        <stp>BDH|6824271064813796542</stp>
        <tr r="AF147" s="5"/>
        <tr r="AC201" s="5"/>
        <tr r="AD196" s="5"/>
        <tr r="AE186" s="5"/>
        <tr r="AB206" s="5"/>
      </tp>
      <tp t="s">
        <v>#N/A N/A</v>
        <stp/>
        <stp>BDH|4933565754889219917</stp>
        <tr r="AD535" s="5"/>
        <tr r="AF485" s="5"/>
        <tr r="AC540" s="5"/>
        <tr r="AE525" s="5"/>
        <tr r="AB545" s="5"/>
      </tp>
      <tp t="s">
        <v>#N/A N/A</v>
        <stp/>
        <stp>BDH|5172888081115140409</stp>
        <tr r="AC305" s="5"/>
        <tr r="AF250" s="5"/>
        <tr r="AD300" s="5"/>
        <tr r="AE290" s="5"/>
        <tr r="AB310" s="5"/>
      </tp>
      <tp t="s">
        <v>#N/A N/A</v>
        <stp/>
        <stp>BDH|5076897780568030902</stp>
        <tr r="AC459" s="5"/>
        <tr r="AE444" s="5"/>
        <tr r="AD454" s="5"/>
        <tr r="AF404" s="5"/>
        <tr r="AB464" s="5"/>
      </tp>
      <tp t="s">
        <v>#N/A N/A</v>
        <stp/>
        <stp>BDH|4806843481790297069</stp>
        <tr r="V591" s="5"/>
        <tr r="T606" s="5"/>
        <tr r="W551" s="5"/>
        <tr r="U601" s="5"/>
        <tr r="S611" s="5"/>
      </tp>
      <tp t="s">
        <v>#N/A N/A</v>
        <stp/>
        <stp>BDH|5160084038283049183</stp>
        <tr r="AD449" s="5"/>
        <tr r="AC454" s="5"/>
        <tr r="AE439" s="5"/>
        <tr r="AF399" s="5"/>
        <tr r="AB459" s="5"/>
      </tp>
      <tp t="s">
        <v>#N/A N/A</v>
        <stp/>
        <stp>BDH|5204790529811585593</stp>
        <tr r="T68" s="5"/>
        <tr r="U63" s="5"/>
        <tr r="V53" s="5"/>
        <tr r="S73" s="5"/>
      </tp>
      <tp t="s">
        <v>#N/A N/A</v>
        <stp/>
        <stp>BDH|9004203480764974376</stp>
        <tr r="AD364" s="5"/>
        <tr r="AE354" s="5"/>
        <tr r="AC369" s="5"/>
        <tr r="AF314" s="5"/>
        <tr r="AB374" s="5"/>
      </tp>
      <tp t="s">
        <v>#N/A N/A</v>
        <stp/>
        <stp>BDH|3376302890534947942</stp>
        <tr r="V552" s="5"/>
        <tr r="W512" s="5"/>
        <tr r="T567" s="5"/>
        <tr r="U562" s="5"/>
        <tr r="S572" s="5"/>
      </tp>
      <tp t="s">
        <v>#N/A N/A</v>
        <stp/>
        <stp>BDH|5326883575809319731</stp>
        <tr r="AE423" s="5"/>
        <tr r="AC438" s="5"/>
        <tr r="AD433" s="5"/>
        <tr r="AF383" s="5"/>
        <tr r="AB443" s="5"/>
      </tp>
      <tp t="s">
        <v>#N/A N/A</v>
        <stp/>
        <stp>BDH|3267644306568766984</stp>
        <tr r="AE667" s="5"/>
        <tr r="AC682" s="5"/>
        <tr r="AF627" s="5"/>
        <tr r="AD677" s="5"/>
        <tr r="AB687" s="5"/>
      </tp>
      <tp t="s">
        <v>#N/A N/A</v>
        <stp/>
        <stp>BDH|2233514943714684390</stp>
        <tr r="AD284" s="5"/>
        <tr r="AC289" s="5"/>
        <tr r="AF234" s="5"/>
        <tr r="AE274" s="5"/>
        <tr r="AB294" s="5"/>
      </tp>
      <tp t="s">
        <v>#N/A N/A</v>
        <stp/>
        <stp>BDH|3183296145524545572</stp>
        <tr r="W30" s="5"/>
        <tr r="V70" s="5"/>
        <tr r="T85" s="5"/>
        <tr r="U80" s="5"/>
        <tr r="S90" s="5"/>
      </tp>
      <tp t="s">
        <v>#N/A N/A</v>
        <stp/>
        <stp>BDH|4845934823412752931</stp>
        <tr r="V697" s="5"/>
        <tr r="W657" s="5"/>
        <tr r="T712" s="5"/>
        <tr r="U707" s="5"/>
        <tr r="S717" s="5"/>
      </tp>
      <tp t="s">
        <v>#N/A N/A</v>
        <stp/>
        <stp>BDH|8162089385716692264</stp>
        <tr r="W321" s="5"/>
        <tr r="V361" s="5"/>
        <tr r="T376" s="5"/>
        <tr r="U371" s="5"/>
        <tr r="S381" s="5"/>
      </tp>
      <tp t="s">
        <v>#N/A N/A</v>
        <stp/>
        <stp>BDH|5220763349826899494</stp>
        <tr r="AD244" s="5"/>
        <tr r="AF194" s="5"/>
        <tr r="AC249" s="5"/>
        <tr r="AE234" s="5"/>
        <tr r="AB254" s="5"/>
      </tp>
      <tp t="s">
        <v>#N/A N/A</v>
        <stp/>
        <stp>BDH|8981728492521023351</stp>
        <tr r="W741" s="5"/>
      </tp>
      <tp t="s">
        <v>#N/A N/A</v>
        <stp/>
        <stp>BDH|3451780570644701375</stp>
        <tr r="V535" s="5"/>
        <tr r="W495" s="5"/>
        <tr r="U545" s="5"/>
        <tr r="T550" s="5"/>
        <tr r="S555" s="5"/>
      </tp>
      <tp t="s">
        <v>#N/A N/A</v>
        <stp/>
        <stp>BDH|6564617376125915679</stp>
        <tr r="AC386" s="5"/>
        <tr r="AD381" s="5"/>
        <tr r="AF331" s="5"/>
        <tr r="AE371" s="5"/>
        <tr r="AB391" s="5"/>
      </tp>
      <tp t="s">
        <v>#N/A N/A</v>
        <stp/>
        <stp>BDH|1759912907425810958</stp>
        <tr r="AF324" s="5"/>
        <tr r="AE364" s="5"/>
        <tr r="AC379" s="5"/>
        <tr r="AD374" s="5"/>
        <tr r="AB384" s="5"/>
      </tp>
      <tp t="s">
        <v>#N/A N/A</v>
        <stp/>
        <stp>BDH|9039991940535743537</stp>
        <tr r="AF731" s="5"/>
      </tp>
      <tp t="s">
        <v>#N/A N/A</v>
        <stp/>
        <stp>BDH|6641312716929839948</stp>
        <tr r="AF752" s="5"/>
      </tp>
      <tp t="s">
        <v>#N/A N/A</v>
        <stp/>
        <stp>BDH|7647930172804342991</stp>
        <tr r="T23" s="5"/>
        <tr r="S28" s="5"/>
      </tp>
      <tp t="s">
        <v>#N/A N/A</v>
        <stp/>
        <stp>BDH|1762513101922237286</stp>
        <tr r="AC218" s="5"/>
        <tr r="AF163" s="5"/>
        <tr r="AE203" s="5"/>
        <tr r="AD213" s="5"/>
        <tr r="AB223" s="5"/>
      </tp>
      <tp t="s">
        <v>#N/A N/A</v>
        <stp/>
        <stp>BDH|2180088958831533292</stp>
        <tr r="W182" s="5"/>
        <tr r="T237" s="5"/>
        <tr r="U232" s="5"/>
        <tr r="V222" s="5"/>
        <tr r="S242" s="5"/>
      </tp>
      <tp t="s">
        <v>#N/A N/A</v>
        <stp/>
        <stp>BDH|9999833667724556752</stp>
        <tr r="U653" s="5"/>
        <tr r="V643" s="5"/>
        <tr r="T658" s="5"/>
        <tr r="W603" s="5"/>
        <tr r="S663" s="5"/>
      </tp>
      <tp t="s">
        <v>#N/A N/A</v>
        <stp/>
        <stp>BDH|4144089637810408379</stp>
        <tr r="AD567" s="5"/>
        <tr r="AF517" s="5"/>
        <tr r="AC572" s="5"/>
        <tr r="AE557" s="5"/>
        <tr r="AB577" s="5"/>
      </tp>
      <tp t="s">
        <v>#N/A N/A</v>
        <stp/>
        <stp>BDH|3955551439720053172</stp>
        <tr r="W375" s="5"/>
        <tr r="U425" s="5"/>
        <tr r="V415" s="5"/>
        <tr r="T430" s="5"/>
        <tr r="S435" s="5"/>
      </tp>
      <tp t="s">
        <v>#N/A N/A</v>
        <stp/>
        <stp>BDH|4896556834046323089</stp>
        <tr r="AE127" s="5"/>
        <tr r="AC142" s="5"/>
        <tr r="AD137" s="5"/>
        <tr r="AF87" s="5"/>
        <tr r="AB147" s="5"/>
      </tp>
      <tp t="s">
        <v>#N/A N/A</v>
        <stp/>
        <stp>BDH|7568692577652001099</stp>
        <tr r="V166" s="5"/>
        <tr r="T181" s="5"/>
        <tr r="W127" s="5"/>
        <tr r="U176" s="5"/>
        <tr r="S186" s="5"/>
      </tp>
      <tp t="s">
        <v>#N/A N/A</v>
        <stp/>
        <stp>BDH|6411797839476280046</stp>
        <tr r="AE333" s="5"/>
        <tr r="AF293" s="5"/>
        <tr r="AD343" s="5"/>
        <tr r="AC348" s="5"/>
        <tr r="AB353" s="5"/>
      </tp>
      <tp t="s">
        <v>#N/A N/A</v>
        <stp/>
        <stp>BDH|9396535837998045341</stp>
        <tr r="V232" s="5"/>
        <tr r="T247" s="5"/>
        <tr r="W192" s="5"/>
        <tr r="U242" s="5"/>
        <tr r="S252" s="5"/>
      </tp>
      <tp t="s">
        <v>#N/A N/A</v>
        <stp/>
        <stp>BDH|6892194687012168942</stp>
        <tr r="AF352" s="5"/>
        <tr r="AD402" s="5"/>
        <tr r="AC407" s="5"/>
        <tr r="AE392" s="5"/>
        <tr r="AB412" s="5"/>
      </tp>
      <tp t="s">
        <v>#N/A N/A</v>
        <stp/>
        <stp>BDH|5163584671661985226</stp>
        <tr r="AC622" s="5"/>
        <tr r="AF567" s="5"/>
        <tr r="AD617" s="5"/>
        <tr r="AE607" s="5"/>
        <tr r="AB627" s="5"/>
      </tp>
      <tp t="s">
        <v>#N/A N/A</v>
        <stp/>
        <stp>BDH|1982497687089433006</stp>
        <tr r="U155" s="5"/>
        <tr r="W105" s="5"/>
        <tr r="V145" s="5"/>
        <tr r="S164" s="5"/>
      </tp>
      <tp t="e">
        <v>#N/A</v>
        <stp/>
        <stp>BDH|4196744901405788236</stp>
        <tr r="D21" s="5"/>
      </tp>
      <tp t="s">
        <v>#N/A N/A</v>
        <stp/>
        <stp>BDH|4462746040531657266</stp>
        <tr r="V491" s="5"/>
        <tr r="T506" s="5"/>
        <tr r="U501" s="5"/>
        <tr r="W451" s="5"/>
        <tr r="S511" s="5"/>
      </tp>
      <tp t="s">
        <v>#N/A N/A</v>
        <stp/>
        <stp>BDH|2534473852036229128</stp>
        <tr r="AC100" s="5"/>
        <tr r="AD95" s="5"/>
        <tr r="AE85" s="5"/>
        <tr r="AF45" s="5"/>
        <tr r="AB105" s="5"/>
      </tp>
      <tp t="s">
        <v>#N/A N/A</v>
        <stp/>
        <stp>BDH|8746922464704577749</stp>
        <tr r="AE148" s="5"/>
        <tr r="AD158" s="5"/>
        <tr r="AF108" s="5"/>
        <tr r="AC162" s="5"/>
        <tr r="AB167" s="5"/>
      </tp>
      <tp t="s">
        <v>#N/A N/A</v>
        <stp/>
        <stp>BDH|3425352662015074723</stp>
        <tr r="AD565" s="5"/>
        <tr r="AC570" s="5"/>
        <tr r="AF515" s="5"/>
        <tr r="AE555" s="5"/>
        <tr r="AB575" s="5"/>
      </tp>
      <tp t="s">
        <v>#N/A N/A</v>
        <stp/>
        <stp>BDH|9531277192437914185</stp>
        <tr r="AD275" s="5"/>
        <tr r="AF225" s="5"/>
        <tr r="AC280" s="5"/>
        <tr r="AE265" s="5"/>
        <tr r="AB285" s="5"/>
      </tp>
      <tp t="s">
        <v>#N/A N/A</v>
        <stp/>
        <stp>BDH|6684780639890364651</stp>
        <tr r="AF119" s="5"/>
        <tr r="AE159" s="5"/>
        <tr r="AD168" s="5"/>
        <tr r="AC173" s="5"/>
        <tr r="AB178" s="5"/>
      </tp>
      <tp t="s">
        <v>#N/A N/A</v>
        <stp/>
        <stp>BDH|3606397179400552320</stp>
        <tr r="AF504" s="5"/>
        <tr r="AE544" s="5"/>
        <tr r="AD554" s="5"/>
        <tr r="AC559" s="5"/>
        <tr r="AB564" s="5"/>
      </tp>
      <tp t="s">
        <v>#N/A N/A</v>
        <stp/>
        <stp>BDH|5691998215408333180</stp>
        <tr r="AF762" s="5"/>
      </tp>
      <tp t="s">
        <v>#N/A N/A</v>
        <stp/>
        <stp>BDH|6924541547443875038</stp>
        <tr r="AE330" s="5"/>
        <tr r="AD340" s="5"/>
        <tr r="AF290" s="5"/>
        <tr r="AC345" s="5"/>
        <tr r="AB350" s="5"/>
      </tp>
      <tp t="s">
        <v>#N/A N/A</v>
        <stp/>
        <stp>BDH|6607094176513993613</stp>
        <tr r="V170" s="5"/>
        <tr r="U180" s="5"/>
        <tr r="T185" s="5"/>
        <tr r="W131" s="5"/>
        <tr r="S190" s="5"/>
      </tp>
      <tp t="s">
        <v>#N/A N/A</v>
        <stp/>
        <stp>BDH|2225020824277013322</stp>
        <tr r="U248" s="5"/>
        <tr r="V238" s="5"/>
        <tr r="T253" s="5"/>
        <tr r="W198" s="5"/>
        <tr r="S258" s="5"/>
      </tp>
      <tp t="s">
        <v>#N/A N/A</v>
        <stp/>
        <stp>BDH|5633425649194237591</stp>
        <tr r="AC59" s="5"/>
        <tr r="AD54" s="5"/>
        <tr r="AE44" s="5"/>
        <tr r="AB64" s="5"/>
      </tp>
      <tp t="s">
        <v>#N/A N/A</v>
        <stp/>
        <stp>BDH|7597067435197599752</stp>
        <tr r="AD65" s="5"/>
        <tr r="AC70" s="5"/>
        <tr r="AE55" s="5"/>
        <tr r="AB75" s="5"/>
      </tp>
      <tp t="s">
        <v>#N/A N/A</v>
        <stp/>
        <stp>BDH|6717640217963403663</stp>
        <tr r="W753" s="5"/>
      </tp>
      <tp t="s">
        <v>#N/A N/A</v>
        <stp/>
        <stp>BDH|5815091947156736379</stp>
        <tr r="AE550" s="5"/>
        <tr r="AC565" s="5"/>
        <tr r="AF510" s="5"/>
        <tr r="AD560" s="5"/>
        <tr r="AB570" s="5"/>
      </tp>
      <tp t="s">
        <v>#N/A N/A</v>
        <stp/>
        <stp>BDH|3474201124432295551</stp>
        <tr r="V278" s="5"/>
        <tr r="U288" s="5"/>
        <tr r="T293" s="5"/>
        <tr r="W238" s="5"/>
        <tr r="S298" s="5"/>
      </tp>
      <tp t="s">
        <v>#N/A N/A</v>
        <stp/>
        <stp>BDH|3191011622884178148</stp>
        <tr r="AE178" s="5"/>
        <tr r="AD188" s="5"/>
        <tr r="AC193" s="5"/>
        <tr r="AF139" s="5"/>
        <tr r="AB198" s="5"/>
      </tp>
      <tp t="s">
        <v>#N/A N/A</v>
        <stp/>
        <stp>BDH|7692010776386059256</stp>
        <tr r="V627" s="5"/>
        <tr r="T642" s="5"/>
        <tr r="U637" s="5"/>
        <tr r="W587" s="5"/>
        <tr r="S647" s="5"/>
      </tp>
      <tp t="s">
        <v>#N/A N/A</v>
        <stp/>
        <stp>BDH|7460758374117694479</stp>
        <tr r="AF325" s="5"/>
        <tr r="AD375" s="5"/>
        <tr r="AC380" s="5"/>
        <tr r="AE365" s="5"/>
        <tr r="AB385" s="5"/>
      </tp>
      <tp t="s">
        <v>#N/A N/A</v>
        <stp/>
        <stp>BDH|3596511152766730152</stp>
        <tr r="T398" s="5"/>
        <tr r="U393" s="5"/>
        <tr r="W343" s="5"/>
        <tr r="V383" s="5"/>
        <tr r="S403" s="5"/>
      </tp>
      <tp t="s">
        <v>#N/A N/A</v>
        <stp/>
        <stp>BDH|5329337979157907256</stp>
        <tr r="V37" s="5"/>
        <tr r="T52" s="5"/>
        <tr r="U47" s="5"/>
        <tr r="S57" s="5"/>
      </tp>
      <tp t="s">
        <v>#N/A N/A</v>
        <stp/>
        <stp>BDH|7983980562949695500</stp>
        <tr r="AF733" s="5"/>
      </tp>
      <tp t="s">
        <v>#N/A N/A</v>
        <stp/>
        <stp>BDH|6581696448419639974</stp>
        <tr r="AE212" s="5"/>
        <tr r="AF172" s="5"/>
        <tr r="AC227" s="5"/>
        <tr r="AD222" s="5"/>
        <tr r="AB232" s="5"/>
      </tp>
      <tp t="s">
        <v>#N/A N/A</v>
        <stp/>
        <stp>BDH|8250887774077140556</stp>
        <tr r="AE474" s="5"/>
        <tr r="AF434" s="5"/>
        <tr r="AD484" s="5"/>
        <tr r="AC489" s="5"/>
        <tr r="AB494" s="5"/>
      </tp>
      <tp t="s">
        <v>#N/A N/A</v>
        <stp/>
        <stp>BDH|4838877092755494536</stp>
        <tr r="U700" s="5"/>
        <tr r="T705" s="5"/>
        <tr r="W650" s="5"/>
        <tr r="V690" s="5"/>
        <tr r="S710" s="5"/>
      </tp>
      <tp t="s">
        <v>#N/A N/A</v>
        <stp/>
        <stp>BDH|7981558242652284179</stp>
        <tr r="S25" s="5"/>
      </tp>
      <tp t="s">
        <v>#N/A N/A</v>
        <stp/>
        <stp>BDH|8328486396760788016</stp>
        <tr r="AE272" s="5"/>
        <tr r="AC287" s="5"/>
        <tr r="AF232" s="5"/>
        <tr r="AD282" s="5"/>
        <tr r="AB292" s="5"/>
      </tp>
      <tp t="s">
        <v>#N/A N/A</v>
        <stp/>
        <stp>BDH|8500257092151320794</stp>
        <tr r="AF263" s="5"/>
        <tr r="AE303" s="5"/>
        <tr r="AD313" s="5"/>
        <tr r="AC318" s="5"/>
        <tr r="AB323" s="5"/>
      </tp>
      <tp t="s">
        <v>#N/A N/A</v>
        <stp/>
        <stp>BDH|8076658318099378365</stp>
        <tr r="W718" s="5"/>
        <tr r="V758" s="5"/>
      </tp>
      <tp t="s">
        <v>#N/A N/A</v>
        <stp/>
        <stp>BDH|8408648871089820516</stp>
        <tr r="V509" s="5"/>
        <tr r="T524" s="5"/>
        <tr r="U519" s="5"/>
        <tr r="W469" s="5"/>
        <tr r="S529" s="5"/>
      </tp>
      <tp t="s">
        <v>#N/A N/A</v>
        <stp/>
        <stp>BDH|8614154879982259919</stp>
        <tr r="U476" s="5"/>
        <tr r="T481" s="5"/>
        <tr r="V466" s="5"/>
        <tr r="W426" s="5"/>
        <tr r="S486" s="5"/>
      </tp>
      <tp t="s">
        <v>#N/A N/A</v>
        <stp/>
        <stp>BDH|6779025633017937763</stp>
        <tr r="T732" s="5"/>
        <tr r="V717" s="5"/>
        <tr r="U727" s="5"/>
        <tr r="W677" s="5"/>
        <tr r="S737" s="5"/>
      </tp>
      <tp t="s">
        <v>#N/A N/A</v>
        <stp/>
        <stp>BDH|9339134348439698072</stp>
        <tr r="U199" s="5"/>
        <tr r="V189" s="5"/>
        <tr r="T204" s="5"/>
        <tr r="W150" s="5"/>
        <tr r="S209" s="5"/>
      </tp>
      <tp t="s">
        <v>#N/A N/A</v>
        <stp/>
        <stp>BDH|1191974798277721306</stp>
        <tr r="W715" s="5"/>
        <tr r="V755" s="5"/>
        <tr r="U765" s="5"/>
      </tp>
      <tp t="s">
        <v>#N/A N/A</v>
        <stp/>
        <stp>BDH|2542648258411290550</stp>
        <tr r="U108" s="5"/>
        <tr r="V98" s="5"/>
        <tr r="W58" s="5"/>
        <tr r="T113" s="5"/>
        <tr r="S118" s="5"/>
      </tp>
      <tp t="s">
        <v>#N/A N/A</v>
        <stp/>
        <stp>BDH|6252543113035919220</stp>
        <tr r="U531" s="5"/>
        <tr r="T536" s="5"/>
        <tr r="W481" s="5"/>
        <tr r="V521" s="5"/>
        <tr r="S541" s="5"/>
      </tp>
      <tp t="s">
        <v>#N/A N/A</v>
        <stp/>
        <stp>BDH|2527650583570433992</stp>
        <tr r="V421" s="5"/>
        <tr r="T436" s="5"/>
        <tr r="W381" s="5"/>
        <tr r="U431" s="5"/>
        <tr r="S441" s="5"/>
      </tp>
      <tp t="s">
        <v>#N/A N/A</v>
        <stp/>
        <stp>BDH|6419477203032712587</stp>
        <tr r="T651" s="5"/>
        <tr r="V636" s="5"/>
        <tr r="U646" s="5"/>
        <tr r="W596" s="5"/>
        <tr r="S656" s="5"/>
      </tp>
      <tp t="s">
        <v>#N/A N/A</v>
        <stp/>
        <stp>BDH|4690983492380099135</stp>
        <tr r="AC107" s="5"/>
        <tr r="AE92" s="5"/>
        <tr r="AD102" s="5"/>
        <tr r="AF52" s="5"/>
        <tr r="AB112" s="5"/>
      </tp>
      <tp t="s">
        <v>#N/A N/A</v>
        <stp/>
        <stp>BDH|3957072500163811591</stp>
        <tr r="AC128" s="5"/>
        <tr r="AD123" s="5"/>
        <tr r="AE113" s="5"/>
        <tr r="AF73" s="5"/>
        <tr r="AB133" s="5"/>
      </tp>
      <tp t="s">
        <v>#N/A N/A</v>
        <stp/>
        <stp>BDH|3220972483904017390</stp>
        <tr r="U533" s="5"/>
        <tr r="T538" s="5"/>
        <tr r="W483" s="5"/>
        <tr r="V523" s="5"/>
        <tr r="S543" s="5"/>
      </tp>
      <tp t="s">
        <v>#N/A N/A</v>
        <stp/>
        <stp>BDH|2250032817401011799</stp>
        <tr r="V149" s="5"/>
        <tr r="T163" s="5"/>
        <tr r="U159" s="5"/>
        <tr r="W109" s="5"/>
        <tr r="S168" s="5"/>
      </tp>
      <tp t="s">
        <v>#N/A N/A</v>
        <stp/>
        <stp>BDH|7307430592728411799</stp>
        <tr r="U565" s="5"/>
        <tr r="T570" s="5"/>
        <tr r="W515" s="5"/>
        <tr r="V555" s="5"/>
        <tr r="S575" s="5"/>
      </tp>
      <tp t="s">
        <v>#N/A N/A</v>
        <stp/>
        <stp>BDH|6584423538861144526</stp>
        <tr r="AC352" s="5"/>
        <tr r="AD347" s="5"/>
        <tr r="AF297" s="5"/>
        <tr r="AE337" s="5"/>
        <tr r="AB357" s="5"/>
      </tp>
      <tp t="s">
        <v>#N/A N/A</v>
        <stp/>
        <stp>BDH|2062135463246523696</stp>
        <tr r="W708" s="5"/>
        <tr r="T763" s="5"/>
        <tr r="V748" s="5"/>
        <tr r="U758" s="5"/>
      </tp>
      <tp t="s">
        <v>#N/A N/A</v>
        <stp/>
        <stp>BDH|2326117788798755607</stp>
        <tr r="W88" s="5"/>
        <tr r="V128" s="5"/>
        <tr r="T143" s="5"/>
        <tr r="U138" s="5"/>
        <tr r="S148" s="5"/>
      </tp>
      <tp t="s">
        <v>#N/A N/A</v>
        <stp/>
        <stp>BDH|5788502975826707487</stp>
        <tr r="AC339" s="5"/>
        <tr r="AF284" s="5"/>
        <tr r="AE324" s="5"/>
        <tr r="AD334" s="5"/>
        <tr r="AB344" s="5"/>
      </tp>
      <tp t="s">
        <v>#N/A N/A</v>
        <stp/>
        <stp>BDH|1826076234353650406</stp>
        <tr r="W41" s="5"/>
        <tr r="V81" s="5"/>
        <tr r="T96" s="5"/>
        <tr r="U91" s="5"/>
        <tr r="S101" s="5"/>
      </tp>
      <tp t="s">
        <v>#N/A N/A</v>
        <stp/>
        <stp>BDH|1763291172089498850</stp>
        <tr r="V197" s="5"/>
        <tr r="W158" s="5"/>
        <tr r="U207" s="5"/>
        <tr r="T212" s="5"/>
        <tr r="S217" s="5"/>
      </tp>
      <tp t="s">
        <v>#N/A N/A</v>
        <stp/>
        <stp>BDH|3481969172529301112</stp>
        <tr r="AF743" s="5"/>
      </tp>
      <tp t="s">
        <v>#N/A N/A</v>
        <stp/>
        <stp>BDH|6566121876763474671</stp>
        <tr r="U704" s="5"/>
        <tr r="V694" s="5"/>
        <tr r="T709" s="5"/>
        <tr r="W654" s="5"/>
        <tr r="S714" s="5"/>
      </tp>
      <tp t="s">
        <v>#N/A N/A</v>
        <stp/>
        <stp>BDH|5502749177598071846</stp>
        <tr r="U218" s="5"/>
        <tr r="V208" s="5"/>
        <tr r="T223" s="5"/>
        <tr r="W168" s="5"/>
        <tr r="S228" s="5"/>
      </tp>
      <tp t="s">
        <v>#N/A N/A</v>
        <stp/>
        <stp>BDH|6414797820500654698</stp>
        <tr r="AD666" s="5"/>
        <tr r="AE656" s="5"/>
        <tr r="AC671" s="5"/>
        <tr r="AF616" s="5"/>
        <tr r="AB676" s="5"/>
      </tp>
      <tp t="s">
        <v>#N/A N/A</v>
        <stp/>
        <stp>BDH|3879432299278685361</stp>
        <tr r="AD272" s="5"/>
        <tr r="AE262" s="5"/>
        <tr r="AC277" s="5"/>
        <tr r="AF222" s="5"/>
        <tr r="AB282" s="5"/>
      </tp>
      <tp t="s">
        <v>#N/A N/A</v>
        <stp/>
        <stp>BDH|6737116540505768338</stp>
        <tr r="AD481" s="5"/>
        <tr r="AE471" s="5"/>
        <tr r="AC486" s="5"/>
        <tr r="AF431" s="5"/>
        <tr r="AB491" s="5"/>
      </tp>
      <tp t="s">
        <v>#N/A N/A</v>
        <stp/>
        <stp>BDH|1324804930128066732</stp>
        <tr r="U581" s="5"/>
        <tr r="T586" s="5"/>
        <tr r="V571" s="5"/>
        <tr r="W531" s="5"/>
        <tr r="S591" s="5"/>
      </tp>
      <tp t="s">
        <v>#N/A N/A</v>
        <stp/>
        <stp>BDH|5478045001796568640</stp>
        <tr r="AC109" s="5"/>
        <tr r="AD104" s="5"/>
        <tr r="AF54" s="5"/>
        <tr r="AE94" s="5"/>
        <tr r="AB114" s="5"/>
      </tp>
      <tp t="s">
        <v>#N/A N/A</v>
        <stp/>
        <stp>BDH|7032739814596788205</stp>
        <tr r="T669" s="5"/>
        <tr r="W614" s="5"/>
        <tr r="V654" s="5"/>
        <tr r="U664" s="5"/>
        <tr r="S674" s="5"/>
      </tp>
      <tp t="s">
        <v>#N/A N/A</v>
        <stp/>
        <stp>BDH|6636419604051174628</stp>
        <tr r="U502" s="5"/>
        <tr r="W452" s="5"/>
        <tr r="V492" s="5"/>
        <tr r="T507" s="5"/>
        <tr r="S512" s="5"/>
      </tp>
      <tp t="s">
        <v>#N/A N/A</v>
        <stp/>
        <stp>BDH|1304592673086177081</stp>
        <tr r="AC75" s="5"/>
        <tr r="AE60" s="5"/>
        <tr r="AD70" s="5"/>
        <tr r="AB80" s="5"/>
      </tp>
      <tp t="s">
        <v>#N/A N/A</v>
        <stp/>
        <stp>BDH|5719528821525657220</stp>
        <tr r="W165" s="5"/>
        <tr r="T220" s="5"/>
        <tr r="V205" s="5"/>
        <tr r="U215" s="5"/>
        <tr r="S225" s="5"/>
      </tp>
      <tp t="s">
        <v>#N/A N/A</v>
        <stp/>
        <stp>BDH|3150504320867598648</stp>
        <tr r="AF708" s="5"/>
        <tr r="AC763" s="5"/>
        <tr r="AE748" s="5"/>
        <tr r="AD758" s="5"/>
      </tp>
      <tp t="s">
        <v>#N/A N/A</v>
        <stp/>
        <stp>BDH|7515153107541457221</stp>
        <tr r="AF639" s="5"/>
        <tr r="AD689" s="5"/>
        <tr r="AE679" s="5"/>
        <tr r="AC694" s="5"/>
        <tr r="AB699" s="5"/>
      </tp>
      <tp t="s">
        <v>#N/A N/A</v>
        <stp/>
        <stp>BDH|5219422126150779607</stp>
        <tr r="AC581" s="5"/>
        <tr r="AF526" s="5"/>
        <tr r="AE566" s="5"/>
        <tr r="AD576" s="5"/>
        <tr r="AB586" s="5"/>
      </tp>
      <tp t="s">
        <v>#N/A N/A</v>
        <stp/>
        <stp>BDH|5929014071032843578</stp>
        <tr r="W647" s="5"/>
        <tr r="V687" s="5"/>
        <tr r="T702" s="5"/>
        <tr r="U697" s="5"/>
        <tr r="S707" s="5"/>
      </tp>
      <tp t="s">
        <v>#N/A N/A</v>
        <stp/>
        <stp>BDH|7163850400428033233</stp>
        <tr r="AE197" s="5"/>
        <tr r="AF158" s="5"/>
        <tr r="AD207" s="5"/>
        <tr r="AC212" s="5"/>
        <tr r="AB217" s="5"/>
      </tp>
      <tp t="s">
        <v>#N/A N/A</v>
        <stp/>
        <stp>BDH|5503940422348779330</stp>
        <tr r="U379" s="5"/>
        <tr r="W329" s="5"/>
        <tr r="V369" s="5"/>
        <tr r="T384" s="5"/>
        <tr r="S389" s="5"/>
      </tp>
      <tp t="s">
        <v>#N/A N/A</v>
        <stp/>
        <stp>BDH|9882078987104529093</stp>
        <tr r="AE88" s="5"/>
        <tr r="AF48" s="5"/>
        <tr r="AD98" s="5"/>
        <tr r="AC103" s="5"/>
        <tr r="AB108" s="5"/>
      </tp>
      <tp t="s">
        <v>#N/A N/A</v>
        <stp/>
        <stp>BDH|9568311674529101150</stp>
        <tr r="T613" s="5"/>
        <tr r="W558" s="5"/>
        <tr r="V598" s="5"/>
        <tr r="U608" s="5"/>
        <tr r="S618" s="5"/>
      </tp>
      <tp t="s">
        <v>#N/A N/A</v>
        <stp/>
        <stp>BDH|2778312991484204915</stp>
        <tr r="U536" s="5"/>
        <tr r="V526" s="5"/>
        <tr r="W486" s="5"/>
        <tr r="T541" s="5"/>
        <tr r="S546" s="5"/>
      </tp>
      <tp t="s">
        <v>#N/A N/A</v>
        <stp/>
        <stp>BDH|7058211654192552759</stp>
        <tr r="AD278" s="5"/>
        <tr r="AC283" s="5"/>
        <tr r="AF228" s="5"/>
        <tr r="AE268" s="5"/>
        <tr r="AB288" s="5"/>
      </tp>
      <tp t="s">
        <v>#N/A N/A</v>
        <stp/>
        <stp>BDH|7317976712462784842</stp>
        <tr r="V575" s="5"/>
        <tr r="T590" s="5"/>
        <tr r="W535" s="5"/>
        <tr r="U585" s="5"/>
        <tr r="S595" s="5"/>
      </tp>
      <tp t="s">
        <v>#N/A N/A</v>
        <stp/>
        <stp>BDH|24083464368741657</stp>
        <tr r="AC610" s="5"/>
        <tr r="AD605" s="5"/>
        <tr r="AE595" s="5"/>
        <tr r="AF555" s="5"/>
        <tr r="AB615" s="5"/>
      </tp>
      <tp t="s">
        <v>#N/A N/A</v>
        <stp/>
        <stp>BDH|98430455770783981</stp>
        <tr r="AF318" s="5"/>
        <tr r="AC373" s="5"/>
        <tr r="AE358" s="5"/>
        <tr r="AD368" s="5"/>
        <tr r="AB378" s="5"/>
      </tp>
      <tp t="s">
        <v>#N/A N/A</v>
        <stp/>
        <stp>BDH|8889200545380384847</stp>
        <tr r="AE51" s="5"/>
        <tr r="AD61" s="5"/>
        <tr r="AC66" s="5"/>
        <tr r="AB71" s="5"/>
      </tp>
      <tp t="s">
        <v>#N/A N/A</v>
        <stp/>
        <stp>BDH|3172108539415778256</stp>
        <tr r="AC453" s="5"/>
        <tr r="AE438" s="5"/>
        <tr r="AD448" s="5"/>
        <tr r="AF398" s="5"/>
        <tr r="AB458" s="5"/>
      </tp>
      <tp t="s">
        <v>#N/A N/A</v>
        <stp/>
        <stp>BDH|5027627027483960468</stp>
        <tr r="AD227" s="5"/>
        <tr r="AF177" s="5"/>
        <tr r="AE217" s="5"/>
        <tr r="AC232" s="5"/>
        <tr r="AB237" s="5"/>
      </tp>
      <tp t="s">
        <v>#N/A N/A</v>
        <stp/>
        <stp>BDH|6902374681218692329</stp>
        <tr r="W351" s="5"/>
        <tr r="V391" s="5"/>
        <tr r="U401" s="5"/>
        <tr r="T406" s="5"/>
        <tr r="S411" s="5"/>
      </tp>
      <tp t="s">
        <v>#N/A N/A</v>
        <stp/>
        <stp>BDH|7558989861407699919</stp>
        <tr r="AE613" s="5"/>
        <tr r="AF573" s="5"/>
        <tr r="AC628" s="5"/>
        <tr r="AD623" s="5"/>
        <tr r="AB633" s="5"/>
      </tp>
      <tp t="s">
        <v>#N/A N/A</v>
        <stp/>
        <stp>BDH|5540486553032540036</stp>
        <tr r="U332" s="5"/>
        <tr r="V322" s="5"/>
        <tr r="T337" s="5"/>
        <tr r="W282" s="5"/>
        <tr r="S342" s="5"/>
      </tp>
      <tp t="s">
        <v>#N/A N/A</v>
        <stp/>
        <stp>BDH|6584544245958417983</stp>
        <tr r="T583" s="5"/>
        <tr r="U578" s="5"/>
        <tr r="V568" s="5"/>
        <tr r="W528" s="5"/>
        <tr r="S588" s="5"/>
      </tp>
      <tp t="s">
        <v>#N/A N/A</v>
        <stp/>
        <stp>BDH|7203751815127390094</stp>
        <tr r="T723" s="5"/>
        <tr r="W668" s="5"/>
        <tr r="V708" s="5"/>
        <tr r="U718" s="5"/>
        <tr r="S728" s="5"/>
      </tp>
      <tp t="s">
        <v>#N/A N/A</v>
        <stp/>
        <stp>BDH|9604227833088701697</stp>
        <tr r="AE448" s="5"/>
        <tr r="AF408" s="5"/>
        <tr r="AD458" s="5"/>
        <tr r="AC463" s="5"/>
        <tr r="AB468" s="5"/>
      </tp>
      <tp t="s">
        <v>#N/A N/A</v>
        <stp/>
        <stp>BDH|1222888567858604126</stp>
        <tr r="W362" s="5"/>
        <tr r="V402" s="5"/>
        <tr r="U412" s="5"/>
        <tr r="T417" s="5"/>
        <tr r="S422" s="5"/>
      </tp>
      <tp t="s">
        <v>#N/A N/A</v>
        <stp/>
        <stp>BDH|1816418254373086544</stp>
        <tr r="AE512" s="5"/>
        <tr r="AC527" s="5"/>
        <tr r="AD522" s="5"/>
        <tr r="AF472" s="5"/>
        <tr r="AB532" s="5"/>
      </tp>
      <tp t="s">
        <v>#N/A N/A</v>
        <stp/>
        <stp>BDH|5263765263523778199</stp>
        <tr r="V455" s="5"/>
        <tr r="U465" s="5"/>
        <tr r="W415" s="5"/>
        <tr r="T470" s="5"/>
        <tr r="S475" s="5"/>
      </tp>
      <tp t="s">
        <v>#N/A N/A</v>
        <stp/>
        <stp>BDH|9460723293774323580</stp>
        <tr r="U473" s="5"/>
        <tr r="V463" s="5"/>
        <tr r="W423" s="5"/>
        <tr r="T478" s="5"/>
        <tr r="S483" s="5"/>
      </tp>
      <tp t="s">
        <v>#N/A N/A</v>
        <stp/>
        <stp>BDH|4904053802042308037</stp>
        <tr r="AE211" s="5"/>
        <tr r="AC226" s="5"/>
        <tr r="AD221" s="5"/>
        <tr r="AF171" s="5"/>
        <tr r="AB231" s="5"/>
      </tp>
      <tp t="s">
        <v>#N/A N/A</v>
        <stp/>
        <stp>BDH|6894781968909496824</stp>
        <tr r="AE534" s="5"/>
        <tr r="AC549" s="5"/>
        <tr r="AD544" s="5"/>
        <tr r="AF494" s="5"/>
        <tr r="AB554" s="5"/>
      </tp>
      <tp t="s">
        <v>#N/A N/A</v>
        <stp/>
        <stp>BDH|1594081875265544531</stp>
        <tr r="W299" s="5"/>
        <tr r="V339" s="5"/>
        <tr r="T354" s="5"/>
        <tr r="U349" s="5"/>
        <tr r="S359" s="5"/>
      </tp>
      <tp t="s">
        <v>#N/A N/A</v>
        <stp/>
        <stp>BDH|4261295826527533577</stp>
        <tr r="AD199" s="5"/>
        <tr r="AE189" s="5"/>
        <tr r="AC204" s="5"/>
        <tr r="AF150" s="5"/>
        <tr r="AB209" s="5"/>
      </tp>
      <tp t="s">
        <v>#N/A N/A</v>
        <stp/>
        <stp>BDH|4464161429205614420</stp>
        <tr r="AF129" s="5"/>
        <tr r="AD178" s="5"/>
        <tr r="AC183" s="5"/>
        <tr r="AE168" s="5"/>
        <tr r="AB188" s="5"/>
      </tp>
      <tp t="s">
        <v>#N/A N/A</v>
        <stp/>
        <stp>BDH|3884786769650414425</stp>
        <tr r="AC493" s="5"/>
        <tr r="AF438" s="5"/>
        <tr r="AD488" s="5"/>
        <tr r="AE478" s="5"/>
        <tr r="AB498" s="5"/>
      </tp>
      <tp t="s">
        <v>#N/A N/A</v>
        <stp/>
        <stp>BDH|5761544138410701538</stp>
        <tr r="AC23" s="5"/>
        <tr r="AB28" s="5"/>
      </tp>
      <tp t="s">
        <v>#N/A N/A</v>
        <stp/>
        <stp>BDH|5721865189462275179</stp>
        <tr r="T59" s="5"/>
        <tr r="U54" s="5"/>
        <tr r="V44" s="5"/>
        <tr r="S64" s="5"/>
      </tp>
      <tp t="s">
        <v>#N/A N/A</v>
        <stp/>
        <stp>BDH|2534002434460137721</stp>
        <tr r="W534" s="5"/>
        <tr r="V574" s="5"/>
        <tr r="T589" s="5"/>
        <tr r="U584" s="5"/>
        <tr r="S594" s="5"/>
      </tp>
      <tp t="s">
        <v>#N/A N/A</v>
        <stp/>
        <stp>BDH|3554034785638996585</stp>
        <tr r="T579" s="5"/>
        <tr r="U574" s="5"/>
        <tr r="W524" s="5"/>
        <tr r="V564" s="5"/>
        <tr r="S584" s="5"/>
      </tp>
      <tp t="s">
        <v>#N/A N/A</v>
        <stp/>
        <stp>BDH|7447214152741194744</stp>
        <tr r="AF183" s="5"/>
        <tr r="AE223" s="5"/>
        <tr r="AD233" s="5"/>
        <tr r="AC238" s="5"/>
        <tr r="AB243" s="5"/>
      </tp>
      <tp t="s">
        <v>#N/A N/A</v>
        <stp/>
        <stp>BDH|5524400931947479323</stp>
        <tr r="AE149" s="5"/>
        <tr r="AC163" s="5"/>
        <tr r="AD159" s="5"/>
        <tr r="AF109" s="5"/>
        <tr r="AB168" s="5"/>
      </tp>
      <tp t="s">
        <v>#N/A N/A</v>
        <stp/>
        <stp>BDH|8850596371065013937</stp>
        <tr r="AF326" s="5"/>
        <tr r="AE366" s="5"/>
        <tr r="AD376" s="5"/>
        <tr r="AC381" s="5"/>
        <tr r="AB386" s="5"/>
      </tp>
      <tp t="s">
        <v>#N/A N/A</v>
        <stp/>
        <stp>BDH|2828391959725255795</stp>
        <tr r="W509" s="5"/>
        <tr r="U559" s="5"/>
        <tr r="V549" s="5"/>
        <tr r="T564" s="5"/>
        <tr r="S569" s="5"/>
      </tp>
      <tp t="s">
        <v>#N/A N/A</v>
        <stp/>
        <stp>BDH|1062476575561487554</stp>
        <tr r="AB22" s="5"/>
      </tp>
      <tp t="s">
        <v>#N/A N/A</v>
        <stp/>
        <stp>BDH|1253002641882272123</stp>
        <tr r="T305" s="5"/>
        <tr r="W250" s="5"/>
        <tr r="U300" s="5"/>
        <tr r="V290" s="5"/>
        <tr r="S310" s="5"/>
      </tp>
      <tp t="s">
        <v>#N/A N/A</v>
        <stp/>
        <stp>BDH|8305638364466306841</stp>
        <tr r="U166" s="5"/>
        <tr r="T171" s="5"/>
        <tr r="V157" s="5"/>
        <tr r="W117" s="5"/>
        <tr r="S176" s="5"/>
      </tp>
      <tp t="s">
        <v>#N/A N/A</v>
        <stp/>
        <stp>BDH|1223659663411733600</stp>
        <tr r="W313" s="5"/>
        <tr r="T368" s="5"/>
        <tr r="U363" s="5"/>
        <tr r="V353" s="5"/>
        <tr r="S373" s="5"/>
      </tp>
      <tp t="s">
        <v>#N/A N/A</v>
        <stp/>
        <stp>BDH|1048532741964569245</stp>
        <tr r="W80" s="5"/>
        <tr r="V120" s="5"/>
        <tr r="T135" s="5"/>
        <tr r="U130" s="5"/>
        <tr r="S140" s="5"/>
      </tp>
      <tp t="s">
        <v>#N/A N/A</v>
        <stp/>
        <stp>BDH|2720851381184156027</stp>
        <tr r="V729" s="5"/>
        <tr r="W689" s="5"/>
        <tr r="T744" s="5"/>
        <tr r="U739" s="5"/>
        <tr r="S749" s="5"/>
      </tp>
      <tp t="s">
        <v>#N/A N/A</v>
        <stp/>
        <stp>BDH|9486260633816950883</stp>
        <tr r="AE334" s="5"/>
        <tr r="AF294" s="5"/>
        <tr r="AD344" s="5"/>
        <tr r="AC349" s="5"/>
        <tr r="AB354" s="5"/>
      </tp>
      <tp t="s">
        <v>#N/A N/A</v>
        <stp/>
        <stp>BDH|5545504027186013230</stp>
        <tr r="T615" s="5"/>
        <tr r="U610" s="5"/>
        <tr r="W560" s="5"/>
        <tr r="V600" s="5"/>
        <tr r="S620" s="5"/>
      </tp>
      <tp t="s">
        <v>#N/A N/A</v>
        <stp/>
        <stp>BDH|3411329978620843179</stp>
        <tr r="AF376" s="5"/>
        <tr r="AE416" s="5"/>
        <tr r="AC431" s="5"/>
        <tr r="AD426" s="5"/>
        <tr r="AB436" s="5"/>
      </tp>
      <tp t="s">
        <v>#N/A N/A</v>
        <stp/>
        <stp>BDH|1381872280446482111</stp>
        <tr r="AD292" s="5"/>
        <tr r="AC297" s="5"/>
        <tr r="AF242" s="5"/>
        <tr r="AE282" s="5"/>
        <tr r="AB302" s="5"/>
      </tp>
      <tp t="s">
        <v>#N/A N/A</v>
        <stp/>
        <stp>BDH|6164178903580242168</stp>
        <tr r="AF103" s="5"/>
        <tr r="AC158" s="5"/>
        <tr r="AD153" s="5"/>
        <tr r="AE143" s="5"/>
        <tr r="AB162" s="5"/>
      </tp>
      <tp t="s">
        <v>#N/A N/A</v>
        <stp/>
        <stp>BDH|6638827020678038259</stp>
        <tr r="W545" s="5"/>
        <tr r="V585" s="5"/>
        <tr r="U595" s="5"/>
        <tr r="T600" s="5"/>
        <tr r="S605" s="5"/>
      </tp>
      <tp t="s">
        <v>#N/A N/A</v>
        <stp/>
        <stp>BDH|2455511019459806921</stp>
        <tr r="AF553" s="5"/>
        <tr r="AE593" s="5"/>
        <tr r="AC608" s="5"/>
        <tr r="AD603" s="5"/>
        <tr r="AB613" s="5"/>
      </tp>
      <tp t="s">
        <v>#N/A N/A</v>
        <stp/>
        <stp>BDH|3604755364742922682</stp>
        <tr r="AF100" s="5"/>
        <tr r="AD150" s="5"/>
        <tr r="AC155" s="5"/>
        <tr r="AE140" s="5"/>
      </tp>
      <tp t="s">
        <v>#N/A N/A</v>
        <stp/>
        <stp>BDH|9246065161409260016</stp>
        <tr r="U151" s="5"/>
        <tr r="T156" s="5"/>
        <tr r="V141" s="5"/>
        <tr r="W101" s="5"/>
        <tr r="S160" s="5"/>
      </tp>
      <tp t="s">
        <v>#N/A N/A</v>
        <stp/>
        <stp>BDH|4644166862757032242</stp>
        <tr r="V766" s="5"/>
        <tr r="W726" s="5"/>
      </tp>
      <tp t="s">
        <v>#N/A N/A</v>
        <stp/>
        <stp>BDH|7202408876457645543</stp>
        <tr r="AE409" s="5"/>
        <tr r="AD419" s="5"/>
        <tr r="AF369" s="5"/>
        <tr r="AC424" s="5"/>
        <tr r="AB429" s="5"/>
      </tp>
      <tp t="s">
        <v>#N/A N/A</v>
        <stp/>
        <stp>BDH|5015610872344283674</stp>
        <tr r="AC575" s="5"/>
        <tr r="AF520" s="5"/>
        <tr r="AD570" s="5"/>
        <tr r="AE560" s="5"/>
        <tr r="AB580" s="5"/>
      </tp>
      <tp t="s">
        <v>#N/A N/A</v>
        <stp/>
        <stp>BDH|2201618922818121877</stp>
        <tr r="AC746" s="5"/>
        <tr r="AF691" s="5"/>
        <tr r="AE731" s="5"/>
        <tr r="AD741" s="5"/>
        <tr r="AB751" s="5"/>
      </tp>
      <tp t="s">
        <v>#N/A N/A</v>
        <stp/>
        <stp>BDH|6251770816416204065</stp>
        <tr r="W220" s="5"/>
        <tr r="T275" s="5"/>
        <tr r="V260" s="5"/>
        <tr r="U270" s="5"/>
        <tr r="S280" s="5"/>
      </tp>
      <tp t="s">
        <v>#N/A N/A</v>
        <stp/>
        <stp>BDH|3203631651636191067</stp>
        <tr r="V243" s="5"/>
        <tr r="T258" s="5"/>
        <tr r="U253" s="5"/>
        <tr r="W203" s="5"/>
        <tr r="S263" s="5"/>
      </tp>
      <tp t="s">
        <v>#N/A N/A</v>
        <stp/>
        <stp>BDH|9151791768018221662</stp>
        <tr r="W53" s="5"/>
        <tr r="V93" s="5"/>
        <tr r="T108" s="5"/>
        <tr r="U103" s="5"/>
        <tr r="S113" s="5"/>
      </tp>
      <tp t="s">
        <v>#N/A N/A</v>
        <stp/>
        <stp>BDH|4910588521646591311</stp>
        <tr r="W716" s="5"/>
        <tr r="V756" s="5"/>
        <tr r="U766" s="5"/>
      </tp>
      <tp t="s">
        <v>#N/A N/A</v>
        <stp/>
        <stp>BDH|5563809072969036532</stp>
        <tr r="AE30" s="5"/>
        <tr r="AC45" s="5"/>
        <tr r="AD40" s="5"/>
        <tr r="AB50" s="5"/>
      </tp>
      <tp t="s">
        <v>#N/A N/A</v>
        <stp/>
        <stp>BDH|1533719660626731076</stp>
        <tr r="AE106" s="5"/>
        <tr r="AD116" s="5"/>
        <tr r="AF66" s="5"/>
        <tr r="AC121" s="5"/>
        <tr r="AB126" s="5"/>
      </tp>
      <tp t="s">
        <v>#N/A N/A</v>
        <stp/>
        <stp>BDH|9582249699065458195</stp>
        <tr r="AC71" s="5"/>
        <tr r="AD66" s="5"/>
        <tr r="AE56" s="5"/>
        <tr r="AB76" s="5"/>
      </tp>
      <tp t="s">
        <v>#N/A N/A</v>
        <stp/>
        <stp>BDH|7422440185384005902</stp>
        <tr r="AD563" s="5"/>
        <tr r="AF513" s="5"/>
        <tr r="AE553" s="5"/>
        <tr r="AC568" s="5"/>
        <tr r="AB573" s="5"/>
      </tp>
      <tp t="s">
        <v>#N/A N/A</v>
        <stp/>
        <stp>BDH|8367564257607352948</stp>
        <tr r="AC86" s="5"/>
        <tr r="AD81" s="5"/>
        <tr r="AF31" s="5"/>
        <tr r="AE71" s="5"/>
        <tr r="AB91" s="5"/>
      </tp>
      <tp t="s">
        <v>#N/A N/A</v>
        <stp/>
        <stp>BDH|8505832168065997520</stp>
        <tr r="AD663" s="5"/>
        <tr r="AF613" s="5"/>
        <tr r="AC668" s="5"/>
        <tr r="AE653" s="5"/>
        <tr r="AB673" s="5"/>
      </tp>
      <tp t="s">
        <v>#N/A N/A</v>
        <stp/>
        <stp>BDH|4551144698922478882</stp>
        <tr r="AC285" s="5"/>
        <tr r="AF230" s="5"/>
        <tr r="AE270" s="5"/>
        <tr r="AD280" s="5"/>
        <tr r="AB290" s="5"/>
      </tp>
      <tp t="s">
        <v>#N/A N/A</v>
        <stp/>
        <stp>BDH|2256535393299187098</stp>
        <tr r="AF757" s="5"/>
      </tp>
      <tp t="s">
        <v>#N/A N/A</v>
        <stp/>
        <stp>BDH|8174345519338064574</stp>
        <tr r="V169" s="5"/>
        <tr r="T184" s="5"/>
        <tr r="W130" s="5"/>
        <tr r="U179" s="5"/>
        <tr r="S189" s="5"/>
      </tp>
      <tp t="s">
        <v>#N/A N/A</v>
        <stp/>
        <stp>BDH|3475099191628089575</stp>
        <tr r="AD112" s="5"/>
        <tr r="AE102" s="5"/>
        <tr r="AF62" s="5"/>
        <tr r="AC117" s="5"/>
        <tr r="AB122" s="5"/>
      </tp>
      <tp t="s">
        <v>#N/A N/A</v>
        <stp/>
        <stp>BDH|4441387017139070801</stp>
        <tr r="S22" s="5"/>
      </tp>
      <tp t="s">
        <v>#N/A N/A</v>
        <stp/>
        <stp>BDH|9415022061521521993</stp>
        <tr r="W736" s="5"/>
      </tp>
      <tp t="s">
        <v>#N/A N/A</v>
        <stp/>
        <stp>BDH|7071131342033296689</stp>
        <tr r="W604" s="5"/>
        <tr r="V644" s="5"/>
        <tr r="T659" s="5"/>
        <tr r="U654" s="5"/>
        <tr r="S664" s="5"/>
      </tp>
      <tp t="s">
        <v>#N/A N/A</v>
        <stp/>
        <stp>BDH|1019550533729881956</stp>
        <tr r="W318" s="5"/>
        <tr r="T373" s="5"/>
        <tr r="V358" s="5"/>
        <tr r="U368" s="5"/>
        <tr r="S378" s="5"/>
      </tp>
      <tp t="s">
        <v>#N/A N/A</v>
        <stp/>
        <stp>BDH|9848534783984644753</stp>
        <tr r="AF748" s="5"/>
      </tp>
      <tp t="s">
        <v>#N/A N/A</v>
        <stp/>
        <stp>BDH|3028273864834889432</stp>
        <tr r="T167" s="5"/>
        <tr r="U162" s="5"/>
        <tr r="V153" s="5"/>
        <tr r="W113" s="5"/>
        <tr r="S172" s="5"/>
      </tp>
      <tp t="s">
        <v>#N/A N/A</v>
        <stp/>
        <stp>BDH|9612722895047910707</stp>
        <tr r="U128" s="5"/>
        <tr r="V118" s="5"/>
        <tr r="T133" s="5"/>
        <tr r="W78" s="5"/>
        <tr r="S138" s="5"/>
      </tp>
      <tp t="s">
        <v>#N/A N/A</v>
        <stp/>
        <stp>BDH|8665196297531255627</stp>
        <tr r="W122" s="5"/>
        <tr r="U171" s="5"/>
        <tr r="T176" s="5"/>
        <tr r="V161" s="5"/>
        <tr r="S181" s="5"/>
      </tp>
      <tp t="s">
        <v>#N/A N/A</v>
        <stp/>
        <stp>BDH|6672111236790174380</stp>
        <tr r="AF695" s="5"/>
        <tr r="AE735" s="5"/>
        <tr r="AC750" s="5"/>
        <tr r="AD745" s="5"/>
        <tr r="AB755" s="5"/>
      </tp>
      <tp t="s">
        <v>#N/A N/A</v>
        <stp/>
        <stp>BDH|4205189332437309634</stp>
        <tr r="V626" s="5"/>
        <tr r="W586" s="5"/>
        <tr r="U636" s="5"/>
        <tr r="T641" s="5"/>
        <tr r="S646" s="5"/>
      </tp>
      <tp t="s">
        <v>#N/A N/A</v>
        <stp/>
        <stp>BDH|1680334080755809853</stp>
        <tr r="W553" s="5"/>
        <tr r="V593" s="5"/>
        <tr r="T608" s="5"/>
        <tr r="U603" s="5"/>
        <tr r="S613" s="5"/>
      </tp>
      <tp t="s">
        <v>#N/A N/A</v>
        <stp/>
        <stp>BDH|4489454678291244130</stp>
        <tr r="AF491" s="5"/>
        <tr r="AE531" s="5"/>
        <tr r="AC546" s="5"/>
        <tr r="AD541" s="5"/>
        <tr r="AB551" s="5"/>
      </tp>
      <tp t="s">
        <v>#N/A N/A</v>
        <stp/>
        <stp>BDH|3914733025580387150</stp>
        <tr r="AC68" s="5"/>
        <tr r="AD63" s="5"/>
        <tr r="AE53" s="5"/>
        <tr r="AB73" s="5"/>
      </tp>
      <tp t="s">
        <v>#N/A N/A</v>
        <stp/>
        <stp>BDH|1670104669424469552</stp>
        <tr r="AE346" s="5"/>
        <tr r="AD356" s="5"/>
        <tr r="AC361" s="5"/>
        <tr r="AF306" s="5"/>
        <tr r="AB366" s="5"/>
      </tp>
      <tp t="s">
        <v>#N/A N/A</v>
        <stp/>
        <stp>BDH|1059747522364822700</stp>
        <tr r="T660" s="5"/>
        <tr r="V645" s="5"/>
        <tr r="W605" s="5"/>
        <tr r="U655" s="5"/>
        <tr r="S665" s="5"/>
      </tp>
      <tp t="s">
        <v>#N/A N/A</v>
        <stp/>
        <stp>BDH|9115768285929404888</stp>
        <tr r="AD134" s="5"/>
        <tr r="AC139" s="5"/>
        <tr r="AE124" s="5"/>
        <tr r="AF84" s="5"/>
        <tr r="AB144" s="5"/>
      </tp>
      <tp t="s">
        <v>#N/A N/A</v>
        <stp/>
        <stp>BDH|5741558149966640523</stp>
        <tr r="AF631" s="5"/>
        <tr r="AE671" s="5"/>
        <tr r="AC686" s="5"/>
        <tr r="AD681" s="5"/>
        <tr r="AB691" s="5"/>
      </tp>
      <tp t="s">
        <v>#N/A N/A</v>
        <stp/>
        <stp>BDH|7876140074343352546</stp>
        <tr r="U563" s="5"/>
        <tr r="W513" s="5"/>
        <tr r="V553" s="5"/>
        <tr r="T568" s="5"/>
        <tr r="S573" s="5"/>
      </tp>
      <tp t="s">
        <v>#N/A N/A</v>
        <stp/>
        <stp>BDH|6275811396058849825</stp>
        <tr r="AE58" s="5"/>
        <tr r="AD68" s="5"/>
        <tr r="AC73" s="5"/>
        <tr r="AB78" s="5"/>
      </tp>
      <tp t="s">
        <v>#N/A N/A</v>
        <stp/>
        <stp>BDH|5056408168477052774</stp>
        <tr r="V41" s="5"/>
        <tr r="T56" s="5"/>
        <tr r="U51" s="5"/>
        <tr r="S61" s="5"/>
      </tp>
      <tp t="s">
        <v>#N/A N/A</v>
        <stp/>
        <stp>BDH|6622757012320684785</stp>
        <tr r="AC166" s="5"/>
        <tr r="AD161" s="5"/>
        <tr r="AE152" s="5"/>
        <tr r="AF112" s="5"/>
        <tr r="AB171" s="5"/>
      </tp>
      <tp t="s">
        <v>#N/A N/A</v>
        <stp/>
        <stp>BDH|4586724965787835553</stp>
        <tr r="U524" s="5"/>
        <tr r="V514" s="5"/>
        <tr r="W474" s="5"/>
        <tr r="T529" s="5"/>
        <tr r="S534" s="5"/>
      </tp>
      <tp t="s">
        <v>#N/A N/A</v>
        <stp/>
        <stp>BDH|6058838299910097052</stp>
        <tr r="AE424" s="5"/>
        <tr r="AC439" s="5"/>
        <tr r="AF384" s="5"/>
        <tr r="AD434" s="5"/>
        <tr r="AB444" s="5"/>
      </tp>
      <tp t="s">
        <v>#N/A N/A</v>
        <stp/>
        <stp>BDH|8578955419285326263</stp>
        <tr r="U701" s="5"/>
        <tr r="W651" s="5"/>
        <tr r="V691" s="5"/>
        <tr r="T706" s="5"/>
        <tr r="S711" s="5"/>
      </tp>
      <tp t="s">
        <v>#N/A N/A</v>
        <stp/>
        <stp>BDH|7241257000145276794</stp>
        <tr r="AE31" s="5"/>
        <tr r="AD41" s="5"/>
        <tr r="AC46" s="5"/>
        <tr r="AB51" s="5"/>
      </tp>
      <tp t="s">
        <v>#N/A N/A</v>
        <stp/>
        <stp>BDH|4035908616038299380</stp>
        <tr r="AE206" s="5"/>
        <tr r="AF166" s="5"/>
        <tr r="AC221" s="5"/>
        <tr r="AD216" s="5"/>
        <tr r="AB226" s="5"/>
      </tp>
      <tp t="s">
        <v>#N/A N/A</v>
        <stp/>
        <stp>BDH|1292783655102685655</stp>
        <tr r="AC362" s="5"/>
        <tr r="AE347" s="5"/>
        <tr r="AF307" s="5"/>
        <tr r="AD357" s="5"/>
        <tr r="AB367" s="5"/>
      </tp>
      <tp t="s">
        <v>#N/A N/A</v>
        <stp/>
        <stp>BDH|1658166459040694236</stp>
        <tr r="T110" s="5"/>
        <tr r="V95" s="5"/>
        <tr r="U105" s="5"/>
        <tr r="W55" s="5"/>
        <tr r="S115" s="5"/>
      </tp>
      <tp t="s">
        <v>#N/A N/A</v>
        <stp/>
        <stp>BDH|3009048675233568082</stp>
        <tr r="U258" s="5"/>
        <tr r="T263" s="5"/>
        <tr r="V248" s="5"/>
        <tr r="W208" s="5"/>
        <tr r="S268" s="5"/>
      </tp>
      <tp t="s">
        <v>#N/A N/A</v>
        <stp/>
        <stp>BDH|4462273339175549722</stp>
        <tr r="T452" s="5"/>
        <tr r="U447" s="5"/>
        <tr r="W397" s="5"/>
        <tr r="V437" s="5"/>
        <tr r="S457" s="5"/>
      </tp>
      <tp t="s">
        <v>#N/A N/A</v>
        <stp/>
        <stp>BDH|4260740358355799449</stp>
        <tr r="AC427" s="5"/>
        <tr r="AE412" s="5"/>
        <tr r="AD422" s="5"/>
        <tr r="AF372" s="5"/>
        <tr r="AB432" s="5"/>
      </tp>
      <tp t="s">
        <v>#N/A N/A</v>
        <stp/>
        <stp>BDH|6442140136596245591</stp>
        <tr r="T748" s="5"/>
        <tr r="U743" s="5"/>
        <tr r="W693" s="5"/>
        <tr r="V733" s="5"/>
        <tr r="S753" s="5"/>
      </tp>
      <tp t="s">
        <v>#N/A N/A</v>
        <stp/>
        <stp>BDH|1356789477926974088</stp>
        <tr r="AE480" s="5"/>
        <tr r="AD490" s="5"/>
        <tr r="AF440" s="5"/>
        <tr r="AC495" s="5"/>
        <tr r="AB500" s="5"/>
      </tp>
      <tp t="s">
        <v>#N/A N/A</v>
        <stp/>
        <stp>BDH|6891209340601828627</stp>
        <tr r="AF732" s="5"/>
      </tp>
      <tp t="s">
        <v>#N/A N/A</v>
        <stp/>
        <stp>BDH|4747335708222979272</stp>
        <tr r="AF37" s="5"/>
        <tr r="AC92" s="5"/>
        <tr r="AE77" s="5"/>
        <tr r="AD87" s="5"/>
        <tr r="AB97" s="5"/>
      </tp>
      <tp t="s">
        <v>#N/A N/A</v>
        <stp/>
        <stp>BDH|5236615915765276079</stp>
        <tr r="T386" s="5"/>
        <tr r="U381" s="5"/>
        <tr r="W331" s="5"/>
        <tr r="V371" s="5"/>
        <tr r="S391" s="5"/>
      </tp>
      <tp t="s">
        <v>#N/A N/A</v>
        <stp/>
        <stp>BDH|4522621446787470652</stp>
        <tr r="AC732" s="5"/>
        <tr r="AE717" s="5"/>
        <tr r="AD727" s="5"/>
        <tr r="AF677" s="5"/>
        <tr r="AB737" s="5"/>
      </tp>
      <tp t="s">
        <v>#N/A N/A</v>
        <stp/>
        <stp>BDH|2465600367597240214</stp>
        <tr r="U152" s="5"/>
        <tr r="V142" s="5"/>
        <tr r="T157" s="5"/>
        <tr r="W102" s="5"/>
        <tr r="S161" s="5"/>
      </tp>
      <tp t="s">
        <v>#N/A N/A</v>
        <stp/>
        <stp>BDH|4606564455912037151</stp>
        <tr r="W382" s="5"/>
        <tr r="U432" s="5"/>
        <tr r="V422" s="5"/>
        <tr r="T437" s="5"/>
        <tr r="S442" s="5"/>
      </tp>
      <tp t="s">
        <v>#N/A N/A</v>
        <stp/>
        <stp>BDH|9622064001406160816</stp>
        <tr r="AF656" s="5"/>
        <tr r="AE696" s="5"/>
        <tr r="AD706" s="5"/>
        <tr r="AC711" s="5"/>
        <tr r="AB716" s="5"/>
      </tp>
      <tp t="s">
        <v>#N/A N/A</v>
        <stp/>
        <stp>BDH|9735887729912439636</stp>
        <tr r="T48" s="5"/>
        <tr r="U43" s="5"/>
        <tr r="V33" s="5"/>
        <tr r="S53" s="5"/>
      </tp>
      <tp t="s">
        <v>#N/A N/A</v>
        <stp/>
        <stp>BDH|5009099488783727977</stp>
        <tr r="AD316" s="5"/>
        <tr r="AC321" s="5"/>
        <tr r="AF266" s="5"/>
        <tr r="AE306" s="5"/>
        <tr r="AB326" s="5"/>
      </tp>
      <tp t="s">
        <v>#N/A N/A</v>
        <stp/>
        <stp>BDH|8756843126712066735</stp>
        <tr r="T497" s="5"/>
        <tr r="U492" s="5"/>
        <tr r="W442" s="5"/>
        <tr r="V482" s="5"/>
        <tr r="S502" s="5"/>
      </tp>
      <tp t="s">
        <v>#N/A N/A</v>
        <stp/>
        <stp>BDH|6158635975204425454</stp>
        <tr r="AF74" s="5"/>
        <tr r="AE114" s="5"/>
        <tr r="AC129" s="5"/>
        <tr r="AD124" s="5"/>
        <tr r="AB134" s="5"/>
      </tp>
      <tp t="s">
        <v>#N/A N/A</v>
        <stp/>
        <stp>BDH|5392573926582720735</stp>
        <tr r="T351" s="5"/>
        <tr r="U346" s="5"/>
        <tr r="W296" s="5"/>
        <tr r="V336" s="5"/>
        <tr r="S356" s="5"/>
      </tp>
      <tp t="s">
        <v>#N/A N/A</v>
        <stp/>
        <stp>BDH|5771205707138056869</stp>
        <tr r="T516" s="5"/>
        <tr r="U511" s="5"/>
        <tr r="W461" s="5"/>
        <tr r="V501" s="5"/>
        <tr r="S521" s="5"/>
      </tp>
      <tp t="s">
        <v>#N/A N/A</v>
        <stp/>
        <stp>BDH|5725770156700517043</stp>
        <tr r="AE375" s="5"/>
        <tr r="AD385" s="5"/>
        <tr r="AF335" s="5"/>
        <tr r="AC390" s="5"/>
        <tr r="AB395" s="5"/>
      </tp>
      <tp t="s">
        <v>#N/A N/A</v>
        <stp/>
        <stp>BDH|7863191452016579218</stp>
        <tr r="AF387" s="5"/>
        <tr r="AE427" s="5"/>
        <tr r="AD437" s="5"/>
        <tr r="AC442" s="5"/>
        <tr r="AB447" s="5"/>
      </tp>
      <tp t="s">
        <v>#N/A N/A</v>
        <stp/>
        <stp>BDH|2698701634881733012</stp>
        <tr r="W360" s="5"/>
        <tr r="V400" s="5"/>
        <tr r="T415" s="5"/>
        <tr r="U410" s="5"/>
        <tr r="S420" s="5"/>
      </tp>
      <tp t="s">
        <v>#N/A N/A</v>
        <stp/>
        <stp>BDH|6961708767154297483</stp>
        <tr r="AE435" s="5"/>
        <tr r="AC450" s="5"/>
        <tr r="AD445" s="5"/>
        <tr r="AF395" s="5"/>
        <tr r="AB455" s="5"/>
      </tp>
      <tp t="s">
        <v>#N/A N/A</v>
        <stp/>
        <stp>BDH|1861642255513912644</stp>
        <tr r="AD219" s="5"/>
        <tr r="AE209" s="5"/>
        <tr r="AF169" s="5"/>
        <tr r="AC224" s="5"/>
        <tr r="AB229" s="5"/>
      </tp>
      <tp t="s">
        <v>#N/A N/A</v>
        <stp/>
        <stp>BDH|1104346530052275435</stp>
        <tr r="AC647" s="5"/>
        <tr r="AD642" s="5"/>
        <tr r="AF592" s="5"/>
        <tr r="AE632" s="5"/>
        <tr r="AB652" s="5"/>
      </tp>
      <tp t="s">
        <v>#N/A N/A</v>
        <stp/>
        <stp>BDH|9646080448819478378</stp>
        <tr r="AF712" s="5"/>
        <tr r="AD762" s="5"/>
        <tr r="AE752" s="5"/>
        <tr r="AC767" s="5"/>
      </tp>
      <tp t="s">
        <v>#N/A N/A</v>
        <stp/>
        <stp>BDH|2070426664615445276</stp>
        <tr r="AC210" s="5"/>
        <tr r="AE195" s="5"/>
        <tr r="AD205" s="5"/>
        <tr r="AF156" s="5"/>
        <tr r="AB215" s="5"/>
      </tp>
      <tp t="s">
        <v>#N/A N/A</v>
        <stp/>
        <stp>BDH|2712751622636645637</stp>
        <tr r="V106" s="5"/>
        <tr r="U116" s="5"/>
        <tr r="W66" s="5"/>
        <tr r="T121" s="5"/>
        <tr r="S126" s="5"/>
      </tp>
      <tp t="s">
        <v>#N/A N/A</v>
        <stp/>
        <stp>BDH|7378622217746055132</stp>
        <tr r="T61" s="5"/>
        <tr r="U56" s="5"/>
        <tr r="V46" s="5"/>
        <tr r="S66" s="5"/>
      </tp>
      <tp t="s">
        <v>#N/A N/A</v>
        <stp/>
        <stp>BDH|9727946527267665587</stp>
        <tr r="W549" s="5"/>
        <tr r="T604" s="5"/>
        <tr r="U599" s="5"/>
        <tr r="V589" s="5"/>
        <tr r="S609" s="5"/>
      </tp>
      <tp t="s">
        <v>#N/A N/A</v>
        <stp/>
        <stp>BDH|6265386655696442618</stp>
        <tr r="V58" s="5"/>
        <tr r="U68" s="5"/>
        <tr r="T73" s="5"/>
        <tr r="S78" s="5"/>
      </tp>
      <tp t="s">
        <v>#N/A N/A</v>
        <stp/>
        <stp>BDH|9111580987237244375</stp>
        <tr r="AD496" s="5"/>
        <tr r="AE486" s="5"/>
        <tr r="AC501" s="5"/>
        <tr r="AF446" s="5"/>
        <tr r="AB506" s="5"/>
      </tp>
      <tp t="s">
        <v>#N/A N/A</v>
        <stp/>
        <stp>BDH|4313679877765017087</stp>
        <tr r="AF455" s="5"/>
        <tr r="AD505" s="5"/>
        <tr r="AE495" s="5"/>
        <tr r="AC510" s="5"/>
        <tr r="AB515" s="5"/>
      </tp>
      <tp t="s">
        <v>#N/A N/A</v>
        <stp/>
        <stp>BDH|2484721756123321381</stp>
        <tr r="T222" s="5"/>
        <tr r="W167" s="5"/>
        <tr r="U217" s="5"/>
        <tr r="V207" s="5"/>
        <tr r="S227" s="5"/>
      </tp>
      <tp t="s">
        <v>#N/A N/A</v>
        <stp/>
        <stp>BDH|2477500143854532791</stp>
        <tr r="AF248" s="5"/>
        <tr r="AE288" s="5"/>
        <tr r="AC303" s="5"/>
        <tr r="AD298" s="5"/>
        <tr r="AB308" s="5"/>
      </tp>
      <tp t="s">
        <v>#N/A N/A</v>
        <stp/>
        <stp>BDH|9789345009429330327</stp>
        <tr r="U525" s="5"/>
        <tr r="W475" s="5"/>
        <tr r="T530" s="5"/>
        <tr r="V515" s="5"/>
        <tr r="S535" s="5"/>
      </tp>
      <tp t="s">
        <v>#N/A N/A</v>
        <stp/>
        <stp>BDH|5276372956403955027</stp>
        <tr r="AF204" s="5"/>
        <tr r="AE244" s="5"/>
        <tr r="AC259" s="5"/>
        <tr r="AD254" s="5"/>
        <tr r="AB264" s="5"/>
      </tp>
      <tp t="s">
        <v>#N/A N/A</v>
        <stp/>
        <stp>BDH|8634706519048425633</stp>
        <tr r="V66" s="5"/>
        <tr r="T81" s="5"/>
        <tr r="W26" s="5"/>
        <tr r="U76" s="5"/>
        <tr r="S86" s="5"/>
      </tp>
      <tp t="s">
        <v>#N/A N/A</v>
        <stp/>
        <stp>BDH|1433786237463463666</stp>
        <tr r="V624" s="5"/>
        <tr r="U634" s="5"/>
        <tr r="T639" s="5"/>
        <tr r="W584" s="5"/>
        <tr r="S644" s="5"/>
      </tp>
      <tp t="s">
        <v>#N/A N/A</v>
        <stp/>
        <stp>BDH|7046678784070260988</stp>
        <tr r="AC737" s="5"/>
        <tr r="AE722" s="5"/>
        <tr r="AF682" s="5"/>
        <tr r="AD732" s="5"/>
        <tr r="AB742" s="5"/>
      </tp>
      <tp t="s">
        <v>#N/A N/A</v>
        <stp/>
        <stp>BDH|8443858202253288380</stp>
        <tr r="AE170" s="5"/>
        <tr r="AD180" s="5"/>
        <tr r="AC185" s="5"/>
        <tr r="AF131" s="5"/>
        <tr r="AB190" s="5"/>
      </tp>
      <tp t="s">
        <v>#N/A N/A</v>
        <stp/>
        <stp>BDH|1967267922708493907</stp>
        <tr r="V320" s="5"/>
        <tr r="U330" s="5"/>
        <tr r="T335" s="5"/>
        <tr r="W280" s="5"/>
        <tr r="S340" s="5"/>
      </tp>
      <tp t="s">
        <v>#N/A N/A</v>
        <stp/>
        <stp>BDH|5840103604912561602</stp>
        <tr r="AF701" s="5"/>
        <tr r="AD751" s="5"/>
        <tr r="AE741" s="5"/>
        <tr r="AC756" s="5"/>
        <tr r="AB761" s="5"/>
      </tp>
      <tp t="s">
        <v>#N/A N/A</v>
        <stp/>
        <stp>BDH|8812920734567776573</stp>
        <tr r="T456" s="5"/>
        <tr r="W401" s="5"/>
        <tr r="U451" s="5"/>
        <tr r="V441" s="5"/>
        <tr r="S461" s="5"/>
      </tp>
      <tp t="s">
        <v>#N/A N/A</v>
        <stp/>
        <stp>BDH|2699264922881502393</stp>
        <tr r="V357" s="5"/>
        <tr r="U367" s="5"/>
        <tr r="T372" s="5"/>
        <tr r="W317" s="5"/>
        <tr r="S377" s="5"/>
      </tp>
      <tp t="s">
        <v>#N/A N/A</v>
        <stp/>
        <stp>BDH|2656122229784330509</stp>
        <tr r="W482" s="5"/>
        <tr r="T537" s="5"/>
        <tr r="V522" s="5"/>
        <tr r="U532" s="5"/>
        <tr r="S542" s="5"/>
      </tp>
      <tp t="s">
        <v>#N/A N/A</v>
        <stp/>
        <stp>BDH|2802026101790492208</stp>
        <tr r="AC464" s="5"/>
        <tr r="AD459" s="5"/>
        <tr r="AE449" s="5"/>
        <tr r="AF409" s="5"/>
        <tr r="AB469" s="5"/>
      </tp>
      <tp t="s">
        <v>#N/A N/A</v>
        <stp/>
        <stp>BDH|6423465680903818958</stp>
        <tr r="AE737" s="5"/>
        <tr r="AF697" s="5"/>
        <tr r="AC752" s="5"/>
        <tr r="AD747" s="5"/>
        <tr r="AB757" s="5"/>
      </tp>
      <tp t="s">
        <v>#N/A N/A</v>
        <stp/>
        <stp>BDH|7970599810283827077</stp>
        <tr r="AF518" s="5"/>
        <tr r="AE558" s="5"/>
        <tr r="AD568" s="5"/>
        <tr r="AC573" s="5"/>
        <tr r="AB578" s="5"/>
      </tp>
      <tp t="s">
        <v>#N/A N/A</v>
        <stp/>
        <stp>BDH|3834641796694321856</stp>
        <tr r="W330" s="5"/>
        <tr r="V370" s="5"/>
        <tr r="U380" s="5"/>
        <tr r="T385" s="5"/>
        <tr r="S390" s="5"/>
      </tp>
      <tp t="s">
        <v>#N/A N/A</v>
        <stp/>
        <stp>BDH|9084237532611998948</stp>
        <tr r="AE765" s="5"/>
        <tr r="AF725" s="5"/>
      </tp>
      <tp t="s">
        <v>#N/A N/A</v>
        <stp/>
        <stp>BDH|6865200157109351809</stp>
        <tr r="AD685" s="5"/>
        <tr r="AF635" s="5"/>
        <tr r="AC690" s="5"/>
        <tr r="AE675" s="5"/>
        <tr r="AB695" s="5"/>
      </tp>
      <tp t="s">
        <v>#N/A N/A</v>
        <stp/>
        <stp>BDH|2951523406907045002</stp>
        <tr r="T453" s="5"/>
        <tr r="V438" s="5"/>
        <tr r="U448" s="5"/>
        <tr r="W398" s="5"/>
        <tr r="S458" s="5"/>
      </tp>
      <tp t="s">
        <v>#N/A N/A</v>
        <stp/>
        <stp>BDH|6009133269863257252</stp>
        <tr r="AE49" s="5"/>
        <tr r="AD59" s="5"/>
        <tr r="AC64" s="5"/>
        <tr r="AB69" s="5"/>
      </tp>
      <tp t="s">
        <v>#N/A N/A</v>
        <stp/>
        <stp>BDH|1499964760378974699</stp>
        <tr r="AE757" s="5"/>
        <tr r="AD767" s="5"/>
        <tr r="AF717" s="5"/>
      </tp>
      <tp t="s">
        <v>#N/A N/A</v>
        <stp/>
        <stp>BDH|1617429167850583344</stp>
        <tr r="U510" s="5"/>
        <tr r="T515" s="5"/>
        <tr r="W460" s="5"/>
        <tr r="V500" s="5"/>
        <tr r="S520" s="5"/>
      </tp>
      <tp t="s">
        <v>#N/A N/A</v>
        <stp/>
        <stp>BDH|5377543590770053940</stp>
        <tr r="AC456" s="5"/>
        <tr r="AF401" s="5"/>
        <tr r="AD451" s="5"/>
        <tr r="AE441" s="5"/>
        <tr r="AB461" s="5"/>
      </tp>
      <tp t="s">
        <v>#N/A N/A</v>
        <stp/>
        <stp>BDH|5928134938342017512</stp>
        <tr r="T525" s="5"/>
        <tr r="U520" s="5"/>
        <tr r="V510" s="5"/>
        <tr r="W470" s="5"/>
        <tr r="S530" s="5"/>
      </tp>
      <tp t="s">
        <v>#N/A N/A</v>
        <stp/>
        <stp>BDH|6700531054236787042</stp>
        <tr r="T504" s="5"/>
        <tr r="W449" s="5"/>
        <tr r="U499" s="5"/>
        <tr r="V489" s="5"/>
        <tr r="S509" s="5"/>
      </tp>
      <tp t="s">
        <v>#N/A N/A</v>
        <stp/>
        <stp>BDH|7752518524776978682</stp>
        <tr r="AD195" s="5"/>
        <tr r="AE185" s="5"/>
        <tr r="AF146" s="5"/>
        <tr r="AC200" s="5"/>
        <tr r="AB205" s="5"/>
      </tp>
      <tp t="s">
        <v>#N/A N/A</v>
        <stp/>
        <stp>BDH|8667908200409190874</stp>
        <tr r="AC666" s="5"/>
        <tr r="AF611" s="5"/>
        <tr r="AE651" s="5"/>
        <tr r="AD661" s="5"/>
        <tr r="AB671" s="5"/>
      </tp>
      <tp t="s">
        <v>#N/A N/A</v>
        <stp/>
        <stp>BDH|7658141561302227213</stp>
        <tr r="AE445" s="5"/>
        <tr r="AD455" s="5"/>
        <tr r="AF405" s="5"/>
        <tr r="AC460" s="5"/>
        <tr r="AB465" s="5"/>
      </tp>
      <tp t="s">
        <v>#N/A N/A</v>
        <stp/>
        <stp>BDH|3534353022915673746</stp>
        <tr r="AD643" s="5"/>
        <tr r="AE633" s="5"/>
        <tr r="AC648" s="5"/>
        <tr r="AF593" s="5"/>
        <tr r="AB653" s="5"/>
      </tp>
      <tp t="s">
        <v>#N/A N/A</v>
        <stp/>
        <stp>BDH|3768848190146272417</stp>
        <tr r="AF516" s="5"/>
        <tr r="AE556" s="5"/>
        <tr r="AC571" s="5"/>
        <tr r="AD566" s="5"/>
        <tr r="AB576" s="5"/>
      </tp>
      <tp t="s">
        <v>#N/A N/A</v>
        <stp/>
        <stp>BDH|8629821966331083739</stp>
        <tr r="AC566" s="5"/>
        <tr r="AF511" s="5"/>
        <tr r="AE551" s="5"/>
        <tr r="AD561" s="5"/>
        <tr r="AB571" s="5"/>
      </tp>
      <tp t="s">
        <v>#N/A N/A</v>
        <stp/>
        <stp>BDH|7606021074136759660</stp>
        <tr r="AE764" s="5"/>
        <tr r="AF724" s="5"/>
      </tp>
      <tp t="s">
        <v>#N/A N/A</v>
        <stp/>
        <stp>BDH|7497147645470784241</stp>
        <tr r="W759" s="5"/>
      </tp>
      <tp t="s">
        <v>#N/A N/A</v>
        <stp/>
        <stp>BDH|7662363738973902474</stp>
        <tr r="AC674" s="5"/>
        <tr r="AE659" s="5"/>
        <tr r="AD669" s="5"/>
        <tr r="AF619" s="5"/>
        <tr r="AB679" s="5"/>
      </tp>
      <tp t="s">
        <v>#N/A N/A</v>
        <stp/>
        <stp>BDH|7790972821765796915</stp>
        <tr r="AE425" s="5"/>
        <tr r="AC440" s="5"/>
        <tr r="AD435" s="5"/>
        <tr r="AF385" s="5"/>
        <tr r="AB445" s="5"/>
      </tp>
      <tp t="s">
        <v>#N/A N/A</v>
        <stp/>
        <stp>BDH|8513555442298156140</stp>
        <tr r="T427" s="5"/>
        <tr r="V412" s="5"/>
        <tr r="U422" s="5"/>
        <tr r="W372" s="5"/>
        <tr r="S432" s="5"/>
      </tp>
      <tp t="s">
        <v>#N/A N/A</v>
        <stp/>
        <stp>BDH|9266294250996925852</stp>
        <tr r="AF190" s="5"/>
        <tr r="AD240" s="5"/>
        <tr r="AE230" s="5"/>
        <tr r="AC245" s="5"/>
        <tr r="AB250" s="5"/>
      </tp>
      <tp t="s">
        <v>#N/A N/A</v>
        <stp/>
        <stp>BDH|9268661645118687305</stp>
        <tr r="AF111" s="5"/>
        <tr r="AE151" s="5"/>
        <tr r="AC165" s="5"/>
        <tr r="AD160" s="5"/>
        <tr r="AB170" s="5"/>
      </tp>
      <tp t="s">
        <v>#N/A N/A</v>
        <stp/>
        <stp>BDH|7495444000270578322</stp>
        <tr r="AD702" s="5"/>
        <tr r="AC707" s="5"/>
        <tr r="AE692" s="5"/>
        <tr r="AF652" s="5"/>
        <tr r="AB712" s="5"/>
      </tp>
      <tp t="s">
        <v>#N/A N/A</v>
        <stp/>
        <stp>BDH|5041649525871013057</stp>
        <tr r="T432" s="5"/>
        <tr r="U427" s="5"/>
        <tr r="W377" s="5"/>
        <tr r="V417" s="5"/>
        <tr r="S437" s="5"/>
      </tp>
      <tp t="s">
        <v>#N/A N/A</v>
        <stp/>
        <stp>BDH|4949215778545100456</stp>
        <tr r="AF465" s="5"/>
        <tr r="AC520" s="5"/>
        <tr r="AE505" s="5"/>
        <tr r="AD515" s="5"/>
        <tr r="AB525" s="5"/>
      </tp>
      <tp t="s">
        <v>#N/A N/A</v>
        <stp/>
        <stp>BDH|5146901980287120349</stp>
        <tr r="AE196" s="5"/>
        <tr r="AD206" s="5"/>
        <tr r="AC211" s="5"/>
        <tr r="AF157" s="5"/>
        <tr r="AB216" s="5"/>
      </tp>
      <tp t="s">
        <v>#N/A N/A</v>
        <stp/>
        <stp>BDH|9797728287156470029</stp>
        <tr r="U398" s="5"/>
        <tr r="T403" s="5"/>
        <tr r="V388" s="5"/>
        <tr r="W348" s="5"/>
        <tr r="S408" s="5"/>
      </tp>
      <tp t="s">
        <v>#N/A N/A</v>
        <stp/>
        <stp>BDH|8220973335575680737</stp>
        <tr r="AF720" s="5"/>
        <tr r="AE760" s="5"/>
      </tp>
      <tp t="s">
        <v>#N/A N/A</v>
        <stp/>
        <stp>BDH|1937779469415187538</stp>
        <tr r="T685" s="5"/>
        <tr r="U680" s="5"/>
        <tr r="W630" s="5"/>
        <tr r="V670" s="5"/>
        <tr r="S690" s="5"/>
      </tp>
      <tp t="s">
        <v>#N/A N/A</v>
        <stp/>
        <stp>BDH|55831837941094774</stp>
        <tr r="T272" s="5"/>
        <tr r="U267" s="5"/>
        <tr r="W217" s="5"/>
        <tr r="V257" s="5"/>
        <tr r="S277" s="5"/>
      </tp>
      <tp t="s">
        <v>#N/A N/A</v>
        <stp/>
        <stp>BDH|6851083155253962164</stp>
        <tr r="V405" s="5"/>
        <tr r="T420" s="5"/>
        <tr r="U415" s="5"/>
        <tr r="W365" s="5"/>
        <tr r="S425" s="5"/>
      </tp>
      <tp t="s">
        <v>#N/A N/A</v>
        <stp/>
        <stp>BDH|8506578394265976055</stp>
        <tr r="W491" s="5"/>
        <tr r="V531" s="5"/>
        <tr r="T546" s="5"/>
        <tr r="U541" s="5"/>
        <tr r="S551" s="5"/>
      </tp>
      <tp t="s">
        <v>#N/A N/A</v>
        <stp/>
        <stp>BDH|6730134636921062499</stp>
        <tr r="AF30" s="5"/>
        <tr r="AE70" s="5"/>
        <tr r="AC85" s="5"/>
        <tr r="AD80" s="5"/>
        <tr r="AB90" s="5"/>
      </tp>
      <tp t="s">
        <v>#N/A N/A</v>
        <stp/>
        <stp>BDH|8830202863205529853</stp>
        <tr r="V640" s="5"/>
        <tr r="U650" s="5"/>
        <tr r="W600" s="5"/>
        <tr r="T655" s="5"/>
        <tr r="S660" s="5"/>
      </tp>
      <tp t="s">
        <v>#N/A N/A</v>
        <stp/>
        <stp>BDH|3394554107566274186</stp>
        <tr r="W764" s="5"/>
      </tp>
      <tp t="s">
        <v>#N/A N/A</v>
        <stp/>
        <stp>BDH|1842508003901881482</stp>
        <tr r="AF128" s="5"/>
        <tr r="AC182" s="5"/>
        <tr r="AE167" s="5"/>
        <tr r="AD177" s="5"/>
        <tr r="AB187" s="5"/>
      </tp>
      <tp t="s">
        <v>#N/A N/A</v>
        <stp/>
        <stp>BDH|1600009711485900452</stp>
        <tr r="AC25" s="5"/>
        <tr r="AB30" s="5"/>
      </tp>
      <tp t="s">
        <v>#N/A N/A</v>
        <stp/>
        <stp>BDH|4175234932427910316</stp>
        <tr r="U34" s="5"/>
        <tr r="V24" s="5"/>
        <tr r="T39" s="5"/>
        <tr r="S44" s="5"/>
      </tp>
      <tp t="s">
        <v>#N/A N/A</v>
        <stp/>
        <stp>BDH|6495203062247842468</stp>
        <tr r="AD204" s="5"/>
        <tr r="AE194" s="5"/>
        <tr r="AC209" s="5"/>
        <tr r="AF155" s="5"/>
        <tr r="AB214" s="5"/>
      </tp>
      <tp t="s">
        <v>#N/A N/A</v>
        <stp/>
        <stp>BDH|3437570355686852467</stp>
        <tr r="AF734" s="5"/>
      </tp>
      <tp t="s">
        <v>#N/A N/A</v>
        <stp/>
        <stp>BDH|7951667765154651257</stp>
        <tr r="T699" s="5"/>
        <tr r="W644" s="5"/>
        <tr r="U694" s="5"/>
        <tr r="V684" s="5"/>
        <tr r="S704" s="5"/>
      </tp>
      <tp t="s">
        <v>#N/A N/A</v>
        <stp/>
        <stp>BDH|4727596505762112237</stp>
        <tr r="AC307" s="5"/>
        <tr r="AF252" s="5"/>
        <tr r="AE292" s="5"/>
        <tr r="AD302" s="5"/>
        <tr r="AB312" s="5"/>
      </tp>
      <tp t="s">
        <v>#N/A N/A</v>
        <stp/>
        <stp>BDH|6950940063011317943</stp>
        <tr r="AE504" s="5"/>
        <tr r="AF464" s="5"/>
        <tr r="AD514" s="5"/>
        <tr r="AC519" s="5"/>
        <tr r="AB524" s="5"/>
      </tp>
      <tp t="s">
        <v>#N/A N/A</v>
        <stp/>
        <stp>BDH|8773105955104934927</stp>
        <tr r="AE169" s="5"/>
        <tr r="AC184" s="5"/>
        <tr r="AF130" s="5"/>
        <tr r="AD179" s="5"/>
        <tr r="AB189" s="5"/>
      </tp>
      <tp t="s">
        <v>#N/A N/A</v>
        <stp/>
        <stp>BDH|2159994427850331855</stp>
        <tr r="U688" s="5"/>
        <tr r="V678" s="5"/>
        <tr r="T693" s="5"/>
        <tr r="W638" s="5"/>
        <tr r="S698" s="5"/>
      </tp>
      <tp t="s">
        <v>#N/A N/A</v>
        <stp/>
        <stp>BDH|2962931505218697277</stp>
        <tr r="W142" s="5"/>
        <tr r="V181" s="5"/>
        <tr r="T196" s="5"/>
        <tr r="U191" s="5"/>
        <tr r="S201" s="5"/>
      </tp>
      <tp t="s">
        <v>#N/A N/A</v>
        <stp/>
        <stp>BDH|3245186199419958349</stp>
        <tr r="AE473" s="5"/>
        <tr r="AF433" s="5"/>
        <tr r="AC488" s="5"/>
        <tr r="AD483" s="5"/>
        <tr r="AB493" s="5"/>
      </tp>
      <tp t="s">
        <v>#N/A N/A</v>
        <stp/>
        <stp>BDH|4982980895563922635</stp>
        <tr r="U129" s="5"/>
        <tr r="T134" s="5"/>
        <tr r="W79" s="5"/>
        <tr r="V119" s="5"/>
        <tr r="S139" s="5"/>
      </tp>
      <tp t="s">
        <v>#N/A N/A</v>
        <stp/>
        <stp>BDH|3196235409691080141</stp>
        <tr r="W367" s="5"/>
        <tr r="V407" s="5"/>
        <tr r="U417" s="5"/>
        <tr r="T422" s="5"/>
        <tr r="S427" s="5"/>
      </tp>
      <tp t="s">
        <v>#N/A N/A</v>
        <stp/>
        <stp>BDH|5425847255900932932</stp>
        <tr r="AC583" s="5"/>
        <tr r="AD578" s="5"/>
        <tr r="AE568" s="5"/>
        <tr r="AF528" s="5"/>
        <tr r="AB588" s="5"/>
      </tp>
      <tp t="s">
        <v>#N/A N/A</v>
        <stp/>
        <stp>BDH|7313155953332211089</stp>
        <tr r="AD619" s="5"/>
        <tr r="AE609" s="5"/>
        <tr r="AF569" s="5"/>
        <tr r="AC624" s="5"/>
        <tr r="AB629" s="5"/>
      </tp>
      <tp t="s">
        <v>#N/A N/A</v>
        <stp/>
        <stp>BDH|6935019484449782675</stp>
        <tr r="W453" s="5"/>
        <tr r="T508" s="5"/>
        <tr r="V493" s="5"/>
        <tr r="U503" s="5"/>
        <tr r="S513" s="5"/>
      </tp>
      <tp t="s">
        <v>#N/A N/A</v>
        <stp/>
        <stp>BDH|8647211919743537975</stp>
        <tr r="AD542" s="5"/>
        <tr r="AC547" s="5"/>
        <tr r="AF492" s="5"/>
        <tr r="AE532" s="5"/>
        <tr r="AB552" s="5"/>
      </tp>
      <tp t="s">
        <v>#N/A N/A</v>
        <stp/>
        <stp>BDH|4490005334577892148</stp>
        <tr r="V666" s="5"/>
        <tr r="W626" s="5"/>
        <tr r="U676" s="5"/>
        <tr r="T681" s="5"/>
        <tr r="S686" s="5"/>
      </tp>
      <tp t="s">
        <v>#N/A N/A</v>
        <stp/>
        <stp>BDH|6282949350992233983</stp>
        <tr r="T663" s="5"/>
        <tr r="V648" s="5"/>
        <tr r="W608" s="5"/>
        <tr r="U658" s="5"/>
        <tr r="S668" s="5"/>
      </tp>
      <tp t="s">
        <v>#N/A N/A</v>
        <stp/>
        <stp>BDH|6593015448262083116</stp>
        <tr r="T626" s="5"/>
        <tr r="V611" s="5"/>
        <tr r="U621" s="5"/>
        <tr r="W571" s="5"/>
        <tr r="S631" s="5"/>
      </tp>
      <tp t="s">
        <v>#N/A N/A</v>
        <stp/>
        <stp>BDH|6044826138899675515</stp>
        <tr r="W765" s="5"/>
      </tp>
      <tp t="s">
        <v>#N/A N/A</v>
        <stp/>
        <stp>BDH|1895775161986736749</stp>
        <tr r="AF162" s="5"/>
        <tr r="AC217" s="5"/>
        <tr r="AE202" s="5"/>
        <tr r="AD212" s="5"/>
        <tr r="AB222" s="5"/>
      </tp>
      <tp t="s">
        <v>#N/A N/A</v>
        <stp/>
        <stp>BDH|6808348760692622072</stp>
        <tr r="W737" s="5"/>
      </tp>
      <tp t="s">
        <v>#N/A N/A</v>
        <stp/>
        <stp>BDH|2100089930426840631</stp>
        <tr r="AF287" s="5"/>
        <tr r="AE327" s="5"/>
        <tr r="AD337" s="5"/>
        <tr r="AC342" s="5"/>
        <tr r="AB347" s="5"/>
      </tp>
      <tp t="s">
        <v>#N/A N/A</v>
        <stp/>
        <stp>BDH|1721517128431989652</stp>
        <tr r="V765" s="5"/>
        <tr r="W725" s="5"/>
      </tp>
      <tp t="s">
        <v>#N/A N/A</v>
        <stp/>
        <stp>BDH|2263340461863714521</stp>
        <tr r="V190" s="5"/>
        <tr r="W151" s="5"/>
        <tr r="U200" s="5"/>
        <tr r="T205" s="5"/>
        <tr r="S210" s="5"/>
      </tp>
      <tp t="s">
        <v>#N/A N/A</v>
        <stp/>
        <stp>BDH|3128300105625001474</stp>
        <tr r="AF432" s="5"/>
        <tr r="AE472" s="5"/>
        <tr r="AC487" s="5"/>
        <tr r="AD482" s="5"/>
        <tr r="AB492" s="5"/>
      </tp>
      <tp t="s">
        <v>#N/A N/A</v>
        <stp/>
        <stp>BDH|3553379223813503077</stp>
        <tr r="AD93" s="5"/>
        <tr r="AE83" s="5"/>
        <tr r="AC98" s="5"/>
        <tr r="AF43" s="5"/>
        <tr r="AB103" s="5"/>
      </tp>
      <tp t="s">
        <v>#N/A N/A</v>
        <stp/>
        <stp>BDH|5381033943458667866</stp>
        <tr r="AF231" s="5"/>
        <tr r="AE271" s="5"/>
        <tr r="AC286" s="5"/>
        <tr r="AD281" s="5"/>
        <tr r="AB291" s="5"/>
      </tp>
      <tp t="s">
        <v>#N/A N/A</v>
        <stp/>
        <stp>BDH|5050792020947999604</stp>
        <tr r="AD528" s="5"/>
        <tr r="AE518" s="5"/>
        <tr r="AC533" s="5"/>
        <tr r="AF478" s="5"/>
        <tr r="AB538" s="5"/>
      </tp>
      <tp t="s">
        <v>#N/A N/A</v>
        <stp/>
        <stp>BDH|3270519313680623668</stp>
        <tr r="U48" s="5"/>
        <tr r="V38" s="5"/>
        <tr r="T53" s="5"/>
        <tr r="S58" s="5"/>
      </tp>
      <tp t="s">
        <v>#N/A N/A</v>
        <stp/>
        <stp>BDH|5838769972554408088</stp>
        <tr r="AC708" s="5"/>
        <tr r="AD703" s="5"/>
        <tr r="AF653" s="5"/>
        <tr r="AE693" s="5"/>
        <tr r="AB713" s="5"/>
      </tp>
      <tp t="s">
        <v>#N/A N/A</v>
        <stp/>
        <stp>BDH|2752235167100586766</stp>
        <tr r="AC452" s="5"/>
        <tr r="AD447" s="5"/>
        <tr r="AF397" s="5"/>
        <tr r="AE437" s="5"/>
        <tr r="AB457" s="5"/>
      </tp>
      <tp t="s">
        <v>#N/A N/A</v>
        <stp/>
        <stp>BDH|6754387095828969533</stp>
        <tr r="V378" s="5"/>
        <tr r="T393" s="5"/>
        <tr r="U388" s="5"/>
        <tr r="W338" s="5"/>
        <tr r="S398" s="5"/>
      </tp>
      <tp t="s">
        <v>#N/A N/A</v>
        <stp/>
        <stp>BDH|6112313547531178170</stp>
        <tr r="AD231" s="5"/>
        <tr r="AC236" s="5"/>
        <tr r="AE221" s="5"/>
        <tr r="AF181" s="5"/>
        <tr r="AB241" s="5"/>
      </tp>
      <tp t="s">
        <v>#N/A N/A</v>
        <stp/>
        <stp>BDH|4201507052031158402</stp>
        <tr r="W728" s="5"/>
      </tp>
      <tp t="s">
        <v>#N/A N/A</v>
        <stp/>
        <stp>BDH|5764967360682585956</stp>
        <tr r="T695" s="5"/>
        <tr r="V680" s="5"/>
        <tr r="W640" s="5"/>
        <tr r="U690" s="5"/>
        <tr r="S700" s="5"/>
      </tp>
      <tp t="s">
        <v>#N/A N/A</v>
        <stp/>
        <stp>BDH|8439141184993125330</stp>
        <tr r="AC61" s="5"/>
        <tr r="AD56" s="5"/>
        <tr r="AE46" s="5"/>
        <tr r="AB66" s="5"/>
      </tp>
      <tp t="s">
        <v>#N/A N/A</v>
        <stp/>
        <stp>BDH|3209129807496966582</stp>
        <tr r="W287" s="5"/>
        <tr r="V327" s="5"/>
        <tr r="U337" s="5"/>
        <tr r="T342" s="5"/>
        <tr r="S347" s="5"/>
      </tp>
      <tp t="s">
        <v>#N/A N/A</v>
        <stp/>
        <stp>BDH|1348341017783416129</stp>
        <tr r="AF226" s="5"/>
        <tr r="AE266" s="5"/>
        <tr r="AC281" s="5"/>
        <tr r="AD276" s="5"/>
        <tr r="AB286" s="5"/>
      </tp>
      <tp t="s">
        <v>#N/A N/A</v>
        <stp/>
        <stp>BDH|7372149927241462426</stp>
        <tr r="T617" s="5"/>
        <tr r="W562" s="5"/>
        <tr r="V602" s="5"/>
        <tr r="U612" s="5"/>
        <tr r="S622" s="5"/>
      </tp>
      <tp t="s">
        <v>#N/A N/A</v>
        <stp/>
        <stp>BDH|4360003656870324014</stp>
        <tr r="AE285" s="5"/>
        <tr r="AC300" s="5"/>
        <tr r="AF245" s="5"/>
        <tr r="AD295" s="5"/>
        <tr r="AB305" s="5"/>
      </tp>
      <tp t="s">
        <v>#N/A N/A</v>
        <stp/>
        <stp>BDH|8306410372759153356</stp>
        <tr r="W241" s="5"/>
        <tr r="T296" s="5"/>
        <tr r="U291" s="5"/>
        <tr r="V281" s="5"/>
        <tr r="S301" s="5"/>
      </tp>
      <tp t="s">
        <v>#N/A N/A</v>
        <stp/>
        <stp>BDH|1247691657085990601</stp>
        <tr r="T622" s="5"/>
        <tr r="W567" s="5"/>
        <tr r="U617" s="5"/>
        <tr r="V607" s="5"/>
        <tr r="S627" s="5"/>
      </tp>
      <tp t="s">
        <v>#N/A N/A</v>
        <stp/>
        <stp>BDH|5771070135834256326</stp>
        <tr r="AF165" s="5"/>
        <tr r="AC220" s="5"/>
        <tr r="AE205" s="5"/>
        <tr r="AD215" s="5"/>
        <tr r="AB225" s="5"/>
      </tp>
      <tp t="s">
        <v>#N/A N/A</v>
        <stp/>
        <stp>BDH|8788257377138801482</stp>
        <tr r="T482" s="5"/>
        <tr r="V467" s="5"/>
        <tr r="U477" s="5"/>
        <tr r="W427" s="5"/>
        <tr r="S487" s="5"/>
      </tp>
      <tp t="s">
        <v>#N/A N/A</v>
        <stp/>
        <stp>BDH|4783504392079716380</stp>
        <tr r="W761" s="5"/>
      </tp>
      <tp t="s">
        <v>#N/A N/A</v>
        <stp/>
        <stp>BDH|8475491281842113473</stp>
        <tr r="W506" s="5"/>
        <tr r="U556" s="5"/>
        <tr r="V546" s="5"/>
        <tr r="T561" s="5"/>
        <tr r="S566" s="5"/>
      </tp>
      <tp t="s">
        <v>#N/A N/A</v>
        <stp/>
        <stp>BDH|3424273048242663561</stp>
        <tr r="W739" s="5"/>
      </tp>
      <tp t="s">
        <v>#N/A N/A</v>
        <stp/>
        <stp>BDH|5636384493528176572</stp>
        <tr r="AF285" s="5"/>
        <tr r="AD335" s="5"/>
        <tr r="AE325" s="5"/>
        <tr r="AC340" s="5"/>
        <tr r="AB345" s="5"/>
      </tp>
      <tp t="s">
        <v>#N/A N/A</v>
        <stp/>
        <stp>BDH|5768367017867868256</stp>
        <tr r="U695" s="5"/>
        <tr r="W645" s="5"/>
        <tr r="T700" s="5"/>
        <tr r="V685" s="5"/>
        <tr r="S705" s="5"/>
      </tp>
      <tp t="s">
        <v>#N/A N/A</v>
        <stp/>
        <stp>BDH|6379021354142419390</stp>
        <tr r="AE683" s="5"/>
        <tr r="AC698" s="5"/>
        <tr r="AD693" s="5"/>
        <tr r="AF643" s="5"/>
        <tr r="AB703" s="5"/>
      </tp>
      <tp t="s">
        <v>#N/A N/A</v>
        <stp/>
        <stp>BDH|4212948657202956803</stp>
        <tr r="T228" s="5"/>
        <tr r="U223" s="5"/>
        <tr r="W173" s="5"/>
        <tr r="V213" s="5"/>
        <tr r="S233" s="5"/>
      </tp>
      <tp t="s">
        <v>#N/A N/A</v>
        <stp/>
        <stp>BDH|1067751188888094446</stp>
        <tr r="U480" s="5"/>
        <tr r="T485" s="5"/>
        <tr r="V470" s="5"/>
        <tr r="W430" s="5"/>
        <tr r="S490" s="5"/>
      </tp>
      <tp t="s">
        <v>#N/A N/A</v>
        <stp/>
        <stp>BDH|7887977072263213864</stp>
        <tr r="AC554" s="5"/>
        <tr r="AF499" s="5"/>
        <tr r="AD549" s="5"/>
        <tr r="AE539" s="5"/>
        <tr r="AB559" s="5"/>
      </tp>
      <tp t="s">
        <v>#N/A N/A</v>
        <stp/>
        <stp>BDH|6665851943480164888</stp>
        <tr r="AE761" s="5"/>
        <tr r="AF721" s="5"/>
      </tp>
      <tp t="s">
        <v>#N/A N/A</v>
        <stp/>
        <stp>BDH|6508497737543073054</stp>
        <tr r="V452" s="5"/>
        <tr r="W412" s="5"/>
        <tr r="T467" s="5"/>
        <tr r="U462" s="5"/>
        <tr r="S472" s="5"/>
      </tp>
      <tp t="s">
        <v>#N/A N/A</v>
        <stp/>
        <stp>BDH|2183181045781324419</stp>
        <tr r="W107" s="5"/>
        <tr r="V147" s="5"/>
        <tr r="U157" s="5"/>
        <tr r="T161" s="5"/>
        <tr r="S166" s="5"/>
      </tp>
      <tp t="s">
        <v>#N/A N/A</v>
        <stp/>
        <stp>BDH|4623472524288392886</stp>
        <tr r="AD39" s="5"/>
        <tr r="AE29" s="5"/>
        <tr r="AC44" s="5"/>
        <tr r="AB49" s="5"/>
      </tp>
      <tp t="s">
        <v>#N/A N/A</v>
        <stp/>
        <stp>BDH|7843261198196811813</stp>
        <tr r="AF22" s="5"/>
        <tr r="AC77" s="5"/>
        <tr r="AD72" s="5"/>
        <tr r="AE62" s="5"/>
        <tr r="AB82" s="5"/>
      </tp>
      <tp t="s">
        <v>#N/A N/A</v>
        <stp/>
        <stp>BDH|4927462915530489310</stp>
        <tr r="AE258" s="5"/>
        <tr r="AC273" s="5"/>
        <tr r="AF218" s="5"/>
        <tr r="AD268" s="5"/>
        <tr r="AB278" s="5"/>
      </tp>
      <tp t="s">
        <v>#N/A N/A</v>
        <stp/>
        <stp>BDH|3238287056531593767</stp>
        <tr r="T522" s="5"/>
        <tr r="U517" s="5"/>
        <tr r="V507" s="5"/>
        <tr r="W467" s="5"/>
        <tr r="S527" s="5"/>
      </tp>
      <tp t="s">
        <v>#N/A N/A</v>
        <stp/>
        <stp>BDH|4134010336416228380</stp>
        <tr r="AF763" s="5"/>
      </tp>
      <tp t="s">
        <v>#N/A N/A</v>
        <stp/>
        <stp>BDH|2406369354927298185</stp>
        <tr r="AE131" s="5"/>
        <tr r="AC146" s="5"/>
        <tr r="AD141" s="5"/>
        <tr r="AF91" s="5"/>
        <tr r="AB151" s="5"/>
      </tp>
      <tp t="s">
        <v>#N/A N/A</v>
        <stp/>
        <stp>BDH|4377290789948751484</stp>
        <tr r="AE742" s="5"/>
        <tr r="AC757" s="5"/>
        <tr r="AF702" s="5"/>
        <tr r="AD752" s="5"/>
        <tr r="AB762" s="5"/>
      </tp>
      <tp t="s">
        <v>#N/A N/A</v>
        <stp/>
        <stp>BDH|2381228207343863136</stp>
        <tr r="AC644" s="5"/>
        <tr r="AD639" s="5"/>
        <tr r="AE629" s="5"/>
        <tr r="AF589" s="5"/>
        <tr r="AB649" s="5"/>
      </tp>
      <tp t="s">
        <v>#N/A N/A</v>
        <stp/>
        <stp>BDH|6068822785691966536</stp>
        <tr r="W162" s="5"/>
        <tr r="T217" s="5"/>
        <tr r="V202" s="5"/>
        <tr r="U212" s="5"/>
        <tr r="S222" s="5"/>
      </tp>
      <tp t="s">
        <v>#N/A N/A</v>
        <stp/>
        <stp>BDH|8164634737186925914</stp>
        <tr r="AF727" s="5"/>
        <tr r="AE767" s="5"/>
      </tp>
      <tp t="s">
        <v>#N/A N/A</v>
        <stp/>
        <stp>BDH|7925960462842659869</stp>
        <tr r="AD444" s="5"/>
        <tr r="AC449" s="5"/>
        <tr r="AE434" s="5"/>
        <tr r="AF394" s="5"/>
        <tr r="AB454" s="5"/>
      </tp>
      <tp t="s">
        <v>#N/A N/A</v>
        <stp/>
        <stp>BDH|6622482214828325947</stp>
        <tr r="T88" s="5"/>
        <tr r="W33" s="5"/>
        <tr r="U83" s="5"/>
        <tr r="V73" s="5"/>
        <tr r="S93" s="5"/>
      </tp>
      <tp t="s">
        <v>#N/A N/A</v>
        <stp/>
        <stp>BDH|6329078006254875072</stp>
        <tr r="AD24" s="5"/>
        <tr r="AC29" s="5"/>
        <tr r="AB34" s="5"/>
      </tp>
      <tp t="s">
        <v>#N/A N/A</v>
        <stp/>
        <stp>BDH|5672542785083043954</stp>
        <tr r="AE227" s="5"/>
        <tr r="AF187" s="5"/>
        <tr r="AD237" s="5"/>
        <tr r="AC242" s="5"/>
        <tr r="AB247" s="5"/>
      </tp>
      <tp t="s">
        <v>#N/A N/A</v>
        <stp/>
        <stp>BDH|8343642879028447386</stp>
        <tr r="V49" s="5"/>
        <tr r="U59" s="5"/>
        <tr r="T64" s="5"/>
        <tr r="S69" s="5"/>
      </tp>
      <tp t="s">
        <v>#N/A N/A</v>
        <stp/>
        <stp>BDH|7133457846575978086</stp>
        <tr r="T330" s="5"/>
        <tr r="U325" s="5"/>
        <tr r="V315" s="5"/>
        <tr r="W275" s="5"/>
        <tr r="S335" s="5"/>
      </tp>
      <tp t="s">
        <v>#N/A N/A</v>
        <stp/>
        <stp>BDH|9470317180721606100</stp>
        <tr r="S24" s="5"/>
      </tp>
      <tp t="s">
        <v>#N/A N/A</v>
        <stp/>
        <stp>BDH|8206836333073481259</stp>
        <tr r="AF544" s="5"/>
        <tr r="AD594" s="5"/>
        <tr r="AC599" s="5"/>
        <tr r="AE584" s="5"/>
        <tr r="AB604" s="5"/>
      </tp>
      <tp t="s">
        <v>#N/A N/A</v>
        <stp/>
        <stp>BDH|6148827073663305836</stp>
        <tr r="AE278" s="5"/>
        <tr r="AD288" s="5"/>
        <tr r="AC293" s="5"/>
        <tr r="AF238" s="5"/>
        <tr r="AB298" s="5"/>
      </tp>
      <tp t="s">
        <v>#N/A N/A</v>
        <stp/>
        <stp>BDH|1582419479362523284</stp>
        <tr r="AD494" s="5"/>
        <tr r="AE484" s="5"/>
        <tr r="AF444" s="5"/>
        <tr r="AC499" s="5"/>
        <tr r="AB504" s="5"/>
      </tp>
      <tp t="s">
        <v>#N/A N/A</v>
        <stp/>
        <stp>BDH|5793035610995404301</stp>
        <tr r="W582" s="5"/>
        <tr r="V622" s="5"/>
        <tr r="U632" s="5"/>
        <tr r="T637" s="5"/>
        <tr r="S642" s="5"/>
      </tp>
      <tp t="s">
        <v>#N/A N/A</v>
        <stp/>
        <stp>BDH|2916512418635594151</stp>
        <tr r="AC28" s="5"/>
        <tr r="AD23" s="5"/>
        <tr r="AB33" s="5"/>
      </tp>
      <tp t="s">
        <v>#N/A N/A</v>
        <stp/>
        <stp>BDH|5265468918643858142</stp>
        <tr r="AD126" s="5"/>
        <tr r="AC131" s="5"/>
        <tr r="AF76" s="5"/>
        <tr r="AE116" s="5"/>
        <tr r="AB136" s="5"/>
      </tp>
      <tp t="s">
        <v>#N/A N/A</v>
        <stp/>
        <stp>BDH|1786597278413603205</stp>
        <tr r="V287" s="5"/>
        <tr r="T302" s="5"/>
        <tr r="W247" s="5"/>
        <tr r="U297" s="5"/>
        <tr r="S307" s="5"/>
      </tp>
      <tp t="s">
        <v>#N/A N/A</v>
        <stp/>
        <stp>BDH|7661780189619340353</stp>
        <tr r="W763" s="5"/>
      </tp>
      <tp t="s">
        <v>#N/A N/A</v>
        <stp/>
        <stp>BDH|9258397232322004986</stp>
        <tr r="AC22" s="5"/>
        <tr r="AB27" s="5"/>
      </tp>
      <tp t="s">
        <v>#N/A N/A</v>
        <stp/>
        <stp>BDH|9286351244109233579</stp>
        <tr r="V48" s="5"/>
        <tr r="U58" s="5"/>
        <tr r="T63" s="5"/>
        <tr r="S68" s="5"/>
      </tp>
      <tp t="s">
        <v>#N/A N/A</v>
        <stp/>
        <stp>BDH|3595746639362839768</stp>
        <tr r="W579" s="5"/>
        <tr r="V619" s="5"/>
        <tr r="T634" s="5"/>
        <tr r="U629" s="5"/>
        <tr r="S639" s="5"/>
      </tp>
      <tp t="s">
        <v>#N/A N/A</v>
        <stp/>
        <stp>BDH|1186246342544965185</stp>
        <tr r="AF351" s="5"/>
        <tr r="AE391" s="5"/>
        <tr r="AD401" s="5"/>
        <tr r="AC406" s="5"/>
        <tr r="AB411" s="5"/>
      </tp>
      <tp t="s">
        <v>#N/A N/A</v>
        <stp/>
        <stp>BDH|5974396639387735089</stp>
        <tr r="AE428" s="5"/>
        <tr r="AD438" s="5"/>
        <tr r="AC443" s="5"/>
        <tr r="AF388" s="5"/>
        <tr r="AB448" s="5"/>
      </tp>
      <tp t="s">
        <v>#N/A N/A</v>
        <stp/>
        <stp>BDH|5324409526303331200</stp>
        <tr r="W548" s="5"/>
        <tr r="V588" s="5"/>
        <tr r="U598" s="5"/>
        <tr r="T603" s="5"/>
        <tr r="S608" s="5"/>
      </tp>
      <tp t="s">
        <v>#N/A N/A</v>
        <stp/>
        <stp>BDH|6508787022876957705</stp>
        <tr r="AD187" s="5"/>
        <tr r="AF138" s="5"/>
        <tr r="AE177" s="5"/>
        <tr r="AC192" s="5"/>
        <tr r="AB197" s="5"/>
      </tp>
      <tp t="s">
        <v>#N/A N/A</v>
        <stp/>
        <stp>BDH|7647577604544575473</stp>
        <tr r="AF240" s="5"/>
        <tr r="AE280" s="5"/>
        <tr r="AC295" s="5"/>
        <tr r="AD290" s="5"/>
        <tr r="AB300" s="5"/>
      </tp>
      <tp t="s">
        <v>#N/A N/A</v>
        <stp/>
        <stp>BDH|3406432746955748417</stp>
        <tr r="V328" s="5"/>
        <tr r="W288" s="5"/>
        <tr r="U338" s="5"/>
        <tr r="T343" s="5"/>
        <tr r="S348" s="5"/>
      </tp>
      <tp t="s">
        <v>#N/A N/A</v>
        <stp/>
        <stp>BDH|6475440841582091660</stp>
        <tr r="U475" s="5"/>
        <tr r="V465" s="5"/>
        <tr r="W425" s="5"/>
        <tr r="T480" s="5"/>
        <tr r="S485" s="5"/>
      </tp>
      <tp t="s">
        <v>#N/A N/A</v>
        <stp/>
        <stp>BDH|8801113357888179687</stp>
        <tr r="U86" s="5"/>
        <tr r="T91" s="5"/>
        <tr r="W36" s="5"/>
        <tr r="V76" s="5"/>
        <tr r="S96" s="5"/>
      </tp>
      <tp t="s">
        <v>#N/A N/A</v>
        <stp/>
        <stp>BDH|2606315331167291733</stp>
        <tr r="V382" s="5"/>
        <tr r="T397" s="5"/>
        <tr r="W342" s="5"/>
        <tr r="U392" s="5"/>
        <tr r="S402" s="5"/>
      </tp>
      <tp t="s">
        <v>#N/A N/A</v>
        <stp/>
        <stp>BDH|5481727770567362019</stp>
        <tr r="W465" s="5"/>
        <tr r="T520" s="5"/>
        <tr r="V505" s="5"/>
        <tr r="U515" s="5"/>
        <tr r="S525" s="5"/>
      </tp>
      <tp t="s">
        <v>#N/A N/A</v>
        <stp/>
        <stp>BDH|5294071954334577602</stp>
        <tr r="AF44" s="5"/>
        <tr r="AD94" s="5"/>
        <tr r="AC99" s="5"/>
        <tr r="AE84" s="5"/>
        <tr r="AB104" s="5"/>
      </tp>
      <tp t="s">
        <v>#N/A N/A</v>
        <stp/>
        <stp>BDH|2813970795956707681</stp>
        <tr r="AF641" s="5"/>
        <tr r="AC696" s="5"/>
        <tr r="AE681" s="5"/>
        <tr r="AD691" s="5"/>
        <tr r="AB701" s="5"/>
      </tp>
      <tp t="s">
        <v>#N/A N/A</v>
        <stp/>
        <stp>BDH|7019596809763341294</stp>
        <tr r="AF669" s="5"/>
        <tr r="AD719" s="5"/>
        <tr r="AE709" s="5"/>
        <tr r="AC724" s="5"/>
        <tr r="AB729" s="5"/>
      </tp>
      <tp t="s">
        <v>#N/A N/A</v>
        <stp/>
        <stp>BDH|1936585288689079630</stp>
        <tr r="V201" s="5"/>
        <tr r="U211" s="5"/>
        <tr r="T216" s="5"/>
        <tr r="W161" s="5"/>
        <tr r="S221" s="5"/>
      </tp>
      <tp t="s">
        <v>#N/A N/A</v>
        <stp/>
        <stp>BDH|7795156691609106582</stp>
        <tr r="AC24" s="5"/>
        <tr r="AB29" s="5"/>
      </tp>
      <tp t="s">
        <v>#N/A N/A</v>
        <stp/>
        <stp>BDH|5126786553775208101</stp>
        <tr r="W356" s="5"/>
        <tr r="V396" s="5"/>
        <tr r="U406" s="5"/>
        <tr r="T411" s="5"/>
        <tr r="S416" s="5"/>
      </tp>
      <tp t="s">
        <v>#N/A N/A</v>
        <stp/>
        <stp>BDH|2009905023243954926</stp>
        <tr r="AE317" s="5"/>
        <tr r="AF277" s="5"/>
        <tr r="AC332" s="5"/>
        <tr r="AD327" s="5"/>
        <tr r="AB337" s="5"/>
      </tp>
      <tp t="s">
        <v>#N/A N/A</v>
        <stp/>
        <stp>BDH|5565172069068643958</stp>
        <tr r="AD453" s="5"/>
        <tr r="AC458" s="5"/>
        <tr r="AF403" s="5"/>
        <tr r="AE443" s="5"/>
        <tr r="AB463" s="5"/>
      </tp>
      <tp t="s">
        <v>#N/A N/A</v>
        <stp/>
        <stp>BDH|4798302501991943579</stp>
        <tr r="U624" s="5"/>
        <tr r="V614" s="5"/>
        <tr r="W574" s="5"/>
        <tr r="T629" s="5"/>
        <tr r="S634" s="5"/>
      </tp>
      <tp t="s">
        <v>#N/A N/A</v>
        <stp/>
        <stp>BDH|2018790875620035154</stp>
        <tr r="AF590" s="5"/>
        <tr r="AE630" s="5"/>
        <tr r="AC645" s="5"/>
        <tr r="AD640" s="5"/>
        <tr r="AB650" s="5"/>
      </tp>
      <tp t="s">
        <v>#N/A N/A</v>
        <stp/>
        <stp>BDH|8972298118100159803</stp>
        <tr r="AC579" s="5"/>
        <tr r="AD574" s="5"/>
        <tr r="AF524" s="5"/>
        <tr r="AE564" s="5"/>
        <tr r="AB584" s="5"/>
      </tp>
      <tp t="s">
        <v>#N/A N/A</v>
        <stp/>
        <stp>BDH|5772594154766189027</stp>
        <tr r="AD597" s="5"/>
        <tr r="AC602" s="5"/>
        <tr r="AF547" s="5"/>
        <tr r="AE587" s="5"/>
        <tr r="AB607" s="5"/>
      </tp>
      <tp t="s">
        <v>#N/A N/A</v>
        <stp/>
        <stp>BDH|9044624789351788551</stp>
        <tr r="U667" s="5"/>
        <tr r="W617" s="5"/>
        <tr r="V657" s="5"/>
        <tr r="T672" s="5"/>
        <tr r="S677" s="5"/>
      </tp>
      <tp t="s">
        <v>#N/A N/A</v>
        <stp/>
        <stp>BDH|1216255325032285093</stp>
        <tr r="AD708" s="5"/>
        <tr r="AE698" s="5"/>
        <tr r="AC713" s="5"/>
        <tr r="AF658" s="5"/>
        <tr r="AB718" s="5"/>
      </tp>
      <tp t="s">
        <v>#N/A N/A</v>
        <stp/>
        <stp>BDH|5718464259436790119</stp>
        <tr r="AD360" s="5"/>
        <tr r="AF310" s="5"/>
        <tr r="AE350" s="5"/>
        <tr r="AC365" s="5"/>
        <tr r="AB370" s="5"/>
      </tp>
      <tp t="s">
        <v>#N/A N/A</v>
        <stp/>
        <stp>BDH|1212986621520469914</stp>
        <tr r="V647" s="5"/>
        <tr r="U657" s="5"/>
        <tr r="T662" s="5"/>
        <tr r="W607" s="5"/>
        <tr r="S667" s="5"/>
      </tp>
      <tp t="s">
        <v>#N/A N/A</v>
        <stp/>
        <stp>BDH|1502453661725924563</stp>
        <tr r="W639" s="5"/>
        <tr r="U689" s="5"/>
        <tr r="V679" s="5"/>
        <tr r="T694" s="5"/>
        <tr r="S699" s="5"/>
      </tp>
      <tp t="s">
        <v>#N/A N/A</v>
        <stp/>
        <stp>BDH|9792424164901780989</stp>
        <tr r="AE624" s="5"/>
        <tr r="AD634" s="5"/>
        <tr r="AC639" s="5"/>
        <tr r="AF584" s="5"/>
        <tr r="AB644" s="5"/>
      </tp>
      <tp t="s">
        <v>#N/A N/A</v>
        <stp/>
        <stp>BDH|2957837983697499635</stp>
        <tr r="V757" s="5"/>
        <tr r="U767" s="5"/>
        <tr r="W717" s="5"/>
      </tp>
      <tp t="s">
        <v>#N/A N/A</v>
        <stp/>
        <stp>BDH|9423289978159893628</stp>
        <tr r="AE520" s="5"/>
        <tr r="AC535" s="5"/>
        <tr r="AF480" s="5"/>
        <tr r="AD530" s="5"/>
        <tr r="AB540" s="5"/>
      </tp>
      <tp t="s">
        <v>#N/A N/A</v>
        <stp/>
        <stp>BDH|5300085414132813585</stp>
        <tr r="AF742" s="5"/>
      </tp>
      <tp t="s">
        <v>#N/A N/A</v>
        <stp/>
        <stp>BDH|6799327688769039729</stp>
        <tr r="AC588" s="5"/>
        <tr r="AD583" s="5"/>
        <tr r="AF533" s="5"/>
        <tr r="AE573" s="5"/>
        <tr r="AB593" s="5"/>
      </tp>
      <tp t="s">
        <v>#N/A N/A</v>
        <stp/>
        <stp>BDH|5081530007432959123</stp>
        <tr r="AC482" s="5"/>
        <tr r="AE467" s="5"/>
        <tr r="AD477" s="5"/>
        <tr r="AF427" s="5"/>
        <tr r="AB487" s="5"/>
      </tp>
      <tp t="s">
        <v>#N/A N/A</v>
        <stp/>
        <stp>BDH|3408395428473397297</stp>
        <tr r="AF41" s="5"/>
        <tr r="AE81" s="5"/>
        <tr r="AC96" s="5"/>
        <tr r="AD91" s="5"/>
        <tr r="AB101" s="5"/>
      </tp>
      <tp t="s">
        <v>#N/A N/A</v>
        <stp/>
        <stp>BDH|9004185782507772414</stp>
        <tr r="T475" s="5"/>
        <tr r="W420" s="5"/>
        <tr r="U470" s="5"/>
        <tr r="V460" s="5"/>
        <tr r="S480" s="5"/>
      </tp>
      <tp t="s">
        <v>#N/A N/A</v>
        <stp/>
        <stp>BDH|6111786877573271617</stp>
        <tr r="T383" s="5"/>
        <tr r="V368" s="5"/>
        <tr r="U378" s="5"/>
        <tr r="W328" s="5"/>
        <tr r="S388" s="5"/>
      </tp>
      <tp t="s">
        <v>#N/A N/A</v>
        <stp/>
        <stp>BDH|1648296355782674715</stp>
        <tr r="AE304" s="5"/>
        <tr r="AC319" s="5"/>
        <tr r="AF264" s="5"/>
        <tr r="AD314" s="5"/>
        <tr r="AB324" s="5"/>
      </tp>
      <tp t="s">
        <v>#N/A N/A</v>
        <stp/>
        <stp>BDH|5614089132223114603</stp>
        <tr r="U227" s="5"/>
        <tr r="W177" s="5"/>
        <tr r="V217" s="5"/>
        <tr r="T232" s="5"/>
        <tr r="S237" s="5"/>
      </tp>
      <tp t="s">
        <v>#N/A N/A</v>
        <stp/>
        <stp>BDH|7520174348011045078</stp>
        <tr r="AF765" s="5"/>
      </tp>
      <tp t="s">
        <v>#N/A N/A</v>
        <stp/>
        <stp>BDH|1694810136440181924</stp>
        <tr r="U405" s="5"/>
        <tr r="W355" s="5"/>
        <tr r="V395" s="5"/>
        <tr r="T410" s="5"/>
        <tr r="S415" s="5"/>
      </tp>
      <tp t="s">
        <v>#N/A N/A</v>
        <stp/>
        <stp>BDH|5303543691173655925</stp>
        <tr r="AB24" s="5"/>
      </tp>
      <tp t="s">
        <v>#N/A N/A</v>
        <stp/>
        <stp>BDH|4727155485068631633</stp>
        <tr r="U252" s="5"/>
        <tr r="T257" s="5"/>
        <tr r="V242" s="5"/>
        <tr r="W202" s="5"/>
        <tr r="S262" s="5"/>
      </tp>
      <tp t="s">
        <v>#N/A N/A</v>
        <stp/>
        <stp>BDH|3540000532004007753</stp>
        <tr r="AC625" s="5"/>
        <tr r="AD620" s="5"/>
        <tr r="AE610" s="5"/>
        <tr r="AF570" s="5"/>
        <tr r="AB630" s="5"/>
      </tp>
      <tp t="s">
        <v>#N/A N/A</v>
        <stp/>
        <stp>BDH|2773634549824760780</stp>
        <tr r="AE464" s="5"/>
        <tr r="AC479" s="5"/>
        <tr r="AF424" s="5"/>
        <tr r="AD474" s="5"/>
        <tr r="AB484" s="5"/>
      </tp>
      <tp t="s">
        <v>#N/A N/A</v>
        <stp/>
        <stp>BDH|4214428965730390557</stp>
        <tr r="W37" s="5"/>
        <tr r="T92" s="5"/>
        <tr r="V77" s="5"/>
        <tr r="U87" s="5"/>
        <tr r="S97" s="5"/>
      </tp>
      <tp t="s">
        <v>#N/A N/A</v>
        <stp/>
        <stp>BDH|8312928713984902787</stp>
        <tr r="T387" s="5"/>
        <tr r="U382" s="5"/>
        <tr r="W332" s="5"/>
        <tr r="V372" s="5"/>
        <tr r="S392" s="5"/>
      </tp>
      <tp t="s">
        <v>#N/A N/A</v>
        <stp/>
        <stp>BDH|5999149082808821746</stp>
        <tr r="AE299" s="5"/>
        <tr r="AC314" s="5"/>
        <tr r="AD309" s="5"/>
        <tr r="AF259" s="5"/>
        <tr r="AB319" s="5"/>
      </tp>
      <tp t="s">
        <v>#N/A N/A</v>
        <stp/>
        <stp>BDH|8999797692021953484</stp>
        <tr r="AD22" s="5"/>
        <tr r="AC27" s="5"/>
        <tr r="AB32" s="5"/>
      </tp>
      <tp t="s">
        <v>#N/A N/A</v>
        <stp/>
        <stp>BDH|9548852290302439978</stp>
        <tr r="V613" s="5"/>
        <tr r="W573" s="5"/>
        <tr r="T628" s="5"/>
        <tr r="U623" s="5"/>
        <tr r="S633" s="5"/>
      </tp>
      <tp t="s">
        <v>#N/A N/A</v>
        <stp/>
        <stp>BDH|5063128464038523934</stp>
        <tr r="AF754" s="5"/>
      </tp>
      <tp t="s">
        <v>#N/A N/A</v>
        <stp/>
        <stp>BDH|6086731925627336756</stp>
        <tr r="U481" s="5"/>
        <tr r="V471" s="5"/>
        <tr r="T486" s="5"/>
        <tr r="W431" s="5"/>
        <tr r="S491" s="5"/>
      </tp>
      <tp t="s">
        <v>#N/A N/A</v>
        <stp/>
        <stp>BDH|3094152555662630661</stp>
        <tr r="AE228" s="5"/>
        <tr r="AF188" s="5"/>
        <tr r="AC243" s="5"/>
        <tr r="AD238" s="5"/>
        <tr r="AB248" s="5"/>
      </tp>
      <tp t="s">
        <v>#N/A N/A</v>
        <stp/>
        <stp>BDH|7088897176833758892</stp>
        <tr r="AF482" s="5"/>
        <tr r="AC537" s="5"/>
        <tr r="AE522" s="5"/>
        <tr r="AD532" s="5"/>
        <tr r="AB542" s="5"/>
      </tp>
      <tp t="s">
        <v>#N/A N/A</v>
        <stp/>
        <stp>BDH|7076343956420770244</stp>
        <tr r="AF154" s="5"/>
        <tr r="AD203" s="5"/>
        <tr r="AE193" s="5"/>
        <tr r="AC208" s="5"/>
        <tr r="AB213" s="5"/>
      </tp>
      <tp t="s">
        <v>#N/A N/A</v>
        <stp/>
        <stp>BDH|8277946245665666346</stp>
        <tr r="W35" s="5"/>
        <tr r="V75" s="5"/>
        <tr r="U85" s="5"/>
        <tr r="T90" s="5"/>
        <tr r="S95" s="5"/>
      </tp>
      <tp t="s">
        <v>#N/A N/A</v>
        <stp/>
        <stp>BDH|2731565713481030437</stp>
        <tr r="W530" s="5"/>
        <tr r="V570" s="5"/>
        <tr r="T585" s="5"/>
        <tr r="U580" s="5"/>
        <tr r="S590" s="5"/>
      </tp>
      <tp t="s">
        <v>#N/A N/A</v>
        <stp/>
        <stp>BDH|9869878028221354151</stp>
        <tr r="T31" s="5"/>
        <tr r="U26" s="5"/>
        <tr r="S36" s="5"/>
      </tp>
      <tp t="s">
        <v>#N/A N/A</v>
        <stp/>
        <stp>BDH|7118028534032179507</stp>
        <tr r="W744" s="5"/>
      </tp>
      <tp t="s">
        <v>#N/A N/A</v>
        <stp/>
        <stp>BDH|9034969264614548111</stp>
        <tr r="AD457" s="5"/>
        <tr r="AE447" s="5"/>
        <tr r="AF407" s="5"/>
        <tr r="AC462" s="5"/>
        <tr r="AB467" s="5"/>
      </tp>
      <tp t="s">
        <v>#N/A N/A</v>
        <stp/>
        <stp>BDH|2891472034552813451</stp>
        <tr r="U430" s="5"/>
        <tr r="V420" s="5"/>
        <tr r="W380" s="5"/>
        <tr r="T435" s="5"/>
        <tr r="S440" s="5"/>
      </tp>
      <tp t="s">
        <v>#N/A N/A</v>
        <stp/>
        <stp>BDH|8495801855750544625</stp>
        <tr r="W379" s="5"/>
        <tr r="T434" s="5"/>
        <tr r="V419" s="5"/>
        <tr r="U429" s="5"/>
        <tr r="S439" s="5"/>
      </tp>
      <tp t="s">
        <v>#N/A N/A</v>
        <stp/>
        <stp>BDH|7377366148572256183</stp>
        <tr r="AC576" s="5"/>
        <tr r="AD571" s="5"/>
        <tr r="AE561" s="5"/>
        <tr r="AF521" s="5"/>
        <tr r="AB581" s="5"/>
      </tp>
      <tp t="s">
        <v>#N/A N/A</v>
        <stp/>
        <stp>BDH|9663415194060595710</stp>
        <tr r="AD729" s="5"/>
        <tr r="AE719" s="5"/>
        <tr r="AC734" s="5"/>
        <tr r="AF679" s="5"/>
        <tr r="AB739" s="5"/>
      </tp>
      <tp t="s">
        <v>#N/A N/A</v>
        <stp/>
        <stp>BDH|1140101002691789235</stp>
        <tr r="AD175" s="5"/>
        <tr r="AF126" s="5"/>
        <tr r="AE165" s="5"/>
        <tr r="AC180" s="5"/>
        <tr r="AB185" s="5"/>
      </tp>
      <tp t="s">
        <v>#N/A N/A</v>
        <stp/>
        <stp>BDH|6767197244950694082</stp>
        <tr r="U395" s="5"/>
        <tr r="V385" s="5"/>
        <tr r="W345" s="5"/>
        <tr r="T400" s="5"/>
        <tr r="S405" s="5"/>
      </tp>
      <tp t="s">
        <v>#N/A N/A</v>
        <stp/>
        <stp>BDH|1404941766259598479</stp>
        <tr r="AC425" s="5"/>
        <tr r="AF370" s="5"/>
        <tr r="AD420" s="5"/>
        <tr r="AE410" s="5"/>
        <tr r="AB430" s="5"/>
      </tp>
      <tp t="s">
        <v>#N/A N/A</v>
        <stp/>
        <stp>BDH|6655328291919420654</stp>
        <tr r="W21" s="5"/>
        <tr r="V61" s="5"/>
        <tr r="T76" s="5"/>
        <tr r="U71" s="5"/>
        <tr r="S81" s="5"/>
      </tp>
      <tp t="s">
        <v>#N/A N/A</v>
        <stp/>
        <stp>BDH|3246390206815117688</stp>
        <tr r="V39" s="5"/>
        <tr r="U49" s="5"/>
        <tr r="T54" s="5"/>
        <tr r="S59" s="5"/>
      </tp>
      <tp t="s">
        <v>#N/A N/A</v>
        <stp/>
        <stp>BDH|3633906554729037564</stp>
        <tr r="AC387" s="5"/>
        <tr r="AD382" s="5"/>
        <tr r="AF332" s="5"/>
        <tr r="AE372" s="5"/>
        <tr r="AB392" s="5"/>
      </tp>
      <tp t="s">
        <v>#N/A N/A</v>
        <stp/>
        <stp>BDH|3835022703488876855</stp>
        <tr r="W119" s="5"/>
        <tr r="V159" s="5"/>
        <tr r="U168" s="5"/>
        <tr r="T173" s="5"/>
        <tr r="S178" s="5"/>
      </tp>
      <tp t="s">
        <v>#N/A N/A</v>
        <stp/>
        <stp>BDH|5143675302172412251</stp>
        <tr r="V174" s="5"/>
        <tr r="U184" s="5"/>
        <tr r="W135" s="5"/>
        <tr r="T189" s="5"/>
        <tr r="S194" s="5"/>
      </tp>
      <tp t="s">
        <v>#N/A N/A</v>
        <stp/>
        <stp>BDH|8475993025366962644</stp>
        <tr r="W516" s="5"/>
        <tr r="V556" s="5"/>
        <tr r="T571" s="5"/>
        <tr r="U566" s="5"/>
        <tr r="S576" s="5"/>
      </tp>
      <tp t="s">
        <v>#N/A N/A</v>
        <stp/>
        <stp>BDH|1096719181984150945</stp>
        <tr r="W606" s="5"/>
        <tr r="U656" s="5"/>
        <tr r="V646" s="5"/>
        <tr r="T661" s="5"/>
        <tr r="S666" s="5"/>
      </tp>
      <tp t="s">
        <v>#N/A N/A</v>
        <stp/>
        <stp>BDH|6133240630950369437</stp>
        <tr r="T353" s="5"/>
        <tr r="V338" s="5"/>
        <tr r="W298" s="5"/>
        <tr r="U348" s="5"/>
        <tr r="S358" s="5"/>
      </tp>
      <tp t="s">
        <v>#N/A N/A</v>
        <stp/>
        <stp>BDH|5091901198024474291</stp>
        <tr r="W195" s="5"/>
        <tr r="T250" s="5"/>
        <tr r="V235" s="5"/>
        <tr r="U245" s="5"/>
        <tr r="S255" s="5"/>
      </tp>
      <tp t="s">
        <v>#N/A N/A</v>
        <stp/>
        <stp>BDH|76100931715031958</stp>
        <tr r="W656" s="5"/>
        <tr r="V696" s="5"/>
        <tr r="U706" s="5"/>
        <tr r="T711" s="5"/>
        <tr r="S716" s="5"/>
      </tp>
      <tp t="s">
        <v>#N/A N/A</v>
        <stp/>
        <stp>BDH|65886109565779339</stp>
        <tr r="AD673" s="5"/>
        <tr r="AC678" s="5"/>
        <tr r="AE663" s="5"/>
        <tr r="AF623" s="5"/>
        <tr r="AB683" s="5"/>
      </tp>
      <tp t="s">
        <v>#N/A N/A</v>
        <stp/>
        <stp>BDH|670365715240861707</stp>
        <tr r="AD52" s="5"/>
        <tr r="AC57" s="5"/>
        <tr r="AE42" s="5"/>
        <tr r="AB62" s="5"/>
      </tp>
      <tp t="s">
        <v>#N/A N/A</v>
        <stp/>
        <stp>BDH|260280348280227390</stp>
        <tr r="AF747" s="5"/>
      </tp>
      <tp t="s">
        <v>#N/A N/A</v>
        <stp/>
        <stp>BDH|469709605557384560</stp>
        <tr r="W389" s="5"/>
        <tr r="T444" s="5"/>
        <tr r="V429" s="5"/>
        <tr r="U439" s="5"/>
        <tr r="S449" s="5"/>
      </tp>
      <tp t="s">
        <v>#N/A N/A</v>
        <stp/>
        <stp>BDH|195786677316936363</stp>
        <tr r="AD740" s="5"/>
        <tr r="AC745" s="5"/>
        <tr r="AE730" s="5"/>
        <tr r="AF690" s="5"/>
        <tr r="AB750" s="5"/>
      </tp>
      <tp t="s">
        <v>#N/A N/A</v>
        <stp/>
        <stp>BDH|605660709533686136</stp>
        <tr r="AE360" s="5"/>
        <tr r="AF320" s="5"/>
        <tr r="AD370" s="5"/>
        <tr r="AC375" s="5"/>
        <tr r="AB380" s="5"/>
      </tp>
      <tp t="s">
        <v>#N/A N/A</v>
        <stp/>
        <stp>BDH|888935890416473209</stp>
        <tr r="T378" s="5"/>
        <tr r="U373" s="5"/>
        <tr r="W323" s="5"/>
        <tr r="V363" s="5"/>
        <tr r="S383" s="5"/>
      </tp>
      <tp t="s">
        <v>#N/A N/A</v>
        <stp/>
        <stp>BDH|570255523692287681</stp>
        <tr r="AD548" s="5"/>
        <tr r="AF498" s="5"/>
        <tr r="AC553" s="5"/>
        <tr r="AE538" s="5"/>
        <tr r="AB558" s="5"/>
      </tp>
      <tp t="s">
        <v>#N/A N/A</v>
        <stp/>
        <stp>BDH|614289662006425618</stp>
        <tr r="AC484" s="5"/>
        <tr r="AD479" s="5"/>
        <tr r="AF429" s="5"/>
        <tr r="AE469" s="5"/>
        <tr r="AB489" s="5"/>
      </tp>
      <tp t="s">
        <v>#N/A N/A</v>
        <stp/>
        <stp>BDH|453985761129950235</stp>
        <tr r="AF92" s="5"/>
        <tr r="AE132" s="5"/>
        <tr r="AD142" s="5"/>
        <tr r="AC147" s="5"/>
        <tr r="AB152" s="5"/>
      </tp>
      <tp t="s">
        <v>#N/A N/A</v>
        <stp/>
        <stp>BDH|611104657850822097</stp>
        <tr r="AF367" s="5"/>
        <tr r="AE407" s="5"/>
        <tr r="AD417" s="5"/>
        <tr r="AC422" s="5"/>
        <tr r="AB427" s="5"/>
      </tp>
      <tp t="s">
        <v>#N/A N/A</v>
        <stp/>
        <stp>BDH|453517166540480751</stp>
        <tr r="U494" s="5"/>
        <tr r="V484" s="5"/>
        <tr r="W444" s="5"/>
        <tr r="T499" s="5"/>
        <tr r="S504" s="5"/>
      </tp>
      <tp t="s">
        <v>#N/A N/A</v>
        <stp/>
        <stp>BDH|359954970608295278</stp>
        <tr r="AF767" s="5"/>
      </tp>
      <tp t="s">
        <v>#N/A N/A</v>
        <stp/>
        <stp>BDH|926150839734749214</stp>
        <tr r="AD723" s="5"/>
        <tr r="AF673" s="5"/>
        <tr r="AE713" s="5"/>
        <tr r="AC728" s="5"/>
        <tr r="AB733" s="5"/>
      </tp>
      <tp t="s">
        <v>#N/A N/A</v>
        <stp/>
        <stp>BDH|375182904216334007</stp>
        <tr r="W550" s="5"/>
        <tr r="V590" s="5"/>
        <tr r="T605" s="5"/>
        <tr r="U600" s="5"/>
        <tr r="S610" s="5"/>
      </tp>
      <tp t="s">
        <v>#N/A N/A</v>
        <stp/>
        <stp>BDH|518132963052310283</stp>
        <tr r="U172" s="5"/>
        <tr r="V162" s="5"/>
        <tr r="W123" s="5"/>
        <tr r="T177" s="5"/>
        <tr r="S182" s="5"/>
      </tp>
      <tp t="s">
        <v>#N/A N/A</v>
        <stp/>
        <stp>BDH|913106008563977527</stp>
        <tr r="T41" s="5"/>
        <tr r="V26" s="5"/>
        <tr r="U36" s="5"/>
        <tr r="S46" s="5"/>
      </tp>
      <tp t="s">
        <v>#N/A N/A</v>
        <stp/>
        <stp>BDH|601865598727306108</stp>
        <tr r="V669" s="5"/>
        <tr r="T684" s="5"/>
        <tr r="W629" s="5"/>
        <tr r="U679" s="5"/>
        <tr r="S689" s="5"/>
      </tp>
      <tp t="s">
        <v>#N/A N/A</v>
        <stp/>
        <stp>BDH|741568323376146681</stp>
        <tr r="AD626" s="5"/>
        <tr r="AE616" s="5"/>
        <tr r="AC631" s="5"/>
        <tr r="AF576" s="5"/>
        <tr r="AB636" s="5"/>
      </tp>
      <tp t="s">
        <v>#N/A N/A</v>
        <stp/>
        <stp>BDH|990305977960138348</stp>
        <tr r="AC562" s="5"/>
        <tr r="AE547" s="5"/>
        <tr r="AF507" s="5"/>
        <tr r="AD557" s="5"/>
        <tr r="AB567" s="5"/>
      </tp>
      <tp t="s">
        <v>#N/A N/A</v>
        <stp/>
        <stp>BDH|851170716261016624</stp>
        <tr r="W344" s="5"/>
        <tr r="V384" s="5"/>
        <tr r="T399" s="5"/>
        <tr r="U394" s="5"/>
        <tr r="S404" s="5"/>
      </tp>
      <tp t="s">
        <v>#N/A N/A</v>
        <stp/>
        <stp>BDH|169434365045564095</stp>
        <tr r="V533" s="5"/>
        <tr r="W493" s="5"/>
        <tr r="U543" s="5"/>
        <tr r="T548" s="5"/>
        <tr r="S553" s="5"/>
      </tp>
      <tp t="s">
        <v>#N/A N/A</v>
        <stp/>
        <stp>BDH|465718802657658751</stp>
        <tr r="AD645" s="5"/>
        <tr r="AE635" s="5"/>
        <tr r="AC650" s="5"/>
        <tr r="AF595" s="5"/>
        <tr r="AB655" s="5"/>
      </tp>
      <tp t="s">
        <v>#N/A N/A</v>
        <stp/>
        <stp>BDH|398724461722115474</stp>
        <tr r="AF99" s="5"/>
        <tr r="AC154" s="5"/>
        <tr r="AD149" s="5"/>
        <tr r="AE139" s="5"/>
        <tr r="AB159" s="5"/>
      </tp>
      <tp t="s">
        <v>#N/A N/A</v>
        <stp/>
        <stp>BDH|570038237725750116</stp>
        <tr r="V683" s="5"/>
        <tr r="T698" s="5"/>
        <tr r="U693" s="5"/>
        <tr r="W643" s="5"/>
        <tr r="S703" s="5"/>
      </tp>
      <tp t="s">
        <v>#N/A N/A</v>
        <stp/>
        <stp>BDH|719664028786858514</stp>
        <tr r="AC660" s="5"/>
        <tr r="AE645" s="5"/>
        <tr r="AF605" s="5"/>
        <tr r="AD655" s="5"/>
        <tr r="AB665" s="5"/>
      </tp>
      <tp t="s">
        <v>#N/A N/A</v>
        <stp/>
        <stp>BDH|317737467733483496</stp>
        <tr r="AE455" s="5"/>
        <tr r="AD465" s="5"/>
        <tr r="AF415" s="5"/>
        <tr r="AC470" s="5"/>
        <tr r="AB475" s="5"/>
      </tp>
      <tp t="s">
        <v>#N/A N/A</v>
        <stp/>
        <stp>BDH|891312343145312309</stp>
        <tr r="U663" s="5"/>
        <tr r="W613" s="5"/>
        <tr r="T668" s="5"/>
        <tr r="V653" s="5"/>
        <tr r="S673" s="5"/>
      </tp>
      <tp t="s">
        <v>#N/A N/A</v>
        <stp/>
        <stp>BDH|810323891132893981</stp>
        <tr r="AF21" s="5"/>
        <tr r="AE61" s="5"/>
        <tr r="AC76" s="5"/>
        <tr r="AD71" s="5"/>
        <tr r="AB81" s="5"/>
      </tp>
      <tp t="s">
        <v>#N/A N/A</v>
        <stp/>
        <stp>BDH|254953878208877709</stp>
        <tr r="V720" s="5"/>
        <tr r="T735" s="5"/>
        <tr r="W680" s="5"/>
        <tr r="U730" s="5"/>
        <tr r="S740" s="5"/>
      </tp>
      <tp t="s">
        <v>#N/A N/A</v>
        <stp/>
        <stp>BDH|716026099101029810</stp>
        <tr r="W95" s="5"/>
        <tr r="T150" s="5"/>
        <tr r="V135" s="5"/>
        <tr r="U145" s="5"/>
        <tr r="S155" s="5"/>
      </tp>
      <tp t="s">
        <v>#N/A N/A</v>
        <stp/>
        <stp>BDH|649185716721505134</stp>
        <tr r="AE52" s="5"/>
        <tr r="AD62" s="5"/>
        <tr r="AC67" s="5"/>
        <tr r="AB72" s="5"/>
      </tp>
      <tp t="s">
        <v>#N/A N/A</v>
        <stp/>
        <stp>BDH|987007683780451866</stp>
        <tr r="V508" s="5"/>
        <tr r="W468" s="5"/>
        <tr r="U518" s="5"/>
        <tr r="T523" s="5"/>
        <tr r="S528" s="5"/>
      </tp>
      <tp t="s">
        <v>#N/A N/A</v>
        <stp/>
        <stp>BDH|678695620995121167</stp>
        <tr r="W421" s="5"/>
        <tr r="T476" s="5"/>
        <tr r="V461" s="5"/>
        <tr r="U471" s="5"/>
        <tr r="S481" s="5"/>
      </tp>
      <tp t="s">
        <v>#N/A N/A</v>
        <stp/>
        <stp>BDH|488679618273616462</stp>
        <tr r="W445" s="5"/>
        <tr r="U495" s="5"/>
        <tr r="V485" s="5"/>
        <tr r="T500" s="5"/>
        <tr r="S505" s="5"/>
      </tp>
      <tp t="s">
        <v>#N/A N/A</v>
        <stp/>
        <stp>BDH|135221034148326958</stp>
        <tr r="AC497" s="5"/>
        <tr r="AD492" s="5"/>
        <tr r="AF442" s="5"/>
        <tr r="AE482" s="5"/>
        <tr r="AB502" s="5"/>
      </tp>
      <tp t="s">
        <v>#N/A N/A</v>
        <stp/>
        <stp>BDH|872487335127476023</stp>
        <tr r="AD695" s="5"/>
        <tr r="AF645" s="5"/>
        <tr r="AC700" s="5"/>
        <tr r="AE685" s="5"/>
        <tr r="AB705" s="5"/>
      </tp>
      <tp t="s">
        <v>#N/A N/A</v>
        <stp/>
        <stp>BDH|622519274272871377</stp>
        <tr r="T26" s="5"/>
        <tr r="U21" s="5"/>
        <tr r="S31" s="5"/>
      </tp>
      <tp t="s">
        <v>#N/A N/A</v>
        <stp/>
        <stp>BDH|458685222852896577</stp>
        <tr r="U299" s="5"/>
        <tr r="T304" s="5"/>
        <tr r="V289" s="5"/>
        <tr r="W249" s="5"/>
        <tr r="S309" s="5"/>
      </tp>
      <tp t="s">
        <v>#N/A N/A</v>
        <stp/>
        <stp>BDH|989349633295214707</stp>
        <tr r="V255" s="5"/>
        <tr r="W215" s="5"/>
        <tr r="T270" s="5"/>
        <tr r="U265" s="5"/>
        <tr r="S275" s="5"/>
      </tp>
      <tp t="s">
        <v>#N/A N/A</v>
        <stp/>
        <stp>BDH|446372534851399369</stp>
        <tr r="AF647" s="5"/>
        <tr r="AE687" s="5"/>
        <tr r="AC702" s="5"/>
        <tr r="AD697" s="5"/>
        <tr r="AB707" s="5"/>
      </tp>
      <tp t="s">
        <v>#N/A N/A</v>
        <stp/>
        <stp>BDH|249024097317395281</stp>
        <tr r="V464" s="5"/>
        <tr r="T479" s="5"/>
        <tr r="W424" s="5"/>
        <tr r="U474" s="5"/>
        <tr r="S484" s="5"/>
      </tp>
      <tp t="s">
        <v>#N/A N/A</v>
        <stp/>
        <stp>BDH|841972831977985199</stp>
        <tr r="V25" s="5"/>
        <tr r="U35" s="5"/>
        <tr r="T40" s="5"/>
        <tr r="S45" s="5"/>
      </tp>
      <tp t="s">
        <v>#N/A N/A</v>
        <stp/>
        <stp>BDH|202221018969755647</stp>
        <tr r="T320" s="5"/>
        <tr r="U315" s="5"/>
        <tr r="V305" s="5"/>
        <tr r="W265" s="5"/>
        <tr r="S325" s="5"/>
      </tp>
      <tp t="s">
        <v>#N/A N/A</v>
        <stp/>
        <stp>BDH|562753139078820025</stp>
        <tr r="AC38" s="5"/>
        <tr r="AD33" s="5"/>
        <tr r="AE23" s="5"/>
        <tr r="AB43" s="5"/>
      </tp>
      <tp t="s">
        <v>#N/A N/A</v>
        <stp/>
        <stp>BDH|964545235733316985</stp>
        <tr r="W184" s="5"/>
        <tr r="V224" s="5"/>
        <tr r="U234" s="5"/>
        <tr r="T239" s="5"/>
        <tr r="S244" s="5"/>
      </tp>
      <tp t="s">
        <v>#N/A N/A</v>
        <stp/>
        <stp>BDH|168488487524347712</stp>
        <tr r="U44" s="5"/>
        <tr r="T49" s="5"/>
        <tr r="V34" s="5"/>
        <tr r="S54" s="5"/>
      </tp>
      <tp t="s">
        <v>#N/A N/A</v>
        <stp/>
        <stp>BDH|132420483015926610</stp>
        <tr r="AD246" s="5"/>
        <tr r="AC251" s="5"/>
        <tr r="AF196" s="5"/>
        <tr r="AE236" s="5"/>
        <tr r="AB256" s="5"/>
      </tp>
      <tp t="s">
        <v>#N/A N/A</v>
        <stp/>
        <stp>BDH|144019495897886170</stp>
        <tr r="AC428" s="5"/>
        <tr r="AF373" s="5"/>
        <tr r="AD423" s="5"/>
        <tr r="AE413" s="5"/>
        <tr r="AB433" s="5"/>
      </tp>
      <tp t="s">
        <v>#N/A N/A</v>
        <stp/>
        <stp>BDH|624325607825717967</stp>
        <tr r="AE25" s="5"/>
        <tr r="AD35" s="5"/>
        <tr r="AC40" s="5"/>
        <tr r="AB45" s="5"/>
      </tp>
      <tp t="s">
        <v>#N/A N/A</v>
        <stp/>
        <stp>BDH|548735487736953703</stp>
        <tr r="W229" s="5"/>
        <tr r="T284" s="5"/>
        <tr r="U279" s="5"/>
        <tr r="V269" s="5"/>
        <tr r="S289" s="5"/>
      </tp>
      <tp t="s">
        <v>#N/A N/A</v>
        <stp/>
        <stp>BDH|223464286942624002</stp>
        <tr r="W504" s="5"/>
        <tr r="V544" s="5"/>
        <tr r="U554" s="5"/>
        <tr r="T559" s="5"/>
        <tr r="S564" s="5"/>
      </tp>
      <tp t="s">
        <v>#N/A N/A</v>
        <stp/>
        <stp>BDH|846638196599989865</stp>
        <tr r="AC351" s="5"/>
        <tr r="AD346" s="5"/>
        <tr r="AF296" s="5"/>
        <tr r="AE336" s="5"/>
        <tr r="AB356" s="5"/>
      </tp>
      <tp t="s">
        <v>#N/A N/A</v>
        <stp/>
        <stp>BDH|958099629032697914</stp>
        <tr r="AF61" s="5"/>
        <tr r="AD111" s="5"/>
        <tr r="AE101" s="5"/>
        <tr r="AC116" s="5"/>
        <tr r="AB121" s="5"/>
      </tp>
      <tp t="s">
        <v>#N/A N/A</v>
        <stp/>
        <stp>BDH|846858757030247412</stp>
        <tr r="U175" s="5"/>
        <tr r="W126" s="5"/>
        <tr r="V165" s="5"/>
        <tr r="T180" s="5"/>
        <tr r="S185" s="5"/>
      </tp>
      <tp t="s">
        <v>#N/A N/A</v>
        <stp/>
        <stp>BDH|227960571304118286</stp>
        <tr r="U763" s="5"/>
        <tr r="W713" s="5"/>
        <tr r="V753" s="5"/>
      </tp>
      <tp t="s">
        <v>#N/A N/A</v>
        <stp/>
        <stp>BDH|848831705946773636</stp>
        <tr r="AC21" s="5"/>
        <tr r="AB26" s="5"/>
      </tp>
      <tp t="s">
        <v>#N/A N/A</v>
        <stp/>
        <stp>BDH|502348987264058722</stp>
        <tr r="AF428" s="5"/>
        <tr r="AD478" s="5"/>
        <tr r="AC483" s="5"/>
        <tr r="AE468" s="5"/>
        <tr r="AB488" s="5"/>
      </tp>
      <tp t="s">
        <v>#N/A N/A</v>
        <stp/>
        <stp>BDH|188261200582150828</stp>
        <tr r="V617" s="5"/>
        <tr r="T632" s="5"/>
        <tr r="U627" s="5"/>
        <tr r="W577" s="5"/>
        <tr r="S637" s="5"/>
      </tp>
      <tp t="s">
        <v>#N/A N/A</v>
        <stp/>
        <stp>BDH|309533421068592739</stp>
        <tr r="W391" s="5"/>
        <tr r="V431" s="5"/>
        <tr r="T446" s="5"/>
        <tr r="U441" s="5"/>
        <tr r="S451" s="5"/>
      </tp>
      <tp t="s">
        <v>#N/A N/A</v>
        <stp/>
        <stp>BDH|481416569780284944</stp>
        <tr r="U421" s="5"/>
        <tr r="V411" s="5"/>
        <tr r="T426" s="5"/>
        <tr r="W371" s="5"/>
        <tr r="S431" s="5"/>
      </tp>
      <tp t="s">
        <v>#N/A N/A</v>
        <stp/>
        <stp>BDH|404699890741415599</stp>
        <tr r="V436" s="5"/>
        <tr r="U446" s="5"/>
        <tr r="W396" s="5"/>
        <tr r="T451" s="5"/>
        <tr r="S456" s="5"/>
      </tp>
      <tp t="s">
        <v>#N/A N/A</v>
        <stp/>
        <stp>BDH|196741510269574432</stp>
        <tr r="W312" s="5"/>
        <tr r="T367" s="5"/>
        <tr r="U362" s="5"/>
        <tr r="V352" s="5"/>
        <tr r="S372" s="5"/>
      </tp>
      <tp t="s">
        <v>#N/A N/A</v>
        <stp/>
        <stp>BDH|144728880005337048</stp>
        <tr r="AF29" s="5"/>
        <tr r="AC84" s="5"/>
        <tr r="AD79" s="5"/>
        <tr r="AE69" s="5"/>
        <tr r="AB89" s="5"/>
      </tp>
      <tp t="s">
        <v>#N/A N/A</v>
        <stp/>
        <stp>BDH|259341446278722515</stp>
        <tr r="T115" s="5"/>
        <tr r="W60" s="5"/>
        <tr r="V100" s="5"/>
        <tr r="U110" s="5"/>
        <tr r="S120" s="5"/>
      </tp>
      <tp t="s">
        <v>#N/A N/A</v>
        <stp/>
        <stp>BDH|728559296933122547</stp>
        <tr r="T107" s="5"/>
        <tr r="V92" s="5"/>
        <tr r="U102" s="5"/>
        <tr r="W52" s="5"/>
        <tr r="S112" s="5"/>
      </tp>
      <tp t="s">
        <v>#N/A N/A</v>
        <stp/>
        <stp>BDH|793407474139380026</stp>
        <tr r="AD37" s="5"/>
        <tr r="AE27" s="5"/>
        <tr r="AC42" s="5"/>
        <tr r="AB47" s="5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volatileDependencies" Target="volatileDependencies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Performance vs. Beta Trailing 12 Week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CRH!$D$21:$D$773</c:f>
              <c:numCache>
                <c:formatCode>m/d/yyyy</c:formatCode>
                <c:ptCount val="753"/>
                <c:pt idx="0">
                  <c:v>46044</c:v>
                </c:pt>
                <c:pt idx="1">
                  <c:v>46043</c:v>
                </c:pt>
                <c:pt idx="2">
                  <c:v>46042</c:v>
                </c:pt>
                <c:pt idx="3">
                  <c:v>46038</c:v>
                </c:pt>
                <c:pt idx="4">
                  <c:v>46037</c:v>
                </c:pt>
                <c:pt idx="5">
                  <c:v>46036</c:v>
                </c:pt>
                <c:pt idx="6">
                  <c:v>46035</c:v>
                </c:pt>
                <c:pt idx="7">
                  <c:v>46034</c:v>
                </c:pt>
                <c:pt idx="8">
                  <c:v>46031</c:v>
                </c:pt>
                <c:pt idx="9">
                  <c:v>46030</c:v>
                </c:pt>
                <c:pt idx="10">
                  <c:v>46029</c:v>
                </c:pt>
                <c:pt idx="11">
                  <c:v>46028</c:v>
                </c:pt>
                <c:pt idx="12">
                  <c:v>46027</c:v>
                </c:pt>
                <c:pt idx="13">
                  <c:v>46024</c:v>
                </c:pt>
                <c:pt idx="14">
                  <c:v>46022</c:v>
                </c:pt>
                <c:pt idx="15">
                  <c:v>46021</c:v>
                </c:pt>
                <c:pt idx="16">
                  <c:v>46020</c:v>
                </c:pt>
                <c:pt idx="17">
                  <c:v>46017</c:v>
                </c:pt>
                <c:pt idx="18">
                  <c:v>46015</c:v>
                </c:pt>
                <c:pt idx="19">
                  <c:v>46014</c:v>
                </c:pt>
                <c:pt idx="20">
                  <c:v>46013</c:v>
                </c:pt>
                <c:pt idx="21">
                  <c:v>46010</c:v>
                </c:pt>
                <c:pt idx="22">
                  <c:v>46009</c:v>
                </c:pt>
                <c:pt idx="23">
                  <c:v>46008</c:v>
                </c:pt>
                <c:pt idx="24">
                  <c:v>46007</c:v>
                </c:pt>
                <c:pt idx="25">
                  <c:v>46006</c:v>
                </c:pt>
                <c:pt idx="26">
                  <c:v>46003</c:v>
                </c:pt>
                <c:pt idx="27">
                  <c:v>46002</c:v>
                </c:pt>
                <c:pt idx="28">
                  <c:v>46001</c:v>
                </c:pt>
                <c:pt idx="29">
                  <c:v>46000</c:v>
                </c:pt>
                <c:pt idx="30">
                  <c:v>45999</c:v>
                </c:pt>
                <c:pt idx="31">
                  <c:v>45996</c:v>
                </c:pt>
                <c:pt idx="32">
                  <c:v>45995</c:v>
                </c:pt>
                <c:pt idx="33">
                  <c:v>45994</c:v>
                </c:pt>
                <c:pt idx="34">
                  <c:v>45993</c:v>
                </c:pt>
                <c:pt idx="35">
                  <c:v>45992</c:v>
                </c:pt>
                <c:pt idx="36">
                  <c:v>45989</c:v>
                </c:pt>
                <c:pt idx="37">
                  <c:v>45987</c:v>
                </c:pt>
                <c:pt idx="38">
                  <c:v>45986</c:v>
                </c:pt>
                <c:pt idx="39">
                  <c:v>45985</c:v>
                </c:pt>
                <c:pt idx="40">
                  <c:v>45982</c:v>
                </c:pt>
                <c:pt idx="41">
                  <c:v>45981</c:v>
                </c:pt>
                <c:pt idx="42">
                  <c:v>45980</c:v>
                </c:pt>
                <c:pt idx="43">
                  <c:v>45979</c:v>
                </c:pt>
                <c:pt idx="44">
                  <c:v>45978</c:v>
                </c:pt>
                <c:pt idx="45">
                  <c:v>45975</c:v>
                </c:pt>
                <c:pt idx="46">
                  <c:v>45974</c:v>
                </c:pt>
                <c:pt idx="47">
                  <c:v>45973</c:v>
                </c:pt>
                <c:pt idx="48">
                  <c:v>45972</c:v>
                </c:pt>
                <c:pt idx="49">
                  <c:v>45971</c:v>
                </c:pt>
                <c:pt idx="50">
                  <c:v>45968</c:v>
                </c:pt>
                <c:pt idx="51">
                  <c:v>45967</c:v>
                </c:pt>
                <c:pt idx="52">
                  <c:v>45966</c:v>
                </c:pt>
                <c:pt idx="53">
                  <c:v>45965</c:v>
                </c:pt>
                <c:pt idx="54">
                  <c:v>45964</c:v>
                </c:pt>
                <c:pt idx="55">
                  <c:v>45961</c:v>
                </c:pt>
                <c:pt idx="56">
                  <c:v>45960</c:v>
                </c:pt>
                <c:pt idx="57">
                  <c:v>45959</c:v>
                </c:pt>
                <c:pt idx="58">
                  <c:v>45958</c:v>
                </c:pt>
                <c:pt idx="59">
                  <c:v>45957</c:v>
                </c:pt>
                <c:pt idx="60">
                  <c:v>45954</c:v>
                </c:pt>
                <c:pt idx="61">
                  <c:v>45953</c:v>
                </c:pt>
                <c:pt idx="62">
                  <c:v>45952</c:v>
                </c:pt>
                <c:pt idx="63">
                  <c:v>45951</c:v>
                </c:pt>
                <c:pt idx="64">
                  <c:v>45950</c:v>
                </c:pt>
                <c:pt idx="65">
                  <c:v>45947</c:v>
                </c:pt>
                <c:pt idx="66">
                  <c:v>45946</c:v>
                </c:pt>
                <c:pt idx="67">
                  <c:v>45945</c:v>
                </c:pt>
                <c:pt idx="68">
                  <c:v>45944</c:v>
                </c:pt>
                <c:pt idx="69">
                  <c:v>45943</c:v>
                </c:pt>
                <c:pt idx="70">
                  <c:v>45940</c:v>
                </c:pt>
                <c:pt idx="71">
                  <c:v>45939</c:v>
                </c:pt>
                <c:pt idx="72">
                  <c:v>45938</c:v>
                </c:pt>
                <c:pt idx="73">
                  <c:v>45937</c:v>
                </c:pt>
                <c:pt idx="74">
                  <c:v>45936</c:v>
                </c:pt>
                <c:pt idx="75">
                  <c:v>45933</c:v>
                </c:pt>
                <c:pt idx="76">
                  <c:v>45932</c:v>
                </c:pt>
                <c:pt idx="77">
                  <c:v>45931</c:v>
                </c:pt>
                <c:pt idx="78">
                  <c:v>45930</c:v>
                </c:pt>
                <c:pt idx="79">
                  <c:v>45929</c:v>
                </c:pt>
                <c:pt idx="80">
                  <c:v>45926</c:v>
                </c:pt>
                <c:pt idx="81">
                  <c:v>45925</c:v>
                </c:pt>
                <c:pt idx="82">
                  <c:v>45924</c:v>
                </c:pt>
                <c:pt idx="83">
                  <c:v>45923</c:v>
                </c:pt>
                <c:pt idx="84">
                  <c:v>45922</c:v>
                </c:pt>
                <c:pt idx="85">
                  <c:v>45919</c:v>
                </c:pt>
                <c:pt idx="86">
                  <c:v>45918</c:v>
                </c:pt>
                <c:pt idx="87">
                  <c:v>45917</c:v>
                </c:pt>
                <c:pt idx="88">
                  <c:v>45916</c:v>
                </c:pt>
                <c:pt idx="89">
                  <c:v>45915</c:v>
                </c:pt>
                <c:pt idx="90">
                  <c:v>45912</c:v>
                </c:pt>
                <c:pt idx="91">
                  <c:v>45911</c:v>
                </c:pt>
                <c:pt idx="92">
                  <c:v>45910</c:v>
                </c:pt>
                <c:pt idx="93">
                  <c:v>45909</c:v>
                </c:pt>
                <c:pt idx="94">
                  <c:v>45908</c:v>
                </c:pt>
                <c:pt idx="95">
                  <c:v>45905</c:v>
                </c:pt>
                <c:pt idx="96">
                  <c:v>45904</c:v>
                </c:pt>
                <c:pt idx="97">
                  <c:v>45903</c:v>
                </c:pt>
                <c:pt idx="98">
                  <c:v>45902</c:v>
                </c:pt>
                <c:pt idx="99">
                  <c:v>45898</c:v>
                </c:pt>
                <c:pt idx="100">
                  <c:v>45897</c:v>
                </c:pt>
                <c:pt idx="101">
                  <c:v>45896</c:v>
                </c:pt>
                <c:pt idx="102">
                  <c:v>45895</c:v>
                </c:pt>
                <c:pt idx="103">
                  <c:v>45894</c:v>
                </c:pt>
                <c:pt idx="104">
                  <c:v>45891</c:v>
                </c:pt>
                <c:pt idx="105">
                  <c:v>45890</c:v>
                </c:pt>
                <c:pt idx="106">
                  <c:v>45889</c:v>
                </c:pt>
                <c:pt idx="107">
                  <c:v>45888</c:v>
                </c:pt>
                <c:pt idx="108">
                  <c:v>45887</c:v>
                </c:pt>
                <c:pt idx="109">
                  <c:v>45884</c:v>
                </c:pt>
                <c:pt idx="110">
                  <c:v>45883</c:v>
                </c:pt>
                <c:pt idx="111">
                  <c:v>45882</c:v>
                </c:pt>
                <c:pt idx="112">
                  <c:v>45881</c:v>
                </c:pt>
                <c:pt idx="113">
                  <c:v>45880</c:v>
                </c:pt>
                <c:pt idx="114">
                  <c:v>45877</c:v>
                </c:pt>
                <c:pt idx="115">
                  <c:v>45876</c:v>
                </c:pt>
                <c:pt idx="116">
                  <c:v>45875</c:v>
                </c:pt>
                <c:pt idx="117">
                  <c:v>45874</c:v>
                </c:pt>
                <c:pt idx="118">
                  <c:v>45873</c:v>
                </c:pt>
                <c:pt idx="119">
                  <c:v>45870</c:v>
                </c:pt>
                <c:pt idx="120">
                  <c:v>45869</c:v>
                </c:pt>
                <c:pt idx="121">
                  <c:v>45868</c:v>
                </c:pt>
                <c:pt idx="122">
                  <c:v>45867</c:v>
                </c:pt>
                <c:pt idx="123">
                  <c:v>45866</c:v>
                </c:pt>
                <c:pt idx="124">
                  <c:v>45863</c:v>
                </c:pt>
                <c:pt idx="125">
                  <c:v>45862</c:v>
                </c:pt>
                <c:pt idx="126">
                  <c:v>45861</c:v>
                </c:pt>
                <c:pt idx="127">
                  <c:v>45860</c:v>
                </c:pt>
                <c:pt idx="128">
                  <c:v>45859</c:v>
                </c:pt>
                <c:pt idx="129">
                  <c:v>45856</c:v>
                </c:pt>
                <c:pt idx="130">
                  <c:v>45855</c:v>
                </c:pt>
                <c:pt idx="131">
                  <c:v>45854</c:v>
                </c:pt>
                <c:pt idx="132">
                  <c:v>45853</c:v>
                </c:pt>
                <c:pt idx="133">
                  <c:v>45852</c:v>
                </c:pt>
                <c:pt idx="134">
                  <c:v>45849</c:v>
                </c:pt>
                <c:pt idx="135">
                  <c:v>45848</c:v>
                </c:pt>
                <c:pt idx="136">
                  <c:v>45847</c:v>
                </c:pt>
                <c:pt idx="137">
                  <c:v>45846</c:v>
                </c:pt>
                <c:pt idx="138">
                  <c:v>45845</c:v>
                </c:pt>
                <c:pt idx="139">
                  <c:v>45841</c:v>
                </c:pt>
                <c:pt idx="140">
                  <c:v>45840</c:v>
                </c:pt>
                <c:pt idx="141">
                  <c:v>45839</c:v>
                </c:pt>
                <c:pt idx="142">
                  <c:v>45838</c:v>
                </c:pt>
                <c:pt idx="143">
                  <c:v>45835</c:v>
                </c:pt>
                <c:pt idx="144">
                  <c:v>45834</c:v>
                </c:pt>
                <c:pt idx="145">
                  <c:v>45833</c:v>
                </c:pt>
                <c:pt idx="146">
                  <c:v>45832</c:v>
                </c:pt>
                <c:pt idx="147">
                  <c:v>45831</c:v>
                </c:pt>
                <c:pt idx="148">
                  <c:v>45828</c:v>
                </c:pt>
                <c:pt idx="149">
                  <c:v>45826</c:v>
                </c:pt>
                <c:pt idx="150">
                  <c:v>45825</c:v>
                </c:pt>
                <c:pt idx="151">
                  <c:v>45824</c:v>
                </c:pt>
                <c:pt idx="152">
                  <c:v>45821</c:v>
                </c:pt>
                <c:pt idx="153">
                  <c:v>45820</c:v>
                </c:pt>
                <c:pt idx="154">
                  <c:v>45819</c:v>
                </c:pt>
                <c:pt idx="155">
                  <c:v>45818</c:v>
                </c:pt>
                <c:pt idx="156">
                  <c:v>45817</c:v>
                </c:pt>
                <c:pt idx="157">
                  <c:v>45814</c:v>
                </c:pt>
                <c:pt idx="158">
                  <c:v>45813</c:v>
                </c:pt>
                <c:pt idx="159">
                  <c:v>45812</c:v>
                </c:pt>
                <c:pt idx="160">
                  <c:v>45811</c:v>
                </c:pt>
                <c:pt idx="161">
                  <c:v>45810</c:v>
                </c:pt>
                <c:pt idx="162">
                  <c:v>45807</c:v>
                </c:pt>
                <c:pt idx="163">
                  <c:v>45806</c:v>
                </c:pt>
                <c:pt idx="164">
                  <c:v>45805</c:v>
                </c:pt>
                <c:pt idx="165">
                  <c:v>45804</c:v>
                </c:pt>
                <c:pt idx="166">
                  <c:v>45800</c:v>
                </c:pt>
                <c:pt idx="167">
                  <c:v>45799</c:v>
                </c:pt>
                <c:pt idx="168">
                  <c:v>45798</c:v>
                </c:pt>
                <c:pt idx="169">
                  <c:v>45797</c:v>
                </c:pt>
                <c:pt idx="170">
                  <c:v>45796</c:v>
                </c:pt>
                <c:pt idx="171">
                  <c:v>45793</c:v>
                </c:pt>
                <c:pt idx="172">
                  <c:v>45792</c:v>
                </c:pt>
                <c:pt idx="173">
                  <c:v>45791</c:v>
                </c:pt>
                <c:pt idx="174">
                  <c:v>45790</c:v>
                </c:pt>
                <c:pt idx="175">
                  <c:v>45789</c:v>
                </c:pt>
                <c:pt idx="176">
                  <c:v>45786</c:v>
                </c:pt>
                <c:pt idx="177">
                  <c:v>45785</c:v>
                </c:pt>
                <c:pt idx="178">
                  <c:v>45784</c:v>
                </c:pt>
                <c:pt idx="179">
                  <c:v>45783</c:v>
                </c:pt>
                <c:pt idx="180">
                  <c:v>45782</c:v>
                </c:pt>
                <c:pt idx="181">
                  <c:v>45779</c:v>
                </c:pt>
                <c:pt idx="182">
                  <c:v>45778</c:v>
                </c:pt>
                <c:pt idx="183">
                  <c:v>45777</c:v>
                </c:pt>
                <c:pt idx="184">
                  <c:v>45776</c:v>
                </c:pt>
                <c:pt idx="185">
                  <c:v>45775</c:v>
                </c:pt>
                <c:pt idx="186">
                  <c:v>45772</c:v>
                </c:pt>
                <c:pt idx="187">
                  <c:v>45771</c:v>
                </c:pt>
                <c:pt idx="188">
                  <c:v>45770</c:v>
                </c:pt>
                <c:pt idx="189">
                  <c:v>45769</c:v>
                </c:pt>
                <c:pt idx="190">
                  <c:v>45768</c:v>
                </c:pt>
                <c:pt idx="191">
                  <c:v>45764</c:v>
                </c:pt>
                <c:pt idx="192">
                  <c:v>45763</c:v>
                </c:pt>
                <c:pt idx="193">
                  <c:v>45762</c:v>
                </c:pt>
                <c:pt idx="194">
                  <c:v>45761</c:v>
                </c:pt>
                <c:pt idx="195">
                  <c:v>45758</c:v>
                </c:pt>
                <c:pt idx="196">
                  <c:v>45757</c:v>
                </c:pt>
                <c:pt idx="197">
                  <c:v>45756</c:v>
                </c:pt>
                <c:pt idx="198">
                  <c:v>45755</c:v>
                </c:pt>
                <c:pt idx="199">
                  <c:v>45754</c:v>
                </c:pt>
                <c:pt idx="200">
                  <c:v>45751</c:v>
                </c:pt>
                <c:pt idx="201">
                  <c:v>45750</c:v>
                </c:pt>
                <c:pt idx="202">
                  <c:v>45749</c:v>
                </c:pt>
                <c:pt idx="203">
                  <c:v>45748</c:v>
                </c:pt>
                <c:pt idx="204">
                  <c:v>45747</c:v>
                </c:pt>
                <c:pt idx="205">
                  <c:v>45744</c:v>
                </c:pt>
                <c:pt idx="206">
                  <c:v>45743</c:v>
                </c:pt>
                <c:pt idx="207">
                  <c:v>45742</c:v>
                </c:pt>
                <c:pt idx="208">
                  <c:v>45741</c:v>
                </c:pt>
                <c:pt idx="209">
                  <c:v>45740</c:v>
                </c:pt>
                <c:pt idx="210">
                  <c:v>45737</c:v>
                </c:pt>
                <c:pt idx="211">
                  <c:v>45736</c:v>
                </c:pt>
                <c:pt idx="212">
                  <c:v>45735</c:v>
                </c:pt>
                <c:pt idx="213">
                  <c:v>45734</c:v>
                </c:pt>
                <c:pt idx="214">
                  <c:v>45733</c:v>
                </c:pt>
                <c:pt idx="215">
                  <c:v>45730</c:v>
                </c:pt>
                <c:pt idx="216">
                  <c:v>45729</c:v>
                </c:pt>
                <c:pt idx="217">
                  <c:v>45728</c:v>
                </c:pt>
                <c:pt idx="218">
                  <c:v>45727</c:v>
                </c:pt>
                <c:pt idx="219">
                  <c:v>45726</c:v>
                </c:pt>
                <c:pt idx="220">
                  <c:v>45723</c:v>
                </c:pt>
                <c:pt idx="221">
                  <c:v>45722</c:v>
                </c:pt>
                <c:pt idx="222">
                  <c:v>45721</c:v>
                </c:pt>
                <c:pt idx="223">
                  <c:v>45720</c:v>
                </c:pt>
                <c:pt idx="224">
                  <c:v>45719</c:v>
                </c:pt>
                <c:pt idx="225">
                  <c:v>45716</c:v>
                </c:pt>
                <c:pt idx="226">
                  <c:v>45715</c:v>
                </c:pt>
                <c:pt idx="227">
                  <c:v>45714</c:v>
                </c:pt>
                <c:pt idx="228">
                  <c:v>45713</c:v>
                </c:pt>
                <c:pt idx="229">
                  <c:v>45712</c:v>
                </c:pt>
                <c:pt idx="230">
                  <c:v>45709</c:v>
                </c:pt>
                <c:pt idx="231">
                  <c:v>45708</c:v>
                </c:pt>
                <c:pt idx="232">
                  <c:v>45707</c:v>
                </c:pt>
                <c:pt idx="233">
                  <c:v>45706</c:v>
                </c:pt>
                <c:pt idx="234">
                  <c:v>45702</c:v>
                </c:pt>
                <c:pt idx="235">
                  <c:v>45701</c:v>
                </c:pt>
                <c:pt idx="236">
                  <c:v>45700</c:v>
                </c:pt>
                <c:pt idx="237">
                  <c:v>45699</c:v>
                </c:pt>
                <c:pt idx="238">
                  <c:v>45698</c:v>
                </c:pt>
                <c:pt idx="239">
                  <c:v>45695</c:v>
                </c:pt>
                <c:pt idx="240">
                  <c:v>45694</c:v>
                </c:pt>
                <c:pt idx="241">
                  <c:v>45693</c:v>
                </c:pt>
                <c:pt idx="242">
                  <c:v>45692</c:v>
                </c:pt>
                <c:pt idx="243">
                  <c:v>45691</c:v>
                </c:pt>
                <c:pt idx="244">
                  <c:v>45688</c:v>
                </c:pt>
                <c:pt idx="245">
                  <c:v>45687</c:v>
                </c:pt>
                <c:pt idx="246">
                  <c:v>45686</c:v>
                </c:pt>
                <c:pt idx="247">
                  <c:v>45685</c:v>
                </c:pt>
                <c:pt idx="248">
                  <c:v>45684</c:v>
                </c:pt>
                <c:pt idx="249">
                  <c:v>45681</c:v>
                </c:pt>
                <c:pt idx="250">
                  <c:v>45680</c:v>
                </c:pt>
                <c:pt idx="251">
                  <c:v>45679</c:v>
                </c:pt>
                <c:pt idx="252">
                  <c:v>45678</c:v>
                </c:pt>
                <c:pt idx="253">
                  <c:v>45674</c:v>
                </c:pt>
                <c:pt idx="254">
                  <c:v>45673</c:v>
                </c:pt>
                <c:pt idx="255">
                  <c:v>45672</c:v>
                </c:pt>
                <c:pt idx="256">
                  <c:v>45671</c:v>
                </c:pt>
                <c:pt idx="257">
                  <c:v>45670</c:v>
                </c:pt>
                <c:pt idx="258">
                  <c:v>45667</c:v>
                </c:pt>
                <c:pt idx="259">
                  <c:v>45665</c:v>
                </c:pt>
                <c:pt idx="260">
                  <c:v>45664</c:v>
                </c:pt>
                <c:pt idx="261">
                  <c:v>45663</c:v>
                </c:pt>
                <c:pt idx="262">
                  <c:v>45660</c:v>
                </c:pt>
                <c:pt idx="263">
                  <c:v>45659</c:v>
                </c:pt>
                <c:pt idx="264">
                  <c:v>45657</c:v>
                </c:pt>
                <c:pt idx="265">
                  <c:v>45656</c:v>
                </c:pt>
                <c:pt idx="266">
                  <c:v>45653</c:v>
                </c:pt>
                <c:pt idx="267">
                  <c:v>45652</c:v>
                </c:pt>
                <c:pt idx="268">
                  <c:v>45650</c:v>
                </c:pt>
                <c:pt idx="269">
                  <c:v>45649</c:v>
                </c:pt>
                <c:pt idx="270">
                  <c:v>45646</c:v>
                </c:pt>
                <c:pt idx="271">
                  <c:v>45645</c:v>
                </c:pt>
                <c:pt idx="272">
                  <c:v>45644</c:v>
                </c:pt>
                <c:pt idx="273">
                  <c:v>45643</c:v>
                </c:pt>
                <c:pt idx="274">
                  <c:v>45642</c:v>
                </c:pt>
                <c:pt idx="275">
                  <c:v>45639</c:v>
                </c:pt>
                <c:pt idx="276">
                  <c:v>45638</c:v>
                </c:pt>
                <c:pt idx="277">
                  <c:v>45637</c:v>
                </c:pt>
                <c:pt idx="278">
                  <c:v>45636</c:v>
                </c:pt>
                <c:pt idx="279">
                  <c:v>45635</c:v>
                </c:pt>
                <c:pt idx="280">
                  <c:v>45632</c:v>
                </c:pt>
                <c:pt idx="281">
                  <c:v>45631</c:v>
                </c:pt>
                <c:pt idx="282">
                  <c:v>45630</c:v>
                </c:pt>
                <c:pt idx="283">
                  <c:v>45629</c:v>
                </c:pt>
                <c:pt idx="284">
                  <c:v>45628</c:v>
                </c:pt>
                <c:pt idx="285">
                  <c:v>45625</c:v>
                </c:pt>
                <c:pt idx="286">
                  <c:v>45623</c:v>
                </c:pt>
                <c:pt idx="287">
                  <c:v>45622</c:v>
                </c:pt>
                <c:pt idx="288">
                  <c:v>45621</c:v>
                </c:pt>
                <c:pt idx="289">
                  <c:v>45618</c:v>
                </c:pt>
                <c:pt idx="290">
                  <c:v>45617</c:v>
                </c:pt>
                <c:pt idx="291">
                  <c:v>45616</c:v>
                </c:pt>
                <c:pt idx="292">
                  <c:v>45615</c:v>
                </c:pt>
                <c:pt idx="293">
                  <c:v>45614</c:v>
                </c:pt>
                <c:pt idx="294">
                  <c:v>45611</c:v>
                </c:pt>
                <c:pt idx="295">
                  <c:v>45610</c:v>
                </c:pt>
                <c:pt idx="296">
                  <c:v>45609</c:v>
                </c:pt>
                <c:pt idx="297">
                  <c:v>45608</c:v>
                </c:pt>
                <c:pt idx="298">
                  <c:v>45607</c:v>
                </c:pt>
                <c:pt idx="299">
                  <c:v>45604</c:v>
                </c:pt>
                <c:pt idx="300">
                  <c:v>45603</c:v>
                </c:pt>
                <c:pt idx="301">
                  <c:v>45602</c:v>
                </c:pt>
                <c:pt idx="302">
                  <c:v>45601</c:v>
                </c:pt>
                <c:pt idx="303">
                  <c:v>45600</c:v>
                </c:pt>
                <c:pt idx="304">
                  <c:v>45597</c:v>
                </c:pt>
                <c:pt idx="305">
                  <c:v>45596</c:v>
                </c:pt>
                <c:pt idx="306">
                  <c:v>45595</c:v>
                </c:pt>
                <c:pt idx="307">
                  <c:v>45594</c:v>
                </c:pt>
                <c:pt idx="308">
                  <c:v>45593</c:v>
                </c:pt>
                <c:pt idx="309">
                  <c:v>45590</c:v>
                </c:pt>
                <c:pt idx="310">
                  <c:v>45589</c:v>
                </c:pt>
                <c:pt idx="311">
                  <c:v>45588</c:v>
                </c:pt>
                <c:pt idx="312">
                  <c:v>45587</c:v>
                </c:pt>
                <c:pt idx="313">
                  <c:v>45586</c:v>
                </c:pt>
                <c:pt idx="314">
                  <c:v>45583</c:v>
                </c:pt>
                <c:pt idx="315">
                  <c:v>45582</c:v>
                </c:pt>
                <c:pt idx="316">
                  <c:v>45581</c:v>
                </c:pt>
                <c:pt idx="317">
                  <c:v>45580</c:v>
                </c:pt>
                <c:pt idx="318">
                  <c:v>45579</c:v>
                </c:pt>
                <c:pt idx="319">
                  <c:v>45576</c:v>
                </c:pt>
                <c:pt idx="320">
                  <c:v>45575</c:v>
                </c:pt>
                <c:pt idx="321">
                  <c:v>45574</c:v>
                </c:pt>
                <c:pt idx="322">
                  <c:v>45573</c:v>
                </c:pt>
                <c:pt idx="323">
                  <c:v>45572</c:v>
                </c:pt>
                <c:pt idx="324">
                  <c:v>45569</c:v>
                </c:pt>
                <c:pt idx="325">
                  <c:v>45568</c:v>
                </c:pt>
                <c:pt idx="326">
                  <c:v>45567</c:v>
                </c:pt>
                <c:pt idx="327">
                  <c:v>45566</c:v>
                </c:pt>
                <c:pt idx="328">
                  <c:v>45565</c:v>
                </c:pt>
                <c:pt idx="329">
                  <c:v>45562</c:v>
                </c:pt>
                <c:pt idx="330">
                  <c:v>45561</c:v>
                </c:pt>
                <c:pt idx="331">
                  <c:v>45560</c:v>
                </c:pt>
                <c:pt idx="332">
                  <c:v>45559</c:v>
                </c:pt>
                <c:pt idx="333">
                  <c:v>45558</c:v>
                </c:pt>
                <c:pt idx="334">
                  <c:v>45555</c:v>
                </c:pt>
                <c:pt idx="335">
                  <c:v>45554</c:v>
                </c:pt>
                <c:pt idx="336">
                  <c:v>45553</c:v>
                </c:pt>
                <c:pt idx="337">
                  <c:v>45552</c:v>
                </c:pt>
                <c:pt idx="338">
                  <c:v>45551</c:v>
                </c:pt>
                <c:pt idx="339">
                  <c:v>45548</c:v>
                </c:pt>
                <c:pt idx="340">
                  <c:v>45547</c:v>
                </c:pt>
                <c:pt idx="341">
                  <c:v>45546</c:v>
                </c:pt>
                <c:pt idx="342">
                  <c:v>45545</c:v>
                </c:pt>
                <c:pt idx="343">
                  <c:v>45544</c:v>
                </c:pt>
                <c:pt idx="344">
                  <c:v>45541</c:v>
                </c:pt>
                <c:pt idx="345">
                  <c:v>45540</c:v>
                </c:pt>
                <c:pt idx="346">
                  <c:v>45539</c:v>
                </c:pt>
                <c:pt idx="347">
                  <c:v>45538</c:v>
                </c:pt>
                <c:pt idx="348">
                  <c:v>45534</c:v>
                </c:pt>
                <c:pt idx="349">
                  <c:v>45533</c:v>
                </c:pt>
                <c:pt idx="350">
                  <c:v>45532</c:v>
                </c:pt>
                <c:pt idx="351">
                  <c:v>45531</c:v>
                </c:pt>
                <c:pt idx="352">
                  <c:v>45530</c:v>
                </c:pt>
                <c:pt idx="353">
                  <c:v>45527</c:v>
                </c:pt>
                <c:pt idx="354">
                  <c:v>45526</c:v>
                </c:pt>
                <c:pt idx="355">
                  <c:v>45525</c:v>
                </c:pt>
                <c:pt idx="356">
                  <c:v>45524</c:v>
                </c:pt>
                <c:pt idx="357">
                  <c:v>45523</c:v>
                </c:pt>
                <c:pt idx="358">
                  <c:v>45520</c:v>
                </c:pt>
                <c:pt idx="359">
                  <c:v>45519</c:v>
                </c:pt>
                <c:pt idx="360">
                  <c:v>45518</c:v>
                </c:pt>
                <c:pt idx="361">
                  <c:v>45517</c:v>
                </c:pt>
                <c:pt idx="362">
                  <c:v>45516</c:v>
                </c:pt>
                <c:pt idx="363">
                  <c:v>45513</c:v>
                </c:pt>
                <c:pt idx="364">
                  <c:v>45512</c:v>
                </c:pt>
                <c:pt idx="365">
                  <c:v>45511</c:v>
                </c:pt>
                <c:pt idx="366">
                  <c:v>45510</c:v>
                </c:pt>
                <c:pt idx="367">
                  <c:v>45509</c:v>
                </c:pt>
                <c:pt idx="368">
                  <c:v>45506</c:v>
                </c:pt>
                <c:pt idx="369">
                  <c:v>45505</c:v>
                </c:pt>
                <c:pt idx="370">
                  <c:v>45504</c:v>
                </c:pt>
                <c:pt idx="371">
                  <c:v>45503</c:v>
                </c:pt>
                <c:pt idx="372">
                  <c:v>45502</c:v>
                </c:pt>
                <c:pt idx="373">
                  <c:v>45499</c:v>
                </c:pt>
                <c:pt idx="374">
                  <c:v>45498</c:v>
                </c:pt>
                <c:pt idx="375">
                  <c:v>45497</c:v>
                </c:pt>
                <c:pt idx="376">
                  <c:v>45496</c:v>
                </c:pt>
                <c:pt idx="377">
                  <c:v>45495</c:v>
                </c:pt>
                <c:pt idx="378">
                  <c:v>45492</c:v>
                </c:pt>
                <c:pt idx="379">
                  <c:v>45491</c:v>
                </c:pt>
                <c:pt idx="380">
                  <c:v>45490</c:v>
                </c:pt>
                <c:pt idx="381">
                  <c:v>45489</c:v>
                </c:pt>
                <c:pt idx="382">
                  <c:v>45488</c:v>
                </c:pt>
                <c:pt idx="383">
                  <c:v>45485</c:v>
                </c:pt>
                <c:pt idx="384">
                  <c:v>45484</c:v>
                </c:pt>
                <c:pt idx="385">
                  <c:v>45483</c:v>
                </c:pt>
                <c:pt idx="386">
                  <c:v>45482</c:v>
                </c:pt>
                <c:pt idx="387">
                  <c:v>45481</c:v>
                </c:pt>
                <c:pt idx="388">
                  <c:v>45478</c:v>
                </c:pt>
                <c:pt idx="389">
                  <c:v>45476</c:v>
                </c:pt>
                <c:pt idx="390">
                  <c:v>45475</c:v>
                </c:pt>
                <c:pt idx="391">
                  <c:v>45474</c:v>
                </c:pt>
                <c:pt idx="392">
                  <c:v>45471</c:v>
                </c:pt>
                <c:pt idx="393">
                  <c:v>45470</c:v>
                </c:pt>
                <c:pt idx="394">
                  <c:v>45469</c:v>
                </c:pt>
                <c:pt idx="395">
                  <c:v>45468</c:v>
                </c:pt>
                <c:pt idx="396">
                  <c:v>45467</c:v>
                </c:pt>
                <c:pt idx="397">
                  <c:v>45464</c:v>
                </c:pt>
                <c:pt idx="398">
                  <c:v>45463</c:v>
                </c:pt>
                <c:pt idx="399">
                  <c:v>45461</c:v>
                </c:pt>
                <c:pt idx="400">
                  <c:v>45460</c:v>
                </c:pt>
                <c:pt idx="401">
                  <c:v>45457</c:v>
                </c:pt>
                <c:pt idx="402">
                  <c:v>45456</c:v>
                </c:pt>
                <c:pt idx="403">
                  <c:v>45455</c:v>
                </c:pt>
                <c:pt idx="404">
                  <c:v>45454</c:v>
                </c:pt>
                <c:pt idx="405">
                  <c:v>45453</c:v>
                </c:pt>
                <c:pt idx="406">
                  <c:v>45450</c:v>
                </c:pt>
                <c:pt idx="407">
                  <c:v>45449</c:v>
                </c:pt>
                <c:pt idx="408">
                  <c:v>45448</c:v>
                </c:pt>
                <c:pt idx="409">
                  <c:v>45447</c:v>
                </c:pt>
                <c:pt idx="410">
                  <c:v>45446</c:v>
                </c:pt>
                <c:pt idx="411">
                  <c:v>45443</c:v>
                </c:pt>
                <c:pt idx="412">
                  <c:v>45442</c:v>
                </c:pt>
                <c:pt idx="413">
                  <c:v>45441</c:v>
                </c:pt>
                <c:pt idx="414">
                  <c:v>45440</c:v>
                </c:pt>
                <c:pt idx="415">
                  <c:v>45436</c:v>
                </c:pt>
                <c:pt idx="416">
                  <c:v>45435</c:v>
                </c:pt>
                <c:pt idx="417">
                  <c:v>45434</c:v>
                </c:pt>
                <c:pt idx="418">
                  <c:v>45433</c:v>
                </c:pt>
                <c:pt idx="419">
                  <c:v>45432</c:v>
                </c:pt>
                <c:pt idx="420">
                  <c:v>45429</c:v>
                </c:pt>
                <c:pt idx="421">
                  <c:v>45428</c:v>
                </c:pt>
                <c:pt idx="422">
                  <c:v>45427</c:v>
                </c:pt>
                <c:pt idx="423">
                  <c:v>45426</c:v>
                </c:pt>
                <c:pt idx="424">
                  <c:v>45425</c:v>
                </c:pt>
                <c:pt idx="425">
                  <c:v>45422</c:v>
                </c:pt>
                <c:pt idx="426">
                  <c:v>45421</c:v>
                </c:pt>
                <c:pt idx="427">
                  <c:v>45420</c:v>
                </c:pt>
                <c:pt idx="428">
                  <c:v>45419</c:v>
                </c:pt>
                <c:pt idx="429">
                  <c:v>45418</c:v>
                </c:pt>
                <c:pt idx="430">
                  <c:v>45415</c:v>
                </c:pt>
                <c:pt idx="431">
                  <c:v>45414</c:v>
                </c:pt>
                <c:pt idx="432">
                  <c:v>45413</c:v>
                </c:pt>
                <c:pt idx="433">
                  <c:v>45412</c:v>
                </c:pt>
                <c:pt idx="434">
                  <c:v>45411</c:v>
                </c:pt>
                <c:pt idx="435">
                  <c:v>45408</c:v>
                </c:pt>
                <c:pt idx="436">
                  <c:v>45407</c:v>
                </c:pt>
                <c:pt idx="437">
                  <c:v>45406</c:v>
                </c:pt>
                <c:pt idx="438">
                  <c:v>45405</c:v>
                </c:pt>
                <c:pt idx="439">
                  <c:v>45404</c:v>
                </c:pt>
                <c:pt idx="440">
                  <c:v>45401</c:v>
                </c:pt>
                <c:pt idx="441">
                  <c:v>45400</c:v>
                </c:pt>
                <c:pt idx="442">
                  <c:v>45399</c:v>
                </c:pt>
                <c:pt idx="443">
                  <c:v>45398</c:v>
                </c:pt>
                <c:pt idx="444">
                  <c:v>45397</c:v>
                </c:pt>
                <c:pt idx="445">
                  <c:v>45394</c:v>
                </c:pt>
                <c:pt idx="446">
                  <c:v>45393</c:v>
                </c:pt>
                <c:pt idx="447">
                  <c:v>45392</c:v>
                </c:pt>
                <c:pt idx="448">
                  <c:v>45391</c:v>
                </c:pt>
                <c:pt idx="449">
                  <c:v>45390</c:v>
                </c:pt>
                <c:pt idx="450">
                  <c:v>45387</c:v>
                </c:pt>
                <c:pt idx="451">
                  <c:v>45386</c:v>
                </c:pt>
                <c:pt idx="452">
                  <c:v>45385</c:v>
                </c:pt>
                <c:pt idx="453">
                  <c:v>45384</c:v>
                </c:pt>
                <c:pt idx="454">
                  <c:v>45383</c:v>
                </c:pt>
                <c:pt idx="455">
                  <c:v>45379</c:v>
                </c:pt>
                <c:pt idx="456">
                  <c:v>45378</c:v>
                </c:pt>
                <c:pt idx="457">
                  <c:v>45377</c:v>
                </c:pt>
                <c:pt idx="458">
                  <c:v>45376</c:v>
                </c:pt>
                <c:pt idx="459">
                  <c:v>45373</c:v>
                </c:pt>
                <c:pt idx="460">
                  <c:v>45372</c:v>
                </c:pt>
                <c:pt idx="461">
                  <c:v>45371</c:v>
                </c:pt>
                <c:pt idx="462">
                  <c:v>45370</c:v>
                </c:pt>
                <c:pt idx="463">
                  <c:v>45369</c:v>
                </c:pt>
                <c:pt idx="464">
                  <c:v>45366</c:v>
                </c:pt>
                <c:pt idx="465">
                  <c:v>45365</c:v>
                </c:pt>
                <c:pt idx="466">
                  <c:v>45364</c:v>
                </c:pt>
                <c:pt idx="467">
                  <c:v>45363</c:v>
                </c:pt>
                <c:pt idx="468">
                  <c:v>45362</c:v>
                </c:pt>
                <c:pt idx="469">
                  <c:v>45359</c:v>
                </c:pt>
                <c:pt idx="470">
                  <c:v>45358</c:v>
                </c:pt>
                <c:pt idx="471">
                  <c:v>45357</c:v>
                </c:pt>
                <c:pt idx="472">
                  <c:v>45356</c:v>
                </c:pt>
                <c:pt idx="473">
                  <c:v>45355</c:v>
                </c:pt>
                <c:pt idx="474">
                  <c:v>45352</c:v>
                </c:pt>
                <c:pt idx="475">
                  <c:v>45351</c:v>
                </c:pt>
                <c:pt idx="476">
                  <c:v>45350</c:v>
                </c:pt>
                <c:pt idx="477">
                  <c:v>45349</c:v>
                </c:pt>
                <c:pt idx="478">
                  <c:v>45348</c:v>
                </c:pt>
                <c:pt idx="479">
                  <c:v>45345</c:v>
                </c:pt>
                <c:pt idx="480">
                  <c:v>45344</c:v>
                </c:pt>
                <c:pt idx="481">
                  <c:v>45343</c:v>
                </c:pt>
                <c:pt idx="482">
                  <c:v>45342</c:v>
                </c:pt>
                <c:pt idx="483">
                  <c:v>45338</c:v>
                </c:pt>
                <c:pt idx="484">
                  <c:v>45337</c:v>
                </c:pt>
                <c:pt idx="485">
                  <c:v>45336</c:v>
                </c:pt>
                <c:pt idx="486">
                  <c:v>45335</c:v>
                </c:pt>
                <c:pt idx="487">
                  <c:v>45334</c:v>
                </c:pt>
                <c:pt idx="488">
                  <c:v>45331</c:v>
                </c:pt>
                <c:pt idx="489">
                  <c:v>45330</c:v>
                </c:pt>
                <c:pt idx="490">
                  <c:v>45329</c:v>
                </c:pt>
                <c:pt idx="491">
                  <c:v>45328</c:v>
                </c:pt>
                <c:pt idx="492">
                  <c:v>45327</c:v>
                </c:pt>
                <c:pt idx="493">
                  <c:v>45324</c:v>
                </c:pt>
                <c:pt idx="494">
                  <c:v>45323</c:v>
                </c:pt>
                <c:pt idx="495">
                  <c:v>45322</c:v>
                </c:pt>
                <c:pt idx="496">
                  <c:v>45321</c:v>
                </c:pt>
                <c:pt idx="497">
                  <c:v>45320</c:v>
                </c:pt>
                <c:pt idx="498">
                  <c:v>45317</c:v>
                </c:pt>
                <c:pt idx="499">
                  <c:v>45316</c:v>
                </c:pt>
                <c:pt idx="500">
                  <c:v>45315</c:v>
                </c:pt>
                <c:pt idx="501">
                  <c:v>45314</c:v>
                </c:pt>
                <c:pt idx="502">
                  <c:v>45313</c:v>
                </c:pt>
                <c:pt idx="503">
                  <c:v>45310</c:v>
                </c:pt>
                <c:pt idx="504">
                  <c:v>45309</c:v>
                </c:pt>
                <c:pt idx="505">
                  <c:v>45308</c:v>
                </c:pt>
                <c:pt idx="506">
                  <c:v>45307</c:v>
                </c:pt>
                <c:pt idx="507">
                  <c:v>45303</c:v>
                </c:pt>
                <c:pt idx="508">
                  <c:v>45302</c:v>
                </c:pt>
                <c:pt idx="509">
                  <c:v>45301</c:v>
                </c:pt>
                <c:pt idx="510">
                  <c:v>45300</c:v>
                </c:pt>
                <c:pt idx="511">
                  <c:v>45299</c:v>
                </c:pt>
                <c:pt idx="512">
                  <c:v>45296</c:v>
                </c:pt>
                <c:pt idx="513">
                  <c:v>45295</c:v>
                </c:pt>
                <c:pt idx="514">
                  <c:v>45294</c:v>
                </c:pt>
                <c:pt idx="515">
                  <c:v>45293</c:v>
                </c:pt>
                <c:pt idx="516">
                  <c:v>45289</c:v>
                </c:pt>
                <c:pt idx="517">
                  <c:v>45288</c:v>
                </c:pt>
                <c:pt idx="518">
                  <c:v>45287</c:v>
                </c:pt>
                <c:pt idx="519">
                  <c:v>45286</c:v>
                </c:pt>
                <c:pt idx="520">
                  <c:v>45282</c:v>
                </c:pt>
                <c:pt idx="521">
                  <c:v>45281</c:v>
                </c:pt>
                <c:pt idx="522">
                  <c:v>45280</c:v>
                </c:pt>
                <c:pt idx="523">
                  <c:v>45279</c:v>
                </c:pt>
                <c:pt idx="524">
                  <c:v>45278</c:v>
                </c:pt>
                <c:pt idx="525">
                  <c:v>45275</c:v>
                </c:pt>
                <c:pt idx="526">
                  <c:v>45274</c:v>
                </c:pt>
                <c:pt idx="527">
                  <c:v>45273</c:v>
                </c:pt>
                <c:pt idx="528">
                  <c:v>45272</c:v>
                </c:pt>
                <c:pt idx="529">
                  <c:v>45271</c:v>
                </c:pt>
                <c:pt idx="530">
                  <c:v>45268</c:v>
                </c:pt>
                <c:pt idx="531">
                  <c:v>45267</c:v>
                </c:pt>
                <c:pt idx="532">
                  <c:v>45266</c:v>
                </c:pt>
                <c:pt idx="533">
                  <c:v>45265</c:v>
                </c:pt>
                <c:pt idx="534">
                  <c:v>45264</c:v>
                </c:pt>
                <c:pt idx="535">
                  <c:v>45261</c:v>
                </c:pt>
                <c:pt idx="536">
                  <c:v>45260</c:v>
                </c:pt>
                <c:pt idx="537">
                  <c:v>45259</c:v>
                </c:pt>
                <c:pt idx="538">
                  <c:v>45258</c:v>
                </c:pt>
                <c:pt idx="539">
                  <c:v>45257</c:v>
                </c:pt>
                <c:pt idx="540">
                  <c:v>45254</c:v>
                </c:pt>
                <c:pt idx="541">
                  <c:v>45252</c:v>
                </c:pt>
                <c:pt idx="542">
                  <c:v>45251</c:v>
                </c:pt>
                <c:pt idx="543">
                  <c:v>45250</c:v>
                </c:pt>
                <c:pt idx="544">
                  <c:v>45247</c:v>
                </c:pt>
                <c:pt idx="545">
                  <c:v>45246</c:v>
                </c:pt>
                <c:pt idx="546">
                  <c:v>45245</c:v>
                </c:pt>
                <c:pt idx="547">
                  <c:v>45244</c:v>
                </c:pt>
                <c:pt idx="548">
                  <c:v>45243</c:v>
                </c:pt>
                <c:pt idx="549">
                  <c:v>45240</c:v>
                </c:pt>
                <c:pt idx="550">
                  <c:v>45239</c:v>
                </c:pt>
                <c:pt idx="551">
                  <c:v>45238</c:v>
                </c:pt>
                <c:pt idx="552">
                  <c:v>45237</c:v>
                </c:pt>
                <c:pt idx="553">
                  <c:v>45236</c:v>
                </c:pt>
                <c:pt idx="554">
                  <c:v>45233</c:v>
                </c:pt>
                <c:pt idx="555">
                  <c:v>45232</c:v>
                </c:pt>
                <c:pt idx="556">
                  <c:v>45231</c:v>
                </c:pt>
                <c:pt idx="557">
                  <c:v>45230</c:v>
                </c:pt>
                <c:pt idx="558">
                  <c:v>45229</c:v>
                </c:pt>
                <c:pt idx="559">
                  <c:v>45226</c:v>
                </c:pt>
                <c:pt idx="560">
                  <c:v>45225</c:v>
                </c:pt>
                <c:pt idx="561">
                  <c:v>45224</c:v>
                </c:pt>
                <c:pt idx="562">
                  <c:v>45223</c:v>
                </c:pt>
                <c:pt idx="563">
                  <c:v>45222</c:v>
                </c:pt>
                <c:pt idx="564">
                  <c:v>45219</c:v>
                </c:pt>
                <c:pt idx="565">
                  <c:v>45218</c:v>
                </c:pt>
                <c:pt idx="566">
                  <c:v>45217</c:v>
                </c:pt>
                <c:pt idx="567">
                  <c:v>45216</c:v>
                </c:pt>
                <c:pt idx="568">
                  <c:v>45215</c:v>
                </c:pt>
                <c:pt idx="569">
                  <c:v>45212</c:v>
                </c:pt>
                <c:pt idx="570">
                  <c:v>45211</c:v>
                </c:pt>
                <c:pt idx="571">
                  <c:v>45210</c:v>
                </c:pt>
                <c:pt idx="572">
                  <c:v>45209</c:v>
                </c:pt>
                <c:pt idx="573">
                  <c:v>45208</c:v>
                </c:pt>
                <c:pt idx="574">
                  <c:v>45205</c:v>
                </c:pt>
                <c:pt idx="575">
                  <c:v>45204</c:v>
                </c:pt>
                <c:pt idx="576">
                  <c:v>45203</c:v>
                </c:pt>
                <c:pt idx="577">
                  <c:v>45202</c:v>
                </c:pt>
                <c:pt idx="578">
                  <c:v>45201</c:v>
                </c:pt>
                <c:pt idx="579">
                  <c:v>45198</c:v>
                </c:pt>
                <c:pt idx="580">
                  <c:v>45197</c:v>
                </c:pt>
                <c:pt idx="581">
                  <c:v>45196</c:v>
                </c:pt>
                <c:pt idx="582">
                  <c:v>45195</c:v>
                </c:pt>
                <c:pt idx="583">
                  <c:v>45194</c:v>
                </c:pt>
                <c:pt idx="584">
                  <c:v>45191</c:v>
                </c:pt>
                <c:pt idx="585">
                  <c:v>45190</c:v>
                </c:pt>
                <c:pt idx="586">
                  <c:v>45189</c:v>
                </c:pt>
                <c:pt idx="587">
                  <c:v>45188</c:v>
                </c:pt>
                <c:pt idx="588">
                  <c:v>45187</c:v>
                </c:pt>
                <c:pt idx="589">
                  <c:v>45184</c:v>
                </c:pt>
                <c:pt idx="590">
                  <c:v>45183</c:v>
                </c:pt>
                <c:pt idx="591">
                  <c:v>45182</c:v>
                </c:pt>
                <c:pt idx="592">
                  <c:v>45181</c:v>
                </c:pt>
                <c:pt idx="593">
                  <c:v>45180</c:v>
                </c:pt>
                <c:pt idx="594">
                  <c:v>45177</c:v>
                </c:pt>
                <c:pt idx="595">
                  <c:v>45176</c:v>
                </c:pt>
                <c:pt idx="596">
                  <c:v>45175</c:v>
                </c:pt>
                <c:pt idx="597">
                  <c:v>45174</c:v>
                </c:pt>
                <c:pt idx="598">
                  <c:v>45170</c:v>
                </c:pt>
                <c:pt idx="599">
                  <c:v>45169</c:v>
                </c:pt>
                <c:pt idx="600">
                  <c:v>45168</c:v>
                </c:pt>
                <c:pt idx="601">
                  <c:v>45167</c:v>
                </c:pt>
                <c:pt idx="602">
                  <c:v>45166</c:v>
                </c:pt>
                <c:pt idx="603">
                  <c:v>45163</c:v>
                </c:pt>
                <c:pt idx="604">
                  <c:v>45162</c:v>
                </c:pt>
                <c:pt idx="605">
                  <c:v>45161</c:v>
                </c:pt>
                <c:pt idx="606">
                  <c:v>45160</c:v>
                </c:pt>
                <c:pt idx="607">
                  <c:v>45159</c:v>
                </c:pt>
                <c:pt idx="608">
                  <c:v>45156</c:v>
                </c:pt>
                <c:pt idx="609">
                  <c:v>45155</c:v>
                </c:pt>
                <c:pt idx="610">
                  <c:v>45154</c:v>
                </c:pt>
                <c:pt idx="611">
                  <c:v>45153</c:v>
                </c:pt>
                <c:pt idx="612">
                  <c:v>45152</c:v>
                </c:pt>
                <c:pt idx="613">
                  <c:v>45149</c:v>
                </c:pt>
                <c:pt idx="614">
                  <c:v>45148</c:v>
                </c:pt>
                <c:pt idx="615">
                  <c:v>45147</c:v>
                </c:pt>
                <c:pt idx="616">
                  <c:v>45146</c:v>
                </c:pt>
                <c:pt idx="617">
                  <c:v>45145</c:v>
                </c:pt>
                <c:pt idx="618">
                  <c:v>45142</c:v>
                </c:pt>
                <c:pt idx="619">
                  <c:v>45141</c:v>
                </c:pt>
                <c:pt idx="620">
                  <c:v>45140</c:v>
                </c:pt>
                <c:pt idx="621">
                  <c:v>45139</c:v>
                </c:pt>
                <c:pt idx="622">
                  <c:v>45138</c:v>
                </c:pt>
                <c:pt idx="623">
                  <c:v>45135</c:v>
                </c:pt>
                <c:pt idx="624">
                  <c:v>45134</c:v>
                </c:pt>
                <c:pt idx="625">
                  <c:v>45133</c:v>
                </c:pt>
                <c:pt idx="626">
                  <c:v>45132</c:v>
                </c:pt>
                <c:pt idx="627">
                  <c:v>45131</c:v>
                </c:pt>
                <c:pt idx="628">
                  <c:v>45128</c:v>
                </c:pt>
                <c:pt idx="629">
                  <c:v>45127</c:v>
                </c:pt>
                <c:pt idx="630">
                  <c:v>45126</c:v>
                </c:pt>
                <c:pt idx="631">
                  <c:v>45125</c:v>
                </c:pt>
                <c:pt idx="632">
                  <c:v>45124</c:v>
                </c:pt>
                <c:pt idx="633">
                  <c:v>45121</c:v>
                </c:pt>
                <c:pt idx="634">
                  <c:v>45120</c:v>
                </c:pt>
                <c:pt idx="635">
                  <c:v>45119</c:v>
                </c:pt>
                <c:pt idx="636">
                  <c:v>45118</c:v>
                </c:pt>
                <c:pt idx="637">
                  <c:v>45117</c:v>
                </c:pt>
                <c:pt idx="638">
                  <c:v>45114</c:v>
                </c:pt>
                <c:pt idx="639">
                  <c:v>45113</c:v>
                </c:pt>
                <c:pt idx="640">
                  <c:v>45112</c:v>
                </c:pt>
                <c:pt idx="641">
                  <c:v>45110</c:v>
                </c:pt>
                <c:pt idx="642">
                  <c:v>45107</c:v>
                </c:pt>
                <c:pt idx="643">
                  <c:v>45106</c:v>
                </c:pt>
                <c:pt idx="644">
                  <c:v>45105</c:v>
                </c:pt>
                <c:pt idx="645">
                  <c:v>45104</c:v>
                </c:pt>
                <c:pt idx="646">
                  <c:v>45103</c:v>
                </c:pt>
                <c:pt idx="647">
                  <c:v>45100</c:v>
                </c:pt>
                <c:pt idx="648">
                  <c:v>45099</c:v>
                </c:pt>
                <c:pt idx="649">
                  <c:v>45098</c:v>
                </c:pt>
                <c:pt idx="650">
                  <c:v>45097</c:v>
                </c:pt>
                <c:pt idx="651">
                  <c:v>45093</c:v>
                </c:pt>
                <c:pt idx="652">
                  <c:v>45092</c:v>
                </c:pt>
                <c:pt idx="653">
                  <c:v>45091</c:v>
                </c:pt>
                <c:pt idx="654">
                  <c:v>45090</c:v>
                </c:pt>
                <c:pt idx="655">
                  <c:v>45089</c:v>
                </c:pt>
                <c:pt idx="656">
                  <c:v>45086</c:v>
                </c:pt>
                <c:pt idx="657">
                  <c:v>45085</c:v>
                </c:pt>
                <c:pt idx="658">
                  <c:v>45084</c:v>
                </c:pt>
                <c:pt idx="659">
                  <c:v>45083</c:v>
                </c:pt>
                <c:pt idx="660">
                  <c:v>45082</c:v>
                </c:pt>
                <c:pt idx="661">
                  <c:v>45079</c:v>
                </c:pt>
                <c:pt idx="662">
                  <c:v>45078</c:v>
                </c:pt>
                <c:pt idx="663">
                  <c:v>45077</c:v>
                </c:pt>
                <c:pt idx="664">
                  <c:v>45076</c:v>
                </c:pt>
                <c:pt idx="665">
                  <c:v>45072</c:v>
                </c:pt>
                <c:pt idx="666">
                  <c:v>45071</c:v>
                </c:pt>
                <c:pt idx="667">
                  <c:v>45070</c:v>
                </c:pt>
                <c:pt idx="668">
                  <c:v>45069</c:v>
                </c:pt>
                <c:pt idx="669">
                  <c:v>45068</c:v>
                </c:pt>
                <c:pt idx="670">
                  <c:v>45065</c:v>
                </c:pt>
                <c:pt idx="671">
                  <c:v>45064</c:v>
                </c:pt>
                <c:pt idx="672">
                  <c:v>45063</c:v>
                </c:pt>
                <c:pt idx="673">
                  <c:v>45062</c:v>
                </c:pt>
                <c:pt idx="674">
                  <c:v>45061</c:v>
                </c:pt>
                <c:pt idx="675">
                  <c:v>45058</c:v>
                </c:pt>
                <c:pt idx="676">
                  <c:v>45057</c:v>
                </c:pt>
                <c:pt idx="677">
                  <c:v>45056</c:v>
                </c:pt>
                <c:pt idx="678">
                  <c:v>45055</c:v>
                </c:pt>
                <c:pt idx="679">
                  <c:v>45054</c:v>
                </c:pt>
                <c:pt idx="680">
                  <c:v>45051</c:v>
                </c:pt>
                <c:pt idx="681">
                  <c:v>45050</c:v>
                </c:pt>
                <c:pt idx="682">
                  <c:v>45049</c:v>
                </c:pt>
                <c:pt idx="683">
                  <c:v>45048</c:v>
                </c:pt>
                <c:pt idx="684">
                  <c:v>45047</c:v>
                </c:pt>
                <c:pt idx="685">
                  <c:v>45044</c:v>
                </c:pt>
                <c:pt idx="686">
                  <c:v>45043</c:v>
                </c:pt>
                <c:pt idx="687">
                  <c:v>45042</c:v>
                </c:pt>
                <c:pt idx="688">
                  <c:v>45041</c:v>
                </c:pt>
                <c:pt idx="689">
                  <c:v>45040</c:v>
                </c:pt>
                <c:pt idx="690">
                  <c:v>45037</c:v>
                </c:pt>
                <c:pt idx="691">
                  <c:v>45036</c:v>
                </c:pt>
                <c:pt idx="692">
                  <c:v>45035</c:v>
                </c:pt>
                <c:pt idx="693">
                  <c:v>45034</c:v>
                </c:pt>
                <c:pt idx="694">
                  <c:v>45033</c:v>
                </c:pt>
                <c:pt idx="695">
                  <c:v>45030</c:v>
                </c:pt>
                <c:pt idx="696">
                  <c:v>45029</c:v>
                </c:pt>
                <c:pt idx="697">
                  <c:v>45028</c:v>
                </c:pt>
                <c:pt idx="698">
                  <c:v>45027</c:v>
                </c:pt>
                <c:pt idx="699">
                  <c:v>45026</c:v>
                </c:pt>
                <c:pt idx="700">
                  <c:v>45022</c:v>
                </c:pt>
                <c:pt idx="701">
                  <c:v>45021</c:v>
                </c:pt>
                <c:pt idx="702">
                  <c:v>45020</c:v>
                </c:pt>
                <c:pt idx="703">
                  <c:v>45019</c:v>
                </c:pt>
                <c:pt idx="704">
                  <c:v>45016</c:v>
                </c:pt>
                <c:pt idx="705">
                  <c:v>45015</c:v>
                </c:pt>
                <c:pt idx="706">
                  <c:v>45014</c:v>
                </c:pt>
                <c:pt idx="707">
                  <c:v>45013</c:v>
                </c:pt>
                <c:pt idx="708">
                  <c:v>45012</c:v>
                </c:pt>
                <c:pt idx="709">
                  <c:v>45009</c:v>
                </c:pt>
                <c:pt idx="710">
                  <c:v>45008</c:v>
                </c:pt>
                <c:pt idx="711">
                  <c:v>45007</c:v>
                </c:pt>
                <c:pt idx="712">
                  <c:v>45006</c:v>
                </c:pt>
                <c:pt idx="713">
                  <c:v>45005</c:v>
                </c:pt>
                <c:pt idx="714">
                  <c:v>45002</c:v>
                </c:pt>
                <c:pt idx="715">
                  <c:v>45001</c:v>
                </c:pt>
                <c:pt idx="716">
                  <c:v>45000</c:v>
                </c:pt>
                <c:pt idx="717">
                  <c:v>44999</c:v>
                </c:pt>
                <c:pt idx="718">
                  <c:v>44998</c:v>
                </c:pt>
                <c:pt idx="719">
                  <c:v>44995</c:v>
                </c:pt>
                <c:pt idx="720">
                  <c:v>44994</c:v>
                </c:pt>
                <c:pt idx="721">
                  <c:v>44993</c:v>
                </c:pt>
                <c:pt idx="722">
                  <c:v>44992</c:v>
                </c:pt>
                <c:pt idx="723">
                  <c:v>44991</c:v>
                </c:pt>
                <c:pt idx="724">
                  <c:v>44988</c:v>
                </c:pt>
                <c:pt idx="725">
                  <c:v>44987</c:v>
                </c:pt>
                <c:pt idx="726">
                  <c:v>44986</c:v>
                </c:pt>
                <c:pt idx="727">
                  <c:v>44985</c:v>
                </c:pt>
                <c:pt idx="728">
                  <c:v>44984</c:v>
                </c:pt>
                <c:pt idx="729">
                  <c:v>44981</c:v>
                </c:pt>
                <c:pt idx="730">
                  <c:v>44980</c:v>
                </c:pt>
                <c:pt idx="731">
                  <c:v>44979</c:v>
                </c:pt>
                <c:pt idx="732">
                  <c:v>44978</c:v>
                </c:pt>
                <c:pt idx="733">
                  <c:v>44974</c:v>
                </c:pt>
                <c:pt idx="734">
                  <c:v>44973</c:v>
                </c:pt>
                <c:pt idx="735">
                  <c:v>44972</c:v>
                </c:pt>
                <c:pt idx="736">
                  <c:v>44971</c:v>
                </c:pt>
                <c:pt idx="737">
                  <c:v>44970</c:v>
                </c:pt>
                <c:pt idx="738">
                  <c:v>44967</c:v>
                </c:pt>
                <c:pt idx="739">
                  <c:v>44966</c:v>
                </c:pt>
                <c:pt idx="740">
                  <c:v>44965</c:v>
                </c:pt>
                <c:pt idx="741">
                  <c:v>44964</c:v>
                </c:pt>
                <c:pt idx="742">
                  <c:v>44963</c:v>
                </c:pt>
                <c:pt idx="743">
                  <c:v>44960</c:v>
                </c:pt>
                <c:pt idx="744">
                  <c:v>44959</c:v>
                </c:pt>
                <c:pt idx="745">
                  <c:v>44958</c:v>
                </c:pt>
                <c:pt idx="746">
                  <c:v>44957</c:v>
                </c:pt>
              </c:numCache>
            </c:numRef>
          </c:cat>
          <c:val>
            <c:numRef>
              <c:f>CRH!$J$21:$J$773</c:f>
              <c:numCache>
                <c:formatCode>0.0%_);\(0.0%\);\-\-_);@_)</c:formatCode>
                <c:ptCount val="753"/>
                <c:pt idx="0">
                  <c:v>1.4510070132975394E-2</c:v>
                </c:pt>
                <c:pt idx="1">
                  <c:v>2.4699050720695288E-3</c:v>
                </c:pt>
                <c:pt idx="2">
                  <c:v>1.5510241088514516E-2</c:v>
                </c:pt>
                <c:pt idx="3">
                  <c:v>2.2338487289183667E-3</c:v>
                </c:pt>
                <c:pt idx="4">
                  <c:v>4.7019448502352221E-3</c:v>
                </c:pt>
                <c:pt idx="5">
                  <c:v>-1.1692662472556445E-2</c:v>
                </c:pt>
                <c:pt idx="6">
                  <c:v>2.7854476967905467E-2</c:v>
                </c:pt>
                <c:pt idx="7">
                  <c:v>5.2781468688601833E-2</c:v>
                </c:pt>
                <c:pt idx="8">
                  <c:v>3.5488576129638877E-2</c:v>
                </c:pt>
                <c:pt idx="9">
                  <c:v>1.4132619484796015E-2</c:v>
                </c:pt>
                <c:pt idx="10">
                  <c:v>-5.7662036963915947E-3</c:v>
                </c:pt>
                <c:pt idx="11">
                  <c:v>6.1131365106347833E-2</c:v>
                </c:pt>
                <c:pt idx="12">
                  <c:v>6.4180164012475713E-2</c:v>
                </c:pt>
                <c:pt idx="13">
                  <c:v>6.2978807971044687E-2</c:v>
                </c:pt>
                <c:pt idx="14">
                  <c:v>3.8986595773019175E-2</c:v>
                </c:pt>
                <c:pt idx="15">
                  <c:v>1.898832563880434E-2</c:v>
                </c:pt>
                <c:pt idx="16">
                  <c:v>1.9691169029496906E-2</c:v>
                </c:pt>
                <c:pt idx="17">
                  <c:v>3.9827794398855344E-2</c:v>
                </c:pt>
                <c:pt idx="18">
                  <c:v>2.3439834991121289E-2</c:v>
                </c:pt>
                <c:pt idx="19">
                  <c:v>6.3853338139489901E-2</c:v>
                </c:pt>
                <c:pt idx="20">
                  <c:v>7.1540878965635907E-2</c:v>
                </c:pt>
                <c:pt idx="21">
                  <c:v>7.4878264778147297E-2</c:v>
                </c:pt>
                <c:pt idx="22">
                  <c:v>0.10591381280699871</c:v>
                </c:pt>
                <c:pt idx="23">
                  <c:v>6.7711138857245154E-2</c:v>
                </c:pt>
                <c:pt idx="24">
                  <c:v>8.9179476202207647E-2</c:v>
                </c:pt>
                <c:pt idx="25">
                  <c:v>0.10088176343080868</c:v>
                </c:pt>
                <c:pt idx="26">
                  <c:v>9.2177012076320314E-2</c:v>
                </c:pt>
                <c:pt idx="27">
                  <c:v>9.1551509642074633E-2</c:v>
                </c:pt>
                <c:pt idx="28">
                  <c:v>6.5182583454991783E-2</c:v>
                </c:pt>
                <c:pt idx="29">
                  <c:v>5.4512366046132188E-2</c:v>
                </c:pt>
                <c:pt idx="30">
                  <c:v>7.2023927692403483E-2</c:v>
                </c:pt>
                <c:pt idx="31">
                  <c:v>-5.6967912182314118E-3</c:v>
                </c:pt>
                <c:pt idx="32">
                  <c:v>3.0954551049544234E-2</c:v>
                </c:pt>
                <c:pt idx="33">
                  <c:v>3.5015705835240753E-2</c:v>
                </c:pt>
                <c:pt idx="34">
                  <c:v>-2.2297861942406558E-3</c:v>
                </c:pt>
                <c:pt idx="35">
                  <c:v>4.1683579805151735E-3</c:v>
                </c:pt>
                <c:pt idx="36">
                  <c:v>1.1357330417281014E-2</c:v>
                </c:pt>
                <c:pt idx="37">
                  <c:v>1.8783254454768084E-3</c:v>
                </c:pt>
                <c:pt idx="38">
                  <c:v>-1.7831429613965499E-2</c:v>
                </c:pt>
                <c:pt idx="39">
                  <c:v>-4.4070199056527273E-2</c:v>
                </c:pt>
                <c:pt idx="40">
                  <c:v>-4.3626824235857023E-2</c:v>
                </c:pt>
                <c:pt idx="41">
                  <c:v>-5.2431334230897172E-2</c:v>
                </c:pt>
                <c:pt idx="42">
                  <c:v>-6.4945944127835414E-2</c:v>
                </c:pt>
                <c:pt idx="43">
                  <c:v>-6.2290555537828703E-2</c:v>
                </c:pt>
                <c:pt idx="44">
                  <c:v>-6.9902315318580849E-2</c:v>
                </c:pt>
                <c:pt idx="45">
                  <c:v>-7.3995987460588081E-2</c:v>
                </c:pt>
                <c:pt idx="46">
                  <c:v>-5.3703506792845988E-2</c:v>
                </c:pt>
                <c:pt idx="47">
                  <c:v>-6.4826391253204996E-2</c:v>
                </c:pt>
                <c:pt idx="48">
                  <c:v>-5.593242863768047E-2</c:v>
                </c:pt>
                <c:pt idx="49">
                  <c:v>-3.5270932190593435E-2</c:v>
                </c:pt>
                <c:pt idx="50">
                  <c:v>-3.3378641327865909E-2</c:v>
                </c:pt>
                <c:pt idx="51">
                  <c:v>-3.355171698374116E-2</c:v>
                </c:pt>
                <c:pt idx="52">
                  <c:v>-2.8553322849549173E-2</c:v>
                </c:pt>
                <c:pt idx="53">
                  <c:v>2.1551718875985837E-2</c:v>
                </c:pt>
                <c:pt idx="54">
                  <c:v>6.9743163986717149E-4</c:v>
                </c:pt>
                <c:pt idx="55">
                  <c:v>2.5173877464791661E-2</c:v>
                </c:pt>
                <c:pt idx="56">
                  <c:v>0.1140437474924009</c:v>
                </c:pt>
                <c:pt idx="57">
                  <c:v>0.10104057107289867</c:v>
                </c:pt>
                <c:pt idx="58">
                  <c:v>0.11800982710575311</c:v>
                </c:pt>
                <c:pt idx="59">
                  <c:v>0.15222667498670084</c:v>
                </c:pt>
                <c:pt idx="60">
                  <c:v>0.17187676105576552</c:v>
                </c:pt>
                <c:pt idx="61">
                  <c:v>0.1501697083628627</c:v>
                </c:pt>
                <c:pt idx="62">
                  <c:v>0.14035772238101879</c:v>
                </c:pt>
                <c:pt idx="63">
                  <c:v>0.13451804126522801</c:v>
                </c:pt>
                <c:pt idx="64">
                  <c:v>0.10783628560226978</c:v>
                </c:pt>
                <c:pt idx="65">
                  <c:v>0.15067009742781426</c:v>
                </c:pt>
                <c:pt idx="66">
                  <c:v>0.15538385074225786</c:v>
                </c:pt>
                <c:pt idx="67">
                  <c:v>0.17096929678254</c:v>
                </c:pt>
                <c:pt idx="68">
                  <c:v>0.20597068970417109</c:v>
                </c:pt>
                <c:pt idx="69">
                  <c:v>0.17608149281002455</c:v>
                </c:pt>
                <c:pt idx="70">
                  <c:v>0.19494023848266989</c:v>
                </c:pt>
                <c:pt idx="71">
                  <c:v>0.1616364421650692</c:v>
                </c:pt>
                <c:pt idx="72">
                  <c:v>0.13750657079469747</c:v>
                </c:pt>
                <c:pt idx="73">
                  <c:v>0.13266033005013511</c:v>
                </c:pt>
                <c:pt idx="74">
                  <c:v>0.13976873840301957</c:v>
                </c:pt>
                <c:pt idx="75">
                  <c:v>0.15969180004256467</c:v>
                </c:pt>
                <c:pt idx="76">
                  <c:v>0.16183219054430004</c:v>
                </c:pt>
                <c:pt idx="77">
                  <c:v>0.15816974851710713</c:v>
                </c:pt>
                <c:pt idx="78">
                  <c:v>0.17828686439756791</c:v>
                </c:pt>
                <c:pt idx="79">
                  <c:v>0</c:v>
                </c:pt>
                <c:pt idx="80">
                  <c:v>0.12508328093001569</c:v>
                </c:pt>
                <c:pt idx="81">
                  <c:v>0.10979161830749413</c:v>
                </c:pt>
                <c:pt idx="82">
                  <c:v>0.12248126414364233</c:v>
                </c:pt>
                <c:pt idx="83">
                  <c:v>0.15628326127161629</c:v>
                </c:pt>
                <c:pt idx="84">
                  <c:v>0.15312155356332588</c:v>
                </c:pt>
                <c:pt idx="85">
                  <c:v>0.16847431781355271</c:v>
                </c:pt>
                <c:pt idx="86">
                  <c:v>0.16151437156211448</c:v>
                </c:pt>
                <c:pt idx="87">
                  <c:v>0.11476668944985352</c:v>
                </c:pt>
                <c:pt idx="88">
                  <c:v>0.13340649855853878</c:v>
                </c:pt>
                <c:pt idx="89">
                  <c:v>0.1521647415138988</c:v>
                </c:pt>
                <c:pt idx="90">
                  <c:v>0.14932678567431501</c:v>
                </c:pt>
                <c:pt idx="91">
                  <c:v>0.15005406683148964</c:v>
                </c:pt>
                <c:pt idx="92">
                  <c:v>0.12771612466481003</c:v>
                </c:pt>
                <c:pt idx="93">
                  <c:v>0.1191652375424879</c:v>
                </c:pt>
                <c:pt idx="94">
                  <c:v>0.11822420520679366</c:v>
                </c:pt>
                <c:pt idx="95">
                  <c:v>0.13963362911457572</c:v>
                </c:pt>
                <c:pt idx="96">
                  <c:v>0.10671694406195681</c:v>
                </c:pt>
                <c:pt idx="97">
                  <c:v>0.10892477520817469</c:v>
                </c:pt>
                <c:pt idx="98">
                  <c:v>0.11567350350552173</c:v>
                </c:pt>
                <c:pt idx="99">
                  <c:v>0.10778853484586891</c:v>
                </c:pt>
                <c:pt idx="100">
                  <c:v>0.13400368611522789</c:v>
                </c:pt>
                <c:pt idx="101">
                  <c:v>0.13571981573025982</c:v>
                </c:pt>
                <c:pt idx="102">
                  <c:v>0.1431246877449292</c:v>
                </c:pt>
                <c:pt idx="103">
                  <c:v>0.12072836104171006</c:v>
                </c:pt>
                <c:pt idx="104">
                  <c:v>0.11122036229447678</c:v>
                </c:pt>
                <c:pt idx="105">
                  <c:v>9.8427532803329956E-2</c:v>
                </c:pt>
                <c:pt idx="106">
                  <c:v>6.0445834937818521E-2</c:v>
                </c:pt>
                <c:pt idx="107">
                  <c:v>6.1087453999687819E-2</c:v>
                </c:pt>
                <c:pt idx="108">
                  <c:v>3.8957070762981466E-2</c:v>
                </c:pt>
                <c:pt idx="109">
                  <c:v>3.3256192094683806E-2</c:v>
                </c:pt>
                <c:pt idx="110">
                  <c:v>4.1815659061648525E-2</c:v>
                </c:pt>
                <c:pt idx="111">
                  <c:v>4.4286539238993006E-2</c:v>
                </c:pt>
                <c:pt idx="112">
                  <c:v>2.7468426600326112E-2</c:v>
                </c:pt>
                <c:pt idx="113">
                  <c:v>2.2445025542099095E-4</c:v>
                </c:pt>
                <c:pt idx="114">
                  <c:v>1.4500531541468187E-2</c:v>
                </c:pt>
                <c:pt idx="115">
                  <c:v>-8.109094395538724E-3</c:v>
                </c:pt>
                <c:pt idx="116">
                  <c:v>-0.12041288688409024</c:v>
                </c:pt>
                <c:pt idx="117">
                  <c:v>-0.10820778169644568</c:v>
                </c:pt>
                <c:pt idx="118">
                  <c:v>-0.10415641365545494</c:v>
                </c:pt>
                <c:pt idx="119">
                  <c:v>-9.8710626353788244E-2</c:v>
                </c:pt>
                <c:pt idx="120">
                  <c:v>-0.15057732933298806</c:v>
                </c:pt>
                <c:pt idx="121">
                  <c:v>-0.17878404335057207</c:v>
                </c:pt>
                <c:pt idx="122">
                  <c:v>-0.16694777556735557</c:v>
                </c:pt>
                <c:pt idx="123">
                  <c:v>-0.15601060359130325</c:v>
                </c:pt>
                <c:pt idx="124">
                  <c:v>-0.14006053047081138</c:v>
                </c:pt>
                <c:pt idx="125">
                  <c:v>-0.14490822360925765</c:v>
                </c:pt>
                <c:pt idx="126">
                  <c:v>-0.15135536516165257</c:v>
                </c:pt>
                <c:pt idx="127">
                  <c:v>-0.14760611527273204</c:v>
                </c:pt>
                <c:pt idx="128">
                  <c:v>-0.15842507283410545</c:v>
                </c:pt>
                <c:pt idx="129">
                  <c:v>-0.14675205867954247</c:v>
                </c:pt>
                <c:pt idx="130">
                  <c:v>-0.15844539064252697</c:v>
                </c:pt>
                <c:pt idx="131">
                  <c:v>-0.14949144554914706</c:v>
                </c:pt>
                <c:pt idx="132">
                  <c:v>-0.1203286701419479</c:v>
                </c:pt>
                <c:pt idx="133">
                  <c:v>-0.12445149704663527</c:v>
                </c:pt>
                <c:pt idx="134">
                  <c:v>-9.642270582631482E-2</c:v>
                </c:pt>
                <c:pt idx="135">
                  <c:v>-8.8915492024387005E-2</c:v>
                </c:pt>
                <c:pt idx="136">
                  <c:v>-7.7200604454581628E-2</c:v>
                </c:pt>
                <c:pt idx="137">
                  <c:v>-9.6399671542610976E-2</c:v>
                </c:pt>
                <c:pt idx="138">
                  <c:v>-0.12214297324856241</c:v>
                </c:pt>
                <c:pt idx="139">
                  <c:v>-0.13823260348563143</c:v>
                </c:pt>
                <c:pt idx="140">
                  <c:v>-0.12249325752898438</c:v>
                </c:pt>
                <c:pt idx="141">
                  <c:v>-0.1092117824048402</c:v>
                </c:pt>
                <c:pt idx="142">
                  <c:v>-0.10706186397868221</c:v>
                </c:pt>
                <c:pt idx="143">
                  <c:v>-9.208676636593241E-2</c:v>
                </c:pt>
                <c:pt idx="144">
                  <c:v>-0.10720186765347484</c:v>
                </c:pt>
                <c:pt idx="145">
                  <c:v>-0.11032187543425372</c:v>
                </c:pt>
                <c:pt idx="146">
                  <c:v>-9.5603021057495338E-2</c:v>
                </c:pt>
                <c:pt idx="147">
                  <c:v>-0.1185893442718019</c:v>
                </c:pt>
                <c:pt idx="148">
                  <c:v>-0.14781800993844518</c:v>
                </c:pt>
                <c:pt idx="149">
                  <c:v>-0.13933646717366915</c:v>
                </c:pt>
                <c:pt idx="150">
                  <c:v>-0.12105513339274873</c:v>
                </c:pt>
                <c:pt idx="151">
                  <c:v>-0.15482688935242922</c:v>
                </c:pt>
                <c:pt idx="152">
                  <c:v>-0.15522694505131895</c:v>
                </c:pt>
                <c:pt idx="153">
                  <c:v>-0.13294443022589669</c:v>
                </c:pt>
                <c:pt idx="154">
                  <c:v>-0.14085272781162095</c:v>
                </c:pt>
                <c:pt idx="155">
                  <c:v>-0.13121118331739912</c:v>
                </c:pt>
                <c:pt idx="156">
                  <c:v>-0.12484528348335713</c:v>
                </c:pt>
                <c:pt idx="157">
                  <c:v>-0.14879294620752859</c:v>
                </c:pt>
                <c:pt idx="158">
                  <c:v>-0.10203169515162405</c:v>
                </c:pt>
                <c:pt idx="159">
                  <c:v>-0.11101186798385851</c:v>
                </c:pt>
                <c:pt idx="160">
                  <c:v>-0.10937214449726526</c:v>
                </c:pt>
                <c:pt idx="161">
                  <c:v>-0.12237891429245384</c:v>
                </c:pt>
                <c:pt idx="162">
                  <c:v>-0.12767767020034626</c:v>
                </c:pt>
                <c:pt idx="163">
                  <c:v>-7.4534210520631708E-2</c:v>
                </c:pt>
                <c:pt idx="164">
                  <c:v>-8.8532446919833085E-2</c:v>
                </c:pt>
                <c:pt idx="165">
                  <c:v>-6.4322706734972535E-2</c:v>
                </c:pt>
                <c:pt idx="166">
                  <c:v>-6.0264137207107285E-2</c:v>
                </c:pt>
                <c:pt idx="167">
                  <c:v>-4.5761535376192208E-2</c:v>
                </c:pt>
                <c:pt idx="168">
                  <c:v>-2.8346604545995122E-2</c:v>
                </c:pt>
                <c:pt idx="169">
                  <c:v>-2.7164993902897755E-2</c:v>
                </c:pt>
                <c:pt idx="170">
                  <c:v>-6.3786022348954006E-3</c:v>
                </c:pt>
                <c:pt idx="171">
                  <c:v>-2.4350240779979007E-3</c:v>
                </c:pt>
                <c:pt idx="172">
                  <c:v>-3.1000927797206639E-2</c:v>
                </c:pt>
                <c:pt idx="173">
                  <c:v>-6.8864201081856299E-2</c:v>
                </c:pt>
                <c:pt idx="174">
                  <c:v>-4.6233453410215584E-2</c:v>
                </c:pt>
                <c:pt idx="175">
                  <c:v>-1.6636507750289527E-2</c:v>
                </c:pt>
                <c:pt idx="176">
                  <c:v>-1.0201224768959724E-2</c:v>
                </c:pt>
                <c:pt idx="177">
                  <c:v>-3.0840581564504366E-3</c:v>
                </c:pt>
                <c:pt idx="178">
                  <c:v>-9.4810356524202832E-3</c:v>
                </c:pt>
                <c:pt idx="179">
                  <c:v>-2.4130826585747195E-3</c:v>
                </c:pt>
                <c:pt idx="180">
                  <c:v>2.3892623946408634E-2</c:v>
                </c:pt>
                <c:pt idx="181">
                  <c:v>5.1860802393243671E-2</c:v>
                </c:pt>
                <c:pt idx="182">
                  <c:v>6.7213906045645672E-2</c:v>
                </c:pt>
                <c:pt idx="183">
                  <c:v>7.0102768330279036E-2</c:v>
                </c:pt>
                <c:pt idx="184">
                  <c:v>4.4149502764599002E-2</c:v>
                </c:pt>
                <c:pt idx="185">
                  <c:v>4.4355441182801408E-2</c:v>
                </c:pt>
                <c:pt idx="186">
                  <c:v>3.9428243564997911E-2</c:v>
                </c:pt>
                <c:pt idx="187">
                  <c:v>4.7402905365367468E-2</c:v>
                </c:pt>
                <c:pt idx="188">
                  <c:v>1.82077122590181E-2</c:v>
                </c:pt>
                <c:pt idx="189">
                  <c:v>1.1929147075774305E-2</c:v>
                </c:pt>
                <c:pt idx="190">
                  <c:v>1.694814057449287E-2</c:v>
                </c:pt>
                <c:pt idx="191">
                  <c:v>8.5170713117194152E-3</c:v>
                </c:pt>
                <c:pt idx="192">
                  <c:v>1.4957712059589012E-2</c:v>
                </c:pt>
                <c:pt idx="193">
                  <c:v>4.8601866138885397E-3</c:v>
                </c:pt>
                <c:pt idx="194">
                  <c:v>9.6000199368722616E-3</c:v>
                </c:pt>
                <c:pt idx="195">
                  <c:v>8.5778327588608566E-3</c:v>
                </c:pt>
                <c:pt idx="196">
                  <c:v>2.1797493751896838E-2</c:v>
                </c:pt>
                <c:pt idx="197">
                  <c:v>5.1857541642646318E-2</c:v>
                </c:pt>
                <c:pt idx="198">
                  <c:v>5.9807682006780355E-2</c:v>
                </c:pt>
                <c:pt idx="199">
                  <c:v>6.346824281780411E-2</c:v>
                </c:pt>
                <c:pt idx="200">
                  <c:v>5.7217022536441703E-2</c:v>
                </c:pt>
                <c:pt idx="201">
                  <c:v>5.2525302823804687E-2</c:v>
                </c:pt>
                <c:pt idx="202">
                  <c:v>3.6784284859532765E-2</c:v>
                </c:pt>
                <c:pt idx="203">
                  <c:v>1.4642400820910506E-2</c:v>
                </c:pt>
                <c:pt idx="204">
                  <c:v>1.4757909159011998E-2</c:v>
                </c:pt>
                <c:pt idx="205">
                  <c:v>3.057340510071771E-2</c:v>
                </c:pt>
                <c:pt idx="206">
                  <c:v>4.8199627933107947E-2</c:v>
                </c:pt>
                <c:pt idx="207">
                  <c:v>7.3009566109850405E-2</c:v>
                </c:pt>
                <c:pt idx="208">
                  <c:v>9.9038363803011092E-2</c:v>
                </c:pt>
                <c:pt idx="209">
                  <c:v>8.7509822209734078E-2</c:v>
                </c:pt>
                <c:pt idx="210">
                  <c:v>6.9275186394667967E-2</c:v>
                </c:pt>
                <c:pt idx="211">
                  <c:v>9.459198274166275E-2</c:v>
                </c:pt>
                <c:pt idx="212">
                  <c:v>9.7961117336687845E-2</c:v>
                </c:pt>
                <c:pt idx="213">
                  <c:v>8.21507883479283E-2</c:v>
                </c:pt>
                <c:pt idx="214">
                  <c:v>7.6277846591600251E-2</c:v>
                </c:pt>
                <c:pt idx="215">
                  <c:v>8.0241073638069885E-2</c:v>
                </c:pt>
                <c:pt idx="216">
                  <c:v>7.5170615338718438E-2</c:v>
                </c:pt>
                <c:pt idx="217">
                  <c:v>9.9875856292030787E-2</c:v>
                </c:pt>
                <c:pt idx="218">
                  <c:v>5.4660741522477699E-2</c:v>
                </c:pt>
                <c:pt idx="219">
                  <c:v>2.9889427094529575E-2</c:v>
                </c:pt>
                <c:pt idx="220">
                  <c:v>1.3712535421993771E-2</c:v>
                </c:pt>
                <c:pt idx="221">
                  <c:v>3.0619425360483787E-2</c:v>
                </c:pt>
                <c:pt idx="222">
                  <c:v>4.320287522086011E-2</c:v>
                </c:pt>
                <c:pt idx="223">
                  <c:v>-9.8838716394653789E-3</c:v>
                </c:pt>
                <c:pt idx="224">
                  <c:v>9.0292240736437254E-3</c:v>
                </c:pt>
                <c:pt idx="225">
                  <c:v>1.5423321020570821E-2</c:v>
                </c:pt>
                <c:pt idx="226">
                  <c:v>1.9200336731789863E-2</c:v>
                </c:pt>
                <c:pt idx="227">
                  <c:v>6.3893178288580744E-3</c:v>
                </c:pt>
                <c:pt idx="228">
                  <c:v>-1.8568439391926414E-2</c:v>
                </c:pt>
                <c:pt idx="229">
                  <c:v>-1.2801493036583551E-2</c:v>
                </c:pt>
                <c:pt idx="230">
                  <c:v>-1.3445882488233135E-2</c:v>
                </c:pt>
                <c:pt idx="231">
                  <c:v>-1.2930002215185935E-2</c:v>
                </c:pt>
                <c:pt idx="232">
                  <c:v>2.2439710652683818E-2</c:v>
                </c:pt>
                <c:pt idx="233">
                  <c:v>6.5505484129918967E-2</c:v>
                </c:pt>
                <c:pt idx="234">
                  <c:v>5.7759424666899511E-2</c:v>
                </c:pt>
                <c:pt idx="235">
                  <c:v>3.6520386964339693E-2</c:v>
                </c:pt>
                <c:pt idx="236">
                  <c:v>3.9057265693123656E-2</c:v>
                </c:pt>
                <c:pt idx="237">
                  <c:v>1.3271646595394329E-2</c:v>
                </c:pt>
                <c:pt idx="238">
                  <c:v>-1.3532581354745107E-2</c:v>
                </c:pt>
                <c:pt idx="239">
                  <c:v>2.0977210505780199E-2</c:v>
                </c:pt>
                <c:pt idx="240">
                  <c:v>2.5057494309666199E-2</c:v>
                </c:pt>
                <c:pt idx="241">
                  <c:v>-1.1824589677871433E-2</c:v>
                </c:pt>
                <c:pt idx="242">
                  <c:v>-2.9224591889422911E-2</c:v>
                </c:pt>
                <c:pt idx="243">
                  <c:v>-2.1626123142891022E-2</c:v>
                </c:pt>
                <c:pt idx="244">
                  <c:v>-2.9956115941035824E-2</c:v>
                </c:pt>
                <c:pt idx="245">
                  <c:v>-3.0651887800374797E-2</c:v>
                </c:pt>
                <c:pt idx="246">
                  <c:v>-1.3737512101416438E-2</c:v>
                </c:pt>
                <c:pt idx="247">
                  <c:v>-5.8015681272659755E-3</c:v>
                </c:pt>
                <c:pt idx="248">
                  <c:v>9.9763350829460487E-3</c:v>
                </c:pt>
                <c:pt idx="249">
                  <c:v>3.3369710883605894E-2</c:v>
                </c:pt>
                <c:pt idx="250">
                  <c:v>3.1225338390020937E-2</c:v>
                </c:pt>
                <c:pt idx="251">
                  <c:v>4.3273698941496248E-2</c:v>
                </c:pt>
                <c:pt idx="252">
                  <c:v>3.9559978310189481E-2</c:v>
                </c:pt>
                <c:pt idx="253">
                  <c:v>2.9653311423011208E-2</c:v>
                </c:pt>
                <c:pt idx="254">
                  <c:v>7.3615426034710808E-3</c:v>
                </c:pt>
                <c:pt idx="255">
                  <c:v>-5.2253553337742314E-4</c:v>
                </c:pt>
                <c:pt idx="256">
                  <c:v>-1.8149282931531265E-3</c:v>
                </c:pt>
                <c:pt idx="257">
                  <c:v>-1.9705553022298698E-2</c:v>
                </c:pt>
                <c:pt idx="258">
                  <c:v>1.4231520577402601E-3</c:v>
                </c:pt>
                <c:pt idx="259">
                  <c:v>-1.3222580099247004E-2</c:v>
                </c:pt>
                <c:pt idx="260">
                  <c:v>-7.7829292618556666E-3</c:v>
                </c:pt>
                <c:pt idx="261">
                  <c:v>-5.5325077689056396E-4</c:v>
                </c:pt>
                <c:pt idx="262">
                  <c:v>2.7611294143800105E-3</c:v>
                </c:pt>
                <c:pt idx="263">
                  <c:v>6.187225187947773E-3</c:v>
                </c:pt>
                <c:pt idx="264">
                  <c:v>1.0164163764739283E-2</c:v>
                </c:pt>
                <c:pt idx="265">
                  <c:v>-2.2385347053067717E-3</c:v>
                </c:pt>
                <c:pt idx="266">
                  <c:v>-1.1502151607049947E-2</c:v>
                </c:pt>
                <c:pt idx="267">
                  <c:v>-2.9704979815274563E-2</c:v>
                </c:pt>
                <c:pt idx="268">
                  <c:v>-3.8141371063324679E-2</c:v>
                </c:pt>
                <c:pt idx="269">
                  <c:v>-3.2844282698095396E-2</c:v>
                </c:pt>
                <c:pt idx="270">
                  <c:v>-3.5974209775930736E-2</c:v>
                </c:pt>
                <c:pt idx="271">
                  <c:v>-1.9004561902592934E-2</c:v>
                </c:pt>
                <c:pt idx="272">
                  <c:v>-5.9379933609569648E-3</c:v>
                </c:pt>
                <c:pt idx="273">
                  <c:v>-1.4862968704645138E-2</c:v>
                </c:pt>
                <c:pt idx="274">
                  <c:v>-2.3416026003916582E-2</c:v>
                </c:pt>
                <c:pt idx="275">
                  <c:v>-1.6735738971521294E-2</c:v>
                </c:pt>
                <c:pt idx="276">
                  <c:v>-9.7053854105899617E-4</c:v>
                </c:pt>
                <c:pt idx="277">
                  <c:v>5.5609910270160018E-3</c:v>
                </c:pt>
                <c:pt idx="278">
                  <c:v>1.8366085590804868E-2</c:v>
                </c:pt>
                <c:pt idx="279">
                  <c:v>4.8749570742297063E-2</c:v>
                </c:pt>
                <c:pt idx="280">
                  <c:v>7.7942364811775924E-2</c:v>
                </c:pt>
                <c:pt idx="281">
                  <c:v>8.7958799030055865E-2</c:v>
                </c:pt>
                <c:pt idx="282">
                  <c:v>7.2529477615026705E-2</c:v>
                </c:pt>
                <c:pt idx="283">
                  <c:v>8.2359308984063601E-2</c:v>
                </c:pt>
                <c:pt idx="284">
                  <c:v>5.2284967909665747E-2</c:v>
                </c:pt>
                <c:pt idx="285">
                  <c:v>8.9585332492840064E-2</c:v>
                </c:pt>
                <c:pt idx="286">
                  <c:v>8.7372625226477971E-2</c:v>
                </c:pt>
                <c:pt idx="287">
                  <c:v>5.572706360800149E-2</c:v>
                </c:pt>
                <c:pt idx="288">
                  <c:v>5.6418071042510218E-2</c:v>
                </c:pt>
                <c:pt idx="289">
                  <c:v>6.2866418129959398E-2</c:v>
                </c:pt>
                <c:pt idx="290">
                  <c:v>6.5136602422317322E-2</c:v>
                </c:pt>
                <c:pt idx="291">
                  <c:v>7.107260973934891E-2</c:v>
                </c:pt>
                <c:pt idx="292">
                  <c:v>4.1296815515254492E-2</c:v>
                </c:pt>
                <c:pt idx="293">
                  <c:v>4.7163024228573824E-2</c:v>
                </c:pt>
                <c:pt idx="294">
                  <c:v>4.7406253719339736E-2</c:v>
                </c:pt>
                <c:pt idx="295">
                  <c:v>6.878686718804175E-2</c:v>
                </c:pt>
                <c:pt idx="296">
                  <c:v>7.5034656256610696E-2</c:v>
                </c:pt>
                <c:pt idx="297">
                  <c:v>9.3534745054479645E-2</c:v>
                </c:pt>
                <c:pt idx="298">
                  <c:v>0.11372469962600694</c:v>
                </c:pt>
                <c:pt idx="299">
                  <c:v>7.3085420292142433E-2</c:v>
                </c:pt>
                <c:pt idx="300">
                  <c:v>8.8071631104016987E-2</c:v>
                </c:pt>
                <c:pt idx="301">
                  <c:v>8.2041654759428803E-2</c:v>
                </c:pt>
                <c:pt idx="302">
                  <c:v>7.6289338063007472E-2</c:v>
                </c:pt>
                <c:pt idx="303">
                  <c:v>5.7693746921708838E-2</c:v>
                </c:pt>
                <c:pt idx="304">
                  <c:v>7.5746075464863186E-2</c:v>
                </c:pt>
                <c:pt idx="305">
                  <c:v>0.1283746815161402</c:v>
                </c:pt>
                <c:pt idx="306">
                  <c:v>7.7560429371633821E-2</c:v>
                </c:pt>
                <c:pt idx="307">
                  <c:v>5.8343278646444952E-2</c:v>
                </c:pt>
                <c:pt idx="308">
                  <c:v>7.3417035291219956E-2</c:v>
                </c:pt>
                <c:pt idx="309">
                  <c:v>3.9114497411193785E-2</c:v>
                </c:pt>
                <c:pt idx="310">
                  <c:v>-1.2837410781655623E-3</c:v>
                </c:pt>
                <c:pt idx="311">
                  <c:v>-1.0197022841449063E-2</c:v>
                </c:pt>
                <c:pt idx="312">
                  <c:v>1.4812568330856646E-2</c:v>
                </c:pt>
                <c:pt idx="313">
                  <c:v>3.2693777392564571E-2</c:v>
                </c:pt>
                <c:pt idx="314">
                  <c:v>5.8192835712799679E-2</c:v>
                </c:pt>
                <c:pt idx="315">
                  <c:v>7.1582132149177122E-2</c:v>
                </c:pt>
                <c:pt idx="316">
                  <c:v>5.8454538213812385E-2</c:v>
                </c:pt>
                <c:pt idx="317">
                  <c:v>7.2856414773748865E-2</c:v>
                </c:pt>
                <c:pt idx="318">
                  <c:v>6.6127079651196116E-2</c:v>
                </c:pt>
                <c:pt idx="319">
                  <c:v>8.4092162799371067E-2</c:v>
                </c:pt>
                <c:pt idx="320">
                  <c:v>7.3256668271799982E-2</c:v>
                </c:pt>
                <c:pt idx="321">
                  <c:v>5.9741163593189553E-2</c:v>
                </c:pt>
                <c:pt idx="322">
                  <c:v>9.195011865688002E-2</c:v>
                </c:pt>
                <c:pt idx="323">
                  <c:v>9.7303278084432482E-2</c:v>
                </c:pt>
                <c:pt idx="324">
                  <c:v>7.7188989270765757E-2</c:v>
                </c:pt>
                <c:pt idx="325">
                  <c:v>0.13392625721523921</c:v>
                </c:pt>
                <c:pt idx="326">
                  <c:v>0.14645249090619067</c:v>
                </c:pt>
                <c:pt idx="327">
                  <c:v>0.18998728935827103</c:v>
                </c:pt>
                <c:pt idx="328">
                  <c:v>0.21062022937897051</c:v>
                </c:pt>
                <c:pt idx="329">
                  <c:v>0.21104411237898862</c:v>
                </c:pt>
                <c:pt idx="330">
                  <c:v>0.23467966430490106</c:v>
                </c:pt>
                <c:pt idx="331">
                  <c:v>0.19758133977315087</c:v>
                </c:pt>
                <c:pt idx="332">
                  <c:v>0.15152629681477597</c:v>
                </c:pt>
                <c:pt idx="333">
                  <c:v>0.17544460487251806</c:v>
                </c:pt>
                <c:pt idx="334">
                  <c:v>0.22073645828381586</c:v>
                </c:pt>
                <c:pt idx="335">
                  <c:v>0.20713092893046794</c:v>
                </c:pt>
                <c:pt idx="336">
                  <c:v>0.17297816520823278</c:v>
                </c:pt>
                <c:pt idx="337">
                  <c:v>0.136194384132168</c:v>
                </c:pt>
                <c:pt idx="338">
                  <c:v>0.13445773489340399</c:v>
                </c:pt>
                <c:pt idx="339">
                  <c:v>8.9414192259779729E-2</c:v>
                </c:pt>
                <c:pt idx="340">
                  <c:v>7.0915774551460628E-2</c:v>
                </c:pt>
                <c:pt idx="341">
                  <c:v>8.3916892409359692E-2</c:v>
                </c:pt>
                <c:pt idx="342">
                  <c:v>6.5386897201555966E-2</c:v>
                </c:pt>
                <c:pt idx="343">
                  <c:v>4.5501045318751751E-2</c:v>
                </c:pt>
                <c:pt idx="344">
                  <c:v>8.2890166644736252E-2</c:v>
                </c:pt>
                <c:pt idx="345">
                  <c:v>2.4658961076275999E-2</c:v>
                </c:pt>
                <c:pt idx="346">
                  <c:v>4.7388049409762566E-2</c:v>
                </c:pt>
                <c:pt idx="347">
                  <c:v>9.0641362799399924E-2</c:v>
                </c:pt>
                <c:pt idx="348">
                  <c:v>7.785462378536373E-2</c:v>
                </c:pt>
                <c:pt idx="349">
                  <c:v>6.6007453882038256E-2</c:v>
                </c:pt>
                <c:pt idx="350">
                  <c:v>2.7201434365085098E-2</c:v>
                </c:pt>
                <c:pt idx="351">
                  <c:v>-1.686064647886433E-2</c:v>
                </c:pt>
                <c:pt idx="352">
                  <c:v>2.0788127726456745E-2</c:v>
                </c:pt>
                <c:pt idx="353">
                  <c:v>5.3423472413183598E-2</c:v>
                </c:pt>
                <c:pt idx="354">
                  <c:v>4.1279450777920557E-2</c:v>
                </c:pt>
                <c:pt idx="355">
                  <c:v>-2.1479927923181916E-2</c:v>
                </c:pt>
                <c:pt idx="356">
                  <c:v>-3.0945599973708507E-2</c:v>
                </c:pt>
                <c:pt idx="357">
                  <c:v>-2.4319651891974298E-2</c:v>
                </c:pt>
                <c:pt idx="358">
                  <c:v>-2.6293952342493043E-2</c:v>
                </c:pt>
                <c:pt idx="359">
                  <c:v>-1.8973537181298725E-2</c:v>
                </c:pt>
                <c:pt idx="360">
                  <c:v>-2.2654432711029383E-2</c:v>
                </c:pt>
                <c:pt idx="361">
                  <c:v>-2.9479021159083144E-2</c:v>
                </c:pt>
                <c:pt idx="362">
                  <c:v>-5.3258862280081247E-2</c:v>
                </c:pt>
                <c:pt idx="363">
                  <c:v>-2.7942879118539578E-2</c:v>
                </c:pt>
                <c:pt idx="364">
                  <c:v>-3.3155106893556767E-2</c:v>
                </c:pt>
                <c:pt idx="365">
                  <c:v>-8.5927430159652818E-2</c:v>
                </c:pt>
                <c:pt idx="366">
                  <c:v>-3.0265810405632344E-2</c:v>
                </c:pt>
                <c:pt idx="367">
                  <c:v>-3.2636524211724839E-2</c:v>
                </c:pt>
                <c:pt idx="368">
                  <c:v>-6.3580946302230226E-2</c:v>
                </c:pt>
                <c:pt idx="369">
                  <c:v>-6.9817969164435376E-2</c:v>
                </c:pt>
                <c:pt idx="370">
                  <c:v>-2.9816409748409253E-2</c:v>
                </c:pt>
                <c:pt idx="371">
                  <c:v>-3.4472709302663704E-2</c:v>
                </c:pt>
                <c:pt idx="372">
                  <c:v>-4.1720538643784083E-2</c:v>
                </c:pt>
                <c:pt idx="373">
                  <c:v>-5.1363556365067703E-2</c:v>
                </c:pt>
                <c:pt idx="374">
                  <c:v>-5.945458840451491E-2</c:v>
                </c:pt>
                <c:pt idx="375">
                  <c:v>-6.2733789992381467E-2</c:v>
                </c:pt>
                <c:pt idx="376">
                  <c:v>-5.2898228758119559E-2</c:v>
                </c:pt>
                <c:pt idx="377">
                  <c:v>-5.932246662879459E-2</c:v>
                </c:pt>
                <c:pt idx="378">
                  <c:v>-8.6052543084444405E-2</c:v>
                </c:pt>
                <c:pt idx="379">
                  <c:v>-0.10128519074370371</c:v>
                </c:pt>
                <c:pt idx="380">
                  <c:v>-9.9982775250054667E-2</c:v>
                </c:pt>
                <c:pt idx="381">
                  <c:v>-8.1856598059603658E-2</c:v>
                </c:pt>
                <c:pt idx="382">
                  <c:v>-0.1244490879690483</c:v>
                </c:pt>
                <c:pt idx="383">
                  <c:v>-0.12264305483631546</c:v>
                </c:pt>
                <c:pt idx="384">
                  <c:v>-0.12695013071393343</c:v>
                </c:pt>
                <c:pt idx="385">
                  <c:v>-0.18505270878484392</c:v>
                </c:pt>
                <c:pt idx="386">
                  <c:v>-0.17877557223072735</c:v>
                </c:pt>
                <c:pt idx="387">
                  <c:v>-0.20745585715366513</c:v>
                </c:pt>
                <c:pt idx="388">
                  <c:v>-0.20622222959312037</c:v>
                </c:pt>
                <c:pt idx="389">
                  <c:v>-0.22221225301737563</c:v>
                </c:pt>
                <c:pt idx="390">
                  <c:v>-0.23655793831718672</c:v>
                </c:pt>
                <c:pt idx="391">
                  <c:v>-0.21617505232030657</c:v>
                </c:pt>
                <c:pt idx="392">
                  <c:v>-0.18327802405564708</c:v>
                </c:pt>
                <c:pt idx="393">
                  <c:v>-0.18492590339384499</c:v>
                </c:pt>
                <c:pt idx="394">
                  <c:v>-0.20125807781227678</c:v>
                </c:pt>
                <c:pt idx="395">
                  <c:v>-0.20635753634016213</c:v>
                </c:pt>
                <c:pt idx="396">
                  <c:v>-0.1884427820534616</c:v>
                </c:pt>
                <c:pt idx="397">
                  <c:v>-0.19628999336946268</c:v>
                </c:pt>
                <c:pt idx="398">
                  <c:v>-0.18970039332133745</c:v>
                </c:pt>
                <c:pt idx="399">
                  <c:v>-0.16020798086999913</c:v>
                </c:pt>
                <c:pt idx="400">
                  <c:v>-0.1391632811881777</c:v>
                </c:pt>
                <c:pt idx="401">
                  <c:v>-0.1612245872617119</c:v>
                </c:pt>
                <c:pt idx="402">
                  <c:v>-0.12869740608579666</c:v>
                </c:pt>
                <c:pt idx="403">
                  <c:v>-0.12203049322496605</c:v>
                </c:pt>
                <c:pt idx="404">
                  <c:v>-0.12636492468102539</c:v>
                </c:pt>
                <c:pt idx="405">
                  <c:v>-0.1126475742228315</c:v>
                </c:pt>
                <c:pt idx="406">
                  <c:v>-0.12583515081498331</c:v>
                </c:pt>
                <c:pt idx="407">
                  <c:v>-0.12167734014681031</c:v>
                </c:pt>
                <c:pt idx="408">
                  <c:v>-0.10613658387572862</c:v>
                </c:pt>
                <c:pt idx="409">
                  <c:v>-9.3885669609275677E-2</c:v>
                </c:pt>
                <c:pt idx="410">
                  <c:v>-7.4415771122379709E-2</c:v>
                </c:pt>
                <c:pt idx="411">
                  <c:v>-5.2933237721380866E-2</c:v>
                </c:pt>
                <c:pt idx="412">
                  <c:v>-5.9437515941530197E-2</c:v>
                </c:pt>
                <c:pt idx="413">
                  <c:v>-9.9423593798872223E-2</c:v>
                </c:pt>
                <c:pt idx="414">
                  <c:v>-9.5276600319053759E-2</c:v>
                </c:pt>
                <c:pt idx="415">
                  <c:v>-8.2289130130130228E-2</c:v>
                </c:pt>
                <c:pt idx="416">
                  <c:v>-3.7624891662706043E-2</c:v>
                </c:pt>
                <c:pt idx="417">
                  <c:v>-3.5755542515853708E-2</c:v>
                </c:pt>
                <c:pt idx="418">
                  <c:v>-4.4350014788314546E-2</c:v>
                </c:pt>
                <c:pt idx="419">
                  <c:v>-2.2415291595411446E-2</c:v>
                </c:pt>
                <c:pt idx="420">
                  <c:v>-8.1217001181164358E-3</c:v>
                </c:pt>
                <c:pt idx="421">
                  <c:v>-1.6417698394225397E-2</c:v>
                </c:pt>
                <c:pt idx="422">
                  <c:v>1.8671221017631787E-2</c:v>
                </c:pt>
                <c:pt idx="423">
                  <c:v>6.2138009625443275E-3</c:v>
                </c:pt>
                <c:pt idx="424">
                  <c:v>3.2688359592209573E-2</c:v>
                </c:pt>
                <c:pt idx="425">
                  <c:v>6.765084681200928E-2</c:v>
                </c:pt>
                <c:pt idx="426">
                  <c:v>4.6407975257489437E-2</c:v>
                </c:pt>
                <c:pt idx="427">
                  <c:v>4.2779345389469203E-2</c:v>
                </c:pt>
                <c:pt idx="428">
                  <c:v>6.0561746099172142E-2</c:v>
                </c:pt>
                <c:pt idx="429">
                  <c:v>5.7919138815340589E-2</c:v>
                </c:pt>
                <c:pt idx="430">
                  <c:v>4.6343726009109576E-2</c:v>
                </c:pt>
                <c:pt idx="431">
                  <c:v>5.840951433100923E-2</c:v>
                </c:pt>
                <c:pt idx="432">
                  <c:v>4.5467659928586257E-2</c:v>
                </c:pt>
                <c:pt idx="433">
                  <c:v>3.9721367584732589E-2</c:v>
                </c:pt>
                <c:pt idx="434">
                  <c:v>2.9964687547327735E-2</c:v>
                </c:pt>
                <c:pt idx="435">
                  <c:v>3.9776547020665617E-2</c:v>
                </c:pt>
                <c:pt idx="436">
                  <c:v>4.2414771447198643E-2</c:v>
                </c:pt>
                <c:pt idx="437">
                  <c:v>6.5675825273060651E-2</c:v>
                </c:pt>
                <c:pt idx="438">
                  <c:v>8.575038676353916E-2</c:v>
                </c:pt>
                <c:pt idx="439">
                  <c:v>6.8164439901777799E-2</c:v>
                </c:pt>
                <c:pt idx="440">
                  <c:v>9.2002365349422049E-2</c:v>
                </c:pt>
                <c:pt idx="441">
                  <c:v>7.8420574835286014E-2</c:v>
                </c:pt>
                <c:pt idx="442">
                  <c:v>7.7805691816001318E-2</c:v>
                </c:pt>
                <c:pt idx="443">
                  <c:v>8.4282239856274976E-2</c:v>
                </c:pt>
                <c:pt idx="444">
                  <c:v>9.6373000638429893E-2</c:v>
                </c:pt>
                <c:pt idx="445">
                  <c:v>0.12621084826108292</c:v>
                </c:pt>
                <c:pt idx="446">
                  <c:v>0.13786098730873053</c:v>
                </c:pt>
                <c:pt idx="447">
                  <c:v>0.12548669934000242</c:v>
                </c:pt>
                <c:pt idx="448">
                  <c:v>0.11855108344855647</c:v>
                </c:pt>
                <c:pt idx="449">
                  <c:v>0.13479070172692947</c:v>
                </c:pt>
                <c:pt idx="450">
                  <c:v>0.14036749249450031</c:v>
                </c:pt>
                <c:pt idx="451">
                  <c:v>0.13189764385263375</c:v>
                </c:pt>
                <c:pt idx="452">
                  <c:v>0.15010811422797274</c:v>
                </c:pt>
                <c:pt idx="453">
                  <c:v>0.14597136143901354</c:v>
                </c:pt>
                <c:pt idx="454">
                  <c:v>0.14369668322490367</c:v>
                </c:pt>
                <c:pt idx="455">
                  <c:v>0.13763110639101134</c:v>
                </c:pt>
                <c:pt idx="456">
                  <c:v>0.12593207054329067</c:v>
                </c:pt>
                <c:pt idx="457">
                  <c:v>0.16010825696167985</c:v>
                </c:pt>
                <c:pt idx="458">
                  <c:v>0.14959404281681427</c:v>
                </c:pt>
                <c:pt idx="459">
                  <c:v>0.13586762039831812</c:v>
                </c:pt>
                <c:pt idx="460">
                  <c:v>0.13113784103225104</c:v>
                </c:pt>
                <c:pt idx="461">
                  <c:v>0.13740582528633685</c:v>
                </c:pt>
                <c:pt idx="462">
                  <c:v>0.14185488024596338</c:v>
                </c:pt>
                <c:pt idx="463">
                  <c:v>0.13751968434187106</c:v>
                </c:pt>
                <c:pt idx="464">
                  <c:v>0.15367851659453824</c:v>
                </c:pt>
                <c:pt idx="465">
                  <c:v>0.15268611150353281</c:v>
                </c:pt>
                <c:pt idx="466">
                  <c:v>0.14978499246093357</c:v>
                </c:pt>
                <c:pt idx="467">
                  <c:v>0.13314792608278528</c:v>
                </c:pt>
                <c:pt idx="468">
                  <c:v>0.13494937234479709</c:v>
                </c:pt>
                <c:pt idx="469">
                  <c:v>0.11459116121856899</c:v>
                </c:pt>
                <c:pt idx="470">
                  <c:v>0.12851535839301481</c:v>
                </c:pt>
                <c:pt idx="471">
                  <c:v>0.15358503236187365</c:v>
                </c:pt>
                <c:pt idx="472">
                  <c:v>0.15490687529918898</c:v>
                </c:pt>
                <c:pt idx="473">
                  <c:v>0.17766319152258669</c:v>
                </c:pt>
                <c:pt idx="474">
                  <c:v>0.18078126607711437</c:v>
                </c:pt>
                <c:pt idx="475">
                  <c:v>0.17580797651608421</c:v>
                </c:pt>
                <c:pt idx="476">
                  <c:v>0.13535973067866172</c:v>
                </c:pt>
                <c:pt idx="477">
                  <c:v>0.11480088992313289</c:v>
                </c:pt>
                <c:pt idx="478">
                  <c:v>0.15258489755578525</c:v>
                </c:pt>
                <c:pt idx="479">
                  <c:v>0.13476719031769954</c:v>
                </c:pt>
                <c:pt idx="480">
                  <c:v>0.12734738217830105</c:v>
                </c:pt>
                <c:pt idx="481">
                  <c:v>0.15388511330473975</c:v>
                </c:pt>
                <c:pt idx="482">
                  <c:v>0.15101064959937877</c:v>
                </c:pt>
                <c:pt idx="483">
                  <c:v>0.19694506771156384</c:v>
                </c:pt>
                <c:pt idx="484">
                  <c:v>0.12127838152396994</c:v>
                </c:pt>
                <c:pt idx="485">
                  <c:v>0.12700438280781368</c:v>
                </c:pt>
                <c:pt idx="486">
                  <c:v>0.10392912699872527</c:v>
                </c:pt>
                <c:pt idx="487">
                  <c:v>8.7759090759226388E-2</c:v>
                </c:pt>
                <c:pt idx="488">
                  <c:v>6.8728981535029432E-2</c:v>
                </c:pt>
                <c:pt idx="489">
                  <c:v>8.5159354270934795E-2</c:v>
                </c:pt>
                <c:pt idx="490">
                  <c:v>9.8009526741493602E-2</c:v>
                </c:pt>
                <c:pt idx="491">
                  <c:v>8.8184209557254561E-2</c:v>
                </c:pt>
                <c:pt idx="492">
                  <c:v>9.4282894256339705E-2</c:v>
                </c:pt>
                <c:pt idx="493">
                  <c:v>0.10658632300849288</c:v>
                </c:pt>
                <c:pt idx="494">
                  <c:v>0.13368408675669874</c:v>
                </c:pt>
                <c:pt idx="495">
                  <c:v>0.11468260423428114</c:v>
                </c:pt>
                <c:pt idx="496">
                  <c:v>6.7555197574487302E-2</c:v>
                </c:pt>
                <c:pt idx="497">
                  <c:v>9.8955703058968114E-2</c:v>
                </c:pt>
                <c:pt idx="498">
                  <c:v>8.9781710372769274E-2</c:v>
                </c:pt>
                <c:pt idx="499">
                  <c:v>0.11936780025302507</c:v>
                </c:pt>
                <c:pt idx="500">
                  <c:v>0.10276570043931646</c:v>
                </c:pt>
                <c:pt idx="501">
                  <c:v>9.4575276270820546E-2</c:v>
                </c:pt>
                <c:pt idx="502">
                  <c:v>0.11354815098002907</c:v>
                </c:pt>
                <c:pt idx="503">
                  <c:v>9.0638906200061625E-2</c:v>
                </c:pt>
                <c:pt idx="504">
                  <c:v>9.4765547792960592E-2</c:v>
                </c:pt>
                <c:pt idx="505">
                  <c:v>0.11264243411391417</c:v>
                </c:pt>
                <c:pt idx="506">
                  <c:v>7.9993118683853948E-2</c:v>
                </c:pt>
                <c:pt idx="507">
                  <c:v>6.6842809838804487E-2</c:v>
                </c:pt>
                <c:pt idx="508">
                  <c:v>5.6724202124493223E-2</c:v>
                </c:pt>
                <c:pt idx="509">
                  <c:v>7.5394738714439441E-2</c:v>
                </c:pt>
                <c:pt idx="510">
                  <c:v>7.3353667333701716E-2</c:v>
                </c:pt>
                <c:pt idx="511">
                  <c:v>5.4520851287618535E-2</c:v>
                </c:pt>
                <c:pt idx="512">
                  <c:v>6.9070710379499106E-2</c:v>
                </c:pt>
                <c:pt idx="513">
                  <c:v>6.6613582393219087E-2</c:v>
                </c:pt>
                <c:pt idx="514">
                  <c:v>6.1433544639946297E-2</c:v>
                </c:pt>
                <c:pt idx="515">
                  <c:v>9.8025004543356692E-2</c:v>
                </c:pt>
                <c:pt idx="516">
                  <c:v>0.12681640112453904</c:v>
                </c:pt>
                <c:pt idx="517">
                  <c:v>0.1327372105816311</c:v>
                </c:pt>
                <c:pt idx="518">
                  <c:v>0.13907404364820802</c:v>
                </c:pt>
                <c:pt idx="519">
                  <c:v>0.11932537001646931</c:v>
                </c:pt>
                <c:pt idx="520">
                  <c:v>8.5139078305380894E-2</c:v>
                </c:pt>
                <c:pt idx="521">
                  <c:v>7.4944866261225374E-2</c:v>
                </c:pt>
                <c:pt idx="522">
                  <c:v>8.0579970324812858E-2</c:v>
                </c:pt>
                <c:pt idx="523">
                  <c:v>9.0895939770765169E-2</c:v>
                </c:pt>
                <c:pt idx="524">
                  <c:v>0.10640354780253602</c:v>
                </c:pt>
                <c:pt idx="525">
                  <c:v>0.14067323677613697</c:v>
                </c:pt>
                <c:pt idx="526">
                  <c:v>0.13402152104922005</c:v>
                </c:pt>
                <c:pt idx="527">
                  <c:v>0.17907997920004348</c:v>
                </c:pt>
                <c:pt idx="528">
                  <c:v>0.17500328598933401</c:v>
                </c:pt>
                <c:pt idx="529">
                  <c:v>0.14707291547037019</c:v>
                </c:pt>
                <c:pt idx="530">
                  <c:v>0.1396787110686602</c:v>
                </c:pt>
                <c:pt idx="531">
                  <c:v>0.15454734608964441</c:v>
                </c:pt>
                <c:pt idx="532">
                  <c:v>0.15359227819588328</c:v>
                </c:pt>
                <c:pt idx="533">
                  <c:v>0.13580798572796965</c:v>
                </c:pt>
                <c:pt idx="534">
                  <c:v>0.12036710303978539</c:v>
                </c:pt>
                <c:pt idx="535">
                  <c:v>0.1347589741017009</c:v>
                </c:pt>
                <c:pt idx="536">
                  <c:v>0.11247202507250928</c:v>
                </c:pt>
                <c:pt idx="537">
                  <c:v>0.11413894660717853</c:v>
                </c:pt>
                <c:pt idx="538">
                  <c:v>6.8770988128359967E-2</c:v>
                </c:pt>
                <c:pt idx="539">
                  <c:v>6.5555826841558251E-2</c:v>
                </c:pt>
                <c:pt idx="540">
                  <c:v>6.5542455428130253E-2</c:v>
                </c:pt>
                <c:pt idx="541">
                  <c:v>4.4281749094264793E-2</c:v>
                </c:pt>
                <c:pt idx="542">
                  <c:v>3.6187330148672731E-2</c:v>
                </c:pt>
                <c:pt idx="543">
                  <c:v>-1.2871588788511662E-2</c:v>
                </c:pt>
                <c:pt idx="544">
                  <c:v>2.0838210085275644E-2</c:v>
                </c:pt>
                <c:pt idx="545">
                  <c:v>3.0935733218228068E-3</c:v>
                </c:pt>
                <c:pt idx="546">
                  <c:v>1.910908485251113E-3</c:v>
                </c:pt>
                <c:pt idx="547">
                  <c:v>3.7048757238104579E-2</c:v>
                </c:pt>
                <c:pt idx="548">
                  <c:v>4.5822921499055425E-2</c:v>
                </c:pt>
                <c:pt idx="549">
                  <c:v>4.9865166569302781E-2</c:v>
                </c:pt>
                <c:pt idx="550">
                  <c:v>3.2228367244381384E-2</c:v>
                </c:pt>
                <c:pt idx="551">
                  <c:v>3.9276296528258869E-2</c:v>
                </c:pt>
                <c:pt idx="552">
                  <c:v>2.9503860395184066E-2</c:v>
                </c:pt>
                <c:pt idx="553">
                  <c:v>2.0135660283086661E-2</c:v>
                </c:pt>
                <c:pt idx="554">
                  <c:v>4.5811857104364716E-3</c:v>
                </c:pt>
                <c:pt idx="555">
                  <c:v>8.5840426085397881E-3</c:v>
                </c:pt>
                <c:pt idx="556">
                  <c:v>2.5756123088596067E-2</c:v>
                </c:pt>
                <c:pt idx="557">
                  <c:v>-1.8222500629798313E-2</c:v>
                </c:pt>
                <c:pt idx="558">
                  <c:v>-1.1204320361695524E-2</c:v>
                </c:pt>
                <c:pt idx="559">
                  <c:v>-8.749491091288239E-3</c:v>
                </c:pt>
                <c:pt idx="560">
                  <c:v>-6.0390848839539935E-3</c:v>
                </c:pt>
                <c:pt idx="561">
                  <c:v>-3.9589422796986184E-3</c:v>
                </c:pt>
                <c:pt idx="562">
                  <c:v>-8.8106420163110988E-3</c:v>
                </c:pt>
                <c:pt idx="563">
                  <c:v>7.4691799980961399E-3</c:v>
                </c:pt>
                <c:pt idx="564">
                  <c:v>8.6624444594839423E-3</c:v>
                </c:pt>
                <c:pt idx="565">
                  <c:v>-4.195130222147514E-3</c:v>
                </c:pt>
                <c:pt idx="566">
                  <c:v>-2.6141169940214065E-3</c:v>
                </c:pt>
                <c:pt idx="567">
                  <c:v>2.7012286699284412E-2</c:v>
                </c:pt>
                <c:pt idx="568">
                  <c:v>3.3567793074806403E-2</c:v>
                </c:pt>
                <c:pt idx="569">
                  <c:v>2.9318799119316494E-2</c:v>
                </c:pt>
                <c:pt idx="570">
                  <c:v>4.9931734251880938E-2</c:v>
                </c:pt>
                <c:pt idx="571">
                  <c:v>6.1638028135501004E-2</c:v>
                </c:pt>
                <c:pt idx="572">
                  <c:v>3.7235109197063701E-2</c:v>
                </c:pt>
                <c:pt idx="573">
                  <c:v>2.9902869601678095E-2</c:v>
                </c:pt>
                <c:pt idx="574">
                  <c:v>3.6115436864934972E-2</c:v>
                </c:pt>
                <c:pt idx="575">
                  <c:v>2.9629679916020848E-2</c:v>
                </c:pt>
                <c:pt idx="576">
                  <c:v>2.4372762154147194E-2</c:v>
                </c:pt>
                <c:pt idx="577">
                  <c:v>3.0095369644350133E-2</c:v>
                </c:pt>
                <c:pt idx="578">
                  <c:v>3.4662678492153841E-2</c:v>
                </c:pt>
                <c:pt idx="579">
                  <c:v>5.3885803624647552E-2</c:v>
                </c:pt>
                <c:pt idx="580">
                  <c:v>5.8840875837945658E-2</c:v>
                </c:pt>
                <c:pt idx="581">
                  <c:v>5.1478089218671433E-2</c:v>
                </c:pt>
                <c:pt idx="582">
                  <c:v>4.2976335127499737E-2</c:v>
                </c:pt>
                <c:pt idx="583">
                  <c:v>4.0030547490633707E-2</c:v>
                </c:pt>
                <c:pt idx="584">
                  <c:v>4.7982422016239045E-3</c:v>
                </c:pt>
                <c:pt idx="585">
                  <c:v>-8.49219556609347E-3</c:v>
                </c:pt>
                <c:pt idx="586">
                  <c:v>1.962392361836424E-2</c:v>
                </c:pt>
                <c:pt idx="587">
                  <c:v>-1.9407442016188131E-2</c:v>
                </c:pt>
                <c:pt idx="588">
                  <c:v>-1.6461835003627332E-2</c:v>
                </c:pt>
                <c:pt idx="589">
                  <c:v>-1.9144025333034352E-3</c:v>
                </c:pt>
                <c:pt idx="590">
                  <c:v>2.6982379338658942E-2</c:v>
                </c:pt>
                <c:pt idx="591">
                  <c:v>3.0640245617197578E-3</c:v>
                </c:pt>
                <c:pt idx="592">
                  <c:v>6.8324475852316428E-3</c:v>
                </c:pt>
                <c:pt idx="593">
                  <c:v>2.2011169894453224E-2</c:v>
                </c:pt>
                <c:pt idx="594">
                  <c:v>7.3846106410283635E-2</c:v>
                </c:pt>
                <c:pt idx="595">
                  <c:v>8.2262067738619271E-2</c:v>
                </c:pt>
                <c:pt idx="596">
                  <c:v>9.1749923772894829E-2</c:v>
                </c:pt>
                <c:pt idx="597">
                  <c:v>6.899243490185937E-2</c:v>
                </c:pt>
                <c:pt idx="598">
                  <c:v>0.1157445132677058</c:v>
                </c:pt>
                <c:pt idx="599">
                  <c:v>0.14045882078961958</c:v>
                </c:pt>
                <c:pt idx="600">
                  <c:v>0.12720500416064107</c:v>
                </c:pt>
                <c:pt idx="601">
                  <c:v>0.12539587999998322</c:v>
                </c:pt>
                <c:pt idx="602">
                  <c:v>0.13778595693336734</c:v>
                </c:pt>
                <c:pt idx="603">
                  <c:v>0.14872467464142866</c:v>
                </c:pt>
                <c:pt idx="604">
                  <c:v>0.13443094966937899</c:v>
                </c:pt>
                <c:pt idx="605">
                  <c:v>0.12709277296971408</c:v>
                </c:pt>
                <c:pt idx="606">
                  <c:v>0.12130589398776295</c:v>
                </c:pt>
                <c:pt idx="607">
                  <c:v>9.8288877246297063E-2</c:v>
                </c:pt>
                <c:pt idx="608">
                  <c:v>9.9708632701627581E-2</c:v>
                </c:pt>
                <c:pt idx="609">
                  <c:v>7.8059498758197565E-2</c:v>
                </c:pt>
                <c:pt idx="610">
                  <c:v>8.9855947827014115E-2</c:v>
                </c:pt>
                <c:pt idx="611">
                  <c:v>8.831349894154869E-2</c:v>
                </c:pt>
                <c:pt idx="612">
                  <c:v>8.7830761523995896E-2</c:v>
                </c:pt>
                <c:pt idx="613">
                  <c:v>9.1888706607188911E-2</c:v>
                </c:pt>
                <c:pt idx="614">
                  <c:v>9.4460168212350787E-2</c:v>
                </c:pt>
                <c:pt idx="615">
                  <c:v>0.11053944578396115</c:v>
                </c:pt>
                <c:pt idx="616">
                  <c:v>0.10845703147409747</c:v>
                </c:pt>
                <c:pt idx="617">
                  <c:v>0.11800552000596119</c:v>
                </c:pt>
                <c:pt idx="618">
                  <c:v>0.10958243156897872</c:v>
                </c:pt>
                <c:pt idx="619">
                  <c:v>0.10670154984325322</c:v>
                </c:pt>
                <c:pt idx="620">
                  <c:v>8.9549850665934044E-2</c:v>
                </c:pt>
                <c:pt idx="621">
                  <c:v>0.10147765815799223</c:v>
                </c:pt>
                <c:pt idx="622">
                  <c:v>0.13660006029427493</c:v>
                </c:pt>
                <c:pt idx="623">
                  <c:v>0.13148897025077427</c:v>
                </c:pt>
                <c:pt idx="624">
                  <c:v>0.13488367823110825</c:v>
                </c:pt>
                <c:pt idx="625">
                  <c:v>0.12198931511759617</c:v>
                </c:pt>
                <c:pt idx="626">
                  <c:v>0.11122119298292793</c:v>
                </c:pt>
                <c:pt idx="627">
                  <c:v>9.1395353256460504E-2</c:v>
                </c:pt>
                <c:pt idx="628">
                  <c:v>6.6844683608959371E-2</c:v>
                </c:pt>
                <c:pt idx="629">
                  <c:v>7.5457672151495764E-2</c:v>
                </c:pt>
                <c:pt idx="630">
                  <c:v>6.3831888245173926E-2</c:v>
                </c:pt>
                <c:pt idx="631">
                  <c:v>5.2231500516125892E-2</c:v>
                </c:pt>
                <c:pt idx="632">
                  <c:v>5.5993761189817567E-2</c:v>
                </c:pt>
                <c:pt idx="633">
                  <c:v>5.8981471308940561E-2</c:v>
                </c:pt>
                <c:pt idx="634">
                  <c:v>6.1300529548885346E-2</c:v>
                </c:pt>
                <c:pt idx="635">
                  <c:v>6.1494793211559567E-2</c:v>
                </c:pt>
                <c:pt idx="636">
                  <c:v>5.0088714656507091E-2</c:v>
                </c:pt>
                <c:pt idx="637">
                  <c:v>3.1359859457359029E-2</c:v>
                </c:pt>
                <c:pt idx="638">
                  <c:v>4.8409589041267409E-2</c:v>
                </c:pt>
                <c:pt idx="639">
                  <c:v>3.3261852051276894E-2</c:v>
                </c:pt>
                <c:pt idx="640">
                  <c:v>6.1112310150970253E-2</c:v>
                </c:pt>
                <c:pt idx="641">
                  <c:v>9.5384834139652708E-2</c:v>
                </c:pt>
                <c:pt idx="642">
                  <c:v>2.0552568598095455E-2</c:v>
                </c:pt>
                <c:pt idx="643">
                  <c:v>9.7873479023037058E-3</c:v>
                </c:pt>
                <c:pt idx="644">
                  <c:v>1.2269220013351845E-2</c:v>
                </c:pt>
                <c:pt idx="645">
                  <c:v>3.8978194239718406E-3</c:v>
                </c:pt>
                <c:pt idx="646">
                  <c:v>-8.5605473032076967E-3</c:v>
                </c:pt>
                <c:pt idx="647">
                  <c:v>-1.1737490028747855E-2</c:v>
                </c:pt>
                <c:pt idx="648">
                  <c:v>2.4684528355919944E-4</c:v>
                </c:pt>
                <c:pt idx="649">
                  <c:v>1.4512711892532643E-2</c:v>
                </c:pt>
                <c:pt idx="650">
                  <c:v>-4.8075835856660198E-2</c:v>
                </c:pt>
                <c:pt idx="651">
                  <c:v>-6.8783815470407961E-2</c:v>
                </c:pt>
                <c:pt idx="652">
                  <c:v>-6.5815339317407628E-2</c:v>
                </c:pt>
                <c:pt idx="653">
                  <c:v>-5.6502693878466834E-2</c:v>
                </c:pt>
                <c:pt idx="654">
                  <c:v>-8.0165965343948223E-2</c:v>
                </c:pt>
                <c:pt idx="655">
                  <c:v>-8.2708782701157696E-2</c:v>
                </c:pt>
                <c:pt idx="656">
                  <c:v>-9.9577499525782001E-2</c:v>
                </c:pt>
                <c:pt idx="657">
                  <c:v>-0.11505325031727323</c:v>
                </c:pt>
                <c:pt idx="658">
                  <c:v>-0.11880803912073454</c:v>
                </c:pt>
                <c:pt idx="659">
                  <c:v>-0.15353768082182476</c:v>
                </c:pt>
                <c:pt idx="660">
                  <c:v>-0.14275104044159209</c:v>
                </c:pt>
                <c:pt idx="661">
                  <c:v>-0.12693898651905777</c:v>
                </c:pt>
                <c:pt idx="662">
                  <c:v>-0.12059919788453491</c:v>
                </c:pt>
                <c:pt idx="663">
                  <c:v>-0.1128067800138656</c:v>
                </c:pt>
                <c:pt idx="664">
                  <c:v>-0.10333499479034194</c:v>
                </c:pt>
                <c:pt idx="665">
                  <c:v>-0.11451725101340388</c:v>
                </c:pt>
                <c:pt idx="666">
                  <c:v>-3.1232984922108652E-2</c:v>
                </c:pt>
                <c:pt idx="667">
                  <c:v>-1.4999360423682974E-2</c:v>
                </c:pt>
                <c:pt idx="668">
                  <c:v>-3.2442692239415122E-3</c:v>
                </c:pt>
                <c:pt idx="669">
                  <c:v>2.8817530549503638E-2</c:v>
                </c:pt>
                <c:pt idx="670">
                  <c:v>2.7820652043267467E-2</c:v>
                </c:pt>
                <c:pt idx="671">
                  <c:v>3.0405627461687061E-2</c:v>
                </c:pt>
                <c:pt idx="672">
                  <c:v>2.2332638660725136E-2</c:v>
                </c:pt>
                <c:pt idx="673">
                  <c:v>3.2876850432900243E-2</c:v>
                </c:pt>
                <c:pt idx="674">
                  <c:v>3.5231672916612528E-2</c:v>
                </c:pt>
                <c:pt idx="675">
                  <c:v>2.1965757967182031E-2</c:v>
                </c:pt>
                <c:pt idx="676">
                  <c:v>5.4206335819513875E-2</c:v>
                </c:pt>
                <c:pt idx="677">
                  <c:v>4.5431990375728808E-2</c:v>
                </c:pt>
                <c:pt idx="678">
                  <c:v>5.9802828490414406E-2</c:v>
                </c:pt>
                <c:pt idx="679">
                  <c:v>3.8736296377441956E-2</c:v>
                </c:pt>
                <c:pt idx="680">
                  <c:v>4.9761878937075135E-2</c:v>
                </c:pt>
                <c:pt idx="681">
                  <c:v>5.1356171638333517E-2</c:v>
                </c:pt>
                <c:pt idx="682">
                  <c:v>2.9379239299531738E-2</c:v>
                </c:pt>
                <c:pt idx="683">
                  <c:v>1.6606967544420086E-2</c:v>
                </c:pt>
                <c:pt idx="684">
                  <c:v>-3.8645555421946308E-3</c:v>
                </c:pt>
                <c:pt idx="685">
                  <c:v>-3.7989051689493233E-3</c:v>
                </c:pt>
                <c:pt idx="686">
                  <c:v>1.6302655526916576E-2</c:v>
                </c:pt>
                <c:pt idx="687">
                  <c:v>3.2950133061240512E-2</c:v>
                </c:pt>
                <c:pt idx="688">
                  <c:v>6.5983964914940865E-2</c:v>
                </c:pt>
                <c:pt idx="689">
                  <c:v>5.5088919370118734E-2</c:v>
                </c:pt>
                <c:pt idx="690">
                  <c:v>4.7890045221269828E-2</c:v>
                </c:pt>
                <c:pt idx="691">
                  <c:v>7.3810504856546236E-2</c:v>
                </c:pt>
                <c:pt idx="692">
                  <c:v>6.540598390468727E-2</c:v>
                </c:pt>
                <c:pt idx="693">
                  <c:v>5.7059150882762581E-2</c:v>
                </c:pt>
                <c:pt idx="694">
                  <c:v>4.2710674158384226E-2</c:v>
                </c:pt>
                <c:pt idx="695">
                  <c:v>4.0741905645865356E-2</c:v>
                </c:pt>
                <c:pt idx="696">
                  <c:v>4.3074410788302611E-2</c:v>
                </c:pt>
                <c:pt idx="697">
                  <c:v>3.7445787433874118E-2</c:v>
                </c:pt>
                <c:pt idx="698">
                  <c:v>3.1427421285777482E-2</c:v>
                </c:pt>
                <c:pt idx="699">
                  <c:v>3.7887750450229456E-2</c:v>
                </c:pt>
                <c:pt idx="700">
                  <c:v>3.982867478325787E-2</c:v>
                </c:pt>
                <c:pt idx="701">
                  <c:v>1.8014860977255485E-2</c:v>
                </c:pt>
                <c:pt idx="702">
                  <c:v>9.0013088187245044E-2</c:v>
                </c:pt>
                <c:pt idx="703">
                  <c:v>0.11035969961263592</c:v>
                </c:pt>
                <c:pt idx="704">
                  <c:v>0.10571607844844048</c:v>
                </c:pt>
                <c:pt idx="705">
                  <c:v>0.15087632002025911</c:v>
                </c:pt>
                <c:pt idx="706">
                  <c:v>0.18852189934704114</c:v>
                </c:pt>
                <c:pt idx="707">
                  <c:v>0.19345678467776473</c:v>
                </c:pt>
                <c:pt idx="708">
                  <c:v>0.16478653020523915</c:v>
                </c:pt>
                <c:pt idx="709">
                  <c:v>0.15872905211533683</c:v>
                </c:pt>
                <c:pt idx="710">
                  <c:v>0.20634562975265355</c:v>
                </c:pt>
                <c:pt idx="711">
                  <c:v>0.23528737109622255</c:v>
                </c:pt>
                <c:pt idx="712">
                  <c:v>0.2253558678670835</c:v>
                </c:pt>
                <c:pt idx="713">
                  <c:v>0.2114012967144584</c:v>
                </c:pt>
                <c:pt idx="714">
                  <c:v>0.19662369549907055</c:v>
                </c:pt>
                <c:pt idx="715">
                  <c:v>0.21799820824136457</c:v>
                </c:pt>
                <c:pt idx="716">
                  <c:v>0.23123242294030183</c:v>
                </c:pt>
                <c:pt idx="717">
                  <c:v>0.25996903218231621</c:v>
                </c:pt>
                <c:pt idx="718">
                  <c:v>0.25277680828707011</c:v>
                </c:pt>
                <c:pt idx="719">
                  <c:v>0.29561550145700088</c:v>
                </c:pt>
                <c:pt idx="720">
                  <c:v>0.28098459159927486</c:v>
                </c:pt>
                <c:pt idx="721">
                  <c:v>0.30265298962573817</c:v>
                </c:pt>
                <c:pt idx="722">
                  <c:v>0.28365979027924404</c:v>
                </c:pt>
                <c:pt idx="723">
                  <c:v>0.2705703655936692</c:v>
                </c:pt>
                <c:pt idx="724">
                  <c:v>0.28160702604343307</c:v>
                </c:pt>
                <c:pt idx="725">
                  <c:v>0.30367687522295789</c:v>
                </c:pt>
                <c:pt idx="726">
                  <c:v>0.21075096130301837</c:v>
                </c:pt>
                <c:pt idx="727">
                  <c:v>0.20546711232052117</c:v>
                </c:pt>
                <c:pt idx="728">
                  <c:v>0.16806334529914024</c:v>
                </c:pt>
                <c:pt idx="729">
                  <c:v>0.16906042544259006</c:v>
                </c:pt>
                <c:pt idx="730">
                  <c:v>0.15920645195284316</c:v>
                </c:pt>
                <c:pt idx="731">
                  <c:v>0.1613301237314691</c:v>
                </c:pt>
                <c:pt idx="732">
                  <c:v>0.18317062617946772</c:v>
                </c:pt>
                <c:pt idx="733">
                  <c:v>0.15413038678802343</c:v>
                </c:pt>
                <c:pt idx="734">
                  <c:v>0.15532816935798494</c:v>
                </c:pt>
                <c:pt idx="735">
                  <c:v>0.17275084865410004</c:v>
                </c:pt>
                <c:pt idx="736">
                  <c:v>0.15045618774598757</c:v>
                </c:pt>
                <c:pt idx="737">
                  <c:v>0.14501786722598919</c:v>
                </c:pt>
                <c:pt idx="738">
                  <c:v>0.13589183781709491</c:v>
                </c:pt>
                <c:pt idx="739">
                  <c:v>0.13449625210826802</c:v>
                </c:pt>
                <c:pt idx="740">
                  <c:v>0.15005993979005594</c:v>
                </c:pt>
                <c:pt idx="741">
                  <c:v>0.17264790157149998</c:v>
                </c:pt>
                <c:pt idx="742">
                  <c:v>0.17144876375927379</c:v>
                </c:pt>
                <c:pt idx="743">
                  <c:v>0.16965656408081209</c:v>
                </c:pt>
                <c:pt idx="744">
                  <c:v>0.17892751988784272</c:v>
                </c:pt>
                <c:pt idx="745">
                  <c:v>0.22838298891550321</c:v>
                </c:pt>
                <c:pt idx="746">
                  <c:v>0.25338256906702161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B6-4CE6-91AB-AFD99C32AD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9010272"/>
        <c:axId val="506315311"/>
      </c:lineChart>
      <c:dateAx>
        <c:axId val="14901027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6315311"/>
        <c:crosses val="autoZero"/>
        <c:auto val="1"/>
        <c:lblOffset val="100"/>
        <c:baseTimeUnit val="days"/>
      </c:dateAx>
      <c:valAx>
        <c:axId val="506315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_);\(0.0%\);\-\-_);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010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ysClr val="window" lastClr="FFFFFF"/>
    </a:solidFill>
    <a:ln w="9525" cap="flat" cmpd="sng" algn="ctr">
      <a:solidFill>
        <a:sysClr val="windowText" lastClr="000000">
          <a:lumMod val="15000"/>
          <a:lumOff val="85000"/>
        </a:sys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Performance vs. Beta Trailing 4 Week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CRH!$D$21:$D$773</c:f>
              <c:numCache>
                <c:formatCode>m/d/yyyy</c:formatCode>
                <c:ptCount val="753"/>
                <c:pt idx="0">
                  <c:v>46044</c:v>
                </c:pt>
                <c:pt idx="1">
                  <c:v>46043</c:v>
                </c:pt>
                <c:pt idx="2">
                  <c:v>46042</c:v>
                </c:pt>
                <c:pt idx="3">
                  <c:v>46038</c:v>
                </c:pt>
                <c:pt idx="4">
                  <c:v>46037</c:v>
                </c:pt>
                <c:pt idx="5">
                  <c:v>46036</c:v>
                </c:pt>
                <c:pt idx="6">
                  <c:v>46035</c:v>
                </c:pt>
                <c:pt idx="7">
                  <c:v>46034</c:v>
                </c:pt>
                <c:pt idx="8">
                  <c:v>46031</c:v>
                </c:pt>
                <c:pt idx="9">
                  <c:v>46030</c:v>
                </c:pt>
                <c:pt idx="10">
                  <c:v>46029</c:v>
                </c:pt>
                <c:pt idx="11">
                  <c:v>46028</c:v>
                </c:pt>
                <c:pt idx="12">
                  <c:v>46027</c:v>
                </c:pt>
                <c:pt idx="13">
                  <c:v>46024</c:v>
                </c:pt>
                <c:pt idx="14">
                  <c:v>46022</c:v>
                </c:pt>
                <c:pt idx="15">
                  <c:v>46021</c:v>
                </c:pt>
                <c:pt idx="16">
                  <c:v>46020</c:v>
                </c:pt>
                <c:pt idx="17">
                  <c:v>46017</c:v>
                </c:pt>
                <c:pt idx="18">
                  <c:v>46015</c:v>
                </c:pt>
                <c:pt idx="19">
                  <c:v>46014</c:v>
                </c:pt>
                <c:pt idx="20">
                  <c:v>46013</c:v>
                </c:pt>
                <c:pt idx="21">
                  <c:v>46010</c:v>
                </c:pt>
                <c:pt idx="22">
                  <c:v>46009</c:v>
                </c:pt>
                <c:pt idx="23">
                  <c:v>46008</c:v>
                </c:pt>
                <c:pt idx="24">
                  <c:v>46007</c:v>
                </c:pt>
                <c:pt idx="25">
                  <c:v>46006</c:v>
                </c:pt>
                <c:pt idx="26">
                  <c:v>46003</c:v>
                </c:pt>
                <c:pt idx="27">
                  <c:v>46002</c:v>
                </c:pt>
                <c:pt idx="28">
                  <c:v>46001</c:v>
                </c:pt>
                <c:pt idx="29">
                  <c:v>46000</c:v>
                </c:pt>
                <c:pt idx="30">
                  <c:v>45999</c:v>
                </c:pt>
                <c:pt idx="31">
                  <c:v>45996</c:v>
                </c:pt>
                <c:pt idx="32">
                  <c:v>45995</c:v>
                </c:pt>
                <c:pt idx="33">
                  <c:v>45994</c:v>
                </c:pt>
                <c:pt idx="34">
                  <c:v>45993</c:v>
                </c:pt>
                <c:pt idx="35">
                  <c:v>45992</c:v>
                </c:pt>
                <c:pt idx="36">
                  <c:v>45989</c:v>
                </c:pt>
                <c:pt idx="37">
                  <c:v>45987</c:v>
                </c:pt>
                <c:pt idx="38">
                  <c:v>45986</c:v>
                </c:pt>
                <c:pt idx="39">
                  <c:v>45985</c:v>
                </c:pt>
                <c:pt idx="40">
                  <c:v>45982</c:v>
                </c:pt>
                <c:pt idx="41">
                  <c:v>45981</c:v>
                </c:pt>
                <c:pt idx="42">
                  <c:v>45980</c:v>
                </c:pt>
                <c:pt idx="43">
                  <c:v>45979</c:v>
                </c:pt>
                <c:pt idx="44">
                  <c:v>45978</c:v>
                </c:pt>
                <c:pt idx="45">
                  <c:v>45975</c:v>
                </c:pt>
                <c:pt idx="46">
                  <c:v>45974</c:v>
                </c:pt>
                <c:pt idx="47">
                  <c:v>45973</c:v>
                </c:pt>
                <c:pt idx="48">
                  <c:v>45972</c:v>
                </c:pt>
                <c:pt idx="49">
                  <c:v>45971</c:v>
                </c:pt>
                <c:pt idx="50">
                  <c:v>45968</c:v>
                </c:pt>
                <c:pt idx="51">
                  <c:v>45967</c:v>
                </c:pt>
                <c:pt idx="52">
                  <c:v>45966</c:v>
                </c:pt>
                <c:pt idx="53">
                  <c:v>45965</c:v>
                </c:pt>
                <c:pt idx="54">
                  <c:v>45964</c:v>
                </c:pt>
                <c:pt idx="55">
                  <c:v>45961</c:v>
                </c:pt>
                <c:pt idx="56">
                  <c:v>45960</c:v>
                </c:pt>
                <c:pt idx="57">
                  <c:v>45959</c:v>
                </c:pt>
                <c:pt idx="58">
                  <c:v>45958</c:v>
                </c:pt>
                <c:pt idx="59">
                  <c:v>45957</c:v>
                </c:pt>
                <c:pt idx="60">
                  <c:v>45954</c:v>
                </c:pt>
                <c:pt idx="61">
                  <c:v>45953</c:v>
                </c:pt>
                <c:pt idx="62">
                  <c:v>45952</c:v>
                </c:pt>
                <c:pt idx="63">
                  <c:v>45951</c:v>
                </c:pt>
                <c:pt idx="64">
                  <c:v>45950</c:v>
                </c:pt>
                <c:pt idx="65">
                  <c:v>45947</c:v>
                </c:pt>
                <c:pt idx="66">
                  <c:v>45946</c:v>
                </c:pt>
                <c:pt idx="67">
                  <c:v>45945</c:v>
                </c:pt>
                <c:pt idx="68">
                  <c:v>45944</c:v>
                </c:pt>
                <c:pt idx="69">
                  <c:v>45943</c:v>
                </c:pt>
                <c:pt idx="70">
                  <c:v>45940</c:v>
                </c:pt>
                <c:pt idx="71">
                  <c:v>45939</c:v>
                </c:pt>
                <c:pt idx="72">
                  <c:v>45938</c:v>
                </c:pt>
                <c:pt idx="73">
                  <c:v>45937</c:v>
                </c:pt>
                <c:pt idx="74">
                  <c:v>45936</c:v>
                </c:pt>
                <c:pt idx="75">
                  <c:v>45933</c:v>
                </c:pt>
                <c:pt idx="76">
                  <c:v>45932</c:v>
                </c:pt>
                <c:pt idx="77">
                  <c:v>45931</c:v>
                </c:pt>
                <c:pt idx="78">
                  <c:v>45930</c:v>
                </c:pt>
                <c:pt idx="79">
                  <c:v>45929</c:v>
                </c:pt>
                <c:pt idx="80">
                  <c:v>45926</c:v>
                </c:pt>
                <c:pt idx="81">
                  <c:v>45925</c:v>
                </c:pt>
                <c:pt idx="82">
                  <c:v>45924</c:v>
                </c:pt>
                <c:pt idx="83">
                  <c:v>45923</c:v>
                </c:pt>
                <c:pt idx="84">
                  <c:v>45922</c:v>
                </c:pt>
                <c:pt idx="85">
                  <c:v>45919</c:v>
                </c:pt>
                <c:pt idx="86">
                  <c:v>45918</c:v>
                </c:pt>
                <c:pt idx="87">
                  <c:v>45917</c:v>
                </c:pt>
                <c:pt idx="88">
                  <c:v>45916</c:v>
                </c:pt>
                <c:pt idx="89">
                  <c:v>45915</c:v>
                </c:pt>
                <c:pt idx="90">
                  <c:v>45912</c:v>
                </c:pt>
                <c:pt idx="91">
                  <c:v>45911</c:v>
                </c:pt>
                <c:pt idx="92">
                  <c:v>45910</c:v>
                </c:pt>
                <c:pt idx="93">
                  <c:v>45909</c:v>
                </c:pt>
                <c:pt idx="94">
                  <c:v>45908</c:v>
                </c:pt>
                <c:pt idx="95">
                  <c:v>45905</c:v>
                </c:pt>
                <c:pt idx="96">
                  <c:v>45904</c:v>
                </c:pt>
                <c:pt idx="97">
                  <c:v>45903</c:v>
                </c:pt>
                <c:pt idx="98">
                  <c:v>45902</c:v>
                </c:pt>
                <c:pt idx="99">
                  <c:v>45898</c:v>
                </c:pt>
                <c:pt idx="100">
                  <c:v>45897</c:v>
                </c:pt>
                <c:pt idx="101">
                  <c:v>45896</c:v>
                </c:pt>
                <c:pt idx="102">
                  <c:v>45895</c:v>
                </c:pt>
                <c:pt idx="103">
                  <c:v>45894</c:v>
                </c:pt>
                <c:pt idx="104">
                  <c:v>45891</c:v>
                </c:pt>
                <c:pt idx="105">
                  <c:v>45890</c:v>
                </c:pt>
                <c:pt idx="106">
                  <c:v>45889</c:v>
                </c:pt>
                <c:pt idx="107">
                  <c:v>45888</c:v>
                </c:pt>
                <c:pt idx="108">
                  <c:v>45887</c:v>
                </c:pt>
                <c:pt idx="109">
                  <c:v>45884</c:v>
                </c:pt>
                <c:pt idx="110">
                  <c:v>45883</c:v>
                </c:pt>
                <c:pt idx="111">
                  <c:v>45882</c:v>
                </c:pt>
                <c:pt idx="112">
                  <c:v>45881</c:v>
                </c:pt>
                <c:pt idx="113">
                  <c:v>45880</c:v>
                </c:pt>
                <c:pt idx="114">
                  <c:v>45877</c:v>
                </c:pt>
                <c:pt idx="115">
                  <c:v>45876</c:v>
                </c:pt>
                <c:pt idx="116">
                  <c:v>45875</c:v>
                </c:pt>
                <c:pt idx="117">
                  <c:v>45874</c:v>
                </c:pt>
                <c:pt idx="118">
                  <c:v>45873</c:v>
                </c:pt>
                <c:pt idx="119">
                  <c:v>45870</c:v>
                </c:pt>
                <c:pt idx="120">
                  <c:v>45869</c:v>
                </c:pt>
                <c:pt idx="121">
                  <c:v>45868</c:v>
                </c:pt>
                <c:pt idx="122">
                  <c:v>45867</c:v>
                </c:pt>
                <c:pt idx="123">
                  <c:v>45866</c:v>
                </c:pt>
                <c:pt idx="124">
                  <c:v>45863</c:v>
                </c:pt>
                <c:pt idx="125">
                  <c:v>45862</c:v>
                </c:pt>
                <c:pt idx="126">
                  <c:v>45861</c:v>
                </c:pt>
                <c:pt idx="127">
                  <c:v>45860</c:v>
                </c:pt>
                <c:pt idx="128">
                  <c:v>45859</c:v>
                </c:pt>
                <c:pt idx="129">
                  <c:v>45856</c:v>
                </c:pt>
                <c:pt idx="130">
                  <c:v>45855</c:v>
                </c:pt>
                <c:pt idx="131">
                  <c:v>45854</c:v>
                </c:pt>
                <c:pt idx="132">
                  <c:v>45853</c:v>
                </c:pt>
                <c:pt idx="133">
                  <c:v>45852</c:v>
                </c:pt>
                <c:pt idx="134">
                  <c:v>45849</c:v>
                </c:pt>
                <c:pt idx="135">
                  <c:v>45848</c:v>
                </c:pt>
                <c:pt idx="136">
                  <c:v>45847</c:v>
                </c:pt>
                <c:pt idx="137">
                  <c:v>45846</c:v>
                </c:pt>
                <c:pt idx="138">
                  <c:v>45845</c:v>
                </c:pt>
                <c:pt idx="139">
                  <c:v>45841</c:v>
                </c:pt>
                <c:pt idx="140">
                  <c:v>45840</c:v>
                </c:pt>
                <c:pt idx="141">
                  <c:v>45839</c:v>
                </c:pt>
                <c:pt idx="142">
                  <c:v>45838</c:v>
                </c:pt>
                <c:pt idx="143">
                  <c:v>45835</c:v>
                </c:pt>
                <c:pt idx="144">
                  <c:v>45834</c:v>
                </c:pt>
                <c:pt idx="145">
                  <c:v>45833</c:v>
                </c:pt>
                <c:pt idx="146">
                  <c:v>45832</c:v>
                </c:pt>
                <c:pt idx="147">
                  <c:v>45831</c:v>
                </c:pt>
                <c:pt idx="148">
                  <c:v>45828</c:v>
                </c:pt>
                <c:pt idx="149">
                  <c:v>45826</c:v>
                </c:pt>
                <c:pt idx="150">
                  <c:v>45825</c:v>
                </c:pt>
                <c:pt idx="151">
                  <c:v>45824</c:v>
                </c:pt>
                <c:pt idx="152">
                  <c:v>45821</c:v>
                </c:pt>
                <c:pt idx="153">
                  <c:v>45820</c:v>
                </c:pt>
                <c:pt idx="154">
                  <c:v>45819</c:v>
                </c:pt>
                <c:pt idx="155">
                  <c:v>45818</c:v>
                </c:pt>
                <c:pt idx="156">
                  <c:v>45817</c:v>
                </c:pt>
                <c:pt idx="157">
                  <c:v>45814</c:v>
                </c:pt>
                <c:pt idx="158">
                  <c:v>45813</c:v>
                </c:pt>
                <c:pt idx="159">
                  <c:v>45812</c:v>
                </c:pt>
                <c:pt idx="160">
                  <c:v>45811</c:v>
                </c:pt>
                <c:pt idx="161">
                  <c:v>45810</c:v>
                </c:pt>
                <c:pt idx="162">
                  <c:v>45807</c:v>
                </c:pt>
                <c:pt idx="163">
                  <c:v>45806</c:v>
                </c:pt>
                <c:pt idx="164">
                  <c:v>45805</c:v>
                </c:pt>
                <c:pt idx="165">
                  <c:v>45804</c:v>
                </c:pt>
                <c:pt idx="166">
                  <c:v>45800</c:v>
                </c:pt>
                <c:pt idx="167">
                  <c:v>45799</c:v>
                </c:pt>
                <c:pt idx="168">
                  <c:v>45798</c:v>
                </c:pt>
                <c:pt idx="169">
                  <c:v>45797</c:v>
                </c:pt>
                <c:pt idx="170">
                  <c:v>45796</c:v>
                </c:pt>
                <c:pt idx="171">
                  <c:v>45793</c:v>
                </c:pt>
                <c:pt idx="172">
                  <c:v>45792</c:v>
                </c:pt>
                <c:pt idx="173">
                  <c:v>45791</c:v>
                </c:pt>
                <c:pt idx="174">
                  <c:v>45790</c:v>
                </c:pt>
                <c:pt idx="175">
                  <c:v>45789</c:v>
                </c:pt>
                <c:pt idx="176">
                  <c:v>45786</c:v>
                </c:pt>
                <c:pt idx="177">
                  <c:v>45785</c:v>
                </c:pt>
                <c:pt idx="178">
                  <c:v>45784</c:v>
                </c:pt>
                <c:pt idx="179">
                  <c:v>45783</c:v>
                </c:pt>
                <c:pt idx="180">
                  <c:v>45782</c:v>
                </c:pt>
                <c:pt idx="181">
                  <c:v>45779</c:v>
                </c:pt>
                <c:pt idx="182">
                  <c:v>45778</c:v>
                </c:pt>
                <c:pt idx="183">
                  <c:v>45777</c:v>
                </c:pt>
                <c:pt idx="184">
                  <c:v>45776</c:v>
                </c:pt>
                <c:pt idx="185">
                  <c:v>45775</c:v>
                </c:pt>
                <c:pt idx="186">
                  <c:v>45772</c:v>
                </c:pt>
                <c:pt idx="187">
                  <c:v>45771</c:v>
                </c:pt>
                <c:pt idx="188">
                  <c:v>45770</c:v>
                </c:pt>
                <c:pt idx="189">
                  <c:v>45769</c:v>
                </c:pt>
                <c:pt idx="190">
                  <c:v>45768</c:v>
                </c:pt>
                <c:pt idx="191">
                  <c:v>45764</c:v>
                </c:pt>
                <c:pt idx="192">
                  <c:v>45763</c:v>
                </c:pt>
                <c:pt idx="193">
                  <c:v>45762</c:v>
                </c:pt>
                <c:pt idx="194">
                  <c:v>45761</c:v>
                </c:pt>
                <c:pt idx="195">
                  <c:v>45758</c:v>
                </c:pt>
                <c:pt idx="196">
                  <c:v>45757</c:v>
                </c:pt>
                <c:pt idx="197">
                  <c:v>45756</c:v>
                </c:pt>
                <c:pt idx="198">
                  <c:v>45755</c:v>
                </c:pt>
                <c:pt idx="199">
                  <c:v>45754</c:v>
                </c:pt>
                <c:pt idx="200">
                  <c:v>45751</c:v>
                </c:pt>
                <c:pt idx="201">
                  <c:v>45750</c:v>
                </c:pt>
                <c:pt idx="202">
                  <c:v>45749</c:v>
                </c:pt>
                <c:pt idx="203">
                  <c:v>45748</c:v>
                </c:pt>
                <c:pt idx="204">
                  <c:v>45747</c:v>
                </c:pt>
                <c:pt idx="205">
                  <c:v>45744</c:v>
                </c:pt>
                <c:pt idx="206">
                  <c:v>45743</c:v>
                </c:pt>
                <c:pt idx="207">
                  <c:v>45742</c:v>
                </c:pt>
                <c:pt idx="208">
                  <c:v>45741</c:v>
                </c:pt>
                <c:pt idx="209">
                  <c:v>45740</c:v>
                </c:pt>
                <c:pt idx="210">
                  <c:v>45737</c:v>
                </c:pt>
                <c:pt idx="211">
                  <c:v>45736</c:v>
                </c:pt>
                <c:pt idx="212">
                  <c:v>45735</c:v>
                </c:pt>
                <c:pt idx="213">
                  <c:v>45734</c:v>
                </c:pt>
                <c:pt idx="214">
                  <c:v>45733</c:v>
                </c:pt>
                <c:pt idx="215">
                  <c:v>45730</c:v>
                </c:pt>
                <c:pt idx="216">
                  <c:v>45729</c:v>
                </c:pt>
                <c:pt idx="217">
                  <c:v>45728</c:v>
                </c:pt>
                <c:pt idx="218">
                  <c:v>45727</c:v>
                </c:pt>
                <c:pt idx="219">
                  <c:v>45726</c:v>
                </c:pt>
                <c:pt idx="220">
                  <c:v>45723</c:v>
                </c:pt>
                <c:pt idx="221">
                  <c:v>45722</c:v>
                </c:pt>
                <c:pt idx="222">
                  <c:v>45721</c:v>
                </c:pt>
                <c:pt idx="223">
                  <c:v>45720</c:v>
                </c:pt>
                <c:pt idx="224">
                  <c:v>45719</c:v>
                </c:pt>
                <c:pt idx="225">
                  <c:v>45716</c:v>
                </c:pt>
                <c:pt idx="226">
                  <c:v>45715</c:v>
                </c:pt>
                <c:pt idx="227">
                  <c:v>45714</c:v>
                </c:pt>
                <c:pt idx="228">
                  <c:v>45713</c:v>
                </c:pt>
                <c:pt idx="229">
                  <c:v>45712</c:v>
                </c:pt>
                <c:pt idx="230">
                  <c:v>45709</c:v>
                </c:pt>
                <c:pt idx="231">
                  <c:v>45708</c:v>
                </c:pt>
                <c:pt idx="232">
                  <c:v>45707</c:v>
                </c:pt>
                <c:pt idx="233">
                  <c:v>45706</c:v>
                </c:pt>
                <c:pt idx="234">
                  <c:v>45702</c:v>
                </c:pt>
                <c:pt idx="235">
                  <c:v>45701</c:v>
                </c:pt>
                <c:pt idx="236">
                  <c:v>45700</c:v>
                </c:pt>
                <c:pt idx="237">
                  <c:v>45699</c:v>
                </c:pt>
                <c:pt idx="238">
                  <c:v>45698</c:v>
                </c:pt>
                <c:pt idx="239">
                  <c:v>45695</c:v>
                </c:pt>
                <c:pt idx="240">
                  <c:v>45694</c:v>
                </c:pt>
                <c:pt idx="241">
                  <c:v>45693</c:v>
                </c:pt>
                <c:pt idx="242">
                  <c:v>45692</c:v>
                </c:pt>
                <c:pt idx="243">
                  <c:v>45691</c:v>
                </c:pt>
                <c:pt idx="244">
                  <c:v>45688</c:v>
                </c:pt>
                <c:pt idx="245">
                  <c:v>45687</c:v>
                </c:pt>
                <c:pt idx="246">
                  <c:v>45686</c:v>
                </c:pt>
                <c:pt idx="247">
                  <c:v>45685</c:v>
                </c:pt>
                <c:pt idx="248">
                  <c:v>45684</c:v>
                </c:pt>
                <c:pt idx="249">
                  <c:v>45681</c:v>
                </c:pt>
                <c:pt idx="250">
                  <c:v>45680</c:v>
                </c:pt>
                <c:pt idx="251">
                  <c:v>45679</c:v>
                </c:pt>
                <c:pt idx="252">
                  <c:v>45678</c:v>
                </c:pt>
                <c:pt idx="253">
                  <c:v>45674</c:v>
                </c:pt>
                <c:pt idx="254">
                  <c:v>45673</c:v>
                </c:pt>
                <c:pt idx="255">
                  <c:v>45672</c:v>
                </c:pt>
                <c:pt idx="256">
                  <c:v>45671</c:v>
                </c:pt>
                <c:pt idx="257">
                  <c:v>45670</c:v>
                </c:pt>
                <c:pt idx="258">
                  <c:v>45667</c:v>
                </c:pt>
                <c:pt idx="259">
                  <c:v>45665</c:v>
                </c:pt>
                <c:pt idx="260">
                  <c:v>45664</c:v>
                </c:pt>
                <c:pt idx="261">
                  <c:v>45663</c:v>
                </c:pt>
                <c:pt idx="262">
                  <c:v>45660</c:v>
                </c:pt>
                <c:pt idx="263">
                  <c:v>45659</c:v>
                </c:pt>
                <c:pt idx="264">
                  <c:v>45657</c:v>
                </c:pt>
                <c:pt idx="265">
                  <c:v>45656</c:v>
                </c:pt>
                <c:pt idx="266">
                  <c:v>45653</c:v>
                </c:pt>
                <c:pt idx="267">
                  <c:v>45652</c:v>
                </c:pt>
                <c:pt idx="268">
                  <c:v>45650</c:v>
                </c:pt>
                <c:pt idx="269">
                  <c:v>45649</c:v>
                </c:pt>
                <c:pt idx="270">
                  <c:v>45646</c:v>
                </c:pt>
                <c:pt idx="271">
                  <c:v>45645</c:v>
                </c:pt>
                <c:pt idx="272">
                  <c:v>45644</c:v>
                </c:pt>
                <c:pt idx="273">
                  <c:v>45643</c:v>
                </c:pt>
                <c:pt idx="274">
                  <c:v>45642</c:v>
                </c:pt>
                <c:pt idx="275">
                  <c:v>45639</c:v>
                </c:pt>
                <c:pt idx="276">
                  <c:v>45638</c:v>
                </c:pt>
                <c:pt idx="277">
                  <c:v>45637</c:v>
                </c:pt>
                <c:pt idx="278">
                  <c:v>45636</c:v>
                </c:pt>
                <c:pt idx="279">
                  <c:v>45635</c:v>
                </c:pt>
                <c:pt idx="280">
                  <c:v>45632</c:v>
                </c:pt>
                <c:pt idx="281">
                  <c:v>45631</c:v>
                </c:pt>
                <c:pt idx="282">
                  <c:v>45630</c:v>
                </c:pt>
                <c:pt idx="283">
                  <c:v>45629</c:v>
                </c:pt>
                <c:pt idx="284">
                  <c:v>45628</c:v>
                </c:pt>
                <c:pt idx="285">
                  <c:v>45625</c:v>
                </c:pt>
                <c:pt idx="286">
                  <c:v>45623</c:v>
                </c:pt>
                <c:pt idx="287">
                  <c:v>45622</c:v>
                </c:pt>
                <c:pt idx="288">
                  <c:v>45621</c:v>
                </c:pt>
                <c:pt idx="289">
                  <c:v>45618</c:v>
                </c:pt>
                <c:pt idx="290">
                  <c:v>45617</c:v>
                </c:pt>
                <c:pt idx="291">
                  <c:v>45616</c:v>
                </c:pt>
                <c:pt idx="292">
                  <c:v>45615</c:v>
                </c:pt>
                <c:pt idx="293">
                  <c:v>45614</c:v>
                </c:pt>
                <c:pt idx="294">
                  <c:v>45611</c:v>
                </c:pt>
                <c:pt idx="295">
                  <c:v>45610</c:v>
                </c:pt>
                <c:pt idx="296">
                  <c:v>45609</c:v>
                </c:pt>
                <c:pt idx="297">
                  <c:v>45608</c:v>
                </c:pt>
                <c:pt idx="298">
                  <c:v>45607</c:v>
                </c:pt>
                <c:pt idx="299">
                  <c:v>45604</c:v>
                </c:pt>
                <c:pt idx="300">
                  <c:v>45603</c:v>
                </c:pt>
                <c:pt idx="301">
                  <c:v>45602</c:v>
                </c:pt>
                <c:pt idx="302">
                  <c:v>45601</c:v>
                </c:pt>
                <c:pt idx="303">
                  <c:v>45600</c:v>
                </c:pt>
                <c:pt idx="304">
                  <c:v>45597</c:v>
                </c:pt>
                <c:pt idx="305">
                  <c:v>45596</c:v>
                </c:pt>
                <c:pt idx="306">
                  <c:v>45595</c:v>
                </c:pt>
                <c:pt idx="307">
                  <c:v>45594</c:v>
                </c:pt>
                <c:pt idx="308">
                  <c:v>45593</c:v>
                </c:pt>
                <c:pt idx="309">
                  <c:v>45590</c:v>
                </c:pt>
                <c:pt idx="310">
                  <c:v>45589</c:v>
                </c:pt>
                <c:pt idx="311">
                  <c:v>45588</c:v>
                </c:pt>
                <c:pt idx="312">
                  <c:v>45587</c:v>
                </c:pt>
                <c:pt idx="313">
                  <c:v>45586</c:v>
                </c:pt>
                <c:pt idx="314">
                  <c:v>45583</c:v>
                </c:pt>
                <c:pt idx="315">
                  <c:v>45582</c:v>
                </c:pt>
                <c:pt idx="316">
                  <c:v>45581</c:v>
                </c:pt>
                <c:pt idx="317">
                  <c:v>45580</c:v>
                </c:pt>
                <c:pt idx="318">
                  <c:v>45579</c:v>
                </c:pt>
                <c:pt idx="319">
                  <c:v>45576</c:v>
                </c:pt>
                <c:pt idx="320">
                  <c:v>45575</c:v>
                </c:pt>
                <c:pt idx="321">
                  <c:v>45574</c:v>
                </c:pt>
                <c:pt idx="322">
                  <c:v>45573</c:v>
                </c:pt>
                <c:pt idx="323">
                  <c:v>45572</c:v>
                </c:pt>
                <c:pt idx="324">
                  <c:v>45569</c:v>
                </c:pt>
                <c:pt idx="325">
                  <c:v>45568</c:v>
                </c:pt>
                <c:pt idx="326">
                  <c:v>45567</c:v>
                </c:pt>
                <c:pt idx="327">
                  <c:v>45566</c:v>
                </c:pt>
                <c:pt idx="328">
                  <c:v>45565</c:v>
                </c:pt>
                <c:pt idx="329">
                  <c:v>45562</c:v>
                </c:pt>
                <c:pt idx="330">
                  <c:v>45561</c:v>
                </c:pt>
                <c:pt idx="331">
                  <c:v>45560</c:v>
                </c:pt>
                <c:pt idx="332">
                  <c:v>45559</c:v>
                </c:pt>
                <c:pt idx="333">
                  <c:v>45558</c:v>
                </c:pt>
                <c:pt idx="334">
                  <c:v>45555</c:v>
                </c:pt>
                <c:pt idx="335">
                  <c:v>45554</c:v>
                </c:pt>
                <c:pt idx="336">
                  <c:v>45553</c:v>
                </c:pt>
                <c:pt idx="337">
                  <c:v>45552</c:v>
                </c:pt>
                <c:pt idx="338">
                  <c:v>45551</c:v>
                </c:pt>
                <c:pt idx="339">
                  <c:v>45548</c:v>
                </c:pt>
                <c:pt idx="340">
                  <c:v>45547</c:v>
                </c:pt>
                <c:pt idx="341">
                  <c:v>45546</c:v>
                </c:pt>
                <c:pt idx="342">
                  <c:v>45545</c:v>
                </c:pt>
                <c:pt idx="343">
                  <c:v>45544</c:v>
                </c:pt>
                <c:pt idx="344">
                  <c:v>45541</c:v>
                </c:pt>
                <c:pt idx="345">
                  <c:v>45540</c:v>
                </c:pt>
                <c:pt idx="346">
                  <c:v>45539</c:v>
                </c:pt>
                <c:pt idx="347">
                  <c:v>45538</c:v>
                </c:pt>
                <c:pt idx="348">
                  <c:v>45534</c:v>
                </c:pt>
                <c:pt idx="349">
                  <c:v>45533</c:v>
                </c:pt>
                <c:pt idx="350">
                  <c:v>45532</c:v>
                </c:pt>
                <c:pt idx="351">
                  <c:v>45531</c:v>
                </c:pt>
                <c:pt idx="352">
                  <c:v>45530</c:v>
                </c:pt>
                <c:pt idx="353">
                  <c:v>45527</c:v>
                </c:pt>
                <c:pt idx="354">
                  <c:v>45526</c:v>
                </c:pt>
                <c:pt idx="355">
                  <c:v>45525</c:v>
                </c:pt>
                <c:pt idx="356">
                  <c:v>45524</c:v>
                </c:pt>
                <c:pt idx="357">
                  <c:v>45523</c:v>
                </c:pt>
                <c:pt idx="358">
                  <c:v>45520</c:v>
                </c:pt>
                <c:pt idx="359">
                  <c:v>45519</c:v>
                </c:pt>
                <c:pt idx="360">
                  <c:v>45518</c:v>
                </c:pt>
                <c:pt idx="361">
                  <c:v>45517</c:v>
                </c:pt>
                <c:pt idx="362">
                  <c:v>45516</c:v>
                </c:pt>
                <c:pt idx="363">
                  <c:v>45513</c:v>
                </c:pt>
                <c:pt idx="364">
                  <c:v>45512</c:v>
                </c:pt>
                <c:pt idx="365">
                  <c:v>45511</c:v>
                </c:pt>
                <c:pt idx="366">
                  <c:v>45510</c:v>
                </c:pt>
                <c:pt idx="367">
                  <c:v>45509</c:v>
                </c:pt>
                <c:pt idx="368">
                  <c:v>45506</c:v>
                </c:pt>
                <c:pt idx="369">
                  <c:v>45505</c:v>
                </c:pt>
                <c:pt idx="370">
                  <c:v>45504</c:v>
                </c:pt>
                <c:pt idx="371">
                  <c:v>45503</c:v>
                </c:pt>
                <c:pt idx="372">
                  <c:v>45502</c:v>
                </c:pt>
                <c:pt idx="373">
                  <c:v>45499</c:v>
                </c:pt>
                <c:pt idx="374">
                  <c:v>45498</c:v>
                </c:pt>
                <c:pt idx="375">
                  <c:v>45497</c:v>
                </c:pt>
                <c:pt idx="376">
                  <c:v>45496</c:v>
                </c:pt>
                <c:pt idx="377">
                  <c:v>45495</c:v>
                </c:pt>
                <c:pt idx="378">
                  <c:v>45492</c:v>
                </c:pt>
                <c:pt idx="379">
                  <c:v>45491</c:v>
                </c:pt>
                <c:pt idx="380">
                  <c:v>45490</c:v>
                </c:pt>
                <c:pt idx="381">
                  <c:v>45489</c:v>
                </c:pt>
                <c:pt idx="382">
                  <c:v>45488</c:v>
                </c:pt>
                <c:pt idx="383">
                  <c:v>45485</c:v>
                </c:pt>
                <c:pt idx="384">
                  <c:v>45484</c:v>
                </c:pt>
                <c:pt idx="385">
                  <c:v>45483</c:v>
                </c:pt>
                <c:pt idx="386">
                  <c:v>45482</c:v>
                </c:pt>
                <c:pt idx="387">
                  <c:v>45481</c:v>
                </c:pt>
                <c:pt idx="388">
                  <c:v>45478</c:v>
                </c:pt>
                <c:pt idx="389">
                  <c:v>45476</c:v>
                </c:pt>
                <c:pt idx="390">
                  <c:v>45475</c:v>
                </c:pt>
                <c:pt idx="391">
                  <c:v>45474</c:v>
                </c:pt>
                <c:pt idx="392">
                  <c:v>45471</c:v>
                </c:pt>
                <c:pt idx="393">
                  <c:v>45470</c:v>
                </c:pt>
                <c:pt idx="394">
                  <c:v>45469</c:v>
                </c:pt>
                <c:pt idx="395">
                  <c:v>45468</c:v>
                </c:pt>
                <c:pt idx="396">
                  <c:v>45467</c:v>
                </c:pt>
                <c:pt idx="397">
                  <c:v>45464</c:v>
                </c:pt>
                <c:pt idx="398">
                  <c:v>45463</c:v>
                </c:pt>
                <c:pt idx="399">
                  <c:v>45461</c:v>
                </c:pt>
                <c:pt idx="400">
                  <c:v>45460</c:v>
                </c:pt>
                <c:pt idx="401">
                  <c:v>45457</c:v>
                </c:pt>
                <c:pt idx="402">
                  <c:v>45456</c:v>
                </c:pt>
                <c:pt idx="403">
                  <c:v>45455</c:v>
                </c:pt>
                <c:pt idx="404">
                  <c:v>45454</c:v>
                </c:pt>
                <c:pt idx="405">
                  <c:v>45453</c:v>
                </c:pt>
                <c:pt idx="406">
                  <c:v>45450</c:v>
                </c:pt>
                <c:pt idx="407">
                  <c:v>45449</c:v>
                </c:pt>
                <c:pt idx="408">
                  <c:v>45448</c:v>
                </c:pt>
                <c:pt idx="409">
                  <c:v>45447</c:v>
                </c:pt>
                <c:pt idx="410">
                  <c:v>45446</c:v>
                </c:pt>
                <c:pt idx="411">
                  <c:v>45443</c:v>
                </c:pt>
                <c:pt idx="412">
                  <c:v>45442</c:v>
                </c:pt>
                <c:pt idx="413">
                  <c:v>45441</c:v>
                </c:pt>
                <c:pt idx="414">
                  <c:v>45440</c:v>
                </c:pt>
                <c:pt idx="415">
                  <c:v>45436</c:v>
                </c:pt>
                <c:pt idx="416">
                  <c:v>45435</c:v>
                </c:pt>
                <c:pt idx="417">
                  <c:v>45434</c:v>
                </c:pt>
                <c:pt idx="418">
                  <c:v>45433</c:v>
                </c:pt>
                <c:pt idx="419">
                  <c:v>45432</c:v>
                </c:pt>
                <c:pt idx="420">
                  <c:v>45429</c:v>
                </c:pt>
                <c:pt idx="421">
                  <c:v>45428</c:v>
                </c:pt>
                <c:pt idx="422">
                  <c:v>45427</c:v>
                </c:pt>
                <c:pt idx="423">
                  <c:v>45426</c:v>
                </c:pt>
                <c:pt idx="424">
                  <c:v>45425</c:v>
                </c:pt>
                <c:pt idx="425">
                  <c:v>45422</c:v>
                </c:pt>
                <c:pt idx="426">
                  <c:v>45421</c:v>
                </c:pt>
                <c:pt idx="427">
                  <c:v>45420</c:v>
                </c:pt>
                <c:pt idx="428">
                  <c:v>45419</c:v>
                </c:pt>
                <c:pt idx="429">
                  <c:v>45418</c:v>
                </c:pt>
                <c:pt idx="430">
                  <c:v>45415</c:v>
                </c:pt>
                <c:pt idx="431">
                  <c:v>45414</c:v>
                </c:pt>
                <c:pt idx="432">
                  <c:v>45413</c:v>
                </c:pt>
                <c:pt idx="433">
                  <c:v>45412</c:v>
                </c:pt>
                <c:pt idx="434">
                  <c:v>45411</c:v>
                </c:pt>
                <c:pt idx="435">
                  <c:v>45408</c:v>
                </c:pt>
                <c:pt idx="436">
                  <c:v>45407</c:v>
                </c:pt>
                <c:pt idx="437">
                  <c:v>45406</c:v>
                </c:pt>
                <c:pt idx="438">
                  <c:v>45405</c:v>
                </c:pt>
                <c:pt idx="439">
                  <c:v>45404</c:v>
                </c:pt>
                <c:pt idx="440">
                  <c:v>45401</c:v>
                </c:pt>
                <c:pt idx="441">
                  <c:v>45400</c:v>
                </c:pt>
                <c:pt idx="442">
                  <c:v>45399</c:v>
                </c:pt>
                <c:pt idx="443">
                  <c:v>45398</c:v>
                </c:pt>
                <c:pt idx="444">
                  <c:v>45397</c:v>
                </c:pt>
                <c:pt idx="445">
                  <c:v>45394</c:v>
                </c:pt>
                <c:pt idx="446">
                  <c:v>45393</c:v>
                </c:pt>
                <c:pt idx="447">
                  <c:v>45392</c:v>
                </c:pt>
                <c:pt idx="448">
                  <c:v>45391</c:v>
                </c:pt>
                <c:pt idx="449">
                  <c:v>45390</c:v>
                </c:pt>
                <c:pt idx="450">
                  <c:v>45387</c:v>
                </c:pt>
                <c:pt idx="451">
                  <c:v>45386</c:v>
                </c:pt>
                <c:pt idx="452">
                  <c:v>45385</c:v>
                </c:pt>
                <c:pt idx="453">
                  <c:v>45384</c:v>
                </c:pt>
                <c:pt idx="454">
                  <c:v>45383</c:v>
                </c:pt>
                <c:pt idx="455">
                  <c:v>45379</c:v>
                </c:pt>
                <c:pt idx="456">
                  <c:v>45378</c:v>
                </c:pt>
                <c:pt idx="457">
                  <c:v>45377</c:v>
                </c:pt>
                <c:pt idx="458">
                  <c:v>45376</c:v>
                </c:pt>
                <c:pt idx="459">
                  <c:v>45373</c:v>
                </c:pt>
                <c:pt idx="460">
                  <c:v>45372</c:v>
                </c:pt>
                <c:pt idx="461">
                  <c:v>45371</c:v>
                </c:pt>
                <c:pt idx="462">
                  <c:v>45370</c:v>
                </c:pt>
                <c:pt idx="463">
                  <c:v>45369</c:v>
                </c:pt>
                <c:pt idx="464">
                  <c:v>45366</c:v>
                </c:pt>
                <c:pt idx="465">
                  <c:v>45365</c:v>
                </c:pt>
                <c:pt idx="466">
                  <c:v>45364</c:v>
                </c:pt>
                <c:pt idx="467">
                  <c:v>45363</c:v>
                </c:pt>
                <c:pt idx="468">
                  <c:v>45362</c:v>
                </c:pt>
                <c:pt idx="469">
                  <c:v>45359</c:v>
                </c:pt>
                <c:pt idx="470">
                  <c:v>45358</c:v>
                </c:pt>
                <c:pt idx="471">
                  <c:v>45357</c:v>
                </c:pt>
                <c:pt idx="472">
                  <c:v>45356</c:v>
                </c:pt>
                <c:pt idx="473">
                  <c:v>45355</c:v>
                </c:pt>
                <c:pt idx="474">
                  <c:v>45352</c:v>
                </c:pt>
                <c:pt idx="475">
                  <c:v>45351</c:v>
                </c:pt>
                <c:pt idx="476">
                  <c:v>45350</c:v>
                </c:pt>
                <c:pt idx="477">
                  <c:v>45349</c:v>
                </c:pt>
                <c:pt idx="478">
                  <c:v>45348</c:v>
                </c:pt>
                <c:pt idx="479">
                  <c:v>45345</c:v>
                </c:pt>
                <c:pt idx="480">
                  <c:v>45344</c:v>
                </c:pt>
                <c:pt idx="481">
                  <c:v>45343</c:v>
                </c:pt>
                <c:pt idx="482">
                  <c:v>45342</c:v>
                </c:pt>
                <c:pt idx="483">
                  <c:v>45338</c:v>
                </c:pt>
                <c:pt idx="484">
                  <c:v>45337</c:v>
                </c:pt>
                <c:pt idx="485">
                  <c:v>45336</c:v>
                </c:pt>
                <c:pt idx="486">
                  <c:v>45335</c:v>
                </c:pt>
                <c:pt idx="487">
                  <c:v>45334</c:v>
                </c:pt>
                <c:pt idx="488">
                  <c:v>45331</c:v>
                </c:pt>
                <c:pt idx="489">
                  <c:v>45330</c:v>
                </c:pt>
                <c:pt idx="490">
                  <c:v>45329</c:v>
                </c:pt>
                <c:pt idx="491">
                  <c:v>45328</c:v>
                </c:pt>
                <c:pt idx="492">
                  <c:v>45327</c:v>
                </c:pt>
                <c:pt idx="493">
                  <c:v>45324</c:v>
                </c:pt>
                <c:pt idx="494">
                  <c:v>45323</c:v>
                </c:pt>
                <c:pt idx="495">
                  <c:v>45322</c:v>
                </c:pt>
                <c:pt idx="496">
                  <c:v>45321</c:v>
                </c:pt>
                <c:pt idx="497">
                  <c:v>45320</c:v>
                </c:pt>
                <c:pt idx="498">
                  <c:v>45317</c:v>
                </c:pt>
                <c:pt idx="499">
                  <c:v>45316</c:v>
                </c:pt>
                <c:pt idx="500">
                  <c:v>45315</c:v>
                </c:pt>
                <c:pt idx="501">
                  <c:v>45314</c:v>
                </c:pt>
                <c:pt idx="502">
                  <c:v>45313</c:v>
                </c:pt>
                <c:pt idx="503">
                  <c:v>45310</c:v>
                </c:pt>
                <c:pt idx="504">
                  <c:v>45309</c:v>
                </c:pt>
                <c:pt idx="505">
                  <c:v>45308</c:v>
                </c:pt>
                <c:pt idx="506">
                  <c:v>45307</c:v>
                </c:pt>
                <c:pt idx="507">
                  <c:v>45303</c:v>
                </c:pt>
                <c:pt idx="508">
                  <c:v>45302</c:v>
                </c:pt>
                <c:pt idx="509">
                  <c:v>45301</c:v>
                </c:pt>
                <c:pt idx="510">
                  <c:v>45300</c:v>
                </c:pt>
                <c:pt idx="511">
                  <c:v>45299</c:v>
                </c:pt>
                <c:pt idx="512">
                  <c:v>45296</c:v>
                </c:pt>
                <c:pt idx="513">
                  <c:v>45295</c:v>
                </c:pt>
                <c:pt idx="514">
                  <c:v>45294</c:v>
                </c:pt>
                <c:pt idx="515">
                  <c:v>45293</c:v>
                </c:pt>
                <c:pt idx="516">
                  <c:v>45289</c:v>
                </c:pt>
                <c:pt idx="517">
                  <c:v>45288</c:v>
                </c:pt>
                <c:pt idx="518">
                  <c:v>45287</c:v>
                </c:pt>
                <c:pt idx="519">
                  <c:v>45286</c:v>
                </c:pt>
                <c:pt idx="520">
                  <c:v>45282</c:v>
                </c:pt>
                <c:pt idx="521">
                  <c:v>45281</c:v>
                </c:pt>
                <c:pt idx="522">
                  <c:v>45280</c:v>
                </c:pt>
                <c:pt idx="523">
                  <c:v>45279</c:v>
                </c:pt>
                <c:pt idx="524">
                  <c:v>45278</c:v>
                </c:pt>
                <c:pt idx="525">
                  <c:v>45275</c:v>
                </c:pt>
                <c:pt idx="526">
                  <c:v>45274</c:v>
                </c:pt>
                <c:pt idx="527">
                  <c:v>45273</c:v>
                </c:pt>
                <c:pt idx="528">
                  <c:v>45272</c:v>
                </c:pt>
                <c:pt idx="529">
                  <c:v>45271</c:v>
                </c:pt>
                <c:pt idx="530">
                  <c:v>45268</c:v>
                </c:pt>
                <c:pt idx="531">
                  <c:v>45267</c:v>
                </c:pt>
                <c:pt idx="532">
                  <c:v>45266</c:v>
                </c:pt>
                <c:pt idx="533">
                  <c:v>45265</c:v>
                </c:pt>
                <c:pt idx="534">
                  <c:v>45264</c:v>
                </c:pt>
                <c:pt idx="535">
                  <c:v>45261</c:v>
                </c:pt>
                <c:pt idx="536">
                  <c:v>45260</c:v>
                </c:pt>
                <c:pt idx="537">
                  <c:v>45259</c:v>
                </c:pt>
                <c:pt idx="538">
                  <c:v>45258</c:v>
                </c:pt>
                <c:pt idx="539">
                  <c:v>45257</c:v>
                </c:pt>
                <c:pt idx="540">
                  <c:v>45254</c:v>
                </c:pt>
                <c:pt idx="541">
                  <c:v>45252</c:v>
                </c:pt>
                <c:pt idx="542">
                  <c:v>45251</c:v>
                </c:pt>
                <c:pt idx="543">
                  <c:v>45250</c:v>
                </c:pt>
                <c:pt idx="544">
                  <c:v>45247</c:v>
                </c:pt>
                <c:pt idx="545">
                  <c:v>45246</c:v>
                </c:pt>
                <c:pt idx="546">
                  <c:v>45245</c:v>
                </c:pt>
                <c:pt idx="547">
                  <c:v>45244</c:v>
                </c:pt>
                <c:pt idx="548">
                  <c:v>45243</c:v>
                </c:pt>
                <c:pt idx="549">
                  <c:v>45240</c:v>
                </c:pt>
                <c:pt idx="550">
                  <c:v>45239</c:v>
                </c:pt>
                <c:pt idx="551">
                  <c:v>45238</c:v>
                </c:pt>
                <c:pt idx="552">
                  <c:v>45237</c:v>
                </c:pt>
                <c:pt idx="553">
                  <c:v>45236</c:v>
                </c:pt>
                <c:pt idx="554">
                  <c:v>45233</c:v>
                </c:pt>
                <c:pt idx="555">
                  <c:v>45232</c:v>
                </c:pt>
                <c:pt idx="556">
                  <c:v>45231</c:v>
                </c:pt>
                <c:pt idx="557">
                  <c:v>45230</c:v>
                </c:pt>
                <c:pt idx="558">
                  <c:v>45229</c:v>
                </c:pt>
                <c:pt idx="559">
                  <c:v>45226</c:v>
                </c:pt>
                <c:pt idx="560">
                  <c:v>45225</c:v>
                </c:pt>
                <c:pt idx="561">
                  <c:v>45224</c:v>
                </c:pt>
                <c:pt idx="562">
                  <c:v>45223</c:v>
                </c:pt>
                <c:pt idx="563">
                  <c:v>45222</c:v>
                </c:pt>
                <c:pt idx="564">
                  <c:v>45219</c:v>
                </c:pt>
                <c:pt idx="565">
                  <c:v>45218</c:v>
                </c:pt>
                <c:pt idx="566">
                  <c:v>45217</c:v>
                </c:pt>
                <c:pt idx="567">
                  <c:v>45216</c:v>
                </c:pt>
                <c:pt idx="568">
                  <c:v>45215</c:v>
                </c:pt>
                <c:pt idx="569">
                  <c:v>45212</c:v>
                </c:pt>
                <c:pt idx="570">
                  <c:v>45211</c:v>
                </c:pt>
                <c:pt idx="571">
                  <c:v>45210</c:v>
                </c:pt>
                <c:pt idx="572">
                  <c:v>45209</c:v>
                </c:pt>
                <c:pt idx="573">
                  <c:v>45208</c:v>
                </c:pt>
                <c:pt idx="574">
                  <c:v>45205</c:v>
                </c:pt>
                <c:pt idx="575">
                  <c:v>45204</c:v>
                </c:pt>
                <c:pt idx="576">
                  <c:v>45203</c:v>
                </c:pt>
                <c:pt idx="577">
                  <c:v>45202</c:v>
                </c:pt>
                <c:pt idx="578">
                  <c:v>45201</c:v>
                </c:pt>
                <c:pt idx="579">
                  <c:v>45198</c:v>
                </c:pt>
                <c:pt idx="580">
                  <c:v>45197</c:v>
                </c:pt>
                <c:pt idx="581">
                  <c:v>45196</c:v>
                </c:pt>
                <c:pt idx="582">
                  <c:v>45195</c:v>
                </c:pt>
                <c:pt idx="583">
                  <c:v>45194</c:v>
                </c:pt>
                <c:pt idx="584">
                  <c:v>45191</c:v>
                </c:pt>
                <c:pt idx="585">
                  <c:v>45190</c:v>
                </c:pt>
                <c:pt idx="586">
                  <c:v>45189</c:v>
                </c:pt>
                <c:pt idx="587">
                  <c:v>45188</c:v>
                </c:pt>
                <c:pt idx="588">
                  <c:v>45187</c:v>
                </c:pt>
                <c:pt idx="589">
                  <c:v>45184</c:v>
                </c:pt>
                <c:pt idx="590">
                  <c:v>45183</c:v>
                </c:pt>
                <c:pt idx="591">
                  <c:v>45182</c:v>
                </c:pt>
                <c:pt idx="592">
                  <c:v>45181</c:v>
                </c:pt>
                <c:pt idx="593">
                  <c:v>45180</c:v>
                </c:pt>
                <c:pt idx="594">
                  <c:v>45177</c:v>
                </c:pt>
                <c:pt idx="595">
                  <c:v>45176</c:v>
                </c:pt>
                <c:pt idx="596">
                  <c:v>45175</c:v>
                </c:pt>
                <c:pt idx="597">
                  <c:v>45174</c:v>
                </c:pt>
                <c:pt idx="598">
                  <c:v>45170</c:v>
                </c:pt>
                <c:pt idx="599">
                  <c:v>45169</c:v>
                </c:pt>
                <c:pt idx="600">
                  <c:v>45168</c:v>
                </c:pt>
                <c:pt idx="601">
                  <c:v>45167</c:v>
                </c:pt>
                <c:pt idx="602">
                  <c:v>45166</c:v>
                </c:pt>
                <c:pt idx="603">
                  <c:v>45163</c:v>
                </c:pt>
                <c:pt idx="604">
                  <c:v>45162</c:v>
                </c:pt>
                <c:pt idx="605">
                  <c:v>45161</c:v>
                </c:pt>
                <c:pt idx="606">
                  <c:v>45160</c:v>
                </c:pt>
                <c:pt idx="607">
                  <c:v>45159</c:v>
                </c:pt>
                <c:pt idx="608">
                  <c:v>45156</c:v>
                </c:pt>
                <c:pt idx="609">
                  <c:v>45155</c:v>
                </c:pt>
                <c:pt idx="610">
                  <c:v>45154</c:v>
                </c:pt>
                <c:pt idx="611">
                  <c:v>45153</c:v>
                </c:pt>
                <c:pt idx="612">
                  <c:v>45152</c:v>
                </c:pt>
                <c:pt idx="613">
                  <c:v>45149</c:v>
                </c:pt>
                <c:pt idx="614">
                  <c:v>45148</c:v>
                </c:pt>
                <c:pt idx="615">
                  <c:v>45147</c:v>
                </c:pt>
                <c:pt idx="616">
                  <c:v>45146</c:v>
                </c:pt>
                <c:pt idx="617">
                  <c:v>45145</c:v>
                </c:pt>
                <c:pt idx="618">
                  <c:v>45142</c:v>
                </c:pt>
                <c:pt idx="619">
                  <c:v>45141</c:v>
                </c:pt>
                <c:pt idx="620">
                  <c:v>45140</c:v>
                </c:pt>
                <c:pt idx="621">
                  <c:v>45139</c:v>
                </c:pt>
                <c:pt idx="622">
                  <c:v>45138</c:v>
                </c:pt>
                <c:pt idx="623">
                  <c:v>45135</c:v>
                </c:pt>
                <c:pt idx="624">
                  <c:v>45134</c:v>
                </c:pt>
                <c:pt idx="625">
                  <c:v>45133</c:v>
                </c:pt>
                <c:pt idx="626">
                  <c:v>45132</c:v>
                </c:pt>
                <c:pt idx="627">
                  <c:v>45131</c:v>
                </c:pt>
                <c:pt idx="628">
                  <c:v>45128</c:v>
                </c:pt>
                <c:pt idx="629">
                  <c:v>45127</c:v>
                </c:pt>
                <c:pt idx="630">
                  <c:v>45126</c:v>
                </c:pt>
                <c:pt idx="631">
                  <c:v>45125</c:v>
                </c:pt>
                <c:pt idx="632">
                  <c:v>45124</c:v>
                </c:pt>
                <c:pt idx="633">
                  <c:v>45121</c:v>
                </c:pt>
                <c:pt idx="634">
                  <c:v>45120</c:v>
                </c:pt>
                <c:pt idx="635">
                  <c:v>45119</c:v>
                </c:pt>
                <c:pt idx="636">
                  <c:v>45118</c:v>
                </c:pt>
                <c:pt idx="637">
                  <c:v>45117</c:v>
                </c:pt>
                <c:pt idx="638">
                  <c:v>45114</c:v>
                </c:pt>
                <c:pt idx="639">
                  <c:v>45113</c:v>
                </c:pt>
                <c:pt idx="640">
                  <c:v>45112</c:v>
                </c:pt>
                <c:pt idx="641">
                  <c:v>45110</c:v>
                </c:pt>
                <c:pt idx="642">
                  <c:v>45107</c:v>
                </c:pt>
                <c:pt idx="643">
                  <c:v>45106</c:v>
                </c:pt>
                <c:pt idx="644">
                  <c:v>45105</c:v>
                </c:pt>
                <c:pt idx="645">
                  <c:v>45104</c:v>
                </c:pt>
                <c:pt idx="646">
                  <c:v>45103</c:v>
                </c:pt>
                <c:pt idx="647">
                  <c:v>45100</c:v>
                </c:pt>
                <c:pt idx="648">
                  <c:v>45099</c:v>
                </c:pt>
                <c:pt idx="649">
                  <c:v>45098</c:v>
                </c:pt>
                <c:pt idx="650">
                  <c:v>45097</c:v>
                </c:pt>
                <c:pt idx="651">
                  <c:v>45093</c:v>
                </c:pt>
                <c:pt idx="652">
                  <c:v>45092</c:v>
                </c:pt>
                <c:pt idx="653">
                  <c:v>45091</c:v>
                </c:pt>
                <c:pt idx="654">
                  <c:v>45090</c:v>
                </c:pt>
                <c:pt idx="655">
                  <c:v>45089</c:v>
                </c:pt>
                <c:pt idx="656">
                  <c:v>45086</c:v>
                </c:pt>
                <c:pt idx="657">
                  <c:v>45085</c:v>
                </c:pt>
                <c:pt idx="658">
                  <c:v>45084</c:v>
                </c:pt>
                <c:pt idx="659">
                  <c:v>45083</c:v>
                </c:pt>
                <c:pt idx="660">
                  <c:v>45082</c:v>
                </c:pt>
                <c:pt idx="661">
                  <c:v>45079</c:v>
                </c:pt>
                <c:pt idx="662">
                  <c:v>45078</c:v>
                </c:pt>
                <c:pt idx="663">
                  <c:v>45077</c:v>
                </c:pt>
                <c:pt idx="664">
                  <c:v>45076</c:v>
                </c:pt>
                <c:pt idx="665">
                  <c:v>45072</c:v>
                </c:pt>
                <c:pt idx="666">
                  <c:v>45071</c:v>
                </c:pt>
                <c:pt idx="667">
                  <c:v>45070</c:v>
                </c:pt>
                <c:pt idx="668">
                  <c:v>45069</c:v>
                </c:pt>
                <c:pt idx="669">
                  <c:v>45068</c:v>
                </c:pt>
                <c:pt idx="670">
                  <c:v>45065</c:v>
                </c:pt>
                <c:pt idx="671">
                  <c:v>45064</c:v>
                </c:pt>
                <c:pt idx="672">
                  <c:v>45063</c:v>
                </c:pt>
                <c:pt idx="673">
                  <c:v>45062</c:v>
                </c:pt>
                <c:pt idx="674">
                  <c:v>45061</c:v>
                </c:pt>
                <c:pt idx="675">
                  <c:v>45058</c:v>
                </c:pt>
                <c:pt idx="676">
                  <c:v>45057</c:v>
                </c:pt>
                <c:pt idx="677">
                  <c:v>45056</c:v>
                </c:pt>
                <c:pt idx="678">
                  <c:v>45055</c:v>
                </c:pt>
                <c:pt idx="679">
                  <c:v>45054</c:v>
                </c:pt>
                <c:pt idx="680">
                  <c:v>45051</c:v>
                </c:pt>
                <c:pt idx="681">
                  <c:v>45050</c:v>
                </c:pt>
                <c:pt idx="682">
                  <c:v>45049</c:v>
                </c:pt>
                <c:pt idx="683">
                  <c:v>45048</c:v>
                </c:pt>
                <c:pt idx="684">
                  <c:v>45047</c:v>
                </c:pt>
                <c:pt idx="685">
                  <c:v>45044</c:v>
                </c:pt>
                <c:pt idx="686">
                  <c:v>45043</c:v>
                </c:pt>
                <c:pt idx="687">
                  <c:v>45042</c:v>
                </c:pt>
                <c:pt idx="688">
                  <c:v>45041</c:v>
                </c:pt>
                <c:pt idx="689">
                  <c:v>45040</c:v>
                </c:pt>
                <c:pt idx="690">
                  <c:v>45037</c:v>
                </c:pt>
                <c:pt idx="691">
                  <c:v>45036</c:v>
                </c:pt>
                <c:pt idx="692">
                  <c:v>45035</c:v>
                </c:pt>
                <c:pt idx="693">
                  <c:v>45034</c:v>
                </c:pt>
                <c:pt idx="694">
                  <c:v>45033</c:v>
                </c:pt>
                <c:pt idx="695">
                  <c:v>45030</c:v>
                </c:pt>
                <c:pt idx="696">
                  <c:v>45029</c:v>
                </c:pt>
                <c:pt idx="697">
                  <c:v>45028</c:v>
                </c:pt>
                <c:pt idx="698">
                  <c:v>45027</c:v>
                </c:pt>
                <c:pt idx="699">
                  <c:v>45026</c:v>
                </c:pt>
                <c:pt idx="700">
                  <c:v>45022</c:v>
                </c:pt>
                <c:pt idx="701">
                  <c:v>45021</c:v>
                </c:pt>
                <c:pt idx="702">
                  <c:v>45020</c:v>
                </c:pt>
                <c:pt idx="703">
                  <c:v>45019</c:v>
                </c:pt>
                <c:pt idx="704">
                  <c:v>45016</c:v>
                </c:pt>
                <c:pt idx="705">
                  <c:v>45015</c:v>
                </c:pt>
                <c:pt idx="706">
                  <c:v>45014</c:v>
                </c:pt>
                <c:pt idx="707">
                  <c:v>45013</c:v>
                </c:pt>
                <c:pt idx="708">
                  <c:v>45012</c:v>
                </c:pt>
                <c:pt idx="709">
                  <c:v>45009</c:v>
                </c:pt>
                <c:pt idx="710">
                  <c:v>45008</c:v>
                </c:pt>
                <c:pt idx="711">
                  <c:v>45007</c:v>
                </c:pt>
                <c:pt idx="712">
                  <c:v>45006</c:v>
                </c:pt>
                <c:pt idx="713">
                  <c:v>45005</c:v>
                </c:pt>
                <c:pt idx="714">
                  <c:v>45002</c:v>
                </c:pt>
                <c:pt idx="715">
                  <c:v>45001</c:v>
                </c:pt>
                <c:pt idx="716">
                  <c:v>45000</c:v>
                </c:pt>
                <c:pt idx="717">
                  <c:v>44999</c:v>
                </c:pt>
                <c:pt idx="718">
                  <c:v>44998</c:v>
                </c:pt>
                <c:pt idx="719">
                  <c:v>44995</c:v>
                </c:pt>
                <c:pt idx="720">
                  <c:v>44994</c:v>
                </c:pt>
                <c:pt idx="721">
                  <c:v>44993</c:v>
                </c:pt>
                <c:pt idx="722">
                  <c:v>44992</c:v>
                </c:pt>
                <c:pt idx="723">
                  <c:v>44991</c:v>
                </c:pt>
                <c:pt idx="724">
                  <c:v>44988</c:v>
                </c:pt>
                <c:pt idx="725">
                  <c:v>44987</c:v>
                </c:pt>
                <c:pt idx="726">
                  <c:v>44986</c:v>
                </c:pt>
                <c:pt idx="727">
                  <c:v>44985</c:v>
                </c:pt>
                <c:pt idx="728">
                  <c:v>44984</c:v>
                </c:pt>
                <c:pt idx="729">
                  <c:v>44981</c:v>
                </c:pt>
                <c:pt idx="730">
                  <c:v>44980</c:v>
                </c:pt>
                <c:pt idx="731">
                  <c:v>44979</c:v>
                </c:pt>
                <c:pt idx="732">
                  <c:v>44978</c:v>
                </c:pt>
                <c:pt idx="733">
                  <c:v>44974</c:v>
                </c:pt>
                <c:pt idx="734">
                  <c:v>44973</c:v>
                </c:pt>
                <c:pt idx="735">
                  <c:v>44972</c:v>
                </c:pt>
                <c:pt idx="736">
                  <c:v>44971</c:v>
                </c:pt>
                <c:pt idx="737">
                  <c:v>44970</c:v>
                </c:pt>
                <c:pt idx="738">
                  <c:v>44967</c:v>
                </c:pt>
                <c:pt idx="739">
                  <c:v>44966</c:v>
                </c:pt>
                <c:pt idx="740">
                  <c:v>44965</c:v>
                </c:pt>
                <c:pt idx="741">
                  <c:v>44964</c:v>
                </c:pt>
                <c:pt idx="742">
                  <c:v>44963</c:v>
                </c:pt>
                <c:pt idx="743">
                  <c:v>44960</c:v>
                </c:pt>
                <c:pt idx="744">
                  <c:v>44959</c:v>
                </c:pt>
                <c:pt idx="745">
                  <c:v>44958</c:v>
                </c:pt>
                <c:pt idx="746">
                  <c:v>44957</c:v>
                </c:pt>
              </c:numCache>
            </c:numRef>
          </c:cat>
          <c:val>
            <c:numRef>
              <c:f>CRH!$I$21:$I$773</c:f>
              <c:numCache>
                <c:formatCode>0.0%_);\(0.0%\);\-\-_);@_)</c:formatCode>
                <c:ptCount val="753"/>
                <c:pt idx="0">
                  <c:v>-1.9771758970412008E-2</c:v>
                </c:pt>
                <c:pt idx="1">
                  <c:v>-3.4605534225637065E-2</c:v>
                </c:pt>
                <c:pt idx="2">
                  <c:v>-5.3578163083393214E-2</c:v>
                </c:pt>
                <c:pt idx="3">
                  <c:v>-4.0977994985060363E-2</c:v>
                </c:pt>
                <c:pt idx="4">
                  <c:v>-6.0950176220949663E-2</c:v>
                </c:pt>
                <c:pt idx="5">
                  <c:v>-6.2447647601557105E-2</c:v>
                </c:pt>
                <c:pt idx="6">
                  <c:v>-1.6540652505437944E-2</c:v>
                </c:pt>
                <c:pt idx="7">
                  <c:v>2.1287714179572315E-2</c:v>
                </c:pt>
                <c:pt idx="8">
                  <c:v>3.596970854541745E-2</c:v>
                </c:pt>
                <c:pt idx="9">
                  <c:v>-5.9250643407449868E-3</c:v>
                </c:pt>
                <c:pt idx="10">
                  <c:v>-4.1451545113891604E-2</c:v>
                </c:pt>
                <c:pt idx="11">
                  <c:v>6.6460482459456405E-2</c:v>
                </c:pt>
                <c:pt idx="12">
                  <c:v>5.2643041749289923E-2</c:v>
                </c:pt>
                <c:pt idx="13">
                  <c:v>4.0437970844563971E-2</c:v>
                </c:pt>
                <c:pt idx="14">
                  <c:v>4.9557193140819966E-2</c:v>
                </c:pt>
                <c:pt idx="15">
                  <c:v>3.7618691082497394E-2</c:v>
                </c:pt>
                <c:pt idx="16">
                  <c:v>5.2393195266620951E-2</c:v>
                </c:pt>
                <c:pt idx="17">
                  <c:v>5.8521471792329846E-2</c:v>
                </c:pt>
                <c:pt idx="18">
                  <c:v>6.9766185406102049E-2</c:v>
                </c:pt>
                <c:pt idx="19">
                  <c:v>9.0434824200556568E-2</c:v>
                </c:pt>
                <c:pt idx="20">
                  <c:v>0.10000533698935404</c:v>
                </c:pt>
                <c:pt idx="21">
                  <c:v>9.8440876974408467E-2</c:v>
                </c:pt>
                <c:pt idx="22">
                  <c:v>0.13176793130628539</c:v>
                </c:pt>
                <c:pt idx="23">
                  <c:v>0.11282866155719404</c:v>
                </c:pt>
                <c:pt idx="24">
                  <c:v>0.14117375955774863</c:v>
                </c:pt>
                <c:pt idx="25">
                  <c:v>0.14836290885854658</c:v>
                </c:pt>
                <c:pt idx="26">
                  <c:v>0.12270859906661295</c:v>
                </c:pt>
                <c:pt idx="27">
                  <c:v>0.11182823592232158</c:v>
                </c:pt>
                <c:pt idx="28">
                  <c:v>0.10439919519803897</c:v>
                </c:pt>
                <c:pt idx="29">
                  <c:v>8.387848784636627E-2</c:v>
                </c:pt>
                <c:pt idx="30">
                  <c:v>0.10051875428024362</c:v>
                </c:pt>
                <c:pt idx="31">
                  <c:v>1.5270292681873385E-2</c:v>
                </c:pt>
                <c:pt idx="32">
                  <c:v>3.6253566801432248E-2</c:v>
                </c:pt>
                <c:pt idx="33">
                  <c:v>2.0813360794750671E-2</c:v>
                </c:pt>
                <c:pt idx="34">
                  <c:v>5.6632018691092998E-3</c:v>
                </c:pt>
                <c:pt idx="35">
                  <c:v>9.6807755080312325E-3</c:v>
                </c:pt>
                <c:pt idx="36">
                  <c:v>1.8625486413128913E-2</c:v>
                </c:pt>
                <c:pt idx="37">
                  <c:v>2.3453505982524325E-2</c:v>
                </c:pt>
                <c:pt idx="38">
                  <c:v>-9.777934679874957E-3</c:v>
                </c:pt>
                <c:pt idx="39">
                  <c:v>-4.1739871660271877E-2</c:v>
                </c:pt>
                <c:pt idx="40">
                  <c:v>-5.3427014498716015E-2</c:v>
                </c:pt>
                <c:pt idx="41">
                  <c:v>-4.9037673550155474E-2</c:v>
                </c:pt>
                <c:pt idx="42">
                  <c:v>-4.9328669457297566E-2</c:v>
                </c:pt>
                <c:pt idx="43">
                  <c:v>-6.0780344133796987E-2</c:v>
                </c:pt>
                <c:pt idx="44">
                  <c:v>-5.9834695970567044E-2</c:v>
                </c:pt>
                <c:pt idx="45">
                  <c:v>-7.8883642107853438E-2</c:v>
                </c:pt>
                <c:pt idx="46">
                  <c:v>-6.6944601292965783E-2</c:v>
                </c:pt>
                <c:pt idx="47">
                  <c:v>-7.2534992816110783E-2</c:v>
                </c:pt>
                <c:pt idx="48">
                  <c:v>-9.4781358247523428E-2</c:v>
                </c:pt>
                <c:pt idx="49">
                  <c:v>-5.8916602838233328E-2</c:v>
                </c:pt>
                <c:pt idx="50">
                  <c:v>-5.5913241901451236E-2</c:v>
                </c:pt>
                <c:pt idx="51">
                  <c:v>-2.1628449645988448E-2</c:v>
                </c:pt>
                <c:pt idx="52">
                  <c:v>-2.5573587453888429E-2</c:v>
                </c:pt>
                <c:pt idx="53">
                  <c:v>-1.1659682067759747E-3</c:v>
                </c:pt>
                <c:pt idx="54">
                  <c:v>-1.6698150635872152E-2</c:v>
                </c:pt>
                <c:pt idx="55">
                  <c:v>-2.8006200724112425E-2</c:v>
                </c:pt>
                <c:pt idx="56">
                  <c:v>-5.0721418342045688E-2</c:v>
                </c:pt>
                <c:pt idx="57">
                  <c:v>-4.2337888779183458E-2</c:v>
                </c:pt>
                <c:pt idx="58">
                  <c:v>-3.4886768042304568E-2</c:v>
                </c:pt>
                <c:pt idx="59">
                  <c:v>1.8483233017368365E-2</c:v>
                </c:pt>
                <c:pt idx="60">
                  <c:v>2.9987620858784782E-2</c:v>
                </c:pt>
                <c:pt idx="61">
                  <c:v>3.0116802525016594E-2</c:v>
                </c:pt>
                <c:pt idx="62">
                  <c:v>2.7656783570629853E-2</c:v>
                </c:pt>
                <c:pt idx="63">
                  <c:v>2.210233388802272E-2</c:v>
                </c:pt>
                <c:pt idx="64">
                  <c:v>1.6127285750013782E-2</c:v>
                </c:pt>
                <c:pt idx="65">
                  <c:v>3.8706412982894858E-2</c:v>
                </c:pt>
                <c:pt idx="66">
                  <c:v>4.0372821048175821E-2</c:v>
                </c:pt>
                <c:pt idx="67">
                  <c:v>5.2761627132265496E-2</c:v>
                </c:pt>
                <c:pt idx="68">
                  <c:v>6.0199533599186159E-2</c:v>
                </c:pt>
                <c:pt idx="69">
                  <c:v>3.0258597192630111E-2</c:v>
                </c:pt>
                <c:pt idx="70">
                  <c:v>2.9655691104440333E-2</c:v>
                </c:pt>
                <c:pt idx="71">
                  <c:v>-3.724881157235696E-3</c:v>
                </c:pt>
                <c:pt idx="72">
                  <c:v>1.1991519714540592E-2</c:v>
                </c:pt>
                <c:pt idx="73">
                  <c:v>9.7706441873169556E-3</c:v>
                </c:pt>
                <c:pt idx="74">
                  <c:v>4.7604699271284814E-3</c:v>
                </c:pt>
                <c:pt idx="75">
                  <c:v>2.0014101200705785E-2</c:v>
                </c:pt>
                <c:pt idx="76">
                  <c:v>4.2719293911755281E-2</c:v>
                </c:pt>
                <c:pt idx="77">
                  <c:v>1.4461116267527663E-2</c:v>
                </c:pt>
                <c:pt idx="78">
                  <c:v>2.390668141167037E-2</c:v>
                </c:pt>
                <c:pt idx="79">
                  <c:v>-2.4245072289739392E-2</c:v>
                </c:pt>
                <c:pt idx="80">
                  <c:v>-2.2904320488473622E-2</c:v>
                </c:pt>
                <c:pt idx="81">
                  <c:v>-3.5956487745952406E-2</c:v>
                </c:pt>
                <c:pt idx="82">
                  <c:v>-4.6240382054033899E-2</c:v>
                </c:pt>
                <c:pt idx="83">
                  <c:v>-2.6781153003147408E-2</c:v>
                </c:pt>
                <c:pt idx="84">
                  <c:v>-2.9477434635552392E-2</c:v>
                </c:pt>
                <c:pt idx="85">
                  <c:v>-3.3437400974304393E-2</c:v>
                </c:pt>
                <c:pt idx="86">
                  <c:v>-2.9246587509844414E-2</c:v>
                </c:pt>
                <c:pt idx="87">
                  <c:v>-4.6208199508529169E-2</c:v>
                </c:pt>
                <c:pt idx="88">
                  <c:v>-2.0884036570364382E-2</c:v>
                </c:pt>
                <c:pt idx="89">
                  <c:v>-9.6738128919048386E-3</c:v>
                </c:pt>
                <c:pt idx="90">
                  <c:v>-7.3684436361458154E-3</c:v>
                </c:pt>
                <c:pt idx="91">
                  <c:v>-1.5815037271492673E-2</c:v>
                </c:pt>
                <c:pt idx="92">
                  <c:v>-2.3308401628429232E-2</c:v>
                </c:pt>
                <c:pt idx="93">
                  <c:v>3.7958093250464592E-3</c:v>
                </c:pt>
                <c:pt idx="94">
                  <c:v>4.8461883471896984E-3</c:v>
                </c:pt>
                <c:pt idx="95">
                  <c:v>2.336683044453175E-2</c:v>
                </c:pt>
                <c:pt idx="96">
                  <c:v>0.11300250113204387</c:v>
                </c:pt>
                <c:pt idx="97">
                  <c:v>0.11293673356911216</c:v>
                </c:pt>
                <c:pt idx="98">
                  <c:v>0.11599600343947628</c:v>
                </c:pt>
                <c:pt idx="99">
                  <c:v>0.14153667061386488</c:v>
                </c:pt>
                <c:pt idx="100">
                  <c:v>0.15373173974210874</c:v>
                </c:pt>
                <c:pt idx="101">
                  <c:v>0.14993928514031202</c:v>
                </c:pt>
                <c:pt idx="102">
                  <c:v>0.1562913418815256</c:v>
                </c:pt>
                <c:pt idx="103">
                  <c:v>0.13264624449952048</c:v>
                </c:pt>
                <c:pt idx="104">
                  <c:v>0.11680010350329688</c:v>
                </c:pt>
                <c:pt idx="105">
                  <c:v>0.1380628914364988</c:v>
                </c:pt>
                <c:pt idx="106">
                  <c:v>0.13650792309484414</c:v>
                </c:pt>
                <c:pt idx="107">
                  <c:v>0.15629340952925036</c:v>
                </c:pt>
                <c:pt idx="108">
                  <c:v>0.15419294475754008</c:v>
                </c:pt>
                <c:pt idx="109">
                  <c:v>0.14730274804197896</c:v>
                </c:pt>
                <c:pt idx="110">
                  <c:v>0.16765726628373415</c:v>
                </c:pt>
                <c:pt idx="111">
                  <c:v>0.18223634642546063</c:v>
                </c:pt>
                <c:pt idx="112">
                  <c:v>0.14794072613969786</c:v>
                </c:pt>
                <c:pt idx="113">
                  <c:v>0.11143380555611035</c:v>
                </c:pt>
                <c:pt idx="114">
                  <c:v>0.12136660107381192</c:v>
                </c:pt>
                <c:pt idx="115">
                  <c:v>0.1030467236352106</c:v>
                </c:pt>
                <c:pt idx="116">
                  <c:v>-4.8919115913057323E-3</c:v>
                </c:pt>
                <c:pt idx="117">
                  <c:v>1.9806874055130378E-2</c:v>
                </c:pt>
                <c:pt idx="118">
                  <c:v>2.0698402385501854E-2</c:v>
                </c:pt>
                <c:pt idx="119">
                  <c:v>0</c:v>
                </c:pt>
                <c:pt idx="120">
                  <c:v>-6.8175458712488399E-3</c:v>
                </c:pt>
                <c:pt idx="121">
                  <c:v>-6.1065794496673771E-3</c:v>
                </c:pt>
                <c:pt idx="122">
                  <c:v>6.5204948979518187E-3</c:v>
                </c:pt>
                <c:pt idx="123">
                  <c:v>3.5285205506588764E-2</c:v>
                </c:pt>
                <c:pt idx="124">
                  <c:v>4.8539426572046553E-2</c:v>
                </c:pt>
                <c:pt idx="125">
                  <c:v>4.4628808178651697E-2</c:v>
                </c:pt>
                <c:pt idx="126">
                  <c:v>3.6011628844753181E-2</c:v>
                </c:pt>
                <c:pt idx="127">
                  <c:v>-1.6148633386461192E-3</c:v>
                </c:pt>
                <c:pt idx="128">
                  <c:v>-1.11058480771059E-2</c:v>
                </c:pt>
                <c:pt idx="129">
                  <c:v>-3.0761743002748476E-3</c:v>
                </c:pt>
                <c:pt idx="130">
                  <c:v>-2.3339557864474461E-2</c:v>
                </c:pt>
                <c:pt idx="131">
                  <c:v>-2.5520921093590387E-2</c:v>
                </c:pt>
                <c:pt idx="132">
                  <c:v>-3.8128274941874457E-3</c:v>
                </c:pt>
                <c:pt idx="133">
                  <c:v>-8.893331895142513E-3</c:v>
                </c:pt>
                <c:pt idx="134">
                  <c:v>-1.6969955236576462E-2</c:v>
                </c:pt>
                <c:pt idx="135">
                  <c:v>-1.9979095469854838E-3</c:v>
                </c:pt>
                <c:pt idx="136">
                  <c:v>-9.3363944983410468E-3</c:v>
                </c:pt>
                <c:pt idx="137">
                  <c:v>-3.1147339228782343E-2</c:v>
                </c:pt>
                <c:pt idx="138">
                  <c:v>-2.9652615324813815E-2</c:v>
                </c:pt>
                <c:pt idx="139">
                  <c:v>-2.1342627498743605E-2</c:v>
                </c:pt>
                <c:pt idx="140">
                  <c:v>-1.8291737873226743E-2</c:v>
                </c:pt>
                <c:pt idx="141">
                  <c:v>-3.1003185211361785E-2</c:v>
                </c:pt>
                <c:pt idx="142">
                  <c:v>-5.618440275461524E-2</c:v>
                </c:pt>
                <c:pt idx="143">
                  <c:v>-6.1009405300734156E-2</c:v>
                </c:pt>
                <c:pt idx="144">
                  <c:v>-8.5855492869991917E-2</c:v>
                </c:pt>
                <c:pt idx="145">
                  <c:v>-0.10528387888157233</c:v>
                </c:pt>
                <c:pt idx="146">
                  <c:v>-9.0571219276326692E-2</c:v>
                </c:pt>
                <c:pt idx="147">
                  <c:v>-9.4686769937273804E-2</c:v>
                </c:pt>
                <c:pt idx="148">
                  <c:v>-9.9478629665453761E-2</c:v>
                </c:pt>
                <c:pt idx="149">
                  <c:v>-8.8079785600697985E-2</c:v>
                </c:pt>
                <c:pt idx="150">
                  <c:v>-9.3641001714947492E-2</c:v>
                </c:pt>
                <c:pt idx="151">
                  <c:v>-0.10098766888152637</c:v>
                </c:pt>
                <c:pt idx="152">
                  <c:v>-9.2404669308594201E-2</c:v>
                </c:pt>
                <c:pt idx="153">
                  <c:v>-8.2371999089294601E-2</c:v>
                </c:pt>
                <c:pt idx="154">
                  <c:v>-0.10100916922372834</c:v>
                </c:pt>
                <c:pt idx="155">
                  <c:v>-0.10072623571841674</c:v>
                </c:pt>
                <c:pt idx="156">
                  <c:v>-9.1441231583282517E-2</c:v>
                </c:pt>
                <c:pt idx="157">
                  <c:v>-8.9064378077232373E-2</c:v>
                </c:pt>
                <c:pt idx="158">
                  <c:v>-5.795790871916745E-2</c:v>
                </c:pt>
                <c:pt idx="159">
                  <c:v>-0.11470250715797997</c:v>
                </c:pt>
                <c:pt idx="160">
                  <c:v>-0.14413901209678409</c:v>
                </c:pt>
                <c:pt idx="161">
                  <c:v>-0.13178437691537206</c:v>
                </c:pt>
                <c:pt idx="162">
                  <c:v>-0.12266361355269909</c:v>
                </c:pt>
                <c:pt idx="163">
                  <c:v>-0.11426863701644512</c:v>
                </c:pt>
                <c:pt idx="164">
                  <c:v>-9.0702237122538276E-2</c:v>
                </c:pt>
                <c:pt idx="165">
                  <c:v>-6.6269932098191153E-2</c:v>
                </c:pt>
                <c:pt idx="166">
                  <c:v>-4.6019379068956839E-2</c:v>
                </c:pt>
                <c:pt idx="167">
                  <c:v>-4.0967819704520236E-2</c:v>
                </c:pt>
                <c:pt idx="168">
                  <c:v>-2.7983083839171335E-2</c:v>
                </c:pt>
                <c:pt idx="169">
                  <c:v>-2.8816323827480311E-2</c:v>
                </c:pt>
                <c:pt idx="170">
                  <c:v>-5.6360871160965054E-3</c:v>
                </c:pt>
                <c:pt idx="171">
                  <c:v>4.9364830042561147E-3</c:v>
                </c:pt>
                <c:pt idx="172">
                  <c:v>-3.617818695913072E-3</c:v>
                </c:pt>
                <c:pt idx="173">
                  <c:v>1.7247977868406636E-2</c:v>
                </c:pt>
                <c:pt idx="174">
                  <c:v>3.1366290544577805E-2</c:v>
                </c:pt>
                <c:pt idx="175">
                  <c:v>5.1107282977021232E-2</c:v>
                </c:pt>
                <c:pt idx="176">
                  <c:v>4.1696642389609795E-2</c:v>
                </c:pt>
                <c:pt idx="177">
                  <c:v>6.9451839246273128E-3</c:v>
                </c:pt>
                <c:pt idx="178">
                  <c:v>-2.2250652180939717E-2</c:v>
                </c:pt>
                <c:pt idx="179">
                  <c:v>1.9892252300973357E-2</c:v>
                </c:pt>
                <c:pt idx="180">
                  <c:v>7.1569067391169944E-2</c:v>
                </c:pt>
                <c:pt idx="181">
                  <c:v>7.2950688956317206E-2</c:v>
                </c:pt>
                <c:pt idx="182">
                  <c:v>7.724382979159912E-2</c:v>
                </c:pt>
                <c:pt idx="183">
                  <c:v>8.8324887416982564E-2</c:v>
                </c:pt>
                <c:pt idx="184">
                  <c:v>7.3901135749818006E-2</c:v>
                </c:pt>
                <c:pt idx="185">
                  <c:v>6.7316000746445837E-2</c:v>
                </c:pt>
                <c:pt idx="186">
                  <c:v>4.02090267890126E-2</c:v>
                </c:pt>
                <c:pt idx="187">
                  <c:v>1.5655314761699894E-2</c:v>
                </c:pt>
                <c:pt idx="188">
                  <c:v>-2.3326954308274486E-2</c:v>
                </c:pt>
                <c:pt idx="189">
                  <c:v>-2.3266897464349831E-2</c:v>
                </c:pt>
                <c:pt idx="190">
                  <c:v>-1.5008504500784989E-2</c:v>
                </c:pt>
                <c:pt idx="191">
                  <c:v>-4.8285374389221328E-2</c:v>
                </c:pt>
                <c:pt idx="192">
                  <c:v>-5.1755288322548748E-2</c:v>
                </c:pt>
                <c:pt idx="193">
                  <c:v>-5.7256715745934897E-2</c:v>
                </c:pt>
                <c:pt idx="194">
                  <c:v>-5.9197206549383402E-2</c:v>
                </c:pt>
                <c:pt idx="195">
                  <c:v>-6.531560974993568E-2</c:v>
                </c:pt>
                <c:pt idx="196">
                  <c:v>-6.2233257185280368E-2</c:v>
                </c:pt>
                <c:pt idx="197">
                  <c:v>-6.3977434513452724E-2</c:v>
                </c:pt>
                <c:pt idx="198">
                  <c:v>-1.6343207906478169E-2</c:v>
                </c:pt>
                <c:pt idx="199">
                  <c:v>-7.6693218111135164E-3</c:v>
                </c:pt>
                <c:pt idx="200">
                  <c:v>-1.5907172506890832E-2</c:v>
                </c:pt>
                <c:pt idx="201">
                  <c:v>-4.5808940276725316E-2</c:v>
                </c:pt>
                <c:pt idx="202">
                  <c:v>-7.6214522779589983E-2</c:v>
                </c:pt>
                <c:pt idx="203">
                  <c:v>-4.2242928159092225E-2</c:v>
                </c:pt>
                <c:pt idx="204">
                  <c:v>-6.3354532863613214E-2</c:v>
                </c:pt>
                <c:pt idx="205">
                  <c:v>-5.2399729780748736E-2</c:v>
                </c:pt>
                <c:pt idx="206">
                  <c:v>-5.2946433186129092E-2</c:v>
                </c:pt>
                <c:pt idx="207">
                  <c:v>-1.9708305171229096E-2</c:v>
                </c:pt>
                <c:pt idx="208">
                  <c:v>2.3343318679762776E-2</c:v>
                </c:pt>
                <c:pt idx="209">
                  <c:v>2.5993401845769364E-2</c:v>
                </c:pt>
                <c:pt idx="210">
                  <c:v>1.9009853267522955E-2</c:v>
                </c:pt>
                <c:pt idx="211">
                  <c:v>4.9397144827963466E-2</c:v>
                </c:pt>
                <c:pt idx="212">
                  <c:v>3.1132960272113125E-2</c:v>
                </c:pt>
                <c:pt idx="213">
                  <c:v>-2.1180956648054194E-2</c:v>
                </c:pt>
                <c:pt idx="214">
                  <c:v>-8.1240794928663096E-3</c:v>
                </c:pt>
                <c:pt idx="215">
                  <c:v>1.3220204134297975E-2</c:v>
                </c:pt>
                <c:pt idx="216">
                  <c:v>2.3089970620276234E-2</c:v>
                </c:pt>
                <c:pt idx="217">
                  <c:v>5.4586018032770092E-2</c:v>
                </c:pt>
                <c:pt idx="218">
                  <c:v>3.0449049098779518E-2</c:v>
                </c:pt>
                <c:pt idx="219">
                  <c:v>-4.8864386043534352E-3</c:v>
                </c:pt>
                <c:pt idx="220">
                  <c:v>-7.3277657421493142E-3</c:v>
                </c:pt>
                <c:pt idx="221">
                  <c:v>4.3883799788951378E-2</c:v>
                </c:pt>
                <c:pt idx="222">
                  <c:v>8.1670673152452591E-2</c:v>
                </c:pt>
                <c:pt idx="223">
                  <c:v>2.9941913210304288E-2</c:v>
                </c:pt>
                <c:pt idx="224">
                  <c:v>4.174113733100681E-2</c:v>
                </c:pt>
                <c:pt idx="225">
                  <c:v>4.6676443144014125E-2</c:v>
                </c:pt>
                <c:pt idx="226">
                  <c:v>5.4588598018552988E-2</c:v>
                </c:pt>
                <c:pt idx="227">
                  <c:v>5.8337971287786769E-2</c:v>
                </c:pt>
                <c:pt idx="228">
                  <c:v>2.3063520880177345E-2</c:v>
                </c:pt>
                <c:pt idx="229">
                  <c:v>1.223365591640466E-2</c:v>
                </c:pt>
                <c:pt idx="230">
                  <c:v>1.7097183282807616E-2</c:v>
                </c:pt>
                <c:pt idx="231">
                  <c:v>1.6882943543551094E-2</c:v>
                </c:pt>
                <c:pt idx="232">
                  <c:v>5.1916539112244711E-2</c:v>
                </c:pt>
                <c:pt idx="233">
                  <c:v>0.10646721468817144</c:v>
                </c:pt>
                <c:pt idx="234">
                  <c:v>0.10129497301092028</c:v>
                </c:pt>
                <c:pt idx="235">
                  <c:v>8.2542540609471929E-2</c:v>
                </c:pt>
                <c:pt idx="236">
                  <c:v>8.6574074179845181E-2</c:v>
                </c:pt>
                <c:pt idx="237">
                  <c:v>8.2617221235779775E-2</c:v>
                </c:pt>
                <c:pt idx="238">
                  <c:v>6.8631898667230073E-2</c:v>
                </c:pt>
                <c:pt idx="239">
                  <c:v>9.7192228704121225E-2</c:v>
                </c:pt>
                <c:pt idx="240">
                  <c:v>0.10755132281827354</c:v>
                </c:pt>
                <c:pt idx="241">
                  <c:v>6.528229275009273E-2</c:v>
                </c:pt>
                <c:pt idx="242">
                  <c:v>4.0573535513347622E-2</c:v>
                </c:pt>
                <c:pt idx="243">
                  <c:v>2.7212849956927632E-2</c:v>
                </c:pt>
                <c:pt idx="244">
                  <c:v>3.8750503809115218E-2</c:v>
                </c:pt>
                <c:pt idx="245">
                  <c:v>4.6165763156410501E-2</c:v>
                </c:pt>
                <c:pt idx="246">
                  <c:v>4.5183959329294934E-2</c:v>
                </c:pt>
                <c:pt idx="247">
                  <c:v>3.5075440137272276E-2</c:v>
                </c:pt>
                <c:pt idx="248">
                  <c:v>5.0711401321377247E-2</c:v>
                </c:pt>
                <c:pt idx="249">
                  <c:v>4.8070776238986854E-2</c:v>
                </c:pt>
                <c:pt idx="250">
                  <c:v>3.4054808288811751E-2</c:v>
                </c:pt>
                <c:pt idx="251">
                  <c:v>3.2048009659045161E-2</c:v>
                </c:pt>
                <c:pt idx="252">
                  <c:v>2.2412319647169207E-2</c:v>
                </c:pt>
                <c:pt idx="253">
                  <c:v>1.6395163106521088E-2</c:v>
                </c:pt>
                <c:pt idx="254">
                  <c:v>1.0551224474033942E-3</c:v>
                </c:pt>
                <c:pt idx="255">
                  <c:v>-1.4924318010700079E-3</c:v>
                </c:pt>
                <c:pt idx="256">
                  <c:v>-1.7531723653549214E-2</c:v>
                </c:pt>
                <c:pt idx="257">
                  <c:v>-2.1575753333392449E-2</c:v>
                </c:pt>
                <c:pt idx="258">
                  <c:v>-2.9341464150749612E-2</c:v>
                </c:pt>
                <c:pt idx="259">
                  <c:v>-4.810096094430133E-2</c:v>
                </c:pt>
                <c:pt idx="260">
                  <c:v>-6.6490548930926291E-2</c:v>
                </c:pt>
                <c:pt idx="261">
                  <c:v>-6.8961387157376916E-2</c:v>
                </c:pt>
                <c:pt idx="262">
                  <c:v>-6.799904317628383E-2</c:v>
                </c:pt>
                <c:pt idx="263">
                  <c:v>-5.7179042765490351E-2</c:v>
                </c:pt>
                <c:pt idx="264">
                  <c:v>-6.3129584163122837E-2</c:v>
                </c:pt>
                <c:pt idx="265">
                  <c:v>-7.0099168591368624E-2</c:v>
                </c:pt>
                <c:pt idx="266">
                  <c:v>-7.6231050046895038E-2</c:v>
                </c:pt>
                <c:pt idx="267">
                  <c:v>-8.3203324532322528E-2</c:v>
                </c:pt>
                <c:pt idx="268">
                  <c:v>-8.9231574670032565E-2</c:v>
                </c:pt>
                <c:pt idx="269">
                  <c:v>-7.1607059462468522E-2</c:v>
                </c:pt>
                <c:pt idx="270">
                  <c:v>-6.4514163671660518E-2</c:v>
                </c:pt>
                <c:pt idx="271">
                  <c:v>-6.0691315021270356E-2</c:v>
                </c:pt>
                <c:pt idx="272">
                  <c:v>-5.1507647432827548E-2</c:v>
                </c:pt>
                <c:pt idx="273">
                  <c:v>-5.734129596516236E-2</c:v>
                </c:pt>
                <c:pt idx="274">
                  <c:v>-4.3780356800392738E-2</c:v>
                </c:pt>
                <c:pt idx="275">
                  <c:v>-4.061500764133498E-2</c:v>
                </c:pt>
                <c:pt idx="276">
                  <c:v>-1.9986954150014436E-2</c:v>
                </c:pt>
                <c:pt idx="277">
                  <c:v>-3.6089158143616684E-2</c:v>
                </c:pt>
                <c:pt idx="278">
                  <c:v>-4.0694860926063878E-2</c:v>
                </c:pt>
                <c:pt idx="279">
                  <c:v>-1.7764415566774688E-2</c:v>
                </c:pt>
                <c:pt idx="280">
                  <c:v>-1.3060221870178634E-3</c:v>
                </c:pt>
                <c:pt idx="281">
                  <c:v>-2.1679321659577935E-3</c:v>
                </c:pt>
                <c:pt idx="282">
                  <c:v>7.6036317332518755E-4</c:v>
                </c:pt>
                <c:pt idx="283">
                  <c:v>1.0691141378260119E-2</c:v>
                </c:pt>
                <c:pt idx="284">
                  <c:v>-3.3855359295464904E-4</c:v>
                </c:pt>
                <c:pt idx="285">
                  <c:v>-5.4394488062843582E-4</c:v>
                </c:pt>
                <c:pt idx="286">
                  <c:v>2.2160708155035888E-2</c:v>
                </c:pt>
                <c:pt idx="287">
                  <c:v>4.6297719793388904E-2</c:v>
                </c:pt>
                <c:pt idx="288">
                  <c:v>5.3297400263274945E-2</c:v>
                </c:pt>
                <c:pt idx="289">
                  <c:v>6.2411434041855757E-2</c:v>
                </c:pt>
                <c:pt idx="290">
                  <c:v>6.6965278321571717E-2</c:v>
                </c:pt>
                <c:pt idx="291">
                  <c:v>7.6961410563181107E-2</c:v>
                </c:pt>
                <c:pt idx="292">
                  <c:v>7.261437716622611E-2</c:v>
                </c:pt>
                <c:pt idx="293">
                  <c:v>7.1929333358752373E-2</c:v>
                </c:pt>
                <c:pt idx="294">
                  <c:v>5.0178403818461434E-2</c:v>
                </c:pt>
                <c:pt idx="295">
                  <c:v>4.3094389832951302E-2</c:v>
                </c:pt>
                <c:pt idx="296">
                  <c:v>3.7206781752287657E-2</c:v>
                </c:pt>
                <c:pt idx="297">
                  <c:v>4.0427433883027684E-2</c:v>
                </c:pt>
                <c:pt idx="298">
                  <c:v>7.7980758237671144E-2</c:v>
                </c:pt>
                <c:pt idx="299">
                  <c:v>5.8752957029739705E-2</c:v>
                </c:pt>
                <c:pt idx="300">
                  <c:v>7.0185927843050736E-2</c:v>
                </c:pt>
                <c:pt idx="301">
                  <c:v>7.9955010203543939E-2</c:v>
                </c:pt>
                <c:pt idx="302">
                  <c:v>7.8896425994017236E-2</c:v>
                </c:pt>
                <c:pt idx="303">
                  <c:v>6.0671570419136601E-2</c:v>
                </c:pt>
                <c:pt idx="304">
                  <c:v>8.0062540044379946E-2</c:v>
                </c:pt>
                <c:pt idx="305">
                  <c:v>7.510941526805151E-2</c:v>
                </c:pt>
                <c:pt idx="306">
                  <c:v>4.7546130508245049E-2</c:v>
                </c:pt>
                <c:pt idx="307">
                  <c:v>1.2371853046915123E-2</c:v>
                </c:pt>
                <c:pt idx="308">
                  <c:v>3.6137778009239282E-3</c:v>
                </c:pt>
                <c:pt idx="309">
                  <c:v>-1.7684665931774191E-2</c:v>
                </c:pt>
                <c:pt idx="310">
                  <c:v>-3.2705848179388666E-2</c:v>
                </c:pt>
                <c:pt idx="311">
                  <c:v>-2.9676709045342742E-2</c:v>
                </c:pt>
                <c:pt idx="312">
                  <c:v>-2.4466458031621924E-2</c:v>
                </c:pt>
                <c:pt idx="313">
                  <c:v>-2.9341798502300016E-2</c:v>
                </c:pt>
                <c:pt idx="314">
                  <c:v>-3.2156736462881419E-2</c:v>
                </c:pt>
                <c:pt idx="315">
                  <c:v>-2.0523592934016305E-2</c:v>
                </c:pt>
                <c:pt idx="316">
                  <c:v>-2.3138698570204189E-2</c:v>
                </c:pt>
                <c:pt idx="317">
                  <c:v>-2.3801159338884062E-3</c:v>
                </c:pt>
                <c:pt idx="318">
                  <c:v>-2.0859657519211018E-2</c:v>
                </c:pt>
                <c:pt idx="319">
                  <c:v>1.6380810153989525E-3</c:v>
                </c:pt>
                <c:pt idx="320">
                  <c:v>-7.2709138020835701E-4</c:v>
                </c:pt>
                <c:pt idx="321">
                  <c:v>-3.0254304888641045E-3</c:v>
                </c:pt>
                <c:pt idx="322">
                  <c:v>-2.1740908360563013E-2</c:v>
                </c:pt>
                <c:pt idx="323">
                  <c:v>-4.5079601345814971E-3</c:v>
                </c:pt>
                <c:pt idx="324">
                  <c:v>-4.5237490234732516E-2</c:v>
                </c:pt>
                <c:pt idx="325">
                  <c:v>-5.3878948940772747E-4</c:v>
                </c:pt>
                <c:pt idx="326">
                  <c:v>3.0812730995336615E-3</c:v>
                </c:pt>
                <c:pt idx="327">
                  <c:v>-1.3595366454586165E-2</c:v>
                </c:pt>
                <c:pt idx="328">
                  <c:v>-6.0695462626588273E-3</c:v>
                </c:pt>
                <c:pt idx="329">
                  <c:v>1.1436348859862527E-2</c:v>
                </c:pt>
                <c:pt idx="330">
                  <c:v>2.4987822876033655E-2</c:v>
                </c:pt>
                <c:pt idx="331">
                  <c:v>1.934333867189467E-2</c:v>
                </c:pt>
                <c:pt idx="332">
                  <c:v>-1.2452641147083665E-2</c:v>
                </c:pt>
                <c:pt idx="333">
                  <c:v>-6.1958370933111462E-4</c:v>
                </c:pt>
                <c:pt idx="334">
                  <c:v>2.1193814284704765E-2</c:v>
                </c:pt>
                <c:pt idx="335">
                  <c:v>3.816528663122902E-2</c:v>
                </c:pt>
                <c:pt idx="336">
                  <c:v>5.0603935887838396E-2</c:v>
                </c:pt>
                <c:pt idx="337">
                  <c:v>4.4146076668732673E-2</c:v>
                </c:pt>
                <c:pt idx="338">
                  <c:v>4.0188204047489018E-2</c:v>
                </c:pt>
                <c:pt idx="339">
                  <c:v>1.8026498845950291E-3</c:v>
                </c:pt>
                <c:pt idx="340">
                  <c:v>5.2461958343060777E-3</c:v>
                </c:pt>
                <c:pt idx="341">
                  <c:v>-7.4857850053030341E-3</c:v>
                </c:pt>
                <c:pt idx="342">
                  <c:v>6.969588401164177E-3</c:v>
                </c:pt>
                <c:pt idx="343">
                  <c:v>-8.6858721119542626E-3</c:v>
                </c:pt>
                <c:pt idx="344">
                  <c:v>2.3178019657111425E-2</c:v>
                </c:pt>
                <c:pt idx="345">
                  <c:v>2.4609698869691068E-2</c:v>
                </c:pt>
                <c:pt idx="346">
                  <c:v>8.5699491560630031E-3</c:v>
                </c:pt>
                <c:pt idx="347">
                  <c:v>4.5484975559225649E-2</c:v>
                </c:pt>
                <c:pt idx="348">
                  <c:v>6.5756275707462578E-2</c:v>
                </c:pt>
                <c:pt idx="349">
                  <c:v>4.0526776549143016E-2</c:v>
                </c:pt>
                <c:pt idx="350">
                  <c:v>5.4999786314071375E-3</c:v>
                </c:pt>
                <c:pt idx="351">
                  <c:v>-1.656180884954235E-3</c:v>
                </c:pt>
                <c:pt idx="352">
                  <c:v>4.9593346332767664E-2</c:v>
                </c:pt>
                <c:pt idx="353">
                  <c:v>5.9260225060648673E-2</c:v>
                </c:pt>
                <c:pt idx="354">
                  <c:v>6.270535021899698E-2</c:v>
                </c:pt>
                <c:pt idx="355">
                  <c:v>4.4248052224693066E-2</c:v>
                </c:pt>
                <c:pt idx="356">
                  <c:v>2.5915621739585705E-2</c:v>
                </c:pt>
                <c:pt idx="357">
                  <c:v>2.5417233034377804E-2</c:v>
                </c:pt>
                <c:pt idx="358">
                  <c:v>4.084755840746547E-2</c:v>
                </c:pt>
                <c:pt idx="359">
                  <c:v>7.5585729101107849E-2</c:v>
                </c:pt>
                <c:pt idx="360">
                  <c:v>6.5022031210412695E-2</c:v>
                </c:pt>
                <c:pt idx="361">
                  <c:v>6.7766936597105448E-2</c:v>
                </c:pt>
                <c:pt idx="362">
                  <c:v>0.10068345018398359</c:v>
                </c:pt>
                <c:pt idx="363">
                  <c:v>0.10410992015198141</c:v>
                </c:pt>
                <c:pt idx="364">
                  <c:v>9.0342573252169156E-2</c:v>
                </c:pt>
                <c:pt idx="365">
                  <c:v>8.7215581242102366E-2</c:v>
                </c:pt>
                <c:pt idx="366">
                  <c:v>0.11029979028179936</c:v>
                </c:pt>
                <c:pt idx="367">
                  <c:v>0.12771259672252872</c:v>
                </c:pt>
                <c:pt idx="368">
                  <c:v>0.1258236351543271</c:v>
                </c:pt>
                <c:pt idx="369">
                  <c:v>0.13685381695040894</c:v>
                </c:pt>
                <c:pt idx="370">
                  <c:v>0.18646644586968711</c:v>
                </c:pt>
                <c:pt idx="371">
                  <c:v>0.16089367625425263</c:v>
                </c:pt>
                <c:pt idx="372">
                  <c:v>0.10091724716813953</c:v>
                </c:pt>
                <c:pt idx="373">
                  <c:v>0.10002974277195703</c:v>
                </c:pt>
                <c:pt idx="374">
                  <c:v>0.11179927188484276</c:v>
                </c:pt>
                <c:pt idx="375">
                  <c:v>9.9428778091330924E-2</c:v>
                </c:pt>
                <c:pt idx="376">
                  <c:v>8.6783966628679862E-2</c:v>
                </c:pt>
                <c:pt idx="377">
                  <c:v>5.9954847931391414E-2</c:v>
                </c:pt>
                <c:pt idx="378">
                  <c:v>4.4564804034561173E-2</c:v>
                </c:pt>
                <c:pt idx="379">
                  <c:v>9.9256943139504738E-3</c:v>
                </c:pt>
                <c:pt idx="380">
                  <c:v>1.327219725909233E-3</c:v>
                </c:pt>
                <c:pt idx="381">
                  <c:v>2.8551885195759734E-2</c:v>
                </c:pt>
                <c:pt idx="382">
                  <c:v>-3.6672896311271304E-2</c:v>
                </c:pt>
                <c:pt idx="383">
                  <c:v>-4.3655378974782298E-2</c:v>
                </c:pt>
                <c:pt idx="384">
                  <c:v>-2.6272294792913563E-2</c:v>
                </c:pt>
                <c:pt idx="385">
                  <c:v>-9.0903504142590588E-2</c:v>
                </c:pt>
                <c:pt idx="386">
                  <c:v>-7.6916632371622537E-2</c:v>
                </c:pt>
                <c:pt idx="387">
                  <c:v>-9.032983622565427E-2</c:v>
                </c:pt>
                <c:pt idx="388">
                  <c:v>-0.10878213548700141</c:v>
                </c:pt>
                <c:pt idx="389">
                  <c:v>-0.10286335695315484</c:v>
                </c:pt>
                <c:pt idx="390">
                  <c:v>-0.13914631547371081</c:v>
                </c:pt>
                <c:pt idx="391">
                  <c:v>-0.15459899289490603</c:v>
                </c:pt>
                <c:pt idx="392">
                  <c:v>-0.11655727857482331</c:v>
                </c:pt>
                <c:pt idx="393">
                  <c:v>-9.8389363801217558E-2</c:v>
                </c:pt>
                <c:pt idx="394">
                  <c:v>-0.12461626753035715</c:v>
                </c:pt>
                <c:pt idx="395">
                  <c:v>-0.14875037204053682</c:v>
                </c:pt>
                <c:pt idx="396">
                  <c:v>-0.12333781577161823</c:v>
                </c:pt>
                <c:pt idx="397">
                  <c:v>-9.443170781734922E-2</c:v>
                </c:pt>
                <c:pt idx="398">
                  <c:v>-0.10044431414949742</c:v>
                </c:pt>
                <c:pt idx="399">
                  <c:v>-9.1915111604118416E-2</c:v>
                </c:pt>
                <c:pt idx="400">
                  <c:v>-8.0440669506738158E-2</c:v>
                </c:pt>
                <c:pt idx="401">
                  <c:v>-0.1088173874035689</c:v>
                </c:pt>
                <c:pt idx="402">
                  <c:v>-0.10500660623844778</c:v>
                </c:pt>
                <c:pt idx="403">
                  <c:v>-7.7261554978008101E-2</c:v>
                </c:pt>
                <c:pt idx="404">
                  <c:v>-8.5227754752932053E-2</c:v>
                </c:pt>
                <c:pt idx="405">
                  <c:v>-8.5514922947371674E-2</c:v>
                </c:pt>
                <c:pt idx="406">
                  <c:v>-6.3374612904172289E-2</c:v>
                </c:pt>
                <c:pt idx="407">
                  <c:v>-7.1116115767634852E-2</c:v>
                </c:pt>
                <c:pt idx="408">
                  <c:v>-7.2414608492363558E-2</c:v>
                </c:pt>
                <c:pt idx="409">
                  <c:v>-9.0415594820272213E-2</c:v>
                </c:pt>
                <c:pt idx="410">
                  <c:v>-5.6853895975995161E-2</c:v>
                </c:pt>
                <c:pt idx="411">
                  <c:v>-2.619212892723978E-2</c:v>
                </c:pt>
                <c:pt idx="412">
                  <c:v>-1.8350157773385244E-2</c:v>
                </c:pt>
                <c:pt idx="413">
                  <c:v>-5.0926196285072417E-2</c:v>
                </c:pt>
                <c:pt idx="414">
                  <c:v>-4.3847884947957771E-2</c:v>
                </c:pt>
                <c:pt idx="415">
                  <c:v>-1.0023780800437671E-2</c:v>
                </c:pt>
                <c:pt idx="416">
                  <c:v>-1.556086139208001E-2</c:v>
                </c:pt>
                <c:pt idx="417">
                  <c:v>-2.7783956443786291E-2</c:v>
                </c:pt>
                <c:pt idx="418">
                  <c:v>-3.5905010893727635E-2</c:v>
                </c:pt>
                <c:pt idx="419">
                  <c:v>-2.3651095171300707E-2</c:v>
                </c:pt>
                <c:pt idx="420">
                  <c:v>-2.6067655292766959E-2</c:v>
                </c:pt>
                <c:pt idx="421">
                  <c:v>-7.5483495241639165E-4</c:v>
                </c:pt>
                <c:pt idx="422">
                  <c:v>1.8101618124577529E-2</c:v>
                </c:pt>
                <c:pt idx="423">
                  <c:v>-3.6226364583581833E-3</c:v>
                </c:pt>
                <c:pt idx="424">
                  <c:v>-1.5278565018830882E-2</c:v>
                </c:pt>
                <c:pt idx="425">
                  <c:v>-7.0002794402675671E-3</c:v>
                </c:pt>
                <c:pt idx="426">
                  <c:v>-4.1060387964548389E-2</c:v>
                </c:pt>
                <c:pt idx="427">
                  <c:v>-4.9952614139249854E-2</c:v>
                </c:pt>
                <c:pt idx="428">
                  <c:v>-3.1228640755985054E-2</c:v>
                </c:pt>
                <c:pt idx="429">
                  <c:v>-3.6866995379394016E-2</c:v>
                </c:pt>
                <c:pt idx="430">
                  <c:v>-5.2179890977210042E-2</c:v>
                </c:pt>
                <c:pt idx="431">
                  <c:v>-3.9700102136297336E-2</c:v>
                </c:pt>
                <c:pt idx="432">
                  <c:v>-5.586546467963753E-2</c:v>
                </c:pt>
                <c:pt idx="433">
                  <c:v>-4.5812477061851438E-2</c:v>
                </c:pt>
                <c:pt idx="434">
                  <c:v>-4.3779162123650447E-2</c:v>
                </c:pt>
                <c:pt idx="435">
                  <c:v>-5.8675089121115881E-2</c:v>
                </c:pt>
                <c:pt idx="436">
                  <c:v>-6.0368816340094937E-2</c:v>
                </c:pt>
                <c:pt idx="437">
                  <c:v>-8.1891713364354385E-2</c:v>
                </c:pt>
                <c:pt idx="438">
                  <c:v>-6.2437290823816369E-2</c:v>
                </c:pt>
                <c:pt idx="439">
                  <c:v>-5.4223330331769931E-2</c:v>
                </c:pt>
                <c:pt idx="440">
                  <c:v>-4.2470867793373383E-2</c:v>
                </c:pt>
                <c:pt idx="441">
                  <c:v>-5.6877556190087296E-2</c:v>
                </c:pt>
                <c:pt idx="442">
                  <c:v>-4.061011752897626E-2</c:v>
                </c:pt>
                <c:pt idx="443">
                  <c:v>-3.9306596071951222E-2</c:v>
                </c:pt>
                <c:pt idx="444">
                  <c:v>-2.5498086257395525E-2</c:v>
                </c:pt>
                <c:pt idx="445">
                  <c:v>-1.9532402567235582E-2</c:v>
                </c:pt>
                <c:pt idx="446">
                  <c:v>-2.2122372359208657E-2</c:v>
                </c:pt>
                <c:pt idx="447">
                  <c:v>-1.9054679261666565E-3</c:v>
                </c:pt>
                <c:pt idx="448">
                  <c:v>-1.5693385290797141E-4</c:v>
                </c:pt>
                <c:pt idx="449">
                  <c:v>3.7908946532540184E-2</c:v>
                </c:pt>
                <c:pt idx="450">
                  <c:v>3.5978962203927461E-2</c:v>
                </c:pt>
                <c:pt idx="451">
                  <c:v>1.3545012435587518E-2</c:v>
                </c:pt>
                <c:pt idx="452">
                  <c:v>1.6751477882071222E-2</c:v>
                </c:pt>
                <c:pt idx="453">
                  <c:v>-6.768051954446859E-3</c:v>
                </c:pt>
                <c:pt idx="454">
                  <c:v>-9.4888903910093497E-3</c:v>
                </c:pt>
                <c:pt idx="455">
                  <c:v>-1.3022225374705987E-2</c:v>
                </c:pt>
                <c:pt idx="456">
                  <c:v>4.3066379143807072E-2</c:v>
                </c:pt>
                <c:pt idx="457">
                  <c:v>8.3121310888881514E-2</c:v>
                </c:pt>
                <c:pt idx="458">
                  <c:v>5.940576612991965E-2</c:v>
                </c:pt>
                <c:pt idx="459">
                  <c:v>5.6224465281741347E-2</c:v>
                </c:pt>
                <c:pt idx="460">
                  <c:v>6.0008561825764695E-2</c:v>
                </c:pt>
                <c:pt idx="461">
                  <c:v>4.8478173776780514E-2</c:v>
                </c:pt>
                <c:pt idx="462">
                  <c:v>4.451461277692368E-2</c:v>
                </c:pt>
                <c:pt idx="463">
                  <c:v>5.1342744052748614E-2</c:v>
                </c:pt>
                <c:pt idx="464">
                  <c:v>7.4348472521913539E-2</c:v>
                </c:pt>
                <c:pt idx="465">
                  <c:v>9.4743919076430705E-2</c:v>
                </c:pt>
                <c:pt idx="466">
                  <c:v>0.11981004654806016</c:v>
                </c:pt>
                <c:pt idx="467">
                  <c:v>0.1002814118036774</c:v>
                </c:pt>
                <c:pt idx="468">
                  <c:v>9.40384364937734E-2</c:v>
                </c:pt>
                <c:pt idx="469">
                  <c:v>5.770878196996336E-2</c:v>
                </c:pt>
                <c:pt idx="470">
                  <c:v>6.6397408111544237E-2</c:v>
                </c:pt>
                <c:pt idx="471">
                  <c:v>8.819091864752604E-2</c:v>
                </c:pt>
                <c:pt idx="472">
                  <c:v>9.0777210850042644E-2</c:v>
                </c:pt>
                <c:pt idx="473">
                  <c:v>9.9455195316214301E-2</c:v>
                </c:pt>
                <c:pt idx="474">
                  <c:v>8.6332741877483271E-2</c:v>
                </c:pt>
                <c:pt idx="475">
                  <c:v>0.11258173666710683</c:v>
                </c:pt>
                <c:pt idx="476">
                  <c:v>6.5096472879083725E-2</c:v>
                </c:pt>
                <c:pt idx="477">
                  <c:v>7.1693928959327524E-2</c:v>
                </c:pt>
                <c:pt idx="478">
                  <c:v>9.168454392471366E-2</c:v>
                </c:pt>
                <c:pt idx="479">
                  <c:v>6.8054951544018694E-2</c:v>
                </c:pt>
                <c:pt idx="480">
                  <c:v>7.744887254662508E-2</c:v>
                </c:pt>
                <c:pt idx="481">
                  <c:v>9.1127531742254075E-2</c:v>
                </c:pt>
                <c:pt idx="482">
                  <c:v>7.2583757475469995E-2</c:v>
                </c:pt>
                <c:pt idx="483">
                  <c:v>6.8514114205247695E-2</c:v>
                </c:pt>
                <c:pt idx="484">
                  <c:v>3.3817644835091532E-2</c:v>
                </c:pt>
                <c:pt idx="485">
                  <c:v>2.999516446706911E-2</c:v>
                </c:pt>
                <c:pt idx="486">
                  <c:v>2.8617142624805962E-2</c:v>
                </c:pt>
                <c:pt idx="487">
                  <c:v>1.5665307095639923E-2</c:v>
                </c:pt>
                <c:pt idx="488">
                  <c:v>1.2014476191237314E-2</c:v>
                </c:pt>
                <c:pt idx="489">
                  <c:v>2.1881313206369005E-2</c:v>
                </c:pt>
                <c:pt idx="490">
                  <c:v>2.0247881828584821E-2</c:v>
                </c:pt>
                <c:pt idx="491">
                  <c:v>1.6840711839060253E-2</c:v>
                </c:pt>
                <c:pt idx="492">
                  <c:v>2.2887694386228299E-2</c:v>
                </c:pt>
                <c:pt idx="493">
                  <c:v>3.7318759009179955E-2</c:v>
                </c:pt>
                <c:pt idx="494">
                  <c:v>5.1227930789002174E-2</c:v>
                </c:pt>
                <c:pt idx="495">
                  <c:v>2.4440694390635606E-2</c:v>
                </c:pt>
                <c:pt idx="496">
                  <c:v>2.148593863112537E-3</c:v>
                </c:pt>
                <c:pt idx="497">
                  <c:v>-1.2074443069880404E-2</c:v>
                </c:pt>
                <c:pt idx="498">
                  <c:v>-1.5361636949233027E-2</c:v>
                </c:pt>
                <c:pt idx="499">
                  <c:v>-1.4030074169991656E-3</c:v>
                </c:pt>
                <c:pt idx="500">
                  <c:v>-1.7367108454824427E-2</c:v>
                </c:pt>
                <c:pt idx="501">
                  <c:v>-1.5878206009557114E-2</c:v>
                </c:pt>
                <c:pt idx="502">
                  <c:v>7.0201714947369653E-3</c:v>
                </c:pt>
                <c:pt idx="503">
                  <c:v>4.6285764897008932E-3</c:v>
                </c:pt>
                <c:pt idx="504">
                  <c:v>2.6922328728123265E-2</c:v>
                </c:pt>
                <c:pt idx="505">
                  <c:v>1.1759800627005677E-2</c:v>
                </c:pt>
                <c:pt idx="506">
                  <c:v>-1.1669449674076161E-2</c:v>
                </c:pt>
                <c:pt idx="507">
                  <c:v>2.4170578670394335E-3</c:v>
                </c:pt>
                <c:pt idx="508">
                  <c:v>1.0340200144060181E-2</c:v>
                </c:pt>
                <c:pt idx="509">
                  <c:v>1.8056679346099488E-2</c:v>
                </c:pt>
                <c:pt idx="510">
                  <c:v>2.2984523799216193E-2</c:v>
                </c:pt>
                <c:pt idx="511">
                  <c:v>2.8867630216009257E-2</c:v>
                </c:pt>
                <c:pt idx="512">
                  <c:v>2.3031446495998475E-2</c:v>
                </c:pt>
                <c:pt idx="513">
                  <c:v>1.7088176012568172E-2</c:v>
                </c:pt>
                <c:pt idx="514">
                  <c:v>1.8006468814847437E-2</c:v>
                </c:pt>
                <c:pt idx="515">
                  <c:v>2.0345300886821016E-2</c:v>
                </c:pt>
                <c:pt idx="516">
                  <c:v>4.9085727916115214E-2</c:v>
                </c:pt>
                <c:pt idx="517">
                  <c:v>4.0788846362790038E-2</c:v>
                </c:pt>
                <c:pt idx="518">
                  <c:v>5.9592546912791512E-2</c:v>
                </c:pt>
                <c:pt idx="519">
                  <c:v>5.0876419826982724E-2</c:v>
                </c:pt>
                <c:pt idx="520">
                  <c:v>5.2755138503410744E-2</c:v>
                </c:pt>
                <c:pt idx="521">
                  <c:v>6.3986420010956196E-2</c:v>
                </c:pt>
                <c:pt idx="522">
                  <c:v>5.4250003601566406E-2</c:v>
                </c:pt>
                <c:pt idx="523">
                  <c:v>0.10323029548745256</c:v>
                </c:pt>
                <c:pt idx="524">
                  <c:v>4.8659666241111191E-2</c:v>
                </c:pt>
                <c:pt idx="525">
                  <c:v>7.2735178231011666E-2</c:v>
                </c:pt>
                <c:pt idx="526">
                  <c:v>7.8303635480740569E-2</c:v>
                </c:pt>
                <c:pt idx="527">
                  <c:v>5.9116803301320145E-2</c:v>
                </c:pt>
                <c:pt idx="528">
                  <c:v>3.5683395812520377E-2</c:v>
                </c:pt>
                <c:pt idx="529">
                  <c:v>3.5833642715395082E-2</c:v>
                </c:pt>
                <c:pt idx="530">
                  <c:v>4.21052224451747E-2</c:v>
                </c:pt>
                <c:pt idx="531">
                  <c:v>3.1613206721145141E-2</c:v>
                </c:pt>
                <c:pt idx="532">
                  <c:v>3.7629202498219293E-2</c:v>
                </c:pt>
                <c:pt idx="533">
                  <c:v>3.9788382476098089E-2</c:v>
                </c:pt>
                <c:pt idx="534">
                  <c:v>5.0316479504314823E-2</c:v>
                </c:pt>
                <c:pt idx="535">
                  <c:v>6.1878104482613078E-2</c:v>
                </c:pt>
                <c:pt idx="536">
                  <c:v>1.723129185188034E-2</c:v>
                </c:pt>
                <c:pt idx="537">
                  <c:v>6.9063746074179519E-2</c:v>
                </c:pt>
                <c:pt idx="538">
                  <c:v>4.6045987211876888E-2</c:v>
                </c:pt>
                <c:pt idx="539">
                  <c:v>6.3236168393207698E-2</c:v>
                </c:pt>
                <c:pt idx="540">
                  <c:v>6.3497832780845573E-2</c:v>
                </c:pt>
                <c:pt idx="541">
                  <c:v>4.3048088216600749E-2</c:v>
                </c:pt>
                <c:pt idx="542">
                  <c:v>4.3926261857159213E-2</c:v>
                </c:pt>
                <c:pt idx="543">
                  <c:v>-2.0874815505877525E-2</c:v>
                </c:pt>
                <c:pt idx="544">
                  <c:v>1.1483572472403336E-2</c:v>
                </c:pt>
                <c:pt idx="545">
                  <c:v>2.0077526237536766E-2</c:v>
                </c:pt>
                <c:pt idx="546">
                  <c:v>1.2699040114672454E-2</c:v>
                </c:pt>
                <c:pt idx="547">
                  <c:v>3.4099011130016219E-3</c:v>
                </c:pt>
                <c:pt idx="548">
                  <c:v>8.1460498950471569E-3</c:v>
                </c:pt>
                <c:pt idx="549">
                  <c:v>1.4937359798595898E-2</c:v>
                </c:pt>
                <c:pt idx="550">
                  <c:v>5.2969894466558341E-3</c:v>
                </c:pt>
                <c:pt idx="551">
                  <c:v>-6.7261787787908488E-3</c:v>
                </c:pt>
                <c:pt idx="552">
                  <c:v>5.060565209749378E-3</c:v>
                </c:pt>
                <c:pt idx="553">
                  <c:v>6.4768904877783567E-3</c:v>
                </c:pt>
                <c:pt idx="554">
                  <c:v>-9.0185315634685927E-3</c:v>
                </c:pt>
                <c:pt idx="555">
                  <c:v>7.9067856500454614E-3</c:v>
                </c:pt>
                <c:pt idx="556">
                  <c:v>4.9129239649469469E-2</c:v>
                </c:pt>
                <c:pt idx="557">
                  <c:v>1.350016812789474E-2</c:v>
                </c:pt>
                <c:pt idx="558">
                  <c:v>2.5034519837525533E-2</c:v>
                </c:pt>
                <c:pt idx="559">
                  <c:v>5.7311674412211591E-3</c:v>
                </c:pt>
                <c:pt idx="560">
                  <c:v>-2.2539436812906335E-2</c:v>
                </c:pt>
                <c:pt idx="561">
                  <c:v>-2.6956469996273911E-2</c:v>
                </c:pt>
                <c:pt idx="562">
                  <c:v>-1.735999242211184E-2</c:v>
                </c:pt>
                <c:pt idx="563">
                  <c:v>5.8237495575143919E-3</c:v>
                </c:pt>
                <c:pt idx="564">
                  <c:v>3.4019384279659351E-2</c:v>
                </c:pt>
                <c:pt idx="565">
                  <c:v>3.5248916040792264E-2</c:v>
                </c:pt>
                <c:pt idx="566">
                  <c:v>3.2741846919281829E-2</c:v>
                </c:pt>
                <c:pt idx="567">
                  <c:v>9.8664662459046329E-2</c:v>
                </c:pt>
                <c:pt idx="568">
                  <c:v>0.11444278365881742</c:v>
                </c:pt>
                <c:pt idx="569">
                  <c:v>8.0088989295555454E-2</c:v>
                </c:pt>
                <c:pt idx="570">
                  <c:v>8.0295529344953598E-2</c:v>
                </c:pt>
                <c:pt idx="571">
                  <c:v>0.11868352681678575</c:v>
                </c:pt>
                <c:pt idx="572">
                  <c:v>9.8786159455729355E-2</c:v>
                </c:pt>
                <c:pt idx="573">
                  <c:v>7.6938196998636577E-2</c:v>
                </c:pt>
                <c:pt idx="574">
                  <c:v>6.8097922061385444E-2</c:v>
                </c:pt>
                <c:pt idx="575">
                  <c:v>5.0497872351132067E-2</c:v>
                </c:pt>
                <c:pt idx="576">
                  <c:v>3.5368237723132481E-2</c:v>
                </c:pt>
                <c:pt idx="577">
                  <c:v>2.3282981744444181E-2</c:v>
                </c:pt>
                <c:pt idx="578">
                  <c:v>-3.836308635066267E-3</c:v>
                </c:pt>
                <c:pt idx="579">
                  <c:v>-2.5072856788831838E-4</c:v>
                </c:pt>
                <c:pt idx="580">
                  <c:v>2.7275088305788238E-2</c:v>
                </c:pt>
                <c:pt idx="581">
                  <c:v>2.72561336392508E-2</c:v>
                </c:pt>
                <c:pt idx="582">
                  <c:v>8.6221437681246738E-3</c:v>
                </c:pt>
                <c:pt idx="583">
                  <c:v>-2.066065791035479E-4</c:v>
                </c:pt>
                <c:pt idx="584">
                  <c:v>-2.6542829366768293E-2</c:v>
                </c:pt>
                <c:pt idx="585">
                  <c:v>-5.0978495761541884E-2</c:v>
                </c:pt>
                <c:pt idx="586">
                  <c:v>-4.2180681311208806E-2</c:v>
                </c:pt>
                <c:pt idx="587">
                  <c:v>-6.210632391667608E-2</c:v>
                </c:pt>
                <c:pt idx="588">
                  <c:v>-7.2325187641003472E-2</c:v>
                </c:pt>
                <c:pt idx="589">
                  <c:v>-4.652339365954046E-2</c:v>
                </c:pt>
                <c:pt idx="590">
                  <c:v>-5.4033040038263369E-2</c:v>
                </c:pt>
                <c:pt idx="591">
                  <c:v>-6.8585583012627752E-2</c:v>
                </c:pt>
                <c:pt idx="592">
                  <c:v>-7.4372572764829115E-2</c:v>
                </c:pt>
                <c:pt idx="593">
                  <c:v>-6.6255394973182585E-2</c:v>
                </c:pt>
                <c:pt idx="594">
                  <c:v>-5.9790180217990367E-2</c:v>
                </c:pt>
                <c:pt idx="595">
                  <c:v>-5.9488758430971365E-2</c:v>
                </c:pt>
                <c:pt idx="596">
                  <c:v>-7.0323839366154037E-2</c:v>
                </c:pt>
                <c:pt idx="597">
                  <c:v>-7.1708578338862919E-2</c:v>
                </c:pt>
                <c:pt idx="598">
                  <c:v>-4.4767776514889786E-2</c:v>
                </c:pt>
                <c:pt idx="599">
                  <c:v>-2.7394622556077896E-2</c:v>
                </c:pt>
                <c:pt idx="600">
                  <c:v>-2.3174441434452603E-2</c:v>
                </c:pt>
                <c:pt idx="601">
                  <c:v>-1.5468316584487145E-2</c:v>
                </c:pt>
                <c:pt idx="602">
                  <c:v>-1.1344509515661509E-2</c:v>
                </c:pt>
                <c:pt idx="603">
                  <c:v>-5.9413733214466607E-3</c:v>
                </c:pt>
                <c:pt idx="604">
                  <c:v>-6.7018033146661327E-3</c:v>
                </c:pt>
                <c:pt idx="605">
                  <c:v>4.9149612867634036E-3</c:v>
                </c:pt>
                <c:pt idx="606">
                  <c:v>3.5347181709769332E-3</c:v>
                </c:pt>
                <c:pt idx="607">
                  <c:v>-5.3182204941245384E-3</c:v>
                </c:pt>
                <c:pt idx="608">
                  <c:v>-2.3373632268815295E-3</c:v>
                </c:pt>
                <c:pt idx="609">
                  <c:v>-1.2931488427930932E-3</c:v>
                </c:pt>
                <c:pt idx="610">
                  <c:v>2.5843892349282312E-2</c:v>
                </c:pt>
                <c:pt idx="611">
                  <c:v>1.9359637333651716E-2</c:v>
                </c:pt>
                <c:pt idx="612">
                  <c:v>1.8965466993703318E-2</c:v>
                </c:pt>
                <c:pt idx="613">
                  <c:v>2.2564704246647659E-2</c:v>
                </c:pt>
                <c:pt idx="614">
                  <c:v>3.1007819831470634E-2</c:v>
                </c:pt>
                <c:pt idx="615">
                  <c:v>4.1446851868572387E-2</c:v>
                </c:pt>
                <c:pt idx="616">
                  <c:v>6.482056618705978E-2</c:v>
                </c:pt>
                <c:pt idx="617">
                  <c:v>8.5652349546390796E-2</c:v>
                </c:pt>
                <c:pt idx="618">
                  <c:v>8.8384205111719405E-2</c:v>
                </c:pt>
                <c:pt idx="619">
                  <c:v>8.6157297445654688E-2</c:v>
                </c:pt>
                <c:pt idx="620">
                  <c:v>5.5792757916363483E-2</c:v>
                </c:pt>
                <c:pt idx="621">
                  <c:v>4.1898357213590517E-2</c:v>
                </c:pt>
                <c:pt idx="622">
                  <c:v>4.918710391401681E-2</c:v>
                </c:pt>
                <c:pt idx="623">
                  <c:v>4.8337813130778409E-2</c:v>
                </c:pt>
                <c:pt idx="624">
                  <c:v>3.9156021138627338E-2</c:v>
                </c:pt>
                <c:pt idx="625">
                  <c:v>4.2211168999425043E-2</c:v>
                </c:pt>
                <c:pt idx="626">
                  <c:v>6.2146933842265585E-2</c:v>
                </c:pt>
                <c:pt idx="627">
                  <c:v>5.3740730956785006E-2</c:v>
                </c:pt>
                <c:pt idx="628">
                  <c:v>6.4251591264295888E-2</c:v>
                </c:pt>
                <c:pt idx="629">
                  <c:v>4.9860551660543061E-2</c:v>
                </c:pt>
                <c:pt idx="630">
                  <c:v>5.7079723722591652E-2</c:v>
                </c:pt>
                <c:pt idx="631">
                  <c:v>5.6546506922113229E-2</c:v>
                </c:pt>
                <c:pt idx="632">
                  <c:v>6.7734082610192856E-2</c:v>
                </c:pt>
                <c:pt idx="633">
                  <c:v>6.9711670739993514E-2</c:v>
                </c:pt>
                <c:pt idx="634">
                  <c:v>0.10835547223042022</c:v>
                </c:pt>
                <c:pt idx="635">
                  <c:v>0.10447338390103844</c:v>
                </c:pt>
                <c:pt idx="636">
                  <c:v>0.10367435168200644</c:v>
                </c:pt>
                <c:pt idx="637">
                  <c:v>6.2266688205135159E-2</c:v>
                </c:pt>
                <c:pt idx="638">
                  <c:v>7.0324762714693262E-2</c:v>
                </c:pt>
                <c:pt idx="639">
                  <c:v>7.6451562223995878E-2</c:v>
                </c:pt>
                <c:pt idx="640">
                  <c:v>9.1245562834443961E-2</c:v>
                </c:pt>
                <c:pt idx="641">
                  <c:v>9.7774717775144071E-2</c:v>
                </c:pt>
                <c:pt idx="642">
                  <c:v>9.7550945240825138E-2</c:v>
                </c:pt>
                <c:pt idx="643">
                  <c:v>0.10107450446801733</c:v>
                </c:pt>
                <c:pt idx="644">
                  <c:v>9.4445080301464174E-2</c:v>
                </c:pt>
                <c:pt idx="645">
                  <c:v>7.4393373164666293E-2</c:v>
                </c:pt>
                <c:pt idx="646">
                  <c:v>5.1155596975685468E-2</c:v>
                </c:pt>
                <c:pt idx="647">
                  <c:v>4.9020963636891839E-2</c:v>
                </c:pt>
                <c:pt idx="648">
                  <c:v>3.733320690343328E-2</c:v>
                </c:pt>
                <c:pt idx="649">
                  <c:v>3.0339555507475788E-2</c:v>
                </c:pt>
                <c:pt idx="650">
                  <c:v>2.4974125669139924E-3</c:v>
                </c:pt>
                <c:pt idx="651">
                  <c:v>9.0253946659683143E-3</c:v>
                </c:pt>
                <c:pt idx="652">
                  <c:v>-6.0721203464682988E-3</c:v>
                </c:pt>
                <c:pt idx="653">
                  <c:v>-7.5861061793154605E-3</c:v>
                </c:pt>
                <c:pt idx="654">
                  <c:v>-4.7684550398412101E-2</c:v>
                </c:pt>
                <c:pt idx="655">
                  <c:v>-3.9990734522811433E-2</c:v>
                </c:pt>
                <c:pt idx="656">
                  <c:v>-6.3629546759872341E-2</c:v>
                </c:pt>
                <c:pt idx="657">
                  <c:v>-3.689025709818107E-2</c:v>
                </c:pt>
                <c:pt idx="658">
                  <c:v>-5.346317282696586E-2</c:v>
                </c:pt>
                <c:pt idx="659">
                  <c:v>-5.9133552834884216E-2</c:v>
                </c:pt>
                <c:pt idx="660">
                  <c:v>-5.7466942840422232E-2</c:v>
                </c:pt>
                <c:pt idx="661">
                  <c:v>-4.3188852918344879E-2</c:v>
                </c:pt>
                <c:pt idx="662">
                  <c:v>-1.9504519018899401E-2</c:v>
                </c:pt>
                <c:pt idx="663">
                  <c:v>-2.3903380752986494E-2</c:v>
                </c:pt>
                <c:pt idx="664">
                  <c:v>-7.406511134138689E-3</c:v>
                </c:pt>
                <c:pt idx="665">
                  <c:v>-2.2573127214706775E-3</c:v>
                </c:pt>
                <c:pt idx="666">
                  <c:v>-8.0017888576705328E-3</c:v>
                </c:pt>
                <c:pt idx="667">
                  <c:v>-1.4352058455566908E-2</c:v>
                </c:pt>
                <c:pt idx="668">
                  <c:v>-3.3591137766378162E-2</c:v>
                </c:pt>
                <c:pt idx="669">
                  <c:v>-6.938125579213552E-3</c:v>
                </c:pt>
                <c:pt idx="670">
                  <c:v>2.761812286746497E-3</c:v>
                </c:pt>
                <c:pt idx="671">
                  <c:v>-1.2547533776144214E-2</c:v>
                </c:pt>
                <c:pt idx="672">
                  <c:v>-7.1656708934672679E-3</c:v>
                </c:pt>
                <c:pt idx="673">
                  <c:v>-6.3938989098286693E-3</c:v>
                </c:pt>
                <c:pt idx="674">
                  <c:v>1.4110863236691164E-3</c:v>
                </c:pt>
                <c:pt idx="675">
                  <c:v>-2.181832526930356E-3</c:v>
                </c:pt>
                <c:pt idx="676">
                  <c:v>1.229006492357532E-2</c:v>
                </c:pt>
                <c:pt idx="677">
                  <c:v>6.4951844051102173E-3</c:v>
                </c:pt>
                <c:pt idx="678">
                  <c:v>3.1325380478196239E-2</c:v>
                </c:pt>
                <c:pt idx="679">
                  <c:v>1.868689288551079E-2</c:v>
                </c:pt>
                <c:pt idx="680">
                  <c:v>2.8079490761060026E-2</c:v>
                </c:pt>
                <c:pt idx="681">
                  <c:v>3.6499118832645255E-2</c:v>
                </c:pt>
                <c:pt idx="682">
                  <c:v>-4.8570743498496813E-2</c:v>
                </c:pt>
                <c:pt idx="683">
                  <c:v>-5.6273846088859915E-2</c:v>
                </c:pt>
                <c:pt idx="684">
                  <c:v>-6.6382551438070689E-2</c:v>
                </c:pt>
                <c:pt idx="685">
                  <c:v>-6.3144755434729832E-2</c:v>
                </c:pt>
                <c:pt idx="686">
                  <c:v>-4.9574123586763177E-2</c:v>
                </c:pt>
                <c:pt idx="687">
                  <c:v>-4.2756040609686671E-2</c:v>
                </c:pt>
                <c:pt idx="688">
                  <c:v>-1.1269057162051621E-3</c:v>
                </c:pt>
                <c:pt idx="689">
                  <c:v>-1.2189851208394324E-2</c:v>
                </c:pt>
                <c:pt idx="690">
                  <c:v>-5.3060509791232134E-2</c:v>
                </c:pt>
                <c:pt idx="691">
                  <c:v>-6.3660051052794014E-2</c:v>
                </c:pt>
                <c:pt idx="692">
                  <c:v>-5.2771052928458663E-2</c:v>
                </c:pt>
                <c:pt idx="693">
                  <c:v>-4.6362849835287025E-2</c:v>
                </c:pt>
                <c:pt idx="694">
                  <c:v>-3.716288108684411E-2</c:v>
                </c:pt>
                <c:pt idx="695">
                  <c:v>-4.3274230704974478E-2</c:v>
                </c:pt>
                <c:pt idx="696">
                  <c:v>-5.1343302410809893E-2</c:v>
                </c:pt>
                <c:pt idx="697">
                  <c:v>-8.4163291814726954E-2</c:v>
                </c:pt>
                <c:pt idx="698">
                  <c:v>-0.10029229093112431</c:v>
                </c:pt>
                <c:pt idx="699">
                  <c:v>-0.11777318001426232</c:v>
                </c:pt>
                <c:pt idx="700">
                  <c:v>-0.11686126743065986</c:v>
                </c:pt>
                <c:pt idx="701">
                  <c:v>-0.11959543353229035</c:v>
                </c:pt>
                <c:pt idx="702">
                  <c:v>-5.6104536131873335E-2</c:v>
                </c:pt>
                <c:pt idx="703">
                  <c:v>-3.6688328051780836E-2</c:v>
                </c:pt>
                <c:pt idx="704">
                  <c:v>-3.3579473244482058E-2</c:v>
                </c:pt>
                <c:pt idx="705">
                  <c:v>-5.4095353597328227E-2</c:v>
                </c:pt>
                <c:pt idx="706">
                  <c:v>2.2099078663231887E-2</c:v>
                </c:pt>
                <c:pt idx="707">
                  <c:v>3.9392895266181109E-2</c:v>
                </c:pt>
                <c:pt idx="708">
                  <c:v>2.8207427362423574E-2</c:v>
                </c:pt>
                <c:pt idx="709">
                  <c:v>3.8365702867579746E-2</c:v>
                </c:pt>
                <c:pt idx="710">
                  <c:v>7.1619249003595259E-2</c:v>
                </c:pt>
                <c:pt idx="711">
                  <c:v>0.10093426991957952</c:v>
                </c:pt>
                <c:pt idx="712">
                  <c:v>7.5156895195860843E-2</c:v>
                </c:pt>
                <c:pt idx="713">
                  <c:v>8.2026959063776023E-2</c:v>
                </c:pt>
                <c:pt idx="714">
                  <c:v>6.8692806065726378E-2</c:v>
                </c:pt>
                <c:pt idx="715">
                  <c:v>6.9838867591858034E-2</c:v>
                </c:pt>
                <c:pt idx="716">
                  <c:v>9.3152894631933075E-2</c:v>
                </c:pt>
                <c:pt idx="717">
                  <c:v>0.12916598334461388</c:v>
                </c:pt>
                <c:pt idx="718">
                  <c:v>0.12778958129520229</c:v>
                </c:pt>
                <c:pt idx="719">
                  <c:v>0.13766658297696963</c:v>
                </c:pt>
                <c:pt idx="720">
                  <c:v>0.1430882369835178</c:v>
                </c:pt>
                <c:pt idx="721">
                  <c:v>0.14604284044217408</c:v>
                </c:pt>
                <c:pt idx="722">
                  <c:v>0.14125170099961271</c:v>
                </c:pt>
                <c:pt idx="723">
                  <c:v>0.11651905943548102</c:v>
                </c:pt>
                <c:pt idx="724">
                  <c:v>0.10186843349594331</c:v>
                </c:pt>
                <c:pt idx="725">
                  <c:v>0.12014254299326191</c:v>
                </c:pt>
                <c:pt idx="726">
                  <c:v>4.5530657908982246E-2</c:v>
                </c:pt>
                <c:pt idx="727">
                  <c:v>3.7421482613704891E-2</c:v>
                </c:pt>
                <c:pt idx="728">
                  <c:v>3.9057221859152766E-2</c:v>
                </c:pt>
                <c:pt idx="729">
                  <c:v>2.7806616033922305E-2</c:v>
                </c:pt>
                <c:pt idx="730">
                  <c:v>2.786532632831467E-2</c:v>
                </c:pt>
                <c:pt idx="731">
                  <c:v>3.5298922180541592E-2</c:v>
                </c:pt>
                <c:pt idx="732">
                  <c:v>4.1414374617780532E-2</c:v>
                </c:pt>
                <c:pt idx="733">
                  <c:v>1.7244498189490289E-2</c:v>
                </c:pt>
                <c:pt idx="734">
                  <c:v>5.5672383724701541E-3</c:v>
                </c:pt>
                <c:pt idx="735">
                  <c:v>9.9529297814773821E-3</c:v>
                </c:pt>
                <c:pt idx="736">
                  <c:v>-2.2606889434168415E-3</c:v>
                </c:pt>
                <c:pt idx="737">
                  <c:v>-6.9326904098860262E-3</c:v>
                </c:pt>
                <c:pt idx="738">
                  <c:v>2.6569620887701151E-3</c:v>
                </c:pt>
                <c:pt idx="739">
                  <c:v>1.7625645508419885E-2</c:v>
                </c:pt>
                <c:pt idx="740">
                  <c:v>1.473147989697296E-2</c:v>
                </c:pt>
                <c:pt idx="741">
                  <c:v>-3.3098198240216758E-3</c:v>
                </c:pt>
                <c:pt idx="742">
                  <c:v>-6.5584897105562534E-4</c:v>
                </c:pt>
                <c:pt idx="743">
                  <c:v>1.905860233784315E-2</c:v>
                </c:pt>
                <c:pt idx="744">
                  <c:v>2.8713264998828175E-2</c:v>
                </c:pt>
                <c:pt idx="745">
                  <c:v>7.8122664957939805E-2</c:v>
                </c:pt>
                <c:pt idx="746">
                  <c:v>0.10889765775292758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A7-4DDA-95B1-F8B8D5AFB2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9010272"/>
        <c:axId val="506315311"/>
      </c:lineChart>
      <c:dateAx>
        <c:axId val="14901027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6315311"/>
        <c:crosses val="autoZero"/>
        <c:auto val="1"/>
        <c:lblOffset val="100"/>
        <c:baseTimeUnit val="days"/>
      </c:dateAx>
      <c:valAx>
        <c:axId val="506315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_);\(0.0%\);\-\-_);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010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ysClr val="window" lastClr="FFFFFF"/>
    </a:solidFill>
    <a:ln w="9525" cap="flat" cmpd="sng" algn="ctr">
      <a:solidFill>
        <a:sysClr val="windowText" lastClr="000000">
          <a:lumMod val="15000"/>
          <a:lumOff val="85000"/>
        </a:sys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Performance vs. Beta Trailing 2 Week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CRH!$D$21:$D$773</c:f>
              <c:numCache>
                <c:formatCode>m/d/yyyy</c:formatCode>
                <c:ptCount val="753"/>
                <c:pt idx="0">
                  <c:v>46044</c:v>
                </c:pt>
                <c:pt idx="1">
                  <c:v>46043</c:v>
                </c:pt>
                <c:pt idx="2">
                  <c:v>46042</c:v>
                </c:pt>
                <c:pt idx="3">
                  <c:v>46038</c:v>
                </c:pt>
                <c:pt idx="4">
                  <c:v>46037</c:v>
                </c:pt>
                <c:pt idx="5">
                  <c:v>46036</c:v>
                </c:pt>
                <c:pt idx="6">
                  <c:v>46035</c:v>
                </c:pt>
                <c:pt idx="7">
                  <c:v>46034</c:v>
                </c:pt>
                <c:pt idx="8">
                  <c:v>46031</c:v>
                </c:pt>
                <c:pt idx="9">
                  <c:v>46030</c:v>
                </c:pt>
                <c:pt idx="10">
                  <c:v>46029</c:v>
                </c:pt>
                <c:pt idx="11">
                  <c:v>46028</c:v>
                </c:pt>
                <c:pt idx="12">
                  <c:v>46027</c:v>
                </c:pt>
                <c:pt idx="13">
                  <c:v>46024</c:v>
                </c:pt>
                <c:pt idx="14">
                  <c:v>46022</c:v>
                </c:pt>
                <c:pt idx="15">
                  <c:v>46021</c:v>
                </c:pt>
                <c:pt idx="16">
                  <c:v>46020</c:v>
                </c:pt>
                <c:pt idx="17">
                  <c:v>46017</c:v>
                </c:pt>
                <c:pt idx="18">
                  <c:v>46015</c:v>
                </c:pt>
                <c:pt idx="19">
                  <c:v>46014</c:v>
                </c:pt>
                <c:pt idx="20">
                  <c:v>46013</c:v>
                </c:pt>
                <c:pt idx="21">
                  <c:v>46010</c:v>
                </c:pt>
                <c:pt idx="22">
                  <c:v>46009</c:v>
                </c:pt>
                <c:pt idx="23">
                  <c:v>46008</c:v>
                </c:pt>
                <c:pt idx="24">
                  <c:v>46007</c:v>
                </c:pt>
                <c:pt idx="25">
                  <c:v>46006</c:v>
                </c:pt>
                <c:pt idx="26">
                  <c:v>46003</c:v>
                </c:pt>
                <c:pt idx="27">
                  <c:v>46002</c:v>
                </c:pt>
                <c:pt idx="28">
                  <c:v>46001</c:v>
                </c:pt>
                <c:pt idx="29">
                  <c:v>46000</c:v>
                </c:pt>
                <c:pt idx="30">
                  <c:v>45999</c:v>
                </c:pt>
                <c:pt idx="31">
                  <c:v>45996</c:v>
                </c:pt>
                <c:pt idx="32">
                  <c:v>45995</c:v>
                </c:pt>
                <c:pt idx="33">
                  <c:v>45994</c:v>
                </c:pt>
                <c:pt idx="34">
                  <c:v>45993</c:v>
                </c:pt>
                <c:pt idx="35">
                  <c:v>45992</c:v>
                </c:pt>
                <c:pt idx="36">
                  <c:v>45989</c:v>
                </c:pt>
                <c:pt idx="37">
                  <c:v>45987</c:v>
                </c:pt>
                <c:pt idx="38">
                  <c:v>45986</c:v>
                </c:pt>
                <c:pt idx="39">
                  <c:v>45985</c:v>
                </c:pt>
                <c:pt idx="40">
                  <c:v>45982</c:v>
                </c:pt>
                <c:pt idx="41">
                  <c:v>45981</c:v>
                </c:pt>
                <c:pt idx="42">
                  <c:v>45980</c:v>
                </c:pt>
                <c:pt idx="43">
                  <c:v>45979</c:v>
                </c:pt>
                <c:pt idx="44">
                  <c:v>45978</c:v>
                </c:pt>
                <c:pt idx="45">
                  <c:v>45975</c:v>
                </c:pt>
                <c:pt idx="46">
                  <c:v>45974</c:v>
                </c:pt>
                <c:pt idx="47">
                  <c:v>45973</c:v>
                </c:pt>
                <c:pt idx="48">
                  <c:v>45972</c:v>
                </c:pt>
                <c:pt idx="49">
                  <c:v>45971</c:v>
                </c:pt>
                <c:pt idx="50">
                  <c:v>45968</c:v>
                </c:pt>
                <c:pt idx="51">
                  <c:v>45967</c:v>
                </c:pt>
                <c:pt idx="52">
                  <c:v>45966</c:v>
                </c:pt>
                <c:pt idx="53">
                  <c:v>45965</c:v>
                </c:pt>
                <c:pt idx="54">
                  <c:v>45964</c:v>
                </c:pt>
                <c:pt idx="55">
                  <c:v>45961</c:v>
                </c:pt>
                <c:pt idx="56">
                  <c:v>45960</c:v>
                </c:pt>
                <c:pt idx="57">
                  <c:v>45959</c:v>
                </c:pt>
                <c:pt idx="58">
                  <c:v>45958</c:v>
                </c:pt>
                <c:pt idx="59">
                  <c:v>45957</c:v>
                </c:pt>
                <c:pt idx="60">
                  <c:v>45954</c:v>
                </c:pt>
                <c:pt idx="61">
                  <c:v>45953</c:v>
                </c:pt>
                <c:pt idx="62">
                  <c:v>45952</c:v>
                </c:pt>
                <c:pt idx="63">
                  <c:v>45951</c:v>
                </c:pt>
                <c:pt idx="64">
                  <c:v>45950</c:v>
                </c:pt>
                <c:pt idx="65">
                  <c:v>45947</c:v>
                </c:pt>
                <c:pt idx="66">
                  <c:v>45946</c:v>
                </c:pt>
                <c:pt idx="67">
                  <c:v>45945</c:v>
                </c:pt>
                <c:pt idx="68">
                  <c:v>45944</c:v>
                </c:pt>
                <c:pt idx="69">
                  <c:v>45943</c:v>
                </c:pt>
                <c:pt idx="70">
                  <c:v>45940</c:v>
                </c:pt>
                <c:pt idx="71">
                  <c:v>45939</c:v>
                </c:pt>
                <c:pt idx="72">
                  <c:v>45938</c:v>
                </c:pt>
                <c:pt idx="73">
                  <c:v>45937</c:v>
                </c:pt>
                <c:pt idx="74">
                  <c:v>45936</c:v>
                </c:pt>
                <c:pt idx="75">
                  <c:v>45933</c:v>
                </c:pt>
                <c:pt idx="76">
                  <c:v>45932</c:v>
                </c:pt>
                <c:pt idx="77">
                  <c:v>45931</c:v>
                </c:pt>
                <c:pt idx="78">
                  <c:v>45930</c:v>
                </c:pt>
                <c:pt idx="79">
                  <c:v>45929</c:v>
                </c:pt>
                <c:pt idx="80">
                  <c:v>45926</c:v>
                </c:pt>
                <c:pt idx="81">
                  <c:v>45925</c:v>
                </c:pt>
                <c:pt idx="82">
                  <c:v>45924</c:v>
                </c:pt>
                <c:pt idx="83">
                  <c:v>45923</c:v>
                </c:pt>
                <c:pt idx="84">
                  <c:v>45922</c:v>
                </c:pt>
                <c:pt idx="85">
                  <c:v>45919</c:v>
                </c:pt>
                <c:pt idx="86">
                  <c:v>45918</c:v>
                </c:pt>
                <c:pt idx="87">
                  <c:v>45917</c:v>
                </c:pt>
                <c:pt idx="88">
                  <c:v>45916</c:v>
                </c:pt>
                <c:pt idx="89">
                  <c:v>45915</c:v>
                </c:pt>
                <c:pt idx="90">
                  <c:v>45912</c:v>
                </c:pt>
                <c:pt idx="91">
                  <c:v>45911</c:v>
                </c:pt>
                <c:pt idx="92">
                  <c:v>45910</c:v>
                </c:pt>
                <c:pt idx="93">
                  <c:v>45909</c:v>
                </c:pt>
                <c:pt idx="94">
                  <c:v>45908</c:v>
                </c:pt>
                <c:pt idx="95">
                  <c:v>45905</c:v>
                </c:pt>
                <c:pt idx="96">
                  <c:v>45904</c:v>
                </c:pt>
                <c:pt idx="97">
                  <c:v>45903</c:v>
                </c:pt>
                <c:pt idx="98">
                  <c:v>45902</c:v>
                </c:pt>
                <c:pt idx="99">
                  <c:v>45898</c:v>
                </c:pt>
                <c:pt idx="100">
                  <c:v>45897</c:v>
                </c:pt>
                <c:pt idx="101">
                  <c:v>45896</c:v>
                </c:pt>
                <c:pt idx="102">
                  <c:v>45895</c:v>
                </c:pt>
                <c:pt idx="103">
                  <c:v>45894</c:v>
                </c:pt>
                <c:pt idx="104">
                  <c:v>45891</c:v>
                </c:pt>
                <c:pt idx="105">
                  <c:v>45890</c:v>
                </c:pt>
                <c:pt idx="106">
                  <c:v>45889</c:v>
                </c:pt>
                <c:pt idx="107">
                  <c:v>45888</c:v>
                </c:pt>
                <c:pt idx="108">
                  <c:v>45887</c:v>
                </c:pt>
                <c:pt idx="109">
                  <c:v>45884</c:v>
                </c:pt>
                <c:pt idx="110">
                  <c:v>45883</c:v>
                </c:pt>
                <c:pt idx="111">
                  <c:v>45882</c:v>
                </c:pt>
                <c:pt idx="112">
                  <c:v>45881</c:v>
                </c:pt>
                <c:pt idx="113">
                  <c:v>45880</c:v>
                </c:pt>
                <c:pt idx="114">
                  <c:v>45877</c:v>
                </c:pt>
                <c:pt idx="115">
                  <c:v>45876</c:v>
                </c:pt>
                <c:pt idx="116">
                  <c:v>45875</c:v>
                </c:pt>
                <c:pt idx="117">
                  <c:v>45874</c:v>
                </c:pt>
                <c:pt idx="118">
                  <c:v>45873</c:v>
                </c:pt>
                <c:pt idx="119">
                  <c:v>45870</c:v>
                </c:pt>
                <c:pt idx="120">
                  <c:v>45869</c:v>
                </c:pt>
                <c:pt idx="121">
                  <c:v>45868</c:v>
                </c:pt>
                <c:pt idx="122">
                  <c:v>45867</c:v>
                </c:pt>
                <c:pt idx="123">
                  <c:v>45866</c:v>
                </c:pt>
                <c:pt idx="124">
                  <c:v>45863</c:v>
                </c:pt>
                <c:pt idx="125">
                  <c:v>45862</c:v>
                </c:pt>
                <c:pt idx="126">
                  <c:v>45861</c:v>
                </c:pt>
                <c:pt idx="127">
                  <c:v>45860</c:v>
                </c:pt>
                <c:pt idx="128">
                  <c:v>45859</c:v>
                </c:pt>
                <c:pt idx="129">
                  <c:v>45856</c:v>
                </c:pt>
                <c:pt idx="130">
                  <c:v>45855</c:v>
                </c:pt>
                <c:pt idx="131">
                  <c:v>45854</c:v>
                </c:pt>
                <c:pt idx="132">
                  <c:v>45853</c:v>
                </c:pt>
                <c:pt idx="133">
                  <c:v>45852</c:v>
                </c:pt>
                <c:pt idx="134">
                  <c:v>45849</c:v>
                </c:pt>
                <c:pt idx="135">
                  <c:v>45848</c:v>
                </c:pt>
                <c:pt idx="136">
                  <c:v>45847</c:v>
                </c:pt>
                <c:pt idx="137">
                  <c:v>45846</c:v>
                </c:pt>
                <c:pt idx="138">
                  <c:v>45845</c:v>
                </c:pt>
                <c:pt idx="139">
                  <c:v>45841</c:v>
                </c:pt>
                <c:pt idx="140">
                  <c:v>45840</c:v>
                </c:pt>
                <c:pt idx="141">
                  <c:v>45839</c:v>
                </c:pt>
                <c:pt idx="142">
                  <c:v>45838</c:v>
                </c:pt>
                <c:pt idx="143">
                  <c:v>45835</c:v>
                </c:pt>
                <c:pt idx="144">
                  <c:v>45834</c:v>
                </c:pt>
                <c:pt idx="145">
                  <c:v>45833</c:v>
                </c:pt>
                <c:pt idx="146">
                  <c:v>45832</c:v>
                </c:pt>
                <c:pt idx="147">
                  <c:v>45831</c:v>
                </c:pt>
                <c:pt idx="148">
                  <c:v>45828</c:v>
                </c:pt>
                <c:pt idx="149">
                  <c:v>45826</c:v>
                </c:pt>
                <c:pt idx="150">
                  <c:v>45825</c:v>
                </c:pt>
                <c:pt idx="151">
                  <c:v>45824</c:v>
                </c:pt>
                <c:pt idx="152">
                  <c:v>45821</c:v>
                </c:pt>
                <c:pt idx="153">
                  <c:v>45820</c:v>
                </c:pt>
                <c:pt idx="154">
                  <c:v>45819</c:v>
                </c:pt>
                <c:pt idx="155">
                  <c:v>45818</c:v>
                </c:pt>
                <c:pt idx="156">
                  <c:v>45817</c:v>
                </c:pt>
                <c:pt idx="157">
                  <c:v>45814</c:v>
                </c:pt>
                <c:pt idx="158">
                  <c:v>45813</c:v>
                </c:pt>
                <c:pt idx="159">
                  <c:v>45812</c:v>
                </c:pt>
                <c:pt idx="160">
                  <c:v>45811</c:v>
                </c:pt>
                <c:pt idx="161">
                  <c:v>45810</c:v>
                </c:pt>
                <c:pt idx="162">
                  <c:v>45807</c:v>
                </c:pt>
                <c:pt idx="163">
                  <c:v>45806</c:v>
                </c:pt>
                <c:pt idx="164">
                  <c:v>45805</c:v>
                </c:pt>
                <c:pt idx="165">
                  <c:v>45804</c:v>
                </c:pt>
                <c:pt idx="166">
                  <c:v>45800</c:v>
                </c:pt>
                <c:pt idx="167">
                  <c:v>45799</c:v>
                </c:pt>
                <c:pt idx="168">
                  <c:v>45798</c:v>
                </c:pt>
                <c:pt idx="169">
                  <c:v>45797</c:v>
                </c:pt>
                <c:pt idx="170">
                  <c:v>45796</c:v>
                </c:pt>
                <c:pt idx="171">
                  <c:v>45793</c:v>
                </c:pt>
                <c:pt idx="172">
                  <c:v>45792</c:v>
                </c:pt>
                <c:pt idx="173">
                  <c:v>45791</c:v>
                </c:pt>
                <c:pt idx="174">
                  <c:v>45790</c:v>
                </c:pt>
                <c:pt idx="175">
                  <c:v>45789</c:v>
                </c:pt>
                <c:pt idx="176">
                  <c:v>45786</c:v>
                </c:pt>
                <c:pt idx="177">
                  <c:v>45785</c:v>
                </c:pt>
                <c:pt idx="178">
                  <c:v>45784</c:v>
                </c:pt>
                <c:pt idx="179">
                  <c:v>45783</c:v>
                </c:pt>
                <c:pt idx="180">
                  <c:v>45782</c:v>
                </c:pt>
                <c:pt idx="181">
                  <c:v>45779</c:v>
                </c:pt>
                <c:pt idx="182">
                  <c:v>45778</c:v>
                </c:pt>
                <c:pt idx="183">
                  <c:v>45777</c:v>
                </c:pt>
                <c:pt idx="184">
                  <c:v>45776</c:v>
                </c:pt>
                <c:pt idx="185">
                  <c:v>45775</c:v>
                </c:pt>
                <c:pt idx="186">
                  <c:v>45772</c:v>
                </c:pt>
                <c:pt idx="187">
                  <c:v>45771</c:v>
                </c:pt>
                <c:pt idx="188">
                  <c:v>45770</c:v>
                </c:pt>
                <c:pt idx="189">
                  <c:v>45769</c:v>
                </c:pt>
                <c:pt idx="190">
                  <c:v>45768</c:v>
                </c:pt>
                <c:pt idx="191">
                  <c:v>45764</c:v>
                </c:pt>
                <c:pt idx="192">
                  <c:v>45763</c:v>
                </c:pt>
                <c:pt idx="193">
                  <c:v>45762</c:v>
                </c:pt>
                <c:pt idx="194">
                  <c:v>45761</c:v>
                </c:pt>
                <c:pt idx="195">
                  <c:v>45758</c:v>
                </c:pt>
                <c:pt idx="196">
                  <c:v>45757</c:v>
                </c:pt>
                <c:pt idx="197">
                  <c:v>45756</c:v>
                </c:pt>
                <c:pt idx="198">
                  <c:v>45755</c:v>
                </c:pt>
                <c:pt idx="199">
                  <c:v>45754</c:v>
                </c:pt>
                <c:pt idx="200">
                  <c:v>45751</c:v>
                </c:pt>
                <c:pt idx="201">
                  <c:v>45750</c:v>
                </c:pt>
                <c:pt idx="202">
                  <c:v>45749</c:v>
                </c:pt>
                <c:pt idx="203">
                  <c:v>45748</c:v>
                </c:pt>
                <c:pt idx="204">
                  <c:v>45747</c:v>
                </c:pt>
                <c:pt idx="205">
                  <c:v>45744</c:v>
                </c:pt>
                <c:pt idx="206">
                  <c:v>45743</c:v>
                </c:pt>
                <c:pt idx="207">
                  <c:v>45742</c:v>
                </c:pt>
                <c:pt idx="208">
                  <c:v>45741</c:v>
                </c:pt>
                <c:pt idx="209">
                  <c:v>45740</c:v>
                </c:pt>
                <c:pt idx="210">
                  <c:v>45737</c:v>
                </c:pt>
                <c:pt idx="211">
                  <c:v>45736</c:v>
                </c:pt>
                <c:pt idx="212">
                  <c:v>45735</c:v>
                </c:pt>
                <c:pt idx="213">
                  <c:v>45734</c:v>
                </c:pt>
                <c:pt idx="214">
                  <c:v>45733</c:v>
                </c:pt>
                <c:pt idx="215">
                  <c:v>45730</c:v>
                </c:pt>
                <c:pt idx="216">
                  <c:v>45729</c:v>
                </c:pt>
                <c:pt idx="217">
                  <c:v>45728</c:v>
                </c:pt>
                <c:pt idx="218">
                  <c:v>45727</c:v>
                </c:pt>
                <c:pt idx="219">
                  <c:v>45726</c:v>
                </c:pt>
                <c:pt idx="220">
                  <c:v>45723</c:v>
                </c:pt>
                <c:pt idx="221">
                  <c:v>45722</c:v>
                </c:pt>
                <c:pt idx="222">
                  <c:v>45721</c:v>
                </c:pt>
                <c:pt idx="223">
                  <c:v>45720</c:v>
                </c:pt>
                <c:pt idx="224">
                  <c:v>45719</c:v>
                </c:pt>
                <c:pt idx="225">
                  <c:v>45716</c:v>
                </c:pt>
                <c:pt idx="226">
                  <c:v>45715</c:v>
                </c:pt>
                <c:pt idx="227">
                  <c:v>45714</c:v>
                </c:pt>
                <c:pt idx="228">
                  <c:v>45713</c:v>
                </c:pt>
                <c:pt idx="229">
                  <c:v>45712</c:v>
                </c:pt>
                <c:pt idx="230">
                  <c:v>45709</c:v>
                </c:pt>
                <c:pt idx="231">
                  <c:v>45708</c:v>
                </c:pt>
                <c:pt idx="232">
                  <c:v>45707</c:v>
                </c:pt>
                <c:pt idx="233">
                  <c:v>45706</c:v>
                </c:pt>
                <c:pt idx="234">
                  <c:v>45702</c:v>
                </c:pt>
                <c:pt idx="235">
                  <c:v>45701</c:v>
                </c:pt>
                <c:pt idx="236">
                  <c:v>45700</c:v>
                </c:pt>
                <c:pt idx="237">
                  <c:v>45699</c:v>
                </c:pt>
                <c:pt idx="238">
                  <c:v>45698</c:v>
                </c:pt>
                <c:pt idx="239">
                  <c:v>45695</c:v>
                </c:pt>
                <c:pt idx="240">
                  <c:v>45694</c:v>
                </c:pt>
                <c:pt idx="241">
                  <c:v>45693</c:v>
                </c:pt>
                <c:pt idx="242">
                  <c:v>45692</c:v>
                </c:pt>
                <c:pt idx="243">
                  <c:v>45691</c:v>
                </c:pt>
                <c:pt idx="244">
                  <c:v>45688</c:v>
                </c:pt>
                <c:pt idx="245">
                  <c:v>45687</c:v>
                </c:pt>
                <c:pt idx="246">
                  <c:v>45686</c:v>
                </c:pt>
                <c:pt idx="247">
                  <c:v>45685</c:v>
                </c:pt>
                <c:pt idx="248">
                  <c:v>45684</c:v>
                </c:pt>
                <c:pt idx="249">
                  <c:v>45681</c:v>
                </c:pt>
                <c:pt idx="250">
                  <c:v>45680</c:v>
                </c:pt>
                <c:pt idx="251">
                  <c:v>45679</c:v>
                </c:pt>
                <c:pt idx="252">
                  <c:v>45678</c:v>
                </c:pt>
                <c:pt idx="253">
                  <c:v>45674</c:v>
                </c:pt>
                <c:pt idx="254">
                  <c:v>45673</c:v>
                </c:pt>
                <c:pt idx="255">
                  <c:v>45672</c:v>
                </c:pt>
                <c:pt idx="256">
                  <c:v>45671</c:v>
                </c:pt>
                <c:pt idx="257">
                  <c:v>45670</c:v>
                </c:pt>
                <c:pt idx="258">
                  <c:v>45667</c:v>
                </c:pt>
                <c:pt idx="259">
                  <c:v>45665</c:v>
                </c:pt>
                <c:pt idx="260">
                  <c:v>45664</c:v>
                </c:pt>
                <c:pt idx="261">
                  <c:v>45663</c:v>
                </c:pt>
                <c:pt idx="262">
                  <c:v>45660</c:v>
                </c:pt>
                <c:pt idx="263">
                  <c:v>45659</c:v>
                </c:pt>
                <c:pt idx="264">
                  <c:v>45657</c:v>
                </c:pt>
                <c:pt idx="265">
                  <c:v>45656</c:v>
                </c:pt>
                <c:pt idx="266">
                  <c:v>45653</c:v>
                </c:pt>
                <c:pt idx="267">
                  <c:v>45652</c:v>
                </c:pt>
                <c:pt idx="268">
                  <c:v>45650</c:v>
                </c:pt>
                <c:pt idx="269">
                  <c:v>45649</c:v>
                </c:pt>
                <c:pt idx="270">
                  <c:v>45646</c:v>
                </c:pt>
                <c:pt idx="271">
                  <c:v>45645</c:v>
                </c:pt>
                <c:pt idx="272">
                  <c:v>45644</c:v>
                </c:pt>
                <c:pt idx="273">
                  <c:v>45643</c:v>
                </c:pt>
                <c:pt idx="274">
                  <c:v>45642</c:v>
                </c:pt>
                <c:pt idx="275">
                  <c:v>45639</c:v>
                </c:pt>
                <c:pt idx="276">
                  <c:v>45638</c:v>
                </c:pt>
                <c:pt idx="277">
                  <c:v>45637</c:v>
                </c:pt>
                <c:pt idx="278">
                  <c:v>45636</c:v>
                </c:pt>
                <c:pt idx="279">
                  <c:v>45635</c:v>
                </c:pt>
                <c:pt idx="280">
                  <c:v>45632</c:v>
                </c:pt>
                <c:pt idx="281">
                  <c:v>45631</c:v>
                </c:pt>
                <c:pt idx="282">
                  <c:v>45630</c:v>
                </c:pt>
                <c:pt idx="283">
                  <c:v>45629</c:v>
                </c:pt>
                <c:pt idx="284">
                  <c:v>45628</c:v>
                </c:pt>
                <c:pt idx="285">
                  <c:v>45625</c:v>
                </c:pt>
                <c:pt idx="286">
                  <c:v>45623</c:v>
                </c:pt>
                <c:pt idx="287">
                  <c:v>45622</c:v>
                </c:pt>
                <c:pt idx="288">
                  <c:v>45621</c:v>
                </c:pt>
                <c:pt idx="289">
                  <c:v>45618</c:v>
                </c:pt>
                <c:pt idx="290">
                  <c:v>45617</c:v>
                </c:pt>
                <c:pt idx="291">
                  <c:v>45616</c:v>
                </c:pt>
                <c:pt idx="292">
                  <c:v>45615</c:v>
                </c:pt>
                <c:pt idx="293">
                  <c:v>45614</c:v>
                </c:pt>
                <c:pt idx="294">
                  <c:v>45611</c:v>
                </c:pt>
                <c:pt idx="295">
                  <c:v>45610</c:v>
                </c:pt>
                <c:pt idx="296">
                  <c:v>45609</c:v>
                </c:pt>
                <c:pt idx="297">
                  <c:v>45608</c:v>
                </c:pt>
                <c:pt idx="298">
                  <c:v>45607</c:v>
                </c:pt>
                <c:pt idx="299">
                  <c:v>45604</c:v>
                </c:pt>
                <c:pt idx="300">
                  <c:v>45603</c:v>
                </c:pt>
                <c:pt idx="301">
                  <c:v>45602</c:v>
                </c:pt>
                <c:pt idx="302">
                  <c:v>45601</c:v>
                </c:pt>
                <c:pt idx="303">
                  <c:v>45600</c:v>
                </c:pt>
                <c:pt idx="304">
                  <c:v>45597</c:v>
                </c:pt>
                <c:pt idx="305">
                  <c:v>45596</c:v>
                </c:pt>
                <c:pt idx="306">
                  <c:v>45595</c:v>
                </c:pt>
                <c:pt idx="307">
                  <c:v>45594</c:v>
                </c:pt>
                <c:pt idx="308">
                  <c:v>45593</c:v>
                </c:pt>
                <c:pt idx="309">
                  <c:v>45590</c:v>
                </c:pt>
                <c:pt idx="310">
                  <c:v>45589</c:v>
                </c:pt>
                <c:pt idx="311">
                  <c:v>45588</c:v>
                </c:pt>
                <c:pt idx="312">
                  <c:v>45587</c:v>
                </c:pt>
                <c:pt idx="313">
                  <c:v>45586</c:v>
                </c:pt>
                <c:pt idx="314">
                  <c:v>45583</c:v>
                </c:pt>
                <c:pt idx="315">
                  <c:v>45582</c:v>
                </c:pt>
                <c:pt idx="316">
                  <c:v>45581</c:v>
                </c:pt>
                <c:pt idx="317">
                  <c:v>45580</c:v>
                </c:pt>
                <c:pt idx="318">
                  <c:v>45579</c:v>
                </c:pt>
                <c:pt idx="319">
                  <c:v>45576</c:v>
                </c:pt>
                <c:pt idx="320">
                  <c:v>45575</c:v>
                </c:pt>
                <c:pt idx="321">
                  <c:v>45574</c:v>
                </c:pt>
                <c:pt idx="322">
                  <c:v>45573</c:v>
                </c:pt>
                <c:pt idx="323">
                  <c:v>45572</c:v>
                </c:pt>
                <c:pt idx="324">
                  <c:v>45569</c:v>
                </c:pt>
                <c:pt idx="325">
                  <c:v>45568</c:v>
                </c:pt>
                <c:pt idx="326">
                  <c:v>45567</c:v>
                </c:pt>
                <c:pt idx="327">
                  <c:v>45566</c:v>
                </c:pt>
                <c:pt idx="328">
                  <c:v>45565</c:v>
                </c:pt>
                <c:pt idx="329">
                  <c:v>45562</c:v>
                </c:pt>
                <c:pt idx="330">
                  <c:v>45561</c:v>
                </c:pt>
                <c:pt idx="331">
                  <c:v>45560</c:v>
                </c:pt>
                <c:pt idx="332">
                  <c:v>45559</c:v>
                </c:pt>
                <c:pt idx="333">
                  <c:v>45558</c:v>
                </c:pt>
                <c:pt idx="334">
                  <c:v>45555</c:v>
                </c:pt>
                <c:pt idx="335">
                  <c:v>45554</c:v>
                </c:pt>
                <c:pt idx="336">
                  <c:v>45553</c:v>
                </c:pt>
                <c:pt idx="337">
                  <c:v>45552</c:v>
                </c:pt>
                <c:pt idx="338">
                  <c:v>45551</c:v>
                </c:pt>
                <c:pt idx="339">
                  <c:v>45548</c:v>
                </c:pt>
                <c:pt idx="340">
                  <c:v>45547</c:v>
                </c:pt>
                <c:pt idx="341">
                  <c:v>45546</c:v>
                </c:pt>
                <c:pt idx="342">
                  <c:v>45545</c:v>
                </c:pt>
                <c:pt idx="343">
                  <c:v>45544</c:v>
                </c:pt>
                <c:pt idx="344">
                  <c:v>45541</c:v>
                </c:pt>
                <c:pt idx="345">
                  <c:v>45540</c:v>
                </c:pt>
                <c:pt idx="346">
                  <c:v>45539</c:v>
                </c:pt>
                <c:pt idx="347">
                  <c:v>45538</c:v>
                </c:pt>
                <c:pt idx="348">
                  <c:v>45534</c:v>
                </c:pt>
                <c:pt idx="349">
                  <c:v>45533</c:v>
                </c:pt>
                <c:pt idx="350">
                  <c:v>45532</c:v>
                </c:pt>
                <c:pt idx="351">
                  <c:v>45531</c:v>
                </c:pt>
                <c:pt idx="352">
                  <c:v>45530</c:v>
                </c:pt>
                <c:pt idx="353">
                  <c:v>45527</c:v>
                </c:pt>
                <c:pt idx="354">
                  <c:v>45526</c:v>
                </c:pt>
                <c:pt idx="355">
                  <c:v>45525</c:v>
                </c:pt>
                <c:pt idx="356">
                  <c:v>45524</c:v>
                </c:pt>
                <c:pt idx="357">
                  <c:v>45523</c:v>
                </c:pt>
                <c:pt idx="358">
                  <c:v>45520</c:v>
                </c:pt>
                <c:pt idx="359">
                  <c:v>45519</c:v>
                </c:pt>
                <c:pt idx="360">
                  <c:v>45518</c:v>
                </c:pt>
                <c:pt idx="361">
                  <c:v>45517</c:v>
                </c:pt>
                <c:pt idx="362">
                  <c:v>45516</c:v>
                </c:pt>
                <c:pt idx="363">
                  <c:v>45513</c:v>
                </c:pt>
                <c:pt idx="364">
                  <c:v>45512</c:v>
                </c:pt>
                <c:pt idx="365">
                  <c:v>45511</c:v>
                </c:pt>
                <c:pt idx="366">
                  <c:v>45510</c:v>
                </c:pt>
                <c:pt idx="367">
                  <c:v>45509</c:v>
                </c:pt>
                <c:pt idx="368">
                  <c:v>45506</c:v>
                </c:pt>
                <c:pt idx="369">
                  <c:v>45505</c:v>
                </c:pt>
                <c:pt idx="370">
                  <c:v>45504</c:v>
                </c:pt>
                <c:pt idx="371">
                  <c:v>45503</c:v>
                </c:pt>
                <c:pt idx="372">
                  <c:v>45502</c:v>
                </c:pt>
                <c:pt idx="373">
                  <c:v>45499</c:v>
                </c:pt>
                <c:pt idx="374">
                  <c:v>45498</c:v>
                </c:pt>
                <c:pt idx="375">
                  <c:v>45497</c:v>
                </c:pt>
                <c:pt idx="376">
                  <c:v>45496</c:v>
                </c:pt>
                <c:pt idx="377">
                  <c:v>45495</c:v>
                </c:pt>
                <c:pt idx="378">
                  <c:v>45492</c:v>
                </c:pt>
                <c:pt idx="379">
                  <c:v>45491</c:v>
                </c:pt>
                <c:pt idx="380">
                  <c:v>45490</c:v>
                </c:pt>
                <c:pt idx="381">
                  <c:v>45489</c:v>
                </c:pt>
                <c:pt idx="382">
                  <c:v>45488</c:v>
                </c:pt>
                <c:pt idx="383">
                  <c:v>45485</c:v>
                </c:pt>
                <c:pt idx="384">
                  <c:v>45484</c:v>
                </c:pt>
                <c:pt idx="385">
                  <c:v>45483</c:v>
                </c:pt>
                <c:pt idx="386">
                  <c:v>45482</c:v>
                </c:pt>
                <c:pt idx="387">
                  <c:v>45481</c:v>
                </c:pt>
                <c:pt idx="388">
                  <c:v>45478</c:v>
                </c:pt>
                <c:pt idx="389">
                  <c:v>45476</c:v>
                </c:pt>
                <c:pt idx="390">
                  <c:v>45475</c:v>
                </c:pt>
                <c:pt idx="391">
                  <c:v>45474</c:v>
                </c:pt>
                <c:pt idx="392">
                  <c:v>45471</c:v>
                </c:pt>
                <c:pt idx="393">
                  <c:v>45470</c:v>
                </c:pt>
                <c:pt idx="394">
                  <c:v>45469</c:v>
                </c:pt>
                <c:pt idx="395">
                  <c:v>45468</c:v>
                </c:pt>
                <c:pt idx="396">
                  <c:v>45467</c:v>
                </c:pt>
                <c:pt idx="397">
                  <c:v>45464</c:v>
                </c:pt>
                <c:pt idx="398">
                  <c:v>45463</c:v>
                </c:pt>
                <c:pt idx="399">
                  <c:v>45461</c:v>
                </c:pt>
                <c:pt idx="400">
                  <c:v>45460</c:v>
                </c:pt>
                <c:pt idx="401">
                  <c:v>45457</c:v>
                </c:pt>
                <c:pt idx="402">
                  <c:v>45456</c:v>
                </c:pt>
                <c:pt idx="403">
                  <c:v>45455</c:v>
                </c:pt>
                <c:pt idx="404">
                  <c:v>45454</c:v>
                </c:pt>
                <c:pt idx="405">
                  <c:v>45453</c:v>
                </c:pt>
                <c:pt idx="406">
                  <c:v>45450</c:v>
                </c:pt>
                <c:pt idx="407">
                  <c:v>45449</c:v>
                </c:pt>
                <c:pt idx="408">
                  <c:v>45448</c:v>
                </c:pt>
                <c:pt idx="409">
                  <c:v>45447</c:v>
                </c:pt>
                <c:pt idx="410">
                  <c:v>45446</c:v>
                </c:pt>
                <c:pt idx="411">
                  <c:v>45443</c:v>
                </c:pt>
                <c:pt idx="412">
                  <c:v>45442</c:v>
                </c:pt>
                <c:pt idx="413">
                  <c:v>45441</c:v>
                </c:pt>
                <c:pt idx="414">
                  <c:v>45440</c:v>
                </c:pt>
                <c:pt idx="415">
                  <c:v>45436</c:v>
                </c:pt>
                <c:pt idx="416">
                  <c:v>45435</c:v>
                </c:pt>
                <c:pt idx="417">
                  <c:v>45434</c:v>
                </c:pt>
                <c:pt idx="418">
                  <c:v>45433</c:v>
                </c:pt>
                <c:pt idx="419">
                  <c:v>45432</c:v>
                </c:pt>
                <c:pt idx="420">
                  <c:v>45429</c:v>
                </c:pt>
                <c:pt idx="421">
                  <c:v>45428</c:v>
                </c:pt>
                <c:pt idx="422">
                  <c:v>45427</c:v>
                </c:pt>
                <c:pt idx="423">
                  <c:v>45426</c:v>
                </c:pt>
                <c:pt idx="424">
                  <c:v>45425</c:v>
                </c:pt>
                <c:pt idx="425">
                  <c:v>45422</c:v>
                </c:pt>
                <c:pt idx="426">
                  <c:v>45421</c:v>
                </c:pt>
                <c:pt idx="427">
                  <c:v>45420</c:v>
                </c:pt>
                <c:pt idx="428">
                  <c:v>45419</c:v>
                </c:pt>
                <c:pt idx="429">
                  <c:v>45418</c:v>
                </c:pt>
                <c:pt idx="430">
                  <c:v>45415</c:v>
                </c:pt>
                <c:pt idx="431">
                  <c:v>45414</c:v>
                </c:pt>
                <c:pt idx="432">
                  <c:v>45413</c:v>
                </c:pt>
                <c:pt idx="433">
                  <c:v>45412</c:v>
                </c:pt>
                <c:pt idx="434">
                  <c:v>45411</c:v>
                </c:pt>
                <c:pt idx="435">
                  <c:v>45408</c:v>
                </c:pt>
                <c:pt idx="436">
                  <c:v>45407</c:v>
                </c:pt>
                <c:pt idx="437">
                  <c:v>45406</c:v>
                </c:pt>
                <c:pt idx="438">
                  <c:v>45405</c:v>
                </c:pt>
                <c:pt idx="439">
                  <c:v>45404</c:v>
                </c:pt>
                <c:pt idx="440">
                  <c:v>45401</c:v>
                </c:pt>
                <c:pt idx="441">
                  <c:v>45400</c:v>
                </c:pt>
                <c:pt idx="442">
                  <c:v>45399</c:v>
                </c:pt>
                <c:pt idx="443">
                  <c:v>45398</c:v>
                </c:pt>
                <c:pt idx="444">
                  <c:v>45397</c:v>
                </c:pt>
                <c:pt idx="445">
                  <c:v>45394</c:v>
                </c:pt>
                <c:pt idx="446">
                  <c:v>45393</c:v>
                </c:pt>
                <c:pt idx="447">
                  <c:v>45392</c:v>
                </c:pt>
                <c:pt idx="448">
                  <c:v>45391</c:v>
                </c:pt>
                <c:pt idx="449">
                  <c:v>45390</c:v>
                </c:pt>
                <c:pt idx="450">
                  <c:v>45387</c:v>
                </c:pt>
                <c:pt idx="451">
                  <c:v>45386</c:v>
                </c:pt>
                <c:pt idx="452">
                  <c:v>45385</c:v>
                </c:pt>
                <c:pt idx="453">
                  <c:v>45384</c:v>
                </c:pt>
                <c:pt idx="454">
                  <c:v>45383</c:v>
                </c:pt>
                <c:pt idx="455">
                  <c:v>45379</c:v>
                </c:pt>
                <c:pt idx="456">
                  <c:v>45378</c:v>
                </c:pt>
                <c:pt idx="457">
                  <c:v>45377</c:v>
                </c:pt>
                <c:pt idx="458">
                  <c:v>45376</c:v>
                </c:pt>
                <c:pt idx="459">
                  <c:v>45373</c:v>
                </c:pt>
                <c:pt idx="460">
                  <c:v>45372</c:v>
                </c:pt>
                <c:pt idx="461">
                  <c:v>45371</c:v>
                </c:pt>
                <c:pt idx="462">
                  <c:v>45370</c:v>
                </c:pt>
                <c:pt idx="463">
                  <c:v>45369</c:v>
                </c:pt>
                <c:pt idx="464">
                  <c:v>45366</c:v>
                </c:pt>
                <c:pt idx="465">
                  <c:v>45365</c:v>
                </c:pt>
                <c:pt idx="466">
                  <c:v>45364</c:v>
                </c:pt>
                <c:pt idx="467">
                  <c:v>45363</c:v>
                </c:pt>
                <c:pt idx="468">
                  <c:v>45362</c:v>
                </c:pt>
                <c:pt idx="469">
                  <c:v>45359</c:v>
                </c:pt>
                <c:pt idx="470">
                  <c:v>45358</c:v>
                </c:pt>
                <c:pt idx="471">
                  <c:v>45357</c:v>
                </c:pt>
                <c:pt idx="472">
                  <c:v>45356</c:v>
                </c:pt>
                <c:pt idx="473">
                  <c:v>45355</c:v>
                </c:pt>
                <c:pt idx="474">
                  <c:v>45352</c:v>
                </c:pt>
                <c:pt idx="475">
                  <c:v>45351</c:v>
                </c:pt>
                <c:pt idx="476">
                  <c:v>45350</c:v>
                </c:pt>
                <c:pt idx="477">
                  <c:v>45349</c:v>
                </c:pt>
                <c:pt idx="478">
                  <c:v>45348</c:v>
                </c:pt>
                <c:pt idx="479">
                  <c:v>45345</c:v>
                </c:pt>
                <c:pt idx="480">
                  <c:v>45344</c:v>
                </c:pt>
                <c:pt idx="481">
                  <c:v>45343</c:v>
                </c:pt>
                <c:pt idx="482">
                  <c:v>45342</c:v>
                </c:pt>
                <c:pt idx="483">
                  <c:v>45338</c:v>
                </c:pt>
                <c:pt idx="484">
                  <c:v>45337</c:v>
                </c:pt>
                <c:pt idx="485">
                  <c:v>45336</c:v>
                </c:pt>
                <c:pt idx="486">
                  <c:v>45335</c:v>
                </c:pt>
                <c:pt idx="487">
                  <c:v>45334</c:v>
                </c:pt>
                <c:pt idx="488">
                  <c:v>45331</c:v>
                </c:pt>
                <c:pt idx="489">
                  <c:v>45330</c:v>
                </c:pt>
                <c:pt idx="490">
                  <c:v>45329</c:v>
                </c:pt>
                <c:pt idx="491">
                  <c:v>45328</c:v>
                </c:pt>
                <c:pt idx="492">
                  <c:v>45327</c:v>
                </c:pt>
                <c:pt idx="493">
                  <c:v>45324</c:v>
                </c:pt>
                <c:pt idx="494">
                  <c:v>45323</c:v>
                </c:pt>
                <c:pt idx="495">
                  <c:v>45322</c:v>
                </c:pt>
                <c:pt idx="496">
                  <c:v>45321</c:v>
                </c:pt>
                <c:pt idx="497">
                  <c:v>45320</c:v>
                </c:pt>
                <c:pt idx="498">
                  <c:v>45317</c:v>
                </c:pt>
                <c:pt idx="499">
                  <c:v>45316</c:v>
                </c:pt>
                <c:pt idx="500">
                  <c:v>45315</c:v>
                </c:pt>
                <c:pt idx="501">
                  <c:v>45314</c:v>
                </c:pt>
                <c:pt idx="502">
                  <c:v>45313</c:v>
                </c:pt>
                <c:pt idx="503">
                  <c:v>45310</c:v>
                </c:pt>
                <c:pt idx="504">
                  <c:v>45309</c:v>
                </c:pt>
                <c:pt idx="505">
                  <c:v>45308</c:v>
                </c:pt>
                <c:pt idx="506">
                  <c:v>45307</c:v>
                </c:pt>
                <c:pt idx="507">
                  <c:v>45303</c:v>
                </c:pt>
                <c:pt idx="508">
                  <c:v>45302</c:v>
                </c:pt>
                <c:pt idx="509">
                  <c:v>45301</c:v>
                </c:pt>
                <c:pt idx="510">
                  <c:v>45300</c:v>
                </c:pt>
                <c:pt idx="511">
                  <c:v>45299</c:v>
                </c:pt>
                <c:pt idx="512">
                  <c:v>45296</c:v>
                </c:pt>
                <c:pt idx="513">
                  <c:v>45295</c:v>
                </c:pt>
                <c:pt idx="514">
                  <c:v>45294</c:v>
                </c:pt>
                <c:pt idx="515">
                  <c:v>45293</c:v>
                </c:pt>
                <c:pt idx="516">
                  <c:v>45289</c:v>
                </c:pt>
                <c:pt idx="517">
                  <c:v>45288</c:v>
                </c:pt>
                <c:pt idx="518">
                  <c:v>45287</c:v>
                </c:pt>
                <c:pt idx="519">
                  <c:v>45286</c:v>
                </c:pt>
                <c:pt idx="520">
                  <c:v>45282</c:v>
                </c:pt>
                <c:pt idx="521">
                  <c:v>45281</c:v>
                </c:pt>
                <c:pt idx="522">
                  <c:v>45280</c:v>
                </c:pt>
                <c:pt idx="523">
                  <c:v>45279</c:v>
                </c:pt>
                <c:pt idx="524">
                  <c:v>45278</c:v>
                </c:pt>
                <c:pt idx="525">
                  <c:v>45275</c:v>
                </c:pt>
                <c:pt idx="526">
                  <c:v>45274</c:v>
                </c:pt>
                <c:pt idx="527">
                  <c:v>45273</c:v>
                </c:pt>
                <c:pt idx="528">
                  <c:v>45272</c:v>
                </c:pt>
                <c:pt idx="529">
                  <c:v>45271</c:v>
                </c:pt>
                <c:pt idx="530">
                  <c:v>45268</c:v>
                </c:pt>
                <c:pt idx="531">
                  <c:v>45267</c:v>
                </c:pt>
                <c:pt idx="532">
                  <c:v>45266</c:v>
                </c:pt>
                <c:pt idx="533">
                  <c:v>45265</c:v>
                </c:pt>
                <c:pt idx="534">
                  <c:v>45264</c:v>
                </c:pt>
                <c:pt idx="535">
                  <c:v>45261</c:v>
                </c:pt>
                <c:pt idx="536">
                  <c:v>45260</c:v>
                </c:pt>
                <c:pt idx="537">
                  <c:v>45259</c:v>
                </c:pt>
                <c:pt idx="538">
                  <c:v>45258</c:v>
                </c:pt>
                <c:pt idx="539">
                  <c:v>45257</c:v>
                </c:pt>
                <c:pt idx="540">
                  <c:v>45254</c:v>
                </c:pt>
                <c:pt idx="541">
                  <c:v>45252</c:v>
                </c:pt>
                <c:pt idx="542">
                  <c:v>45251</c:v>
                </c:pt>
                <c:pt idx="543">
                  <c:v>45250</c:v>
                </c:pt>
                <c:pt idx="544">
                  <c:v>45247</c:v>
                </c:pt>
                <c:pt idx="545">
                  <c:v>45246</c:v>
                </c:pt>
                <c:pt idx="546">
                  <c:v>45245</c:v>
                </c:pt>
                <c:pt idx="547">
                  <c:v>45244</c:v>
                </c:pt>
                <c:pt idx="548">
                  <c:v>45243</c:v>
                </c:pt>
                <c:pt idx="549">
                  <c:v>45240</c:v>
                </c:pt>
                <c:pt idx="550">
                  <c:v>45239</c:v>
                </c:pt>
                <c:pt idx="551">
                  <c:v>45238</c:v>
                </c:pt>
                <c:pt idx="552">
                  <c:v>45237</c:v>
                </c:pt>
                <c:pt idx="553">
                  <c:v>45236</c:v>
                </c:pt>
                <c:pt idx="554">
                  <c:v>45233</c:v>
                </c:pt>
                <c:pt idx="555">
                  <c:v>45232</c:v>
                </c:pt>
                <c:pt idx="556">
                  <c:v>45231</c:v>
                </c:pt>
                <c:pt idx="557">
                  <c:v>45230</c:v>
                </c:pt>
                <c:pt idx="558">
                  <c:v>45229</c:v>
                </c:pt>
                <c:pt idx="559">
                  <c:v>45226</c:v>
                </c:pt>
                <c:pt idx="560">
                  <c:v>45225</c:v>
                </c:pt>
                <c:pt idx="561">
                  <c:v>45224</c:v>
                </c:pt>
                <c:pt idx="562">
                  <c:v>45223</c:v>
                </c:pt>
                <c:pt idx="563">
                  <c:v>45222</c:v>
                </c:pt>
                <c:pt idx="564">
                  <c:v>45219</c:v>
                </c:pt>
                <c:pt idx="565">
                  <c:v>45218</c:v>
                </c:pt>
                <c:pt idx="566">
                  <c:v>45217</c:v>
                </c:pt>
                <c:pt idx="567">
                  <c:v>45216</c:v>
                </c:pt>
                <c:pt idx="568">
                  <c:v>45215</c:v>
                </c:pt>
                <c:pt idx="569">
                  <c:v>45212</c:v>
                </c:pt>
                <c:pt idx="570">
                  <c:v>45211</c:v>
                </c:pt>
                <c:pt idx="571">
                  <c:v>45210</c:v>
                </c:pt>
                <c:pt idx="572">
                  <c:v>45209</c:v>
                </c:pt>
                <c:pt idx="573">
                  <c:v>45208</c:v>
                </c:pt>
                <c:pt idx="574">
                  <c:v>45205</c:v>
                </c:pt>
                <c:pt idx="575">
                  <c:v>45204</c:v>
                </c:pt>
                <c:pt idx="576">
                  <c:v>45203</c:v>
                </c:pt>
                <c:pt idx="577">
                  <c:v>45202</c:v>
                </c:pt>
                <c:pt idx="578">
                  <c:v>45201</c:v>
                </c:pt>
                <c:pt idx="579">
                  <c:v>45198</c:v>
                </c:pt>
                <c:pt idx="580">
                  <c:v>45197</c:v>
                </c:pt>
                <c:pt idx="581">
                  <c:v>45196</c:v>
                </c:pt>
                <c:pt idx="582">
                  <c:v>45195</c:v>
                </c:pt>
                <c:pt idx="583">
                  <c:v>45194</c:v>
                </c:pt>
                <c:pt idx="584">
                  <c:v>45191</c:v>
                </c:pt>
                <c:pt idx="585">
                  <c:v>45190</c:v>
                </c:pt>
                <c:pt idx="586">
                  <c:v>45189</c:v>
                </c:pt>
                <c:pt idx="587">
                  <c:v>45188</c:v>
                </c:pt>
                <c:pt idx="588">
                  <c:v>45187</c:v>
                </c:pt>
                <c:pt idx="589">
                  <c:v>45184</c:v>
                </c:pt>
                <c:pt idx="590">
                  <c:v>45183</c:v>
                </c:pt>
                <c:pt idx="591">
                  <c:v>45182</c:v>
                </c:pt>
                <c:pt idx="592">
                  <c:v>45181</c:v>
                </c:pt>
                <c:pt idx="593">
                  <c:v>45180</c:v>
                </c:pt>
                <c:pt idx="594">
                  <c:v>45177</c:v>
                </c:pt>
                <c:pt idx="595">
                  <c:v>45176</c:v>
                </c:pt>
                <c:pt idx="596">
                  <c:v>45175</c:v>
                </c:pt>
                <c:pt idx="597">
                  <c:v>45174</c:v>
                </c:pt>
                <c:pt idx="598">
                  <c:v>45170</c:v>
                </c:pt>
                <c:pt idx="599">
                  <c:v>45169</c:v>
                </c:pt>
                <c:pt idx="600">
                  <c:v>45168</c:v>
                </c:pt>
                <c:pt idx="601">
                  <c:v>45167</c:v>
                </c:pt>
                <c:pt idx="602">
                  <c:v>45166</c:v>
                </c:pt>
                <c:pt idx="603">
                  <c:v>45163</c:v>
                </c:pt>
                <c:pt idx="604">
                  <c:v>45162</c:v>
                </c:pt>
                <c:pt idx="605">
                  <c:v>45161</c:v>
                </c:pt>
                <c:pt idx="606">
                  <c:v>45160</c:v>
                </c:pt>
                <c:pt idx="607">
                  <c:v>45159</c:v>
                </c:pt>
                <c:pt idx="608">
                  <c:v>45156</c:v>
                </c:pt>
                <c:pt idx="609">
                  <c:v>45155</c:v>
                </c:pt>
                <c:pt idx="610">
                  <c:v>45154</c:v>
                </c:pt>
                <c:pt idx="611">
                  <c:v>45153</c:v>
                </c:pt>
                <c:pt idx="612">
                  <c:v>45152</c:v>
                </c:pt>
                <c:pt idx="613">
                  <c:v>45149</c:v>
                </c:pt>
                <c:pt idx="614">
                  <c:v>45148</c:v>
                </c:pt>
                <c:pt idx="615">
                  <c:v>45147</c:v>
                </c:pt>
                <c:pt idx="616">
                  <c:v>45146</c:v>
                </c:pt>
                <c:pt idx="617">
                  <c:v>45145</c:v>
                </c:pt>
                <c:pt idx="618">
                  <c:v>45142</c:v>
                </c:pt>
                <c:pt idx="619">
                  <c:v>45141</c:v>
                </c:pt>
                <c:pt idx="620">
                  <c:v>45140</c:v>
                </c:pt>
                <c:pt idx="621">
                  <c:v>45139</c:v>
                </c:pt>
                <c:pt idx="622">
                  <c:v>45138</c:v>
                </c:pt>
                <c:pt idx="623">
                  <c:v>45135</c:v>
                </c:pt>
                <c:pt idx="624">
                  <c:v>45134</c:v>
                </c:pt>
                <c:pt idx="625">
                  <c:v>45133</c:v>
                </c:pt>
                <c:pt idx="626">
                  <c:v>45132</c:v>
                </c:pt>
                <c:pt idx="627">
                  <c:v>45131</c:v>
                </c:pt>
                <c:pt idx="628">
                  <c:v>45128</c:v>
                </c:pt>
                <c:pt idx="629">
                  <c:v>45127</c:v>
                </c:pt>
                <c:pt idx="630">
                  <c:v>45126</c:v>
                </c:pt>
                <c:pt idx="631">
                  <c:v>45125</c:v>
                </c:pt>
                <c:pt idx="632">
                  <c:v>45124</c:v>
                </c:pt>
                <c:pt idx="633">
                  <c:v>45121</c:v>
                </c:pt>
                <c:pt idx="634">
                  <c:v>45120</c:v>
                </c:pt>
                <c:pt idx="635">
                  <c:v>45119</c:v>
                </c:pt>
                <c:pt idx="636">
                  <c:v>45118</c:v>
                </c:pt>
                <c:pt idx="637">
                  <c:v>45117</c:v>
                </c:pt>
                <c:pt idx="638">
                  <c:v>45114</c:v>
                </c:pt>
                <c:pt idx="639">
                  <c:v>45113</c:v>
                </c:pt>
                <c:pt idx="640">
                  <c:v>45112</c:v>
                </c:pt>
                <c:pt idx="641">
                  <c:v>45110</c:v>
                </c:pt>
                <c:pt idx="642">
                  <c:v>45107</c:v>
                </c:pt>
                <c:pt idx="643">
                  <c:v>45106</c:v>
                </c:pt>
                <c:pt idx="644">
                  <c:v>45105</c:v>
                </c:pt>
                <c:pt idx="645">
                  <c:v>45104</c:v>
                </c:pt>
                <c:pt idx="646">
                  <c:v>45103</c:v>
                </c:pt>
                <c:pt idx="647">
                  <c:v>45100</c:v>
                </c:pt>
                <c:pt idx="648">
                  <c:v>45099</c:v>
                </c:pt>
                <c:pt idx="649">
                  <c:v>45098</c:v>
                </c:pt>
                <c:pt idx="650">
                  <c:v>45097</c:v>
                </c:pt>
                <c:pt idx="651">
                  <c:v>45093</c:v>
                </c:pt>
                <c:pt idx="652">
                  <c:v>45092</c:v>
                </c:pt>
                <c:pt idx="653">
                  <c:v>45091</c:v>
                </c:pt>
                <c:pt idx="654">
                  <c:v>45090</c:v>
                </c:pt>
                <c:pt idx="655">
                  <c:v>45089</c:v>
                </c:pt>
                <c:pt idx="656">
                  <c:v>45086</c:v>
                </c:pt>
                <c:pt idx="657">
                  <c:v>45085</c:v>
                </c:pt>
                <c:pt idx="658">
                  <c:v>45084</c:v>
                </c:pt>
                <c:pt idx="659">
                  <c:v>45083</c:v>
                </c:pt>
                <c:pt idx="660">
                  <c:v>45082</c:v>
                </c:pt>
                <c:pt idx="661">
                  <c:v>45079</c:v>
                </c:pt>
                <c:pt idx="662">
                  <c:v>45078</c:v>
                </c:pt>
                <c:pt idx="663">
                  <c:v>45077</c:v>
                </c:pt>
                <c:pt idx="664">
                  <c:v>45076</c:v>
                </c:pt>
                <c:pt idx="665">
                  <c:v>45072</c:v>
                </c:pt>
                <c:pt idx="666">
                  <c:v>45071</c:v>
                </c:pt>
                <c:pt idx="667">
                  <c:v>45070</c:v>
                </c:pt>
                <c:pt idx="668">
                  <c:v>45069</c:v>
                </c:pt>
                <c:pt idx="669">
                  <c:v>45068</c:v>
                </c:pt>
                <c:pt idx="670">
                  <c:v>45065</c:v>
                </c:pt>
                <c:pt idx="671">
                  <c:v>45064</c:v>
                </c:pt>
                <c:pt idx="672">
                  <c:v>45063</c:v>
                </c:pt>
                <c:pt idx="673">
                  <c:v>45062</c:v>
                </c:pt>
                <c:pt idx="674">
                  <c:v>45061</c:v>
                </c:pt>
                <c:pt idx="675">
                  <c:v>45058</c:v>
                </c:pt>
                <c:pt idx="676">
                  <c:v>45057</c:v>
                </c:pt>
                <c:pt idx="677">
                  <c:v>45056</c:v>
                </c:pt>
                <c:pt idx="678">
                  <c:v>45055</c:v>
                </c:pt>
                <c:pt idx="679">
                  <c:v>45054</c:v>
                </c:pt>
                <c:pt idx="680">
                  <c:v>45051</c:v>
                </c:pt>
                <c:pt idx="681">
                  <c:v>45050</c:v>
                </c:pt>
                <c:pt idx="682">
                  <c:v>45049</c:v>
                </c:pt>
                <c:pt idx="683">
                  <c:v>45048</c:v>
                </c:pt>
                <c:pt idx="684">
                  <c:v>45047</c:v>
                </c:pt>
                <c:pt idx="685">
                  <c:v>45044</c:v>
                </c:pt>
                <c:pt idx="686">
                  <c:v>45043</c:v>
                </c:pt>
                <c:pt idx="687">
                  <c:v>45042</c:v>
                </c:pt>
                <c:pt idx="688">
                  <c:v>45041</c:v>
                </c:pt>
                <c:pt idx="689">
                  <c:v>45040</c:v>
                </c:pt>
                <c:pt idx="690">
                  <c:v>45037</c:v>
                </c:pt>
                <c:pt idx="691">
                  <c:v>45036</c:v>
                </c:pt>
                <c:pt idx="692">
                  <c:v>45035</c:v>
                </c:pt>
                <c:pt idx="693">
                  <c:v>45034</c:v>
                </c:pt>
                <c:pt idx="694">
                  <c:v>45033</c:v>
                </c:pt>
                <c:pt idx="695">
                  <c:v>45030</c:v>
                </c:pt>
                <c:pt idx="696">
                  <c:v>45029</c:v>
                </c:pt>
                <c:pt idx="697">
                  <c:v>45028</c:v>
                </c:pt>
                <c:pt idx="698">
                  <c:v>45027</c:v>
                </c:pt>
                <c:pt idx="699">
                  <c:v>45026</c:v>
                </c:pt>
                <c:pt idx="700">
                  <c:v>45022</c:v>
                </c:pt>
                <c:pt idx="701">
                  <c:v>45021</c:v>
                </c:pt>
                <c:pt idx="702">
                  <c:v>45020</c:v>
                </c:pt>
                <c:pt idx="703">
                  <c:v>45019</c:v>
                </c:pt>
                <c:pt idx="704">
                  <c:v>45016</c:v>
                </c:pt>
                <c:pt idx="705">
                  <c:v>45015</c:v>
                </c:pt>
                <c:pt idx="706">
                  <c:v>45014</c:v>
                </c:pt>
                <c:pt idx="707">
                  <c:v>45013</c:v>
                </c:pt>
                <c:pt idx="708">
                  <c:v>45012</c:v>
                </c:pt>
                <c:pt idx="709">
                  <c:v>45009</c:v>
                </c:pt>
                <c:pt idx="710">
                  <c:v>45008</c:v>
                </c:pt>
                <c:pt idx="711">
                  <c:v>45007</c:v>
                </c:pt>
                <c:pt idx="712">
                  <c:v>45006</c:v>
                </c:pt>
                <c:pt idx="713">
                  <c:v>45005</c:v>
                </c:pt>
                <c:pt idx="714">
                  <c:v>45002</c:v>
                </c:pt>
                <c:pt idx="715">
                  <c:v>45001</c:v>
                </c:pt>
                <c:pt idx="716">
                  <c:v>45000</c:v>
                </c:pt>
                <c:pt idx="717">
                  <c:v>44999</c:v>
                </c:pt>
                <c:pt idx="718">
                  <c:v>44998</c:v>
                </c:pt>
                <c:pt idx="719">
                  <c:v>44995</c:v>
                </c:pt>
                <c:pt idx="720">
                  <c:v>44994</c:v>
                </c:pt>
                <c:pt idx="721">
                  <c:v>44993</c:v>
                </c:pt>
                <c:pt idx="722">
                  <c:v>44992</c:v>
                </c:pt>
                <c:pt idx="723">
                  <c:v>44991</c:v>
                </c:pt>
                <c:pt idx="724">
                  <c:v>44988</c:v>
                </c:pt>
                <c:pt idx="725">
                  <c:v>44987</c:v>
                </c:pt>
                <c:pt idx="726">
                  <c:v>44986</c:v>
                </c:pt>
                <c:pt idx="727">
                  <c:v>44985</c:v>
                </c:pt>
                <c:pt idx="728">
                  <c:v>44984</c:v>
                </c:pt>
                <c:pt idx="729">
                  <c:v>44981</c:v>
                </c:pt>
                <c:pt idx="730">
                  <c:v>44980</c:v>
                </c:pt>
                <c:pt idx="731">
                  <c:v>44979</c:v>
                </c:pt>
                <c:pt idx="732">
                  <c:v>44978</c:v>
                </c:pt>
                <c:pt idx="733">
                  <c:v>44974</c:v>
                </c:pt>
                <c:pt idx="734">
                  <c:v>44973</c:v>
                </c:pt>
                <c:pt idx="735">
                  <c:v>44972</c:v>
                </c:pt>
                <c:pt idx="736">
                  <c:v>44971</c:v>
                </c:pt>
                <c:pt idx="737">
                  <c:v>44970</c:v>
                </c:pt>
                <c:pt idx="738">
                  <c:v>44967</c:v>
                </c:pt>
                <c:pt idx="739">
                  <c:v>44966</c:v>
                </c:pt>
                <c:pt idx="740">
                  <c:v>44965</c:v>
                </c:pt>
                <c:pt idx="741">
                  <c:v>44964</c:v>
                </c:pt>
                <c:pt idx="742">
                  <c:v>44963</c:v>
                </c:pt>
                <c:pt idx="743">
                  <c:v>44960</c:v>
                </c:pt>
                <c:pt idx="744">
                  <c:v>44959</c:v>
                </c:pt>
                <c:pt idx="745">
                  <c:v>44958</c:v>
                </c:pt>
                <c:pt idx="746">
                  <c:v>44957</c:v>
                </c:pt>
              </c:numCache>
            </c:numRef>
          </c:cat>
          <c:val>
            <c:numRef>
              <c:f>CRH!$H$21:$H$773</c:f>
              <c:numCache>
                <c:formatCode>0.0%_);\(0.0%\);\-\-_);@_)</c:formatCode>
                <c:ptCount val="753"/>
                <c:pt idx="0">
                  <c:v>1.4413022366781212E-2</c:v>
                </c:pt>
                <c:pt idx="1">
                  <c:v>-4.928085728757927E-2</c:v>
                </c:pt>
                <c:pt idx="2">
                  <c:v>-3.9563729183502344E-2</c:v>
                </c:pt>
                <c:pt idx="3">
                  <c:v>-4.2187320641164004E-2</c:v>
                </c:pt>
                <c:pt idx="4">
                  <c:v>-3.6081928915776593E-2</c:v>
                </c:pt>
                <c:pt idx="5">
                  <c:v>-3.6678118353326156E-2</c:v>
                </c:pt>
                <c:pt idx="6">
                  <c:v>-9.9827152665540996E-3</c:v>
                </c:pt>
                <c:pt idx="7">
                  <c:v>1.0715731067333688E-2</c:v>
                </c:pt>
                <c:pt idx="8">
                  <c:v>2.4172347374086932E-2</c:v>
                </c:pt>
                <c:pt idx="9">
                  <c:v>-1.7356134676733026E-2</c:v>
                </c:pt>
                <c:pt idx="10">
                  <c:v>-3.3572879407146025E-2</c:v>
                </c:pt>
                <c:pt idx="11">
                  <c:v>1.7824422520355897E-2</c:v>
                </c:pt>
                <c:pt idx="12">
                  <c:v>-1.206074392050905E-2</c:v>
                </c:pt>
                <c:pt idx="13">
                  <c:v>4.8703184268659612E-3</c:v>
                </c:pt>
                <c:pt idx="14">
                  <c:v>-2.4113232396666757E-2</c:v>
                </c:pt>
                <c:pt idx="15">
                  <c:v>-2.4356664913715829E-2</c:v>
                </c:pt>
                <c:pt idx="16">
                  <c:v>-5.260222749587401E-3</c:v>
                </c:pt>
                <c:pt idx="17">
                  <c:v>1.0721431829469118E-2</c:v>
                </c:pt>
                <c:pt idx="18">
                  <c:v>1.189209876904827E-2</c:v>
                </c:pt>
                <c:pt idx="19">
                  <c:v>1.2411431348090359E-2</c:v>
                </c:pt>
                <c:pt idx="20">
                  <c:v>-7.6659017963699424E-3</c:v>
                </c:pt>
                <c:pt idx="21">
                  <c:v>4.6996270229134933E-2</c:v>
                </c:pt>
                <c:pt idx="22">
                  <c:v>6.4244227218198585E-2</c:v>
                </c:pt>
                <c:pt idx="23">
                  <c:v>3.4661200687846845E-2</c:v>
                </c:pt>
                <c:pt idx="24">
                  <c:v>7.4660087986203313E-2</c:v>
                </c:pt>
                <c:pt idx="25">
                  <c:v>6.2726459709030014E-2</c:v>
                </c:pt>
                <c:pt idx="26">
                  <c:v>5.7097759967600012E-2</c:v>
                </c:pt>
                <c:pt idx="27">
                  <c:v>4.7034551043840467E-2</c:v>
                </c:pt>
                <c:pt idx="28">
                  <c:v>5.6534102375333961E-2</c:v>
                </c:pt>
                <c:pt idx="29">
                  <c:v>7.5700379503844534E-2</c:v>
                </c:pt>
                <c:pt idx="30">
                  <c:v>0.10809926126009986</c:v>
                </c:pt>
                <c:pt idx="31">
                  <c:v>4.4096822380859768E-2</c:v>
                </c:pt>
                <c:pt idx="32">
                  <c:v>6.1865042110465625E-2</c:v>
                </c:pt>
                <c:pt idx="33">
                  <c:v>7.3280651794098178E-2</c:v>
                </c:pt>
                <c:pt idx="34">
                  <c:v>5.8034023815203589E-2</c:v>
                </c:pt>
                <c:pt idx="35">
                  <c:v>7.8352318228179729E-2</c:v>
                </c:pt>
                <c:pt idx="36">
                  <c:v>5.9470246713507126E-2</c:v>
                </c:pt>
                <c:pt idx="37">
                  <c:v>6.187054805005994E-2</c:v>
                </c:pt>
                <c:pt idx="38">
                  <c:v>4.5667654712577326E-2</c:v>
                </c:pt>
                <c:pt idx="39">
                  <c:v>8.5595829281739783E-3</c:v>
                </c:pt>
                <c:pt idx="40">
                  <c:v>-5.0630826407934391E-3</c:v>
                </c:pt>
                <c:pt idx="41">
                  <c:v>-2.7072880796696737E-2</c:v>
                </c:pt>
                <c:pt idx="42">
                  <c:v>-2.3680879445711425E-2</c:v>
                </c:pt>
                <c:pt idx="43">
                  <c:v>-4.7924432743475964E-2</c:v>
                </c:pt>
                <c:pt idx="44">
                  <c:v>-4.9480350985790678E-2</c:v>
                </c:pt>
                <c:pt idx="45">
                  <c:v>-6.2748541209537628E-2</c:v>
                </c:pt>
                <c:pt idx="46">
                  <c:v>-3.845761340529498E-2</c:v>
                </c:pt>
                <c:pt idx="47">
                  <c:v>-3.6715693208168643E-2</c:v>
                </c:pt>
                <c:pt idx="48">
                  <c:v>-5.390150736980201E-2</c:v>
                </c:pt>
                <c:pt idx="49">
                  <c:v>-5.0964042039741531E-2</c:v>
                </c:pt>
                <c:pt idx="50">
                  <c:v>-4.9409193119106881E-2</c:v>
                </c:pt>
                <c:pt idx="51">
                  <c:v>-2.323461606202679E-2</c:v>
                </c:pt>
                <c:pt idx="52">
                  <c:v>-2.7433012703988742E-2</c:v>
                </c:pt>
                <c:pt idx="53">
                  <c:v>-1.394039371704733E-2</c:v>
                </c:pt>
                <c:pt idx="54">
                  <c:v>-1.1525231832087163E-2</c:v>
                </c:pt>
                <c:pt idx="55">
                  <c:v>-1.5776750301516818E-2</c:v>
                </c:pt>
                <c:pt idx="56">
                  <c:v>-3.1272850652539833E-2</c:v>
                </c:pt>
                <c:pt idx="57">
                  <c:v>-3.8893508578279293E-2</c:v>
                </c:pt>
                <c:pt idx="58">
                  <c:v>-4.4685522725987893E-2</c:v>
                </c:pt>
                <c:pt idx="59">
                  <c:v>-9.1677309189367451E-3</c:v>
                </c:pt>
                <c:pt idx="60">
                  <c:v>-8.884285006434102E-3</c:v>
                </c:pt>
                <c:pt idx="61">
                  <c:v>1.6156814652199068E-3</c:v>
                </c:pt>
                <c:pt idx="62">
                  <c:v>2.3881721390559951E-3</c:v>
                </c:pt>
                <c:pt idx="63">
                  <c:v>1.2672837856665467E-2</c:v>
                </c:pt>
                <c:pt idx="64">
                  <c:v>-5.0834032145269346E-3</c:v>
                </c:pt>
                <c:pt idx="65">
                  <c:v>-1.1352946053139917E-2</c:v>
                </c:pt>
                <c:pt idx="66">
                  <c:v>-1.8854417490395368E-2</c:v>
                </c:pt>
                <c:pt idx="67">
                  <c:v>-3.2683985928563912E-3</c:v>
                </c:pt>
                <c:pt idx="68">
                  <c:v>1.0254047429411821E-2</c:v>
                </c:pt>
                <c:pt idx="69">
                  <c:v>2.7004547492446882E-2</c:v>
                </c:pt>
                <c:pt idx="70">
                  <c:v>3.8885719095733629E-2</c:v>
                </c:pt>
                <c:pt idx="71">
                  <c:v>2.4712407443968295E-2</c:v>
                </c:pt>
                <c:pt idx="72">
                  <c:v>2.2352987746164035E-2</c:v>
                </c:pt>
                <c:pt idx="73">
                  <c:v>8.1825652247588029E-3</c:v>
                </c:pt>
                <c:pt idx="74">
                  <c:v>2.0695219354784876E-2</c:v>
                </c:pt>
                <c:pt idx="75">
                  <c:v>5.0580427274308816E-2</c:v>
                </c:pt>
                <c:pt idx="76">
                  <c:v>6.0826513300154171E-2</c:v>
                </c:pt>
                <c:pt idx="77">
                  <c:v>5.4037644731837899E-2</c:v>
                </c:pt>
                <c:pt idx="78">
                  <c:v>4.9925529579404541E-2</c:v>
                </c:pt>
                <c:pt idx="79">
                  <c:v>3.268966551565302E-3</c:v>
                </c:pt>
                <c:pt idx="80">
                  <c:v>-8.7580409599523242E-3</c:v>
                </c:pt>
                <c:pt idx="81">
                  <c:v>-2.6673785001598865E-2</c:v>
                </c:pt>
                <c:pt idx="82">
                  <c:v>-7.2331692628335442E-3</c:v>
                </c:pt>
                <c:pt idx="83">
                  <c:v>4.1720895343671481E-3</c:v>
                </c:pt>
                <c:pt idx="84">
                  <c:v>-1.264967077249636E-2</c:v>
                </c:pt>
                <c:pt idx="85">
                  <c:v>-2.7006166012273132E-2</c:v>
                </c:pt>
                <c:pt idx="86">
                  <c:v>-1.6457394477380382E-2</c:v>
                </c:pt>
                <c:pt idx="87">
                  <c:v>-3.4404186516836924E-2</c:v>
                </c:pt>
                <c:pt idx="88">
                  <c:v>-2.5172535985180329E-2</c:v>
                </c:pt>
                <c:pt idx="89">
                  <c:v>-2.6731463260877834E-2</c:v>
                </c:pt>
                <c:pt idx="90">
                  <c:v>-1.3851027004835847E-2</c:v>
                </c:pt>
                <c:pt idx="91">
                  <c:v>-9.2987944871714308E-3</c:v>
                </c:pt>
                <c:pt idx="92">
                  <c:v>-3.8893034438247501E-2</c:v>
                </c:pt>
                <c:pt idx="93">
                  <c:v>-3.0644056802233484E-2</c:v>
                </c:pt>
                <c:pt idx="94">
                  <c:v>-1.6592650973158228E-2</c:v>
                </c:pt>
                <c:pt idx="95">
                  <c:v>-6.7316162483879241E-3</c:v>
                </c:pt>
                <c:pt idx="96">
                  <c:v>-1.2929580466463451E-2</c:v>
                </c:pt>
                <c:pt idx="97">
                  <c:v>-1.1906843910950742E-2</c:v>
                </c:pt>
                <c:pt idx="98">
                  <c:v>4.2987002854547865E-3</c:v>
                </c:pt>
                <c:pt idx="99">
                  <c:v>1.7014754153858735E-2</c:v>
                </c:pt>
                <c:pt idx="100">
                  <c:v>6.4291779779854091E-3</c:v>
                </c:pt>
                <c:pt idx="101">
                  <c:v>-6.4734753293789315E-3</c:v>
                </c:pt>
                <c:pt idx="102">
                  <c:v>1.6041970820774791E-2</c:v>
                </c:pt>
                <c:pt idx="103">
                  <c:v>3.4887189852621556E-2</c:v>
                </c:pt>
                <c:pt idx="104">
                  <c:v>2.1216379080926485E-2</c:v>
                </c:pt>
                <c:pt idx="105">
                  <c:v>2.9398054759080288E-2</c:v>
                </c:pt>
                <c:pt idx="106">
                  <c:v>0.12465971298428499</c:v>
                </c:pt>
                <c:pt idx="107">
                  <c:v>0.12518796825810535</c:v>
                </c:pt>
                <c:pt idx="108">
                  <c:v>0.11139844046164592</c:v>
                </c:pt>
                <c:pt idx="109">
                  <c:v>0.12035213921554261</c:v>
                </c:pt>
                <c:pt idx="110">
                  <c:v>0.14474002437148847</c:v>
                </c:pt>
                <c:pt idx="111">
                  <c:v>0.15665619888747204</c:v>
                </c:pt>
                <c:pt idx="112">
                  <c:v>0.13703022449550617</c:v>
                </c:pt>
                <c:pt idx="113">
                  <c:v>9.3353284444151585E-2</c:v>
                </c:pt>
                <c:pt idx="114">
                  <c:v>9.2183900702604987E-2</c:v>
                </c:pt>
                <c:pt idx="115">
                  <c:v>0.10497700058143544</c:v>
                </c:pt>
                <c:pt idx="116">
                  <c:v>1.0721339559703055E-2</c:v>
                </c:pt>
                <c:pt idx="117">
                  <c:v>2.7328550832190046E-2</c:v>
                </c:pt>
                <c:pt idx="118">
                  <c:v>3.7207159021881792E-2</c:v>
                </c:pt>
                <c:pt idx="119">
                  <c:v>2.4324631364881152E-2</c:v>
                </c:pt>
                <c:pt idx="120">
                  <c:v>1.8498116825448125E-2</c:v>
                </c:pt>
                <c:pt idx="121">
                  <c:v>1.8947980003365505E-2</c:v>
                </c:pt>
                <c:pt idx="122">
                  <c:v>6.3163178586245448E-3</c:v>
                </c:pt>
                <c:pt idx="123">
                  <c:v>1.425671101334711E-2</c:v>
                </c:pt>
                <c:pt idx="124">
                  <c:v>2.4209453771439689E-2</c:v>
                </c:pt>
                <c:pt idx="125">
                  <c:v>-3.5338562981999111E-3</c:v>
                </c:pt>
                <c:pt idx="126">
                  <c:v>-1.5805169487171582E-2</c:v>
                </c:pt>
                <c:pt idx="127">
                  <c:v>-7.8332226507347412E-3</c:v>
                </c:pt>
                <c:pt idx="128">
                  <c:v>-1.6378093236012255E-2</c:v>
                </c:pt>
                <c:pt idx="129">
                  <c:v>0</c:v>
                </c:pt>
                <c:pt idx="130">
                  <c:v>-2.4711318586992211E-2</c:v>
                </c:pt>
                <c:pt idx="131">
                  <c:v>-2.4236800352734577E-2</c:v>
                </c:pt>
                <c:pt idx="132">
                  <c:v>1.375895263192109E-4</c:v>
                </c:pt>
                <c:pt idx="133">
                  <c:v>2.004453219962482E-2</c:v>
                </c:pt>
                <c:pt idx="134">
                  <c:v>2.2692028433056E-2</c:v>
                </c:pt>
                <c:pt idx="135">
                  <c:v>4.7544543623506082E-2</c:v>
                </c:pt>
                <c:pt idx="136">
                  <c:v>5.1873987028254319E-2</c:v>
                </c:pt>
                <c:pt idx="137">
                  <c:v>6.1173308307426351E-3</c:v>
                </c:pt>
                <c:pt idx="138">
                  <c:v>5.420382402536443E-3</c:v>
                </c:pt>
                <c:pt idx="139">
                  <c:v>2.6251101591604209E-3</c:v>
                </c:pt>
                <c:pt idx="140">
                  <c:v>-4.1574081613719727E-4</c:v>
                </c:pt>
                <c:pt idx="141">
                  <c:v>-4.0853519457826754E-3</c:v>
                </c:pt>
                <c:pt idx="142">
                  <c:v>-2.9051994909384954E-2</c:v>
                </c:pt>
                <c:pt idx="143">
                  <c:v>-3.8706832651075329E-2</c:v>
                </c:pt>
                <c:pt idx="144">
                  <c:v>-4.710725251779109E-2</c:v>
                </c:pt>
                <c:pt idx="145">
                  <c:v>-5.6752837422043269E-2</c:v>
                </c:pt>
                <c:pt idx="146">
                  <c:v>-3.6043147433377679E-2</c:v>
                </c:pt>
                <c:pt idx="147">
                  <c:v>-3.3443203728262982E-2</c:v>
                </c:pt>
                <c:pt idx="148">
                  <c:v>-5.6168408995986262E-2</c:v>
                </c:pt>
                <c:pt idx="149">
                  <c:v>-2.2479633698428519E-2</c:v>
                </c:pt>
                <c:pt idx="150">
                  <c:v>-1.6977573718014692E-2</c:v>
                </c:pt>
                <c:pt idx="151">
                  <c:v>-2.5877200001429814E-2</c:v>
                </c:pt>
                <c:pt idx="152">
                  <c:v>-2.6190239329319798E-2</c:v>
                </c:pt>
                <c:pt idx="153">
                  <c:v>-2.1176967043792839E-2</c:v>
                </c:pt>
                <c:pt idx="154">
                  <c:v>-3.8016036789116067E-2</c:v>
                </c:pt>
                <c:pt idx="155">
                  <c:v>-4.9046550407642414E-2</c:v>
                </c:pt>
                <c:pt idx="156">
                  <c:v>-5.3485830734008921E-2</c:v>
                </c:pt>
                <c:pt idx="157">
                  <c:v>-6.1375638070211083E-2</c:v>
                </c:pt>
                <c:pt idx="158">
                  <c:v>-4.4307911171283423E-2</c:v>
                </c:pt>
                <c:pt idx="159">
                  <c:v>-6.6837457741230649E-2</c:v>
                </c:pt>
                <c:pt idx="160">
                  <c:v>-7.7765113295945917E-2</c:v>
                </c:pt>
                <c:pt idx="161">
                  <c:v>-7.55878536858135E-2</c:v>
                </c:pt>
                <c:pt idx="162">
                  <c:v>-6.7058195723347841E-2</c:v>
                </c:pt>
                <c:pt idx="163">
                  <c:v>-6.0739574027027177E-2</c:v>
                </c:pt>
                <c:pt idx="164">
                  <c:v>-6.3592562831917249E-2</c:v>
                </c:pt>
                <c:pt idx="165">
                  <c:v>-5.2343612757830588E-2</c:v>
                </c:pt>
                <c:pt idx="166">
                  <c:v>-3.7382310060177747E-2</c:v>
                </c:pt>
                <c:pt idx="167">
                  <c:v>-2.6919839922446023E-2</c:v>
                </c:pt>
                <c:pt idx="168">
                  <c:v>-1.2623452579776651E-2</c:v>
                </c:pt>
                <c:pt idx="169">
                  <c:v>-4.624925237572354E-2</c:v>
                </c:pt>
                <c:pt idx="170">
                  <c:v>-6.635058586943661E-2</c:v>
                </c:pt>
                <c:pt idx="171">
                  <c:v>-5.6337689881900285E-2</c:v>
                </c:pt>
                <c:pt idx="172">
                  <c:v>-5.4751633853614035E-2</c:v>
                </c:pt>
                <c:pt idx="173">
                  <c:v>-5.2337936911577565E-2</c:v>
                </c:pt>
                <c:pt idx="174">
                  <c:v>-2.4136916509900005E-2</c:v>
                </c:pt>
                <c:pt idx="175">
                  <c:v>-1.1385003200137314E-2</c:v>
                </c:pt>
                <c:pt idx="176">
                  <c:v>-7.675382008452785E-3</c:v>
                </c:pt>
                <c:pt idx="177">
                  <c:v>-1.3151378638139789E-2</c:v>
                </c:pt>
                <c:pt idx="178">
                  <c:v>-1.4568093055311031E-2</c:v>
                </c:pt>
                <c:pt idx="179">
                  <c:v>1.9245425072317496E-2</c:v>
                </c:pt>
                <c:pt idx="180">
                  <c:v>6.7461325606364267E-2</c:v>
                </c:pt>
                <c:pt idx="181">
                  <c:v>6.5827699604476334E-2</c:v>
                </c:pt>
                <c:pt idx="182">
                  <c:v>5.3713228968295779E-2</c:v>
                </c:pt>
                <c:pt idx="183">
                  <c:v>6.974626396760028E-2</c:v>
                </c:pt>
                <c:pt idx="184">
                  <c:v>5.3316783518869405E-2</c:v>
                </c:pt>
                <c:pt idx="185">
                  <c:v>5.9290627169092829E-2</c:v>
                </c:pt>
                <c:pt idx="186">
                  <c:v>4.9162589613911935E-2</c:v>
                </c:pt>
                <c:pt idx="187">
                  <c:v>1.9669661313419823E-2</c:v>
                </c:pt>
                <c:pt idx="188">
                  <c:v>-5.164852432296918E-3</c:v>
                </c:pt>
                <c:pt idx="189">
                  <c:v>1.442864907913663E-4</c:v>
                </c:pt>
                <c:pt idx="190">
                  <c:v>2.2510744879866672E-3</c:v>
                </c:pt>
                <c:pt idx="191">
                  <c:v>7.6352041224194318E-3</c:v>
                </c:pt>
                <c:pt idx="192">
                  <c:v>2.4591104341178935E-2</c:v>
                </c:pt>
                <c:pt idx="193">
                  <c:v>2.0037588120437676E-2</c:v>
                </c:pt>
                <c:pt idx="194">
                  <c:v>2.1109168196749566E-2</c:v>
                </c:pt>
                <c:pt idx="195">
                  <c:v>1.0291554612935953E-2</c:v>
                </c:pt>
                <c:pt idx="196">
                  <c:v>-2.5875827434870824E-3</c:v>
                </c:pt>
                <c:pt idx="197">
                  <c:v>-4.0916910457825459E-3</c:v>
                </c:pt>
                <c:pt idx="198">
                  <c:v>-1.0319780862006717E-2</c:v>
                </c:pt>
                <c:pt idx="199">
                  <c:v>-1.5474751744944476E-2</c:v>
                </c:pt>
                <c:pt idx="200">
                  <c:v>-1.1273893898080173E-2</c:v>
                </c:pt>
                <c:pt idx="201">
                  <c:v>-5.2014089135059144E-2</c:v>
                </c:pt>
                <c:pt idx="202">
                  <c:v>-8.1241555735872453E-2</c:v>
                </c:pt>
                <c:pt idx="203">
                  <c:v>-8.0425700129518718E-2</c:v>
                </c:pt>
                <c:pt idx="204">
                  <c:v>-8.0627378445340001E-2</c:v>
                </c:pt>
                <c:pt idx="205">
                  <c:v>-7.7121823815604534E-2</c:v>
                </c:pt>
                <c:pt idx="206">
                  <c:v>-6.8567665586579396E-2</c:v>
                </c:pt>
                <c:pt idx="207">
                  <c:v>-6.6217314969584426E-2</c:v>
                </c:pt>
                <c:pt idx="208">
                  <c:v>-7.0268806321895291E-3</c:v>
                </c:pt>
                <c:pt idx="209">
                  <c:v>1.0046606594234418E-2</c:v>
                </c:pt>
                <c:pt idx="210">
                  <c:v>-5.8942967104042045E-3</c:v>
                </c:pt>
                <c:pt idx="211">
                  <c:v>5.3400061353619417E-3</c:v>
                </c:pt>
                <c:pt idx="212">
                  <c:v>-1.0883765633660641E-3</c:v>
                </c:pt>
                <c:pt idx="213">
                  <c:v>3.489819123145655E-2</c:v>
                </c:pt>
                <c:pt idx="214">
                  <c:v>1.2280433404418589E-2</c:v>
                </c:pt>
                <c:pt idx="215">
                  <c:v>1.5935887011721689E-2</c:v>
                </c:pt>
                <c:pt idx="216">
                  <c:v>8.397485749765829E-3</c:v>
                </c:pt>
                <c:pt idx="217">
                  <c:v>3.8293373676713982E-2</c:v>
                </c:pt>
                <c:pt idx="218">
                  <c:v>2.5156860574657353E-2</c:v>
                </c:pt>
                <c:pt idx="219">
                  <c:v>1.3505853731979101E-2</c:v>
                </c:pt>
                <c:pt idx="220">
                  <c:v>2.3310985470613048E-2</c:v>
                </c:pt>
                <c:pt idx="221">
                  <c:v>4.1339085388108085E-2</c:v>
                </c:pt>
                <c:pt idx="222">
                  <c:v>2.8713476585693357E-2</c:v>
                </c:pt>
                <c:pt idx="223">
                  <c:v>-6.4141325279617092E-2</c:v>
                </c:pt>
                <c:pt idx="224">
                  <c:v>-3.2685743805870492E-2</c:v>
                </c:pt>
                <c:pt idx="225">
                  <c:v>-1.0973522958081922E-2</c:v>
                </c:pt>
                <c:pt idx="226">
                  <c:v>6.2566774956985469E-3</c:v>
                </c:pt>
                <c:pt idx="227">
                  <c:v>1.3492025889468778E-2</c:v>
                </c:pt>
                <c:pt idx="228">
                  <c:v>2.5408523911348846E-3</c:v>
                </c:pt>
                <c:pt idx="229">
                  <c:v>-2.1090319187856449E-2</c:v>
                </c:pt>
                <c:pt idx="230">
                  <c:v>-3.3432800091277408E-2</c:v>
                </c:pt>
                <c:pt idx="231">
                  <c:v>4.0240678060484789E-3</c:v>
                </c:pt>
                <c:pt idx="232">
                  <c:v>5.7254915707899388E-2</c:v>
                </c:pt>
                <c:pt idx="233">
                  <c:v>0.11084209007057257</c:v>
                </c:pt>
                <c:pt idx="234">
                  <c:v>8.0597873574127871E-2</c:v>
                </c:pt>
                <c:pt idx="235">
                  <c:v>5.9496981796149526E-2</c:v>
                </c:pt>
                <c:pt idx="236">
                  <c:v>4.9555394437953863E-2</c:v>
                </c:pt>
                <c:pt idx="237">
                  <c:v>4.5130090881980924E-2</c:v>
                </c:pt>
                <c:pt idx="238">
                  <c:v>2.1163374131863592E-2</c:v>
                </c:pt>
                <c:pt idx="239">
                  <c:v>3.4007162475802238E-2</c:v>
                </c:pt>
                <c:pt idx="240">
                  <c:v>5.2651998953827765E-2</c:v>
                </c:pt>
                <c:pt idx="241">
                  <c:v>1.2635293196761387E-2</c:v>
                </c:pt>
                <c:pt idx="242">
                  <c:v>-4.8579319236744592E-3</c:v>
                </c:pt>
                <c:pt idx="243">
                  <c:v>-3.8254925803773176E-3</c:v>
                </c:pt>
                <c:pt idx="244">
                  <c:v>1.5650324781896638E-2</c:v>
                </c:pt>
                <c:pt idx="245">
                  <c:v>1.7921548728981843E-2</c:v>
                </c:pt>
                <c:pt idx="246">
                  <c:v>2.8901047691284314E-2</c:v>
                </c:pt>
                <c:pt idx="247">
                  <c:v>2.9909712291415189E-2</c:v>
                </c:pt>
                <c:pt idx="248">
                  <c:v>4.0674714307732757E-2</c:v>
                </c:pt>
                <c:pt idx="249">
                  <c:v>5.6209171737840576E-2</c:v>
                </c:pt>
                <c:pt idx="250">
                  <c:v>4.4662538905329049E-2</c:v>
                </c:pt>
                <c:pt idx="251">
                  <c:v>4.8890446191405992E-2</c:v>
                </c:pt>
                <c:pt idx="252">
                  <c:v>4.2761906829059351E-2</c:v>
                </c:pt>
                <c:pt idx="253">
                  <c:v>2.7316942334729123E-2</c:v>
                </c:pt>
                <c:pt idx="254">
                  <c:v>2.155530531522111E-2</c:v>
                </c:pt>
                <c:pt idx="255">
                  <c:v>2.6591063971479582E-2</c:v>
                </c:pt>
                <c:pt idx="256">
                  <c:v>1.6583334309490168E-2</c:v>
                </c:pt>
                <c:pt idx="257">
                  <c:v>8.2577791979452572E-3</c:v>
                </c:pt>
                <c:pt idx="258">
                  <c:v>1.1743495653779405E-2</c:v>
                </c:pt>
                <c:pt idx="259">
                  <c:v>-6.7474688071100936E-3</c:v>
                </c:pt>
                <c:pt idx="260">
                  <c:v>-9.4976936294652713E-3</c:v>
                </c:pt>
                <c:pt idx="261">
                  <c:v>-1.7466503628451712E-2</c:v>
                </c:pt>
                <c:pt idx="262">
                  <c:v>-2.0195132339192238E-2</c:v>
                </c:pt>
                <c:pt idx="263">
                  <c:v>-8.0934746272769004E-3</c:v>
                </c:pt>
                <c:pt idx="264">
                  <c:v>-1.8619038561003096E-2</c:v>
                </c:pt>
                <c:pt idx="265">
                  <c:v>-2.6176483081025916E-2</c:v>
                </c:pt>
                <c:pt idx="266">
                  <c:v>-3.3923177506777563E-2</c:v>
                </c:pt>
                <c:pt idx="267">
                  <c:v>-3.0728953933155008E-2</c:v>
                </c:pt>
                <c:pt idx="268">
                  <c:v>-4.2435629674161326E-2</c:v>
                </c:pt>
                <c:pt idx="269">
                  <c:v>-4.2093747794823208E-2</c:v>
                </c:pt>
                <c:pt idx="270">
                  <c:v>-5.8226551839841371E-2</c:v>
                </c:pt>
                <c:pt idx="271">
                  <c:v>-5.2306594714028085E-2</c:v>
                </c:pt>
                <c:pt idx="272">
                  <c:v>-4.9657267879646777E-2</c:v>
                </c:pt>
                <c:pt idx="273">
                  <c:v>-5.1471821110865207E-2</c:v>
                </c:pt>
                <c:pt idx="274">
                  <c:v>-4.7085155061595392E-2</c:v>
                </c:pt>
                <c:pt idx="275">
                  <c:v>-4.6352599338112387E-2</c:v>
                </c:pt>
                <c:pt idx="276">
                  <c:v>-4.4100040458640244E-2</c:v>
                </c:pt>
                <c:pt idx="277">
                  <c:v>-5.4227102251781352E-2</c:v>
                </c:pt>
                <c:pt idx="278">
                  <c:v>-4.8548127233398151E-2</c:v>
                </c:pt>
                <c:pt idx="279">
                  <c:v>-3.0486248710526253E-2</c:v>
                </c:pt>
                <c:pt idx="280">
                  <c:v>-4.9094401360098329E-3</c:v>
                </c:pt>
                <c:pt idx="281">
                  <c:v>-7.2299035523057387E-3</c:v>
                </c:pt>
                <c:pt idx="282">
                  <c:v>-6.8489263909191078E-5</c:v>
                </c:pt>
                <c:pt idx="283">
                  <c:v>-4.9350500585431459E-3</c:v>
                </c:pt>
                <c:pt idx="284">
                  <c:v>4.6237253319986599E-3</c:v>
                </c:pt>
                <c:pt idx="285">
                  <c:v>6.403004402031013E-3</c:v>
                </c:pt>
                <c:pt idx="286">
                  <c:v>2.5012470800947467E-2</c:v>
                </c:pt>
                <c:pt idx="287">
                  <c:v>1.923098885454038E-2</c:v>
                </c:pt>
                <c:pt idx="288">
                  <c:v>8.0386302984972301E-3</c:v>
                </c:pt>
                <c:pt idx="289">
                  <c:v>1.2778801226086964E-2</c:v>
                </c:pt>
                <c:pt idx="290">
                  <c:v>3.5697272935989134E-3</c:v>
                </c:pt>
                <c:pt idx="291">
                  <c:v>4.9661272917813654E-3</c:v>
                </c:pt>
                <c:pt idx="292">
                  <c:v>6.7464854789690831E-4</c:v>
                </c:pt>
                <c:pt idx="293">
                  <c:v>1.5197684839554887E-2</c:v>
                </c:pt>
                <c:pt idx="294">
                  <c:v>-5.1545606769253655E-3</c:v>
                </c:pt>
                <c:pt idx="295">
                  <c:v>-7.5111448617556642E-3</c:v>
                </c:pt>
                <c:pt idx="296">
                  <c:v>-3.8371477533413328E-3</c:v>
                </c:pt>
                <c:pt idx="297">
                  <c:v>2.548226447944809E-2</c:v>
                </c:pt>
                <c:pt idx="298">
                  <c:v>4.5049921888785427E-2</c:v>
                </c:pt>
                <c:pt idx="299">
                  <c:v>4.901035044231352E-2</c:v>
                </c:pt>
                <c:pt idx="300">
                  <c:v>6.3509307926628539E-2</c:v>
                </c:pt>
                <c:pt idx="301">
                  <c:v>7.1752326531569099E-2</c:v>
                </c:pt>
                <c:pt idx="302">
                  <c:v>7.0575480416407002E-2</c:v>
                </c:pt>
                <c:pt idx="303">
                  <c:v>5.5206725681121296E-2</c:v>
                </c:pt>
                <c:pt idx="304">
                  <c:v>5.465338710848143E-2</c:v>
                </c:pt>
                <c:pt idx="305">
                  <c:v>4.9109843017547422E-2</c:v>
                </c:pt>
                <c:pt idx="306">
                  <c:v>4.0087962943705181E-2</c:v>
                </c:pt>
                <c:pt idx="307">
                  <c:v>1.3757411598535914E-2</c:v>
                </c:pt>
                <c:pt idx="308">
                  <c:v>3.1334903413928986E-2</c:v>
                </c:pt>
                <c:pt idx="309">
                  <c:v>9.1325017540176412E-3</c:v>
                </c:pt>
                <c:pt idx="310">
                  <c:v>5.2089844413484472E-3</c:v>
                </c:pt>
                <c:pt idx="311">
                  <c:v>7.2831941832794782E-3</c:v>
                </c:pt>
                <c:pt idx="312">
                  <c:v>5.3678349181364438E-3</c:v>
                </c:pt>
                <c:pt idx="313">
                  <c:v>1.7514175637992971E-3</c:v>
                </c:pt>
                <c:pt idx="314">
                  <c:v>2.2284774182587039E-2</c:v>
                </c:pt>
                <c:pt idx="315">
                  <c:v>2.2493653764658797E-2</c:v>
                </c:pt>
                <c:pt idx="316">
                  <c:v>5.4921532101275469E-3</c:v>
                </c:pt>
                <c:pt idx="317">
                  <c:v>-2.0525589791579452E-3</c:v>
                </c:pt>
                <c:pt idx="318">
                  <c:v>-2.8355934027934453E-2</c:v>
                </c:pt>
                <c:pt idx="319">
                  <c:v>-2.7180785595096561E-2</c:v>
                </c:pt>
                <c:pt idx="320">
                  <c:v>-3.7641192357234482E-2</c:v>
                </c:pt>
                <c:pt idx="321">
                  <c:v>-3.6915352792501688E-2</c:v>
                </c:pt>
                <c:pt idx="322">
                  <c:v>-2.907213834439451E-2</c:v>
                </c:pt>
                <c:pt idx="323">
                  <c:v>-2.973578470136392E-2</c:v>
                </c:pt>
                <c:pt idx="324">
                  <c:v>-5.2717862085092305E-2</c:v>
                </c:pt>
                <c:pt idx="325">
                  <c:v>-4.0524091026855995E-2</c:v>
                </c:pt>
                <c:pt idx="326">
                  <c:v>-2.8434079541032279E-2</c:v>
                </c:pt>
                <c:pt idx="327">
                  <c:v>-6.4521406269386905E-4</c:v>
                </c:pt>
                <c:pt idx="328">
                  <c:v>8.4503052556425748E-3</c:v>
                </c:pt>
                <c:pt idx="329">
                  <c:v>2.9809419027633611E-2</c:v>
                </c:pt>
                <c:pt idx="330">
                  <c:v>3.8899587046978421E-2</c:v>
                </c:pt>
                <c:pt idx="331">
                  <c:v>3.6044473702676535E-2</c:v>
                </c:pt>
                <c:pt idx="332">
                  <c:v>9.230476625918492E-3</c:v>
                </c:pt>
                <c:pt idx="333">
                  <c:v>2.8837190960496278E-2</c:v>
                </c:pt>
                <c:pt idx="334">
                  <c:v>1.3501733586765596E-2</c:v>
                </c:pt>
                <c:pt idx="335">
                  <c:v>4.4983700888030463E-2</c:v>
                </c:pt>
                <c:pt idx="336">
                  <c:v>3.3091375617813897E-2</c:v>
                </c:pt>
                <c:pt idx="337">
                  <c:v>-1.2164205215101507E-2</c:v>
                </c:pt>
                <c:pt idx="338">
                  <c:v>-1.3981748089011614E-2</c:v>
                </c:pt>
                <c:pt idx="339">
                  <c:v>-1.7456329173770227E-2</c:v>
                </c:pt>
                <c:pt idx="340">
                  <c:v>-1.2940293452124302E-2</c:v>
                </c:pt>
                <c:pt idx="341">
                  <c:v>-1.5215694513019188E-2</c:v>
                </c:pt>
                <c:pt idx="342">
                  <c:v>-2.0029275837337785E-2</c:v>
                </c:pt>
                <c:pt idx="343">
                  <c:v>-2.5938736421320399E-2</c:v>
                </c:pt>
                <c:pt idx="344">
                  <c:v>8.625497599043401E-3</c:v>
                </c:pt>
                <c:pt idx="345">
                  <c:v>-2.9527376543198383E-3</c:v>
                </c:pt>
                <c:pt idx="346">
                  <c:v>1.87786914917417E-2</c:v>
                </c:pt>
                <c:pt idx="347">
                  <c:v>5.6927944817788935E-2</c:v>
                </c:pt>
                <c:pt idx="348">
                  <c:v>5.3642956369639651E-2</c:v>
                </c:pt>
                <c:pt idx="349">
                  <c:v>1.8716611557220417E-2</c:v>
                </c:pt>
                <c:pt idx="350">
                  <c:v>1.6574157139336521E-2</c:v>
                </c:pt>
                <c:pt idx="351">
                  <c:v>5.4577083431954151E-3</c:v>
                </c:pt>
                <c:pt idx="352">
                  <c:v>2.574657219042728E-2</c:v>
                </c:pt>
                <c:pt idx="353">
                  <c:v>1.6099654147702619E-2</c:v>
                </c:pt>
                <c:pt idx="354">
                  <c:v>1.3768237670656311E-2</c:v>
                </c:pt>
                <c:pt idx="355">
                  <c:v>2.8821418539182297E-2</c:v>
                </c:pt>
                <c:pt idx="356">
                  <c:v>-1.2018494976095931E-2</c:v>
                </c:pt>
                <c:pt idx="357">
                  <c:v>-1.7838410202390714E-2</c:v>
                </c:pt>
                <c:pt idx="358">
                  <c:v>7.5454392726959155E-3</c:v>
                </c:pt>
                <c:pt idx="359">
                  <c:v>2.0160971254009518E-2</c:v>
                </c:pt>
                <c:pt idx="360">
                  <c:v>-1.0412684504958195E-2</c:v>
                </c:pt>
                <c:pt idx="361">
                  <c:v>-6.73823723018112E-3</c:v>
                </c:pt>
                <c:pt idx="362">
                  <c:v>2.2151296551196204E-2</c:v>
                </c:pt>
                <c:pt idx="363">
                  <c:v>3.9249961925384241E-2</c:v>
                </c:pt>
                <c:pt idx="364">
                  <c:v>4.5485221703836433E-2</c:v>
                </c:pt>
                <c:pt idx="365">
                  <c:v>9.4235687981604407E-3</c:v>
                </c:pt>
                <c:pt idx="366">
                  <c:v>2.5709848573612887E-2</c:v>
                </c:pt>
                <c:pt idx="367">
                  <c:v>2.8004466915000678E-2</c:v>
                </c:pt>
                <c:pt idx="368">
                  <c:v>2.815511701110826E-2</c:v>
                </c:pt>
                <c:pt idx="369">
                  <c:v>5.0598207180413829E-2</c:v>
                </c:pt>
                <c:pt idx="370">
                  <c:v>7.5383465823520124E-2</c:v>
                </c:pt>
                <c:pt idx="371">
                  <c:v>6.8055173154041276E-2</c:v>
                </c:pt>
                <c:pt idx="372">
                  <c:v>7.5667943098174165E-2</c:v>
                </c:pt>
                <c:pt idx="373">
                  <c:v>6.1471165683524037E-2</c:v>
                </c:pt>
                <c:pt idx="374">
                  <c:v>4.0357884605047661E-2</c:v>
                </c:pt>
                <c:pt idx="375">
                  <c:v>7.7784842354874525E-2</c:v>
                </c:pt>
                <c:pt idx="376">
                  <c:v>8.8426133323305345E-2</c:v>
                </c:pt>
                <c:pt idx="377">
                  <c:v>0.105793119395515</c:v>
                </c:pt>
                <c:pt idx="378">
                  <c:v>9.7165443916291977E-2</c:v>
                </c:pt>
                <c:pt idx="379">
                  <c:v>8.3981975311584647E-2</c:v>
                </c:pt>
                <c:pt idx="380">
                  <c:v>0.10421362909189137</c:v>
                </c:pt>
                <c:pt idx="381">
                  <c:v>9.1322616133260509E-2</c:v>
                </c:pt>
                <c:pt idx="382">
                  <c:v>2.5778950596309073E-2</c:v>
                </c:pt>
                <c:pt idx="383">
                  <c:v>3.8812907393283004E-2</c:v>
                </c:pt>
                <c:pt idx="384">
                  <c:v>7.2458227704644038E-2</c:v>
                </c:pt>
                <c:pt idx="385">
                  <c:v>1.8376798528065931E-2</c:v>
                </c:pt>
                <c:pt idx="386">
                  <c:v>-4.5580736358026321E-3</c:v>
                </c:pt>
                <c:pt idx="387">
                  <c:v>-4.4368988510968446E-2</c:v>
                </c:pt>
                <c:pt idx="388">
                  <c:v>-5.1180325907585901E-2</c:v>
                </c:pt>
                <c:pt idx="389">
                  <c:v>-6.9243282366487469E-2</c:v>
                </c:pt>
                <c:pt idx="390">
                  <c:v>-9.260000235755049E-2</c:v>
                </c:pt>
                <c:pt idx="391">
                  <c:v>-5.6942213422817106E-2</c:v>
                </c:pt>
                <c:pt idx="392">
                  <c:v>-5.9617410308373114E-2</c:v>
                </c:pt>
                <c:pt idx="393">
                  <c:v>-7.9527664691774039E-2</c:v>
                </c:pt>
                <c:pt idx="394">
                  <c:v>-9.4713649511636647E-2</c:v>
                </c:pt>
                <c:pt idx="395">
                  <c:v>-0.10633161840969164</c:v>
                </c:pt>
                <c:pt idx="396">
                  <c:v>-7.2570622720784045E-2</c:v>
                </c:pt>
                <c:pt idx="397">
                  <c:v>-4.7669305766783368E-2</c:v>
                </c:pt>
                <c:pt idx="398">
                  <c:v>-5.9922388497339218E-2</c:v>
                </c:pt>
                <c:pt idx="399">
                  <c:v>-3.5156180783206259E-2</c:v>
                </c:pt>
                <c:pt idx="400">
                  <c:v>-4.9681467815403162E-2</c:v>
                </c:pt>
                <c:pt idx="401">
                  <c:v>-0.10102814167533314</c:v>
                </c:pt>
                <c:pt idx="402">
                  <c:v>-5.7275660316015872E-2</c:v>
                </c:pt>
                <c:pt idx="403">
                  <c:v>-1.730990300059259E-2</c:v>
                </c:pt>
                <c:pt idx="404">
                  <c:v>-3.0002345504418281E-2</c:v>
                </c:pt>
                <c:pt idx="405">
                  <c:v>-4.4179013401968982E-2</c:v>
                </c:pt>
                <c:pt idx="406">
                  <c:v>-5.1218788658212056E-2</c:v>
                </c:pt>
                <c:pt idx="407">
                  <c:v>-4.7094950712497655E-2</c:v>
                </c:pt>
                <c:pt idx="408">
                  <c:v>-4.1233637314819944E-2</c:v>
                </c:pt>
                <c:pt idx="409">
                  <c:v>-5.6217802946382525E-2</c:v>
                </c:pt>
                <c:pt idx="410">
                  <c:v>-3.1110083878537292E-2</c:v>
                </c:pt>
                <c:pt idx="411">
                  <c:v>-8.7746340441810615E-3</c:v>
                </c:pt>
                <c:pt idx="412">
                  <c:v>-4.8990067346472953E-2</c:v>
                </c:pt>
                <c:pt idx="413">
                  <c:v>-5.881953824461731E-2</c:v>
                </c:pt>
                <c:pt idx="414">
                  <c:v>-5.6256415141526364E-2</c:v>
                </c:pt>
                <c:pt idx="415">
                  <c:v>-4.2652575463475326E-2</c:v>
                </c:pt>
                <c:pt idx="416">
                  <c:v>-1.2434808596814425E-2</c:v>
                </c:pt>
                <c:pt idx="417">
                  <c:v>-2.4609189625866654E-2</c:v>
                </c:pt>
                <c:pt idx="418">
                  <c:v>-3.2069052371151485E-2</c:v>
                </c:pt>
                <c:pt idx="419">
                  <c:v>-3.576103252830827E-2</c:v>
                </c:pt>
                <c:pt idx="420">
                  <c:v>-2.6760014726364939E-2</c:v>
                </c:pt>
                <c:pt idx="421">
                  <c:v>-1.8711746723695716E-2</c:v>
                </c:pt>
                <c:pt idx="422">
                  <c:v>3.6443893021638307E-2</c:v>
                </c:pt>
                <c:pt idx="423">
                  <c:v>1.6061563104380623E-2</c:v>
                </c:pt>
                <c:pt idx="424">
                  <c:v>1.6665670708351038E-2</c:v>
                </c:pt>
                <c:pt idx="425">
                  <c:v>3.7725134880443802E-2</c:v>
                </c:pt>
                <c:pt idx="426">
                  <c:v>1.3691674881298049E-3</c:v>
                </c:pt>
                <c:pt idx="427">
                  <c:v>1.5981371671865002E-3</c:v>
                </c:pt>
                <c:pt idx="428">
                  <c:v>1.1220167183717059E-3</c:v>
                </c:pt>
                <c:pt idx="429">
                  <c:v>1.9124346661173477E-2</c:v>
                </c:pt>
                <c:pt idx="430">
                  <c:v>7.0746617725199468E-3</c:v>
                </c:pt>
                <c:pt idx="431">
                  <c:v>1.9061135648799694E-2</c:v>
                </c:pt>
                <c:pt idx="432">
                  <c:v>-1.6591972751260446E-2</c:v>
                </c:pt>
                <c:pt idx="433">
                  <c:v>-1.8601756952813416E-2</c:v>
                </c:pt>
                <c:pt idx="434">
                  <c:v>-2.9935955837844561E-2</c:v>
                </c:pt>
                <c:pt idx="435">
                  <c:v>-4.240278430939929E-2</c:v>
                </c:pt>
                <c:pt idx="436">
                  <c:v>-4.2956221606316201E-2</c:v>
                </c:pt>
                <c:pt idx="437">
                  <c:v>-5.0795087219450363E-2</c:v>
                </c:pt>
                <c:pt idx="438">
                  <c:v>-3.2203632976063296E-2</c:v>
                </c:pt>
                <c:pt idx="439">
                  <c:v>-5.3842696445179444E-2</c:v>
                </c:pt>
                <c:pt idx="440">
                  <c:v>-5.67726764664363E-2</c:v>
                </c:pt>
                <c:pt idx="441">
                  <c:v>-5.644763371304308E-2</c:v>
                </c:pt>
                <c:pt idx="442">
                  <c:v>-4.0757150073408722E-2</c:v>
                </c:pt>
                <c:pt idx="443">
                  <c:v>-2.8625812678407594E-2</c:v>
                </c:pt>
                <c:pt idx="444">
                  <c:v>-1.6506140553633454E-2</c:v>
                </c:pt>
                <c:pt idx="445">
                  <c:v>-1.8023851150799339E-2</c:v>
                </c:pt>
                <c:pt idx="446">
                  <c:v>-1.9143097626255969E-2</c:v>
                </c:pt>
                <c:pt idx="447">
                  <c:v>-3.3602459418136797E-2</c:v>
                </c:pt>
                <c:pt idx="448">
                  <c:v>-3.221918871470833E-2</c:v>
                </c:pt>
                <c:pt idx="449">
                  <c:v>-4.9927252298279795E-4</c:v>
                </c:pt>
                <c:pt idx="450">
                  <c:v>1.5765339362244848E-2</c:v>
                </c:pt>
                <c:pt idx="451">
                  <c:v>-1.28255001970419E-3</c:v>
                </c:pt>
                <c:pt idx="452">
                  <c:v>1.9552913309387517E-4</c:v>
                </c:pt>
                <c:pt idx="453">
                  <c:v>-1.1502384519857529E-2</c:v>
                </c:pt>
                <c:pt idx="454">
                  <c:v>-1.1770403910503609E-2</c:v>
                </c:pt>
                <c:pt idx="455">
                  <c:v>-3.3998408962158007E-3</c:v>
                </c:pt>
                <c:pt idx="456">
                  <c:v>-3.4471309133545375E-3</c:v>
                </c:pt>
                <c:pt idx="457">
                  <c:v>3.3034512657800837E-2</c:v>
                </c:pt>
                <c:pt idx="458">
                  <c:v>3.294070229978513E-2</c:v>
                </c:pt>
                <c:pt idx="459">
                  <c:v>3.7252193239146469E-2</c:v>
                </c:pt>
                <c:pt idx="460">
                  <c:v>1.8956162611160142E-2</c:v>
                </c:pt>
                <c:pt idx="461">
                  <c:v>1.3964094039144979E-2</c:v>
                </c:pt>
                <c:pt idx="462">
                  <c:v>1.5804589784439462E-2</c:v>
                </c:pt>
                <c:pt idx="463">
                  <c:v>4.6097740661083077E-3</c:v>
                </c:pt>
                <c:pt idx="464">
                  <c:v>2.2807933266038236E-3</c:v>
                </c:pt>
                <c:pt idx="465">
                  <c:v>-9.9880724649884303E-3</c:v>
                </c:pt>
                <c:pt idx="466">
                  <c:v>4.5996444346015478E-2</c:v>
                </c:pt>
                <c:pt idx="467">
                  <c:v>4.7974659001637637E-2</c:v>
                </c:pt>
                <c:pt idx="468">
                  <c:v>2.5019477844843818E-2</c:v>
                </c:pt>
                <c:pt idx="469">
                  <c:v>1.7837186209714515E-2</c:v>
                </c:pt>
                <c:pt idx="470">
                  <c:v>3.9632276634468666E-2</c:v>
                </c:pt>
                <c:pt idx="471">
                  <c:v>3.2944297986057358E-2</c:v>
                </c:pt>
                <c:pt idx="472">
                  <c:v>2.6832951438428624E-2</c:v>
                </c:pt>
                <c:pt idx="473">
                  <c:v>4.6865593845078109E-2</c:v>
                </c:pt>
                <c:pt idx="474">
                  <c:v>7.2552303488961953E-2</c:v>
                </c:pt>
                <c:pt idx="475">
                  <c:v>0.10485030930537162</c:v>
                </c:pt>
                <c:pt idx="476">
                  <c:v>6.7709365402549182E-2</c:v>
                </c:pt>
                <c:pt idx="477">
                  <c:v>4.7925889715907319E-2</c:v>
                </c:pt>
                <c:pt idx="478">
                  <c:v>6.6077489818300042E-2</c:v>
                </c:pt>
                <c:pt idx="479">
                  <c:v>3.8055893487468878E-2</c:v>
                </c:pt>
                <c:pt idx="480">
                  <c:v>2.4301666268104389E-2</c:v>
                </c:pt>
                <c:pt idx="481">
                  <c:v>5.1609817673441603E-2</c:v>
                </c:pt>
                <c:pt idx="482">
                  <c:v>6.0487990207664877E-2</c:v>
                </c:pt>
                <c:pt idx="483">
                  <c:v>4.7887324930909601E-2</c:v>
                </c:pt>
                <c:pt idx="484">
                  <c:v>8.6808921391429358E-3</c:v>
                </c:pt>
                <c:pt idx="485">
                  <c:v>1.8787759818253147E-3</c:v>
                </c:pt>
                <c:pt idx="486">
                  <c:v>-3.0609816062438034E-3</c:v>
                </c:pt>
                <c:pt idx="487">
                  <c:v>2.1280777477884087E-2</c:v>
                </c:pt>
                <c:pt idx="488">
                  <c:v>2.1662229148696699E-2</c:v>
                </c:pt>
                <c:pt idx="489">
                  <c:v>2.673326577830858E-2</c:v>
                </c:pt>
                <c:pt idx="490">
                  <c:v>4.937666034912036E-2</c:v>
                </c:pt>
                <c:pt idx="491">
                  <c:v>3.6623096941402075E-2</c:v>
                </c:pt>
                <c:pt idx="492">
                  <c:v>1.0426164322835153E-2</c:v>
                </c:pt>
                <c:pt idx="493">
                  <c:v>1.8801955487572571E-2</c:v>
                </c:pt>
                <c:pt idx="494">
                  <c:v>2.464573279133582E-2</c:v>
                </c:pt>
                <c:pt idx="495">
                  <c:v>2.7192930692157721E-2</c:v>
                </c:pt>
                <c:pt idx="496">
                  <c:v>3.0086323110184957E-2</c:v>
                </c:pt>
                <c:pt idx="497">
                  <c:v>-8.2081464305569368E-3</c:v>
                </c:pt>
                <c:pt idx="498">
                  <c:v>-1.1150032132350444E-2</c:v>
                </c:pt>
                <c:pt idx="499">
                  <c:v>-5.912636577529419E-3</c:v>
                </c:pt>
                <c:pt idx="500">
                  <c:v>-2.8883190539041814E-2</c:v>
                </c:pt>
                <c:pt idx="501">
                  <c:v>-2.0380596771422718E-2</c:v>
                </c:pt>
                <c:pt idx="502">
                  <c:v>1.0005086802546213E-2</c:v>
                </c:pt>
                <c:pt idx="503">
                  <c:v>1.529783060548473E-2</c:v>
                </c:pt>
                <c:pt idx="504">
                  <c:v>2.4048858106892369E-2</c:v>
                </c:pt>
                <c:pt idx="505">
                  <c:v>-2.5648714986147261E-3</c:v>
                </c:pt>
                <c:pt idx="506">
                  <c:v>-2.6020303789841812E-2</c:v>
                </c:pt>
                <c:pt idx="507">
                  <c:v>-3.752781868985298E-3</c:v>
                </c:pt>
                <c:pt idx="508">
                  <c:v>-4.1406144735378512E-3</c:v>
                </c:pt>
                <c:pt idx="509">
                  <c:v>4.4384389564835402E-3</c:v>
                </c:pt>
                <c:pt idx="510">
                  <c:v>1.1525977308609341E-2</c:v>
                </c:pt>
                <c:pt idx="511">
                  <c:v>4.5698226931682861E-3</c:v>
                </c:pt>
                <c:pt idx="512">
                  <c:v>-2.8454300676691835E-3</c:v>
                </c:pt>
                <c:pt idx="513">
                  <c:v>-1.0334360632575191E-2</c:v>
                </c:pt>
                <c:pt idx="514">
                  <c:v>2.6657571577994033E-3</c:v>
                </c:pt>
                <c:pt idx="515">
                  <c:v>1.4660483383667676E-2</c:v>
                </c:pt>
                <c:pt idx="516">
                  <c:v>1.5772411165162772E-2</c:v>
                </c:pt>
                <c:pt idx="517">
                  <c:v>7.0082725517207935E-3</c:v>
                </c:pt>
                <c:pt idx="518">
                  <c:v>1.6157371823591296E-2</c:v>
                </c:pt>
                <c:pt idx="519">
                  <c:v>1.3562772356014489E-2</c:v>
                </c:pt>
                <c:pt idx="520">
                  <c:v>1.1000265847377358E-2</c:v>
                </c:pt>
                <c:pt idx="521">
                  <c:v>2.3975335362904089E-2</c:v>
                </c:pt>
                <c:pt idx="522">
                  <c:v>2.5621705081216362E-2</c:v>
                </c:pt>
                <c:pt idx="523">
                  <c:v>2.8614863387649792E-2</c:v>
                </c:pt>
                <c:pt idx="524">
                  <c:v>1.5617087183300161E-2</c:v>
                </c:pt>
                <c:pt idx="525">
                  <c:v>4.0428884904530685E-3</c:v>
                </c:pt>
                <c:pt idx="526">
                  <c:v>3.0655704750876749E-2</c:v>
                </c:pt>
                <c:pt idx="527">
                  <c:v>3.1864009159629156E-2</c:v>
                </c:pt>
                <c:pt idx="528">
                  <c:v>4.0698908105292725E-2</c:v>
                </c:pt>
                <c:pt idx="529">
                  <c:v>3.5593875893657881E-2</c:v>
                </c:pt>
                <c:pt idx="530">
                  <c:v>3.9917195697621997E-2</c:v>
                </c:pt>
                <c:pt idx="531">
                  <c:v>3.7596838916132448E-2</c:v>
                </c:pt>
                <c:pt idx="532">
                  <c:v>2.6911198606996832E-2</c:v>
                </c:pt>
                <c:pt idx="533">
                  <c:v>6.8970474278183411E-2</c:v>
                </c:pt>
                <c:pt idx="534">
                  <c:v>3.1268268866826571E-2</c:v>
                </c:pt>
                <c:pt idx="535">
                  <c:v>6.7333822523518563E-2</c:v>
                </c:pt>
                <c:pt idx="536">
                  <c:v>4.5120090501064698E-2</c:v>
                </c:pt>
                <c:pt idx="537">
                  <c:v>2.5684059642350984E-2</c:v>
                </c:pt>
                <c:pt idx="538">
                  <c:v>-4.4624525768760734E-3</c:v>
                </c:pt>
                <c:pt idx="539">
                  <c:v>1.6190942338025621E-4</c:v>
                </c:pt>
                <c:pt idx="540">
                  <c:v>1.505831051605358E-3</c:v>
                </c:pt>
                <c:pt idx="541">
                  <c:v>-6.3406645220383182E-3</c:v>
                </c:pt>
                <c:pt idx="542">
                  <c:v>9.649296598058861E-3</c:v>
                </c:pt>
                <c:pt idx="543">
                  <c:v>-3.0901984003458081E-2</c:v>
                </c:pt>
                <c:pt idx="544">
                  <c:v>1.5108032119719388E-2</c:v>
                </c:pt>
                <c:pt idx="545">
                  <c:v>-1.0121676490677842E-2</c:v>
                </c:pt>
                <c:pt idx="546">
                  <c:v>-3.2512733501024529E-2</c:v>
                </c:pt>
                <c:pt idx="547">
                  <c:v>3.6382423843828268E-2</c:v>
                </c:pt>
                <c:pt idx="548">
                  <c:v>4.1971839726628324E-2</c:v>
                </c:pt>
                <c:pt idx="549">
                  <c:v>5.1945377858353459E-2</c:v>
                </c:pt>
                <c:pt idx="550">
                  <c:v>5.298248095782121E-2</c:v>
                </c:pt>
                <c:pt idx="551">
                  <c:v>4.2951184070161713E-2</c:v>
                </c:pt>
                <c:pt idx="552">
                  <c:v>2.9497210098840945E-2</c:v>
                </c:pt>
                <c:pt idx="553">
                  <c:v>8.8286962112149314E-3</c:v>
                </c:pt>
                <c:pt idx="554">
                  <c:v>-4.9544609059121378E-3</c:v>
                </c:pt>
                <c:pt idx="555">
                  <c:v>2.8458877155469887E-2</c:v>
                </c:pt>
                <c:pt idx="556">
                  <c:v>4.5287977563597204E-2</c:v>
                </c:pt>
                <c:pt idx="557">
                  <c:v>-2.5096395488110601E-2</c:v>
                </c:pt>
                <c:pt idx="558">
                  <c:v>-2.800603809940494E-2</c:v>
                </c:pt>
                <c:pt idx="559">
                  <c:v>-2.9923043954455039E-2</c:v>
                </c:pt>
                <c:pt idx="560">
                  <c:v>-3.9961213277712501E-2</c:v>
                </c:pt>
                <c:pt idx="561">
                  <c:v>-4.4807637776580145E-2</c:v>
                </c:pt>
                <c:pt idx="562">
                  <c:v>-2.3073746020013022E-2</c:v>
                </c:pt>
                <c:pt idx="563">
                  <c:v>-2.8683897998107791E-3</c:v>
                </c:pt>
                <c:pt idx="564">
                  <c:v>-4.7270495688092988E-3</c:v>
                </c:pt>
                <c:pt idx="565">
                  <c:v>-1.9777663817052898E-2</c:v>
                </c:pt>
                <c:pt idx="566">
                  <c:v>5.0558278871976996E-3</c:v>
                </c:pt>
                <c:pt idx="567">
                  <c:v>4.7815561550028376E-2</c:v>
                </c:pt>
                <c:pt idx="568">
                  <c:v>6.2383900159006814E-2</c:v>
                </c:pt>
                <c:pt idx="569">
                  <c:v>4.1167688247344743E-2</c:v>
                </c:pt>
                <c:pt idx="570">
                  <c:v>2.2076022002328957E-2</c:v>
                </c:pt>
                <c:pt idx="571">
                  <c:v>2.4671906455710789E-2</c:v>
                </c:pt>
                <c:pt idx="572">
                  <c:v>9.6159749452150931E-3</c:v>
                </c:pt>
                <c:pt idx="573">
                  <c:v>8.9445119990762285E-3</c:v>
                </c:pt>
                <c:pt idx="574">
                  <c:v>3.9434417809783948E-2</c:v>
                </c:pt>
                <c:pt idx="575">
                  <c:v>5.218478173373179E-2</c:v>
                </c:pt>
                <c:pt idx="576">
                  <c:v>2.3362228652298367E-2</c:v>
                </c:pt>
                <c:pt idx="577">
                  <c:v>4.4010101340160444E-2</c:v>
                </c:pt>
                <c:pt idx="578">
                  <c:v>4.7456040616400824E-2</c:v>
                </c:pt>
                <c:pt idx="579">
                  <c:v>3.6002571243380792E-2</c:v>
                </c:pt>
                <c:pt idx="580">
                  <c:v>5.4046598697291739E-2</c:v>
                </c:pt>
                <c:pt idx="581">
                  <c:v>8.9838057408553315E-2</c:v>
                </c:pt>
                <c:pt idx="582">
                  <c:v>8.7115191956310317E-2</c:v>
                </c:pt>
                <c:pt idx="583">
                  <c:v>6.8320246293736522E-2</c:v>
                </c:pt>
                <c:pt idx="584">
                  <c:v>2.8823928425898253E-2</c:v>
                </c:pt>
                <c:pt idx="585">
                  <c:v>5.426644022368185E-4</c:v>
                </c:pt>
                <c:pt idx="586">
                  <c:v>1.2151698330904844E-2</c:v>
                </c:pt>
                <c:pt idx="587">
                  <c:v>-1.9632841265719979E-2</c:v>
                </c:pt>
                <c:pt idx="588">
                  <c:v>-4.9353280500588188E-2</c:v>
                </c:pt>
                <c:pt idx="589">
                  <c:v>-3.5424938509243359E-2</c:v>
                </c:pt>
                <c:pt idx="590">
                  <c:v>-2.6382382140801481E-2</c:v>
                </c:pt>
                <c:pt idx="591">
                  <c:v>-5.9839142956371279E-2</c:v>
                </c:pt>
                <c:pt idx="592">
                  <c:v>-7.5367829578979556E-2</c:v>
                </c:pt>
                <c:pt idx="593">
                  <c:v>-6.6229075387923775E-2</c:v>
                </c:pt>
                <c:pt idx="594">
                  <c:v>-5.5320669548035314E-2</c:v>
                </c:pt>
                <c:pt idx="595">
                  <c:v>-5.2798330340542224E-2</c:v>
                </c:pt>
                <c:pt idx="596">
                  <c:v>-5.508509925919268E-2</c:v>
                </c:pt>
                <c:pt idx="597">
                  <c:v>-4.338102509572353E-2</c:v>
                </c:pt>
                <c:pt idx="598">
                  <c:v>-2.2160832506967251E-2</c:v>
                </c:pt>
                <c:pt idx="599">
                  <c:v>-1.06877951888091E-2</c:v>
                </c:pt>
                <c:pt idx="600">
                  <c:v>-2.8311193989041278E-2</c:v>
                </c:pt>
                <c:pt idx="601">
                  <c:v>-9.790448048218766E-3</c:v>
                </c:pt>
                <c:pt idx="602">
                  <c:v>9.1971045891102443E-4</c:v>
                </c:pt>
                <c:pt idx="603">
                  <c:v>-8.7305698511270721E-5</c:v>
                </c:pt>
                <c:pt idx="604">
                  <c:v>-5.6983025525574639E-3</c:v>
                </c:pt>
                <c:pt idx="605">
                  <c:v>-6.8721762717672804E-3</c:v>
                </c:pt>
                <c:pt idx="606">
                  <c:v>-1.6475273512802112E-2</c:v>
                </c:pt>
                <c:pt idx="607">
                  <c:v>-2.9875112865371835E-2</c:v>
                </c:pt>
                <c:pt idx="608">
                  <c:v>-2.2157570295252095E-2</c:v>
                </c:pt>
                <c:pt idx="609">
                  <c:v>-1.5587243472141188E-2</c:v>
                </c:pt>
                <c:pt idx="610">
                  <c:v>5.1055276909127076E-3</c:v>
                </c:pt>
                <c:pt idx="611">
                  <c:v>-4.9778508199188817E-3</c:v>
                </c:pt>
                <c:pt idx="612">
                  <c:v>-1.2309664533588609E-2</c:v>
                </c:pt>
                <c:pt idx="613">
                  <c:v>-5.8128265945196177E-3</c:v>
                </c:pt>
                <c:pt idx="614">
                  <c:v>-3.4007664859175835E-4</c:v>
                </c:pt>
                <c:pt idx="615">
                  <c:v>1.1594390265513576E-2</c:v>
                </c:pt>
                <c:pt idx="616">
                  <c:v>2.0379561919264558E-2</c:v>
                </c:pt>
                <c:pt idx="617">
                  <c:v>2.5713141503974302E-2</c:v>
                </c:pt>
                <c:pt idx="618">
                  <c:v>2.0200034970133555E-2</c:v>
                </c:pt>
                <c:pt idx="619">
                  <c:v>1.4659582524526923E-2</c:v>
                </c:pt>
                <c:pt idx="620">
                  <c:v>2.102021823231074E-2</c:v>
                </c:pt>
                <c:pt idx="621">
                  <c:v>2.5502982070605956E-2</c:v>
                </c:pt>
                <c:pt idx="622">
                  <c:v>3.2548595726146629E-2</c:v>
                </c:pt>
                <c:pt idx="623">
                  <c:v>2.9097161824117326E-2</c:v>
                </c:pt>
                <c:pt idx="624">
                  <c:v>3.1827631912486359E-2</c:v>
                </c:pt>
                <c:pt idx="625">
                  <c:v>2.9580379104665471E-2</c:v>
                </c:pt>
                <c:pt idx="626">
                  <c:v>4.276087942106846E-2</c:v>
                </c:pt>
                <c:pt idx="627">
                  <c:v>5.781462794766646E-2</c:v>
                </c:pt>
                <c:pt idx="628">
                  <c:v>6.6693141617397561E-2</c:v>
                </c:pt>
                <c:pt idx="629">
                  <c:v>7.0206341104692691E-2</c:v>
                </c:pt>
                <c:pt idx="630">
                  <c:v>3.3185367509585909E-2</c:v>
                </c:pt>
                <c:pt idx="631">
                  <c:v>1.4526555274909484E-2</c:v>
                </c:pt>
                <c:pt idx="632">
                  <c:v>1.5034016280735113E-2</c:v>
                </c:pt>
                <c:pt idx="633">
                  <c:v>1.8049583544263031E-2</c:v>
                </c:pt>
                <c:pt idx="634">
                  <c:v>6.3573255318148808E-3</c:v>
                </c:pt>
                <c:pt idx="635">
                  <c:v>1.19579726216292E-2</c:v>
                </c:pt>
                <c:pt idx="636">
                  <c:v>1.7828630609045822E-2</c:v>
                </c:pt>
                <c:pt idx="637">
                  <c:v>-4.1494418005695102E-3</c:v>
                </c:pt>
                <c:pt idx="638">
                  <c:v>-2.3593401605427333E-3</c:v>
                </c:pt>
                <c:pt idx="639">
                  <c:v>-1.9027170562538526E-2</c:v>
                </c:pt>
                <c:pt idx="640">
                  <c:v>2.2745069994770599E-2</c:v>
                </c:pt>
                <c:pt idx="641">
                  <c:v>4.0926578487050176E-2</c:v>
                </c:pt>
                <c:pt idx="642">
                  <c:v>5.1126381813361724E-2</c:v>
                </c:pt>
                <c:pt idx="643">
                  <c:v>4.9405781997867347E-2</c:v>
                </c:pt>
                <c:pt idx="644">
                  <c:v>9.8165467064727521E-2</c:v>
                </c:pt>
                <c:pt idx="645">
                  <c:v>8.9222950274530075E-2</c:v>
                </c:pt>
                <c:pt idx="646">
                  <c:v>8.205454392105542E-2</c:v>
                </c:pt>
                <c:pt idx="647">
                  <c:v>6.5847329844744187E-2</c:v>
                </c:pt>
                <c:pt idx="648">
                  <c:v>7.2475351394797591E-2</c:v>
                </c:pt>
                <c:pt idx="649">
                  <c:v>9.6722685730041405E-2</c:v>
                </c:pt>
                <c:pt idx="650">
                  <c:v>6.4616200169370114E-2</c:v>
                </c:pt>
                <c:pt idx="651">
                  <c:v>5.1961105921059299E-2</c:v>
                </c:pt>
                <c:pt idx="652">
                  <c:v>4.0967593019206841E-2</c:v>
                </c:pt>
                <c:pt idx="653">
                  <c:v>4.6574775146899595E-2</c:v>
                </c:pt>
                <c:pt idx="654">
                  <c:v>-5.7498442015316842E-3</c:v>
                </c:pt>
                <c:pt idx="655">
                  <c:v>-1.5408234265417604E-2</c:v>
                </c:pt>
                <c:pt idx="656">
                  <c:v>-3.1464642105368194E-2</c:v>
                </c:pt>
                <c:pt idx="657">
                  <c:v>-1.9137057228799277E-2</c:v>
                </c:pt>
                <c:pt idx="658">
                  <c:v>-3.4204720596899205E-2</c:v>
                </c:pt>
                <c:pt idx="659">
                  <c:v>-6.1332499836432547E-2</c:v>
                </c:pt>
                <c:pt idx="660">
                  <c:v>-5.7520169145573216E-2</c:v>
                </c:pt>
                <c:pt idx="661">
                  <c:v>-4.008153120478402E-2</c:v>
                </c:pt>
                <c:pt idx="662">
                  <c:v>-4.3260284940637918E-2</c:v>
                </c:pt>
                <c:pt idx="663">
                  <c:v>-4.9503330653606015E-2</c:v>
                </c:pt>
                <c:pt idx="664">
                  <c:v>-3.9820511193823405E-2</c:v>
                </c:pt>
                <c:pt idx="665">
                  <c:v>-2.3251787325425474E-2</c:v>
                </c:pt>
                <c:pt idx="666">
                  <c:v>-3.1595020939255071E-2</c:v>
                </c:pt>
                <c:pt idx="667">
                  <c:v>-1.7916294293953101E-2</c:v>
                </c:pt>
                <c:pt idx="668">
                  <c:v>-1.8448023507083314E-2</c:v>
                </c:pt>
                <c:pt idx="669">
                  <c:v>4.3345995699848247E-3</c:v>
                </c:pt>
                <c:pt idx="670">
                  <c:v>1.9600500470335971E-3</c:v>
                </c:pt>
                <c:pt idx="671">
                  <c:v>4.8895983547464494E-4</c:v>
                </c:pt>
                <c:pt idx="672">
                  <c:v>2.6488834498684326E-2</c:v>
                </c:pt>
                <c:pt idx="673">
                  <c:v>2.6186935492042297E-2</c:v>
                </c:pt>
                <c:pt idx="674">
                  <c:v>3.2433114839596905E-2</c:v>
                </c:pt>
                <c:pt idx="675">
                  <c:v>2.0191479278238566E-2</c:v>
                </c:pt>
                <c:pt idx="676">
                  <c:v>2.4129395545330053E-2</c:v>
                </c:pt>
                <c:pt idx="677">
                  <c:v>4.097494530781693E-3</c:v>
                </c:pt>
                <c:pt idx="678">
                  <c:v>-1.5286727612238605E-2</c:v>
                </c:pt>
                <c:pt idx="679">
                  <c:v>-1.1094586284043157E-2</c:v>
                </c:pt>
                <c:pt idx="680">
                  <c:v>7.0985706318539251E-4</c:v>
                </c:pt>
                <c:pt idx="681">
                  <c:v>-1.0710608555938694E-2</c:v>
                </c:pt>
                <c:pt idx="682">
                  <c:v>-2.9899118769420051E-2</c:v>
                </c:pt>
                <c:pt idx="683">
                  <c:v>-3.0545396079283783E-2</c:v>
                </c:pt>
                <c:pt idx="684">
                  <c:v>-3.0989928825593302E-2</c:v>
                </c:pt>
                <c:pt idx="685">
                  <c:v>-2.3329199060239357E-2</c:v>
                </c:pt>
                <c:pt idx="686">
                  <c:v>-1.1091275968160688E-2</c:v>
                </c:pt>
                <c:pt idx="687">
                  <c:v>3.9363950842689396E-3</c:v>
                </c:pt>
                <c:pt idx="688">
                  <c:v>4.8116285389266336E-2</c:v>
                </c:pt>
                <c:pt idx="689">
                  <c:v>2.9042639293863391E-2</c:v>
                </c:pt>
                <c:pt idx="690">
                  <c:v>2.678829119039771E-2</c:v>
                </c:pt>
                <c:pt idx="691">
                  <c:v>4.7987378155473666E-2</c:v>
                </c:pt>
                <c:pt idx="692">
                  <c:v>-2.0127305917301004E-2</c:v>
                </c:pt>
                <c:pt idx="693">
                  <c:v>-2.7150315677947439E-2</c:v>
                </c:pt>
                <c:pt idx="694">
                  <c:v>-3.6392641410649851E-2</c:v>
                </c:pt>
                <c:pt idx="695">
                  <c:v>-4.1103441840164547E-2</c:v>
                </c:pt>
                <c:pt idx="696">
                  <c:v>-3.9517043912366129E-2</c:v>
                </c:pt>
                <c:pt idx="697">
                  <c:v>-4.7531314452735694E-2</c:v>
                </c:pt>
                <c:pt idx="698">
                  <c:v>-5.0529541822220796E-2</c:v>
                </c:pt>
                <c:pt idx="699">
                  <c:v>-4.2018138690061699E-2</c:v>
                </c:pt>
                <c:pt idx="700">
                  <c:v>-7.9604920001760698E-2</c:v>
                </c:pt>
                <c:pt idx="701">
                  <c:v>-0.10879057773182457</c:v>
                </c:pt>
                <c:pt idx="702">
                  <c:v>-3.2736523748137451E-2</c:v>
                </c:pt>
                <c:pt idx="703">
                  <c:v>-1.8497998227122517E-2</c:v>
                </c:pt>
                <c:pt idx="704">
                  <c:v>-1.2164340264970985E-5</c:v>
                </c:pt>
                <c:pt idx="705">
                  <c:v>-2.1222952847235396E-3</c:v>
                </c:pt>
                <c:pt idx="706">
                  <c:v>-1.1859444165970782E-2</c:v>
                </c:pt>
                <c:pt idx="707">
                  <c:v>-3.7508947175456331E-2</c:v>
                </c:pt>
                <c:pt idx="708">
                  <c:v>-5.0126876436888367E-2</c:v>
                </c:pt>
                <c:pt idx="709">
                  <c:v>-7.5221175879509772E-2</c:v>
                </c:pt>
                <c:pt idx="710">
                  <c:v>-3.7999848815349652E-2</c:v>
                </c:pt>
                <c:pt idx="711">
                  <c:v>-1.2914160625770714E-2</c:v>
                </c:pt>
                <c:pt idx="712">
                  <c:v>-2.3521169747685478E-2</c:v>
                </c:pt>
                <c:pt idx="713">
                  <c:v>-1.6589118406847625E-2</c:v>
                </c:pt>
                <c:pt idx="714">
                  <c:v>-2.9332718514444661E-2</c:v>
                </c:pt>
                <c:pt idx="715">
                  <c:v>-5.0422376809837355E-2</c:v>
                </c:pt>
                <c:pt idx="716">
                  <c:v>3.3731152849797927E-2</c:v>
                </c:pt>
                <c:pt idx="717">
                  <c:v>7.8215428259251013E-2</c:v>
                </c:pt>
                <c:pt idx="718">
                  <c:v>7.8372700757792652E-2</c:v>
                </c:pt>
                <c:pt idx="719">
                  <c:v>0.11698825085655383</c:v>
                </c:pt>
                <c:pt idx="720">
                  <c:v>0.11254590490292675</c:v>
                </c:pt>
                <c:pt idx="721">
                  <c:v>0.11731399038075153</c:v>
                </c:pt>
                <c:pt idx="722">
                  <c:v>0.10047141055361611</c:v>
                </c:pt>
                <c:pt idx="723">
                  <c:v>0.1032499737570796</c:v>
                </c:pt>
                <c:pt idx="724">
                  <c:v>0.1047489696358475</c:v>
                </c:pt>
                <c:pt idx="725">
                  <c:v>0.12547240336833668</c:v>
                </c:pt>
                <c:pt idx="726">
                  <c:v>5.955610531329867E-2</c:v>
                </c:pt>
                <c:pt idx="727">
                  <c:v>5.0913421103037627E-2</c:v>
                </c:pt>
                <c:pt idx="728">
                  <c:v>4.9216966023378626E-2</c:v>
                </c:pt>
                <c:pt idx="729">
                  <c:v>2.1946863911261695E-2</c:v>
                </c:pt>
                <c:pt idx="730">
                  <c:v>3.0807980849193554E-2</c:v>
                </c:pt>
                <c:pt idx="731">
                  <c:v>3.0393164180966194E-2</c:v>
                </c:pt>
                <c:pt idx="732">
                  <c:v>3.9810278438376867E-2</c:v>
                </c:pt>
                <c:pt idx="733">
                  <c:v>1.334370539353159E-2</c:v>
                </c:pt>
                <c:pt idx="734">
                  <c:v>-5.5687394458186004E-4</c:v>
                </c:pt>
                <c:pt idx="735">
                  <c:v>-5.6401632010768879E-3</c:v>
                </c:pt>
                <c:pt idx="736">
                  <c:v>-1.4673582142829347E-2</c:v>
                </c:pt>
                <c:pt idx="737">
                  <c:v>-1.4739823969098335E-2</c:v>
                </c:pt>
                <c:pt idx="738">
                  <c:v>-1.0238374199959401E-2</c:v>
                </c:pt>
                <c:pt idx="739">
                  <c:v>5.7954657380320986E-3</c:v>
                </c:pt>
                <c:pt idx="740">
                  <c:v>-3.9911493456745994E-3</c:v>
                </c:pt>
                <c:pt idx="741">
                  <c:v>3.5462054090580619E-3</c:v>
                </c:pt>
                <c:pt idx="742">
                  <c:v>2.769959171821483E-4</c:v>
                </c:pt>
                <c:pt idx="743">
                  <c:v>3.1439608018731385E-3</c:v>
                </c:pt>
                <c:pt idx="744">
                  <c:v>7.4522823964459639E-3</c:v>
                </c:pt>
                <c:pt idx="745">
                  <c:v>1.608580996067379E-2</c:v>
                </c:pt>
                <c:pt idx="746">
                  <c:v>1.2785411572646576E-2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5F-45D3-AB74-045BC469A8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9010272"/>
        <c:axId val="506315311"/>
      </c:lineChart>
      <c:dateAx>
        <c:axId val="14901027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6315311"/>
        <c:crosses val="autoZero"/>
        <c:auto val="1"/>
        <c:lblOffset val="100"/>
        <c:baseTimeUnit val="days"/>
      </c:dateAx>
      <c:valAx>
        <c:axId val="506315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_);\(0.0%\);\-\-_);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010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ysClr val="window" lastClr="FFFFFF"/>
    </a:solidFill>
    <a:ln w="9525" cap="flat" cmpd="sng" algn="ctr">
      <a:solidFill>
        <a:sysClr val="windowText" lastClr="000000">
          <a:lumMod val="15000"/>
          <a:lumOff val="85000"/>
        </a:sys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Price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CRH!$D$21:$D$773</c:f>
              <c:numCache>
                <c:formatCode>m/d/yyyy</c:formatCode>
                <c:ptCount val="753"/>
                <c:pt idx="0">
                  <c:v>46044</c:v>
                </c:pt>
                <c:pt idx="1">
                  <c:v>46043</c:v>
                </c:pt>
                <c:pt idx="2">
                  <c:v>46042</c:v>
                </c:pt>
                <c:pt idx="3">
                  <c:v>46038</c:v>
                </c:pt>
                <c:pt idx="4">
                  <c:v>46037</c:v>
                </c:pt>
                <c:pt idx="5">
                  <c:v>46036</c:v>
                </c:pt>
                <c:pt idx="6">
                  <c:v>46035</c:v>
                </c:pt>
                <c:pt idx="7">
                  <c:v>46034</c:v>
                </c:pt>
                <c:pt idx="8">
                  <c:v>46031</c:v>
                </c:pt>
                <c:pt idx="9">
                  <c:v>46030</c:v>
                </c:pt>
                <c:pt idx="10">
                  <c:v>46029</c:v>
                </c:pt>
                <c:pt idx="11">
                  <c:v>46028</c:v>
                </c:pt>
                <c:pt idx="12">
                  <c:v>46027</c:v>
                </c:pt>
                <c:pt idx="13">
                  <c:v>46024</c:v>
                </c:pt>
                <c:pt idx="14">
                  <c:v>46022</c:v>
                </c:pt>
                <c:pt idx="15">
                  <c:v>46021</c:v>
                </c:pt>
                <c:pt idx="16">
                  <c:v>46020</c:v>
                </c:pt>
                <c:pt idx="17">
                  <c:v>46017</c:v>
                </c:pt>
                <c:pt idx="18">
                  <c:v>46015</c:v>
                </c:pt>
                <c:pt idx="19">
                  <c:v>46014</c:v>
                </c:pt>
                <c:pt idx="20">
                  <c:v>46013</c:v>
                </c:pt>
                <c:pt idx="21">
                  <c:v>46010</c:v>
                </c:pt>
                <c:pt idx="22">
                  <c:v>46009</c:v>
                </c:pt>
                <c:pt idx="23">
                  <c:v>46008</c:v>
                </c:pt>
                <c:pt idx="24">
                  <c:v>46007</c:v>
                </c:pt>
                <c:pt idx="25">
                  <c:v>46006</c:v>
                </c:pt>
                <c:pt idx="26">
                  <c:v>46003</c:v>
                </c:pt>
                <c:pt idx="27">
                  <c:v>46002</c:v>
                </c:pt>
                <c:pt idx="28">
                  <c:v>46001</c:v>
                </c:pt>
                <c:pt idx="29">
                  <c:v>46000</c:v>
                </c:pt>
                <c:pt idx="30">
                  <c:v>45999</c:v>
                </c:pt>
                <c:pt idx="31">
                  <c:v>45996</c:v>
                </c:pt>
                <c:pt idx="32">
                  <c:v>45995</c:v>
                </c:pt>
                <c:pt idx="33">
                  <c:v>45994</c:v>
                </c:pt>
                <c:pt idx="34">
                  <c:v>45993</c:v>
                </c:pt>
                <c:pt idx="35">
                  <c:v>45992</c:v>
                </c:pt>
                <c:pt idx="36">
                  <c:v>45989</c:v>
                </c:pt>
                <c:pt idx="37">
                  <c:v>45987</c:v>
                </c:pt>
                <c:pt idx="38">
                  <c:v>45986</c:v>
                </c:pt>
                <c:pt idx="39">
                  <c:v>45985</c:v>
                </c:pt>
                <c:pt idx="40">
                  <c:v>45982</c:v>
                </c:pt>
                <c:pt idx="41">
                  <c:v>45981</c:v>
                </c:pt>
                <c:pt idx="42">
                  <c:v>45980</c:v>
                </c:pt>
                <c:pt idx="43">
                  <c:v>45979</c:v>
                </c:pt>
                <c:pt idx="44">
                  <c:v>45978</c:v>
                </c:pt>
                <c:pt idx="45">
                  <c:v>45975</c:v>
                </c:pt>
                <c:pt idx="46">
                  <c:v>45974</c:v>
                </c:pt>
                <c:pt idx="47">
                  <c:v>45973</c:v>
                </c:pt>
                <c:pt idx="48">
                  <c:v>45972</c:v>
                </c:pt>
                <c:pt idx="49">
                  <c:v>45971</c:v>
                </c:pt>
                <c:pt idx="50">
                  <c:v>45968</c:v>
                </c:pt>
                <c:pt idx="51">
                  <c:v>45967</c:v>
                </c:pt>
                <c:pt idx="52">
                  <c:v>45966</c:v>
                </c:pt>
                <c:pt idx="53">
                  <c:v>45965</c:v>
                </c:pt>
                <c:pt idx="54">
                  <c:v>45964</c:v>
                </c:pt>
                <c:pt idx="55">
                  <c:v>45961</c:v>
                </c:pt>
                <c:pt idx="56">
                  <c:v>45960</c:v>
                </c:pt>
                <c:pt idx="57">
                  <c:v>45959</c:v>
                </c:pt>
                <c:pt idx="58">
                  <c:v>45958</c:v>
                </c:pt>
                <c:pt idx="59">
                  <c:v>45957</c:v>
                </c:pt>
                <c:pt idx="60">
                  <c:v>45954</c:v>
                </c:pt>
                <c:pt idx="61">
                  <c:v>45953</c:v>
                </c:pt>
                <c:pt idx="62">
                  <c:v>45952</c:v>
                </c:pt>
                <c:pt idx="63">
                  <c:v>45951</c:v>
                </c:pt>
                <c:pt idx="64">
                  <c:v>45950</c:v>
                </c:pt>
                <c:pt idx="65">
                  <c:v>45947</c:v>
                </c:pt>
                <c:pt idx="66">
                  <c:v>45946</c:v>
                </c:pt>
                <c:pt idx="67">
                  <c:v>45945</c:v>
                </c:pt>
                <c:pt idx="68">
                  <c:v>45944</c:v>
                </c:pt>
                <c:pt idx="69">
                  <c:v>45943</c:v>
                </c:pt>
                <c:pt idx="70">
                  <c:v>45940</c:v>
                </c:pt>
                <c:pt idx="71">
                  <c:v>45939</c:v>
                </c:pt>
                <c:pt idx="72">
                  <c:v>45938</c:v>
                </c:pt>
                <c:pt idx="73">
                  <c:v>45937</c:v>
                </c:pt>
                <c:pt idx="74">
                  <c:v>45936</c:v>
                </c:pt>
                <c:pt idx="75">
                  <c:v>45933</c:v>
                </c:pt>
                <c:pt idx="76">
                  <c:v>45932</c:v>
                </c:pt>
                <c:pt idx="77">
                  <c:v>45931</c:v>
                </c:pt>
                <c:pt idx="78">
                  <c:v>45930</c:v>
                </c:pt>
                <c:pt idx="79">
                  <c:v>45929</c:v>
                </c:pt>
                <c:pt idx="80">
                  <c:v>45926</c:v>
                </c:pt>
                <c:pt idx="81">
                  <c:v>45925</c:v>
                </c:pt>
                <c:pt idx="82">
                  <c:v>45924</c:v>
                </c:pt>
                <c:pt idx="83">
                  <c:v>45923</c:v>
                </c:pt>
                <c:pt idx="84">
                  <c:v>45922</c:v>
                </c:pt>
                <c:pt idx="85">
                  <c:v>45919</c:v>
                </c:pt>
                <c:pt idx="86">
                  <c:v>45918</c:v>
                </c:pt>
                <c:pt idx="87">
                  <c:v>45917</c:v>
                </c:pt>
                <c:pt idx="88">
                  <c:v>45916</c:v>
                </c:pt>
                <c:pt idx="89">
                  <c:v>45915</c:v>
                </c:pt>
                <c:pt idx="90">
                  <c:v>45912</c:v>
                </c:pt>
                <c:pt idx="91">
                  <c:v>45911</c:v>
                </c:pt>
                <c:pt idx="92">
                  <c:v>45910</c:v>
                </c:pt>
                <c:pt idx="93">
                  <c:v>45909</c:v>
                </c:pt>
                <c:pt idx="94">
                  <c:v>45908</c:v>
                </c:pt>
                <c:pt idx="95">
                  <c:v>45905</c:v>
                </c:pt>
                <c:pt idx="96">
                  <c:v>45904</c:v>
                </c:pt>
                <c:pt idx="97">
                  <c:v>45903</c:v>
                </c:pt>
                <c:pt idx="98">
                  <c:v>45902</c:v>
                </c:pt>
                <c:pt idx="99">
                  <c:v>45898</c:v>
                </c:pt>
                <c:pt idx="100">
                  <c:v>45897</c:v>
                </c:pt>
                <c:pt idx="101">
                  <c:v>45896</c:v>
                </c:pt>
                <c:pt idx="102">
                  <c:v>45895</c:v>
                </c:pt>
                <c:pt idx="103">
                  <c:v>45894</c:v>
                </c:pt>
                <c:pt idx="104">
                  <c:v>45891</c:v>
                </c:pt>
                <c:pt idx="105">
                  <c:v>45890</c:v>
                </c:pt>
                <c:pt idx="106">
                  <c:v>45889</c:v>
                </c:pt>
                <c:pt idx="107">
                  <c:v>45888</c:v>
                </c:pt>
                <c:pt idx="108">
                  <c:v>45887</c:v>
                </c:pt>
                <c:pt idx="109">
                  <c:v>45884</c:v>
                </c:pt>
                <c:pt idx="110">
                  <c:v>45883</c:v>
                </c:pt>
                <c:pt idx="111">
                  <c:v>45882</c:v>
                </c:pt>
                <c:pt idx="112">
                  <c:v>45881</c:v>
                </c:pt>
                <c:pt idx="113">
                  <c:v>45880</c:v>
                </c:pt>
                <c:pt idx="114">
                  <c:v>45877</c:v>
                </c:pt>
                <c:pt idx="115">
                  <c:v>45876</c:v>
                </c:pt>
                <c:pt idx="116">
                  <c:v>45875</c:v>
                </c:pt>
                <c:pt idx="117">
                  <c:v>45874</c:v>
                </c:pt>
                <c:pt idx="118">
                  <c:v>45873</c:v>
                </c:pt>
                <c:pt idx="119">
                  <c:v>45870</c:v>
                </c:pt>
                <c:pt idx="120">
                  <c:v>45869</c:v>
                </c:pt>
                <c:pt idx="121">
                  <c:v>45868</c:v>
                </c:pt>
                <c:pt idx="122">
                  <c:v>45867</c:v>
                </c:pt>
                <c:pt idx="123">
                  <c:v>45866</c:v>
                </c:pt>
                <c:pt idx="124">
                  <c:v>45863</c:v>
                </c:pt>
                <c:pt idx="125">
                  <c:v>45862</c:v>
                </c:pt>
                <c:pt idx="126">
                  <c:v>45861</c:v>
                </c:pt>
                <c:pt idx="127">
                  <c:v>45860</c:v>
                </c:pt>
                <c:pt idx="128">
                  <c:v>45859</c:v>
                </c:pt>
                <c:pt idx="129">
                  <c:v>45856</c:v>
                </c:pt>
                <c:pt idx="130">
                  <c:v>45855</c:v>
                </c:pt>
                <c:pt idx="131">
                  <c:v>45854</c:v>
                </c:pt>
                <c:pt idx="132">
                  <c:v>45853</c:v>
                </c:pt>
                <c:pt idx="133">
                  <c:v>45852</c:v>
                </c:pt>
                <c:pt idx="134">
                  <c:v>45849</c:v>
                </c:pt>
                <c:pt idx="135">
                  <c:v>45848</c:v>
                </c:pt>
                <c:pt idx="136">
                  <c:v>45847</c:v>
                </c:pt>
                <c:pt idx="137">
                  <c:v>45846</c:v>
                </c:pt>
                <c:pt idx="138">
                  <c:v>45845</c:v>
                </c:pt>
                <c:pt idx="139">
                  <c:v>45841</c:v>
                </c:pt>
                <c:pt idx="140">
                  <c:v>45840</c:v>
                </c:pt>
                <c:pt idx="141">
                  <c:v>45839</c:v>
                </c:pt>
                <c:pt idx="142">
                  <c:v>45838</c:v>
                </c:pt>
                <c:pt idx="143">
                  <c:v>45835</c:v>
                </c:pt>
                <c:pt idx="144">
                  <c:v>45834</c:v>
                </c:pt>
                <c:pt idx="145">
                  <c:v>45833</c:v>
                </c:pt>
                <c:pt idx="146">
                  <c:v>45832</c:v>
                </c:pt>
                <c:pt idx="147">
                  <c:v>45831</c:v>
                </c:pt>
                <c:pt idx="148">
                  <c:v>45828</c:v>
                </c:pt>
                <c:pt idx="149">
                  <c:v>45826</c:v>
                </c:pt>
                <c:pt idx="150">
                  <c:v>45825</c:v>
                </c:pt>
                <c:pt idx="151">
                  <c:v>45824</c:v>
                </c:pt>
                <c:pt idx="152">
                  <c:v>45821</c:v>
                </c:pt>
                <c:pt idx="153">
                  <c:v>45820</c:v>
                </c:pt>
                <c:pt idx="154">
                  <c:v>45819</c:v>
                </c:pt>
                <c:pt idx="155">
                  <c:v>45818</c:v>
                </c:pt>
                <c:pt idx="156">
                  <c:v>45817</c:v>
                </c:pt>
                <c:pt idx="157">
                  <c:v>45814</c:v>
                </c:pt>
                <c:pt idx="158">
                  <c:v>45813</c:v>
                </c:pt>
                <c:pt idx="159">
                  <c:v>45812</c:v>
                </c:pt>
                <c:pt idx="160">
                  <c:v>45811</c:v>
                </c:pt>
                <c:pt idx="161">
                  <c:v>45810</c:v>
                </c:pt>
                <c:pt idx="162">
                  <c:v>45807</c:v>
                </c:pt>
                <c:pt idx="163">
                  <c:v>45806</c:v>
                </c:pt>
                <c:pt idx="164">
                  <c:v>45805</c:v>
                </c:pt>
                <c:pt idx="165">
                  <c:v>45804</c:v>
                </c:pt>
                <c:pt idx="166">
                  <c:v>45800</c:v>
                </c:pt>
                <c:pt idx="167">
                  <c:v>45799</c:v>
                </c:pt>
                <c:pt idx="168">
                  <c:v>45798</c:v>
                </c:pt>
                <c:pt idx="169">
                  <c:v>45797</c:v>
                </c:pt>
                <c:pt idx="170">
                  <c:v>45796</c:v>
                </c:pt>
                <c:pt idx="171">
                  <c:v>45793</c:v>
                </c:pt>
                <c:pt idx="172">
                  <c:v>45792</c:v>
                </c:pt>
                <c:pt idx="173">
                  <c:v>45791</c:v>
                </c:pt>
                <c:pt idx="174">
                  <c:v>45790</c:v>
                </c:pt>
                <c:pt idx="175">
                  <c:v>45789</c:v>
                </c:pt>
                <c:pt idx="176">
                  <c:v>45786</c:v>
                </c:pt>
                <c:pt idx="177">
                  <c:v>45785</c:v>
                </c:pt>
                <c:pt idx="178">
                  <c:v>45784</c:v>
                </c:pt>
                <c:pt idx="179">
                  <c:v>45783</c:v>
                </c:pt>
                <c:pt idx="180">
                  <c:v>45782</c:v>
                </c:pt>
                <c:pt idx="181">
                  <c:v>45779</c:v>
                </c:pt>
                <c:pt idx="182">
                  <c:v>45778</c:v>
                </c:pt>
                <c:pt idx="183">
                  <c:v>45777</c:v>
                </c:pt>
                <c:pt idx="184">
                  <c:v>45776</c:v>
                </c:pt>
                <c:pt idx="185">
                  <c:v>45775</c:v>
                </c:pt>
                <c:pt idx="186">
                  <c:v>45772</c:v>
                </c:pt>
                <c:pt idx="187">
                  <c:v>45771</c:v>
                </c:pt>
                <c:pt idx="188">
                  <c:v>45770</c:v>
                </c:pt>
                <c:pt idx="189">
                  <c:v>45769</c:v>
                </c:pt>
                <c:pt idx="190">
                  <c:v>45768</c:v>
                </c:pt>
                <c:pt idx="191">
                  <c:v>45764</c:v>
                </c:pt>
                <c:pt idx="192">
                  <c:v>45763</c:v>
                </c:pt>
                <c:pt idx="193">
                  <c:v>45762</c:v>
                </c:pt>
                <c:pt idx="194">
                  <c:v>45761</c:v>
                </c:pt>
                <c:pt idx="195">
                  <c:v>45758</c:v>
                </c:pt>
                <c:pt idx="196">
                  <c:v>45757</c:v>
                </c:pt>
                <c:pt idx="197">
                  <c:v>45756</c:v>
                </c:pt>
                <c:pt idx="198">
                  <c:v>45755</c:v>
                </c:pt>
                <c:pt idx="199">
                  <c:v>45754</c:v>
                </c:pt>
                <c:pt idx="200">
                  <c:v>45751</c:v>
                </c:pt>
                <c:pt idx="201">
                  <c:v>45750</c:v>
                </c:pt>
                <c:pt idx="202">
                  <c:v>45749</c:v>
                </c:pt>
                <c:pt idx="203">
                  <c:v>45748</c:v>
                </c:pt>
                <c:pt idx="204">
                  <c:v>45747</c:v>
                </c:pt>
                <c:pt idx="205">
                  <c:v>45744</c:v>
                </c:pt>
                <c:pt idx="206">
                  <c:v>45743</c:v>
                </c:pt>
                <c:pt idx="207">
                  <c:v>45742</c:v>
                </c:pt>
                <c:pt idx="208">
                  <c:v>45741</c:v>
                </c:pt>
                <c:pt idx="209">
                  <c:v>45740</c:v>
                </c:pt>
                <c:pt idx="210">
                  <c:v>45737</c:v>
                </c:pt>
                <c:pt idx="211">
                  <c:v>45736</c:v>
                </c:pt>
                <c:pt idx="212">
                  <c:v>45735</c:v>
                </c:pt>
                <c:pt idx="213">
                  <c:v>45734</c:v>
                </c:pt>
                <c:pt idx="214">
                  <c:v>45733</c:v>
                </c:pt>
                <c:pt idx="215">
                  <c:v>45730</c:v>
                </c:pt>
                <c:pt idx="216">
                  <c:v>45729</c:v>
                </c:pt>
                <c:pt idx="217">
                  <c:v>45728</c:v>
                </c:pt>
                <c:pt idx="218">
                  <c:v>45727</c:v>
                </c:pt>
                <c:pt idx="219">
                  <c:v>45726</c:v>
                </c:pt>
                <c:pt idx="220">
                  <c:v>45723</c:v>
                </c:pt>
                <c:pt idx="221">
                  <c:v>45722</c:v>
                </c:pt>
                <c:pt idx="222">
                  <c:v>45721</c:v>
                </c:pt>
                <c:pt idx="223">
                  <c:v>45720</c:v>
                </c:pt>
                <c:pt idx="224">
                  <c:v>45719</c:v>
                </c:pt>
                <c:pt idx="225">
                  <c:v>45716</c:v>
                </c:pt>
                <c:pt idx="226">
                  <c:v>45715</c:v>
                </c:pt>
                <c:pt idx="227">
                  <c:v>45714</c:v>
                </c:pt>
                <c:pt idx="228">
                  <c:v>45713</c:v>
                </c:pt>
                <c:pt idx="229">
                  <c:v>45712</c:v>
                </c:pt>
                <c:pt idx="230">
                  <c:v>45709</c:v>
                </c:pt>
                <c:pt idx="231">
                  <c:v>45708</c:v>
                </c:pt>
                <c:pt idx="232">
                  <c:v>45707</c:v>
                </c:pt>
                <c:pt idx="233">
                  <c:v>45706</c:v>
                </c:pt>
                <c:pt idx="234">
                  <c:v>45702</c:v>
                </c:pt>
                <c:pt idx="235">
                  <c:v>45701</c:v>
                </c:pt>
                <c:pt idx="236">
                  <c:v>45700</c:v>
                </c:pt>
                <c:pt idx="237">
                  <c:v>45699</c:v>
                </c:pt>
                <c:pt idx="238">
                  <c:v>45698</c:v>
                </c:pt>
                <c:pt idx="239">
                  <c:v>45695</c:v>
                </c:pt>
                <c:pt idx="240">
                  <c:v>45694</c:v>
                </c:pt>
                <c:pt idx="241">
                  <c:v>45693</c:v>
                </c:pt>
                <c:pt idx="242">
                  <c:v>45692</c:v>
                </c:pt>
                <c:pt idx="243">
                  <c:v>45691</c:v>
                </c:pt>
                <c:pt idx="244">
                  <c:v>45688</c:v>
                </c:pt>
                <c:pt idx="245">
                  <c:v>45687</c:v>
                </c:pt>
                <c:pt idx="246">
                  <c:v>45686</c:v>
                </c:pt>
                <c:pt idx="247">
                  <c:v>45685</c:v>
                </c:pt>
                <c:pt idx="248">
                  <c:v>45684</c:v>
                </c:pt>
                <c:pt idx="249">
                  <c:v>45681</c:v>
                </c:pt>
                <c:pt idx="250">
                  <c:v>45680</c:v>
                </c:pt>
                <c:pt idx="251">
                  <c:v>45679</c:v>
                </c:pt>
                <c:pt idx="252">
                  <c:v>45678</c:v>
                </c:pt>
                <c:pt idx="253">
                  <c:v>45674</c:v>
                </c:pt>
                <c:pt idx="254">
                  <c:v>45673</c:v>
                </c:pt>
                <c:pt idx="255">
                  <c:v>45672</c:v>
                </c:pt>
                <c:pt idx="256">
                  <c:v>45671</c:v>
                </c:pt>
                <c:pt idx="257">
                  <c:v>45670</c:v>
                </c:pt>
                <c:pt idx="258">
                  <c:v>45667</c:v>
                </c:pt>
                <c:pt idx="259">
                  <c:v>45665</c:v>
                </c:pt>
                <c:pt idx="260">
                  <c:v>45664</c:v>
                </c:pt>
                <c:pt idx="261">
                  <c:v>45663</c:v>
                </c:pt>
                <c:pt idx="262">
                  <c:v>45660</c:v>
                </c:pt>
                <c:pt idx="263">
                  <c:v>45659</c:v>
                </c:pt>
                <c:pt idx="264">
                  <c:v>45657</c:v>
                </c:pt>
                <c:pt idx="265">
                  <c:v>45656</c:v>
                </c:pt>
                <c:pt idx="266">
                  <c:v>45653</c:v>
                </c:pt>
                <c:pt idx="267">
                  <c:v>45652</c:v>
                </c:pt>
                <c:pt idx="268">
                  <c:v>45650</c:v>
                </c:pt>
                <c:pt idx="269">
                  <c:v>45649</c:v>
                </c:pt>
                <c:pt idx="270">
                  <c:v>45646</c:v>
                </c:pt>
                <c:pt idx="271">
                  <c:v>45645</c:v>
                </c:pt>
                <c:pt idx="272">
                  <c:v>45644</c:v>
                </c:pt>
                <c:pt idx="273">
                  <c:v>45643</c:v>
                </c:pt>
                <c:pt idx="274">
                  <c:v>45642</c:v>
                </c:pt>
                <c:pt idx="275">
                  <c:v>45639</c:v>
                </c:pt>
                <c:pt idx="276">
                  <c:v>45638</c:v>
                </c:pt>
                <c:pt idx="277">
                  <c:v>45637</c:v>
                </c:pt>
                <c:pt idx="278">
                  <c:v>45636</c:v>
                </c:pt>
                <c:pt idx="279">
                  <c:v>45635</c:v>
                </c:pt>
                <c:pt idx="280">
                  <c:v>45632</c:v>
                </c:pt>
                <c:pt idx="281">
                  <c:v>45631</c:v>
                </c:pt>
                <c:pt idx="282">
                  <c:v>45630</c:v>
                </c:pt>
                <c:pt idx="283">
                  <c:v>45629</c:v>
                </c:pt>
                <c:pt idx="284">
                  <c:v>45628</c:v>
                </c:pt>
                <c:pt idx="285">
                  <c:v>45625</c:v>
                </c:pt>
                <c:pt idx="286">
                  <c:v>45623</c:v>
                </c:pt>
                <c:pt idx="287">
                  <c:v>45622</c:v>
                </c:pt>
                <c:pt idx="288">
                  <c:v>45621</c:v>
                </c:pt>
                <c:pt idx="289">
                  <c:v>45618</c:v>
                </c:pt>
                <c:pt idx="290">
                  <c:v>45617</c:v>
                </c:pt>
                <c:pt idx="291">
                  <c:v>45616</c:v>
                </c:pt>
                <c:pt idx="292">
                  <c:v>45615</c:v>
                </c:pt>
                <c:pt idx="293">
                  <c:v>45614</c:v>
                </c:pt>
                <c:pt idx="294">
                  <c:v>45611</c:v>
                </c:pt>
                <c:pt idx="295">
                  <c:v>45610</c:v>
                </c:pt>
                <c:pt idx="296">
                  <c:v>45609</c:v>
                </c:pt>
                <c:pt idx="297">
                  <c:v>45608</c:v>
                </c:pt>
                <c:pt idx="298">
                  <c:v>45607</c:v>
                </c:pt>
                <c:pt idx="299">
                  <c:v>45604</c:v>
                </c:pt>
                <c:pt idx="300">
                  <c:v>45603</c:v>
                </c:pt>
                <c:pt idx="301">
                  <c:v>45602</c:v>
                </c:pt>
                <c:pt idx="302">
                  <c:v>45601</c:v>
                </c:pt>
                <c:pt idx="303">
                  <c:v>45600</c:v>
                </c:pt>
                <c:pt idx="304">
                  <c:v>45597</c:v>
                </c:pt>
                <c:pt idx="305">
                  <c:v>45596</c:v>
                </c:pt>
                <c:pt idx="306">
                  <c:v>45595</c:v>
                </c:pt>
                <c:pt idx="307">
                  <c:v>45594</c:v>
                </c:pt>
                <c:pt idx="308">
                  <c:v>45593</c:v>
                </c:pt>
                <c:pt idx="309">
                  <c:v>45590</c:v>
                </c:pt>
                <c:pt idx="310">
                  <c:v>45589</c:v>
                </c:pt>
                <c:pt idx="311">
                  <c:v>45588</c:v>
                </c:pt>
                <c:pt idx="312">
                  <c:v>45587</c:v>
                </c:pt>
                <c:pt idx="313">
                  <c:v>45586</c:v>
                </c:pt>
                <c:pt idx="314">
                  <c:v>45583</c:v>
                </c:pt>
                <c:pt idx="315">
                  <c:v>45582</c:v>
                </c:pt>
                <c:pt idx="316">
                  <c:v>45581</c:v>
                </c:pt>
                <c:pt idx="317">
                  <c:v>45580</c:v>
                </c:pt>
                <c:pt idx="318">
                  <c:v>45579</c:v>
                </c:pt>
                <c:pt idx="319">
                  <c:v>45576</c:v>
                </c:pt>
                <c:pt idx="320">
                  <c:v>45575</c:v>
                </c:pt>
                <c:pt idx="321">
                  <c:v>45574</c:v>
                </c:pt>
                <c:pt idx="322">
                  <c:v>45573</c:v>
                </c:pt>
                <c:pt idx="323">
                  <c:v>45572</c:v>
                </c:pt>
                <c:pt idx="324">
                  <c:v>45569</c:v>
                </c:pt>
                <c:pt idx="325">
                  <c:v>45568</c:v>
                </c:pt>
                <c:pt idx="326">
                  <c:v>45567</c:v>
                </c:pt>
                <c:pt idx="327">
                  <c:v>45566</c:v>
                </c:pt>
                <c:pt idx="328">
                  <c:v>45565</c:v>
                </c:pt>
                <c:pt idx="329">
                  <c:v>45562</c:v>
                </c:pt>
                <c:pt idx="330">
                  <c:v>45561</c:v>
                </c:pt>
                <c:pt idx="331">
                  <c:v>45560</c:v>
                </c:pt>
                <c:pt idx="332">
                  <c:v>45559</c:v>
                </c:pt>
                <c:pt idx="333">
                  <c:v>45558</c:v>
                </c:pt>
                <c:pt idx="334">
                  <c:v>45555</c:v>
                </c:pt>
                <c:pt idx="335">
                  <c:v>45554</c:v>
                </c:pt>
                <c:pt idx="336">
                  <c:v>45553</c:v>
                </c:pt>
                <c:pt idx="337">
                  <c:v>45552</c:v>
                </c:pt>
                <c:pt idx="338">
                  <c:v>45551</c:v>
                </c:pt>
                <c:pt idx="339">
                  <c:v>45548</c:v>
                </c:pt>
                <c:pt idx="340">
                  <c:v>45547</c:v>
                </c:pt>
                <c:pt idx="341">
                  <c:v>45546</c:v>
                </c:pt>
                <c:pt idx="342">
                  <c:v>45545</c:v>
                </c:pt>
                <c:pt idx="343">
                  <c:v>45544</c:v>
                </c:pt>
                <c:pt idx="344">
                  <c:v>45541</c:v>
                </c:pt>
                <c:pt idx="345">
                  <c:v>45540</c:v>
                </c:pt>
                <c:pt idx="346">
                  <c:v>45539</c:v>
                </c:pt>
                <c:pt idx="347">
                  <c:v>45538</c:v>
                </c:pt>
                <c:pt idx="348">
                  <c:v>45534</c:v>
                </c:pt>
                <c:pt idx="349">
                  <c:v>45533</c:v>
                </c:pt>
                <c:pt idx="350">
                  <c:v>45532</c:v>
                </c:pt>
                <c:pt idx="351">
                  <c:v>45531</c:v>
                </c:pt>
                <c:pt idx="352">
                  <c:v>45530</c:v>
                </c:pt>
                <c:pt idx="353">
                  <c:v>45527</c:v>
                </c:pt>
                <c:pt idx="354">
                  <c:v>45526</c:v>
                </c:pt>
                <c:pt idx="355">
                  <c:v>45525</c:v>
                </c:pt>
                <c:pt idx="356">
                  <c:v>45524</c:v>
                </c:pt>
                <c:pt idx="357">
                  <c:v>45523</c:v>
                </c:pt>
                <c:pt idx="358">
                  <c:v>45520</c:v>
                </c:pt>
                <c:pt idx="359">
                  <c:v>45519</c:v>
                </c:pt>
                <c:pt idx="360">
                  <c:v>45518</c:v>
                </c:pt>
                <c:pt idx="361">
                  <c:v>45517</c:v>
                </c:pt>
                <c:pt idx="362">
                  <c:v>45516</c:v>
                </c:pt>
                <c:pt idx="363">
                  <c:v>45513</c:v>
                </c:pt>
                <c:pt idx="364">
                  <c:v>45512</c:v>
                </c:pt>
                <c:pt idx="365">
                  <c:v>45511</c:v>
                </c:pt>
                <c:pt idx="366">
                  <c:v>45510</c:v>
                </c:pt>
                <c:pt idx="367">
                  <c:v>45509</c:v>
                </c:pt>
                <c:pt idx="368">
                  <c:v>45506</c:v>
                </c:pt>
                <c:pt idx="369">
                  <c:v>45505</c:v>
                </c:pt>
                <c:pt idx="370">
                  <c:v>45504</c:v>
                </c:pt>
                <c:pt idx="371">
                  <c:v>45503</c:v>
                </c:pt>
                <c:pt idx="372">
                  <c:v>45502</c:v>
                </c:pt>
                <c:pt idx="373">
                  <c:v>45499</c:v>
                </c:pt>
                <c:pt idx="374">
                  <c:v>45498</c:v>
                </c:pt>
                <c:pt idx="375">
                  <c:v>45497</c:v>
                </c:pt>
                <c:pt idx="376">
                  <c:v>45496</c:v>
                </c:pt>
                <c:pt idx="377">
                  <c:v>45495</c:v>
                </c:pt>
                <c:pt idx="378">
                  <c:v>45492</c:v>
                </c:pt>
                <c:pt idx="379">
                  <c:v>45491</c:v>
                </c:pt>
                <c:pt idx="380">
                  <c:v>45490</c:v>
                </c:pt>
                <c:pt idx="381">
                  <c:v>45489</c:v>
                </c:pt>
                <c:pt idx="382">
                  <c:v>45488</c:v>
                </c:pt>
                <c:pt idx="383">
                  <c:v>45485</c:v>
                </c:pt>
                <c:pt idx="384">
                  <c:v>45484</c:v>
                </c:pt>
                <c:pt idx="385">
                  <c:v>45483</c:v>
                </c:pt>
                <c:pt idx="386">
                  <c:v>45482</c:v>
                </c:pt>
                <c:pt idx="387">
                  <c:v>45481</c:v>
                </c:pt>
                <c:pt idx="388">
                  <c:v>45478</c:v>
                </c:pt>
                <c:pt idx="389">
                  <c:v>45476</c:v>
                </c:pt>
                <c:pt idx="390">
                  <c:v>45475</c:v>
                </c:pt>
                <c:pt idx="391">
                  <c:v>45474</c:v>
                </c:pt>
                <c:pt idx="392">
                  <c:v>45471</c:v>
                </c:pt>
                <c:pt idx="393">
                  <c:v>45470</c:v>
                </c:pt>
                <c:pt idx="394">
                  <c:v>45469</c:v>
                </c:pt>
                <c:pt idx="395">
                  <c:v>45468</c:v>
                </c:pt>
                <c:pt idx="396">
                  <c:v>45467</c:v>
                </c:pt>
                <c:pt idx="397">
                  <c:v>45464</c:v>
                </c:pt>
                <c:pt idx="398">
                  <c:v>45463</c:v>
                </c:pt>
                <c:pt idx="399">
                  <c:v>45461</c:v>
                </c:pt>
                <c:pt idx="400">
                  <c:v>45460</c:v>
                </c:pt>
                <c:pt idx="401">
                  <c:v>45457</c:v>
                </c:pt>
                <c:pt idx="402">
                  <c:v>45456</c:v>
                </c:pt>
                <c:pt idx="403">
                  <c:v>45455</c:v>
                </c:pt>
                <c:pt idx="404">
                  <c:v>45454</c:v>
                </c:pt>
                <c:pt idx="405">
                  <c:v>45453</c:v>
                </c:pt>
                <c:pt idx="406">
                  <c:v>45450</c:v>
                </c:pt>
                <c:pt idx="407">
                  <c:v>45449</c:v>
                </c:pt>
                <c:pt idx="408">
                  <c:v>45448</c:v>
                </c:pt>
                <c:pt idx="409">
                  <c:v>45447</c:v>
                </c:pt>
                <c:pt idx="410">
                  <c:v>45446</c:v>
                </c:pt>
                <c:pt idx="411">
                  <c:v>45443</c:v>
                </c:pt>
                <c:pt idx="412">
                  <c:v>45442</c:v>
                </c:pt>
                <c:pt idx="413">
                  <c:v>45441</c:v>
                </c:pt>
                <c:pt idx="414">
                  <c:v>45440</c:v>
                </c:pt>
                <c:pt idx="415">
                  <c:v>45436</c:v>
                </c:pt>
                <c:pt idx="416">
                  <c:v>45435</c:v>
                </c:pt>
                <c:pt idx="417">
                  <c:v>45434</c:v>
                </c:pt>
                <c:pt idx="418">
                  <c:v>45433</c:v>
                </c:pt>
                <c:pt idx="419">
                  <c:v>45432</c:v>
                </c:pt>
                <c:pt idx="420">
                  <c:v>45429</c:v>
                </c:pt>
                <c:pt idx="421">
                  <c:v>45428</c:v>
                </c:pt>
                <c:pt idx="422">
                  <c:v>45427</c:v>
                </c:pt>
                <c:pt idx="423">
                  <c:v>45426</c:v>
                </c:pt>
                <c:pt idx="424">
                  <c:v>45425</c:v>
                </c:pt>
                <c:pt idx="425">
                  <c:v>45422</c:v>
                </c:pt>
                <c:pt idx="426">
                  <c:v>45421</c:v>
                </c:pt>
                <c:pt idx="427">
                  <c:v>45420</c:v>
                </c:pt>
                <c:pt idx="428">
                  <c:v>45419</c:v>
                </c:pt>
                <c:pt idx="429">
                  <c:v>45418</c:v>
                </c:pt>
                <c:pt idx="430">
                  <c:v>45415</c:v>
                </c:pt>
                <c:pt idx="431">
                  <c:v>45414</c:v>
                </c:pt>
                <c:pt idx="432">
                  <c:v>45413</c:v>
                </c:pt>
                <c:pt idx="433">
                  <c:v>45412</c:v>
                </c:pt>
                <c:pt idx="434">
                  <c:v>45411</c:v>
                </c:pt>
                <c:pt idx="435">
                  <c:v>45408</c:v>
                </c:pt>
                <c:pt idx="436">
                  <c:v>45407</c:v>
                </c:pt>
                <c:pt idx="437">
                  <c:v>45406</c:v>
                </c:pt>
                <c:pt idx="438">
                  <c:v>45405</c:v>
                </c:pt>
                <c:pt idx="439">
                  <c:v>45404</c:v>
                </c:pt>
                <c:pt idx="440">
                  <c:v>45401</c:v>
                </c:pt>
                <c:pt idx="441">
                  <c:v>45400</c:v>
                </c:pt>
                <c:pt idx="442">
                  <c:v>45399</c:v>
                </c:pt>
                <c:pt idx="443">
                  <c:v>45398</c:v>
                </c:pt>
                <c:pt idx="444">
                  <c:v>45397</c:v>
                </c:pt>
                <c:pt idx="445">
                  <c:v>45394</c:v>
                </c:pt>
                <c:pt idx="446">
                  <c:v>45393</c:v>
                </c:pt>
                <c:pt idx="447">
                  <c:v>45392</c:v>
                </c:pt>
                <c:pt idx="448">
                  <c:v>45391</c:v>
                </c:pt>
                <c:pt idx="449">
                  <c:v>45390</c:v>
                </c:pt>
                <c:pt idx="450">
                  <c:v>45387</c:v>
                </c:pt>
                <c:pt idx="451">
                  <c:v>45386</c:v>
                </c:pt>
                <c:pt idx="452">
                  <c:v>45385</c:v>
                </c:pt>
                <c:pt idx="453">
                  <c:v>45384</c:v>
                </c:pt>
                <c:pt idx="454">
                  <c:v>45383</c:v>
                </c:pt>
                <c:pt idx="455">
                  <c:v>45379</c:v>
                </c:pt>
                <c:pt idx="456">
                  <c:v>45378</c:v>
                </c:pt>
                <c:pt idx="457">
                  <c:v>45377</c:v>
                </c:pt>
                <c:pt idx="458">
                  <c:v>45376</c:v>
                </c:pt>
                <c:pt idx="459">
                  <c:v>45373</c:v>
                </c:pt>
                <c:pt idx="460">
                  <c:v>45372</c:v>
                </c:pt>
                <c:pt idx="461">
                  <c:v>45371</c:v>
                </c:pt>
                <c:pt idx="462">
                  <c:v>45370</c:v>
                </c:pt>
                <c:pt idx="463">
                  <c:v>45369</c:v>
                </c:pt>
                <c:pt idx="464">
                  <c:v>45366</c:v>
                </c:pt>
                <c:pt idx="465">
                  <c:v>45365</c:v>
                </c:pt>
                <c:pt idx="466">
                  <c:v>45364</c:v>
                </c:pt>
                <c:pt idx="467">
                  <c:v>45363</c:v>
                </c:pt>
                <c:pt idx="468">
                  <c:v>45362</c:v>
                </c:pt>
                <c:pt idx="469">
                  <c:v>45359</c:v>
                </c:pt>
                <c:pt idx="470">
                  <c:v>45358</c:v>
                </c:pt>
                <c:pt idx="471">
                  <c:v>45357</c:v>
                </c:pt>
                <c:pt idx="472">
                  <c:v>45356</c:v>
                </c:pt>
                <c:pt idx="473">
                  <c:v>45355</c:v>
                </c:pt>
                <c:pt idx="474">
                  <c:v>45352</c:v>
                </c:pt>
                <c:pt idx="475">
                  <c:v>45351</c:v>
                </c:pt>
                <c:pt idx="476">
                  <c:v>45350</c:v>
                </c:pt>
                <c:pt idx="477">
                  <c:v>45349</c:v>
                </c:pt>
                <c:pt idx="478">
                  <c:v>45348</c:v>
                </c:pt>
                <c:pt idx="479">
                  <c:v>45345</c:v>
                </c:pt>
                <c:pt idx="480">
                  <c:v>45344</c:v>
                </c:pt>
                <c:pt idx="481">
                  <c:v>45343</c:v>
                </c:pt>
                <c:pt idx="482">
                  <c:v>45342</c:v>
                </c:pt>
                <c:pt idx="483">
                  <c:v>45338</c:v>
                </c:pt>
                <c:pt idx="484">
                  <c:v>45337</c:v>
                </c:pt>
                <c:pt idx="485">
                  <c:v>45336</c:v>
                </c:pt>
                <c:pt idx="486">
                  <c:v>45335</c:v>
                </c:pt>
                <c:pt idx="487">
                  <c:v>45334</c:v>
                </c:pt>
                <c:pt idx="488">
                  <c:v>45331</c:v>
                </c:pt>
                <c:pt idx="489">
                  <c:v>45330</c:v>
                </c:pt>
                <c:pt idx="490">
                  <c:v>45329</c:v>
                </c:pt>
                <c:pt idx="491">
                  <c:v>45328</c:v>
                </c:pt>
                <c:pt idx="492">
                  <c:v>45327</c:v>
                </c:pt>
                <c:pt idx="493">
                  <c:v>45324</c:v>
                </c:pt>
                <c:pt idx="494">
                  <c:v>45323</c:v>
                </c:pt>
                <c:pt idx="495">
                  <c:v>45322</c:v>
                </c:pt>
                <c:pt idx="496">
                  <c:v>45321</c:v>
                </c:pt>
                <c:pt idx="497">
                  <c:v>45320</c:v>
                </c:pt>
                <c:pt idx="498">
                  <c:v>45317</c:v>
                </c:pt>
                <c:pt idx="499">
                  <c:v>45316</c:v>
                </c:pt>
                <c:pt idx="500">
                  <c:v>45315</c:v>
                </c:pt>
                <c:pt idx="501">
                  <c:v>45314</c:v>
                </c:pt>
                <c:pt idx="502">
                  <c:v>45313</c:v>
                </c:pt>
                <c:pt idx="503">
                  <c:v>45310</c:v>
                </c:pt>
                <c:pt idx="504">
                  <c:v>45309</c:v>
                </c:pt>
                <c:pt idx="505">
                  <c:v>45308</c:v>
                </c:pt>
                <c:pt idx="506">
                  <c:v>45307</c:v>
                </c:pt>
                <c:pt idx="507">
                  <c:v>45303</c:v>
                </c:pt>
                <c:pt idx="508">
                  <c:v>45302</c:v>
                </c:pt>
                <c:pt idx="509">
                  <c:v>45301</c:v>
                </c:pt>
                <c:pt idx="510">
                  <c:v>45300</c:v>
                </c:pt>
                <c:pt idx="511">
                  <c:v>45299</c:v>
                </c:pt>
                <c:pt idx="512">
                  <c:v>45296</c:v>
                </c:pt>
                <c:pt idx="513">
                  <c:v>45295</c:v>
                </c:pt>
                <c:pt idx="514">
                  <c:v>45294</c:v>
                </c:pt>
                <c:pt idx="515">
                  <c:v>45293</c:v>
                </c:pt>
                <c:pt idx="516">
                  <c:v>45289</c:v>
                </c:pt>
                <c:pt idx="517">
                  <c:v>45288</c:v>
                </c:pt>
                <c:pt idx="518">
                  <c:v>45287</c:v>
                </c:pt>
                <c:pt idx="519">
                  <c:v>45286</c:v>
                </c:pt>
                <c:pt idx="520">
                  <c:v>45282</c:v>
                </c:pt>
                <c:pt idx="521">
                  <c:v>45281</c:v>
                </c:pt>
                <c:pt idx="522">
                  <c:v>45280</c:v>
                </c:pt>
                <c:pt idx="523">
                  <c:v>45279</c:v>
                </c:pt>
                <c:pt idx="524">
                  <c:v>45278</c:v>
                </c:pt>
                <c:pt idx="525">
                  <c:v>45275</c:v>
                </c:pt>
                <c:pt idx="526">
                  <c:v>45274</c:v>
                </c:pt>
                <c:pt idx="527">
                  <c:v>45273</c:v>
                </c:pt>
                <c:pt idx="528">
                  <c:v>45272</c:v>
                </c:pt>
                <c:pt idx="529">
                  <c:v>45271</c:v>
                </c:pt>
                <c:pt idx="530">
                  <c:v>45268</c:v>
                </c:pt>
                <c:pt idx="531">
                  <c:v>45267</c:v>
                </c:pt>
                <c:pt idx="532">
                  <c:v>45266</c:v>
                </c:pt>
                <c:pt idx="533">
                  <c:v>45265</c:v>
                </c:pt>
                <c:pt idx="534">
                  <c:v>45264</c:v>
                </c:pt>
                <c:pt idx="535">
                  <c:v>45261</c:v>
                </c:pt>
                <c:pt idx="536">
                  <c:v>45260</c:v>
                </c:pt>
                <c:pt idx="537">
                  <c:v>45259</c:v>
                </c:pt>
                <c:pt idx="538">
                  <c:v>45258</c:v>
                </c:pt>
                <c:pt idx="539">
                  <c:v>45257</c:v>
                </c:pt>
                <c:pt idx="540">
                  <c:v>45254</c:v>
                </c:pt>
                <c:pt idx="541">
                  <c:v>45252</c:v>
                </c:pt>
                <c:pt idx="542">
                  <c:v>45251</c:v>
                </c:pt>
                <c:pt idx="543">
                  <c:v>45250</c:v>
                </c:pt>
                <c:pt idx="544">
                  <c:v>45247</c:v>
                </c:pt>
                <c:pt idx="545">
                  <c:v>45246</c:v>
                </c:pt>
                <c:pt idx="546">
                  <c:v>45245</c:v>
                </c:pt>
                <c:pt idx="547">
                  <c:v>45244</c:v>
                </c:pt>
                <c:pt idx="548">
                  <c:v>45243</c:v>
                </c:pt>
                <c:pt idx="549">
                  <c:v>45240</c:v>
                </c:pt>
                <c:pt idx="550">
                  <c:v>45239</c:v>
                </c:pt>
                <c:pt idx="551">
                  <c:v>45238</c:v>
                </c:pt>
                <c:pt idx="552">
                  <c:v>45237</c:v>
                </c:pt>
                <c:pt idx="553">
                  <c:v>45236</c:v>
                </c:pt>
                <c:pt idx="554">
                  <c:v>45233</c:v>
                </c:pt>
                <c:pt idx="555">
                  <c:v>45232</c:v>
                </c:pt>
                <c:pt idx="556">
                  <c:v>45231</c:v>
                </c:pt>
                <c:pt idx="557">
                  <c:v>45230</c:v>
                </c:pt>
                <c:pt idx="558">
                  <c:v>45229</c:v>
                </c:pt>
                <c:pt idx="559">
                  <c:v>45226</c:v>
                </c:pt>
                <c:pt idx="560">
                  <c:v>45225</c:v>
                </c:pt>
                <c:pt idx="561">
                  <c:v>45224</c:v>
                </c:pt>
                <c:pt idx="562">
                  <c:v>45223</c:v>
                </c:pt>
                <c:pt idx="563">
                  <c:v>45222</c:v>
                </c:pt>
                <c:pt idx="564">
                  <c:v>45219</c:v>
                </c:pt>
                <c:pt idx="565">
                  <c:v>45218</c:v>
                </c:pt>
                <c:pt idx="566">
                  <c:v>45217</c:v>
                </c:pt>
                <c:pt idx="567">
                  <c:v>45216</c:v>
                </c:pt>
                <c:pt idx="568">
                  <c:v>45215</c:v>
                </c:pt>
                <c:pt idx="569">
                  <c:v>45212</c:v>
                </c:pt>
                <c:pt idx="570">
                  <c:v>45211</c:v>
                </c:pt>
                <c:pt idx="571">
                  <c:v>45210</c:v>
                </c:pt>
                <c:pt idx="572">
                  <c:v>45209</c:v>
                </c:pt>
                <c:pt idx="573">
                  <c:v>45208</c:v>
                </c:pt>
                <c:pt idx="574">
                  <c:v>45205</c:v>
                </c:pt>
                <c:pt idx="575">
                  <c:v>45204</c:v>
                </c:pt>
                <c:pt idx="576">
                  <c:v>45203</c:v>
                </c:pt>
                <c:pt idx="577">
                  <c:v>45202</c:v>
                </c:pt>
                <c:pt idx="578">
                  <c:v>45201</c:v>
                </c:pt>
                <c:pt idx="579">
                  <c:v>45198</c:v>
                </c:pt>
                <c:pt idx="580">
                  <c:v>45197</c:v>
                </c:pt>
                <c:pt idx="581">
                  <c:v>45196</c:v>
                </c:pt>
                <c:pt idx="582">
                  <c:v>45195</c:v>
                </c:pt>
                <c:pt idx="583">
                  <c:v>45194</c:v>
                </c:pt>
                <c:pt idx="584">
                  <c:v>45191</c:v>
                </c:pt>
                <c:pt idx="585">
                  <c:v>45190</c:v>
                </c:pt>
                <c:pt idx="586">
                  <c:v>45189</c:v>
                </c:pt>
                <c:pt idx="587">
                  <c:v>45188</c:v>
                </c:pt>
                <c:pt idx="588">
                  <c:v>45187</c:v>
                </c:pt>
                <c:pt idx="589">
                  <c:v>45184</c:v>
                </c:pt>
                <c:pt idx="590">
                  <c:v>45183</c:v>
                </c:pt>
                <c:pt idx="591">
                  <c:v>45182</c:v>
                </c:pt>
                <c:pt idx="592">
                  <c:v>45181</c:v>
                </c:pt>
                <c:pt idx="593">
                  <c:v>45180</c:v>
                </c:pt>
                <c:pt idx="594">
                  <c:v>45177</c:v>
                </c:pt>
                <c:pt idx="595">
                  <c:v>45176</c:v>
                </c:pt>
                <c:pt idx="596">
                  <c:v>45175</c:v>
                </c:pt>
                <c:pt idx="597">
                  <c:v>45174</c:v>
                </c:pt>
                <c:pt idx="598">
                  <c:v>45170</c:v>
                </c:pt>
                <c:pt idx="599">
                  <c:v>45169</c:v>
                </c:pt>
                <c:pt idx="600">
                  <c:v>45168</c:v>
                </c:pt>
                <c:pt idx="601">
                  <c:v>45167</c:v>
                </c:pt>
                <c:pt idx="602">
                  <c:v>45166</c:v>
                </c:pt>
                <c:pt idx="603">
                  <c:v>45163</c:v>
                </c:pt>
                <c:pt idx="604">
                  <c:v>45162</c:v>
                </c:pt>
                <c:pt idx="605">
                  <c:v>45161</c:v>
                </c:pt>
                <c:pt idx="606">
                  <c:v>45160</c:v>
                </c:pt>
                <c:pt idx="607">
                  <c:v>45159</c:v>
                </c:pt>
                <c:pt idx="608">
                  <c:v>45156</c:v>
                </c:pt>
                <c:pt idx="609">
                  <c:v>45155</c:v>
                </c:pt>
                <c:pt idx="610">
                  <c:v>45154</c:v>
                </c:pt>
                <c:pt idx="611">
                  <c:v>45153</c:v>
                </c:pt>
                <c:pt idx="612">
                  <c:v>45152</c:v>
                </c:pt>
                <c:pt idx="613">
                  <c:v>45149</c:v>
                </c:pt>
                <c:pt idx="614">
                  <c:v>45148</c:v>
                </c:pt>
                <c:pt idx="615">
                  <c:v>45147</c:v>
                </c:pt>
                <c:pt idx="616">
                  <c:v>45146</c:v>
                </c:pt>
                <c:pt idx="617">
                  <c:v>45145</c:v>
                </c:pt>
                <c:pt idx="618">
                  <c:v>45142</c:v>
                </c:pt>
                <c:pt idx="619">
                  <c:v>45141</c:v>
                </c:pt>
                <c:pt idx="620">
                  <c:v>45140</c:v>
                </c:pt>
                <c:pt idx="621">
                  <c:v>45139</c:v>
                </c:pt>
                <c:pt idx="622">
                  <c:v>45138</c:v>
                </c:pt>
                <c:pt idx="623">
                  <c:v>45135</c:v>
                </c:pt>
                <c:pt idx="624">
                  <c:v>45134</c:v>
                </c:pt>
                <c:pt idx="625">
                  <c:v>45133</c:v>
                </c:pt>
                <c:pt idx="626">
                  <c:v>45132</c:v>
                </c:pt>
                <c:pt idx="627">
                  <c:v>45131</c:v>
                </c:pt>
                <c:pt idx="628">
                  <c:v>45128</c:v>
                </c:pt>
                <c:pt idx="629">
                  <c:v>45127</c:v>
                </c:pt>
                <c:pt idx="630">
                  <c:v>45126</c:v>
                </c:pt>
                <c:pt idx="631">
                  <c:v>45125</c:v>
                </c:pt>
                <c:pt idx="632">
                  <c:v>45124</c:v>
                </c:pt>
                <c:pt idx="633">
                  <c:v>45121</c:v>
                </c:pt>
                <c:pt idx="634">
                  <c:v>45120</c:v>
                </c:pt>
                <c:pt idx="635">
                  <c:v>45119</c:v>
                </c:pt>
                <c:pt idx="636">
                  <c:v>45118</c:v>
                </c:pt>
                <c:pt idx="637">
                  <c:v>45117</c:v>
                </c:pt>
                <c:pt idx="638">
                  <c:v>45114</c:v>
                </c:pt>
                <c:pt idx="639">
                  <c:v>45113</c:v>
                </c:pt>
                <c:pt idx="640">
                  <c:v>45112</c:v>
                </c:pt>
                <c:pt idx="641">
                  <c:v>45110</c:v>
                </c:pt>
                <c:pt idx="642">
                  <c:v>45107</c:v>
                </c:pt>
                <c:pt idx="643">
                  <c:v>45106</c:v>
                </c:pt>
                <c:pt idx="644">
                  <c:v>45105</c:v>
                </c:pt>
                <c:pt idx="645">
                  <c:v>45104</c:v>
                </c:pt>
                <c:pt idx="646">
                  <c:v>45103</c:v>
                </c:pt>
                <c:pt idx="647">
                  <c:v>45100</c:v>
                </c:pt>
                <c:pt idx="648">
                  <c:v>45099</c:v>
                </c:pt>
                <c:pt idx="649">
                  <c:v>45098</c:v>
                </c:pt>
                <c:pt idx="650">
                  <c:v>45097</c:v>
                </c:pt>
                <c:pt idx="651">
                  <c:v>45093</c:v>
                </c:pt>
                <c:pt idx="652">
                  <c:v>45092</c:v>
                </c:pt>
                <c:pt idx="653">
                  <c:v>45091</c:v>
                </c:pt>
                <c:pt idx="654">
                  <c:v>45090</c:v>
                </c:pt>
                <c:pt idx="655">
                  <c:v>45089</c:v>
                </c:pt>
                <c:pt idx="656">
                  <c:v>45086</c:v>
                </c:pt>
                <c:pt idx="657">
                  <c:v>45085</c:v>
                </c:pt>
                <c:pt idx="658">
                  <c:v>45084</c:v>
                </c:pt>
                <c:pt idx="659">
                  <c:v>45083</c:v>
                </c:pt>
                <c:pt idx="660">
                  <c:v>45082</c:v>
                </c:pt>
                <c:pt idx="661">
                  <c:v>45079</c:v>
                </c:pt>
                <c:pt idx="662">
                  <c:v>45078</c:v>
                </c:pt>
                <c:pt idx="663">
                  <c:v>45077</c:v>
                </c:pt>
                <c:pt idx="664">
                  <c:v>45076</c:v>
                </c:pt>
                <c:pt idx="665">
                  <c:v>45072</c:v>
                </c:pt>
                <c:pt idx="666">
                  <c:v>45071</c:v>
                </c:pt>
                <c:pt idx="667">
                  <c:v>45070</c:v>
                </c:pt>
                <c:pt idx="668">
                  <c:v>45069</c:v>
                </c:pt>
                <c:pt idx="669">
                  <c:v>45068</c:v>
                </c:pt>
                <c:pt idx="670">
                  <c:v>45065</c:v>
                </c:pt>
                <c:pt idx="671">
                  <c:v>45064</c:v>
                </c:pt>
                <c:pt idx="672">
                  <c:v>45063</c:v>
                </c:pt>
                <c:pt idx="673">
                  <c:v>45062</c:v>
                </c:pt>
                <c:pt idx="674">
                  <c:v>45061</c:v>
                </c:pt>
                <c:pt idx="675">
                  <c:v>45058</c:v>
                </c:pt>
                <c:pt idx="676">
                  <c:v>45057</c:v>
                </c:pt>
                <c:pt idx="677">
                  <c:v>45056</c:v>
                </c:pt>
                <c:pt idx="678">
                  <c:v>45055</c:v>
                </c:pt>
                <c:pt idx="679">
                  <c:v>45054</c:v>
                </c:pt>
                <c:pt idx="680">
                  <c:v>45051</c:v>
                </c:pt>
                <c:pt idx="681">
                  <c:v>45050</c:v>
                </c:pt>
                <c:pt idx="682">
                  <c:v>45049</c:v>
                </c:pt>
                <c:pt idx="683">
                  <c:v>45048</c:v>
                </c:pt>
                <c:pt idx="684">
                  <c:v>45047</c:v>
                </c:pt>
                <c:pt idx="685">
                  <c:v>45044</c:v>
                </c:pt>
                <c:pt idx="686">
                  <c:v>45043</c:v>
                </c:pt>
                <c:pt idx="687">
                  <c:v>45042</c:v>
                </c:pt>
                <c:pt idx="688">
                  <c:v>45041</c:v>
                </c:pt>
                <c:pt idx="689">
                  <c:v>45040</c:v>
                </c:pt>
                <c:pt idx="690">
                  <c:v>45037</c:v>
                </c:pt>
                <c:pt idx="691">
                  <c:v>45036</c:v>
                </c:pt>
                <c:pt idx="692">
                  <c:v>45035</c:v>
                </c:pt>
                <c:pt idx="693">
                  <c:v>45034</c:v>
                </c:pt>
                <c:pt idx="694">
                  <c:v>45033</c:v>
                </c:pt>
                <c:pt idx="695">
                  <c:v>45030</c:v>
                </c:pt>
                <c:pt idx="696">
                  <c:v>45029</c:v>
                </c:pt>
                <c:pt idx="697">
                  <c:v>45028</c:v>
                </c:pt>
                <c:pt idx="698">
                  <c:v>45027</c:v>
                </c:pt>
                <c:pt idx="699">
                  <c:v>45026</c:v>
                </c:pt>
                <c:pt idx="700">
                  <c:v>45022</c:v>
                </c:pt>
                <c:pt idx="701">
                  <c:v>45021</c:v>
                </c:pt>
                <c:pt idx="702">
                  <c:v>45020</c:v>
                </c:pt>
                <c:pt idx="703">
                  <c:v>45019</c:v>
                </c:pt>
                <c:pt idx="704">
                  <c:v>45016</c:v>
                </c:pt>
                <c:pt idx="705">
                  <c:v>45015</c:v>
                </c:pt>
                <c:pt idx="706">
                  <c:v>45014</c:v>
                </c:pt>
                <c:pt idx="707">
                  <c:v>45013</c:v>
                </c:pt>
                <c:pt idx="708">
                  <c:v>45012</c:v>
                </c:pt>
                <c:pt idx="709">
                  <c:v>45009</c:v>
                </c:pt>
                <c:pt idx="710">
                  <c:v>45008</c:v>
                </c:pt>
                <c:pt idx="711">
                  <c:v>45007</c:v>
                </c:pt>
                <c:pt idx="712">
                  <c:v>45006</c:v>
                </c:pt>
                <c:pt idx="713">
                  <c:v>45005</c:v>
                </c:pt>
                <c:pt idx="714">
                  <c:v>45002</c:v>
                </c:pt>
                <c:pt idx="715">
                  <c:v>45001</c:v>
                </c:pt>
                <c:pt idx="716">
                  <c:v>45000</c:v>
                </c:pt>
                <c:pt idx="717">
                  <c:v>44999</c:v>
                </c:pt>
                <c:pt idx="718">
                  <c:v>44998</c:v>
                </c:pt>
                <c:pt idx="719">
                  <c:v>44995</c:v>
                </c:pt>
                <c:pt idx="720">
                  <c:v>44994</c:v>
                </c:pt>
                <c:pt idx="721">
                  <c:v>44993</c:v>
                </c:pt>
                <c:pt idx="722">
                  <c:v>44992</c:v>
                </c:pt>
                <c:pt idx="723">
                  <c:v>44991</c:v>
                </c:pt>
                <c:pt idx="724">
                  <c:v>44988</c:v>
                </c:pt>
                <c:pt idx="725">
                  <c:v>44987</c:v>
                </c:pt>
                <c:pt idx="726">
                  <c:v>44986</c:v>
                </c:pt>
                <c:pt idx="727">
                  <c:v>44985</c:v>
                </c:pt>
                <c:pt idx="728">
                  <c:v>44984</c:v>
                </c:pt>
                <c:pt idx="729">
                  <c:v>44981</c:v>
                </c:pt>
                <c:pt idx="730">
                  <c:v>44980</c:v>
                </c:pt>
                <c:pt idx="731">
                  <c:v>44979</c:v>
                </c:pt>
                <c:pt idx="732">
                  <c:v>44978</c:v>
                </c:pt>
                <c:pt idx="733">
                  <c:v>44974</c:v>
                </c:pt>
                <c:pt idx="734">
                  <c:v>44973</c:v>
                </c:pt>
                <c:pt idx="735">
                  <c:v>44972</c:v>
                </c:pt>
                <c:pt idx="736">
                  <c:v>44971</c:v>
                </c:pt>
                <c:pt idx="737">
                  <c:v>44970</c:v>
                </c:pt>
                <c:pt idx="738">
                  <c:v>44967</c:v>
                </c:pt>
                <c:pt idx="739">
                  <c:v>44966</c:v>
                </c:pt>
                <c:pt idx="740">
                  <c:v>44965</c:v>
                </c:pt>
                <c:pt idx="741">
                  <c:v>44964</c:v>
                </c:pt>
                <c:pt idx="742">
                  <c:v>44963</c:v>
                </c:pt>
                <c:pt idx="743">
                  <c:v>44960</c:v>
                </c:pt>
                <c:pt idx="744">
                  <c:v>44959</c:v>
                </c:pt>
                <c:pt idx="745">
                  <c:v>44958</c:v>
                </c:pt>
                <c:pt idx="746">
                  <c:v>44957</c:v>
                </c:pt>
              </c:numCache>
            </c:numRef>
          </c:cat>
          <c:val>
            <c:numRef>
              <c:f>CRH!$E$21:$E$773</c:f>
              <c:numCache>
                <c:formatCode>"$"#,##0.00_);\("$"#,##0.00\);\-\-_);@_)\ </c:formatCode>
                <c:ptCount val="753"/>
                <c:pt idx="0">
                  <c:v>124.49</c:v>
                </c:pt>
                <c:pt idx="1">
                  <c:v>121</c:v>
                </c:pt>
                <c:pt idx="2">
                  <c:v>120.86</c:v>
                </c:pt>
                <c:pt idx="3">
                  <c:v>122.97</c:v>
                </c:pt>
                <c:pt idx="4">
                  <c:v>122.56</c:v>
                </c:pt>
                <c:pt idx="5">
                  <c:v>121.89</c:v>
                </c:pt>
                <c:pt idx="6">
                  <c:v>127.38</c:v>
                </c:pt>
                <c:pt idx="7">
                  <c:v>131.38</c:v>
                </c:pt>
                <c:pt idx="8">
                  <c:v>131.38</c:v>
                </c:pt>
                <c:pt idx="9">
                  <c:v>124.65</c:v>
                </c:pt>
                <c:pt idx="10">
                  <c:v>122.88</c:v>
                </c:pt>
                <c:pt idx="11">
                  <c:v>128.87</c:v>
                </c:pt>
                <c:pt idx="12">
                  <c:v>128.31</c:v>
                </c:pt>
                <c:pt idx="13">
                  <c:v>126.44</c:v>
                </c:pt>
                <c:pt idx="14">
                  <c:v>124.8</c:v>
                </c:pt>
                <c:pt idx="15">
                  <c:v>125.81</c:v>
                </c:pt>
                <c:pt idx="16">
                  <c:v>127.35</c:v>
                </c:pt>
                <c:pt idx="17">
                  <c:v>128.94</c:v>
                </c:pt>
                <c:pt idx="18">
                  <c:v>127.54</c:v>
                </c:pt>
                <c:pt idx="19">
                  <c:v>126.6</c:v>
                </c:pt>
                <c:pt idx="20">
                  <c:v>126.22</c:v>
                </c:pt>
                <c:pt idx="21">
                  <c:v>124.42</c:v>
                </c:pt>
                <c:pt idx="22">
                  <c:v>127.17</c:v>
                </c:pt>
                <c:pt idx="23">
                  <c:v>123.05</c:v>
                </c:pt>
                <c:pt idx="24">
                  <c:v>126.92</c:v>
                </c:pt>
                <c:pt idx="25">
                  <c:v>127.26</c:v>
                </c:pt>
                <c:pt idx="26">
                  <c:v>126.4</c:v>
                </c:pt>
                <c:pt idx="27">
                  <c:v>126.99</c:v>
                </c:pt>
                <c:pt idx="28">
                  <c:v>125.14</c:v>
                </c:pt>
                <c:pt idx="29">
                  <c:v>123.69</c:v>
                </c:pt>
                <c:pt idx="30">
                  <c:v>126.54</c:v>
                </c:pt>
                <c:pt idx="31">
                  <c:v>119.49</c:v>
                </c:pt>
                <c:pt idx="32">
                  <c:v>121.05</c:v>
                </c:pt>
                <c:pt idx="33">
                  <c:v>121.36</c:v>
                </c:pt>
                <c:pt idx="34">
                  <c:v>118.61</c:v>
                </c:pt>
                <c:pt idx="35">
                  <c:v>119.68</c:v>
                </c:pt>
                <c:pt idx="36">
                  <c:v>119.96</c:v>
                </c:pt>
                <c:pt idx="37">
                  <c:v>119.66</c:v>
                </c:pt>
                <c:pt idx="38">
                  <c:v>116.27</c:v>
                </c:pt>
                <c:pt idx="39">
                  <c:v>112.64</c:v>
                </c:pt>
                <c:pt idx="40">
                  <c:v>110.15</c:v>
                </c:pt>
                <c:pt idx="41">
                  <c:v>108.37</c:v>
                </c:pt>
                <c:pt idx="42">
                  <c:v>110.15</c:v>
                </c:pt>
                <c:pt idx="43">
                  <c:v>108.87</c:v>
                </c:pt>
                <c:pt idx="44">
                  <c:v>109.24</c:v>
                </c:pt>
                <c:pt idx="45">
                  <c:v>109.57</c:v>
                </c:pt>
                <c:pt idx="46">
                  <c:v>111.16</c:v>
                </c:pt>
                <c:pt idx="47">
                  <c:v>113.4</c:v>
                </c:pt>
                <c:pt idx="48">
                  <c:v>112.65</c:v>
                </c:pt>
                <c:pt idx="49">
                  <c:v>113.98</c:v>
                </c:pt>
                <c:pt idx="50">
                  <c:v>113</c:v>
                </c:pt>
                <c:pt idx="51">
                  <c:v>114.78</c:v>
                </c:pt>
                <c:pt idx="52">
                  <c:v>115.67</c:v>
                </c:pt>
                <c:pt idx="53">
                  <c:v>117.32</c:v>
                </c:pt>
                <c:pt idx="54">
                  <c:v>118.4</c:v>
                </c:pt>
                <c:pt idx="55">
                  <c:v>119.1</c:v>
                </c:pt>
                <c:pt idx="56">
                  <c:v>117.23</c:v>
                </c:pt>
                <c:pt idx="57">
                  <c:v>118.48</c:v>
                </c:pt>
                <c:pt idx="58">
                  <c:v>119.94</c:v>
                </c:pt>
                <c:pt idx="59">
                  <c:v>120.95</c:v>
                </c:pt>
                <c:pt idx="60">
                  <c:v>120.17</c:v>
                </c:pt>
                <c:pt idx="61">
                  <c:v>117.87</c:v>
                </c:pt>
                <c:pt idx="62">
                  <c:v>116.98</c:v>
                </c:pt>
                <c:pt idx="63">
                  <c:v>118.25</c:v>
                </c:pt>
                <c:pt idx="64">
                  <c:v>117.43</c:v>
                </c:pt>
                <c:pt idx="65">
                  <c:v>117.46</c:v>
                </c:pt>
                <c:pt idx="66">
                  <c:v>116.94</c:v>
                </c:pt>
                <c:pt idx="67">
                  <c:v>118.58</c:v>
                </c:pt>
                <c:pt idx="68">
                  <c:v>120.12</c:v>
                </c:pt>
                <c:pt idx="69">
                  <c:v>117.54</c:v>
                </c:pt>
                <c:pt idx="70">
                  <c:v>116.03</c:v>
                </c:pt>
                <c:pt idx="71">
                  <c:v>117.61</c:v>
                </c:pt>
                <c:pt idx="72">
                  <c:v>117.85</c:v>
                </c:pt>
                <c:pt idx="73">
                  <c:v>116.34</c:v>
                </c:pt>
                <c:pt idx="74">
                  <c:v>118.14</c:v>
                </c:pt>
                <c:pt idx="75">
                  <c:v>119.96</c:v>
                </c:pt>
                <c:pt idx="76">
                  <c:v>121.14</c:v>
                </c:pt>
                <c:pt idx="77">
                  <c:v>119.85</c:v>
                </c:pt>
                <c:pt idx="78">
                  <c:v>119.9</c:v>
                </c:pt>
                <c:pt idx="79">
                  <c:v>114.59</c:v>
                </c:pt>
                <c:pt idx="80">
                  <c:v>113.67</c:v>
                </c:pt>
                <c:pt idx="81">
                  <c:v>111.78</c:v>
                </c:pt>
                <c:pt idx="82">
                  <c:v>112.6</c:v>
                </c:pt>
                <c:pt idx="83">
                  <c:v>114.1</c:v>
                </c:pt>
                <c:pt idx="84">
                  <c:v>114.72</c:v>
                </c:pt>
                <c:pt idx="85">
                  <c:v>113.09</c:v>
                </c:pt>
                <c:pt idx="86">
                  <c:v>112.46</c:v>
                </c:pt>
                <c:pt idx="87">
                  <c:v>111.25</c:v>
                </c:pt>
                <c:pt idx="88">
                  <c:v>112.53</c:v>
                </c:pt>
                <c:pt idx="89">
                  <c:v>113.24</c:v>
                </c:pt>
                <c:pt idx="90">
                  <c:v>113.39</c:v>
                </c:pt>
                <c:pt idx="91">
                  <c:v>114.47</c:v>
                </c:pt>
                <c:pt idx="92">
                  <c:v>111.26</c:v>
                </c:pt>
                <c:pt idx="93">
                  <c:v>110.72</c:v>
                </c:pt>
                <c:pt idx="94">
                  <c:v>112.06</c:v>
                </c:pt>
                <c:pt idx="95">
                  <c:v>112.36</c:v>
                </c:pt>
                <c:pt idx="96">
                  <c:v>111.61</c:v>
                </c:pt>
                <c:pt idx="97">
                  <c:v>111.91</c:v>
                </c:pt>
                <c:pt idx="98">
                  <c:v>111.28</c:v>
                </c:pt>
                <c:pt idx="99">
                  <c:v>112.95</c:v>
                </c:pt>
                <c:pt idx="100">
                  <c:v>113.19</c:v>
                </c:pt>
                <c:pt idx="101">
                  <c:v>113.24</c:v>
                </c:pt>
                <c:pt idx="102">
                  <c:v>114.27</c:v>
                </c:pt>
                <c:pt idx="103">
                  <c:v>112.59</c:v>
                </c:pt>
                <c:pt idx="104">
                  <c:v>113.33</c:v>
                </c:pt>
                <c:pt idx="105">
                  <c:v>110.72</c:v>
                </c:pt>
                <c:pt idx="106">
                  <c:v>110.77</c:v>
                </c:pt>
                <c:pt idx="107">
                  <c:v>112.44</c:v>
                </c:pt>
                <c:pt idx="108">
                  <c:v>111.53</c:v>
                </c:pt>
                <c:pt idx="109">
                  <c:v>110.84</c:v>
                </c:pt>
                <c:pt idx="110">
                  <c:v>111.75</c:v>
                </c:pt>
                <c:pt idx="111">
                  <c:v>113.65</c:v>
                </c:pt>
                <c:pt idx="112">
                  <c:v>112.03</c:v>
                </c:pt>
                <c:pt idx="113">
                  <c:v>107.42</c:v>
                </c:pt>
                <c:pt idx="114">
                  <c:v>109.3</c:v>
                </c:pt>
                <c:pt idx="115">
                  <c:v>106.92</c:v>
                </c:pt>
                <c:pt idx="116">
                  <c:v>97.6</c:v>
                </c:pt>
                <c:pt idx="117">
                  <c:v>97.95</c:v>
                </c:pt>
                <c:pt idx="118">
                  <c:v>98.22</c:v>
                </c:pt>
                <c:pt idx="119">
                  <c:v>95.24</c:v>
                </c:pt>
                <c:pt idx="120">
                  <c:v>95.45</c:v>
                </c:pt>
                <c:pt idx="121">
                  <c:v>96.52</c:v>
                </c:pt>
                <c:pt idx="122">
                  <c:v>97.24</c:v>
                </c:pt>
                <c:pt idx="123">
                  <c:v>98.54</c:v>
                </c:pt>
                <c:pt idx="124">
                  <c:v>100.06</c:v>
                </c:pt>
                <c:pt idx="125">
                  <c:v>97.17</c:v>
                </c:pt>
                <c:pt idx="126">
                  <c:v>96.83</c:v>
                </c:pt>
                <c:pt idx="127">
                  <c:v>95.54</c:v>
                </c:pt>
                <c:pt idx="128">
                  <c:v>94.25</c:v>
                </c:pt>
                <c:pt idx="129">
                  <c:v>94.06</c:v>
                </c:pt>
                <c:pt idx="130">
                  <c:v>92.94</c:v>
                </c:pt>
                <c:pt idx="131">
                  <c:v>92.88</c:v>
                </c:pt>
                <c:pt idx="132">
                  <c:v>94.19</c:v>
                </c:pt>
                <c:pt idx="133">
                  <c:v>94.84</c:v>
                </c:pt>
                <c:pt idx="134">
                  <c:v>95.24</c:v>
                </c:pt>
                <c:pt idx="135">
                  <c:v>95.89</c:v>
                </c:pt>
                <c:pt idx="136">
                  <c:v>96.47</c:v>
                </c:pt>
                <c:pt idx="137">
                  <c:v>94.65</c:v>
                </c:pt>
                <c:pt idx="138">
                  <c:v>94.34</c:v>
                </c:pt>
                <c:pt idx="139">
                  <c:v>94.94</c:v>
                </c:pt>
                <c:pt idx="140">
                  <c:v>94.47</c:v>
                </c:pt>
                <c:pt idx="141">
                  <c:v>93.3</c:v>
                </c:pt>
                <c:pt idx="142">
                  <c:v>91.8</c:v>
                </c:pt>
                <c:pt idx="143">
                  <c:v>91.52</c:v>
                </c:pt>
                <c:pt idx="144">
                  <c:v>89.07</c:v>
                </c:pt>
                <c:pt idx="145">
                  <c:v>88.67</c:v>
                </c:pt>
                <c:pt idx="146">
                  <c:v>91.52</c:v>
                </c:pt>
                <c:pt idx="147">
                  <c:v>89.93</c:v>
                </c:pt>
                <c:pt idx="148">
                  <c:v>88.15</c:v>
                </c:pt>
                <c:pt idx="149">
                  <c:v>89.03</c:v>
                </c:pt>
                <c:pt idx="150">
                  <c:v>89.81</c:v>
                </c:pt>
                <c:pt idx="151">
                  <c:v>90.51</c:v>
                </c:pt>
                <c:pt idx="152">
                  <c:v>90.04</c:v>
                </c:pt>
                <c:pt idx="153">
                  <c:v>92.61</c:v>
                </c:pt>
                <c:pt idx="154">
                  <c:v>91.08</c:v>
                </c:pt>
                <c:pt idx="155">
                  <c:v>92.9</c:v>
                </c:pt>
                <c:pt idx="156">
                  <c:v>93.18</c:v>
                </c:pt>
                <c:pt idx="157">
                  <c:v>92.54</c:v>
                </c:pt>
                <c:pt idx="158">
                  <c:v>92.8</c:v>
                </c:pt>
                <c:pt idx="159">
                  <c:v>90.88</c:v>
                </c:pt>
                <c:pt idx="160">
                  <c:v>91.12</c:v>
                </c:pt>
                <c:pt idx="161">
                  <c:v>90.99</c:v>
                </c:pt>
                <c:pt idx="162">
                  <c:v>91.16</c:v>
                </c:pt>
                <c:pt idx="163">
                  <c:v>91.96</c:v>
                </c:pt>
                <c:pt idx="164">
                  <c:v>91.96</c:v>
                </c:pt>
                <c:pt idx="165">
                  <c:v>95.21</c:v>
                </c:pt>
                <c:pt idx="166">
                  <c:v>94.09</c:v>
                </c:pt>
                <c:pt idx="167">
                  <c:v>95.16</c:v>
                </c:pt>
                <c:pt idx="168">
                  <c:v>95.08</c:v>
                </c:pt>
                <c:pt idx="169">
                  <c:v>96.72</c:v>
                </c:pt>
                <c:pt idx="170">
                  <c:v>98.65</c:v>
                </c:pt>
                <c:pt idx="171">
                  <c:v>98.94</c:v>
                </c:pt>
                <c:pt idx="172">
                  <c:v>97.83</c:v>
                </c:pt>
                <c:pt idx="173">
                  <c:v>97.47</c:v>
                </c:pt>
                <c:pt idx="174">
                  <c:v>98.16</c:v>
                </c:pt>
                <c:pt idx="175">
                  <c:v>98.73</c:v>
                </c:pt>
                <c:pt idx="176">
                  <c:v>94.59</c:v>
                </c:pt>
                <c:pt idx="177">
                  <c:v>93.94</c:v>
                </c:pt>
                <c:pt idx="178">
                  <c:v>91.82</c:v>
                </c:pt>
                <c:pt idx="179">
                  <c:v>93.95</c:v>
                </c:pt>
                <c:pt idx="180">
                  <c:v>98.25</c:v>
                </c:pt>
                <c:pt idx="181">
                  <c:v>98.51</c:v>
                </c:pt>
                <c:pt idx="182">
                  <c:v>96.28</c:v>
                </c:pt>
                <c:pt idx="183">
                  <c:v>95.42</c:v>
                </c:pt>
                <c:pt idx="184">
                  <c:v>93.46</c:v>
                </c:pt>
                <c:pt idx="185">
                  <c:v>93.04</c:v>
                </c:pt>
                <c:pt idx="186">
                  <c:v>92.44</c:v>
                </c:pt>
                <c:pt idx="187">
                  <c:v>91.35</c:v>
                </c:pt>
                <c:pt idx="188">
                  <c:v>87.81</c:v>
                </c:pt>
                <c:pt idx="189">
                  <c:v>85.72</c:v>
                </c:pt>
                <c:pt idx="190">
                  <c:v>82.71</c:v>
                </c:pt>
                <c:pt idx="191">
                  <c:v>84.75</c:v>
                </c:pt>
                <c:pt idx="192">
                  <c:v>85.02</c:v>
                </c:pt>
                <c:pt idx="193">
                  <c:v>85.95</c:v>
                </c:pt>
                <c:pt idx="194">
                  <c:v>85.78</c:v>
                </c:pt>
                <c:pt idx="195">
                  <c:v>84.74</c:v>
                </c:pt>
                <c:pt idx="196">
                  <c:v>83.26</c:v>
                </c:pt>
                <c:pt idx="197">
                  <c:v>89.03</c:v>
                </c:pt>
                <c:pt idx="198">
                  <c:v>80.349999999999994</c:v>
                </c:pt>
                <c:pt idx="199">
                  <c:v>81.22</c:v>
                </c:pt>
                <c:pt idx="200">
                  <c:v>80.87</c:v>
                </c:pt>
                <c:pt idx="201">
                  <c:v>86.35</c:v>
                </c:pt>
                <c:pt idx="202">
                  <c:v>90.63</c:v>
                </c:pt>
                <c:pt idx="203">
                  <c:v>88.85</c:v>
                </c:pt>
                <c:pt idx="204">
                  <c:v>87.97</c:v>
                </c:pt>
                <c:pt idx="205">
                  <c:v>88.14</c:v>
                </c:pt>
                <c:pt idx="206">
                  <c:v>92.14</c:v>
                </c:pt>
                <c:pt idx="207">
                  <c:v>94.58</c:v>
                </c:pt>
                <c:pt idx="208">
                  <c:v>98.61</c:v>
                </c:pt>
                <c:pt idx="209">
                  <c:v>98.13</c:v>
                </c:pt>
                <c:pt idx="210">
                  <c:v>94.65</c:v>
                </c:pt>
                <c:pt idx="211">
                  <c:v>97.59</c:v>
                </c:pt>
                <c:pt idx="212">
                  <c:v>98.76</c:v>
                </c:pt>
                <c:pt idx="213">
                  <c:v>96.14</c:v>
                </c:pt>
                <c:pt idx="214">
                  <c:v>97.33</c:v>
                </c:pt>
                <c:pt idx="215">
                  <c:v>97.02</c:v>
                </c:pt>
                <c:pt idx="216">
                  <c:v>94.6</c:v>
                </c:pt>
                <c:pt idx="217">
                  <c:v>98.38</c:v>
                </c:pt>
                <c:pt idx="218">
                  <c:v>94.63</c:v>
                </c:pt>
                <c:pt idx="219">
                  <c:v>93.77</c:v>
                </c:pt>
                <c:pt idx="220">
                  <c:v>97.51</c:v>
                </c:pt>
                <c:pt idx="221">
                  <c:v>98.78</c:v>
                </c:pt>
                <c:pt idx="222">
                  <c:v>102.74</c:v>
                </c:pt>
                <c:pt idx="223">
                  <c:v>96.31</c:v>
                </c:pt>
                <c:pt idx="224">
                  <c:v>99.97</c:v>
                </c:pt>
                <c:pt idx="225">
                  <c:v>102.52</c:v>
                </c:pt>
                <c:pt idx="226">
                  <c:v>101.5</c:v>
                </c:pt>
                <c:pt idx="227">
                  <c:v>102.33</c:v>
                </c:pt>
                <c:pt idx="228">
                  <c:v>100.29</c:v>
                </c:pt>
                <c:pt idx="229">
                  <c:v>100.36</c:v>
                </c:pt>
                <c:pt idx="230">
                  <c:v>100.34</c:v>
                </c:pt>
                <c:pt idx="231">
                  <c:v>102.58</c:v>
                </c:pt>
                <c:pt idx="232">
                  <c:v>106.1</c:v>
                </c:pt>
                <c:pt idx="233">
                  <c:v>110.51</c:v>
                </c:pt>
                <c:pt idx="234">
                  <c:v>108.3</c:v>
                </c:pt>
                <c:pt idx="235">
                  <c:v>106.5</c:v>
                </c:pt>
                <c:pt idx="236">
                  <c:v>104.22</c:v>
                </c:pt>
                <c:pt idx="237">
                  <c:v>102.98</c:v>
                </c:pt>
                <c:pt idx="238">
                  <c:v>102.07</c:v>
                </c:pt>
                <c:pt idx="239">
                  <c:v>103.34</c:v>
                </c:pt>
                <c:pt idx="240">
                  <c:v>105.19</c:v>
                </c:pt>
                <c:pt idx="241">
                  <c:v>101.16</c:v>
                </c:pt>
                <c:pt idx="242">
                  <c:v>98.61</c:v>
                </c:pt>
                <c:pt idx="243">
                  <c:v>97.34</c:v>
                </c:pt>
                <c:pt idx="244">
                  <c:v>99.03</c:v>
                </c:pt>
                <c:pt idx="245">
                  <c:v>99.79</c:v>
                </c:pt>
                <c:pt idx="246">
                  <c:v>99.09</c:v>
                </c:pt>
                <c:pt idx="247">
                  <c:v>98.52</c:v>
                </c:pt>
                <c:pt idx="248">
                  <c:v>99.03</c:v>
                </c:pt>
                <c:pt idx="249">
                  <c:v>101.26</c:v>
                </c:pt>
                <c:pt idx="250">
                  <c:v>100.52</c:v>
                </c:pt>
                <c:pt idx="251">
                  <c:v>100.33</c:v>
                </c:pt>
                <c:pt idx="252">
                  <c:v>99.29</c:v>
                </c:pt>
                <c:pt idx="253">
                  <c:v>97.75</c:v>
                </c:pt>
                <c:pt idx="254">
                  <c:v>95.59</c:v>
                </c:pt>
                <c:pt idx="255">
                  <c:v>95.75</c:v>
                </c:pt>
                <c:pt idx="256">
                  <c:v>92.69</c:v>
                </c:pt>
                <c:pt idx="257">
                  <c:v>91.55</c:v>
                </c:pt>
                <c:pt idx="258">
                  <c:v>91.78</c:v>
                </c:pt>
                <c:pt idx="259">
                  <c:v>92.51</c:v>
                </c:pt>
                <c:pt idx="260">
                  <c:v>92.32</c:v>
                </c:pt>
                <c:pt idx="261">
                  <c:v>93.61</c:v>
                </c:pt>
                <c:pt idx="262">
                  <c:v>93.24</c:v>
                </c:pt>
                <c:pt idx="263">
                  <c:v>92.71</c:v>
                </c:pt>
                <c:pt idx="264">
                  <c:v>92.52</c:v>
                </c:pt>
                <c:pt idx="265">
                  <c:v>92.46</c:v>
                </c:pt>
                <c:pt idx="266">
                  <c:v>93.58</c:v>
                </c:pt>
                <c:pt idx="267">
                  <c:v>94.65</c:v>
                </c:pt>
                <c:pt idx="268">
                  <c:v>94.75</c:v>
                </c:pt>
                <c:pt idx="269">
                  <c:v>94.24</c:v>
                </c:pt>
                <c:pt idx="270">
                  <c:v>93.64</c:v>
                </c:pt>
                <c:pt idx="271">
                  <c:v>93.06</c:v>
                </c:pt>
                <c:pt idx="272">
                  <c:v>93.71</c:v>
                </c:pt>
                <c:pt idx="273">
                  <c:v>97.23</c:v>
                </c:pt>
                <c:pt idx="274">
                  <c:v>98.2</c:v>
                </c:pt>
                <c:pt idx="275">
                  <c:v>97.92</c:v>
                </c:pt>
                <c:pt idx="276">
                  <c:v>98.55</c:v>
                </c:pt>
                <c:pt idx="277">
                  <c:v>98.62</c:v>
                </c:pt>
                <c:pt idx="278">
                  <c:v>98.84</c:v>
                </c:pt>
                <c:pt idx="279">
                  <c:v>100.09</c:v>
                </c:pt>
                <c:pt idx="280">
                  <c:v>103</c:v>
                </c:pt>
                <c:pt idx="281">
                  <c:v>102.84</c:v>
                </c:pt>
                <c:pt idx="282">
                  <c:v>103.37</c:v>
                </c:pt>
                <c:pt idx="283">
                  <c:v>102.49</c:v>
                </c:pt>
                <c:pt idx="284">
                  <c:v>102.46</c:v>
                </c:pt>
                <c:pt idx="285">
                  <c:v>102.27</c:v>
                </c:pt>
                <c:pt idx="286">
                  <c:v>101.94</c:v>
                </c:pt>
                <c:pt idx="287">
                  <c:v>102.87</c:v>
                </c:pt>
                <c:pt idx="288">
                  <c:v>102.8</c:v>
                </c:pt>
                <c:pt idx="289">
                  <c:v>101.4</c:v>
                </c:pt>
                <c:pt idx="290">
                  <c:v>100.5</c:v>
                </c:pt>
                <c:pt idx="291">
                  <c:v>100.2</c:v>
                </c:pt>
                <c:pt idx="292">
                  <c:v>99.79</c:v>
                </c:pt>
                <c:pt idx="293">
                  <c:v>99.65</c:v>
                </c:pt>
                <c:pt idx="294">
                  <c:v>98.29</c:v>
                </c:pt>
                <c:pt idx="295">
                  <c:v>99.87</c:v>
                </c:pt>
                <c:pt idx="296">
                  <c:v>99.18</c:v>
                </c:pt>
                <c:pt idx="297">
                  <c:v>100.15</c:v>
                </c:pt>
                <c:pt idx="298">
                  <c:v>102.28</c:v>
                </c:pt>
                <c:pt idx="299">
                  <c:v>100.67</c:v>
                </c:pt>
                <c:pt idx="300">
                  <c:v>100.66</c:v>
                </c:pt>
                <c:pt idx="301">
                  <c:v>99.96</c:v>
                </c:pt>
                <c:pt idx="302">
                  <c:v>96.91</c:v>
                </c:pt>
                <c:pt idx="303">
                  <c:v>94.45</c:v>
                </c:pt>
                <c:pt idx="304">
                  <c:v>95.8</c:v>
                </c:pt>
                <c:pt idx="305">
                  <c:v>95.43</c:v>
                </c:pt>
                <c:pt idx="306">
                  <c:v>95.96</c:v>
                </c:pt>
                <c:pt idx="307">
                  <c:v>94.63</c:v>
                </c:pt>
                <c:pt idx="308">
                  <c:v>94.4</c:v>
                </c:pt>
                <c:pt idx="309">
                  <c:v>92.39</c:v>
                </c:pt>
                <c:pt idx="310">
                  <c:v>91.6</c:v>
                </c:pt>
                <c:pt idx="311">
                  <c:v>90.82</c:v>
                </c:pt>
                <c:pt idx="312">
                  <c:v>91.83</c:v>
                </c:pt>
                <c:pt idx="313">
                  <c:v>92.23</c:v>
                </c:pt>
                <c:pt idx="314">
                  <c:v>93.48</c:v>
                </c:pt>
                <c:pt idx="315">
                  <c:v>93.65</c:v>
                </c:pt>
                <c:pt idx="316">
                  <c:v>92.85</c:v>
                </c:pt>
                <c:pt idx="317">
                  <c:v>92.97</c:v>
                </c:pt>
                <c:pt idx="318">
                  <c:v>92.28</c:v>
                </c:pt>
                <c:pt idx="319">
                  <c:v>91.7</c:v>
                </c:pt>
                <c:pt idx="320">
                  <c:v>90.5</c:v>
                </c:pt>
                <c:pt idx="321">
                  <c:v>90.05</c:v>
                </c:pt>
                <c:pt idx="322">
                  <c:v>89.23</c:v>
                </c:pt>
                <c:pt idx="323">
                  <c:v>88.73</c:v>
                </c:pt>
                <c:pt idx="324">
                  <c:v>89.11</c:v>
                </c:pt>
                <c:pt idx="325">
                  <c:v>88.66</c:v>
                </c:pt>
                <c:pt idx="326">
                  <c:v>89.52</c:v>
                </c:pt>
                <c:pt idx="327">
                  <c:v>90.84</c:v>
                </c:pt>
                <c:pt idx="328">
                  <c:v>92.74</c:v>
                </c:pt>
                <c:pt idx="329">
                  <c:v>92.5</c:v>
                </c:pt>
                <c:pt idx="330">
                  <c:v>93.24</c:v>
                </c:pt>
                <c:pt idx="331">
                  <c:v>91.9</c:v>
                </c:pt>
                <c:pt idx="332">
                  <c:v>91.49</c:v>
                </c:pt>
                <c:pt idx="333">
                  <c:v>91.97</c:v>
                </c:pt>
                <c:pt idx="334">
                  <c:v>92.89</c:v>
                </c:pt>
                <c:pt idx="335">
                  <c:v>92.73</c:v>
                </c:pt>
                <c:pt idx="336">
                  <c:v>90.04</c:v>
                </c:pt>
                <c:pt idx="337">
                  <c:v>89.27</c:v>
                </c:pt>
                <c:pt idx="338">
                  <c:v>89.17</c:v>
                </c:pt>
                <c:pt idx="339">
                  <c:v>87.49</c:v>
                </c:pt>
                <c:pt idx="340">
                  <c:v>86.66</c:v>
                </c:pt>
                <c:pt idx="341">
                  <c:v>85.28</c:v>
                </c:pt>
                <c:pt idx="342">
                  <c:v>85.61</c:v>
                </c:pt>
                <c:pt idx="343">
                  <c:v>84.3</c:v>
                </c:pt>
                <c:pt idx="344">
                  <c:v>85.33</c:v>
                </c:pt>
                <c:pt idx="345">
                  <c:v>84.47</c:v>
                </c:pt>
                <c:pt idx="346">
                  <c:v>85.18</c:v>
                </c:pt>
                <c:pt idx="347">
                  <c:v>88.07</c:v>
                </c:pt>
                <c:pt idx="348">
                  <c:v>90.77</c:v>
                </c:pt>
                <c:pt idx="349">
                  <c:v>88.31</c:v>
                </c:pt>
                <c:pt idx="350">
                  <c:v>87.72</c:v>
                </c:pt>
                <c:pt idx="351">
                  <c:v>88.12</c:v>
                </c:pt>
                <c:pt idx="352">
                  <c:v>90.05</c:v>
                </c:pt>
                <c:pt idx="353">
                  <c:v>90.18</c:v>
                </c:pt>
                <c:pt idx="354">
                  <c:v>88.14</c:v>
                </c:pt>
                <c:pt idx="355">
                  <c:v>87.4</c:v>
                </c:pt>
                <c:pt idx="356">
                  <c:v>85.29</c:v>
                </c:pt>
                <c:pt idx="357">
                  <c:v>84.98</c:v>
                </c:pt>
                <c:pt idx="358">
                  <c:v>84.18</c:v>
                </c:pt>
                <c:pt idx="359">
                  <c:v>85.62</c:v>
                </c:pt>
                <c:pt idx="360">
                  <c:v>83.35</c:v>
                </c:pt>
                <c:pt idx="361">
                  <c:v>83.45</c:v>
                </c:pt>
                <c:pt idx="362">
                  <c:v>81.900000000000006</c:v>
                </c:pt>
                <c:pt idx="363">
                  <c:v>82.37</c:v>
                </c:pt>
                <c:pt idx="364">
                  <c:v>81.540000000000006</c:v>
                </c:pt>
                <c:pt idx="365">
                  <c:v>76.09</c:v>
                </c:pt>
                <c:pt idx="366">
                  <c:v>78.400000000000006</c:v>
                </c:pt>
                <c:pt idx="367">
                  <c:v>77.150000000000006</c:v>
                </c:pt>
                <c:pt idx="368">
                  <c:v>79.08</c:v>
                </c:pt>
                <c:pt idx="369">
                  <c:v>81.84</c:v>
                </c:pt>
                <c:pt idx="370">
                  <c:v>85.7</c:v>
                </c:pt>
                <c:pt idx="371">
                  <c:v>84.06</c:v>
                </c:pt>
                <c:pt idx="372">
                  <c:v>82.6</c:v>
                </c:pt>
                <c:pt idx="373">
                  <c:v>81.55</c:v>
                </c:pt>
                <c:pt idx="374">
                  <c:v>79.56</c:v>
                </c:pt>
                <c:pt idx="375">
                  <c:v>79.67</c:v>
                </c:pt>
                <c:pt idx="376">
                  <c:v>82.26</c:v>
                </c:pt>
                <c:pt idx="377">
                  <c:v>81.95</c:v>
                </c:pt>
                <c:pt idx="378">
                  <c:v>79.87</c:v>
                </c:pt>
                <c:pt idx="379">
                  <c:v>79.63</c:v>
                </c:pt>
                <c:pt idx="380">
                  <c:v>80.790000000000006</c:v>
                </c:pt>
                <c:pt idx="381">
                  <c:v>82.61</c:v>
                </c:pt>
                <c:pt idx="382">
                  <c:v>79.58</c:v>
                </c:pt>
                <c:pt idx="383">
                  <c:v>79.42</c:v>
                </c:pt>
                <c:pt idx="384">
                  <c:v>79.61</c:v>
                </c:pt>
                <c:pt idx="385">
                  <c:v>77.069999999999993</c:v>
                </c:pt>
                <c:pt idx="386">
                  <c:v>75.89</c:v>
                </c:pt>
                <c:pt idx="387">
                  <c:v>74.23</c:v>
                </c:pt>
                <c:pt idx="388">
                  <c:v>73.67</c:v>
                </c:pt>
                <c:pt idx="389">
                  <c:v>73.349999999999994</c:v>
                </c:pt>
                <c:pt idx="390">
                  <c:v>72.05</c:v>
                </c:pt>
                <c:pt idx="391">
                  <c:v>72.959999999999994</c:v>
                </c:pt>
                <c:pt idx="392">
                  <c:v>74.98</c:v>
                </c:pt>
                <c:pt idx="393">
                  <c:v>74.5</c:v>
                </c:pt>
                <c:pt idx="394">
                  <c:v>72.72</c:v>
                </c:pt>
                <c:pt idx="395">
                  <c:v>73.08</c:v>
                </c:pt>
                <c:pt idx="396">
                  <c:v>74.099999999999994</c:v>
                </c:pt>
                <c:pt idx="397">
                  <c:v>75.77</c:v>
                </c:pt>
                <c:pt idx="398">
                  <c:v>75.97</c:v>
                </c:pt>
                <c:pt idx="399">
                  <c:v>77.88</c:v>
                </c:pt>
                <c:pt idx="400">
                  <c:v>78.72</c:v>
                </c:pt>
                <c:pt idx="401">
                  <c:v>76.55</c:v>
                </c:pt>
                <c:pt idx="402">
                  <c:v>79.209999999999994</c:v>
                </c:pt>
                <c:pt idx="403">
                  <c:v>79.680000000000007</c:v>
                </c:pt>
                <c:pt idx="404">
                  <c:v>78.180000000000007</c:v>
                </c:pt>
                <c:pt idx="405">
                  <c:v>79.42</c:v>
                </c:pt>
                <c:pt idx="406">
                  <c:v>77.819999999999993</c:v>
                </c:pt>
                <c:pt idx="407">
                  <c:v>77.36</c:v>
                </c:pt>
                <c:pt idx="408">
                  <c:v>78.400000000000006</c:v>
                </c:pt>
                <c:pt idx="409">
                  <c:v>76.92</c:v>
                </c:pt>
                <c:pt idx="410">
                  <c:v>78.98</c:v>
                </c:pt>
                <c:pt idx="411">
                  <c:v>81.760000000000005</c:v>
                </c:pt>
                <c:pt idx="412">
                  <c:v>79.959999999999994</c:v>
                </c:pt>
                <c:pt idx="413">
                  <c:v>78.11</c:v>
                </c:pt>
                <c:pt idx="414">
                  <c:v>79.25</c:v>
                </c:pt>
                <c:pt idx="415">
                  <c:v>81.94</c:v>
                </c:pt>
                <c:pt idx="416">
                  <c:v>80.41</c:v>
                </c:pt>
                <c:pt idx="417">
                  <c:v>80.25</c:v>
                </c:pt>
                <c:pt idx="418">
                  <c:v>81.11</c:v>
                </c:pt>
                <c:pt idx="419">
                  <c:v>81.849999999999994</c:v>
                </c:pt>
                <c:pt idx="420">
                  <c:v>81.92</c:v>
                </c:pt>
                <c:pt idx="421">
                  <c:v>82.88</c:v>
                </c:pt>
                <c:pt idx="422">
                  <c:v>85.64</c:v>
                </c:pt>
                <c:pt idx="423">
                  <c:v>82.55</c:v>
                </c:pt>
                <c:pt idx="424">
                  <c:v>82.12</c:v>
                </c:pt>
                <c:pt idx="425">
                  <c:v>83.77</c:v>
                </c:pt>
                <c:pt idx="426">
                  <c:v>80.319999999999993</c:v>
                </c:pt>
                <c:pt idx="427">
                  <c:v>79.78</c:v>
                </c:pt>
                <c:pt idx="428">
                  <c:v>80.95</c:v>
                </c:pt>
                <c:pt idx="429">
                  <c:v>82.12</c:v>
                </c:pt>
                <c:pt idx="430">
                  <c:v>80.44</c:v>
                </c:pt>
                <c:pt idx="431">
                  <c:v>79.55</c:v>
                </c:pt>
                <c:pt idx="432">
                  <c:v>77.150000000000006</c:v>
                </c:pt>
                <c:pt idx="433">
                  <c:v>77.42</c:v>
                </c:pt>
                <c:pt idx="434">
                  <c:v>78.86</c:v>
                </c:pt>
                <c:pt idx="435">
                  <c:v>78.55</c:v>
                </c:pt>
                <c:pt idx="436">
                  <c:v>77.2</c:v>
                </c:pt>
                <c:pt idx="437">
                  <c:v>77.63</c:v>
                </c:pt>
                <c:pt idx="438">
                  <c:v>78.790000000000006</c:v>
                </c:pt>
                <c:pt idx="439">
                  <c:v>77.599999999999994</c:v>
                </c:pt>
                <c:pt idx="440">
                  <c:v>77.05</c:v>
                </c:pt>
                <c:pt idx="441">
                  <c:v>77.14</c:v>
                </c:pt>
                <c:pt idx="442">
                  <c:v>78.52</c:v>
                </c:pt>
                <c:pt idx="443">
                  <c:v>79.17</c:v>
                </c:pt>
                <c:pt idx="444">
                  <c:v>80.31</c:v>
                </c:pt>
                <c:pt idx="445">
                  <c:v>82.44</c:v>
                </c:pt>
                <c:pt idx="446">
                  <c:v>83.46</c:v>
                </c:pt>
                <c:pt idx="447">
                  <c:v>83.45</c:v>
                </c:pt>
                <c:pt idx="448">
                  <c:v>83.98</c:v>
                </c:pt>
                <c:pt idx="449">
                  <c:v>85.69</c:v>
                </c:pt>
                <c:pt idx="450">
                  <c:v>86.4</c:v>
                </c:pt>
                <c:pt idx="451">
                  <c:v>84.47</c:v>
                </c:pt>
                <c:pt idx="452">
                  <c:v>85.49</c:v>
                </c:pt>
                <c:pt idx="453">
                  <c:v>84.39</c:v>
                </c:pt>
                <c:pt idx="454">
                  <c:v>84.86</c:v>
                </c:pt>
                <c:pt idx="455">
                  <c:v>86.26</c:v>
                </c:pt>
                <c:pt idx="456">
                  <c:v>86.02</c:v>
                </c:pt>
                <c:pt idx="457">
                  <c:v>87.2</c:v>
                </c:pt>
                <c:pt idx="458">
                  <c:v>86.94</c:v>
                </c:pt>
                <c:pt idx="459">
                  <c:v>86.34</c:v>
                </c:pt>
                <c:pt idx="460">
                  <c:v>85.76</c:v>
                </c:pt>
                <c:pt idx="461">
                  <c:v>86.07</c:v>
                </c:pt>
                <c:pt idx="462">
                  <c:v>84.84</c:v>
                </c:pt>
                <c:pt idx="463">
                  <c:v>84.28</c:v>
                </c:pt>
                <c:pt idx="464">
                  <c:v>83.4</c:v>
                </c:pt>
                <c:pt idx="465">
                  <c:v>84.56</c:v>
                </c:pt>
                <c:pt idx="466">
                  <c:v>84.71</c:v>
                </c:pt>
                <c:pt idx="467">
                  <c:v>83.88</c:v>
                </c:pt>
                <c:pt idx="468">
                  <c:v>82.29</c:v>
                </c:pt>
                <c:pt idx="469">
                  <c:v>81.17</c:v>
                </c:pt>
                <c:pt idx="470">
                  <c:v>82.55</c:v>
                </c:pt>
                <c:pt idx="471">
                  <c:v>82.55</c:v>
                </c:pt>
                <c:pt idx="472">
                  <c:v>81.62</c:v>
                </c:pt>
                <c:pt idx="473">
                  <c:v>83.53</c:v>
                </c:pt>
                <c:pt idx="474">
                  <c:v>83.6</c:v>
                </c:pt>
                <c:pt idx="475">
                  <c:v>84.31</c:v>
                </c:pt>
                <c:pt idx="476">
                  <c:v>79.319999999999993</c:v>
                </c:pt>
                <c:pt idx="477">
                  <c:v>78.37</c:v>
                </c:pt>
                <c:pt idx="478">
                  <c:v>79.42</c:v>
                </c:pt>
                <c:pt idx="479">
                  <c:v>79.12</c:v>
                </c:pt>
                <c:pt idx="480">
                  <c:v>78.17</c:v>
                </c:pt>
                <c:pt idx="481">
                  <c:v>77.680000000000007</c:v>
                </c:pt>
                <c:pt idx="482">
                  <c:v>77.58</c:v>
                </c:pt>
                <c:pt idx="483">
                  <c:v>77.59</c:v>
                </c:pt>
                <c:pt idx="484">
                  <c:v>76.150000000000006</c:v>
                </c:pt>
                <c:pt idx="485">
                  <c:v>74.75</c:v>
                </c:pt>
                <c:pt idx="486">
                  <c:v>72.42</c:v>
                </c:pt>
                <c:pt idx="487">
                  <c:v>73.84</c:v>
                </c:pt>
                <c:pt idx="488">
                  <c:v>73.790000000000006</c:v>
                </c:pt>
                <c:pt idx="489">
                  <c:v>74.650000000000006</c:v>
                </c:pt>
                <c:pt idx="490">
                  <c:v>74.709999999999994</c:v>
                </c:pt>
                <c:pt idx="491">
                  <c:v>73.39</c:v>
                </c:pt>
                <c:pt idx="492">
                  <c:v>72.599999999999994</c:v>
                </c:pt>
                <c:pt idx="493">
                  <c:v>73.23</c:v>
                </c:pt>
                <c:pt idx="494">
                  <c:v>73.2</c:v>
                </c:pt>
                <c:pt idx="495">
                  <c:v>71.760000000000005</c:v>
                </c:pt>
                <c:pt idx="496">
                  <c:v>72.14</c:v>
                </c:pt>
                <c:pt idx="497">
                  <c:v>70.72</c:v>
                </c:pt>
                <c:pt idx="498">
                  <c:v>69.95</c:v>
                </c:pt>
                <c:pt idx="499">
                  <c:v>70.91</c:v>
                </c:pt>
                <c:pt idx="500">
                  <c:v>69.11</c:v>
                </c:pt>
                <c:pt idx="501">
                  <c:v>69.31</c:v>
                </c:pt>
                <c:pt idx="502">
                  <c:v>70.260000000000005</c:v>
                </c:pt>
                <c:pt idx="503">
                  <c:v>69.86</c:v>
                </c:pt>
                <c:pt idx="504">
                  <c:v>69.28</c:v>
                </c:pt>
                <c:pt idx="505">
                  <c:v>68.040000000000006</c:v>
                </c:pt>
                <c:pt idx="506">
                  <c:v>67.290000000000006</c:v>
                </c:pt>
                <c:pt idx="507">
                  <c:v>68.67</c:v>
                </c:pt>
                <c:pt idx="508">
                  <c:v>68.72</c:v>
                </c:pt>
                <c:pt idx="509">
                  <c:v>69.319999999999993</c:v>
                </c:pt>
                <c:pt idx="510">
                  <c:v>69.09</c:v>
                </c:pt>
                <c:pt idx="511">
                  <c:v>68.900000000000006</c:v>
                </c:pt>
                <c:pt idx="512">
                  <c:v>66.87</c:v>
                </c:pt>
                <c:pt idx="513">
                  <c:v>66.19</c:v>
                </c:pt>
                <c:pt idx="514">
                  <c:v>66.34</c:v>
                </c:pt>
                <c:pt idx="515">
                  <c:v>68.28</c:v>
                </c:pt>
                <c:pt idx="516">
                  <c:v>69.16</c:v>
                </c:pt>
                <c:pt idx="517">
                  <c:v>68.92</c:v>
                </c:pt>
                <c:pt idx="518">
                  <c:v>69.03</c:v>
                </c:pt>
                <c:pt idx="519">
                  <c:v>68.86</c:v>
                </c:pt>
                <c:pt idx="520">
                  <c:v>68.27</c:v>
                </c:pt>
                <c:pt idx="521">
                  <c:v>68.290000000000006</c:v>
                </c:pt>
                <c:pt idx="522">
                  <c:v>67.08</c:v>
                </c:pt>
                <c:pt idx="523">
                  <c:v>68.27</c:v>
                </c:pt>
                <c:pt idx="524">
                  <c:v>66.77</c:v>
                </c:pt>
                <c:pt idx="525">
                  <c:v>66.900000000000006</c:v>
                </c:pt>
                <c:pt idx="526">
                  <c:v>67.239999999999995</c:v>
                </c:pt>
                <c:pt idx="527">
                  <c:v>67.14</c:v>
                </c:pt>
                <c:pt idx="528">
                  <c:v>65.63</c:v>
                </c:pt>
                <c:pt idx="529">
                  <c:v>65.34</c:v>
                </c:pt>
                <c:pt idx="530">
                  <c:v>64.95</c:v>
                </c:pt>
                <c:pt idx="531">
                  <c:v>63.99</c:v>
                </c:pt>
                <c:pt idx="532">
                  <c:v>62.95</c:v>
                </c:pt>
                <c:pt idx="533">
                  <c:v>63.09</c:v>
                </c:pt>
                <c:pt idx="534">
                  <c:v>62.96</c:v>
                </c:pt>
                <c:pt idx="535">
                  <c:v>64.489999999999995</c:v>
                </c:pt>
                <c:pt idx="536">
                  <c:v>62.75</c:v>
                </c:pt>
                <c:pt idx="537">
                  <c:v>62.52</c:v>
                </c:pt>
                <c:pt idx="538">
                  <c:v>61.67</c:v>
                </c:pt>
                <c:pt idx="539">
                  <c:v>61.97</c:v>
                </c:pt>
                <c:pt idx="540">
                  <c:v>61.76</c:v>
                </c:pt>
                <c:pt idx="541">
                  <c:v>61.23</c:v>
                </c:pt>
                <c:pt idx="542">
                  <c:v>61.13</c:v>
                </c:pt>
                <c:pt idx="543">
                  <c:v>58.74</c:v>
                </c:pt>
                <c:pt idx="544">
                  <c:v>60.21</c:v>
                </c:pt>
                <c:pt idx="545">
                  <c:v>59.19</c:v>
                </c:pt>
                <c:pt idx="546">
                  <c:v>59.11</c:v>
                </c:pt>
                <c:pt idx="547">
                  <c:v>60.13</c:v>
                </c:pt>
                <c:pt idx="548">
                  <c:v>59.71</c:v>
                </c:pt>
                <c:pt idx="549">
                  <c:v>59.86</c:v>
                </c:pt>
                <c:pt idx="550">
                  <c:v>58.39</c:v>
                </c:pt>
                <c:pt idx="551">
                  <c:v>58.92</c:v>
                </c:pt>
                <c:pt idx="552">
                  <c:v>58.12</c:v>
                </c:pt>
                <c:pt idx="553">
                  <c:v>57.69</c:v>
                </c:pt>
                <c:pt idx="554">
                  <c:v>56.88</c:v>
                </c:pt>
                <c:pt idx="555">
                  <c:v>56.76</c:v>
                </c:pt>
                <c:pt idx="556">
                  <c:v>56.73</c:v>
                </c:pt>
                <c:pt idx="557">
                  <c:v>53.57</c:v>
                </c:pt>
                <c:pt idx="558">
                  <c:v>53.49</c:v>
                </c:pt>
                <c:pt idx="559">
                  <c:v>52.35</c:v>
                </c:pt>
                <c:pt idx="560">
                  <c:v>52.29</c:v>
                </c:pt>
                <c:pt idx="561">
                  <c:v>53.5</c:v>
                </c:pt>
                <c:pt idx="562">
                  <c:v>54.44</c:v>
                </c:pt>
                <c:pt idx="563">
                  <c:v>54.81</c:v>
                </c:pt>
                <c:pt idx="564">
                  <c:v>54.99</c:v>
                </c:pt>
                <c:pt idx="565">
                  <c:v>54.57</c:v>
                </c:pt>
                <c:pt idx="566">
                  <c:v>55.52</c:v>
                </c:pt>
                <c:pt idx="567">
                  <c:v>57.99</c:v>
                </c:pt>
                <c:pt idx="568">
                  <c:v>58.59</c:v>
                </c:pt>
                <c:pt idx="569">
                  <c:v>57.53</c:v>
                </c:pt>
                <c:pt idx="570">
                  <c:v>58.12</c:v>
                </c:pt>
                <c:pt idx="571">
                  <c:v>59.22</c:v>
                </c:pt>
                <c:pt idx="572">
                  <c:v>57.5</c:v>
                </c:pt>
                <c:pt idx="573">
                  <c:v>56.83</c:v>
                </c:pt>
                <c:pt idx="574">
                  <c:v>56.58</c:v>
                </c:pt>
                <c:pt idx="575">
                  <c:v>55.35</c:v>
                </c:pt>
                <c:pt idx="576">
                  <c:v>54.49</c:v>
                </c:pt>
                <c:pt idx="577">
                  <c:v>53.41</c:v>
                </c:pt>
                <c:pt idx="578">
                  <c:v>54.05</c:v>
                </c:pt>
                <c:pt idx="579">
                  <c:v>54.73</c:v>
                </c:pt>
                <c:pt idx="580">
                  <c:v>56.18</c:v>
                </c:pt>
                <c:pt idx="581">
                  <c:v>56.4</c:v>
                </c:pt>
                <c:pt idx="582">
                  <c:v>55.81</c:v>
                </c:pt>
                <c:pt idx="583">
                  <c:v>56.35</c:v>
                </c:pt>
                <c:pt idx="584">
                  <c:v>54.58</c:v>
                </c:pt>
                <c:pt idx="585">
                  <c:v>53.47</c:v>
                </c:pt>
                <c:pt idx="586">
                  <c:v>54.99</c:v>
                </c:pt>
                <c:pt idx="587">
                  <c:v>53.65</c:v>
                </c:pt>
                <c:pt idx="588">
                  <c:v>53.51</c:v>
                </c:pt>
                <c:pt idx="589">
                  <c:v>54.77</c:v>
                </c:pt>
                <c:pt idx="590">
                  <c:v>55.71</c:v>
                </c:pt>
                <c:pt idx="591">
                  <c:v>53.97</c:v>
                </c:pt>
                <c:pt idx="592">
                  <c:v>53.51</c:v>
                </c:pt>
                <c:pt idx="593">
                  <c:v>54.55</c:v>
                </c:pt>
                <c:pt idx="594">
                  <c:v>54.76</c:v>
                </c:pt>
                <c:pt idx="595">
                  <c:v>55.02</c:v>
                </c:pt>
                <c:pt idx="596">
                  <c:v>55.11</c:v>
                </c:pt>
                <c:pt idx="597">
                  <c:v>55.43</c:v>
                </c:pt>
                <c:pt idx="598">
                  <c:v>57.17</c:v>
                </c:pt>
                <c:pt idx="599">
                  <c:v>57.57</c:v>
                </c:pt>
                <c:pt idx="600">
                  <c:v>57.35</c:v>
                </c:pt>
                <c:pt idx="601">
                  <c:v>57.8</c:v>
                </c:pt>
                <c:pt idx="602">
                  <c:v>57.48</c:v>
                </c:pt>
                <c:pt idx="603">
                  <c:v>57.3</c:v>
                </c:pt>
                <c:pt idx="604">
                  <c:v>56.85</c:v>
                </c:pt>
                <c:pt idx="605">
                  <c:v>57.88</c:v>
                </c:pt>
                <c:pt idx="606">
                  <c:v>57.21</c:v>
                </c:pt>
                <c:pt idx="607">
                  <c:v>56.56</c:v>
                </c:pt>
                <c:pt idx="608">
                  <c:v>56.44</c:v>
                </c:pt>
                <c:pt idx="609">
                  <c:v>56.32</c:v>
                </c:pt>
                <c:pt idx="610">
                  <c:v>57.47</c:v>
                </c:pt>
                <c:pt idx="611">
                  <c:v>57.55</c:v>
                </c:pt>
                <c:pt idx="612">
                  <c:v>58.19</c:v>
                </c:pt>
                <c:pt idx="613">
                  <c:v>58.1</c:v>
                </c:pt>
                <c:pt idx="614">
                  <c:v>58.4</c:v>
                </c:pt>
                <c:pt idx="615">
                  <c:v>58.73</c:v>
                </c:pt>
                <c:pt idx="616">
                  <c:v>59.78</c:v>
                </c:pt>
                <c:pt idx="617">
                  <c:v>60.04</c:v>
                </c:pt>
                <c:pt idx="618">
                  <c:v>59.3</c:v>
                </c:pt>
                <c:pt idx="619">
                  <c:v>59.11</c:v>
                </c:pt>
                <c:pt idx="620">
                  <c:v>58.69</c:v>
                </c:pt>
                <c:pt idx="621">
                  <c:v>59.81</c:v>
                </c:pt>
                <c:pt idx="622">
                  <c:v>60.3</c:v>
                </c:pt>
                <c:pt idx="623">
                  <c:v>60.08</c:v>
                </c:pt>
                <c:pt idx="624">
                  <c:v>59.37</c:v>
                </c:pt>
                <c:pt idx="625">
                  <c:v>59.41</c:v>
                </c:pt>
                <c:pt idx="626">
                  <c:v>59.5</c:v>
                </c:pt>
                <c:pt idx="627">
                  <c:v>59.02</c:v>
                </c:pt>
                <c:pt idx="628">
                  <c:v>58.91</c:v>
                </c:pt>
                <c:pt idx="629">
                  <c:v>58.7</c:v>
                </c:pt>
                <c:pt idx="630">
                  <c:v>58.17</c:v>
                </c:pt>
                <c:pt idx="631">
                  <c:v>58.04</c:v>
                </c:pt>
                <c:pt idx="632">
                  <c:v>57.54</c:v>
                </c:pt>
                <c:pt idx="633">
                  <c:v>57.36</c:v>
                </c:pt>
                <c:pt idx="634">
                  <c:v>57.18</c:v>
                </c:pt>
                <c:pt idx="635">
                  <c:v>56.45</c:v>
                </c:pt>
                <c:pt idx="636">
                  <c:v>55.4</c:v>
                </c:pt>
                <c:pt idx="637">
                  <c:v>54</c:v>
                </c:pt>
                <c:pt idx="638">
                  <c:v>53.55</c:v>
                </c:pt>
                <c:pt idx="639">
                  <c:v>53.36</c:v>
                </c:pt>
                <c:pt idx="640">
                  <c:v>54.77</c:v>
                </c:pt>
                <c:pt idx="641">
                  <c:v>55.88</c:v>
                </c:pt>
                <c:pt idx="642">
                  <c:v>55.73</c:v>
                </c:pt>
                <c:pt idx="643">
                  <c:v>54.93</c:v>
                </c:pt>
                <c:pt idx="644">
                  <c:v>55.06</c:v>
                </c:pt>
                <c:pt idx="645">
                  <c:v>54.57</c:v>
                </c:pt>
                <c:pt idx="646">
                  <c:v>53.04</c:v>
                </c:pt>
                <c:pt idx="647">
                  <c:v>53.44</c:v>
                </c:pt>
                <c:pt idx="648">
                  <c:v>53.46</c:v>
                </c:pt>
                <c:pt idx="649">
                  <c:v>53.79</c:v>
                </c:pt>
                <c:pt idx="650">
                  <c:v>52.85</c:v>
                </c:pt>
                <c:pt idx="651">
                  <c:v>53.14</c:v>
                </c:pt>
                <c:pt idx="652">
                  <c:v>52.73</c:v>
                </c:pt>
                <c:pt idx="653">
                  <c:v>52.06</c:v>
                </c:pt>
                <c:pt idx="654">
                  <c:v>50.05</c:v>
                </c:pt>
                <c:pt idx="655">
                  <c:v>49.66</c:v>
                </c:pt>
                <c:pt idx="656">
                  <c:v>48.69</c:v>
                </c:pt>
                <c:pt idx="657">
                  <c:v>49.53</c:v>
                </c:pt>
                <c:pt idx="658">
                  <c:v>48.58</c:v>
                </c:pt>
                <c:pt idx="659">
                  <c:v>48.17</c:v>
                </c:pt>
                <c:pt idx="660">
                  <c:v>48.35</c:v>
                </c:pt>
                <c:pt idx="661">
                  <c:v>49.06</c:v>
                </c:pt>
                <c:pt idx="662">
                  <c:v>48.29</c:v>
                </c:pt>
                <c:pt idx="663">
                  <c:v>47.54</c:v>
                </c:pt>
                <c:pt idx="664">
                  <c:v>48.37</c:v>
                </c:pt>
                <c:pt idx="665">
                  <c:v>48.81</c:v>
                </c:pt>
                <c:pt idx="666">
                  <c:v>48.4</c:v>
                </c:pt>
                <c:pt idx="667">
                  <c:v>48.25</c:v>
                </c:pt>
                <c:pt idx="668">
                  <c:v>48.74</c:v>
                </c:pt>
                <c:pt idx="669">
                  <c:v>50.11</c:v>
                </c:pt>
                <c:pt idx="670">
                  <c:v>50.23</c:v>
                </c:pt>
                <c:pt idx="671">
                  <c:v>50.04</c:v>
                </c:pt>
                <c:pt idx="672">
                  <c:v>49.68</c:v>
                </c:pt>
                <c:pt idx="673">
                  <c:v>49.13</c:v>
                </c:pt>
                <c:pt idx="674">
                  <c:v>49.51</c:v>
                </c:pt>
                <c:pt idx="675">
                  <c:v>48.98</c:v>
                </c:pt>
                <c:pt idx="676">
                  <c:v>49.72</c:v>
                </c:pt>
                <c:pt idx="677">
                  <c:v>49.39</c:v>
                </c:pt>
                <c:pt idx="678">
                  <c:v>49.35</c:v>
                </c:pt>
                <c:pt idx="679">
                  <c:v>49.28</c:v>
                </c:pt>
                <c:pt idx="680">
                  <c:v>49.5</c:v>
                </c:pt>
                <c:pt idx="681">
                  <c:v>48.46</c:v>
                </c:pt>
                <c:pt idx="682">
                  <c:v>47.67</c:v>
                </c:pt>
                <c:pt idx="683">
                  <c:v>47.98</c:v>
                </c:pt>
                <c:pt idx="684">
                  <c:v>48.29</c:v>
                </c:pt>
                <c:pt idx="685">
                  <c:v>48.5</c:v>
                </c:pt>
                <c:pt idx="686">
                  <c:v>48.6</c:v>
                </c:pt>
                <c:pt idx="687">
                  <c:v>48.27</c:v>
                </c:pt>
                <c:pt idx="688">
                  <c:v>49.55</c:v>
                </c:pt>
                <c:pt idx="689">
                  <c:v>49.82</c:v>
                </c:pt>
                <c:pt idx="690">
                  <c:v>49.43</c:v>
                </c:pt>
                <c:pt idx="691">
                  <c:v>49.88</c:v>
                </c:pt>
                <c:pt idx="692">
                  <c:v>49.99</c:v>
                </c:pt>
                <c:pt idx="693">
                  <c:v>49.96</c:v>
                </c:pt>
                <c:pt idx="694">
                  <c:v>49.61</c:v>
                </c:pt>
                <c:pt idx="695">
                  <c:v>49.24</c:v>
                </c:pt>
                <c:pt idx="696">
                  <c:v>49.29</c:v>
                </c:pt>
                <c:pt idx="697">
                  <c:v>48.56</c:v>
                </c:pt>
                <c:pt idx="698">
                  <c:v>47.74</c:v>
                </c:pt>
                <c:pt idx="699">
                  <c:v>48.05</c:v>
                </c:pt>
                <c:pt idx="700">
                  <c:v>47.77</c:v>
                </c:pt>
                <c:pt idx="701">
                  <c:v>47.1</c:v>
                </c:pt>
                <c:pt idx="702">
                  <c:v>50.24</c:v>
                </c:pt>
                <c:pt idx="703">
                  <c:v>50.91</c:v>
                </c:pt>
                <c:pt idx="704">
                  <c:v>50.87</c:v>
                </c:pt>
                <c:pt idx="705">
                  <c:v>50.08</c:v>
                </c:pt>
                <c:pt idx="706">
                  <c:v>49.59</c:v>
                </c:pt>
                <c:pt idx="707">
                  <c:v>49.19</c:v>
                </c:pt>
                <c:pt idx="708">
                  <c:v>48.32</c:v>
                </c:pt>
                <c:pt idx="709">
                  <c:v>48.1</c:v>
                </c:pt>
                <c:pt idx="710">
                  <c:v>49.4</c:v>
                </c:pt>
                <c:pt idx="711">
                  <c:v>50.26</c:v>
                </c:pt>
                <c:pt idx="712">
                  <c:v>50.45</c:v>
                </c:pt>
                <c:pt idx="713">
                  <c:v>49.32</c:v>
                </c:pt>
                <c:pt idx="714">
                  <c:v>48.12</c:v>
                </c:pt>
                <c:pt idx="715">
                  <c:v>48.87</c:v>
                </c:pt>
                <c:pt idx="716">
                  <c:v>48.18</c:v>
                </c:pt>
                <c:pt idx="717">
                  <c:v>50.26</c:v>
                </c:pt>
                <c:pt idx="718">
                  <c:v>48.9</c:v>
                </c:pt>
                <c:pt idx="719">
                  <c:v>50.17</c:v>
                </c:pt>
                <c:pt idx="720">
                  <c:v>50.86</c:v>
                </c:pt>
                <c:pt idx="721">
                  <c:v>51.79</c:v>
                </c:pt>
                <c:pt idx="722">
                  <c:v>51.4</c:v>
                </c:pt>
                <c:pt idx="723">
                  <c:v>51.68</c:v>
                </c:pt>
                <c:pt idx="724">
                  <c:v>51.66</c:v>
                </c:pt>
                <c:pt idx="725">
                  <c:v>51.82</c:v>
                </c:pt>
                <c:pt idx="726">
                  <c:v>47.46</c:v>
                </c:pt>
                <c:pt idx="727">
                  <c:v>47.31</c:v>
                </c:pt>
                <c:pt idx="728">
                  <c:v>47.06</c:v>
                </c:pt>
                <c:pt idx="729">
                  <c:v>46.31</c:v>
                </c:pt>
                <c:pt idx="730">
                  <c:v>46.93</c:v>
                </c:pt>
                <c:pt idx="731">
                  <c:v>46.34</c:v>
                </c:pt>
                <c:pt idx="732">
                  <c:v>46.85</c:v>
                </c:pt>
                <c:pt idx="733">
                  <c:v>47.24</c:v>
                </c:pt>
                <c:pt idx="734">
                  <c:v>47.34</c:v>
                </c:pt>
                <c:pt idx="735">
                  <c:v>48.18</c:v>
                </c:pt>
                <c:pt idx="736">
                  <c:v>47.22</c:v>
                </c:pt>
                <c:pt idx="737">
                  <c:v>47.24</c:v>
                </c:pt>
                <c:pt idx="738">
                  <c:v>46.27</c:v>
                </c:pt>
                <c:pt idx="739">
                  <c:v>46.83</c:v>
                </c:pt>
                <c:pt idx="740">
                  <c:v>46.94</c:v>
                </c:pt>
                <c:pt idx="741">
                  <c:v>47.28</c:v>
                </c:pt>
                <c:pt idx="742">
                  <c:v>46.55</c:v>
                </c:pt>
                <c:pt idx="743">
                  <c:v>47.4</c:v>
                </c:pt>
                <c:pt idx="744">
                  <c:v>48.63</c:v>
                </c:pt>
                <c:pt idx="745">
                  <c:v>48.05</c:v>
                </c:pt>
                <c:pt idx="746">
                  <c:v>47.08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14-4000-A493-ABD7152003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70517391"/>
        <c:axId val="1549873663"/>
      </c:lineChart>
      <c:dateAx>
        <c:axId val="1570517391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9873663"/>
        <c:crosses val="autoZero"/>
        <c:auto val="1"/>
        <c:lblOffset val="100"/>
        <c:baseTimeUnit val="days"/>
      </c:dateAx>
      <c:valAx>
        <c:axId val="1549873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_);\(&quot;$&quot;#,##0.00\);\-\-_);@_)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5173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ysClr val="window" lastClr="FFFFFF"/>
    </a:solidFill>
    <a:ln w="9525" cap="flat" cmpd="sng" algn="ctr">
      <a:solidFill>
        <a:sysClr val="windowText" lastClr="000000">
          <a:lumMod val="15000"/>
          <a:lumOff val="85000"/>
        </a:sys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53</xdr:col>
      <xdr:colOff>466725</xdr:colOff>
      <xdr:row>3</xdr:row>
      <xdr:rowOff>95250</xdr:rowOff>
    </xdr:from>
    <xdr:to>
      <xdr:col>62</xdr:col>
      <xdr:colOff>600075</xdr:colOff>
      <xdr:row>17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959B97D-8CDC-42F6-ABBE-1E7B90DF1D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44</xdr:col>
      <xdr:colOff>66675</xdr:colOff>
      <xdr:row>20</xdr:row>
      <xdr:rowOff>83240</xdr:rowOff>
    </xdr:from>
    <xdr:to>
      <xdr:col>53</xdr:col>
      <xdr:colOff>200522</xdr:colOff>
      <xdr:row>34</xdr:row>
      <xdr:rowOff>159440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5DD7F8D-6720-4DBC-BC45-795B737291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53</xdr:col>
      <xdr:colOff>500187</xdr:colOff>
      <xdr:row>20</xdr:row>
      <xdr:rowOff>83240</xdr:rowOff>
    </xdr:from>
    <xdr:to>
      <xdr:col>62</xdr:col>
      <xdr:colOff>600075</xdr:colOff>
      <xdr:row>34</xdr:row>
      <xdr:rowOff>159440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BDF0F04-3A49-498B-96A9-98175F0D96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44</xdr:col>
      <xdr:colOff>66675</xdr:colOff>
      <xdr:row>3</xdr:row>
      <xdr:rowOff>95250</xdr:rowOff>
    </xdr:from>
    <xdr:to>
      <xdr:col>53</xdr:col>
      <xdr:colOff>203835</xdr:colOff>
      <xdr:row>17</xdr:row>
      <xdr:rowOff>171450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0517763-1D50-4DEE-B064-77BF92AA97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59A9466-094A-4317-BE43-2D451F4480AC}">
  <we:reference id="wa200004041" version="3.1.1.0" store="en-US" storeType="OMEX"/>
  <we:alternateReferences>
    <we:reference id="wa200004041" version="3.1.1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_xldudf_TEGUS_CD</we:customFunctionIds>
        <we:customFunctionIds>_xldudf_TEGUS_FX</we:customFunctionIds>
        <we:customFunctionIds>_xldudf_TEGUS_P</we:customFunctionIds>
        <we:customFunctionIds>_xldudf_TEGUS_MD</we:customFunctionIds>
        <we:customFunctionIds>_xldudf_TEGUS_CE</we:customFunctionIds>
      </we:customFunctionIdList>
    </a:ext>
    <a:ext xmlns:a="http://schemas.openxmlformats.org/drawingml/2006/main" uri="{0858819E-0033-43BF-8937-05EC82904868}">
      <we:backgroundApp state="1" runtimeId="Taskpane.Url"/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4826D-AD97-4EBD-9B45-D390216E086C}">
  <dimension ref="A1:B34"/>
  <sheetViews>
    <sheetView showGridLines="0" workbookViewId="0"/>
  </sheetViews>
  <sheetFormatPr defaultRowHeight="15" x14ac:dyDescent="0.25"/>
  <sheetData>
    <row r="1" spans="1:2" x14ac:dyDescent="0.25">
      <c r="B1" t="s">
        <v>29</v>
      </c>
    </row>
    <row r="2" spans="1:2" x14ac:dyDescent="0.25"/>
    <row r="3" spans="1:2" x14ac:dyDescent="0.25"/>
    <row r="4" spans="1:2" x14ac:dyDescent="0.25"/>
    <row r="5" spans="1:2" x14ac:dyDescent="0.25"/>
    <row r="6" spans="1:2" x14ac:dyDescent="0.25"/>
    <row r="7" spans="1:2" x14ac:dyDescent="0.25"/>
    <row r="8" spans="1:2" x14ac:dyDescent="0.25"/>
    <row r="9" spans="1:2" x14ac:dyDescent="0.25"/>
    <row r="10" spans="1:2" x14ac:dyDescent="0.25"/>
    <row r="11" spans="1:2" x14ac:dyDescent="0.25"/>
    <row r="12" spans="1:2" x14ac:dyDescent="0.25"/>
    <row r="13" spans="1:2" x14ac:dyDescent="0.25"/>
    <row r="14" spans="1:2" x14ac:dyDescent="0.25"/>
    <row r="15" spans="1:2" x14ac:dyDescent="0.25"/>
    <row r="16" spans="1:2" x14ac:dyDescent="0.25"/>
    <row r="17" spans="1:1" x14ac:dyDescent="0.25"/>
    <row r="18" spans="1:1" x14ac:dyDescent="0.25"/>
    <row r="19" spans="1:1" x14ac:dyDescent="0.25"/>
    <row r="20" spans="1:1" x14ac:dyDescent="0.25"/>
    <row r="21" spans="1:1" x14ac:dyDescent="0.25"/>
    <row r="22" spans="1:1" x14ac:dyDescent="0.25"/>
    <row r="23" spans="1:1" x14ac:dyDescent="0.25"/>
    <row r="24" spans="1:1" x14ac:dyDescent="0.25"/>
    <row r="25" spans="1:1" x14ac:dyDescent="0.25"/>
    <row r="26" spans="1:1" x14ac:dyDescent="0.25"/>
    <row r="27" spans="1:1" x14ac:dyDescent="0.25"/>
    <row r="28" spans="1:1" x14ac:dyDescent="0.25"/>
    <row r="29" spans="1:1" x14ac:dyDescent="0.25"/>
    <row r="30" spans="1:1" x14ac:dyDescent="0.25"/>
    <row r="31" spans="1:1" x14ac:dyDescent="0.25"/>
    <row r="32" spans="1:1" x14ac:dyDescent="0.25"/>
    <row r="33" spans="1:1" x14ac:dyDescent="0.25"/>
    <row r="34" spans="1:1" x14ac:dyDescent="0.25"/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F2A09-68E9-4D7D-B4BB-062A85CFE772}">
  <dimension ref="A1:AN801"/>
  <sheetViews>
    <sheetView showGridLines="0" tabSelected="1" zoomScale="85" zoomScaleNormal="85" workbookViewId="0">
      <selection activeCell="V32" sqref="V32"/>
    </sheetView>
  </sheetViews>
  <sheetFormatPr defaultRowHeight="15" x14ac:dyDescent="0.25"/>
  <cols>
    <col min="1" max="3" width="2.7109375" customWidth="1"/>
    <col min="4" max="4" width="18.5703125" bestFit="1" customWidth="1"/>
    <col min="5" max="5" width="15.28515625" bestFit="1" customWidth="1"/>
    <col min="6" max="6" width="12.7109375" customWidth="1"/>
    <col min="33" max="37" width="10.7109375" bestFit="1" customWidth="1"/>
    <col min="38" max="38" width="9.7109375" bestFit="1" customWidth="1"/>
    <col min="40" max="40" width="10.7109375" bestFit="1" customWidth="1"/>
  </cols>
  <sheetData>
    <row r="1" spans="1:40" ht="15.75" customHeight="1" thickBot="1" x14ac:dyDescent="0.3">
      <c r="E1" s="5" t="s">
        <v>2</v>
      </c>
      <c r="F1" s="26">
        <v>46044</v>
      </c>
      <c r="AN1" s="2" t="s">
        <v>26</v>
      </c>
    </row>
    <row r="2" spans="1:40" ht="15.75" thickBot="1" x14ac:dyDescent="0.3">
      <c r="A2" s="1"/>
      <c r="B2" s="2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N2" s="21">
        <v>43831</v>
      </c>
    </row>
    <row r="3" spans="1:40" x14ac:dyDescent="0.25">
      <c r="D3" t="inlineStr">
        <is>
          <t>Ticker (base symbol):</t>
        </is>
      </c>
      <c r="E3" t="inlineStr">
        <is>
          <t>CRH</t>
        </is>
      </c>
      <c r="AN3" s="21">
        <v>43850</v>
      </c>
    </row>
    <row r="4" spans="1:40" x14ac:dyDescent="0.25">
      <c r="C4" s="3"/>
      <c r="D4" s="3" t="s">
        <v>4</v>
      </c>
      <c r="E4" s="4">
        <f>+EOMONTH(E5, -36)</f>
        <v>44957</v>
      </c>
      <c r="AN4" s="21">
        <v>43878</v>
      </c>
    </row>
    <row r="5" spans="1:40" x14ac:dyDescent="0.25">
      <c r="C5" s="3"/>
      <c r="D5" s="3" t="s">
        <v>5</v>
      </c>
      <c r="E5" s="4">
        <f>+$F$1</f>
        <v>46044</v>
      </c>
      <c r="AN5" s="21">
        <v>43931</v>
      </c>
    </row>
    <row r="6" spans="1:40" x14ac:dyDescent="0.25">
      <c r="C6" s="3"/>
      <c r="D6" s="3" t="s">
        <v>6</v>
      </c>
      <c r="E6" s="10" t="str" cm="1">
        <f>=$E$3&amp;" US Equity"</f>
        <v>CRH US Equity</v>
      </c>
      <c r="AN6" s="21">
        <v>43976</v>
      </c>
    </row>
    <row r="7" spans="1:40" x14ac:dyDescent="0.25">
      <c r="C7" s="3"/>
      <c r="D7" s="3" t="s">
        <v>7</v>
      </c>
      <c r="E7" s="10" t="str" cm="1">
        <f>=$E$3&amp;"-US"</f>
        <v>CRH-US</v>
      </c>
      <c r="AN7" s="21">
        <v>44015</v>
      </c>
    </row>
    <row r="8" spans="1:40" x14ac:dyDescent="0.25">
      <c r="C8" s="3"/>
      <c r="D8" s="3" t="s">
        <v>8</v>
      </c>
      <c r="E8" s="11" t="str" cm="1">
        <f>="SPX Index"</f>
        <v>SPX Index</v>
      </c>
      <c r="AN8" s="21">
        <v>44081</v>
      </c>
    </row>
    <row r="9" spans="1:40" x14ac:dyDescent="0.25">
      <c r="C9" s="3"/>
      <c r="D9" s="3" t="s">
        <v>9</v>
      </c>
      <c r="E9" s="10" t="s">
        <v>10</v>
      </c>
      <c r="AN9" s="21">
        <v>44161</v>
      </c>
    </row>
    <row r="10" spans="1:40" x14ac:dyDescent="0.25">
      <c r="AN10" s="21">
        <v>44190</v>
      </c>
    </row>
    <row r="11" spans="1:40" x14ac:dyDescent="0.25">
      <c r="AN11" s="21">
        <v>44197</v>
      </c>
    </row>
    <row r="12" spans="1:40" x14ac:dyDescent="0.25">
      <c r="E12" s="8"/>
      <c r="AN12" s="21">
        <v>44214</v>
      </c>
    </row>
    <row r="14" spans="1:40" x14ac:dyDescent="0.25">
      <c r="AN14" s="21">
        <v>44242</v>
      </c>
    </row>
    <row r="15" spans="1:40" x14ac:dyDescent="0.25">
      <c r="AN15" s="21">
        <v>44288</v>
      </c>
    </row>
    <row r="16" spans="1:40" x14ac:dyDescent="0.25">
      <c r="AN16" s="21">
        <v>44347</v>
      </c>
    </row>
    <row r="17" spans="4:40" x14ac:dyDescent="0.25">
      <c r="D17" s="24"/>
      <c r="AN17" s="21">
        <v>44382</v>
      </c>
    </row>
    <row r="18" spans="4:40" ht="15.75" thickBot="1" x14ac:dyDescent="0.3">
      <c r="E18" s="16"/>
      <c r="G18" s="12" t="s">
        <v>12</v>
      </c>
      <c r="H18" s="13"/>
      <c r="I18" s="14"/>
      <c r="J18" s="14"/>
      <c r="K18" s="12" t="s">
        <v>13</v>
      </c>
      <c r="L18" s="13"/>
      <c r="M18" s="14"/>
      <c r="N18" s="14"/>
      <c r="O18" s="12" t="s">
        <v>24</v>
      </c>
      <c r="P18" s="13"/>
      <c r="Q18" s="14"/>
      <c r="R18" s="14"/>
      <c r="S18" s="12" t="s">
        <v>23</v>
      </c>
      <c r="T18" s="13"/>
      <c r="U18" s="14"/>
      <c r="V18" s="12"/>
      <c r="W18" s="14"/>
      <c r="X18" s="12" t="s">
        <v>21</v>
      </c>
      <c r="Y18" s="13"/>
      <c r="Z18" s="14"/>
      <c r="AA18" s="14"/>
      <c r="AB18" s="12" t="s">
        <v>22</v>
      </c>
      <c r="AC18" s="13"/>
      <c r="AD18" s="13"/>
      <c r="AE18" s="14"/>
      <c r="AF18" s="14"/>
      <c r="AG18" s="12" t="s">
        <v>1</v>
      </c>
      <c r="AH18" s="13"/>
      <c r="AI18" s="14"/>
      <c r="AJ18" s="13"/>
      <c r="AK18" s="13"/>
      <c r="AL18" s="12"/>
      <c r="AN18" s="21">
        <v>44445</v>
      </c>
    </row>
    <row r="19" spans="4:40" ht="15.75" thickBot="1" x14ac:dyDescent="0.3">
      <c r="D19" s="25" t="s">
        <v>1</v>
      </c>
      <c r="E19" s="25" t="s">
        <v>3</v>
      </c>
      <c r="F19" s="3" t="s">
        <v>11</v>
      </c>
      <c r="G19" s="15" t="s">
        <v>14</v>
      </c>
      <c r="H19" s="15" t="s">
        <v>15</v>
      </c>
      <c r="I19" s="15" t="s">
        <v>16</v>
      </c>
      <c r="J19" s="15" t="s">
        <v>28</v>
      </c>
      <c r="K19" s="15" t="s">
        <v>14</v>
      </c>
      <c r="L19" s="15" t="s">
        <v>15</v>
      </c>
      <c r="M19" s="15" t="s">
        <v>16</v>
      </c>
      <c r="N19" s="15" t="s">
        <v>28</v>
      </c>
      <c r="O19" s="15" t="s">
        <v>14</v>
      </c>
      <c r="P19" s="15" t="s">
        <v>15</v>
      </c>
      <c r="Q19" s="15" t="s">
        <v>16</v>
      </c>
      <c r="R19" s="15" t="s">
        <v>28</v>
      </c>
      <c r="S19" s="15" t="s">
        <v>17</v>
      </c>
      <c r="T19" s="15" t="s">
        <v>18</v>
      </c>
      <c r="U19" s="15" t="s">
        <v>19</v>
      </c>
      <c r="V19" s="15" t="s">
        <v>20</v>
      </c>
      <c r="W19" s="15" t="s">
        <v>27</v>
      </c>
      <c r="X19" s="15" t="s">
        <v>14</v>
      </c>
      <c r="Y19" s="15" t="s">
        <v>15</v>
      </c>
      <c r="Z19" s="15" t="s">
        <v>16</v>
      </c>
      <c r="AA19" s="15" t="s">
        <v>28</v>
      </c>
      <c r="AB19" s="15" t="s">
        <v>17</v>
      </c>
      <c r="AC19" s="15" t="s">
        <v>18</v>
      </c>
      <c r="AD19" s="15" t="s">
        <v>19</v>
      </c>
      <c r="AE19" s="15" t="s">
        <v>20</v>
      </c>
      <c r="AF19" s="15" t="s">
        <v>28</v>
      </c>
      <c r="AG19" s="15" t="s">
        <v>17</v>
      </c>
      <c r="AH19" s="15" t="s">
        <v>18</v>
      </c>
      <c r="AI19" s="15" t="s">
        <v>19</v>
      </c>
      <c r="AJ19" s="15" t="s">
        <v>20</v>
      </c>
      <c r="AK19" s="15" t="s">
        <v>27</v>
      </c>
      <c r="AL19" s="15" t="s">
        <v>25</v>
      </c>
      <c r="AN19" s="21">
        <v>44525</v>
      </c>
    </row>
    <row r="20" spans="4:40" ht="3.95" customHeight="1" x14ac:dyDescent="0.25">
      <c r="D20" s="17"/>
      <c r="E20" s="17"/>
      <c r="F20" s="17"/>
      <c r="G20" s="17"/>
      <c r="H20" s="17"/>
      <c r="I20" s="17"/>
      <c r="J20" s="19"/>
      <c r="K20" s="19"/>
      <c r="L20" s="17"/>
      <c r="M20" s="17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7"/>
      <c r="Y20" s="17"/>
      <c r="Z20" s="18"/>
      <c r="AA20" s="19"/>
      <c r="AB20" s="19"/>
      <c r="AC20" s="17"/>
      <c r="AD20" s="17"/>
      <c r="AE20" s="19"/>
      <c r="AF20" s="19"/>
      <c r="AG20" s="19"/>
      <c r="AH20" s="19"/>
      <c r="AI20" s="19"/>
      <c r="AJ20" s="19"/>
      <c r="AK20" s="19"/>
      <c r="AL20" s="19"/>
      <c r="AN20" s="21">
        <v>44554</v>
      </c>
    </row>
    <row r="21" spans="4:40" x14ac:dyDescent="0.25">
      <c r="D21" s="6">
        <v>46044</v>
      </c>
      <c r="E21" s="28" cm="1">
        <f t="array" aca="1" ref="E21" ca="1">_xll.FDS($E$7,"P_PRICE("&amp;D21&amp;",0,D,D)")</f>
        <v>124.49</v>
      </c>
      <c r="F21" s="29" cm="1">
        <f t="array" aca="1" ref="F21" ca="1">_xll.FDS($E$7,"P_BETA_LOCIDX("&amp;$AG21&amp;","&amp;$AL21&amp;",,"""&amp;$E$9&amp;""")")</f>
        <v>1.1968359</v>
      </c>
      <c r="G21" s="30">
        <f ca="1">+O21-K21</f>
        <v>2.3620153872698606E-2</v>
      </c>
      <c r="H21" s="30">
        <f t="shared" ref="H21:J36" ca="1" si="0">+P21-L21</f>
        <v>1.4413022366781212E-2</v>
      </c>
      <c r="I21" s="30">
        <f t="shared" ca="1" si="0"/>
        <v>-1.9771758970412008E-2</v>
      </c>
      <c r="J21" s="30">
        <f t="shared" ca="1" si="0"/>
        <v>1.4510070132975394E-2</v>
      </c>
      <c r="K21" s="30">
        <f ca="1">+X21*$F21</f>
        <v>-2.2894458572749131E-3</v>
      </c>
      <c r="L21" s="30">
        <f t="shared" ref="L21:N36" ca="1" si="1">+Y21*$F21</f>
        <v>-1.3108088251144714E-3</v>
      </c>
      <c r="M21" s="30">
        <f t="shared" ca="1" si="1"/>
        <v>6.0655317481017124E-3</v>
      </c>
      <c r="N21" s="30">
        <f ca="1">+AA21*$F21</f>
        <v>2.1439002014815245E-2</v>
      </c>
      <c r="O21" s="30">
        <f ca="1">+S21/T21-1</f>
        <v>2.1330708015423694E-2</v>
      </c>
      <c r="P21" s="30">
        <f ca="1">+S21/U21-1</f>
        <v>1.3102213541666741E-2</v>
      </c>
      <c r="Q21" s="30">
        <f ca="1">+S21/V21-1</f>
        <v>-1.3706227222310297E-2</v>
      </c>
      <c r="R21" s="30">
        <f ca="1">+S21/W21-1</f>
        <v>3.5949072147790639E-2</v>
      </c>
      <c r="S21" s="9" cm="1">
        <f t="array" aca="1" ref="S21" ca="1">_xll.FDS($E$7,"P_PRICE("&amp;AG21&amp;",0,D,D)")</f>
        <v>124.49</v>
      </c>
      <c r="T21" s="9" cm="1">
        <f t="array" aca="1" ref="T21" ca="1">_xll.FDS($E$7,"P_PRICE("&amp;AH21&amp;",0,D,D)")</f>
        <v>121.89</v>
      </c>
      <c r="U21" s="9" cm="1">
        <f t="array" aca="1" ref="U21" ca="1">_xll.FDS($E$7,"P_PRICE("&amp;AI21&amp;",0,D,D)")</f>
        <v>122.88</v>
      </c>
      <c r="V21" s="9" cm="1">
        <f t="array" aca="1" ref="V21" ca="1">_xll.FDS($E$7,"P_PRICE("&amp;AJ21&amp;",0,D,D)")</f>
        <v>126.22</v>
      </c>
      <c r="W21" s="9" cm="1">
        <f t="array" aca="1" ref="W21" ca="1">_xll.FDS($E$7,"P_PRICE("&amp;AK21&amp;",0,D,D)")</f>
        <v>120.17</v>
      </c>
      <c r="X21" s="24">
        <f ca="1">+AB21/AC21-1</f>
        <v>-1.9129154274825089E-3</v>
      </c>
      <c r="Y21" s="24">
        <f ca="1">+AB21/AD21-1</f>
        <v>-1.0952285314256294E-3</v>
      </c>
      <c r="Z21" s="24">
        <f ca="1">+AB21/AE21-1</f>
        <v>5.0679727672788832E-3</v>
      </c>
      <c r="AA21" s="24">
        <f ca="1">+AB21/AF21-1</f>
        <v>1.7913067292529616E-2</v>
      </c>
      <c r="AB21" s="9" cm="1">
        <f t="array" aca="1" ref="AB21" ca="1">_xll.FDS($E$9,"P_PRICE("&amp;AG21&amp;",0,D,D)")</f>
        <v>6913.35</v>
      </c>
      <c r="AC21" s="9" cm="1">
        <f t="array" aca="1" ref="AC21" ca="1">_xll.FDS($E$9,"P_PRICE("&amp;AH21&amp;",0,D,D)")</f>
        <v>6926.6</v>
      </c>
      <c r="AD21" s="9" cm="1">
        <f t="array" aca="1" ref="AD21" ca="1">_xll.FDS($E$9,"P_PRICE("&amp;AI21&amp;",0,D,D)")</f>
        <v>6920.93</v>
      </c>
      <c r="AE21" s="9" cm="1">
        <f t="array" aca="1" ref="AE21" ca="1">_xll.FDS($E$9,"P_PRICE("&amp;AJ21&amp;",0,D,D)")</f>
        <v>6878.49</v>
      </c>
      <c r="AF21" s="9" cm="1">
        <f t="array" aca="1" ref="AF21" ca="1">_xll.FDS($E$9,"P_PRICE("&amp;AK21&amp;",0,D,D)")</f>
        <v>6791.69</v>
      </c>
      <c r="AG21" s="20">
        <f ca="1">+WORKDAY(D21, 0, $AN$2:$AN$100)</f>
        <v>46044</v>
      </c>
      <c r="AH21" s="22">
        <f ca="1">+WORKDAY($AG21, -5, $AN$2:$AN$100)</f>
        <v>46036</v>
      </c>
      <c r="AI21" s="22">
        <f ca="1">+WORKDAY($AG21, -10, $AN$2:$AN$100)</f>
        <v>46029</v>
      </c>
      <c r="AJ21" s="22">
        <f ca="1">+WORKDAY($AG21, -20, $AN$2:$AN$100)</f>
        <v>46013</v>
      </c>
      <c r="AK21" s="22">
        <f ca="1">+WORKDAY($AG21, -60, $AN$2:$AN$100)</f>
        <v>45954</v>
      </c>
      <c r="AL21" s="22">
        <f ca="1">+WORKDAY($AG21, -120, $AN$2:$AN$100)</f>
        <v>45869</v>
      </c>
      <c r="AN21" s="21">
        <v>44578</v>
      </c>
    </row>
    <row r="22" spans="4:40" x14ac:dyDescent="0.25">
      <c r="D22" s="6">
        <f ca="1"/>
        <v>46043</v>
      </c>
      <c r="E22" s="28" cm="1">
        <f t="array" aca="1" ref="E22" ca="1">_xll.FDS($E$7,"P_PRICE("&amp;D22&amp;",0,D,D)")</f>
        <v>121</v>
      </c>
      <c r="F22" s="29" cm="1">
        <f t="array" aca="1" ref="F22" ca="1">_xll.FDS($E$7,"P_BETA_LOCIDX("&amp;$AG22&amp;","&amp;$AL22&amp;",,"""&amp;$E$9&amp;""")")</f>
        <v>1.1830719000000001</v>
      </c>
      <c r="G22" s="30">
        <f t="shared" ref="G22:J85" ca="1" si="2">+O22-K22</f>
        <v>-3.5115622267929206E-2</v>
      </c>
      <c r="H22" s="30">
        <f t="shared" ca="1" si="0"/>
        <v>-4.928085728757927E-2</v>
      </c>
      <c r="I22" s="30">
        <f t="shared" ca="1" si="0"/>
        <v>-3.4605534225637065E-2</v>
      </c>
      <c r="J22" s="30">
        <f t="shared" ca="1" si="0"/>
        <v>2.4699050720695288E-3</v>
      </c>
      <c r="K22" s="30">
        <f t="shared" ref="K22:N85" ca="1" si="3">+X22*$F22</f>
        <v>-1.4970733517908438E-2</v>
      </c>
      <c r="L22" s="30">
        <f t="shared" ca="1" si="1"/>
        <v>-1.1788437350428095E-2</v>
      </c>
      <c r="M22" s="30">
        <f t="shared" ca="1" si="1"/>
        <v>7.1179920298486471E-3</v>
      </c>
      <c r="N22" s="30">
        <f t="shared" ca="1" si="1"/>
        <v>2.4084773811446063E-2</v>
      </c>
      <c r="O22" s="30">
        <f t="shared" ref="O22:O85" ca="1" si="4">+S22/T22-1</f>
        <v>-5.0086355785837644E-2</v>
      </c>
      <c r="P22" s="30">
        <f t="shared" ref="P22:P85" ca="1" si="5">+S22/U22-1</f>
        <v>-6.1069294638007365E-2</v>
      </c>
      <c r="Q22" s="30">
        <f t="shared" ref="Q22:Q85" ca="1" si="6">+S22/V22-1</f>
        <v>-2.7487542195788417E-2</v>
      </c>
      <c r="R22" s="30">
        <f t="shared" ref="R22:R85" ca="1" si="7">+S22/W22-1</f>
        <v>2.6554678883515592E-2</v>
      </c>
      <c r="S22" s="9" cm="1">
        <f t="array" aca="1" ref="S22" ca="1">_xll.FDS($E$7,"P_PRICE("&amp;AG22&amp;",0,D,D)")</f>
        <v>121</v>
      </c>
      <c r="T22" s="9" cm="1">
        <f t="array" aca="1" ref="T22" ca="1">_xll.FDS($E$7,"P_PRICE("&amp;AH22&amp;",0,D,D)")</f>
        <v>127.38</v>
      </c>
      <c r="U22" s="9" cm="1">
        <f t="array" aca="1" ref="U22" ca="1">_xll.FDS($E$7,"P_PRICE("&amp;AI22&amp;",0,D,D)")</f>
        <v>128.87</v>
      </c>
      <c r="V22" s="9" cm="1">
        <f t="array" aca="1" ref="V22" ca="1">_xll.FDS($E$7,"P_PRICE("&amp;AJ22&amp;",0,D,D)")</f>
        <v>124.42</v>
      </c>
      <c r="W22" s="9" cm="1">
        <f t="array" aca="1" ref="W22" ca="1">_xll.FDS($E$7,"P_PRICE("&amp;AK22&amp;",0,D,D)")</f>
        <v>117.87</v>
      </c>
      <c r="X22" s="24">
        <f t="shared" ref="X22:X85" ca="1" si="8">+AB22/AC22-1</f>
        <v>-1.2654119768974681E-2</v>
      </c>
      <c r="Y22" s="24">
        <f t="shared" ref="Y22:Y85" ca="1" si="9">+AB22/AD22-1</f>
        <v>-9.9642611327579456E-3</v>
      </c>
      <c r="Z22" s="24">
        <f t="shared" ref="Z22:Z85" ca="1" si="10">+AB22/AE22-1</f>
        <v>6.0165337625284199E-3</v>
      </c>
      <c r="AA22" s="24">
        <f t="shared" ref="AA22:AA85" ca="1" si="11">+AB22/AF22-1</f>
        <v>2.0357827627759617E-2</v>
      </c>
      <c r="AB22" s="9" cm="1">
        <f t="array" aca="1" ref="AB22" ca="1">_xll.FDS($E$9,"P_PRICE("&amp;AG22&amp;",0,D,D)")</f>
        <v>6875.62</v>
      </c>
      <c r="AC22" s="9" cm="1">
        <f t="array" aca="1" ref="AC22" ca="1">_xll.FDS($E$9,"P_PRICE("&amp;AH22&amp;",0,D,D)")</f>
        <v>6963.74</v>
      </c>
      <c r="AD22" s="9" cm="1">
        <f t="array" aca="1" ref="AD22" ca="1">_xll.FDS($E$9,"P_PRICE("&amp;AI22&amp;",0,D,D)")</f>
        <v>6944.82</v>
      </c>
      <c r="AE22" s="9" cm="1">
        <f t="array" aca="1" ref="AE22" ca="1">_xll.FDS($E$9,"P_PRICE("&amp;AJ22&amp;",0,D,D)")</f>
        <v>6834.5</v>
      </c>
      <c r="AF22" s="9" cm="1">
        <f t="array" aca="1" ref="AF22" ca="1">_xll.FDS($E$9,"P_PRICE("&amp;AK22&amp;",0,D,D)")</f>
        <v>6738.44</v>
      </c>
      <c r="AG22" s="20">
        <f ca="1">+WORKDAY(D22, 0, $AN$2:$AN$59)</f>
        <v>46043</v>
      </c>
      <c r="AH22" s="22">
        <f t="shared" ref="AH22:AH85" ca="1" si="12">+WORKDAY($AG22, -5, $AN$2:$AN$100)</f>
        <v>46035</v>
      </c>
      <c r="AI22" s="22">
        <f t="shared" ref="AI22:AI85" ca="1" si="13">+WORKDAY($AG22, -10, $AN$2:$AN$100)</f>
        <v>46028</v>
      </c>
      <c r="AJ22" s="22">
        <f t="shared" ref="AJ22:AJ85" ca="1" si="14">+WORKDAY($AG22, -20, $AN$2:$AN$100)</f>
        <v>46010</v>
      </c>
      <c r="AK22" s="22">
        <f t="shared" ref="AK22:AK85" ca="1" si="15">+WORKDAY($AG22, -60, $AN$2:$AN$100)</f>
        <v>45953</v>
      </c>
      <c r="AL22" s="22">
        <f t="shared" ref="AL22:AL85" ca="1" si="16">+WORKDAY($AG22, -120, $AN$2:$AN$100)</f>
        <v>45868</v>
      </c>
      <c r="AN22" s="21">
        <v>44613</v>
      </c>
    </row>
    <row r="23" spans="4:40" x14ac:dyDescent="0.25">
      <c r="D23" s="6">
        <f ca="1"/>
        <v>46042</v>
      </c>
      <c r="E23" s="28" cm="1">
        <f t="array" aca="1" ref="E23" ca="1">_xll.FDS($E$7,"P_PRICE("&amp;D23&amp;",0,D,D)")</f>
        <v>120.86</v>
      </c>
      <c r="F23" s="29" cm="1">
        <f t="array" aca="1" ref="F23" ca="1">_xll.FDS($E$7,"P_BETA_LOCIDX("&amp;$AG23&amp;","&amp;$AL23&amp;",,"""&amp;$E$9&amp;""")")</f>
        <v>1.2137986000000001</v>
      </c>
      <c r="G23" s="30">
        <f t="shared" ca="1" si="2"/>
        <v>-4.8688101085369674E-2</v>
      </c>
      <c r="H23" s="30">
        <f t="shared" ca="1" si="0"/>
        <v>-3.9563729183502344E-2</v>
      </c>
      <c r="I23" s="30">
        <f t="shared" ca="1" si="0"/>
        <v>-5.3578163083393214E-2</v>
      </c>
      <c r="J23" s="30">
        <f t="shared" ca="1" si="0"/>
        <v>1.5510241088514516E-2</v>
      </c>
      <c r="K23" s="30">
        <f t="shared" ca="1" si="3"/>
        <v>-3.1384969397199945E-2</v>
      </c>
      <c r="L23" s="30">
        <f t="shared" ca="1" si="1"/>
        <v>-1.8498775687513156E-2</v>
      </c>
      <c r="M23" s="30">
        <f t="shared" ca="1" si="1"/>
        <v>3.9595423395070942E-3</v>
      </c>
      <c r="N23" s="30">
        <f t="shared" ca="1" si="1"/>
        <v>1.765782182822339E-2</v>
      </c>
      <c r="O23" s="30">
        <f t="shared" ca="1" si="4"/>
        <v>-8.0073070482569619E-2</v>
      </c>
      <c r="P23" s="30">
        <f t="shared" ca="1" si="5"/>
        <v>-5.8062504871015497E-2</v>
      </c>
      <c r="Q23" s="30">
        <f t="shared" ca="1" si="6"/>
        <v>-4.9618620743886122E-2</v>
      </c>
      <c r="R23" s="30">
        <f t="shared" ca="1" si="7"/>
        <v>3.3168062916737906E-2</v>
      </c>
      <c r="S23" s="9" cm="1">
        <f t="array" aca="1" ref="S23" ca="1">_xll.FDS($E$7,"P_PRICE("&amp;AG23&amp;",0,D,D)")</f>
        <v>120.86</v>
      </c>
      <c r="T23" s="9" cm="1">
        <f t="array" aca="1" ref="T23" ca="1">_xll.FDS($E$7,"P_PRICE("&amp;AH23&amp;",0,D,D)")</f>
        <v>131.38</v>
      </c>
      <c r="U23" s="9" cm="1">
        <f t="array" aca="1" ref="U23" ca="1">_xll.FDS($E$7,"P_PRICE("&amp;AI23&amp;",0,D,D)")</f>
        <v>128.31</v>
      </c>
      <c r="V23" s="9" cm="1">
        <f t="array" aca="1" ref="V23" ca="1">_xll.FDS($E$7,"P_PRICE("&amp;AJ23&amp;",0,D,D)")</f>
        <v>127.17</v>
      </c>
      <c r="W23" s="9" cm="1">
        <f t="array" aca="1" ref="W23" ca="1">_xll.FDS($E$7,"P_PRICE("&amp;AK23&amp;",0,D,D)")</f>
        <v>116.98</v>
      </c>
      <c r="X23" s="24">
        <f t="shared" ca="1" si="8"/>
        <v>-2.5856817924489239E-2</v>
      </c>
      <c r="Y23" s="24">
        <f t="shared" ca="1" si="9"/>
        <v>-1.5240399591425757E-2</v>
      </c>
      <c r="Z23" s="24">
        <f t="shared" ca="1" si="10"/>
        <v>3.2621081780017658E-3</v>
      </c>
      <c r="AA23" s="24">
        <f t="shared" ca="1" si="11"/>
        <v>1.4547571424306627E-2</v>
      </c>
      <c r="AB23" s="9" cm="1">
        <f t="array" aca="1" ref="AB23" ca="1">_xll.FDS($E$9,"P_PRICE("&amp;AG23&amp;",0,D,D)")</f>
        <v>6796.86</v>
      </c>
      <c r="AC23" s="9" cm="1">
        <f t="array" aca="1" ref="AC23" ca="1">_xll.FDS($E$9,"P_PRICE("&amp;AH23&amp;",0,D,D)")</f>
        <v>6977.27</v>
      </c>
      <c r="AD23" s="9" cm="1">
        <f t="array" aca="1" ref="AD23" ca="1">_xll.FDS($E$9,"P_PRICE("&amp;AI23&amp;",0,D,D)")</f>
        <v>6902.05</v>
      </c>
      <c r="AE23" s="9" cm="1">
        <f t="array" aca="1" ref="AE23" ca="1">_xll.FDS($E$9,"P_PRICE("&amp;AJ23&amp;",0,D,D)")</f>
        <v>6774.76</v>
      </c>
      <c r="AF23" s="9" cm="1">
        <f t="array" aca="1" ref="AF23" ca="1">_xll.FDS($E$9,"P_PRICE("&amp;AK23&amp;",0,D,D)")</f>
        <v>6699.4</v>
      </c>
      <c r="AG23" s="20">
        <f t="shared" ref="AG23:AG86" ca="1" si="17">+WORKDAY(D23, 0, $AN$2:$AN$59)</f>
        <v>46042</v>
      </c>
      <c r="AH23" s="22">
        <f t="shared" ca="1" si="12"/>
        <v>46034</v>
      </c>
      <c r="AI23" s="22">
        <f t="shared" ca="1" si="13"/>
        <v>46027</v>
      </c>
      <c r="AJ23" s="22">
        <f t="shared" ca="1" si="14"/>
        <v>46009</v>
      </c>
      <c r="AK23" s="22">
        <f t="shared" ca="1" si="15"/>
        <v>45952</v>
      </c>
      <c r="AL23" s="22">
        <f t="shared" ca="1" si="16"/>
        <v>45867</v>
      </c>
      <c r="AN23" s="21">
        <v>44666</v>
      </c>
    </row>
    <row r="24" spans="4:40" x14ac:dyDescent="0.25">
      <c r="D24" s="6">
        <f ca="1"/>
        <v>46038</v>
      </c>
      <c r="E24" s="28" cm="1">
        <f t="array" aca="1" ref="E24" ca="1">_xll.FDS($E$7,"P_PRICE("&amp;D24&amp;",0,D,D)")</f>
        <v>122.97</v>
      </c>
      <c r="F24" s="29" cm="1">
        <f t="array" aca="1" ref="F24" ca="1">_xll.FDS($E$7,"P_BETA_LOCIDX("&amp;$AG24&amp;","&amp;$AL24&amp;",,"""&amp;$E$9&amp;""")")</f>
        <v>1.2400990000000001</v>
      </c>
      <c r="G24" s="30">
        <f t="shared" ca="1" si="2"/>
        <v>-5.9336345857793703E-2</v>
      </c>
      <c r="H24" s="30">
        <f t="shared" ca="1" si="0"/>
        <v>-4.2187320641164004E-2</v>
      </c>
      <c r="I24" s="30">
        <f t="shared" ca="1" si="0"/>
        <v>-4.0977994985060363E-2</v>
      </c>
      <c r="J24" s="30">
        <f t="shared" ca="1" si="0"/>
        <v>2.2338487289183667E-3</v>
      </c>
      <c r="K24" s="30">
        <f t="shared" ca="1" si="3"/>
        <v>-4.6764414766560002E-3</v>
      </c>
      <c r="L24" s="30">
        <f t="shared" ca="1" si="1"/>
        <v>1.4743473757266553E-2</v>
      </c>
      <c r="M24" s="30">
        <f t="shared" ca="1" si="1"/>
        <v>4.0327852766450102E-2</v>
      </c>
      <c r="N24" s="30">
        <f t="shared" ca="1" si="1"/>
        <v>3.7681584674887067E-2</v>
      </c>
      <c r="O24" s="30">
        <f t="shared" ca="1" si="4"/>
        <v>-6.4012787334449706E-2</v>
      </c>
      <c r="P24" s="30">
        <f t="shared" ca="1" si="5"/>
        <v>-2.7443846883897449E-2</v>
      </c>
      <c r="Q24" s="30">
        <f t="shared" ca="1" si="6"/>
        <v>-6.5014221861026122E-4</v>
      </c>
      <c r="R24" s="30">
        <f t="shared" ca="1" si="7"/>
        <v>3.9915433403805434E-2</v>
      </c>
      <c r="S24" s="9" cm="1">
        <f t="array" aca="1" ref="S24" ca="1">_xll.FDS($E$7,"P_PRICE("&amp;AG24&amp;",0,D,D)")</f>
        <v>122.97</v>
      </c>
      <c r="T24" s="9" cm="1">
        <f t="array" aca="1" ref="T24" ca="1">_xll.FDS($E$7,"P_PRICE("&amp;AH24&amp;",0,D,D)")</f>
        <v>131.38</v>
      </c>
      <c r="U24" s="9" cm="1">
        <f t="array" aca="1" ref="U24" ca="1">_xll.FDS($E$7,"P_PRICE("&amp;AI24&amp;",0,D,D)")</f>
        <v>126.44</v>
      </c>
      <c r="V24" s="9" cm="1">
        <f t="array" aca="1" ref="V24" ca="1">_xll.FDS($E$7,"P_PRICE("&amp;AJ24&amp;",0,D,D)")</f>
        <v>123.05</v>
      </c>
      <c r="W24" s="9" cm="1">
        <f t="array" aca="1" ref="W24" ca="1">_xll.FDS($E$7,"P_PRICE("&amp;AK24&amp;",0,D,D)")</f>
        <v>118.25</v>
      </c>
      <c r="X24" s="24">
        <f t="shared" ca="1" si="8"/>
        <v>-3.7710226979104089E-3</v>
      </c>
      <c r="Y24" s="24">
        <f t="shared" ca="1" si="9"/>
        <v>1.1888948992996973E-2</v>
      </c>
      <c r="Z24" s="24">
        <f t="shared" ca="1" si="10"/>
        <v>3.2519865564321959E-2</v>
      </c>
      <c r="AA24" s="24">
        <f t="shared" ca="1" si="11"/>
        <v>3.0385948762870596E-2</v>
      </c>
      <c r="AB24" s="9" cm="1">
        <f t="array" aca="1" ref="AB24" ca="1">_xll.FDS($E$9,"P_PRICE("&amp;AG24&amp;",0,D,D)")</f>
        <v>6940.01</v>
      </c>
      <c r="AC24" s="9" cm="1">
        <f t="array" aca="1" ref="AC24" ca="1">_xll.FDS($E$9,"P_PRICE("&amp;AH24&amp;",0,D,D)")</f>
        <v>6966.28</v>
      </c>
      <c r="AD24" s="9" cm="1">
        <f t="array" aca="1" ref="AD24" ca="1">_xll.FDS($E$9,"P_PRICE("&amp;AI24&amp;",0,D,D)")</f>
        <v>6858.47</v>
      </c>
      <c r="AE24" s="9" cm="1">
        <f t="array" aca="1" ref="AE24" ca="1">_xll.FDS($E$9,"P_PRICE("&amp;AJ24&amp;",0,D,D)")</f>
        <v>6721.43</v>
      </c>
      <c r="AF24" s="9" cm="1">
        <f t="array" aca="1" ref="AF24" ca="1">_xll.FDS($E$9,"P_PRICE("&amp;AK24&amp;",0,D,D)")</f>
        <v>6735.35</v>
      </c>
      <c r="AG24" s="20">
        <f t="shared" ca="1" si="17"/>
        <v>46038</v>
      </c>
      <c r="AH24" s="22">
        <f t="shared" ca="1" si="12"/>
        <v>46031</v>
      </c>
      <c r="AI24" s="22">
        <f t="shared" ca="1" si="13"/>
        <v>46024</v>
      </c>
      <c r="AJ24" s="22">
        <f t="shared" ca="1" si="14"/>
        <v>46008</v>
      </c>
      <c r="AK24" s="22">
        <f t="shared" ca="1" si="15"/>
        <v>45951</v>
      </c>
      <c r="AL24" s="22">
        <f t="shared" ca="1" si="16"/>
        <v>45866</v>
      </c>
      <c r="AN24" s="21">
        <v>44711</v>
      </c>
    </row>
    <row r="25" spans="4:40" x14ac:dyDescent="0.25">
      <c r="D25" s="6">
        <f ca="1"/>
        <v>46037</v>
      </c>
      <c r="E25" s="28" cm="1">
        <f t="array" aca="1" ref="E25" ca="1">_xll.FDS($E$7,"P_PRICE("&amp;D25&amp;",0,D,D)")</f>
        <v>122.56</v>
      </c>
      <c r="F25" s="29" cm="1">
        <f t="array" aca="1" ref="F25" ca="1">_xll.FDS($E$7,"P_BETA_LOCIDX("&amp;$AG25&amp;","&amp;$AL25&amp;",,"""&amp;$E$9&amp;""")")</f>
        <v>1.2542275000000001</v>
      </c>
      <c r="G25" s="30">
        <f ca="1">+O25-K25</f>
        <v>-2.0936555422140613E-2</v>
      </c>
      <c r="H25" s="30">
        <f t="shared" ca="1" si="0"/>
        <v>-3.6081928915776593E-2</v>
      </c>
      <c r="I25" s="30">
        <f t="shared" ca="1" si="0"/>
        <v>-6.0950176220949663E-2</v>
      </c>
      <c r="J25" s="30">
        <f t="shared" ca="1" si="0"/>
        <v>4.7019448502352221E-3</v>
      </c>
      <c r="K25" s="30">
        <f t="shared" ca="1" si="3"/>
        <v>4.1696079692725039E-3</v>
      </c>
      <c r="L25" s="30">
        <f t="shared" ca="1" si="1"/>
        <v>1.8133210967058708E-2</v>
      </c>
      <c r="M25" s="30">
        <f t="shared" ca="1" si="1"/>
        <v>2.6597828285242146E-2</v>
      </c>
      <c r="N25" s="30">
        <f t="shared" ca="1" si="1"/>
        <v>3.8983655081639153E-2</v>
      </c>
      <c r="O25" s="30">
        <f t="shared" ca="1" si="4"/>
        <v>-1.6766947452868108E-2</v>
      </c>
      <c r="P25" s="30">
        <f t="shared" ca="1" si="5"/>
        <v>-1.7948717948717885E-2</v>
      </c>
      <c r="Q25" s="30">
        <f t="shared" ca="1" si="6"/>
        <v>-3.4352347935707517E-2</v>
      </c>
      <c r="R25" s="30">
        <f t="shared" ca="1" si="7"/>
        <v>4.3685599931874375E-2</v>
      </c>
      <c r="S25" s="9" cm="1">
        <f t="array" aca="1" ref="S25" ca="1">_xll.FDS($E$7,"P_PRICE("&amp;AG25&amp;",0,D,D)")</f>
        <v>122.56</v>
      </c>
      <c r="T25" s="9" cm="1">
        <f t="array" aca="1" ref="T25" ca="1">_xll.FDS($E$7,"P_PRICE("&amp;AH25&amp;",0,D,D)")</f>
        <v>124.65</v>
      </c>
      <c r="U25" s="9" cm="1">
        <f t="array" aca="1" ref="U25" ca="1">_xll.FDS($E$7,"P_PRICE("&amp;AI25&amp;",0,D,D)")</f>
        <v>124.8</v>
      </c>
      <c r="V25" s="9" cm="1">
        <f t="array" aca="1" ref="V25" ca="1">_xll.FDS($E$7,"P_PRICE("&amp;AJ25&amp;",0,D,D)")</f>
        <v>126.92</v>
      </c>
      <c r="W25" s="9" cm="1">
        <f t="array" aca="1" ref="W25" ca="1">_xll.FDS($E$7,"P_PRICE("&amp;AK25&amp;",0,D,D)")</f>
        <v>117.43</v>
      </c>
      <c r="X25" s="24">
        <f t="shared" ca="1" si="8"/>
        <v>3.3244431088239601E-3</v>
      </c>
      <c r="Y25" s="24">
        <f t="shared" ca="1" si="9"/>
        <v>1.445767292381861E-2</v>
      </c>
      <c r="Z25" s="24">
        <f t="shared" ca="1" si="10"/>
        <v>2.120654210280204E-2</v>
      </c>
      <c r="AA25" s="24">
        <f t="shared" ca="1" si="11"/>
        <v>3.108180539945038E-2</v>
      </c>
      <c r="AB25" s="9" cm="1">
        <f t="array" aca="1" ref="AB25" ca="1">_xll.FDS($E$9,"P_PRICE("&amp;AG25&amp;",0,D,D)")</f>
        <v>6944.47</v>
      </c>
      <c r="AC25" s="9" cm="1">
        <f t="array" aca="1" ref="AC25" ca="1">_xll.FDS($E$9,"P_PRICE("&amp;AH25&amp;",0,D,D)")</f>
        <v>6921.46</v>
      </c>
      <c r="AD25" s="9" cm="1">
        <f t="array" aca="1" ref="AD25" ca="1">_xll.FDS($E$9,"P_PRICE("&amp;AI25&amp;",0,D,D)")</f>
        <v>6845.5</v>
      </c>
      <c r="AE25" s="9" cm="1">
        <f t="array" aca="1" ref="AE25" ca="1">_xll.FDS($E$9,"P_PRICE("&amp;AJ25&amp;",0,D,D)")</f>
        <v>6800.26</v>
      </c>
      <c r="AF25" s="9" cm="1">
        <f t="array" aca="1" ref="AF25" ca="1">_xll.FDS($E$9,"P_PRICE("&amp;AK25&amp;",0,D,D)")</f>
        <v>6735.13</v>
      </c>
      <c r="AG25" s="20">
        <f t="shared" ca="1" si="17"/>
        <v>46037</v>
      </c>
      <c r="AH25" s="22">
        <f t="shared" ca="1" si="12"/>
        <v>46030</v>
      </c>
      <c r="AI25" s="22">
        <f t="shared" ca="1" si="13"/>
        <v>46022</v>
      </c>
      <c r="AJ25" s="22">
        <f t="shared" ca="1" si="14"/>
        <v>46007</v>
      </c>
      <c r="AK25" s="22">
        <f t="shared" ca="1" si="15"/>
        <v>45950</v>
      </c>
      <c r="AL25" s="22">
        <f t="shared" ca="1" si="16"/>
        <v>45863</v>
      </c>
      <c r="AN25" s="21">
        <v>44732</v>
      </c>
    </row>
    <row r="26" spans="4:40" x14ac:dyDescent="0.25">
      <c r="D26" s="6">
        <f ca="1"/>
        <v>46036</v>
      </c>
      <c r="E26" s="28" cm="1">
        <f t="array" aca="1" ref="E26" ca="1">_xll.FDS($E$7,"P_PRICE("&amp;D26&amp;",0,D,D)")</f>
        <v>121.89</v>
      </c>
      <c r="F26" s="29" cm="1">
        <f t="array" aca="1" ref="F26" ca="1">_xll.FDS($E$7,"P_BETA_LOCIDX("&amp;$AG26&amp;","&amp;$AL26&amp;",,"""&amp;$E$9&amp;""")")</f>
        <v>1.2538670000000001</v>
      </c>
      <c r="G26" s="30">
        <f t="shared" ca="1" si="2"/>
        <v>-9.083876255182529E-3</v>
      </c>
      <c r="H26" s="30">
        <f t="shared" ca="1" si="0"/>
        <v>-3.6678118353326156E-2</v>
      </c>
      <c r="I26" s="30">
        <f t="shared" ca="1" si="0"/>
        <v>-6.2447647601557105E-2</v>
      </c>
      <c r="J26" s="30">
        <f t="shared" ca="1" si="0"/>
        <v>-1.1692662472556445E-2</v>
      </c>
      <c r="K26" s="30">
        <f t="shared" ca="1" si="3"/>
        <v>1.027235630182529E-3</v>
      </c>
      <c r="L26" s="30">
        <f t="shared" ca="1" si="1"/>
        <v>5.5200228124311617E-3</v>
      </c>
      <c r="M26" s="30">
        <f t="shared" ca="1" si="1"/>
        <v>2.0250570751014916E-2</v>
      </c>
      <c r="N26" s="30">
        <f t="shared" ca="1" si="1"/>
        <v>4.9407629269764095E-2</v>
      </c>
      <c r="O26" s="30">
        <f t="shared" ca="1" si="4"/>
        <v>-8.056640625E-3</v>
      </c>
      <c r="P26" s="30">
        <f t="shared" ca="1" si="5"/>
        <v>-3.1158095540894992E-2</v>
      </c>
      <c r="Q26" s="30">
        <f t="shared" ca="1" si="6"/>
        <v>-4.2197076850542192E-2</v>
      </c>
      <c r="R26" s="30">
        <f t="shared" ca="1" si="7"/>
        <v>3.771496679720765E-2</v>
      </c>
      <c r="S26" s="9" cm="1">
        <f t="array" aca="1" ref="S26" ca="1">_xll.FDS($E$7,"P_PRICE("&amp;AG26&amp;",0,D,D)")</f>
        <v>121.89</v>
      </c>
      <c r="T26" s="9" cm="1">
        <f t="array" aca="1" ref="T26" ca="1">_xll.FDS($E$7,"P_PRICE("&amp;AH26&amp;",0,D,D)")</f>
        <v>122.88</v>
      </c>
      <c r="U26" s="9" cm="1">
        <f t="array" aca="1" ref="U26" ca="1">_xll.FDS($E$7,"P_PRICE("&amp;AI26&amp;",0,D,D)")</f>
        <v>125.81</v>
      </c>
      <c r="V26" s="9" cm="1">
        <f t="array" aca="1" ref="V26" ca="1">_xll.FDS($E$7,"P_PRICE("&amp;AJ26&amp;",0,D,D)")</f>
        <v>127.26</v>
      </c>
      <c r="W26" s="9" cm="1">
        <f t="array" aca="1" ref="W26" ca="1">_xll.FDS($E$7,"P_PRICE("&amp;AK26&amp;",0,D,D)")</f>
        <v>117.46</v>
      </c>
      <c r="X26" s="24">
        <f t="shared" ca="1" si="8"/>
        <v>8.192540597866671E-4</v>
      </c>
      <c r="Y26" s="24">
        <f t="shared" ca="1" si="9"/>
        <v>4.4023989884343084E-3</v>
      </c>
      <c r="Z26" s="24">
        <f t="shared" ca="1" si="10"/>
        <v>1.615049343432351E-2</v>
      </c>
      <c r="AA26" s="24">
        <f t="shared" ca="1" si="11"/>
        <v>3.9404202574726099E-2</v>
      </c>
      <c r="AB26" s="9" cm="1">
        <f t="array" aca="1" ref="AB26" ca="1">_xll.FDS($E$9,"P_PRICE("&amp;AG26&amp;",0,D,D)")</f>
        <v>6926.6</v>
      </c>
      <c r="AC26" s="9" cm="1">
        <f t="array" aca="1" ref="AC26" ca="1">_xll.FDS($E$9,"P_PRICE("&amp;AH26&amp;",0,D,D)")</f>
        <v>6920.93</v>
      </c>
      <c r="AD26" s="9" cm="1">
        <f t="array" aca="1" ref="AD26" ca="1">_xll.FDS($E$9,"P_PRICE("&amp;AI26&amp;",0,D,D)")</f>
        <v>6896.24</v>
      </c>
      <c r="AE26" s="9" cm="1">
        <f t="array" aca="1" ref="AE26" ca="1">_xll.FDS($E$9,"P_PRICE("&amp;AJ26&amp;",0,D,D)")</f>
        <v>6816.51</v>
      </c>
      <c r="AF26" s="9" cm="1">
        <f t="array" aca="1" ref="AF26" ca="1">_xll.FDS($E$9,"P_PRICE("&amp;AK26&amp;",0,D,D)")</f>
        <v>6664.01</v>
      </c>
      <c r="AG26" s="20">
        <f t="shared" ca="1" si="17"/>
        <v>46036</v>
      </c>
      <c r="AH26" s="22">
        <f t="shared" ca="1" si="12"/>
        <v>46029</v>
      </c>
      <c r="AI26" s="22">
        <f t="shared" ca="1" si="13"/>
        <v>46021</v>
      </c>
      <c r="AJ26" s="22">
        <f t="shared" ca="1" si="14"/>
        <v>46006</v>
      </c>
      <c r="AK26" s="22">
        <f t="shared" ca="1" si="15"/>
        <v>45947</v>
      </c>
      <c r="AL26" s="22">
        <f t="shared" ca="1" si="16"/>
        <v>45862</v>
      </c>
      <c r="AN26" s="21">
        <v>44746</v>
      </c>
    </row>
    <row r="27" spans="4:40" x14ac:dyDescent="0.25">
      <c r="D27" s="6">
        <f ca="1"/>
        <v>46035</v>
      </c>
      <c r="E27" s="28" cm="1">
        <f t="array" aca="1" ref="E27" ca="1">_xll.FDS($E$7,"P_PRICE("&amp;D27&amp;",0,D,D)")</f>
        <v>127.38</v>
      </c>
      <c r="F27" s="29" cm="1">
        <f t="array" aca="1" ref="F27" ca="1">_xll.FDS($E$7,"P_BETA_LOCIDX("&amp;$AG27&amp;","&amp;$AL27&amp;",,"""&amp;$E$9&amp;""")")</f>
        <v>1.2166349999999999</v>
      </c>
      <c r="G27" s="30">
        <f t="shared" ca="1" si="2"/>
        <v>-1.4876557740015806E-2</v>
      </c>
      <c r="H27" s="30">
        <f t="shared" ca="1" si="0"/>
        <v>-9.9827152665540996E-3</v>
      </c>
      <c r="I27" s="30">
        <f t="shared" ca="1" si="0"/>
        <v>-1.6540652505437944E-2</v>
      </c>
      <c r="J27" s="30">
        <f t="shared" ca="1" si="0"/>
        <v>2.7854476967905467E-2</v>
      </c>
      <c r="K27" s="30">
        <f t="shared" ca="1" si="3"/>
        <v>3.3145184756407601E-3</v>
      </c>
      <c r="L27" s="30">
        <f t="shared" ca="1" si="1"/>
        <v>1.0218286526860255E-2</v>
      </c>
      <c r="M27" s="30">
        <f t="shared" ca="1" si="1"/>
        <v>2.42938170623999E-2</v>
      </c>
      <c r="N27" s="30">
        <f t="shared" ca="1" si="1"/>
        <v>6.1422075110083324E-2</v>
      </c>
      <c r="O27" s="30">
        <f t="shared" ca="1" si="4"/>
        <v>-1.1562039264375046E-2</v>
      </c>
      <c r="P27" s="30">
        <f t="shared" ca="1" si="5"/>
        <v>2.3557126030615549E-4</v>
      </c>
      <c r="Q27" s="30">
        <f t="shared" ca="1" si="6"/>
        <v>7.7531645569619556E-3</v>
      </c>
      <c r="R27" s="30">
        <f t="shared" ca="1" si="7"/>
        <v>8.9276552077988791E-2</v>
      </c>
      <c r="S27" s="9" cm="1">
        <f t="array" aca="1" ref="S27" ca="1">_xll.FDS($E$7,"P_PRICE("&amp;AG27&amp;",0,D,D)")</f>
        <v>127.38</v>
      </c>
      <c r="T27" s="9" cm="1">
        <f t="array" aca="1" ref="T27" ca="1">_xll.FDS($E$7,"P_PRICE("&amp;AH27&amp;",0,D,D)")</f>
        <v>128.87</v>
      </c>
      <c r="U27" s="9" cm="1">
        <f t="array" aca="1" ref="U27" ca="1">_xll.FDS($E$7,"P_PRICE("&amp;AI27&amp;",0,D,D)")</f>
        <v>127.35</v>
      </c>
      <c r="V27" s="9" cm="1">
        <f t="array" aca="1" ref="V27" ca="1">_xll.FDS($E$7,"P_PRICE("&amp;AJ27&amp;",0,D,D)")</f>
        <v>126.4</v>
      </c>
      <c r="W27" s="9" cm="1">
        <f t="array" aca="1" ref="W27" ca="1">_xll.FDS($E$7,"P_PRICE("&amp;AK27&amp;",0,D,D)")</f>
        <v>116.94</v>
      </c>
      <c r="X27" s="24">
        <f t="shared" ca="1" si="8"/>
        <v>2.7243326680892466E-3</v>
      </c>
      <c r="Y27" s="24">
        <f t="shared" ca="1" si="9"/>
        <v>8.3988102650838226E-3</v>
      </c>
      <c r="Z27" s="24">
        <f t="shared" ca="1" si="10"/>
        <v>1.9968040589330327E-2</v>
      </c>
      <c r="AA27" s="24">
        <f t="shared" ca="1" si="11"/>
        <v>5.0485211349404979E-2</v>
      </c>
      <c r="AB27" s="9" cm="1">
        <f t="array" aca="1" ref="AB27" ca="1">_xll.FDS($E$9,"P_PRICE("&amp;AG27&amp;",0,D,D)")</f>
        <v>6963.74</v>
      </c>
      <c r="AC27" s="9" cm="1">
        <f t="array" aca="1" ref="AC27" ca="1">_xll.FDS($E$9,"P_PRICE("&amp;AH27&amp;",0,D,D)")</f>
        <v>6944.82</v>
      </c>
      <c r="AD27" s="9" cm="1">
        <f t="array" aca="1" ref="AD27" ca="1">_xll.FDS($E$9,"P_PRICE("&amp;AI27&amp;",0,D,D)")</f>
        <v>6905.74</v>
      </c>
      <c r="AE27" s="9" cm="1">
        <f t="array" aca="1" ref="AE27" ca="1">_xll.FDS($E$9,"P_PRICE("&amp;AJ27&amp;",0,D,D)")</f>
        <v>6827.41</v>
      </c>
      <c r="AF27" s="9" cm="1">
        <f t="array" aca="1" ref="AF27" ca="1">_xll.FDS($E$9,"P_PRICE("&amp;AK27&amp;",0,D,D)")</f>
        <v>6629.07</v>
      </c>
      <c r="AG27" s="20">
        <f t="shared" ca="1" si="17"/>
        <v>46035</v>
      </c>
      <c r="AH27" s="22">
        <f t="shared" ca="1" si="12"/>
        <v>46028</v>
      </c>
      <c r="AI27" s="22">
        <f t="shared" ca="1" si="13"/>
        <v>46020</v>
      </c>
      <c r="AJ27" s="22">
        <f t="shared" ca="1" si="14"/>
        <v>46003</v>
      </c>
      <c r="AK27" s="22">
        <f t="shared" ca="1" si="15"/>
        <v>45946</v>
      </c>
      <c r="AL27" s="22">
        <f t="shared" ca="1" si="16"/>
        <v>45861</v>
      </c>
      <c r="AN27" s="21">
        <v>44809</v>
      </c>
    </row>
    <row r="28" spans="4:40" x14ac:dyDescent="0.25">
      <c r="D28" s="6">
        <f ca="1"/>
        <v>46034</v>
      </c>
      <c r="E28" s="28" cm="1">
        <f t="array" aca="1" ref="E28" ca="1">_xll.FDS($E$7,"P_PRICE("&amp;D28&amp;",0,D,D)")</f>
        <v>131.38</v>
      </c>
      <c r="F28" s="29" cm="1">
        <f t="array" aca="1" ref="F28" ca="1">_xll.FDS($E$7,"P_BETA_LOCIDX("&amp;$AG28&amp;","&amp;$AL28&amp;",,"""&amp;$E$9&amp;""")")</f>
        <v>1.2017654</v>
      </c>
      <c r="G28" s="30">
        <f t="shared" ca="1" si="2"/>
        <v>1.0829334798187321E-2</v>
      </c>
      <c r="H28" s="30">
        <f t="shared" ca="1" si="0"/>
        <v>1.0715731067333688E-2</v>
      </c>
      <c r="I28" s="30">
        <f t="shared" ca="1" si="0"/>
        <v>2.1287714179572315E-2</v>
      </c>
      <c r="J28" s="30">
        <f t="shared" ca="1" si="0"/>
        <v>5.2781468688601833E-2</v>
      </c>
      <c r="K28" s="30">
        <f t="shared" ca="1" si="3"/>
        <v>1.3097093383559962E-2</v>
      </c>
      <c r="L28" s="30">
        <f t="shared" ca="1" si="1"/>
        <v>8.2077992568480151E-3</v>
      </c>
      <c r="M28" s="30">
        <f t="shared" ca="1" si="1"/>
        <v>1.3281936974061881E-2</v>
      </c>
      <c r="N28" s="30">
        <f t="shared" ca="1" si="1"/>
        <v>5.5162535359298222E-2</v>
      </c>
      <c r="O28" s="30">
        <f t="shared" ca="1" si="4"/>
        <v>2.3926428181747283E-2</v>
      </c>
      <c r="P28" s="30">
        <f t="shared" ca="1" si="5"/>
        <v>1.8923530324181703E-2</v>
      </c>
      <c r="Q28" s="30">
        <f t="shared" ca="1" si="6"/>
        <v>3.4569651153634195E-2</v>
      </c>
      <c r="R28" s="30">
        <f t="shared" ca="1" si="7"/>
        <v>0.10794400404790006</v>
      </c>
      <c r="S28" s="9" cm="1">
        <f t="array" aca="1" ref="S28" ca="1">_xll.FDS($E$7,"P_PRICE("&amp;AG28&amp;",0,D,D)")</f>
        <v>131.38</v>
      </c>
      <c r="T28" s="9" cm="1">
        <f t="array" aca="1" ref="T28" ca="1">_xll.FDS($E$7,"P_PRICE("&amp;AH28&amp;",0,D,D)")</f>
        <v>128.31</v>
      </c>
      <c r="U28" s="9" cm="1">
        <f t="array" aca="1" ref="U28" ca="1">_xll.FDS($E$7,"P_PRICE("&amp;AI28&amp;",0,D,D)")</f>
        <v>128.94</v>
      </c>
      <c r="V28" s="9" cm="1">
        <f t="array" aca="1" ref="V28" ca="1">_xll.FDS($E$7,"P_PRICE("&amp;AJ28&amp;",0,D,D)")</f>
        <v>126.99</v>
      </c>
      <c r="W28" s="9" cm="1">
        <f t="array" aca="1" ref="W28" ca="1">_xll.FDS($E$7,"P_PRICE("&amp;AK28&amp;",0,D,D)")</f>
        <v>118.58</v>
      </c>
      <c r="X28" s="24">
        <f t="shared" ca="1" si="8"/>
        <v>1.0898211400960589E-2</v>
      </c>
      <c r="Y28" s="24">
        <f t="shared" ca="1" si="9"/>
        <v>6.8297849620633233E-3</v>
      </c>
      <c r="Z28" s="24">
        <f t="shared" ca="1" si="10"/>
        <v>1.1052021446167348E-2</v>
      </c>
      <c r="AA28" s="24">
        <f t="shared" ca="1" si="11"/>
        <v>4.5901251075541216E-2</v>
      </c>
      <c r="AB28" s="9" cm="1">
        <f t="array" aca="1" ref="AB28" ca="1">_xll.FDS($E$9,"P_PRICE("&amp;AG28&amp;",0,D,D)")</f>
        <v>6977.27</v>
      </c>
      <c r="AC28" s="9" cm="1">
        <f t="array" aca="1" ref="AC28" ca="1">_xll.FDS($E$9,"P_PRICE("&amp;AH28&amp;",0,D,D)")</f>
        <v>6902.05</v>
      </c>
      <c r="AD28" s="9" cm="1">
        <f t="array" aca="1" ref="AD28" ca="1">_xll.FDS($E$9,"P_PRICE("&amp;AI28&amp;",0,D,D)")</f>
        <v>6929.94</v>
      </c>
      <c r="AE28" s="9" cm="1">
        <f t="array" aca="1" ref="AE28" ca="1">_xll.FDS($E$9,"P_PRICE("&amp;AJ28&amp;",0,D,D)")</f>
        <v>6901</v>
      </c>
      <c r="AF28" s="9" cm="1">
        <f t="array" aca="1" ref="AF28" ca="1">_xll.FDS($E$9,"P_PRICE("&amp;AK28&amp;",0,D,D)")</f>
        <v>6671.06</v>
      </c>
      <c r="AG28" s="20">
        <f t="shared" ca="1" si="17"/>
        <v>46034</v>
      </c>
      <c r="AH28" s="22">
        <f t="shared" ca="1" si="12"/>
        <v>46027</v>
      </c>
      <c r="AI28" s="22">
        <f t="shared" ca="1" si="13"/>
        <v>46017</v>
      </c>
      <c r="AJ28" s="22">
        <f t="shared" ca="1" si="14"/>
        <v>46002</v>
      </c>
      <c r="AK28" s="22">
        <f t="shared" ca="1" si="15"/>
        <v>45945</v>
      </c>
      <c r="AL28" s="22">
        <f t="shared" ca="1" si="16"/>
        <v>45860</v>
      </c>
      <c r="AN28" s="21">
        <v>44889</v>
      </c>
    </row>
    <row r="29" spans="4:40" x14ac:dyDescent="0.25">
      <c r="D29" s="6">
        <f ca="1"/>
        <v>46031</v>
      </c>
      <c r="E29" s="28" cm="1">
        <f t="array" aca="1" ref="E29" ca="1">_xll.FDS($E$7,"P_PRICE("&amp;D29&amp;",0,D,D)")</f>
        <v>131.38</v>
      </c>
      <c r="F29" s="29" cm="1">
        <f t="array" aca="1" ref="F29" ca="1">_xll.FDS($E$7,"P_BETA_LOCIDX("&amp;$AG29&amp;","&amp;$AL29&amp;",,"""&amp;$E$9&amp;""")")</f>
        <v>1.2020928</v>
      </c>
      <c r="G29" s="30">
        <f t="shared" ca="1" si="2"/>
        <v>2.0173918134638619E-2</v>
      </c>
      <c r="H29" s="30">
        <f t="shared" ca="1" si="0"/>
        <v>2.4172347374086932E-2</v>
      </c>
      <c r="I29" s="30">
        <f t="shared" ca="1" si="0"/>
        <v>3.596970854541745E-2</v>
      </c>
      <c r="J29" s="30">
        <f t="shared" ca="1" si="0"/>
        <v>3.5488576129638877E-2</v>
      </c>
      <c r="K29" s="30">
        <f t="shared" ca="1" si="3"/>
        <v>1.8895996449353719E-2</v>
      </c>
      <c r="L29" s="30">
        <f t="shared" ca="1" si="1"/>
        <v>5.9358539745095551E-3</v>
      </c>
      <c r="M29" s="30">
        <f t="shared" ca="1" si="1"/>
        <v>1.389444360417494E-2</v>
      </c>
      <c r="N29" s="30">
        <f t="shared" ca="1" si="1"/>
        <v>5.8251017609954853E-2</v>
      </c>
      <c r="O29" s="30">
        <f t="shared" ca="1" si="4"/>
        <v>3.9069914583992338E-2</v>
      </c>
      <c r="P29" s="30">
        <f t="shared" ca="1" si="5"/>
        <v>3.0108201348596486E-2</v>
      </c>
      <c r="Q29" s="30">
        <f t="shared" ca="1" si="6"/>
        <v>4.9864152149592389E-2</v>
      </c>
      <c r="R29" s="30">
        <f t="shared" ca="1" si="7"/>
        <v>9.373959373959373E-2</v>
      </c>
      <c r="S29" s="9" cm="1">
        <f t="array" aca="1" ref="S29" ca="1">_xll.FDS($E$7,"P_PRICE("&amp;AG29&amp;",0,D,D)")</f>
        <v>131.38</v>
      </c>
      <c r="T29" s="9" cm="1">
        <f t="array" aca="1" ref="T29" ca="1">_xll.FDS($E$7,"P_PRICE("&amp;AH29&amp;",0,D,D)")</f>
        <v>126.44</v>
      </c>
      <c r="U29" s="9" cm="1">
        <f t="array" aca="1" ref="U29" ca="1">_xll.FDS($E$7,"P_PRICE("&amp;AI29&amp;",0,D,D)")</f>
        <v>127.54</v>
      </c>
      <c r="V29" s="9" cm="1">
        <f t="array" aca="1" ref="V29" ca="1">_xll.FDS($E$7,"P_PRICE("&amp;AJ29&amp;",0,D,D)")</f>
        <v>125.14</v>
      </c>
      <c r="W29" s="9" cm="1">
        <f t="array" aca="1" ref="W29" ca="1">_xll.FDS($E$7,"P_PRICE("&amp;AK29&amp;",0,D,D)")</f>
        <v>120.12</v>
      </c>
      <c r="X29" s="24">
        <f t="shared" ca="1" si="8"/>
        <v>1.5719249336951124E-2</v>
      </c>
      <c r="Y29" s="24">
        <f t="shared" ca="1" si="9"/>
        <v>4.9379332232166728E-3</v>
      </c>
      <c r="Z29" s="24">
        <f t="shared" ca="1" si="10"/>
        <v>1.1558544901171475E-2</v>
      </c>
      <c r="AA29" s="24">
        <f t="shared" ca="1" si="11"/>
        <v>4.8458003916132641E-2</v>
      </c>
      <c r="AB29" s="9" cm="1">
        <f t="array" aca="1" ref="AB29" ca="1">_xll.FDS($E$9,"P_PRICE("&amp;AG29&amp;",0,D,D)")</f>
        <v>6966.28</v>
      </c>
      <c r="AC29" s="9" cm="1">
        <f t="array" aca="1" ref="AC29" ca="1">_xll.FDS($E$9,"P_PRICE("&amp;AH29&amp;",0,D,D)")</f>
        <v>6858.47</v>
      </c>
      <c r="AD29" s="9" cm="1">
        <f t="array" aca="1" ref="AD29" ca="1">_xll.FDS($E$9,"P_PRICE("&amp;AI29&amp;",0,D,D)")</f>
        <v>6932.05</v>
      </c>
      <c r="AE29" s="9" cm="1">
        <f t="array" aca="1" ref="AE29" ca="1">_xll.FDS($E$9,"P_PRICE("&amp;AJ29&amp;",0,D,D)")</f>
        <v>6886.68</v>
      </c>
      <c r="AF29" s="9" cm="1">
        <f t="array" aca="1" ref="AF29" ca="1">_xll.FDS($E$9,"P_PRICE("&amp;AK29&amp;",0,D,D)")</f>
        <v>6644.31</v>
      </c>
      <c r="AG29" s="20">
        <f t="shared" ca="1" si="17"/>
        <v>46031</v>
      </c>
      <c r="AH29" s="22">
        <f t="shared" ca="1" si="12"/>
        <v>46024</v>
      </c>
      <c r="AI29" s="22">
        <f t="shared" ca="1" si="13"/>
        <v>46015</v>
      </c>
      <c r="AJ29" s="22">
        <f t="shared" ca="1" si="14"/>
        <v>46001</v>
      </c>
      <c r="AK29" s="22">
        <f t="shared" ca="1" si="15"/>
        <v>45944</v>
      </c>
      <c r="AL29" s="22">
        <f t="shared" ca="1" si="16"/>
        <v>45859</v>
      </c>
      <c r="AN29" s="21">
        <v>44921</v>
      </c>
    </row>
    <row r="30" spans="4:40" x14ac:dyDescent="0.25">
      <c r="D30" s="6">
        <f ca="1"/>
        <v>46030</v>
      </c>
      <c r="E30" s="28" cm="1">
        <f t="array" aca="1" ref="E30" ca="1">_xll.FDS($E$7,"P_PRICE("&amp;D30&amp;",0,D,D)")</f>
        <v>124.65</v>
      </c>
      <c r="F30" s="29" cm="1">
        <f t="array" aca="1" ref="F30" ca="1">_xll.FDS($E$7,"P_BETA_LOCIDX("&amp;$AG30&amp;","&amp;$AL30&amp;",,"""&amp;$E$9&amp;""")")</f>
        <v>1.1565407999999999</v>
      </c>
      <c r="G30" s="30">
        <f t="shared" ca="1" si="2"/>
        <v>-1.4035293782934251E-2</v>
      </c>
      <c r="H30" s="30">
        <f t="shared" ca="1" si="0"/>
        <v>-1.7356134676733026E-2</v>
      </c>
      <c r="I30" s="30">
        <f t="shared" ca="1" si="0"/>
        <v>-5.9250643407449868E-3</v>
      </c>
      <c r="J30" s="30">
        <f t="shared" ca="1" si="0"/>
        <v>1.4132619484796015E-2</v>
      </c>
      <c r="K30" s="30">
        <f t="shared" ca="1" si="3"/>
        <v>1.2833370706011234E-2</v>
      </c>
      <c r="L30" s="30">
        <f t="shared" ca="1" si="1"/>
        <v>1.9532910748373267E-3</v>
      </c>
      <c r="M30" s="30">
        <f t="shared" ca="1" si="1"/>
        <v>1.3686403171693303E-2</v>
      </c>
      <c r="N30" s="30">
        <f t="shared" ca="1" si="1"/>
        <v>4.6357426457010943E-2</v>
      </c>
      <c r="O30" s="30">
        <f t="shared" ca="1" si="4"/>
        <v>-1.2019230769230171E-3</v>
      </c>
      <c r="P30" s="30">
        <f t="shared" ca="1" si="5"/>
        <v>-1.5402843601895699E-2</v>
      </c>
      <c r="Q30" s="30">
        <f t="shared" ca="1" si="6"/>
        <v>7.7613388309483167E-3</v>
      </c>
      <c r="R30" s="30">
        <f t="shared" ca="1" si="7"/>
        <v>6.0490045941806958E-2</v>
      </c>
      <c r="S30" s="9" cm="1">
        <f t="array" aca="1" ref="S30" ca="1">_xll.FDS($E$7,"P_PRICE("&amp;AG30&amp;",0,D,D)")</f>
        <v>124.65</v>
      </c>
      <c r="T30" s="9" cm="1">
        <f t="array" aca="1" ref="T30" ca="1">_xll.FDS($E$7,"P_PRICE("&amp;AH30&amp;",0,D,D)")</f>
        <v>124.8</v>
      </c>
      <c r="U30" s="9" cm="1">
        <f t="array" aca="1" ref="U30" ca="1">_xll.FDS($E$7,"P_PRICE("&amp;AI30&amp;",0,D,D)")</f>
        <v>126.6</v>
      </c>
      <c r="V30" s="9" cm="1">
        <f t="array" aca="1" ref="V30" ca="1">_xll.FDS($E$7,"P_PRICE("&amp;AJ30&amp;",0,D,D)")</f>
        <v>123.69</v>
      </c>
      <c r="W30" s="9" cm="1">
        <f t="array" aca="1" ref="W30" ca="1">_xll.FDS($E$7,"P_PRICE("&amp;AK30&amp;",0,D,D)")</f>
        <v>117.54</v>
      </c>
      <c r="X30" s="24">
        <f t="shared" ca="1" si="8"/>
        <v>1.1096340661748583E-2</v>
      </c>
      <c r="Y30" s="24">
        <f t="shared" ca="1" si="9"/>
        <v>1.6889080565400949E-3</v>
      </c>
      <c r="Z30" s="24">
        <f t="shared" ca="1" si="10"/>
        <v>1.1833912968477467E-2</v>
      </c>
      <c r="AA30" s="24">
        <f t="shared" ca="1" si="11"/>
        <v>4.0082828428543937E-2</v>
      </c>
      <c r="AB30" s="9" cm="1">
        <f t="array" aca="1" ref="AB30" ca="1">_xll.FDS($E$9,"P_PRICE("&amp;AG30&amp;",0,D,D)")</f>
        <v>6921.46</v>
      </c>
      <c r="AC30" s="9" cm="1">
        <f t="array" aca="1" ref="AC30" ca="1">_xll.FDS($E$9,"P_PRICE("&amp;AH30&amp;",0,D,D)")</f>
        <v>6845.5</v>
      </c>
      <c r="AD30" s="9" cm="1">
        <f t="array" aca="1" ref="AD30" ca="1">_xll.FDS($E$9,"P_PRICE("&amp;AI30&amp;",0,D,D)")</f>
        <v>6909.79</v>
      </c>
      <c r="AE30" s="9" cm="1">
        <f t="array" aca="1" ref="AE30" ca="1">_xll.FDS($E$9,"P_PRICE("&amp;AJ30&amp;",0,D,D)")</f>
        <v>6840.51</v>
      </c>
      <c r="AF30" s="9" cm="1">
        <f t="array" aca="1" ref="AF30" ca="1">_xll.FDS($E$9,"P_PRICE("&amp;AK30&amp;",0,D,D)")</f>
        <v>6654.72</v>
      </c>
      <c r="AG30" s="20">
        <f t="shared" ca="1" si="17"/>
        <v>46030</v>
      </c>
      <c r="AH30" s="22">
        <f t="shared" ca="1" si="12"/>
        <v>46022</v>
      </c>
      <c r="AI30" s="22">
        <f t="shared" ca="1" si="13"/>
        <v>46014</v>
      </c>
      <c r="AJ30" s="22">
        <f t="shared" ca="1" si="14"/>
        <v>46000</v>
      </c>
      <c r="AK30" s="22">
        <f t="shared" ca="1" si="15"/>
        <v>45943</v>
      </c>
      <c r="AL30" s="22">
        <f t="shared" ca="1" si="16"/>
        <v>45856</v>
      </c>
      <c r="AN30" s="21">
        <v>44928</v>
      </c>
    </row>
    <row r="31" spans="4:40" x14ac:dyDescent="0.25">
      <c r="D31" s="6">
        <f ca="1"/>
        <v>46029</v>
      </c>
      <c r="E31" s="28" cm="1">
        <f t="array" aca="1" ref="E31" ca="1">_xll.FDS($E$7,"P_PRICE("&amp;D31&amp;",0,D,D)")</f>
        <v>122.88</v>
      </c>
      <c r="F31" s="29" cm="1">
        <f t="array" aca="1" ref="F31" ca="1">_xll.FDS($E$7,"P_BETA_LOCIDX("&amp;$AG31&amp;","&amp;$AL31&amp;",,"""&amp;$E$9&amp;""")")</f>
        <v>1.1525434999999999</v>
      </c>
      <c r="G31" s="30">
        <f t="shared" ca="1" si="2"/>
        <v>-2.7415436586256038E-2</v>
      </c>
      <c r="H31" s="30">
        <f t="shared" ca="1" si="0"/>
        <v>-3.3572879407146025E-2</v>
      </c>
      <c r="I31" s="30">
        <f t="shared" ca="1" si="0"/>
        <v>-4.1451545113891604E-2</v>
      </c>
      <c r="J31" s="30">
        <f t="shared" ca="1" si="0"/>
        <v>-5.7662036963915947E-3</v>
      </c>
      <c r="K31" s="30">
        <f t="shared" ca="1" si="3"/>
        <v>4.1263498681890845E-3</v>
      </c>
      <c r="L31" s="30">
        <f t="shared" ca="1" si="1"/>
        <v>7.1111459259227579E-3</v>
      </c>
      <c r="M31" s="30">
        <f t="shared" ca="1" si="1"/>
        <v>1.2527884611283633E-2</v>
      </c>
      <c r="N31" s="30">
        <f t="shared" ca="1" si="1"/>
        <v>6.4802659785334074E-2</v>
      </c>
      <c r="O31" s="30">
        <f t="shared" ca="1" si="4"/>
        <v>-2.3289086718066954E-2</v>
      </c>
      <c r="P31" s="30">
        <f t="shared" ca="1" si="5"/>
        <v>-2.6461733481223271E-2</v>
      </c>
      <c r="Q31" s="30">
        <f t="shared" ca="1" si="6"/>
        <v>-2.8923660502607973E-2</v>
      </c>
      <c r="R31" s="30">
        <f t="shared" ca="1" si="7"/>
        <v>5.9036456088942479E-2</v>
      </c>
      <c r="S31" s="9" cm="1">
        <f t="array" aca="1" ref="S31" ca="1">_xll.FDS($E$7,"P_PRICE("&amp;AG31&amp;",0,D,D)")</f>
        <v>122.88</v>
      </c>
      <c r="T31" s="9" cm="1">
        <f t="array" aca="1" ref="T31" ca="1">_xll.FDS($E$7,"P_PRICE("&amp;AH31&amp;",0,D,D)")</f>
        <v>125.81</v>
      </c>
      <c r="U31" s="9" cm="1">
        <f t="array" aca="1" ref="U31" ca="1">_xll.FDS($E$7,"P_PRICE("&amp;AI31&amp;",0,D,D)")</f>
        <v>126.22</v>
      </c>
      <c r="V31" s="9" cm="1">
        <f t="array" aca="1" ref="V31" ca="1">_xll.FDS($E$7,"P_PRICE("&amp;AJ31&amp;",0,D,D)")</f>
        <v>126.54</v>
      </c>
      <c r="W31" s="9" cm="1">
        <f t="array" aca="1" ref="W31" ca="1">_xll.FDS($E$7,"P_PRICE("&amp;AK31&amp;",0,D,D)")</f>
        <v>116.03</v>
      </c>
      <c r="X31" s="24">
        <f t="shared" ca="1" si="8"/>
        <v>3.580211825574553E-3</v>
      </c>
      <c r="Y31" s="24">
        <f t="shared" ca="1" si="9"/>
        <v>6.1699588136350236E-3</v>
      </c>
      <c r="Z31" s="24">
        <f t="shared" ca="1" si="10"/>
        <v>1.0869771606263567E-2</v>
      </c>
      <c r="AA31" s="24">
        <f t="shared" ca="1" si="11"/>
        <v>5.6225782181179351E-2</v>
      </c>
      <c r="AB31" s="9" cm="1">
        <f t="array" aca="1" ref="AB31" ca="1">_xll.FDS($E$9,"P_PRICE("&amp;AG31&amp;",0,D,D)")</f>
        <v>6920.93</v>
      </c>
      <c r="AC31" s="9" cm="1">
        <f t="array" aca="1" ref="AC31" ca="1">_xll.FDS($E$9,"P_PRICE("&amp;AH31&amp;",0,D,D)")</f>
        <v>6896.24</v>
      </c>
      <c r="AD31" s="9" cm="1">
        <f t="array" aca="1" ref="AD31" ca="1">_xll.FDS($E$9,"P_PRICE("&amp;AI31&amp;",0,D,D)")</f>
        <v>6878.49</v>
      </c>
      <c r="AE31" s="9" cm="1">
        <f t="array" aca="1" ref="AE31" ca="1">_xll.FDS($E$9,"P_PRICE("&amp;AJ31&amp;",0,D,D)")</f>
        <v>6846.51</v>
      </c>
      <c r="AF31" s="9" cm="1">
        <f t="array" aca="1" ref="AF31" ca="1">_xll.FDS($E$9,"P_PRICE("&amp;AK31&amp;",0,D,D)")</f>
        <v>6552.51</v>
      </c>
      <c r="AG31" s="20">
        <f t="shared" ca="1" si="17"/>
        <v>46029</v>
      </c>
      <c r="AH31" s="22">
        <f t="shared" ca="1" si="12"/>
        <v>46021</v>
      </c>
      <c r="AI31" s="22">
        <f t="shared" ca="1" si="13"/>
        <v>46013</v>
      </c>
      <c r="AJ31" s="22">
        <f t="shared" ca="1" si="14"/>
        <v>45999</v>
      </c>
      <c r="AK31" s="22">
        <f t="shared" ca="1" si="15"/>
        <v>45940</v>
      </c>
      <c r="AL31" s="22">
        <f t="shared" ca="1" si="16"/>
        <v>45855</v>
      </c>
      <c r="AN31" s="21">
        <v>44942</v>
      </c>
    </row>
    <row r="32" spans="4:40" x14ac:dyDescent="0.25">
      <c r="D32" s="6">
        <f ca="1"/>
        <v>46028</v>
      </c>
      <c r="E32" s="28" cm="1">
        <f t="array" aca="1" ref="E32" ca="1">_xll.FDS($E$7,"P_PRICE("&amp;D32&amp;",0,D,D)")</f>
        <v>128.87</v>
      </c>
      <c r="F32" s="29" cm="1">
        <f t="array" aca="1" ref="F32" ca="1">_xll.FDS($E$7,"P_BETA_LOCIDX("&amp;$AG32&amp;","&amp;$AL32&amp;",,"""&amp;$E$9&amp;""")")</f>
        <v>1.1115065</v>
      </c>
      <c r="G32" s="30">
        <f t="shared" ca="1" si="2"/>
        <v>5.6455280661392602E-3</v>
      </c>
      <c r="H32" s="30">
        <f t="shared" ca="1" si="0"/>
        <v>1.7824422520355897E-2</v>
      </c>
      <c r="I32" s="30">
        <f t="shared" ca="1" si="0"/>
        <v>6.6460482459456405E-2</v>
      </c>
      <c r="J32" s="30">
        <f t="shared" ca="1" si="0"/>
        <v>6.1131365106347833E-2</v>
      </c>
      <c r="K32" s="30">
        <f t="shared" ca="1" si="3"/>
        <v>6.2900824560437997E-3</v>
      </c>
      <c r="L32" s="30">
        <f t="shared" ca="1" si="1"/>
        <v>1.7941531506328025E-2</v>
      </c>
      <c r="M32" s="30">
        <f t="shared" ca="1" si="1"/>
        <v>1.2039810452084404E-2</v>
      </c>
      <c r="N32" s="30">
        <f t="shared" ca="1" si="1"/>
        <v>3.4608793043469345E-2</v>
      </c>
      <c r="O32" s="30">
        <f t="shared" ca="1" si="4"/>
        <v>1.193561052218306E-2</v>
      </c>
      <c r="P32" s="30">
        <f t="shared" ca="1" si="5"/>
        <v>3.5765954026683922E-2</v>
      </c>
      <c r="Q32" s="30">
        <f t="shared" ca="1" si="6"/>
        <v>7.8500292911540814E-2</v>
      </c>
      <c r="R32" s="30">
        <f t="shared" ca="1" si="7"/>
        <v>9.5740158149817178E-2</v>
      </c>
      <c r="S32" s="9" cm="1">
        <f t="array" aca="1" ref="S32" ca="1">_xll.FDS($E$7,"P_PRICE("&amp;AG32&amp;",0,D,D)")</f>
        <v>128.87</v>
      </c>
      <c r="T32" s="9" cm="1">
        <f t="array" aca="1" ref="T32" ca="1">_xll.FDS($E$7,"P_PRICE("&amp;AH32&amp;",0,D,D)")</f>
        <v>127.35</v>
      </c>
      <c r="U32" s="9" cm="1">
        <f t="array" aca="1" ref="U32" ca="1">_xll.FDS($E$7,"P_PRICE("&amp;AI32&amp;",0,D,D)")</f>
        <v>124.42</v>
      </c>
      <c r="V32" s="9" cm="1">
        <f t="array" aca="1" ref="V32" ca="1">_xll.FDS($E$7,"P_PRICE("&amp;AJ32&amp;",0,D,D)")</f>
        <v>119.49</v>
      </c>
      <c r="W32" s="9" cm="1">
        <f t="array" aca="1" ref="W32" ca="1">_xll.FDS($E$7,"P_PRICE("&amp;AK32&amp;",0,D,D)")</f>
        <v>117.61</v>
      </c>
      <c r="X32" s="24">
        <f t="shared" ca="1" si="8"/>
        <v>5.6590604337840578E-3</v>
      </c>
      <c r="Y32" s="24">
        <f t="shared" ca="1" si="9"/>
        <v>1.6141634355109957E-2</v>
      </c>
      <c r="Z32" s="24">
        <f t="shared" ca="1" si="10"/>
        <v>1.083197484862608E-2</v>
      </c>
      <c r="AA32" s="24">
        <f t="shared" ca="1" si="11"/>
        <v>3.1136833696851385E-2</v>
      </c>
      <c r="AB32" s="9" cm="1">
        <f t="array" aca="1" ref="AB32" ca="1">_xll.FDS($E$9,"P_PRICE("&amp;AG32&amp;",0,D,D)")</f>
        <v>6944.82</v>
      </c>
      <c r="AC32" s="9" cm="1">
        <f t="array" aca="1" ref="AC32" ca="1">_xll.FDS($E$9,"P_PRICE("&amp;AH32&amp;",0,D,D)")</f>
        <v>6905.74</v>
      </c>
      <c r="AD32" s="9" cm="1">
        <f t="array" aca="1" ref="AD32" ca="1">_xll.FDS($E$9,"P_PRICE("&amp;AI32&amp;",0,D,D)")</f>
        <v>6834.5</v>
      </c>
      <c r="AE32" s="9" cm="1">
        <f t="array" aca="1" ref="AE32" ca="1">_xll.FDS($E$9,"P_PRICE("&amp;AJ32&amp;",0,D,D)")</f>
        <v>6870.4</v>
      </c>
      <c r="AF32" s="9" cm="1">
        <f t="array" aca="1" ref="AF32" ca="1">_xll.FDS($E$9,"P_PRICE("&amp;AK32&amp;",0,D,D)")</f>
        <v>6735.11</v>
      </c>
      <c r="AG32" s="20">
        <f t="shared" ca="1" si="17"/>
        <v>46028</v>
      </c>
      <c r="AH32" s="22">
        <f t="shared" ca="1" si="12"/>
        <v>46020</v>
      </c>
      <c r="AI32" s="22">
        <f t="shared" ca="1" si="13"/>
        <v>46010</v>
      </c>
      <c r="AJ32" s="22">
        <f t="shared" ca="1" si="14"/>
        <v>45996</v>
      </c>
      <c r="AK32" s="22">
        <f t="shared" ca="1" si="15"/>
        <v>45939</v>
      </c>
      <c r="AL32" s="22">
        <f t="shared" ca="1" si="16"/>
        <v>45854</v>
      </c>
      <c r="AN32" s="21">
        <v>44977</v>
      </c>
    </row>
    <row r="33" spans="4:40" x14ac:dyDescent="0.25">
      <c r="D33" s="6">
        <f ca="1"/>
        <v>46027</v>
      </c>
      <c r="E33" s="28" cm="1">
        <f t="array" aca="1" ref="E33" ca="1">_xll.FDS($E$7,"P_PRICE("&amp;D33&amp;",0,D,D)")</f>
        <v>128.31</v>
      </c>
      <c r="F33" s="29" cm="1">
        <f t="array" aca="1" ref="F33" ca="1">_xll.FDS($E$7,"P_BETA_LOCIDX("&amp;$AG33&amp;","&amp;$AL33&amp;",,"""&amp;$E$9&amp;""")")</f>
        <v>1.1190207999999999</v>
      </c>
      <c r="G33" s="30">
        <f t="shared" ca="1" si="2"/>
        <v>-3.8242056667331902E-4</v>
      </c>
      <c r="H33" s="30">
        <f t="shared" ca="1" si="0"/>
        <v>-1.206074392050905E-2</v>
      </c>
      <c r="I33" s="30">
        <f t="shared" ca="1" si="0"/>
        <v>5.2643041749289923E-2</v>
      </c>
      <c r="J33" s="30">
        <f t="shared" ca="1" si="0"/>
        <v>6.4180164012475713E-2</v>
      </c>
      <c r="K33" s="30">
        <f t="shared" ca="1" si="3"/>
        <v>-4.5035729186687027E-3</v>
      </c>
      <c r="L33" s="30">
        <f t="shared" ca="1" si="1"/>
        <v>2.1025122311639007E-2</v>
      </c>
      <c r="M33" s="30">
        <f t="shared" ca="1" si="1"/>
        <v>7.3321751032503326E-3</v>
      </c>
      <c r="N33" s="30">
        <f t="shared" ca="1" si="1"/>
        <v>2.4576730344758175E-2</v>
      </c>
      <c r="O33" s="30">
        <f t="shared" ca="1" si="4"/>
        <v>-4.8859934853420217E-3</v>
      </c>
      <c r="P33" s="30">
        <f t="shared" ca="1" si="5"/>
        <v>8.9643783911299568E-3</v>
      </c>
      <c r="Q33" s="30">
        <f t="shared" ca="1" si="6"/>
        <v>5.9975216852540258E-2</v>
      </c>
      <c r="R33" s="30">
        <f t="shared" ca="1" si="7"/>
        <v>8.8756894357233884E-2</v>
      </c>
      <c r="S33" s="9" cm="1">
        <f t="array" aca="1" ref="S33" ca="1">_xll.FDS($E$7,"P_PRICE("&amp;AG33&amp;",0,D,D)")</f>
        <v>128.31</v>
      </c>
      <c r="T33" s="9" cm="1">
        <f t="array" aca="1" ref="T33" ca="1">_xll.FDS($E$7,"P_PRICE("&amp;AH33&amp;",0,D,D)")</f>
        <v>128.94</v>
      </c>
      <c r="U33" s="9" cm="1">
        <f t="array" aca="1" ref="U33" ca="1">_xll.FDS($E$7,"P_PRICE("&amp;AI33&amp;",0,D,D)")</f>
        <v>127.17</v>
      </c>
      <c r="V33" s="9" cm="1">
        <f t="array" aca="1" ref="V33" ca="1">_xll.FDS($E$7,"P_PRICE("&amp;AJ33&amp;",0,D,D)")</f>
        <v>121.05</v>
      </c>
      <c r="W33" s="9" cm="1">
        <f t="array" aca="1" ref="W33" ca="1">_xll.FDS($E$7,"P_PRICE("&amp;AK33&amp;",0,D,D)")</f>
        <v>117.85</v>
      </c>
      <c r="X33" s="24">
        <f t="shared" ca="1" si="8"/>
        <v>-4.0245658692570352E-3</v>
      </c>
      <c r="Y33" s="24">
        <f t="shared" ca="1" si="9"/>
        <v>1.8788857465061426E-2</v>
      </c>
      <c r="Z33" s="24">
        <f t="shared" ca="1" si="10"/>
        <v>6.5523135077116823E-3</v>
      </c>
      <c r="AA33" s="24">
        <f t="shared" ca="1" si="11"/>
        <v>2.1962710920796269E-2</v>
      </c>
      <c r="AB33" s="9" cm="1">
        <f t="array" aca="1" ref="AB33" ca="1">_xll.FDS($E$9,"P_PRICE("&amp;AG33&amp;",0,D,D)")</f>
        <v>6902.05</v>
      </c>
      <c r="AC33" s="9" cm="1">
        <f t="array" aca="1" ref="AC33" ca="1">_xll.FDS($E$9,"P_PRICE("&amp;AH33&amp;",0,D,D)")</f>
        <v>6929.94</v>
      </c>
      <c r="AD33" s="9" cm="1">
        <f t="array" aca="1" ref="AD33" ca="1">_xll.FDS($E$9,"P_PRICE("&amp;AI33&amp;",0,D,D)")</f>
        <v>6774.76</v>
      </c>
      <c r="AE33" s="9" cm="1">
        <f t="array" aca="1" ref="AE33" ca="1">_xll.FDS($E$9,"P_PRICE("&amp;AJ33&amp;",0,D,D)")</f>
        <v>6857.12</v>
      </c>
      <c r="AF33" s="9" cm="1">
        <f t="array" aca="1" ref="AF33" ca="1">_xll.FDS($E$9,"P_PRICE("&amp;AK33&amp;",0,D,D)")</f>
        <v>6753.72</v>
      </c>
      <c r="AG33" s="20">
        <f t="shared" ca="1" si="17"/>
        <v>46027</v>
      </c>
      <c r="AH33" s="22">
        <f t="shared" ca="1" si="12"/>
        <v>46017</v>
      </c>
      <c r="AI33" s="22">
        <f t="shared" ca="1" si="13"/>
        <v>46009</v>
      </c>
      <c r="AJ33" s="22">
        <f t="shared" ca="1" si="14"/>
        <v>45995</v>
      </c>
      <c r="AK33" s="22">
        <f t="shared" ca="1" si="15"/>
        <v>45938</v>
      </c>
      <c r="AL33" s="22">
        <f t="shared" ca="1" si="16"/>
        <v>45853</v>
      </c>
      <c r="AN33" s="21">
        <v>45023</v>
      </c>
    </row>
    <row r="34" spans="4:40" x14ac:dyDescent="0.25">
      <c r="D34" s="6">
        <f ca="1"/>
        <v>46024</v>
      </c>
      <c r="E34" s="28" cm="1">
        <f t="array" aca="1" ref="E34" ca="1">_xll.FDS($E$7,"P_PRICE("&amp;D34&amp;",0,D,D)")</f>
        <v>126.44</v>
      </c>
      <c r="F34" s="29" cm="1">
        <f t="array" aca="1" ref="F34" ca="1">_xll.FDS($E$7,"P_BETA_LOCIDX("&amp;$AG34&amp;","&amp;$AL34&amp;",,"""&amp;$E$9&amp;""")")</f>
        <v>1.1123642</v>
      </c>
      <c r="G34" s="30">
        <f t="shared" ca="1" si="2"/>
        <v>3.1824053526676756E-3</v>
      </c>
      <c r="H34" s="30">
        <f t="shared" ca="1" si="0"/>
        <v>4.8703184268659612E-3</v>
      </c>
      <c r="I34" s="30">
        <f t="shared" ca="1" si="0"/>
        <v>4.0437970844563971E-2</v>
      </c>
      <c r="J34" s="30">
        <f t="shared" ca="1" si="0"/>
        <v>6.2978807971044687E-2</v>
      </c>
      <c r="K34" s="30">
        <f t="shared" ca="1" si="3"/>
        <v>-1.1807150530651071E-2</v>
      </c>
      <c r="L34" s="30">
        <f t="shared" ca="1" si="1"/>
        <v>2.2679458086746384E-2</v>
      </c>
      <c r="M34" s="30">
        <f t="shared" ca="1" si="1"/>
        <v>1.4209612582704507E-3</v>
      </c>
      <c r="N34" s="30">
        <f t="shared" ca="1" si="1"/>
        <v>2.3835701226135909E-2</v>
      </c>
      <c r="O34" s="30">
        <f t="shared" ca="1" si="4"/>
        <v>-8.624745177983395E-3</v>
      </c>
      <c r="P34" s="30">
        <f t="shared" ca="1" si="5"/>
        <v>2.7549776513612345E-2</v>
      </c>
      <c r="Q34" s="30">
        <f t="shared" ca="1" si="6"/>
        <v>4.1858932102834423E-2</v>
      </c>
      <c r="R34" s="30">
        <f t="shared" ca="1" si="7"/>
        <v>8.6814509197180589E-2</v>
      </c>
      <c r="S34" s="9" cm="1">
        <f t="array" aca="1" ref="S34" ca="1">_xll.FDS($E$7,"P_PRICE("&amp;AG34&amp;",0,D,D)")</f>
        <v>126.44</v>
      </c>
      <c r="T34" s="9" cm="1">
        <f t="array" aca="1" ref="T34" ca="1">_xll.FDS($E$7,"P_PRICE("&amp;AH34&amp;",0,D,D)")</f>
        <v>127.54</v>
      </c>
      <c r="U34" s="9" cm="1">
        <f t="array" aca="1" ref="U34" ca="1">_xll.FDS($E$7,"P_PRICE("&amp;AI34&amp;",0,D,D)")</f>
        <v>123.05</v>
      </c>
      <c r="V34" s="9" cm="1">
        <f t="array" aca="1" ref="V34" ca="1">_xll.FDS($E$7,"P_PRICE("&amp;AJ34&amp;",0,D,D)")</f>
        <v>121.36</v>
      </c>
      <c r="W34" s="9" cm="1">
        <f t="array" aca="1" ref="W34" ca="1">_xll.FDS($E$7,"P_PRICE("&amp;AK34&amp;",0,D,D)")</f>
        <v>116.34</v>
      </c>
      <c r="X34" s="24">
        <f t="shared" ca="1" si="8"/>
        <v>-1.0614464696590442E-2</v>
      </c>
      <c r="Y34" s="24">
        <f t="shared" ca="1" si="9"/>
        <v>2.038851851466128E-2</v>
      </c>
      <c r="Z34" s="24">
        <f t="shared" ca="1" si="10"/>
        <v>1.277424478664857E-3</v>
      </c>
      <c r="AA34" s="24">
        <f t="shared" ca="1" si="11"/>
        <v>2.1427965073072208E-2</v>
      </c>
      <c r="AB34" s="9" cm="1">
        <f t="array" aca="1" ref="AB34" ca="1">_xll.FDS($E$9,"P_PRICE("&amp;AG34&amp;",0,D,D)")</f>
        <v>6858.47</v>
      </c>
      <c r="AC34" s="9" cm="1">
        <f t="array" aca="1" ref="AC34" ca="1">_xll.FDS($E$9,"P_PRICE("&amp;AH34&amp;",0,D,D)")</f>
        <v>6932.05</v>
      </c>
      <c r="AD34" s="9" cm="1">
        <f t="array" aca="1" ref="AD34" ca="1">_xll.FDS($E$9,"P_PRICE("&amp;AI34&amp;",0,D,D)")</f>
        <v>6721.43</v>
      </c>
      <c r="AE34" s="9" cm="1">
        <f t="array" aca="1" ref="AE34" ca="1">_xll.FDS($E$9,"P_PRICE("&amp;AJ34&amp;",0,D,D)")</f>
        <v>6849.72</v>
      </c>
      <c r="AF34" s="9" cm="1">
        <f t="array" aca="1" ref="AF34" ca="1">_xll.FDS($E$9,"P_PRICE("&amp;AK34&amp;",0,D,D)")</f>
        <v>6714.59</v>
      </c>
      <c r="AG34" s="20">
        <f t="shared" ca="1" si="17"/>
        <v>46024</v>
      </c>
      <c r="AH34" s="22">
        <f t="shared" ca="1" si="12"/>
        <v>46015</v>
      </c>
      <c r="AI34" s="22">
        <f t="shared" ca="1" si="13"/>
        <v>46008</v>
      </c>
      <c r="AJ34" s="22">
        <f t="shared" ca="1" si="14"/>
        <v>45994</v>
      </c>
      <c r="AK34" s="22">
        <f t="shared" ca="1" si="15"/>
        <v>45937</v>
      </c>
      <c r="AL34" s="22">
        <f t="shared" ca="1" si="16"/>
        <v>45852</v>
      </c>
      <c r="AN34" s="21">
        <v>45075</v>
      </c>
    </row>
    <row r="35" spans="4:40" x14ac:dyDescent="0.25">
      <c r="D35" s="6">
        <f ca="1"/>
        <v>46022</v>
      </c>
      <c r="E35" s="28" cm="1">
        <f t="array" aca="1" ref="E35" ca="1">_xll.FDS($E$7,"P_PRICE("&amp;D35&amp;",0,D,D)")</f>
        <v>124.8</v>
      </c>
      <c r="F35" s="29" cm="1">
        <f t="array" aca="1" ref="F35" ca="1">_xll.FDS($E$7,"P_BETA_LOCIDX("&amp;$AG35&amp;","&amp;$AL35&amp;",,"""&amp;$E$9&amp;""")")</f>
        <v>1.1138052000000001</v>
      </c>
      <c r="G35" s="30">
        <f t="shared" ca="1" si="2"/>
        <v>-3.8549541169325494E-3</v>
      </c>
      <c r="H35" s="30">
        <f t="shared" ca="1" si="0"/>
        <v>-2.4113232396666757E-2</v>
      </c>
      <c r="I35" s="30">
        <f t="shared" ca="1" si="0"/>
        <v>4.9557193140819966E-2</v>
      </c>
      <c r="J35" s="30">
        <f t="shared" ca="1" si="0"/>
        <v>3.8986595773019175E-2</v>
      </c>
      <c r="K35" s="30">
        <f t="shared" ca="1" si="3"/>
        <v>-1.0363055361740361E-2</v>
      </c>
      <c r="L35" s="30">
        <f t="shared" ca="1" si="1"/>
        <v>7.4097971618731955E-3</v>
      </c>
      <c r="M35" s="30">
        <f t="shared" ca="1" si="1"/>
        <v>2.6306493682434224E-3</v>
      </c>
      <c r="N35" s="30">
        <f t="shared" ca="1" si="1"/>
        <v>1.738719803094228E-2</v>
      </c>
      <c r="O35" s="30">
        <f t="shared" ca="1" si="4"/>
        <v>-1.4218009478672911E-2</v>
      </c>
      <c r="P35" s="30">
        <f t="shared" ca="1" si="5"/>
        <v>-1.6703435234793562E-2</v>
      </c>
      <c r="Q35" s="30">
        <f t="shared" ca="1" si="6"/>
        <v>5.2187842509063387E-2</v>
      </c>
      <c r="R35" s="30">
        <f t="shared" ca="1" si="7"/>
        <v>5.6373793803961458E-2</v>
      </c>
      <c r="S35" s="9" cm="1">
        <f t="array" aca="1" ref="S35" ca="1">_xll.FDS($E$7,"P_PRICE("&amp;AG35&amp;",0,D,D)")</f>
        <v>124.8</v>
      </c>
      <c r="T35" s="9" cm="1">
        <f t="array" aca="1" ref="T35" ca="1">_xll.FDS($E$7,"P_PRICE("&amp;AH35&amp;",0,D,D)")</f>
        <v>126.6</v>
      </c>
      <c r="U35" s="9" cm="1">
        <f t="array" aca="1" ref="U35" ca="1">_xll.FDS($E$7,"P_PRICE("&amp;AI35&amp;",0,D,D)")</f>
        <v>126.92</v>
      </c>
      <c r="V35" s="9" cm="1">
        <f t="array" aca="1" ref="V35" ca="1">_xll.FDS($E$7,"P_PRICE("&amp;AJ35&amp;",0,D,D)")</f>
        <v>118.61</v>
      </c>
      <c r="W35" s="9" cm="1">
        <f t="array" aca="1" ref="W35" ca="1">_xll.FDS($E$7,"P_PRICE("&amp;AK35&amp;",0,D,D)")</f>
        <v>118.14</v>
      </c>
      <c r="X35" s="24">
        <f t="shared" ca="1" si="8"/>
        <v>-9.3041901418132733E-3</v>
      </c>
      <c r="Y35" s="24">
        <f t="shared" ca="1" si="9"/>
        <v>6.6526868090337477E-3</v>
      </c>
      <c r="Z35" s="24">
        <f t="shared" ca="1" si="10"/>
        <v>2.3618576823338788E-3</v>
      </c>
      <c r="AA35" s="24">
        <f t="shared" ca="1" si="11"/>
        <v>1.5610627451678516E-2</v>
      </c>
      <c r="AB35" s="9" cm="1">
        <f t="array" aca="1" ref="AB35" ca="1">_xll.FDS($E$9,"P_PRICE("&amp;AG35&amp;",0,D,D)")</f>
        <v>6845.5</v>
      </c>
      <c r="AC35" s="9" cm="1">
        <f t="array" aca="1" ref="AC35" ca="1">_xll.FDS($E$9,"P_PRICE("&amp;AH35&amp;",0,D,D)")</f>
        <v>6909.79</v>
      </c>
      <c r="AD35" s="9" cm="1">
        <f t="array" aca="1" ref="AD35" ca="1">_xll.FDS($E$9,"P_PRICE("&amp;AI35&amp;",0,D,D)")</f>
        <v>6800.26</v>
      </c>
      <c r="AE35" s="9" cm="1">
        <f t="array" aca="1" ref="AE35" ca="1">_xll.FDS($E$9,"P_PRICE("&amp;AJ35&amp;",0,D,D)")</f>
        <v>6829.37</v>
      </c>
      <c r="AF35" s="9" cm="1">
        <f t="array" aca="1" ref="AF35" ca="1">_xll.FDS($E$9,"P_PRICE("&amp;AK35&amp;",0,D,D)")</f>
        <v>6740.28</v>
      </c>
      <c r="AG35" s="20">
        <f t="shared" ca="1" si="17"/>
        <v>46022</v>
      </c>
      <c r="AH35" s="22">
        <f t="shared" ca="1" si="12"/>
        <v>46014</v>
      </c>
      <c r="AI35" s="22">
        <f t="shared" ca="1" si="13"/>
        <v>46007</v>
      </c>
      <c r="AJ35" s="22">
        <f t="shared" ca="1" si="14"/>
        <v>45993</v>
      </c>
      <c r="AK35" s="22">
        <f t="shared" ca="1" si="15"/>
        <v>45936</v>
      </c>
      <c r="AL35" s="22">
        <f t="shared" ca="1" si="16"/>
        <v>45849</v>
      </c>
      <c r="AN35" s="21">
        <v>45096</v>
      </c>
    </row>
    <row r="36" spans="4:40" x14ac:dyDescent="0.25">
      <c r="D36" s="6">
        <f ca="1"/>
        <v>46021</v>
      </c>
      <c r="E36" s="28" cm="1">
        <f t="array" aca="1" ref="E36" ca="1">_xll.FDS($E$7,"P_PRICE("&amp;D36&amp;",0,D,D)")</f>
        <v>125.81</v>
      </c>
      <c r="F36" s="29" cm="1">
        <f t="array" aca="1" ref="F36" ca="1">_xll.FDS($E$7,"P_BETA_LOCIDX("&amp;$AG36&amp;","&amp;$AL36&amp;",,"""&amp;$E$9&amp;""")")</f>
        <v>1.1082422999999999</v>
      </c>
      <c r="G36" s="30">
        <f t="shared" ca="1" si="2"/>
        <v>-6.1081249920676498E-3</v>
      </c>
      <c r="H36" s="30">
        <f t="shared" ca="1" si="0"/>
        <v>-2.4356664913715829E-2</v>
      </c>
      <c r="I36" s="30">
        <f t="shared" ca="1" si="0"/>
        <v>3.7618691082497394E-2</v>
      </c>
      <c r="J36" s="30">
        <f t="shared" ca="1" si="0"/>
        <v>1.898832563880434E-2</v>
      </c>
      <c r="K36" s="30">
        <f t="shared" ca="1" si="3"/>
        <v>2.8598283671271226E-3</v>
      </c>
      <c r="L36" s="30">
        <f t="shared" ca="1" si="1"/>
        <v>1.2962668371204442E-2</v>
      </c>
      <c r="M36" s="30">
        <f t="shared" ca="1" si="1"/>
        <v>1.360122870359891E-2</v>
      </c>
      <c r="N36" s="30">
        <f t="shared" ca="1" si="1"/>
        <v>2.9777929779668564E-2</v>
      </c>
      <c r="O36" s="30">
        <f t="shared" ca="1" si="4"/>
        <v>-3.2482966249405276E-3</v>
      </c>
      <c r="P36" s="30">
        <f t="shared" ca="1" si="5"/>
        <v>-1.1393996542511386E-2</v>
      </c>
      <c r="Q36" s="30">
        <f t="shared" ca="1" si="6"/>
        <v>5.1219919786096302E-2</v>
      </c>
      <c r="R36" s="30">
        <f t="shared" ca="1" si="7"/>
        <v>4.8766255418472904E-2</v>
      </c>
      <c r="S36" s="9" cm="1">
        <f t="array" aca="1" ref="S36" ca="1">_xll.FDS($E$7,"P_PRICE("&amp;AG36&amp;",0,D,D)")</f>
        <v>125.81</v>
      </c>
      <c r="T36" s="9" cm="1">
        <f t="array" aca="1" ref="T36" ca="1">_xll.FDS($E$7,"P_PRICE("&amp;AH36&amp;",0,D,D)")</f>
        <v>126.22</v>
      </c>
      <c r="U36" s="9" cm="1">
        <f t="array" aca="1" ref="U36" ca="1">_xll.FDS($E$7,"P_PRICE("&amp;AI36&amp;",0,D,D)")</f>
        <v>127.26</v>
      </c>
      <c r="V36" s="9" cm="1">
        <f t="array" aca="1" ref="V36" ca="1">_xll.FDS($E$7,"P_PRICE("&amp;AJ36&amp;",0,D,D)")</f>
        <v>119.68</v>
      </c>
      <c r="W36" s="9" cm="1">
        <f t="array" aca="1" ref="W36" ca="1">_xll.FDS($E$7,"P_PRICE("&amp;AK36&amp;",0,D,D)")</f>
        <v>119.96</v>
      </c>
      <c r="X36" s="24">
        <f t="shared" ca="1" si="8"/>
        <v>2.58050822200806E-3</v>
      </c>
      <c r="Y36" s="24">
        <f t="shared" ca="1" si="9"/>
        <v>1.1696601339981738E-2</v>
      </c>
      <c r="Z36" s="24">
        <f t="shared" ca="1" si="10"/>
        <v>1.2272793326512543E-2</v>
      </c>
      <c r="AA36" s="24">
        <f t="shared" ca="1" si="11"/>
        <v>2.6869512000821993E-2</v>
      </c>
      <c r="AB36" s="9" cm="1">
        <f t="array" aca="1" ref="AB36" ca="1">_xll.FDS($E$9,"P_PRICE("&amp;AG36&amp;",0,D,D)")</f>
        <v>6896.24</v>
      </c>
      <c r="AC36" s="9" cm="1">
        <f t="array" aca="1" ref="AC36" ca="1">_xll.FDS($E$9,"P_PRICE("&amp;AH36&amp;",0,D,D)")</f>
        <v>6878.49</v>
      </c>
      <c r="AD36" s="9" cm="1">
        <f t="array" aca="1" ref="AD36" ca="1">_xll.FDS($E$9,"P_PRICE("&amp;AI36&amp;",0,D,D)")</f>
        <v>6816.51</v>
      </c>
      <c r="AE36" s="9" cm="1">
        <f t="array" aca="1" ref="AE36" ca="1">_xll.FDS($E$9,"P_PRICE("&amp;AJ36&amp;",0,D,D)")</f>
        <v>6812.63</v>
      </c>
      <c r="AF36" s="9" cm="1">
        <f t="array" aca="1" ref="AF36" ca="1">_xll.FDS($E$9,"P_PRICE("&amp;AK36&amp;",0,D,D)")</f>
        <v>6715.79</v>
      </c>
      <c r="AG36" s="20">
        <f t="shared" ca="1" si="17"/>
        <v>46021</v>
      </c>
      <c r="AH36" s="22">
        <f t="shared" ca="1" si="12"/>
        <v>46013</v>
      </c>
      <c r="AI36" s="22">
        <f t="shared" ca="1" si="13"/>
        <v>46006</v>
      </c>
      <c r="AJ36" s="22">
        <f t="shared" ca="1" si="14"/>
        <v>45992</v>
      </c>
      <c r="AK36" s="22">
        <f t="shared" ca="1" si="15"/>
        <v>45933</v>
      </c>
      <c r="AL36" s="22">
        <f t="shared" ca="1" si="16"/>
        <v>45848</v>
      </c>
      <c r="AN36" s="21">
        <v>45111</v>
      </c>
    </row>
    <row r="37" spans="4:40" x14ac:dyDescent="0.25">
      <c r="D37" s="6">
        <f ca="1"/>
        <v>46020</v>
      </c>
      <c r="E37" s="28" cm="1">
        <f t="array" aca="1" ref="E37" ca="1">_xll.FDS($E$7,"P_PRICE("&amp;D37&amp;",0,D,D)")</f>
        <v>127.35</v>
      </c>
      <c r="F37" s="29" cm="1">
        <f t="array" aca="1" ref="F37" ca="1">_xll.FDS($E$7,"P_BETA_LOCIDX("&amp;$AG37&amp;","&amp;$AL37&amp;",,"""&amp;$E$9&amp;""")")</f>
        <v>1.1135873999999999</v>
      </c>
      <c r="G37" s="30">
        <f t="shared" ca="1" si="2"/>
        <v>1.1941694332282557E-2</v>
      </c>
      <c r="H37" s="30">
        <f t="shared" ca="1" si="2"/>
        <v>-5.260222749587401E-3</v>
      </c>
      <c r="I37" s="30">
        <f t="shared" ca="1" si="2"/>
        <v>5.2393195266620951E-2</v>
      </c>
      <c r="J37" s="30">
        <f t="shared" ca="1" si="2"/>
        <v>1.9691169029496906E-2</v>
      </c>
      <c r="K37" s="30">
        <f t="shared" ca="1" si="3"/>
        <v>1.1607574274050661E-2</v>
      </c>
      <c r="L37" s="30">
        <f t="shared" ca="1" si="3"/>
        <v>1.2776045534397401E-2</v>
      </c>
      <c r="M37" s="30">
        <f t="shared" ca="1" si="3"/>
        <v>9.2106726893644263E-3</v>
      </c>
      <c r="N37" s="30">
        <f t="shared" ca="1" si="3"/>
        <v>3.1571832456387235E-2</v>
      </c>
      <c r="O37" s="30">
        <f t="shared" ca="1" si="4"/>
        <v>2.3549268606333218E-2</v>
      </c>
      <c r="P37" s="30">
        <f t="shared" ca="1" si="5"/>
        <v>7.5158227848100001E-3</v>
      </c>
      <c r="Q37" s="30">
        <f t="shared" ca="1" si="6"/>
        <v>6.1603867955985381E-2</v>
      </c>
      <c r="R37" s="30">
        <f t="shared" ca="1" si="7"/>
        <v>5.1263001485884141E-2</v>
      </c>
      <c r="S37" s="9" cm="1">
        <f t="array" aca="1" ref="S37" ca="1">_xll.FDS($E$7,"P_PRICE("&amp;AG37&amp;",0,D,D)")</f>
        <v>127.35</v>
      </c>
      <c r="T37" s="9" cm="1">
        <f t="array" aca="1" ref="T37" ca="1">_xll.FDS($E$7,"P_PRICE("&amp;AH37&amp;",0,D,D)")</f>
        <v>124.42</v>
      </c>
      <c r="U37" s="9" cm="1">
        <f t="array" aca="1" ref="U37" ca="1">_xll.FDS($E$7,"P_PRICE("&amp;AI37&amp;",0,D,D)")</f>
        <v>126.4</v>
      </c>
      <c r="V37" s="9" cm="1">
        <f t="array" aca="1" ref="V37" ca="1">_xll.FDS($E$7,"P_PRICE("&amp;AJ37&amp;",0,D,D)")</f>
        <v>119.96</v>
      </c>
      <c r="W37" s="9" cm="1">
        <f t="array" aca="1" ref="W37" ca="1">_xll.FDS($E$7,"P_PRICE("&amp;AK37&amp;",0,D,D)")</f>
        <v>121.14</v>
      </c>
      <c r="X37" s="24">
        <f t="shared" ca="1" si="8"/>
        <v>1.0423586216987246E-2</v>
      </c>
      <c r="Y37" s="24">
        <f t="shared" ca="1" si="9"/>
        <v>1.1472871850379596E-2</v>
      </c>
      <c r="Z37" s="24">
        <f t="shared" ca="1" si="10"/>
        <v>8.271171790704912E-3</v>
      </c>
      <c r="AA37" s="24">
        <f t="shared" ca="1" si="11"/>
        <v>2.8351463438242241E-2</v>
      </c>
      <c r="AB37" s="9" cm="1">
        <f t="array" aca="1" ref="AB37" ca="1">_xll.FDS($E$9,"P_PRICE("&amp;AG37&amp;",0,D,D)")</f>
        <v>6905.74</v>
      </c>
      <c r="AC37" s="9" cm="1">
        <f t="array" aca="1" ref="AC37" ca="1">_xll.FDS($E$9,"P_PRICE("&amp;AH37&amp;",0,D,D)")</f>
        <v>6834.5</v>
      </c>
      <c r="AD37" s="9" cm="1">
        <f t="array" aca="1" ref="AD37" ca="1">_xll.FDS($E$9,"P_PRICE("&amp;AI37&amp;",0,D,D)")</f>
        <v>6827.41</v>
      </c>
      <c r="AE37" s="9" cm="1">
        <f t="array" aca="1" ref="AE37" ca="1">_xll.FDS($E$9,"P_PRICE("&amp;AJ37&amp;",0,D,D)")</f>
        <v>6849.09</v>
      </c>
      <c r="AF37" s="9" cm="1">
        <f t="array" aca="1" ref="AF37" ca="1">_xll.FDS($E$9,"P_PRICE("&amp;AK37&amp;",0,D,D)")</f>
        <v>6715.35</v>
      </c>
      <c r="AG37" s="20">
        <f t="shared" ca="1" si="17"/>
        <v>46020</v>
      </c>
      <c r="AH37" s="22">
        <f t="shared" ca="1" si="12"/>
        <v>46010</v>
      </c>
      <c r="AI37" s="22">
        <f t="shared" ca="1" si="13"/>
        <v>46003</v>
      </c>
      <c r="AJ37" s="22">
        <f t="shared" ca="1" si="14"/>
        <v>45989</v>
      </c>
      <c r="AK37" s="22">
        <f t="shared" ca="1" si="15"/>
        <v>45932</v>
      </c>
      <c r="AL37" s="22">
        <f t="shared" ca="1" si="16"/>
        <v>45847</v>
      </c>
      <c r="AN37" s="21">
        <v>45173</v>
      </c>
    </row>
    <row r="38" spans="4:40" x14ac:dyDescent="0.25">
      <c r="D38" s="6">
        <f ca="1"/>
        <v>46017</v>
      </c>
      <c r="E38" s="28" cm="1">
        <f t="array" aca="1" ref="E38" ca="1">_xll.FDS($E$7,"P_PRICE("&amp;D38&amp;",0,D,D)")</f>
        <v>128.94</v>
      </c>
      <c r="F38" s="29" cm="1">
        <f t="array" aca="1" ref="F38" ca="1">_xll.FDS($E$7,"P_BETA_LOCIDX("&amp;$AG38&amp;","&amp;$AL38&amp;",,"""&amp;$E$9&amp;""")")</f>
        <v>1.1050442</v>
      </c>
      <c r="G38" s="30">
        <f t="shared" ca="1" si="2"/>
        <v>-1.1393332805308794E-2</v>
      </c>
      <c r="H38" s="30">
        <f t="shared" ca="1" si="2"/>
        <v>1.0721431829469118E-2</v>
      </c>
      <c r="I38" s="30">
        <f t="shared" ca="1" si="2"/>
        <v>5.8521471792329846E-2</v>
      </c>
      <c r="J38" s="30">
        <f t="shared" ca="1" si="2"/>
        <v>3.9827794398855344E-2</v>
      </c>
      <c r="K38" s="30">
        <f t="shared" ca="1" si="3"/>
        <v>2.5311709781010657E-2</v>
      </c>
      <c r="L38" s="30">
        <f t="shared" ca="1" si="3"/>
        <v>4.6341079768147837E-3</v>
      </c>
      <c r="M38" s="30">
        <f t="shared" ca="1" si="3"/>
        <v>1.9031595230902656E-2</v>
      </c>
      <c r="N38" s="30">
        <f t="shared" ca="1" si="3"/>
        <v>3.601701160865408E-2</v>
      </c>
      <c r="O38" s="30">
        <f t="shared" ca="1" si="4"/>
        <v>1.3918376975701863E-2</v>
      </c>
      <c r="P38" s="30">
        <f t="shared" ca="1" si="5"/>
        <v>1.5355539806283902E-2</v>
      </c>
      <c r="Q38" s="30">
        <f t="shared" ca="1" si="6"/>
        <v>7.7553067023232503E-2</v>
      </c>
      <c r="R38" s="30">
        <f t="shared" ca="1" si="7"/>
        <v>7.5844806007509424E-2</v>
      </c>
      <c r="S38" s="9" cm="1">
        <f t="array" aca="1" ref="S38" ca="1">_xll.FDS($E$7,"P_PRICE("&amp;AG38&amp;",0,D,D)")</f>
        <v>128.94</v>
      </c>
      <c r="T38" s="9" cm="1">
        <f t="array" aca="1" ref="T38" ca="1">_xll.FDS($E$7,"P_PRICE("&amp;AH38&amp;",0,D,D)")</f>
        <v>127.17</v>
      </c>
      <c r="U38" s="9" cm="1">
        <f t="array" aca="1" ref="U38" ca="1">_xll.FDS($E$7,"P_PRICE("&amp;AI38&amp;",0,D,D)")</f>
        <v>126.99</v>
      </c>
      <c r="V38" s="9" cm="1">
        <f t="array" aca="1" ref="V38" ca="1">_xll.FDS($E$7,"P_PRICE("&amp;AJ38&amp;",0,D,D)")</f>
        <v>119.66</v>
      </c>
      <c r="W38" s="9" cm="1">
        <f t="array" aca="1" ref="W38" ca="1">_xll.FDS($E$7,"P_PRICE("&amp;AK38&amp;",0,D,D)")</f>
        <v>119.85</v>
      </c>
      <c r="X38" s="24">
        <f t="shared" ca="1" si="8"/>
        <v>2.2905608464358851E-2</v>
      </c>
      <c r="Y38" s="24">
        <f t="shared" ca="1" si="9"/>
        <v>4.1935951311402597E-3</v>
      </c>
      <c r="Z38" s="24">
        <f t="shared" ca="1" si="10"/>
        <v>1.7222474205921046E-2</v>
      </c>
      <c r="AA38" s="24">
        <f t="shared" ca="1" si="11"/>
        <v>3.2593276910239499E-2</v>
      </c>
      <c r="AB38" s="9" cm="1">
        <f t="array" aca="1" ref="AB38" ca="1">_xll.FDS($E$9,"P_PRICE("&amp;AG38&amp;",0,D,D)")</f>
        <v>6929.94</v>
      </c>
      <c r="AC38" s="9" cm="1">
        <f t="array" aca="1" ref="AC38" ca="1">_xll.FDS($E$9,"P_PRICE("&amp;AH38&amp;",0,D,D)")</f>
        <v>6774.76</v>
      </c>
      <c r="AD38" s="9" cm="1">
        <f t="array" aca="1" ref="AD38" ca="1">_xll.FDS($E$9,"P_PRICE("&amp;AI38&amp;",0,D,D)")</f>
        <v>6901</v>
      </c>
      <c r="AE38" s="9" cm="1">
        <f t="array" aca="1" ref="AE38" ca="1">_xll.FDS($E$9,"P_PRICE("&amp;AJ38&amp;",0,D,D)")</f>
        <v>6812.61</v>
      </c>
      <c r="AF38" s="9" cm="1">
        <f t="array" aca="1" ref="AF38" ca="1">_xll.FDS($E$9,"P_PRICE("&amp;AK38&amp;",0,D,D)")</f>
        <v>6711.2</v>
      </c>
      <c r="AG38" s="20">
        <f t="shared" ca="1" si="17"/>
        <v>46017</v>
      </c>
      <c r="AH38" s="22">
        <f t="shared" ca="1" si="12"/>
        <v>46009</v>
      </c>
      <c r="AI38" s="22">
        <f t="shared" ca="1" si="13"/>
        <v>46002</v>
      </c>
      <c r="AJ38" s="22">
        <f t="shared" ca="1" si="14"/>
        <v>45987</v>
      </c>
      <c r="AK38" s="22">
        <f t="shared" ca="1" si="15"/>
        <v>45931</v>
      </c>
      <c r="AL38" s="22">
        <f t="shared" ca="1" si="16"/>
        <v>45846</v>
      </c>
      <c r="AN38" s="21">
        <v>45253</v>
      </c>
    </row>
    <row r="39" spans="4:40" x14ac:dyDescent="0.25">
      <c r="D39" s="6">
        <f ca="1"/>
        <v>46015</v>
      </c>
      <c r="E39" s="28" cm="1">
        <f t="array" aca="1" ref="E39" ca="1">_xll.FDS($E$7,"P_PRICE("&amp;D39&amp;",0,D,D)")</f>
        <v>127.54</v>
      </c>
      <c r="F39" s="29" cm="1">
        <f t="array" aca="1" ref="F39" ca="1">_xll.FDS($E$7,"P_BETA_LOCIDX("&amp;$AG39&amp;","&amp;$AL39&amp;",,"""&amp;$E$9&amp;""")")</f>
        <v>1.1060007000000001</v>
      </c>
      <c r="G39" s="30">
        <f t="shared" ca="1" si="2"/>
        <v>1.8320433804795352E-3</v>
      </c>
      <c r="H39" s="30">
        <f t="shared" ca="1" si="2"/>
        <v>1.189209876904827E-2</v>
      </c>
      <c r="I39" s="30">
        <f t="shared" ca="1" si="2"/>
        <v>6.9766185406102049E-2</v>
      </c>
      <c r="J39" s="30">
        <f t="shared" ca="1" si="2"/>
        <v>2.3439834991121289E-2</v>
      </c>
      <c r="K39" s="30">
        <f t="shared" ca="1" si="3"/>
        <v>3.4657188639024734E-2</v>
      </c>
      <c r="L39" s="30">
        <f t="shared" ca="1" si="3"/>
        <v>7.286421288487349E-3</v>
      </c>
      <c r="M39" s="30">
        <f t="shared" ca="1" si="3"/>
        <v>2.7163375099617384E-2</v>
      </c>
      <c r="N39" s="30">
        <f t="shared" ca="1" si="3"/>
        <v>4.0279931480938835E-2</v>
      </c>
      <c r="O39" s="30">
        <f t="shared" ca="1" si="4"/>
        <v>3.648923201950427E-2</v>
      </c>
      <c r="P39" s="30">
        <f t="shared" ca="1" si="5"/>
        <v>1.917852005753562E-2</v>
      </c>
      <c r="Q39" s="30">
        <f t="shared" ca="1" si="6"/>
        <v>9.6929560505719436E-2</v>
      </c>
      <c r="R39" s="30">
        <f t="shared" ca="1" si="7"/>
        <v>6.3719766472060124E-2</v>
      </c>
      <c r="S39" s="9" cm="1">
        <f t="array" aca="1" ref="S39" ca="1">_xll.FDS($E$7,"P_PRICE("&amp;AG39&amp;",0,D,D)")</f>
        <v>127.54</v>
      </c>
      <c r="T39" s="9" cm="1">
        <f t="array" aca="1" ref="T39" ca="1">_xll.FDS($E$7,"P_PRICE("&amp;AH39&amp;",0,D,D)")</f>
        <v>123.05</v>
      </c>
      <c r="U39" s="9" cm="1">
        <f t="array" aca="1" ref="U39" ca="1">_xll.FDS($E$7,"P_PRICE("&amp;AI39&amp;",0,D,D)")</f>
        <v>125.14</v>
      </c>
      <c r="V39" s="9" cm="1">
        <f t="array" aca="1" ref="V39" ca="1">_xll.FDS($E$7,"P_PRICE("&amp;AJ39&amp;",0,D,D)")</f>
        <v>116.27</v>
      </c>
      <c r="W39" s="9" cm="1">
        <f t="array" aca="1" ref="W39" ca="1">_xll.FDS($E$7,"P_PRICE("&amp;AK39&amp;",0,D,D)")</f>
        <v>119.9</v>
      </c>
      <c r="X39" s="24">
        <f t="shared" ca="1" si="8"/>
        <v>3.1335593765017267E-2</v>
      </c>
      <c r="Y39" s="24">
        <f t="shared" ca="1" si="9"/>
        <v>6.5880801779667486E-3</v>
      </c>
      <c r="Z39" s="24">
        <f t="shared" ca="1" si="10"/>
        <v>2.4559998108154346E-2</v>
      </c>
      <c r="AA39" s="24">
        <f t="shared" ca="1" si="11"/>
        <v>3.6419444834834946E-2</v>
      </c>
      <c r="AB39" s="9" cm="1">
        <f t="array" aca="1" ref="AB39" ca="1">_xll.FDS($E$9,"P_PRICE("&amp;AG39&amp;",0,D,D)")</f>
        <v>6932.05</v>
      </c>
      <c r="AC39" s="9" cm="1">
        <f t="array" aca="1" ref="AC39" ca="1">_xll.FDS($E$9,"P_PRICE("&amp;AH39&amp;",0,D,D)")</f>
        <v>6721.43</v>
      </c>
      <c r="AD39" s="9" cm="1">
        <f t="array" aca="1" ref="AD39" ca="1">_xll.FDS($E$9,"P_PRICE("&amp;AI39&amp;",0,D,D)")</f>
        <v>6886.68</v>
      </c>
      <c r="AE39" s="9" cm="1">
        <f t="array" aca="1" ref="AE39" ca="1">_xll.FDS($E$9,"P_PRICE("&amp;AJ39&amp;",0,D,D)")</f>
        <v>6765.88</v>
      </c>
      <c r="AF39" s="9" cm="1">
        <f t="array" aca="1" ref="AF39" ca="1">_xll.FDS($E$9,"P_PRICE("&amp;AK39&amp;",0,D,D)")</f>
        <v>6688.46</v>
      </c>
      <c r="AG39" s="20">
        <f t="shared" ca="1" si="17"/>
        <v>46015</v>
      </c>
      <c r="AH39" s="22">
        <f t="shared" ca="1" si="12"/>
        <v>46008</v>
      </c>
      <c r="AI39" s="22">
        <f t="shared" ca="1" si="13"/>
        <v>46001</v>
      </c>
      <c r="AJ39" s="22">
        <f t="shared" ca="1" si="14"/>
        <v>45986</v>
      </c>
      <c r="AK39" s="22">
        <f t="shared" ca="1" si="15"/>
        <v>45930</v>
      </c>
      <c r="AL39" s="22">
        <f t="shared" ca="1" si="16"/>
        <v>45845</v>
      </c>
      <c r="AN39" s="21">
        <v>45285</v>
      </c>
    </row>
    <row r="40" spans="4:40" x14ac:dyDescent="0.25">
      <c r="D40" s="6">
        <f ca="1"/>
        <v>46014</v>
      </c>
      <c r="E40" s="28" cm="1">
        <f t="array" aca="1" ref="E40" ca="1">_xll.FDS($E$7,"P_PRICE("&amp;D40&amp;",0,D,D)")</f>
        <v>126.6</v>
      </c>
      <c r="F40" s="29" cm="1">
        <f t="array" aca="1" ref="F40" ca="1">_xll.FDS($E$7,"P_BETA_LOCIDX("&amp;$AG40&amp;","&amp;$AL40&amp;",,"""&amp;$E$9&amp;""")")</f>
        <v>1.0974759999999999</v>
      </c>
      <c r="G40" s="30">
        <f t="shared" ca="1" si="2"/>
        <v>-2.0198030643440026E-2</v>
      </c>
      <c r="H40" s="30">
        <f t="shared" ca="1" si="2"/>
        <v>1.2411431348090359E-2</v>
      </c>
      <c r="I40" s="30">
        <f t="shared" ca="1" si="2"/>
        <v>9.0434824200556568E-2</v>
      </c>
      <c r="J40" s="30">
        <f t="shared" ca="1" si="2"/>
        <v>6.3853338139489901E-2</v>
      </c>
      <c r="K40" s="30">
        <f t="shared" ca="1" si="3"/>
        <v>1.7676757400452239E-2</v>
      </c>
      <c r="L40" s="30">
        <f t="shared" ca="1" si="3"/>
        <v>1.1115126983221871E-2</v>
      </c>
      <c r="M40" s="30">
        <f t="shared" ca="1" si="3"/>
        <v>3.3499834890352381E-2</v>
      </c>
      <c r="N40" s="30">
        <f t="shared" ca="1" si="3"/>
        <v>4.095510936901859E-2</v>
      </c>
      <c r="O40" s="30">
        <f t="shared" ca="1" si="4"/>
        <v>-2.5212732429877871E-3</v>
      </c>
      <c r="P40" s="30">
        <f t="shared" ca="1" si="5"/>
        <v>2.3526558331312231E-2</v>
      </c>
      <c r="Q40" s="30">
        <f t="shared" ca="1" si="6"/>
        <v>0.12393465909090895</v>
      </c>
      <c r="R40" s="30">
        <f t="shared" ca="1" si="7"/>
        <v>0.10480844750850848</v>
      </c>
      <c r="S40" s="9" cm="1">
        <f t="array" aca="1" ref="S40" ca="1">_xll.FDS($E$7,"P_PRICE("&amp;AG40&amp;",0,D,D)")</f>
        <v>126.6</v>
      </c>
      <c r="T40" s="9" cm="1">
        <f t="array" aca="1" ref="T40" ca="1">_xll.FDS($E$7,"P_PRICE("&amp;AH40&amp;",0,D,D)")</f>
        <v>126.92</v>
      </c>
      <c r="U40" s="9" cm="1">
        <f t="array" aca="1" ref="U40" ca="1">_xll.FDS($E$7,"P_PRICE("&amp;AI40&amp;",0,D,D)")</f>
        <v>123.69</v>
      </c>
      <c r="V40" s="9" cm="1">
        <f t="array" aca="1" ref="V40" ca="1">_xll.FDS($E$7,"P_PRICE("&amp;AJ40&amp;",0,D,D)")</f>
        <v>112.64</v>
      </c>
      <c r="W40" s="9" cm="1">
        <f t="array" aca="1" ref="W40" ca="1">_xll.FDS($E$7,"P_PRICE("&amp;AK40&amp;",0,D,D)")</f>
        <v>114.59</v>
      </c>
      <c r="X40" s="24">
        <f t="shared" ca="1" si="8"/>
        <v>1.6106737095346269E-2</v>
      </c>
      <c r="Y40" s="24">
        <f t="shared" ca="1" si="9"/>
        <v>1.0127899820334907E-2</v>
      </c>
      <c r="Z40" s="24">
        <f t="shared" ca="1" si="10"/>
        <v>3.0524435058582045E-2</v>
      </c>
      <c r="AA40" s="24">
        <f t="shared" ca="1" si="11"/>
        <v>3.7317544410099712E-2</v>
      </c>
      <c r="AB40" s="9" cm="1">
        <f t="array" aca="1" ref="AB40" ca="1">_xll.FDS($E$9,"P_PRICE("&amp;AG40&amp;",0,D,D)")</f>
        <v>6909.79</v>
      </c>
      <c r="AC40" s="9" cm="1">
        <f t="array" aca="1" ref="AC40" ca="1">_xll.FDS($E$9,"P_PRICE("&amp;AH40&amp;",0,D,D)")</f>
        <v>6800.26</v>
      </c>
      <c r="AD40" s="9" cm="1">
        <f t="array" aca="1" ref="AD40" ca="1">_xll.FDS($E$9,"P_PRICE("&amp;AI40&amp;",0,D,D)")</f>
        <v>6840.51</v>
      </c>
      <c r="AE40" s="9" cm="1">
        <f t="array" aca="1" ref="AE40" ca="1">_xll.FDS($E$9,"P_PRICE("&amp;AJ40&amp;",0,D,D)")</f>
        <v>6705.12</v>
      </c>
      <c r="AF40" s="9" cm="1">
        <f t="array" aca="1" ref="AF40" ca="1">_xll.FDS($E$9,"P_PRICE("&amp;AK40&amp;",0,D,D)")</f>
        <v>6661.21</v>
      </c>
      <c r="AG40" s="20">
        <f t="shared" ca="1" si="17"/>
        <v>46014</v>
      </c>
      <c r="AH40" s="22">
        <f t="shared" ca="1" si="12"/>
        <v>46007</v>
      </c>
      <c r="AI40" s="22">
        <f t="shared" ca="1" si="13"/>
        <v>46000</v>
      </c>
      <c r="AJ40" s="22">
        <f t="shared" ca="1" si="14"/>
        <v>45985</v>
      </c>
      <c r="AK40" s="22">
        <f t="shared" ca="1" si="15"/>
        <v>45929</v>
      </c>
      <c r="AL40" s="22">
        <f t="shared" ca="1" si="16"/>
        <v>45842</v>
      </c>
      <c r="AN40" s="21">
        <v>45292</v>
      </c>
    </row>
    <row r="41" spans="4:40" x14ac:dyDescent="0.25">
      <c r="D41" s="6">
        <f ca="1"/>
        <v>46013</v>
      </c>
      <c r="E41" s="28" cm="1">
        <f t="array" aca="1" ref="E41" ca="1">_xll.FDS($E$7,"P_PRICE("&amp;D41&amp;",0,D,D)")</f>
        <v>126.22</v>
      </c>
      <c r="F41" s="29" cm="1">
        <f t="array" aca="1" ref="F41" ca="1">_xll.FDS($E$7,"P_BETA_LOCIDX("&amp;$AG41&amp;","&amp;$AL41&amp;",,"""&amp;$E$9&amp;""")")</f>
        <v>1.0997783999999999</v>
      </c>
      <c r="G41" s="30">
        <f t="shared" ca="1" si="2"/>
        <v>-1.8172123333340257E-2</v>
      </c>
      <c r="H41" s="30">
        <f t="shared" ca="1" si="2"/>
        <v>-7.6659017963699424E-3</v>
      </c>
      <c r="I41" s="30">
        <f t="shared" ca="1" si="2"/>
        <v>0.10000533698935404</v>
      </c>
      <c r="J41" s="30">
        <f t="shared" ca="1" si="2"/>
        <v>7.1540878965635907E-2</v>
      </c>
      <c r="K41" s="30">
        <f t="shared" ca="1" si="3"/>
        <v>9.9998775373320858E-3</v>
      </c>
      <c r="L41" s="30">
        <f t="shared" ca="1" si="3"/>
        <v>5.1370571622620905E-3</v>
      </c>
      <c r="M41" s="30">
        <f t="shared" ca="1" si="3"/>
        <v>4.5886628512234622E-2</v>
      </c>
      <c r="N41" s="30">
        <f t="shared" ca="1" si="3"/>
        <v>3.8866440467811715E-2</v>
      </c>
      <c r="O41" s="30">
        <f t="shared" ca="1" si="4"/>
        <v>-8.1722457960081707E-3</v>
      </c>
      <c r="P41" s="30">
        <f t="shared" ca="1" si="5"/>
        <v>-2.5288446341078519E-3</v>
      </c>
      <c r="Q41" s="30">
        <f t="shared" ca="1" si="6"/>
        <v>0.14589196550158867</v>
      </c>
      <c r="R41" s="30">
        <f t="shared" ca="1" si="7"/>
        <v>0.11040731943344761</v>
      </c>
      <c r="S41" s="9" cm="1">
        <f t="array" aca="1" ref="S41" ca="1">_xll.FDS($E$7,"P_PRICE("&amp;AG41&amp;",0,D,D)")</f>
        <v>126.22</v>
      </c>
      <c r="T41" s="9" cm="1">
        <f t="array" aca="1" ref="T41" ca="1">_xll.FDS($E$7,"P_PRICE("&amp;AH41&amp;",0,D,D)")</f>
        <v>127.26</v>
      </c>
      <c r="U41" s="9" cm="1">
        <f t="array" aca="1" ref="U41" ca="1">_xll.FDS($E$7,"P_PRICE("&amp;AI41&amp;",0,D,D)")</f>
        <v>126.54</v>
      </c>
      <c r="V41" s="9" cm="1">
        <f t="array" aca="1" ref="V41" ca="1">_xll.FDS($E$7,"P_PRICE("&amp;AJ41&amp;",0,D,D)")</f>
        <v>110.15</v>
      </c>
      <c r="W41" s="9" cm="1">
        <f t="array" aca="1" ref="W41" ca="1">_xll.FDS($E$7,"P_PRICE("&amp;AK41&amp;",0,D,D)")</f>
        <v>113.67</v>
      </c>
      <c r="X41" s="24">
        <f t="shared" ca="1" si="8"/>
        <v>9.0926295127564671E-3</v>
      </c>
      <c r="Y41" s="24">
        <f t="shared" ca="1" si="9"/>
        <v>4.6709929584560772E-3</v>
      </c>
      <c r="Z41" s="24">
        <f t="shared" ca="1" si="10"/>
        <v>4.1723522222508302E-2</v>
      </c>
      <c r="AA41" s="24">
        <f t="shared" ca="1" si="11"/>
        <v>3.5340247151436799E-2</v>
      </c>
      <c r="AB41" s="9" cm="1">
        <f t="array" aca="1" ref="AB41" ca="1">_xll.FDS($E$9,"P_PRICE("&amp;AG41&amp;",0,D,D)")</f>
        <v>6878.49</v>
      </c>
      <c r="AC41" s="9" cm="1">
        <f t="array" aca="1" ref="AC41" ca="1">_xll.FDS($E$9,"P_PRICE("&amp;AH41&amp;",0,D,D)")</f>
        <v>6816.51</v>
      </c>
      <c r="AD41" s="9" cm="1">
        <f t="array" aca="1" ref="AD41" ca="1">_xll.FDS($E$9,"P_PRICE("&amp;AI41&amp;",0,D,D)")</f>
        <v>6846.51</v>
      </c>
      <c r="AE41" s="9" cm="1">
        <f t="array" aca="1" ref="AE41" ca="1">_xll.FDS($E$9,"P_PRICE("&amp;AJ41&amp;",0,D,D)")</f>
        <v>6602.99</v>
      </c>
      <c r="AF41" s="9" cm="1">
        <f t="array" aca="1" ref="AF41" ca="1">_xll.FDS($E$9,"P_PRICE("&amp;AK41&amp;",0,D,D)")</f>
        <v>6643.7</v>
      </c>
      <c r="AG41" s="20">
        <f t="shared" ca="1" si="17"/>
        <v>46013</v>
      </c>
      <c r="AH41" s="22">
        <f t="shared" ca="1" si="12"/>
        <v>46006</v>
      </c>
      <c r="AI41" s="22">
        <f t="shared" ca="1" si="13"/>
        <v>45999</v>
      </c>
      <c r="AJ41" s="22">
        <f t="shared" ca="1" si="14"/>
        <v>45982</v>
      </c>
      <c r="AK41" s="22">
        <f t="shared" ca="1" si="15"/>
        <v>45926</v>
      </c>
      <c r="AL41" s="22">
        <f t="shared" ca="1" si="16"/>
        <v>45841</v>
      </c>
      <c r="AN41" s="21">
        <v>45306</v>
      </c>
    </row>
    <row r="42" spans="4:40" x14ac:dyDescent="0.25">
      <c r="D42" s="6">
        <f ca="1"/>
        <v>46010</v>
      </c>
      <c r="E42" s="28" cm="1">
        <f t="array" aca="1" ref="E42" ca="1">_xll.FDS($E$7,"P_PRICE("&amp;D42&amp;",0,D,D)")</f>
        <v>124.42</v>
      </c>
      <c r="F42" s="29" cm="1">
        <f t="array" aca="1" ref="F42" ca="1">_xll.FDS($E$7,"P_BETA_LOCIDX("&amp;$AG42&amp;","&amp;$AL42&amp;",,"""&amp;$E$9&amp;""")")</f>
        <v>1.0980368</v>
      </c>
      <c r="G42" s="30">
        <f t="shared" ca="1" si="2"/>
        <v>-1.6804825513643026E-2</v>
      </c>
      <c r="H42" s="30">
        <f t="shared" ca="1" si="2"/>
        <v>4.6996270229134933E-2</v>
      </c>
      <c r="I42" s="30">
        <f t="shared" ca="1" si="2"/>
        <v>9.8440876974408467E-2</v>
      </c>
      <c r="J42" s="30">
        <f t="shared" ca="1" si="2"/>
        <v>7.4878264778147297E-2</v>
      </c>
      <c r="K42" s="30">
        <f t="shared" ca="1" si="3"/>
        <v>1.1402685516176255E-3</v>
      </c>
      <c r="L42" s="30">
        <f t="shared" ca="1" si="3"/>
        <v>-5.7375874941778997E-3</v>
      </c>
      <c r="M42" s="30">
        <f t="shared" ca="1" si="3"/>
        <v>4.966284176694051E-2</v>
      </c>
      <c r="N42" s="30">
        <f t="shared" ca="1" si="3"/>
        <v>3.8200998059569558E-2</v>
      </c>
      <c r="O42" s="30">
        <f t="shared" ca="1" si="4"/>
        <v>-1.56645569620254E-2</v>
      </c>
      <c r="P42" s="30">
        <f t="shared" ca="1" si="5"/>
        <v>4.1258682734957031E-2</v>
      </c>
      <c r="Q42" s="30">
        <f t="shared" ca="1" si="6"/>
        <v>0.14810371874134898</v>
      </c>
      <c r="R42" s="30">
        <f t="shared" ca="1" si="7"/>
        <v>0.11307926283771685</v>
      </c>
      <c r="S42" s="9" cm="1">
        <f t="array" aca="1" ref="S42" ca="1">_xll.FDS($E$7,"P_PRICE("&amp;AG42&amp;",0,D,D)")</f>
        <v>124.42</v>
      </c>
      <c r="T42" s="9" cm="1">
        <f t="array" aca="1" ref="T42" ca="1">_xll.FDS($E$7,"P_PRICE("&amp;AH42&amp;",0,D,D)")</f>
        <v>126.4</v>
      </c>
      <c r="U42" s="9" cm="1">
        <f t="array" aca="1" ref="U42" ca="1">_xll.FDS($E$7,"P_PRICE("&amp;AI42&amp;",0,D,D)")</f>
        <v>119.49</v>
      </c>
      <c r="V42" s="9" cm="1">
        <f t="array" aca="1" ref="V42" ca="1">_xll.FDS($E$7,"P_PRICE("&amp;AJ42&amp;",0,D,D)")</f>
        <v>108.37</v>
      </c>
      <c r="W42" s="9" cm="1">
        <f t="array" aca="1" ref="W42" ca="1">_xll.FDS($E$7,"P_PRICE("&amp;AK42&amp;",0,D,D)")</f>
        <v>111.78</v>
      </c>
      <c r="X42" s="24">
        <f t="shared" ca="1" si="8"/>
        <v>1.0384611441234259E-3</v>
      </c>
      <c r="Y42" s="24">
        <f t="shared" ca="1" si="9"/>
        <v>-5.2253143921751066E-3</v>
      </c>
      <c r="Z42" s="24">
        <f t="shared" ca="1" si="10"/>
        <v>4.5228758969590555E-2</v>
      </c>
      <c r="AA42" s="24">
        <f t="shared" ca="1" si="11"/>
        <v>3.4790271199990341E-2</v>
      </c>
      <c r="AB42" s="9" cm="1">
        <f t="array" aca="1" ref="AB42" ca="1">_xll.FDS($E$9,"P_PRICE("&amp;AG42&amp;",0,D,D)")</f>
        <v>6834.5</v>
      </c>
      <c r="AC42" s="9" cm="1">
        <f t="array" aca="1" ref="AC42" ca="1">_xll.FDS($E$9,"P_PRICE("&amp;AH42&amp;",0,D,D)")</f>
        <v>6827.41</v>
      </c>
      <c r="AD42" s="9" cm="1">
        <f t="array" aca="1" ref="AD42" ca="1">_xll.FDS($E$9,"P_PRICE("&amp;AI42&amp;",0,D,D)")</f>
        <v>6870.4</v>
      </c>
      <c r="AE42" s="9" cm="1">
        <f t="array" aca="1" ref="AE42" ca="1">_xll.FDS($E$9,"P_PRICE("&amp;AJ42&amp;",0,D,D)")</f>
        <v>6538.76</v>
      </c>
      <c r="AF42" s="9" cm="1">
        <f t="array" aca="1" ref="AF42" ca="1">_xll.FDS($E$9,"P_PRICE("&amp;AK42&amp;",0,D,D)")</f>
        <v>6604.72</v>
      </c>
      <c r="AG42" s="20">
        <f t="shared" ca="1" si="17"/>
        <v>46010</v>
      </c>
      <c r="AH42" s="22">
        <f t="shared" ca="1" si="12"/>
        <v>46003</v>
      </c>
      <c r="AI42" s="22">
        <f t="shared" ca="1" si="13"/>
        <v>45996</v>
      </c>
      <c r="AJ42" s="22">
        <f t="shared" ca="1" si="14"/>
        <v>45981</v>
      </c>
      <c r="AK42" s="22">
        <f t="shared" ca="1" si="15"/>
        <v>45925</v>
      </c>
      <c r="AL42" s="22">
        <f t="shared" ca="1" si="16"/>
        <v>45840</v>
      </c>
      <c r="AN42" s="21">
        <v>45341</v>
      </c>
    </row>
    <row r="43" spans="4:40" x14ac:dyDescent="0.25">
      <c r="D43" s="6">
        <f ca="1"/>
        <v>46009</v>
      </c>
      <c r="E43" s="28" cm="1">
        <f t="array" aca="1" ref="E43" ca="1">_xll.FDS($E$7,"P_PRICE("&amp;D43&amp;",0,D,D)")</f>
        <v>127.17</v>
      </c>
      <c r="F43" s="29" cm="1">
        <f t="array" aca="1" ref="F43" ca="1">_xll.FDS($E$7,"P_BETA_LOCIDX("&amp;$AG43&amp;","&amp;$AL43&amp;",,"""&amp;$E$9&amp;""")")</f>
        <v>1.139518</v>
      </c>
      <c r="G43" s="30">
        <f t="shared" ca="1" si="2"/>
        <v>2.226263837352226E-2</v>
      </c>
      <c r="H43" s="30">
        <f t="shared" ca="1" si="2"/>
        <v>6.4244227218198585E-2</v>
      </c>
      <c r="I43" s="30">
        <f t="shared" ca="1" si="2"/>
        <v>0.13176793130628539</v>
      </c>
      <c r="J43" s="30">
        <f t="shared" ca="1" si="2"/>
        <v>0.10591381280699871</v>
      </c>
      <c r="K43" s="30">
        <f t="shared" ca="1" si="3"/>
        <v>-2.0845203929865209E-2</v>
      </c>
      <c r="L43" s="30">
        <f t="shared" ca="1" si="3"/>
        <v>-1.3686606400354608E-2</v>
      </c>
      <c r="M43" s="30">
        <f t="shared" ca="1" si="3"/>
        <v>2.2748637009647459E-2</v>
      </c>
      <c r="N43" s="30">
        <f t="shared" ca="1" si="3"/>
        <v>2.3482279555346007E-2</v>
      </c>
      <c r="O43" s="30">
        <f t="shared" ca="1" si="4"/>
        <v>1.4174344436570507E-3</v>
      </c>
      <c r="P43" s="30">
        <f t="shared" ca="1" si="5"/>
        <v>5.0557620817843985E-2</v>
      </c>
      <c r="Q43" s="30">
        <f t="shared" ca="1" si="6"/>
        <v>0.15451656831593286</v>
      </c>
      <c r="R43" s="30">
        <f t="shared" ca="1" si="7"/>
        <v>0.12939609236234473</v>
      </c>
      <c r="S43" s="9" cm="1">
        <f t="array" aca="1" ref="S43" ca="1">_xll.FDS($E$7,"P_PRICE("&amp;AG43&amp;",0,D,D)")</f>
        <v>127.17</v>
      </c>
      <c r="T43" s="9" cm="1">
        <f t="array" aca="1" ref="T43" ca="1">_xll.FDS($E$7,"P_PRICE("&amp;AH43&amp;",0,D,D)")</f>
        <v>126.99</v>
      </c>
      <c r="U43" s="9" cm="1">
        <f t="array" aca="1" ref="U43" ca="1">_xll.FDS($E$7,"P_PRICE("&amp;AI43&amp;",0,D,D)")</f>
        <v>121.05</v>
      </c>
      <c r="V43" s="9" cm="1">
        <f t="array" aca="1" ref="V43" ca="1">_xll.FDS($E$7,"P_PRICE("&amp;AJ43&amp;",0,D,D)")</f>
        <v>110.15</v>
      </c>
      <c r="W43" s="9" cm="1">
        <f t="array" aca="1" ref="W43" ca="1">_xll.FDS($E$7,"P_PRICE("&amp;AK43&amp;",0,D,D)")</f>
        <v>112.6</v>
      </c>
      <c r="X43" s="24">
        <f t="shared" ca="1" si="8"/>
        <v>-1.8293001014345722E-2</v>
      </c>
      <c r="Y43" s="24">
        <f t="shared" ca="1" si="9"/>
        <v>-1.2010873369577846E-2</v>
      </c>
      <c r="Z43" s="24">
        <f t="shared" ca="1" si="10"/>
        <v>1.9963385404747847E-2</v>
      </c>
      <c r="AA43" s="24">
        <f t="shared" ca="1" si="11"/>
        <v>2.0607203708362665E-2</v>
      </c>
      <c r="AB43" s="9" cm="1">
        <f t="array" aca="1" ref="AB43" ca="1">_xll.FDS($E$9,"P_PRICE("&amp;AG43&amp;",0,D,D)")</f>
        <v>6774.76</v>
      </c>
      <c r="AC43" s="9" cm="1">
        <f t="array" aca="1" ref="AC43" ca="1">_xll.FDS($E$9,"P_PRICE("&amp;AH43&amp;",0,D,D)")</f>
        <v>6901</v>
      </c>
      <c r="AD43" s="9" cm="1">
        <f t="array" aca="1" ref="AD43" ca="1">_xll.FDS($E$9,"P_PRICE("&amp;AI43&amp;",0,D,D)")</f>
        <v>6857.12</v>
      </c>
      <c r="AE43" s="9" cm="1">
        <f t="array" aca="1" ref="AE43" ca="1">_xll.FDS($E$9,"P_PRICE("&amp;AJ43&amp;",0,D,D)")</f>
        <v>6642.16</v>
      </c>
      <c r="AF43" s="9" cm="1">
        <f t="array" aca="1" ref="AF43" ca="1">_xll.FDS($E$9,"P_PRICE("&amp;AK43&amp;",0,D,D)")</f>
        <v>6637.97</v>
      </c>
      <c r="AG43" s="20">
        <f t="shared" ca="1" si="17"/>
        <v>46009</v>
      </c>
      <c r="AH43" s="22">
        <f t="shared" ca="1" si="12"/>
        <v>46002</v>
      </c>
      <c r="AI43" s="22">
        <f t="shared" ca="1" si="13"/>
        <v>45995</v>
      </c>
      <c r="AJ43" s="22">
        <f t="shared" ca="1" si="14"/>
        <v>45980</v>
      </c>
      <c r="AK43" s="22">
        <f t="shared" ca="1" si="15"/>
        <v>45924</v>
      </c>
      <c r="AL43" s="22">
        <f t="shared" ca="1" si="16"/>
        <v>45839</v>
      </c>
      <c r="AN43" s="21">
        <v>45380</v>
      </c>
    </row>
    <row r="44" spans="4:40" x14ac:dyDescent="0.25">
      <c r="D44" s="6">
        <f ca="1"/>
        <v>46008</v>
      </c>
      <c r="E44" s="28" cm="1">
        <f t="array" aca="1" ref="E44" ca="1">_xll.FDS($E$7,"P_PRICE("&amp;D44&amp;",0,D,D)")</f>
        <v>123.05</v>
      </c>
      <c r="F44" s="29" cm="1">
        <f t="array" aca="1" ref="F44" ca="1">_xll.FDS($E$7,"P_BETA_LOCIDX("&amp;$AG44&amp;","&amp;$AL44&amp;",,"""&amp;$E$9&amp;""")")</f>
        <v>1.1071297</v>
      </c>
      <c r="G44" s="30">
        <f t="shared" ca="1" si="2"/>
        <v>9.864943887720936E-3</v>
      </c>
      <c r="H44" s="30">
        <f t="shared" ca="1" si="2"/>
        <v>3.4661200687846845E-2</v>
      </c>
      <c r="I44" s="30">
        <f t="shared" ca="1" si="2"/>
        <v>0.11282866155719404</v>
      </c>
      <c r="J44" s="30">
        <f t="shared" ca="1" si="2"/>
        <v>6.7711138857245154E-2</v>
      </c>
      <c r="K44" s="30">
        <f t="shared" ca="1" si="3"/>
        <v>-2.6566238437824876E-2</v>
      </c>
      <c r="L44" s="30">
        <f t="shared" ca="1" si="3"/>
        <v>-2.0735689811116405E-2</v>
      </c>
      <c r="M44" s="30">
        <f t="shared" ca="1" si="3"/>
        <v>1.7418422120586665E-2</v>
      </c>
      <c r="N44" s="30">
        <f t="shared" ca="1" si="3"/>
        <v>1.072882608578736E-2</v>
      </c>
      <c r="O44" s="30">
        <f t="shared" ca="1" si="4"/>
        <v>-1.670129455010394E-2</v>
      </c>
      <c r="P44" s="30">
        <f t="shared" ca="1" si="5"/>
        <v>1.392551087673044E-2</v>
      </c>
      <c r="Q44" s="30">
        <f t="shared" ca="1" si="6"/>
        <v>0.13024708367778071</v>
      </c>
      <c r="R44" s="30">
        <f t="shared" ca="1" si="7"/>
        <v>7.8439964943032514E-2</v>
      </c>
      <c r="S44" s="9" cm="1">
        <f t="array" aca="1" ref="S44" ca="1">_xll.FDS($E$7,"P_PRICE("&amp;AG44&amp;",0,D,D)")</f>
        <v>123.05</v>
      </c>
      <c r="T44" s="9" cm="1">
        <f t="array" aca="1" ref="T44" ca="1">_xll.FDS($E$7,"P_PRICE("&amp;AH44&amp;",0,D,D)")</f>
        <v>125.14</v>
      </c>
      <c r="U44" s="9" cm="1">
        <f t="array" aca="1" ref="U44" ca="1">_xll.FDS($E$7,"P_PRICE("&amp;AI44&amp;",0,D,D)")</f>
        <v>121.36</v>
      </c>
      <c r="V44" s="9" cm="1">
        <f t="array" aca="1" ref="V44" ca="1">_xll.FDS($E$7,"P_PRICE("&amp;AJ44&amp;",0,D,D)")</f>
        <v>108.87</v>
      </c>
      <c r="W44" s="9" cm="1">
        <f t="array" aca="1" ref="W44" ca="1">_xll.FDS($E$7,"P_PRICE("&amp;AK44&amp;",0,D,D)")</f>
        <v>114.1</v>
      </c>
      <c r="X44" s="24">
        <f t="shared" ca="1" si="8"/>
        <v>-2.3995597297972293E-2</v>
      </c>
      <c r="Y44" s="24">
        <f t="shared" ca="1" si="9"/>
        <v>-1.8729232727761169E-2</v>
      </c>
      <c r="Z44" s="24">
        <f t="shared" ca="1" si="10"/>
        <v>1.5732955335392651E-2</v>
      </c>
      <c r="AA44" s="24">
        <f t="shared" ca="1" si="11"/>
        <v>9.6906677562595966E-3</v>
      </c>
      <c r="AB44" s="9" cm="1">
        <f t="array" aca="1" ref="AB44" ca="1">_xll.FDS($E$9,"P_PRICE("&amp;AG44&amp;",0,D,D)")</f>
        <v>6721.43</v>
      </c>
      <c r="AC44" s="9" cm="1">
        <f t="array" aca="1" ref="AC44" ca="1">_xll.FDS($E$9,"P_PRICE("&amp;AH44&amp;",0,D,D)")</f>
        <v>6886.68</v>
      </c>
      <c r="AD44" s="9" cm="1">
        <f t="array" aca="1" ref="AD44" ca="1">_xll.FDS($E$9,"P_PRICE("&amp;AI44&amp;",0,D,D)")</f>
        <v>6849.72</v>
      </c>
      <c r="AE44" s="9" cm="1">
        <f t="array" aca="1" ref="AE44" ca="1">_xll.FDS($E$9,"P_PRICE("&amp;AJ44&amp;",0,D,D)")</f>
        <v>6617.32</v>
      </c>
      <c r="AF44" s="9" cm="1">
        <f t="array" aca="1" ref="AF44" ca="1">_xll.FDS($E$9,"P_PRICE("&amp;AK44&amp;",0,D,D)")</f>
        <v>6656.92</v>
      </c>
      <c r="AG44" s="20">
        <f t="shared" ca="1" si="17"/>
        <v>46008</v>
      </c>
      <c r="AH44" s="22">
        <f t="shared" ca="1" si="12"/>
        <v>46001</v>
      </c>
      <c r="AI44" s="22">
        <f t="shared" ca="1" si="13"/>
        <v>45994</v>
      </c>
      <c r="AJ44" s="22">
        <f t="shared" ca="1" si="14"/>
        <v>45979</v>
      </c>
      <c r="AK44" s="22">
        <f t="shared" ca="1" si="15"/>
        <v>45923</v>
      </c>
      <c r="AL44" s="22">
        <f t="shared" ca="1" si="16"/>
        <v>45838</v>
      </c>
      <c r="AN44" s="21">
        <v>45439</v>
      </c>
    </row>
    <row r="45" spans="4:40" x14ac:dyDescent="0.25">
      <c r="D45" s="6">
        <f ca="1"/>
        <v>46007</v>
      </c>
      <c r="E45" s="28" cm="1">
        <f t="array" aca="1" ref="E45" ca="1">_xll.FDS($E$7,"P_PRICE("&amp;D45&amp;",0,D,D)")</f>
        <v>126.92</v>
      </c>
      <c r="F45" s="29" cm="1">
        <f t="array" aca="1" ref="F45" ca="1">_xll.FDS($E$7,"P_BETA_LOCIDX("&amp;$AG45&amp;","&amp;$AL45&amp;",,"""&amp;$E$9&amp;""")")</f>
        <v>1.0788438</v>
      </c>
      <c r="G45" s="30">
        <f t="shared" ca="1" si="2"/>
        <v>3.2461657455816591E-2</v>
      </c>
      <c r="H45" s="30">
        <f t="shared" ca="1" si="2"/>
        <v>7.4660087986203313E-2</v>
      </c>
      <c r="I45" s="30">
        <f t="shared" ca="1" si="2"/>
        <v>0.14117375955774863</v>
      </c>
      <c r="J45" s="30">
        <f t="shared" ca="1" si="2"/>
        <v>8.9179476202207647E-2</v>
      </c>
      <c r="K45" s="30">
        <f t="shared" ca="1" si="3"/>
        <v>-6.3479861808549212E-3</v>
      </c>
      <c r="L45" s="30">
        <f t="shared" ca="1" si="3"/>
        <v>-4.5985417422104635E-3</v>
      </c>
      <c r="M45" s="30">
        <f t="shared" ca="1" si="3"/>
        <v>2.0671718289193848E-2</v>
      </c>
      <c r="N45" s="30">
        <f t="shared" ca="1" si="3"/>
        <v>1.7166409432381034E-2</v>
      </c>
      <c r="O45" s="30">
        <f t="shared" ca="1" si="4"/>
        <v>2.611367127496167E-2</v>
      </c>
      <c r="P45" s="30">
        <f t="shared" ca="1" si="5"/>
        <v>7.0061546243992856E-2</v>
      </c>
      <c r="Q45" s="30">
        <f t="shared" ca="1" si="6"/>
        <v>0.16184547784694248</v>
      </c>
      <c r="R45" s="30">
        <f t="shared" ca="1" si="7"/>
        <v>0.10634588563458869</v>
      </c>
      <c r="S45" s="9" cm="1">
        <f t="array" aca="1" ref="S45" ca="1">_xll.FDS($E$7,"P_PRICE("&amp;AG45&amp;",0,D,D)")</f>
        <v>126.92</v>
      </c>
      <c r="T45" s="9" cm="1">
        <f t="array" aca="1" ref="T45" ca="1">_xll.FDS($E$7,"P_PRICE("&amp;AH45&amp;",0,D,D)")</f>
        <v>123.69</v>
      </c>
      <c r="U45" s="9" cm="1">
        <f t="array" aca="1" ref="U45" ca="1">_xll.FDS($E$7,"P_PRICE("&amp;AI45&amp;",0,D,D)")</f>
        <v>118.61</v>
      </c>
      <c r="V45" s="9" cm="1">
        <f t="array" aca="1" ref="V45" ca="1">_xll.FDS($E$7,"P_PRICE("&amp;AJ45&amp;",0,D,D)")</f>
        <v>109.24</v>
      </c>
      <c r="W45" s="9" cm="1">
        <f t="array" aca="1" ref="W45" ca="1">_xll.FDS($E$7,"P_PRICE("&amp;AK45&amp;",0,D,D)")</f>
        <v>114.72</v>
      </c>
      <c r="X45" s="24">
        <f t="shared" ca="1" si="8"/>
        <v>-5.8840641998915144E-3</v>
      </c>
      <c r="Y45" s="24">
        <f t="shared" ca="1" si="9"/>
        <v>-4.2624722338956422E-3</v>
      </c>
      <c r="Z45" s="24">
        <f t="shared" ca="1" si="10"/>
        <v>1.916099280469874E-2</v>
      </c>
      <c r="AA45" s="24">
        <f t="shared" ca="1" si="11"/>
        <v>1.5911858076564034E-2</v>
      </c>
      <c r="AB45" s="9" cm="1">
        <f t="array" aca="1" ref="AB45" ca="1">_xll.FDS($E$9,"P_PRICE("&amp;AG45&amp;",0,D,D)")</f>
        <v>6800.26</v>
      </c>
      <c r="AC45" s="9" cm="1">
        <f t="array" aca="1" ref="AC45" ca="1">_xll.FDS($E$9,"P_PRICE("&amp;AH45&amp;",0,D,D)")</f>
        <v>6840.51</v>
      </c>
      <c r="AD45" s="9" cm="1">
        <f t="array" aca="1" ref="AD45" ca="1">_xll.FDS($E$9,"P_PRICE("&amp;AI45&amp;",0,D,D)")</f>
        <v>6829.37</v>
      </c>
      <c r="AE45" s="9" cm="1">
        <f t="array" aca="1" ref="AE45" ca="1">_xll.FDS($E$9,"P_PRICE("&amp;AJ45&amp;",0,D,D)")</f>
        <v>6672.41</v>
      </c>
      <c r="AF45" s="9" cm="1">
        <f t="array" aca="1" ref="AF45" ca="1">_xll.FDS($E$9,"P_PRICE("&amp;AK45&amp;",0,D,D)")</f>
        <v>6693.75</v>
      </c>
      <c r="AG45" s="20">
        <f t="shared" ca="1" si="17"/>
        <v>46007</v>
      </c>
      <c r="AH45" s="22">
        <f t="shared" ca="1" si="12"/>
        <v>46000</v>
      </c>
      <c r="AI45" s="22">
        <f t="shared" ca="1" si="13"/>
        <v>45993</v>
      </c>
      <c r="AJ45" s="22">
        <f t="shared" ca="1" si="14"/>
        <v>45978</v>
      </c>
      <c r="AK45" s="22">
        <f t="shared" ca="1" si="15"/>
        <v>45922</v>
      </c>
      <c r="AL45" s="22">
        <f t="shared" ca="1" si="16"/>
        <v>45835</v>
      </c>
      <c r="AN45" s="21">
        <v>45462</v>
      </c>
    </row>
    <row r="46" spans="4:40" x14ac:dyDescent="0.25">
      <c r="D46" s="6">
        <f ca="1"/>
        <v>46006</v>
      </c>
      <c r="E46" s="28" cm="1">
        <f t="array" aca="1" ref="E46" ca="1">_xll.FDS($E$7,"P_PRICE("&amp;D46&amp;",0,D,D)")</f>
        <v>127.26</v>
      </c>
      <c r="F46" s="29" cm="1">
        <f t="array" aca="1" ref="F46" ca="1">_xll.FDS($E$7,"P_BETA_LOCIDX("&amp;$AG46&amp;","&amp;$AL46&amp;",,"""&amp;$E$9&amp;""")")</f>
        <v>1.0694807</v>
      </c>
      <c r="G46" s="30">
        <f t="shared" ca="1" si="2"/>
        <v>1.0376145097384964E-2</v>
      </c>
      <c r="H46" s="30">
        <f t="shared" ca="1" si="2"/>
        <v>6.2726459709030014E-2</v>
      </c>
      <c r="I46" s="30">
        <f t="shared" ca="1" si="2"/>
        <v>0.14836290885854658</v>
      </c>
      <c r="J46" s="30">
        <f t="shared" ca="1" si="2"/>
        <v>0.10088176343080868</v>
      </c>
      <c r="K46" s="30">
        <f t="shared" ca="1" si="3"/>
        <v>-4.6862446706424097E-3</v>
      </c>
      <c r="L46" s="30">
        <f t="shared" ca="1" si="3"/>
        <v>6.0910178829608999E-4</v>
      </c>
      <c r="M46" s="30">
        <f t="shared" ca="1" si="3"/>
        <v>1.3086392957644077E-2</v>
      </c>
      <c r="N46" s="30">
        <f t="shared" ca="1" si="3"/>
        <v>2.4416671444069789E-2</v>
      </c>
      <c r="O46" s="30">
        <f t="shared" ca="1" si="4"/>
        <v>5.6899004267425557E-3</v>
      </c>
      <c r="P46" s="30">
        <f t="shared" ca="1" si="5"/>
        <v>6.3335561497326109E-2</v>
      </c>
      <c r="Q46" s="30">
        <f t="shared" ca="1" si="6"/>
        <v>0.16144930181619066</v>
      </c>
      <c r="R46" s="30">
        <f t="shared" ca="1" si="7"/>
        <v>0.12529843487487846</v>
      </c>
      <c r="S46" s="9" cm="1">
        <f t="array" aca="1" ref="S46" ca="1">_xll.FDS($E$7,"P_PRICE("&amp;AG46&amp;",0,D,D)")</f>
        <v>127.26</v>
      </c>
      <c r="T46" s="9" cm="1">
        <f t="array" aca="1" ref="T46" ca="1">_xll.FDS($E$7,"P_PRICE("&amp;AH46&amp;",0,D,D)")</f>
        <v>126.54</v>
      </c>
      <c r="U46" s="9" cm="1">
        <f t="array" aca="1" ref="U46" ca="1">_xll.FDS($E$7,"P_PRICE("&amp;AI46&amp;",0,D,D)")</f>
        <v>119.68</v>
      </c>
      <c r="V46" s="9" cm="1">
        <f t="array" aca="1" ref="V46" ca="1">_xll.FDS($E$7,"P_PRICE("&amp;AJ46&amp;",0,D,D)")</f>
        <v>109.57</v>
      </c>
      <c r="W46" s="9" cm="1">
        <f t="array" aca="1" ref="W46" ca="1">_xll.FDS($E$7,"P_PRICE("&amp;AK46&amp;",0,D,D)")</f>
        <v>113.09</v>
      </c>
      <c r="X46" s="24">
        <f t="shared" ca="1" si="8"/>
        <v>-4.3817945201277686E-3</v>
      </c>
      <c r="Y46" s="24">
        <f t="shared" ca="1" si="9"/>
        <v>5.695304163002568E-4</v>
      </c>
      <c r="Z46" s="24">
        <f t="shared" ca="1" si="10"/>
        <v>1.2236212357683574E-2</v>
      </c>
      <c r="AA46" s="24">
        <f t="shared" ca="1" si="11"/>
        <v>2.2830399318164218E-2</v>
      </c>
      <c r="AB46" s="9" cm="1">
        <f t="array" aca="1" ref="AB46" ca="1">_xll.FDS($E$9,"P_PRICE("&amp;AG46&amp;",0,D,D)")</f>
        <v>6816.51</v>
      </c>
      <c r="AC46" s="9" cm="1">
        <f t="array" aca="1" ref="AC46" ca="1">_xll.FDS($E$9,"P_PRICE("&amp;AH46&amp;",0,D,D)")</f>
        <v>6846.51</v>
      </c>
      <c r="AD46" s="9" cm="1">
        <f t="array" aca="1" ref="AD46" ca="1">_xll.FDS($E$9,"P_PRICE("&amp;AI46&amp;",0,D,D)")</f>
        <v>6812.63</v>
      </c>
      <c r="AE46" s="9" cm="1">
        <f t="array" aca="1" ref="AE46" ca="1">_xll.FDS($E$9,"P_PRICE("&amp;AJ46&amp;",0,D,D)")</f>
        <v>6734.11</v>
      </c>
      <c r="AF46" s="9" cm="1">
        <f t="array" aca="1" ref="AF46" ca="1">_xll.FDS($E$9,"P_PRICE("&amp;AK46&amp;",0,D,D)")</f>
        <v>6664.36</v>
      </c>
      <c r="AG46" s="20">
        <f t="shared" ca="1" si="17"/>
        <v>46006</v>
      </c>
      <c r="AH46" s="22">
        <f t="shared" ca="1" si="12"/>
        <v>45999</v>
      </c>
      <c r="AI46" s="22">
        <f t="shared" ca="1" si="13"/>
        <v>45992</v>
      </c>
      <c r="AJ46" s="22">
        <f t="shared" ca="1" si="14"/>
        <v>45975</v>
      </c>
      <c r="AK46" s="22">
        <f t="shared" ca="1" si="15"/>
        <v>45919</v>
      </c>
      <c r="AL46" s="22">
        <f t="shared" ca="1" si="16"/>
        <v>45834</v>
      </c>
      <c r="AN46" s="21">
        <v>45477</v>
      </c>
    </row>
    <row r="47" spans="4:40" x14ac:dyDescent="0.25">
      <c r="D47" s="6">
        <f ca="1"/>
        <v>46003</v>
      </c>
      <c r="E47" s="28" cm="1">
        <f t="array" aca="1" ref="E47" ca="1">_xll.FDS($E$7,"P_PRICE("&amp;D47&amp;",0,D,D)")</f>
        <v>126.4</v>
      </c>
      <c r="F47" s="29" cm="1">
        <f t="array" aca="1" ref="F47" ca="1">_xll.FDS($E$7,"P_BETA_LOCIDX("&amp;$AG47&amp;","&amp;$AL47&amp;",,"""&amp;$E$9&amp;""")")</f>
        <v>1.0782889</v>
      </c>
      <c r="G47" s="30">
        <f t="shared" ca="1" si="2"/>
        <v>6.4576260014928444E-2</v>
      </c>
      <c r="H47" s="30">
        <f t="shared" ca="1" si="2"/>
        <v>5.7097759967600012E-2</v>
      </c>
      <c r="I47" s="30">
        <f t="shared" ca="1" si="2"/>
        <v>0.12270859906661295</v>
      </c>
      <c r="J47" s="30">
        <f t="shared" ca="1" si="2"/>
        <v>9.2177012076320314E-2</v>
      </c>
      <c r="K47" s="30">
        <f t="shared" ca="1" si="3"/>
        <v>-6.7471529766824955E-3</v>
      </c>
      <c r="L47" s="30">
        <f t="shared" ca="1" si="3"/>
        <v>-3.4131984470929669E-3</v>
      </c>
      <c r="M47" s="30">
        <f t="shared" ca="1" si="3"/>
        <v>1.4391077075884454E-2</v>
      </c>
      <c r="N47" s="30">
        <f t="shared" ca="1" si="3"/>
        <v>3.1778171989125269E-2</v>
      </c>
      <c r="O47" s="30">
        <f t="shared" ca="1" si="4"/>
        <v>5.7829107038245953E-2</v>
      </c>
      <c r="P47" s="30">
        <f t="shared" ca="1" si="5"/>
        <v>5.3684561520507046E-2</v>
      </c>
      <c r="Q47" s="30">
        <f t="shared" ca="1" si="6"/>
        <v>0.13709967614249741</v>
      </c>
      <c r="R47" s="30">
        <f t="shared" ca="1" si="7"/>
        <v>0.12395518406544559</v>
      </c>
      <c r="S47" s="9" cm="1">
        <f t="array" aca="1" ref="S47" ca="1">_xll.FDS($E$7,"P_PRICE("&amp;AG47&amp;",0,D,D)")</f>
        <v>126.4</v>
      </c>
      <c r="T47" s="9" cm="1">
        <f t="array" aca="1" ref="T47" ca="1">_xll.FDS($E$7,"P_PRICE("&amp;AH47&amp;",0,D,D)")</f>
        <v>119.49</v>
      </c>
      <c r="U47" s="9" cm="1">
        <f t="array" aca="1" ref="U47" ca="1">_xll.FDS($E$7,"P_PRICE("&amp;AI47&amp;",0,D,D)")</f>
        <v>119.96</v>
      </c>
      <c r="V47" s="9" cm="1">
        <f t="array" aca="1" ref="V47" ca="1">_xll.FDS($E$7,"P_PRICE("&amp;AJ47&amp;",0,D,D)")</f>
        <v>111.16</v>
      </c>
      <c r="W47" s="9" cm="1">
        <f t="array" aca="1" ref="W47" ca="1">_xll.FDS($E$7,"P_PRICE("&amp;AK47&amp;",0,D,D)")</f>
        <v>112.46</v>
      </c>
      <c r="X47" s="24">
        <f t="shared" ca="1" si="8"/>
        <v>-6.2572775966464045E-3</v>
      </c>
      <c r="Y47" s="24">
        <f t="shared" ca="1" si="9"/>
        <v>-3.1653840145187129E-3</v>
      </c>
      <c r="Z47" s="24">
        <f t="shared" ca="1" si="10"/>
        <v>1.334621646933809E-2</v>
      </c>
      <c r="AA47" s="24">
        <f t="shared" ca="1" si="11"/>
        <v>2.9470925638875878E-2</v>
      </c>
      <c r="AB47" s="9" cm="1">
        <f t="array" aca="1" ref="AB47" ca="1">_xll.FDS($E$9,"P_PRICE("&amp;AG47&amp;",0,D,D)")</f>
        <v>6827.41</v>
      </c>
      <c r="AC47" s="9" cm="1">
        <f t="array" aca="1" ref="AC47" ca="1">_xll.FDS($E$9,"P_PRICE("&amp;AH47&amp;",0,D,D)")</f>
        <v>6870.4</v>
      </c>
      <c r="AD47" s="9" cm="1">
        <f t="array" aca="1" ref="AD47" ca="1">_xll.FDS($E$9,"P_PRICE("&amp;AI47&amp;",0,D,D)")</f>
        <v>6849.09</v>
      </c>
      <c r="AE47" s="9" cm="1">
        <f t="array" aca="1" ref="AE47" ca="1">_xll.FDS($E$9,"P_PRICE("&amp;AJ47&amp;",0,D,D)")</f>
        <v>6737.49</v>
      </c>
      <c r="AF47" s="9" cm="1">
        <f t="array" aca="1" ref="AF47" ca="1">_xll.FDS($E$9,"P_PRICE("&amp;AK47&amp;",0,D,D)")</f>
        <v>6631.96</v>
      </c>
      <c r="AG47" s="20">
        <f t="shared" ca="1" si="17"/>
        <v>46003</v>
      </c>
      <c r="AH47" s="22">
        <f t="shared" ca="1" si="12"/>
        <v>45996</v>
      </c>
      <c r="AI47" s="22">
        <f t="shared" ca="1" si="13"/>
        <v>45989</v>
      </c>
      <c r="AJ47" s="22">
        <f t="shared" ca="1" si="14"/>
        <v>45974</v>
      </c>
      <c r="AK47" s="22">
        <f t="shared" ca="1" si="15"/>
        <v>45918</v>
      </c>
      <c r="AL47" s="22">
        <f t="shared" ca="1" si="16"/>
        <v>45833</v>
      </c>
      <c r="AN47" s="21">
        <v>45537</v>
      </c>
    </row>
    <row r="48" spans="4:40" x14ac:dyDescent="0.25">
      <c r="D48" s="6">
        <f ca="1"/>
        <v>46002</v>
      </c>
      <c r="E48" s="28" cm="1">
        <f t="array" aca="1" ref="E48" ca="1">_xll.FDS($E$7,"P_PRICE("&amp;D48&amp;",0,D,D)")</f>
        <v>126.99</v>
      </c>
      <c r="F48" s="29" cm="1">
        <f t="array" aca="1" ref="F48" ca="1">_xll.FDS($E$7,"P_BETA_LOCIDX("&amp;$AG48&amp;","&amp;$AL48&amp;",,"""&amp;$E$9&amp;""")")</f>
        <v>1.0961791999999999</v>
      </c>
      <c r="G48" s="30">
        <f t="shared" ca="1" si="2"/>
        <v>4.2055975190737685E-2</v>
      </c>
      <c r="H48" s="30">
        <f t="shared" ca="1" si="2"/>
        <v>4.7034551043840467E-2</v>
      </c>
      <c r="I48" s="30">
        <f t="shared" ca="1" si="2"/>
        <v>0.11182823592232158</v>
      </c>
      <c r="J48" s="30">
        <f t="shared" ca="1" si="2"/>
        <v>9.1551509642074633E-2</v>
      </c>
      <c r="K48" s="30">
        <f t="shared" ca="1" si="3"/>
        <v>7.0146567795226064E-3</v>
      </c>
      <c r="L48" s="30">
        <f t="shared" ca="1" si="3"/>
        <v>1.4222343490673972E-2</v>
      </c>
      <c r="M48" s="30">
        <f t="shared" ca="1" si="3"/>
        <v>8.013033918948061E-3</v>
      </c>
      <c r="N48" s="30">
        <f t="shared" ca="1" si="3"/>
        <v>4.9931636425341111E-2</v>
      </c>
      <c r="O48" s="30">
        <f t="shared" ca="1" si="4"/>
        <v>4.9070631970260292E-2</v>
      </c>
      <c r="P48" s="30">
        <f t="shared" ca="1" si="5"/>
        <v>6.1256894534514439E-2</v>
      </c>
      <c r="Q48" s="30">
        <f t="shared" ca="1" si="6"/>
        <v>0.11984126984126964</v>
      </c>
      <c r="R48" s="30">
        <f t="shared" ca="1" si="7"/>
        <v>0.14148314606741574</v>
      </c>
      <c r="S48" s="9" cm="1">
        <f t="array" aca="1" ref="S48" ca="1">_xll.FDS($E$7,"P_PRICE("&amp;AG48&amp;",0,D,D)")</f>
        <v>126.99</v>
      </c>
      <c r="T48" s="9" cm="1">
        <f t="array" aca="1" ref="T48" ca="1">_xll.FDS($E$7,"P_PRICE("&amp;AH48&amp;",0,D,D)")</f>
        <v>121.05</v>
      </c>
      <c r="U48" s="9" cm="1">
        <f t="array" aca="1" ref="U48" ca="1">_xll.FDS($E$7,"P_PRICE("&amp;AI48&amp;",0,D,D)")</f>
        <v>119.66</v>
      </c>
      <c r="V48" s="9" cm="1">
        <f t="array" aca="1" ref="V48" ca="1">_xll.FDS($E$7,"P_PRICE("&amp;AJ48&amp;",0,D,D)")</f>
        <v>113.4</v>
      </c>
      <c r="W48" s="9" cm="1">
        <f t="array" aca="1" ref="W48" ca="1">_xll.FDS($E$7,"P_PRICE("&amp;AK48&amp;",0,D,D)")</f>
        <v>111.25</v>
      </c>
      <c r="X48" s="24">
        <f t="shared" ca="1" si="8"/>
        <v>6.3991879972933319E-3</v>
      </c>
      <c r="Y48" s="24">
        <f t="shared" ca="1" si="9"/>
        <v>1.2974469403062905E-2</v>
      </c>
      <c r="Z48" s="24">
        <f t="shared" ca="1" si="10"/>
        <v>7.3099671285024037E-3</v>
      </c>
      <c r="AA48" s="24">
        <f t="shared" ca="1" si="11"/>
        <v>4.5550614740127449E-2</v>
      </c>
      <c r="AB48" s="9" cm="1">
        <f t="array" aca="1" ref="AB48" ca="1">_xll.FDS($E$9,"P_PRICE("&amp;AG48&amp;",0,D,D)")</f>
        <v>6901</v>
      </c>
      <c r="AC48" s="9" cm="1">
        <f t="array" aca="1" ref="AC48" ca="1">_xll.FDS($E$9,"P_PRICE("&amp;AH48&amp;",0,D,D)")</f>
        <v>6857.12</v>
      </c>
      <c r="AD48" s="9" cm="1">
        <f t="array" aca="1" ref="AD48" ca="1">_xll.FDS($E$9,"P_PRICE("&amp;AI48&amp;",0,D,D)")</f>
        <v>6812.61</v>
      </c>
      <c r="AE48" s="9" cm="1">
        <f t="array" aca="1" ref="AE48" ca="1">_xll.FDS($E$9,"P_PRICE("&amp;AJ48&amp;",0,D,D)")</f>
        <v>6850.92</v>
      </c>
      <c r="AF48" s="9" cm="1">
        <f t="array" aca="1" ref="AF48" ca="1">_xll.FDS($E$9,"P_PRICE("&amp;AK48&amp;",0,D,D)")</f>
        <v>6600.35</v>
      </c>
      <c r="AG48" s="20">
        <f t="shared" ca="1" si="17"/>
        <v>46002</v>
      </c>
      <c r="AH48" s="22">
        <f t="shared" ca="1" si="12"/>
        <v>45995</v>
      </c>
      <c r="AI48" s="22">
        <f t="shared" ca="1" si="13"/>
        <v>45987</v>
      </c>
      <c r="AJ48" s="22">
        <f t="shared" ca="1" si="14"/>
        <v>45973</v>
      </c>
      <c r="AK48" s="22">
        <f t="shared" ca="1" si="15"/>
        <v>45917</v>
      </c>
      <c r="AL48" s="22">
        <f t="shared" ca="1" si="16"/>
        <v>45832</v>
      </c>
      <c r="AN48" s="21">
        <v>45624</v>
      </c>
    </row>
    <row r="49" spans="4:40" x14ac:dyDescent="0.25">
      <c r="D49" s="6">
        <f ca="1"/>
        <v>46001</v>
      </c>
      <c r="E49" s="28" cm="1">
        <f t="array" aca="1" ref="E49" ca="1">_xll.FDS($E$7,"P_PRICE("&amp;D49&amp;",0,D,D)")</f>
        <v>125.14</v>
      </c>
      <c r="F49" s="29" cm="1">
        <f t="array" aca="1" ref="F49" ca="1">_xll.FDS($E$7,"P_BETA_LOCIDX("&amp;$AG49&amp;","&amp;$AL49&amp;",,"""&amp;$E$9&amp;""")")</f>
        <v>1.1063921000000001</v>
      </c>
      <c r="G49" s="30">
        <f t="shared" ca="1" si="2"/>
        <v>2.5177084806285003E-2</v>
      </c>
      <c r="H49" s="30">
        <f t="shared" ca="1" si="2"/>
        <v>5.6534102375333961E-2</v>
      </c>
      <c r="I49" s="30">
        <f t="shared" ca="1" si="2"/>
        <v>0.10439919519803897</v>
      </c>
      <c r="J49" s="30">
        <f t="shared" ca="1" si="2"/>
        <v>6.5182583454991783E-2</v>
      </c>
      <c r="K49" s="30">
        <f t="shared" ca="1" si="3"/>
        <v>5.969915852910841E-3</v>
      </c>
      <c r="L49" s="30">
        <f t="shared" ca="1" si="3"/>
        <v>1.9753848084801965E-2</v>
      </c>
      <c r="M49" s="30">
        <f t="shared" ca="1" si="3"/>
        <v>6.4751945045797791E-3</v>
      </c>
      <c r="N49" s="30">
        <f t="shared" ca="1" si="3"/>
        <v>4.6876423032167158E-2</v>
      </c>
      <c r="O49" s="30">
        <f t="shared" ca="1" si="4"/>
        <v>3.1147000659195845E-2</v>
      </c>
      <c r="P49" s="30">
        <f t="shared" ca="1" si="5"/>
        <v>7.6287950460135923E-2</v>
      </c>
      <c r="Q49" s="30">
        <f t="shared" ca="1" si="6"/>
        <v>0.11087438970261876</v>
      </c>
      <c r="R49" s="30">
        <f t="shared" ca="1" si="7"/>
        <v>0.11205900648715894</v>
      </c>
      <c r="S49" s="9" cm="1">
        <f t="array" aca="1" ref="S49" ca="1">_xll.FDS($E$7,"P_PRICE("&amp;AG49&amp;",0,D,D)")</f>
        <v>125.14</v>
      </c>
      <c r="T49" s="9" cm="1">
        <f t="array" aca="1" ref="T49" ca="1">_xll.FDS($E$7,"P_PRICE("&amp;AH49&amp;",0,D,D)")</f>
        <v>121.36</v>
      </c>
      <c r="U49" s="9" cm="1">
        <f t="array" aca="1" ref="U49" ca="1">_xll.FDS($E$7,"P_PRICE("&amp;AI49&amp;",0,D,D)")</f>
        <v>116.27</v>
      </c>
      <c r="V49" s="9" cm="1">
        <f t="array" aca="1" ref="V49" ca="1">_xll.FDS($E$7,"P_PRICE("&amp;AJ49&amp;",0,D,D)")</f>
        <v>112.65</v>
      </c>
      <c r="W49" s="9" cm="1">
        <f t="array" aca="1" ref="W49" ca="1">_xll.FDS($E$7,"P_PRICE("&amp;AK49&amp;",0,D,D)")</f>
        <v>112.53</v>
      </c>
      <c r="X49" s="24">
        <f t="shared" ca="1" si="8"/>
        <v>5.3958409978802635E-3</v>
      </c>
      <c r="Y49" s="24">
        <f t="shared" ca="1" si="9"/>
        <v>1.7854292420202533E-2</v>
      </c>
      <c r="Z49" s="24">
        <f t="shared" ca="1" si="10"/>
        <v>5.8525313987507488E-3</v>
      </c>
      <c r="AA49" s="24">
        <f t="shared" ca="1" si="11"/>
        <v>4.2368725366140225E-2</v>
      </c>
      <c r="AB49" s="9" cm="1">
        <f t="array" aca="1" ref="AB49" ca="1">_xll.FDS($E$9,"P_PRICE("&amp;AG49&amp;",0,D,D)")</f>
        <v>6886.68</v>
      </c>
      <c r="AC49" s="9" cm="1">
        <f t="array" aca="1" ref="AC49" ca="1">_xll.FDS($E$9,"P_PRICE("&amp;AH49&amp;",0,D,D)")</f>
        <v>6849.72</v>
      </c>
      <c r="AD49" s="9" cm="1">
        <f t="array" aca="1" ref="AD49" ca="1">_xll.FDS($E$9,"P_PRICE("&amp;AI49&amp;",0,D,D)")</f>
        <v>6765.88</v>
      </c>
      <c r="AE49" s="9" cm="1">
        <f t="array" aca="1" ref="AE49" ca="1">_xll.FDS($E$9,"P_PRICE("&amp;AJ49&amp;",0,D,D)")</f>
        <v>6846.61</v>
      </c>
      <c r="AF49" s="9" cm="1">
        <f t="array" aca="1" ref="AF49" ca="1">_xll.FDS($E$9,"P_PRICE("&amp;AK49&amp;",0,D,D)")</f>
        <v>6606.76</v>
      </c>
      <c r="AG49" s="20">
        <f t="shared" ca="1" si="17"/>
        <v>46001</v>
      </c>
      <c r="AH49" s="22">
        <f t="shared" ca="1" si="12"/>
        <v>45994</v>
      </c>
      <c r="AI49" s="22">
        <f t="shared" ca="1" si="13"/>
        <v>45986</v>
      </c>
      <c r="AJ49" s="22">
        <f t="shared" ca="1" si="14"/>
        <v>45972</v>
      </c>
      <c r="AK49" s="22">
        <f t="shared" ca="1" si="15"/>
        <v>45916</v>
      </c>
      <c r="AL49" s="22">
        <f t="shared" ca="1" si="16"/>
        <v>45831</v>
      </c>
      <c r="AN49" s="21">
        <v>45651</v>
      </c>
    </row>
    <row r="50" spans="4:40" x14ac:dyDescent="0.25">
      <c r="D50" s="6">
        <f ca="1"/>
        <v>46000</v>
      </c>
      <c r="E50" s="28" cm="1">
        <f t="array" aca="1" ref="E50" ca="1">_xll.FDS($E$7,"P_PRICE("&amp;D50&amp;",0,D,D)")</f>
        <v>123.69</v>
      </c>
      <c r="F50" s="29" cm="1">
        <f t="array" aca="1" ref="F50" ca="1">_xll.FDS($E$7,"P_BETA_LOCIDX("&amp;$AG50&amp;","&amp;$AL50&amp;",,"""&amp;$E$9&amp;""")")</f>
        <v>1.1093367000000001</v>
      </c>
      <c r="G50" s="30">
        <f t="shared" ca="1" si="2"/>
        <v>4.101990210170596E-2</v>
      </c>
      <c r="H50" s="30">
        <f t="shared" ca="1" si="2"/>
        <v>7.5700379503844534E-2</v>
      </c>
      <c r="I50" s="30">
        <f t="shared" ca="1" si="2"/>
        <v>8.387848784636627E-2</v>
      </c>
      <c r="J50" s="30">
        <f t="shared" ca="1" si="2"/>
        <v>5.4512366046132188E-2</v>
      </c>
      <c r="K50" s="30">
        <f t="shared" ca="1" si="3"/>
        <v>1.8095389235026199E-3</v>
      </c>
      <c r="L50" s="30">
        <f t="shared" ca="1" si="3"/>
        <v>2.2399762541610045E-2</v>
      </c>
      <c r="M50" s="30">
        <f t="shared" ca="1" si="3"/>
        <v>1.3118964315770776E-3</v>
      </c>
      <c r="N50" s="30">
        <f t="shared" ca="1" si="3"/>
        <v>3.7769513148498746E-2</v>
      </c>
      <c r="O50" s="30">
        <f t="shared" ca="1" si="4"/>
        <v>4.2829441025208581E-2</v>
      </c>
      <c r="P50" s="30">
        <f t="shared" ca="1" si="5"/>
        <v>9.8100142045454586E-2</v>
      </c>
      <c r="Q50" s="30">
        <f t="shared" ca="1" si="6"/>
        <v>8.5190384277943343E-2</v>
      </c>
      <c r="R50" s="30">
        <f t="shared" ca="1" si="7"/>
        <v>9.2281879194630934E-2</v>
      </c>
      <c r="S50" s="9" cm="1">
        <f t="array" aca="1" ref="S50" ca="1">_xll.FDS($E$7,"P_PRICE("&amp;AG50&amp;",0,D,D)")</f>
        <v>123.69</v>
      </c>
      <c r="T50" s="9" cm="1">
        <f t="array" aca="1" ref="T50" ca="1">_xll.FDS($E$7,"P_PRICE("&amp;AH50&amp;",0,D,D)")</f>
        <v>118.61</v>
      </c>
      <c r="U50" s="9" cm="1">
        <f t="array" aca="1" ref="U50" ca="1">_xll.FDS($E$7,"P_PRICE("&amp;AI50&amp;",0,D,D)")</f>
        <v>112.64</v>
      </c>
      <c r="V50" s="9" cm="1">
        <f t="array" aca="1" ref="V50" ca="1">_xll.FDS($E$7,"P_PRICE("&amp;AJ50&amp;",0,D,D)")</f>
        <v>113.98</v>
      </c>
      <c r="W50" s="9" cm="1">
        <f t="array" aca="1" ref="W50" ca="1">_xll.FDS($E$7,"P_PRICE("&amp;AK50&amp;",0,D,D)")</f>
        <v>113.24</v>
      </c>
      <c r="X50" s="24">
        <f t="shared" ca="1" si="8"/>
        <v>1.6311899926348961E-3</v>
      </c>
      <c r="Y50" s="24">
        <f t="shared" ca="1" si="9"/>
        <v>2.0192032357362777E-2</v>
      </c>
      <c r="Z50" s="24">
        <f t="shared" ca="1" si="10"/>
        <v>1.1825953577278003E-3</v>
      </c>
      <c r="AA50" s="24">
        <f t="shared" ca="1" si="11"/>
        <v>3.4046933765464304E-2</v>
      </c>
      <c r="AB50" s="9" cm="1">
        <f t="array" aca="1" ref="AB50" ca="1">_xll.FDS($E$9,"P_PRICE("&amp;AG50&amp;",0,D,D)")</f>
        <v>6840.51</v>
      </c>
      <c r="AC50" s="9" cm="1">
        <f t="array" aca="1" ref="AC50" ca="1">_xll.FDS($E$9,"P_PRICE("&amp;AH50&amp;",0,D,D)")</f>
        <v>6829.37</v>
      </c>
      <c r="AD50" s="9" cm="1">
        <f t="array" aca="1" ref="AD50" ca="1">_xll.FDS($E$9,"P_PRICE("&amp;AI50&amp;",0,D,D)")</f>
        <v>6705.12</v>
      </c>
      <c r="AE50" s="9" cm="1">
        <f t="array" aca="1" ref="AE50" ca="1">_xll.FDS($E$9,"P_PRICE("&amp;AJ50&amp;",0,D,D)")</f>
        <v>6832.43</v>
      </c>
      <c r="AF50" s="9" cm="1">
        <f t="array" aca="1" ref="AF50" ca="1">_xll.FDS($E$9,"P_PRICE("&amp;AK50&amp;",0,D,D)")</f>
        <v>6615.28</v>
      </c>
      <c r="AG50" s="20">
        <f t="shared" ca="1" si="17"/>
        <v>46000</v>
      </c>
      <c r="AH50" s="22">
        <f t="shared" ca="1" si="12"/>
        <v>45993</v>
      </c>
      <c r="AI50" s="22">
        <f t="shared" ca="1" si="13"/>
        <v>45985</v>
      </c>
      <c r="AJ50" s="22">
        <f t="shared" ca="1" si="14"/>
        <v>45971</v>
      </c>
      <c r="AK50" s="22">
        <f t="shared" ca="1" si="15"/>
        <v>45915</v>
      </c>
      <c r="AL50" s="22">
        <f t="shared" ca="1" si="16"/>
        <v>45828</v>
      </c>
      <c r="AN50" s="21">
        <v>45537</v>
      </c>
    </row>
    <row r="51" spans="4:40" x14ac:dyDescent="0.25">
      <c r="D51" s="6">
        <f ca="1"/>
        <v>45999</v>
      </c>
      <c r="E51" s="28" cm="1">
        <f t="array" aca="1" ref="E51" ca="1">_xll.FDS($E$7,"P_PRICE("&amp;D51&amp;",0,D,D)")</f>
        <v>126.54</v>
      </c>
      <c r="F51" s="29" cm="1">
        <f t="array" aca="1" ref="F51" ca="1">_xll.FDS($E$7,"P_BETA_LOCIDX("&amp;$AG51&amp;","&amp;$AL51&amp;",,"""&amp;$E$9&amp;""")")</f>
        <v>1.1035126</v>
      </c>
      <c r="G51" s="30">
        <f t="shared" ca="1" si="2"/>
        <v>5.1831622428653468E-2</v>
      </c>
      <c r="H51" s="30">
        <f t="shared" ca="1" si="2"/>
        <v>0.10809926126009986</v>
      </c>
      <c r="I51" s="30">
        <f t="shared" ca="1" si="2"/>
        <v>0.10051875428024362</v>
      </c>
      <c r="J51" s="30">
        <f t="shared" ca="1" si="2"/>
        <v>7.2023927692403483E-2</v>
      </c>
      <c r="K51" s="30">
        <f t="shared" ca="1" si="3"/>
        <v>5.4878962879241185E-3</v>
      </c>
      <c r="L51" s="30">
        <f t="shared" ca="1" si="3"/>
        <v>4.0697833610531108E-2</v>
      </c>
      <c r="M51" s="30">
        <f t="shared" ca="1" si="3"/>
        <v>1.9304254569313922E-2</v>
      </c>
      <c r="N51" s="30">
        <f t="shared" ca="1" si="3"/>
        <v>4.3947498359276499E-2</v>
      </c>
      <c r="O51" s="30">
        <f t="shared" ca="1" si="4"/>
        <v>5.7319518716577589E-2</v>
      </c>
      <c r="P51" s="30">
        <f t="shared" ca="1" si="5"/>
        <v>0.14879709487063097</v>
      </c>
      <c r="Q51" s="30">
        <f t="shared" ca="1" si="6"/>
        <v>0.11982300884955754</v>
      </c>
      <c r="R51" s="30">
        <f t="shared" ca="1" si="7"/>
        <v>0.11597142605167998</v>
      </c>
      <c r="S51" s="9" cm="1">
        <f t="array" aca="1" ref="S51" ca="1">_xll.FDS($E$7,"P_PRICE("&amp;AG51&amp;",0,D,D)")</f>
        <v>126.54</v>
      </c>
      <c r="T51" s="9" cm="1">
        <f t="array" aca="1" ref="T51" ca="1">_xll.FDS($E$7,"P_PRICE("&amp;AH51&amp;",0,D,D)")</f>
        <v>119.68</v>
      </c>
      <c r="U51" s="9" cm="1">
        <f t="array" aca="1" ref="U51" ca="1">_xll.FDS($E$7,"P_PRICE("&amp;AI51&amp;",0,D,D)")</f>
        <v>110.15</v>
      </c>
      <c r="V51" s="9" cm="1">
        <f t="array" aca="1" ref="V51" ca="1">_xll.FDS($E$7,"P_PRICE("&amp;AJ51&amp;",0,D,D)")</f>
        <v>113</v>
      </c>
      <c r="W51" s="9" cm="1">
        <f t="array" aca="1" ref="W51" ca="1">_xll.FDS($E$7,"P_PRICE("&amp;AK51&amp;",0,D,D)")</f>
        <v>113.39</v>
      </c>
      <c r="X51" s="24">
        <f t="shared" ca="1" si="8"/>
        <v>4.9731161093440335E-3</v>
      </c>
      <c r="Y51" s="24">
        <f t="shared" ca="1" si="9"/>
        <v>3.6880261820781302E-2</v>
      </c>
      <c r="Z51" s="24">
        <f t="shared" ca="1" si="10"/>
        <v>1.7493460944001837E-2</v>
      </c>
      <c r="AA51" s="24">
        <f t="shared" ca="1" si="11"/>
        <v>3.9825098833739192E-2</v>
      </c>
      <c r="AB51" s="9" cm="1">
        <f t="array" aca="1" ref="AB51" ca="1">_xll.FDS($E$9,"P_PRICE("&amp;AG51&amp;",0,D,D)")</f>
        <v>6846.51</v>
      </c>
      <c r="AC51" s="9" cm="1">
        <f t="array" aca="1" ref="AC51" ca="1">_xll.FDS($E$9,"P_PRICE("&amp;AH51&amp;",0,D,D)")</f>
        <v>6812.63</v>
      </c>
      <c r="AD51" s="9" cm="1">
        <f t="array" aca="1" ref="AD51" ca="1">_xll.FDS($E$9,"P_PRICE("&amp;AI51&amp;",0,D,D)")</f>
        <v>6602.99</v>
      </c>
      <c r="AE51" s="9" cm="1">
        <f t="array" aca="1" ref="AE51" ca="1">_xll.FDS($E$9,"P_PRICE("&amp;AJ51&amp;",0,D,D)")</f>
        <v>6728.8</v>
      </c>
      <c r="AF51" s="9" cm="1">
        <f t="array" aca="1" ref="AF51" ca="1">_xll.FDS($E$9,"P_PRICE("&amp;AK51&amp;",0,D,D)")</f>
        <v>6584.29</v>
      </c>
      <c r="AG51" s="20">
        <f t="shared" ca="1" si="17"/>
        <v>45999</v>
      </c>
      <c r="AH51" s="22">
        <f t="shared" ca="1" si="12"/>
        <v>45992</v>
      </c>
      <c r="AI51" s="22">
        <f t="shared" ca="1" si="13"/>
        <v>45982</v>
      </c>
      <c r="AJ51" s="22">
        <f t="shared" ca="1" si="14"/>
        <v>45968</v>
      </c>
      <c r="AK51" s="22">
        <f t="shared" ca="1" si="15"/>
        <v>45912</v>
      </c>
      <c r="AL51" s="22">
        <f t="shared" ca="1" si="16"/>
        <v>45826</v>
      </c>
      <c r="AN51" s="21">
        <v>45624</v>
      </c>
    </row>
    <row r="52" spans="4:40" x14ac:dyDescent="0.25">
      <c r="D52" s="6">
        <f ca="1"/>
        <v>45996</v>
      </c>
      <c r="E52" s="28" cm="1">
        <f t="array" aca="1" ref="E52" ca="1">_xll.FDS($E$7,"P_PRICE("&amp;D52&amp;",0,D,D)")</f>
        <v>119.49</v>
      </c>
      <c r="F52" s="29" cm="1">
        <f t="array" aca="1" ref="F52" ca="1">_xll.FDS($E$7,"P_BETA_LOCIDX("&amp;$AG52&amp;","&amp;$AL52&amp;",,"""&amp;$E$9&amp;""")")</f>
        <v>1.1536995999999999</v>
      </c>
      <c r="G52" s="30">
        <f t="shared" ca="1" si="2"/>
        <v>-7.5075500285607978E-3</v>
      </c>
      <c r="H52" s="30">
        <f t="shared" ca="1" si="2"/>
        <v>4.4096822380859768E-2</v>
      </c>
      <c r="I52" s="30">
        <f t="shared" ca="1" si="2"/>
        <v>1.5270292681873385E-2</v>
      </c>
      <c r="J52" s="30">
        <f t="shared" ca="1" si="2"/>
        <v>-5.6967912182314118E-3</v>
      </c>
      <c r="K52" s="30">
        <f t="shared" ca="1" si="3"/>
        <v>3.5895773710082385E-3</v>
      </c>
      <c r="L52" s="30">
        <f t="shared" ca="1" si="3"/>
        <v>5.8514601444922265E-2</v>
      </c>
      <c r="M52" s="30">
        <f t="shared" ca="1" si="3"/>
        <v>2.5764730841388552E-2</v>
      </c>
      <c r="N52" s="30">
        <f t="shared" ca="1" si="3"/>
        <v>4.9551076183724452E-2</v>
      </c>
      <c r="O52" s="30">
        <f t="shared" ca="1" si="4"/>
        <v>-3.9179726575525597E-3</v>
      </c>
      <c r="P52" s="30">
        <f t="shared" ca="1" si="5"/>
        <v>0.10261142382578203</v>
      </c>
      <c r="Q52" s="30">
        <f t="shared" ca="1" si="6"/>
        <v>4.1035023523261938E-2</v>
      </c>
      <c r="R52" s="30">
        <f t="shared" ca="1" si="7"/>
        <v>4.385428496549304E-2</v>
      </c>
      <c r="S52" s="9" cm="1">
        <f t="array" aca="1" ref="S52" ca="1">_xll.FDS($E$7,"P_PRICE("&amp;AG52&amp;",0,D,D)")</f>
        <v>119.49</v>
      </c>
      <c r="T52" s="9" cm="1">
        <f t="array" aca="1" ref="T52" ca="1">_xll.FDS($E$7,"P_PRICE("&amp;AH52&amp;",0,D,D)")</f>
        <v>119.96</v>
      </c>
      <c r="U52" s="9" cm="1">
        <f t="array" aca="1" ref="U52" ca="1">_xll.FDS($E$7,"P_PRICE("&amp;AI52&amp;",0,D,D)")</f>
        <v>108.37</v>
      </c>
      <c r="V52" s="9" cm="1">
        <f t="array" aca="1" ref="V52" ca="1">_xll.FDS($E$7,"P_PRICE("&amp;AJ52&amp;",0,D,D)")</f>
        <v>114.78</v>
      </c>
      <c r="W52" s="9" cm="1">
        <f t="array" aca="1" ref="W52" ca="1">_xll.FDS($E$7,"P_PRICE("&amp;AK52&amp;",0,D,D)")</f>
        <v>114.47</v>
      </c>
      <c r="X52" s="24">
        <f t="shared" ca="1" si="8"/>
        <v>3.1113622393630358E-3</v>
      </c>
      <c r="Y52" s="24">
        <f t="shared" ca="1" si="9"/>
        <v>5.0719096587120482E-2</v>
      </c>
      <c r="Z52" s="24">
        <f t="shared" ca="1" si="10"/>
        <v>2.233226989190995E-2</v>
      </c>
      <c r="AA52" s="24">
        <f t="shared" ca="1" si="11"/>
        <v>4.2949721213151548E-2</v>
      </c>
      <c r="AB52" s="9" cm="1">
        <f t="array" aca="1" ref="AB52" ca="1">_xll.FDS($E$9,"P_PRICE("&amp;AG52&amp;",0,D,D)")</f>
        <v>6870.4</v>
      </c>
      <c r="AC52" s="9" cm="1">
        <f t="array" aca="1" ref="AC52" ca="1">_xll.FDS($E$9,"P_PRICE("&amp;AH52&amp;",0,D,D)")</f>
        <v>6849.09</v>
      </c>
      <c r="AD52" s="9" cm="1">
        <f t="array" aca="1" ref="AD52" ca="1">_xll.FDS($E$9,"P_PRICE("&amp;AI52&amp;",0,D,D)")</f>
        <v>6538.76</v>
      </c>
      <c r="AE52" s="9" cm="1">
        <f t="array" aca="1" ref="AE52" ca="1">_xll.FDS($E$9,"P_PRICE("&amp;AJ52&amp;",0,D,D)")</f>
        <v>6720.32</v>
      </c>
      <c r="AF52" s="9" cm="1">
        <f t="array" aca="1" ref="AF52" ca="1">_xll.FDS($E$9,"P_PRICE("&amp;AK52&amp;",0,D,D)")</f>
        <v>6587.47</v>
      </c>
      <c r="AG52" s="20">
        <f t="shared" ca="1" si="17"/>
        <v>45996</v>
      </c>
      <c r="AH52" s="22">
        <f t="shared" ca="1" si="12"/>
        <v>45989</v>
      </c>
      <c r="AI52" s="22">
        <f t="shared" ca="1" si="13"/>
        <v>45981</v>
      </c>
      <c r="AJ52" s="22">
        <f t="shared" ca="1" si="14"/>
        <v>45967</v>
      </c>
      <c r="AK52" s="22">
        <f t="shared" ca="1" si="15"/>
        <v>45911</v>
      </c>
      <c r="AL52" s="22">
        <f t="shared" ca="1" si="16"/>
        <v>45825</v>
      </c>
      <c r="AN52" s="21">
        <v>45651</v>
      </c>
    </row>
    <row r="53" spans="4:40" x14ac:dyDescent="0.25">
      <c r="D53" s="6">
        <f ca="1"/>
        <v>45995</v>
      </c>
      <c r="E53" s="28" cm="1">
        <f t="array" aca="1" ref="E53" ca="1">_xll.FDS($E$7,"P_PRICE("&amp;D53&amp;",0,D,D)")</f>
        <v>121.05</v>
      </c>
      <c r="F53" s="29" cm="1">
        <f t="array" aca="1" ref="F53" ca="1">_xll.FDS($E$7,"P_BETA_LOCIDX("&amp;$AG53&amp;","&amp;$AL53&amp;",,"""&amp;$E$9&amp;""")")</f>
        <v>1.1460916999999999</v>
      </c>
      <c r="G53" s="30">
        <f t="shared" ca="1" si="2"/>
        <v>4.1282874408332748E-3</v>
      </c>
      <c r="H53" s="30">
        <f t="shared" ca="1" si="2"/>
        <v>6.1865042110465625E-2</v>
      </c>
      <c r="I53" s="30">
        <f t="shared" ca="1" si="2"/>
        <v>3.6253566801432248E-2</v>
      </c>
      <c r="J53" s="30">
        <f t="shared" ca="1" si="2"/>
        <v>3.0954551049544234E-2</v>
      </c>
      <c r="K53" s="30">
        <f t="shared" ca="1" si="3"/>
        <v>7.4879585895861666E-3</v>
      </c>
      <c r="L53" s="30">
        <f t="shared" ca="1" si="3"/>
        <v>3.7090927022534796E-2</v>
      </c>
      <c r="M53" s="30">
        <f t="shared" ca="1" si="3"/>
        <v>1.0258061105544355E-2</v>
      </c>
      <c r="N53" s="30">
        <f t="shared" ca="1" si="3"/>
        <v>5.7037539549053572E-2</v>
      </c>
      <c r="O53" s="30">
        <f t="shared" ca="1" si="4"/>
        <v>1.1616246030419441E-2</v>
      </c>
      <c r="P53" s="30">
        <f t="shared" ca="1" si="5"/>
        <v>9.8955969133000421E-2</v>
      </c>
      <c r="Q53" s="30">
        <f t="shared" ca="1" si="6"/>
        <v>4.6511627906976605E-2</v>
      </c>
      <c r="R53" s="30">
        <f t="shared" ca="1" si="7"/>
        <v>8.7992090598597805E-2</v>
      </c>
      <c r="S53" s="9" cm="1">
        <f t="array" aca="1" ref="S53" ca="1">_xll.FDS($E$7,"P_PRICE("&amp;AG53&amp;",0,D,D)")</f>
        <v>121.05</v>
      </c>
      <c r="T53" s="9" cm="1">
        <f t="array" aca="1" ref="T53" ca="1">_xll.FDS($E$7,"P_PRICE("&amp;AH53&amp;",0,D,D)")</f>
        <v>119.66</v>
      </c>
      <c r="U53" s="9" cm="1">
        <f t="array" aca="1" ref="U53" ca="1">_xll.FDS($E$7,"P_PRICE("&amp;AI53&amp;",0,D,D)")</f>
        <v>110.15</v>
      </c>
      <c r="V53" s="9" cm="1">
        <f t="array" aca="1" ref="V53" ca="1">_xll.FDS($E$7,"P_PRICE("&amp;AJ53&amp;",0,D,D)")</f>
        <v>115.67</v>
      </c>
      <c r="W53" s="9" cm="1">
        <f t="array" aca="1" ref="W53" ca="1">_xll.FDS($E$7,"P_PRICE("&amp;AK53&amp;",0,D,D)")</f>
        <v>111.26</v>
      </c>
      <c r="X53" s="24">
        <f t="shared" ca="1" si="8"/>
        <v>6.5334724870498295E-3</v>
      </c>
      <c r="Y53" s="24">
        <f t="shared" ca="1" si="9"/>
        <v>3.2362966263986381E-2</v>
      </c>
      <c r="Z53" s="24">
        <f t="shared" ca="1" si="10"/>
        <v>8.9504715072488139E-3</v>
      </c>
      <c r="AA53" s="24">
        <f t="shared" ca="1" si="11"/>
        <v>4.9766994690785715E-2</v>
      </c>
      <c r="AB53" s="9" cm="1">
        <f t="array" aca="1" ref="AB53" ca="1">_xll.FDS($E$9,"P_PRICE("&amp;AG53&amp;",0,D,D)")</f>
        <v>6857.12</v>
      </c>
      <c r="AC53" s="9" cm="1">
        <f t="array" aca="1" ref="AC53" ca="1">_xll.FDS($E$9,"P_PRICE("&amp;AH53&amp;",0,D,D)")</f>
        <v>6812.61</v>
      </c>
      <c r="AD53" s="9" cm="1">
        <f t="array" aca="1" ref="AD53" ca="1">_xll.FDS($E$9,"P_PRICE("&amp;AI53&amp;",0,D,D)")</f>
        <v>6642.16</v>
      </c>
      <c r="AE53" s="9" cm="1">
        <f t="array" aca="1" ref="AE53" ca="1">_xll.FDS($E$9,"P_PRICE("&amp;AJ53&amp;",0,D,D)")</f>
        <v>6796.29</v>
      </c>
      <c r="AF53" s="9" cm="1">
        <f t="array" aca="1" ref="AF53" ca="1">_xll.FDS($E$9,"P_PRICE("&amp;AK53&amp;",0,D,D)")</f>
        <v>6532.04</v>
      </c>
      <c r="AG53" s="20">
        <f t="shared" ca="1" si="17"/>
        <v>45995</v>
      </c>
      <c r="AH53" s="22">
        <f t="shared" ca="1" si="12"/>
        <v>45987</v>
      </c>
      <c r="AI53" s="22">
        <f t="shared" ca="1" si="13"/>
        <v>45980</v>
      </c>
      <c r="AJ53" s="22">
        <f t="shared" ca="1" si="14"/>
        <v>45966</v>
      </c>
      <c r="AK53" s="22">
        <f t="shared" ca="1" si="15"/>
        <v>45910</v>
      </c>
      <c r="AL53" s="22">
        <f t="shared" ca="1" si="16"/>
        <v>45824</v>
      </c>
      <c r="AN53" s="21">
        <v>45658</v>
      </c>
    </row>
    <row r="54" spans="4:40" x14ac:dyDescent="0.25">
      <c r="D54" s="6">
        <f ca="1"/>
        <v>45994</v>
      </c>
      <c r="E54" s="28" cm="1">
        <f t="array" aca="1" ref="E54" ca="1">_xll.FDS($E$7,"P_PRICE("&amp;D54&amp;",0,D,D)")</f>
        <v>121.36</v>
      </c>
      <c r="F54" s="29" cm="1">
        <f t="array" aca="1" ref="F54" ca="1">_xll.FDS($E$7,"P_BETA_LOCIDX("&amp;$AG54&amp;","&amp;$AL54&amp;",,"""&amp;$E$9&amp;""")")</f>
        <v>1.1800507</v>
      </c>
      <c r="G54" s="30">
        <f t="shared" ca="1" si="2"/>
        <v>2.9154712094400875E-2</v>
      </c>
      <c r="H54" s="30">
        <f t="shared" ca="1" si="2"/>
        <v>7.3280651794098178E-2</v>
      </c>
      <c r="I54" s="30">
        <f t="shared" ca="1" si="2"/>
        <v>2.0813360794750671E-2</v>
      </c>
      <c r="J54" s="30">
        <f t="shared" ca="1" si="2"/>
        <v>3.5015705835240753E-2</v>
      </c>
      <c r="K54" s="30">
        <f t="shared" ca="1" si="3"/>
        <v>1.4622702543940965E-2</v>
      </c>
      <c r="L54" s="30">
        <f t="shared" ca="1" si="3"/>
        <v>4.1443330937600185E-2</v>
      </c>
      <c r="M54" s="30">
        <f t="shared" ca="1" si="3"/>
        <v>1.3622370538355398E-2</v>
      </c>
      <c r="N54" s="30">
        <f t="shared" ca="1" si="3"/>
        <v>6.1082560060712963E-2</v>
      </c>
      <c r="O54" s="30">
        <f t="shared" ca="1" si="4"/>
        <v>4.3777414638341838E-2</v>
      </c>
      <c r="P54" s="30">
        <f t="shared" ca="1" si="5"/>
        <v>0.11472398273169837</v>
      </c>
      <c r="Q54" s="30">
        <f t="shared" ca="1" si="6"/>
        <v>3.4435731333106068E-2</v>
      </c>
      <c r="R54" s="30">
        <f t="shared" ca="1" si="7"/>
        <v>9.6098265895953716E-2</v>
      </c>
      <c r="S54" s="9" cm="1">
        <f t="array" aca="1" ref="S54" ca="1">_xll.FDS($E$7,"P_PRICE("&amp;AG54&amp;",0,D,D)")</f>
        <v>121.36</v>
      </c>
      <c r="T54" s="9" cm="1">
        <f t="array" aca="1" ref="T54" ca="1">_xll.FDS($E$7,"P_PRICE("&amp;AH54&amp;",0,D,D)")</f>
        <v>116.27</v>
      </c>
      <c r="U54" s="9" cm="1">
        <f t="array" aca="1" ref="U54" ca="1">_xll.FDS($E$7,"P_PRICE("&amp;AI54&amp;",0,D,D)")</f>
        <v>108.87</v>
      </c>
      <c r="V54" s="9" cm="1">
        <f t="array" aca="1" ref="V54" ca="1">_xll.FDS($E$7,"P_PRICE("&amp;AJ54&amp;",0,D,D)")</f>
        <v>117.32</v>
      </c>
      <c r="W54" s="9" cm="1">
        <f t="array" aca="1" ref="W54" ca="1">_xll.FDS($E$7,"P_PRICE("&amp;AK54&amp;",0,D,D)")</f>
        <v>110.72</v>
      </c>
      <c r="X54" s="24">
        <f t="shared" ca="1" si="8"/>
        <v>1.23915883817034E-2</v>
      </c>
      <c r="Y54" s="24">
        <f t="shared" ca="1" si="9"/>
        <v>3.5119957928587464E-2</v>
      </c>
      <c r="Z54" s="24">
        <f t="shared" ca="1" si="10"/>
        <v>1.1543885816393651E-2</v>
      </c>
      <c r="AA54" s="24">
        <f t="shared" ca="1" si="11"/>
        <v>5.1762657367783405E-2</v>
      </c>
      <c r="AB54" s="9" cm="1">
        <f t="array" aca="1" ref="AB54" ca="1">_xll.FDS($E$9,"P_PRICE("&amp;AG54&amp;",0,D,D)")</f>
        <v>6849.72</v>
      </c>
      <c r="AC54" s="9" cm="1">
        <f t="array" aca="1" ref="AC54" ca="1">_xll.FDS($E$9,"P_PRICE("&amp;AH54&amp;",0,D,D)")</f>
        <v>6765.88</v>
      </c>
      <c r="AD54" s="9" cm="1">
        <f t="array" aca="1" ref="AD54" ca="1">_xll.FDS($E$9,"P_PRICE("&amp;AI54&amp;",0,D,D)")</f>
        <v>6617.32</v>
      </c>
      <c r="AE54" s="9" cm="1">
        <f t="array" aca="1" ref="AE54" ca="1">_xll.FDS($E$9,"P_PRICE("&amp;AJ54&amp;",0,D,D)")</f>
        <v>6771.55</v>
      </c>
      <c r="AF54" s="9" cm="1">
        <f t="array" aca="1" ref="AF54" ca="1">_xll.FDS($E$9,"P_PRICE("&amp;AK54&amp;",0,D,D)")</f>
        <v>6512.61</v>
      </c>
      <c r="AG54" s="20">
        <f t="shared" ca="1" si="17"/>
        <v>45994</v>
      </c>
      <c r="AH54" s="22">
        <f t="shared" ca="1" si="12"/>
        <v>45986</v>
      </c>
      <c r="AI54" s="22">
        <f t="shared" ca="1" si="13"/>
        <v>45979</v>
      </c>
      <c r="AJ54" s="22">
        <f t="shared" ca="1" si="14"/>
        <v>45965</v>
      </c>
      <c r="AK54" s="22">
        <f t="shared" ca="1" si="15"/>
        <v>45909</v>
      </c>
      <c r="AL54" s="22">
        <f t="shared" ca="1" si="16"/>
        <v>45821</v>
      </c>
      <c r="AN54" s="21">
        <v>45666</v>
      </c>
    </row>
    <row r="55" spans="4:40" x14ac:dyDescent="0.25">
      <c r="D55" s="6">
        <f ca="1"/>
        <v>45993</v>
      </c>
      <c r="E55" s="28" cm="1">
        <f t="array" aca="1" ref="E55" ca="1">_xll.FDS($E$7,"P_PRICE("&amp;D55&amp;",0,D,D)")</f>
        <v>118.61</v>
      </c>
      <c r="F55" s="29" cm="1">
        <f t="array" aca="1" ref="F55" ca="1">_xll.FDS($E$7,"P_BETA_LOCIDX("&amp;$AG55&amp;","&amp;$AL55&amp;",,"""&amp;$E$9&amp;""")")</f>
        <v>1.1792522999999999</v>
      </c>
      <c r="G55" s="30">
        <f t="shared" ca="1" si="2"/>
        <v>3.1148439384245292E-2</v>
      </c>
      <c r="H55" s="30">
        <f t="shared" ca="1" si="2"/>
        <v>5.8034023815203589E-2</v>
      </c>
      <c r="I55" s="30">
        <f t="shared" ca="1" si="2"/>
        <v>5.6632018691092998E-3</v>
      </c>
      <c r="J55" s="30">
        <f t="shared" ca="1" si="2"/>
        <v>-2.2297861942406558E-3</v>
      </c>
      <c r="K55" s="30">
        <f t="shared" ca="1" si="3"/>
        <v>2.1852270843027415E-2</v>
      </c>
      <c r="L55" s="30">
        <f t="shared" ca="1" si="3"/>
        <v>2.7740417781281366E-2</v>
      </c>
      <c r="M55" s="30">
        <f t="shared" ca="1" si="3"/>
        <v>-3.8895532204607035E-3</v>
      </c>
      <c r="N55" s="30">
        <f t="shared" ca="1" si="3"/>
        <v>6.0680616106787454E-2</v>
      </c>
      <c r="O55" s="30">
        <f t="shared" ca="1" si="4"/>
        <v>5.3000710227272707E-2</v>
      </c>
      <c r="P55" s="30">
        <f t="shared" ca="1" si="5"/>
        <v>8.5774441596484952E-2</v>
      </c>
      <c r="Q55" s="30">
        <f t="shared" ca="1" si="6"/>
        <v>1.7736486486485958E-3</v>
      </c>
      <c r="R55" s="30">
        <f t="shared" ca="1" si="7"/>
        <v>5.8450829912546798E-2</v>
      </c>
      <c r="S55" s="9" cm="1">
        <f t="array" aca="1" ref="S55" ca="1">_xll.FDS($E$7,"P_PRICE("&amp;AG55&amp;",0,D,D)")</f>
        <v>118.61</v>
      </c>
      <c r="T55" s="9" cm="1">
        <f t="array" aca="1" ref="T55" ca="1">_xll.FDS($E$7,"P_PRICE("&amp;AH55&amp;",0,D,D)")</f>
        <v>112.64</v>
      </c>
      <c r="U55" s="9" cm="1">
        <f t="array" aca="1" ref="U55" ca="1">_xll.FDS($E$7,"P_PRICE("&amp;AI55&amp;",0,D,D)")</f>
        <v>109.24</v>
      </c>
      <c r="V55" s="9" cm="1">
        <f t="array" aca="1" ref="V55" ca="1">_xll.FDS($E$7,"P_PRICE("&amp;AJ55&amp;",0,D,D)")</f>
        <v>118.4</v>
      </c>
      <c r="W55" s="9" cm="1">
        <f t="array" aca="1" ref="W55" ca="1">_xll.FDS($E$7,"P_PRICE("&amp;AK55&amp;",0,D,D)")</f>
        <v>112.06</v>
      </c>
      <c r="X55" s="24">
        <f t="shared" ca="1" si="8"/>
        <v>1.8530615410313311E-2</v>
      </c>
      <c r="Y55" s="24">
        <f t="shared" ca="1" si="9"/>
        <v>2.3523734302898003E-2</v>
      </c>
      <c r="Z55" s="24">
        <f t="shared" ca="1" si="10"/>
        <v>-3.2983215046183956E-3</v>
      </c>
      <c r="AA55" s="24">
        <f t="shared" ca="1" si="11"/>
        <v>5.1456856269678219E-2</v>
      </c>
      <c r="AB55" s="9" cm="1">
        <f t="array" aca="1" ref="AB55" ca="1">_xll.FDS($E$9,"P_PRICE("&amp;AG55&amp;",0,D,D)")</f>
        <v>6829.37</v>
      </c>
      <c r="AC55" s="9" cm="1">
        <f t="array" aca="1" ref="AC55" ca="1">_xll.FDS($E$9,"P_PRICE("&amp;AH55&amp;",0,D,D)")</f>
        <v>6705.12</v>
      </c>
      <c r="AD55" s="9" cm="1">
        <f t="array" aca="1" ref="AD55" ca="1">_xll.FDS($E$9,"P_PRICE("&amp;AI55&amp;",0,D,D)")</f>
        <v>6672.41</v>
      </c>
      <c r="AE55" s="9" cm="1">
        <f t="array" aca="1" ref="AE55" ca="1">_xll.FDS($E$9,"P_PRICE("&amp;AJ55&amp;",0,D,D)")</f>
        <v>6851.97</v>
      </c>
      <c r="AF55" s="9" cm="1">
        <f t="array" aca="1" ref="AF55" ca="1">_xll.FDS($E$9,"P_PRICE("&amp;AK55&amp;",0,D,D)")</f>
        <v>6495.15</v>
      </c>
      <c r="AG55" s="20">
        <f t="shared" ca="1" si="17"/>
        <v>45993</v>
      </c>
      <c r="AH55" s="22">
        <f t="shared" ca="1" si="12"/>
        <v>45985</v>
      </c>
      <c r="AI55" s="22">
        <f t="shared" ca="1" si="13"/>
        <v>45978</v>
      </c>
      <c r="AJ55" s="22">
        <f t="shared" ca="1" si="14"/>
        <v>45964</v>
      </c>
      <c r="AK55" s="22">
        <f t="shared" ca="1" si="15"/>
        <v>45908</v>
      </c>
      <c r="AL55" s="22">
        <f t="shared" ca="1" si="16"/>
        <v>45820</v>
      </c>
      <c r="AN55" s="21">
        <v>45677</v>
      </c>
    </row>
    <row r="56" spans="4:40" x14ac:dyDescent="0.25">
      <c r="D56" s="6">
        <f ca="1"/>
        <v>45992</v>
      </c>
      <c r="E56" s="28" cm="1">
        <f t="array" aca="1" ref="E56" ca="1">_xll.FDS($E$7,"P_PRICE("&amp;D56&amp;",0,D,D)")</f>
        <v>119.68</v>
      </c>
      <c r="F56" s="29" cm="1">
        <f t="array" aca="1" ref="F56" ca="1">_xll.FDS($E$7,"P_BETA_LOCIDX("&amp;$AG56&amp;","&amp;$AL56&amp;",,"""&amp;$E$9&amp;""")")</f>
        <v>1.1936032999999999</v>
      </c>
      <c r="G56" s="30">
        <f t="shared" ca="1" si="2"/>
        <v>4.8622370880469001E-2</v>
      </c>
      <c r="H56" s="30">
        <f t="shared" ca="1" si="2"/>
        <v>7.8352318228179729E-2</v>
      </c>
      <c r="I56" s="30">
        <f t="shared" ca="1" si="2"/>
        <v>9.6807755080312325E-3</v>
      </c>
      <c r="J56" s="30">
        <f t="shared" ca="1" si="2"/>
        <v>4.1683579805151735E-3</v>
      </c>
      <c r="K56" s="30">
        <f t="shared" ca="1" si="3"/>
        <v>3.7896013141319462E-2</v>
      </c>
      <c r="L56" s="30">
        <f t="shared" ca="1" si="3"/>
        <v>1.3917463646421047E-2</v>
      </c>
      <c r="M56" s="30">
        <f t="shared" ca="1" si="3"/>
        <v>-4.8109182452266992E-3</v>
      </c>
      <c r="N56" s="30">
        <f t="shared" ca="1" si="3"/>
        <v>6.0979381428527331E-2</v>
      </c>
      <c r="O56" s="30">
        <f t="shared" ca="1" si="4"/>
        <v>8.6518384021788464E-2</v>
      </c>
      <c r="P56" s="30">
        <f t="shared" ca="1" si="5"/>
        <v>9.2269781874600776E-2</v>
      </c>
      <c r="Q56" s="30">
        <f t="shared" ca="1" si="6"/>
        <v>4.8698572628045333E-3</v>
      </c>
      <c r="R56" s="30">
        <f t="shared" ca="1" si="7"/>
        <v>6.5147739409042504E-2</v>
      </c>
      <c r="S56" s="9" cm="1">
        <f t="array" aca="1" ref="S56" ca="1">_xll.FDS($E$7,"P_PRICE("&amp;AG56&amp;",0,D,D)")</f>
        <v>119.68</v>
      </c>
      <c r="T56" s="9" cm="1">
        <f t="array" aca="1" ref="T56" ca="1">_xll.FDS($E$7,"P_PRICE("&amp;AH56&amp;",0,D,D)")</f>
        <v>110.15</v>
      </c>
      <c r="U56" s="9" cm="1">
        <f t="array" aca="1" ref="U56" ca="1">_xll.FDS($E$7,"P_PRICE("&amp;AI56&amp;",0,D,D)")</f>
        <v>109.57</v>
      </c>
      <c r="V56" s="9" cm="1">
        <f t="array" aca="1" ref="V56" ca="1">_xll.FDS($E$7,"P_PRICE("&amp;AJ56&amp;",0,D,D)")</f>
        <v>119.1</v>
      </c>
      <c r="W56" s="9" cm="1">
        <f t="array" aca="1" ref="W56" ca="1">_xll.FDS($E$7,"P_PRICE("&amp;AK56&amp;",0,D,D)")</f>
        <v>112.36</v>
      </c>
      <c r="X56" s="24">
        <f t="shared" ca="1" si="8"/>
        <v>3.1749252989933474E-2</v>
      </c>
      <c r="Y56" s="24">
        <f t="shared" ca="1" si="9"/>
        <v>1.1660041193268356E-2</v>
      </c>
      <c r="Z56" s="24">
        <f t="shared" ca="1" si="10"/>
        <v>-4.0305839010554845E-3</v>
      </c>
      <c r="AA56" s="24">
        <f t="shared" ca="1" si="11"/>
        <v>5.1088482604335406E-2</v>
      </c>
      <c r="AB56" s="9" cm="1">
        <f t="array" aca="1" ref="AB56" ca="1">_xll.FDS($E$9,"P_PRICE("&amp;AG56&amp;",0,D,D)")</f>
        <v>6812.63</v>
      </c>
      <c r="AC56" s="9" cm="1">
        <f t="array" aca="1" ref="AC56" ca="1">_xll.FDS($E$9,"P_PRICE("&amp;AH56&amp;",0,D,D)")</f>
        <v>6602.99</v>
      </c>
      <c r="AD56" s="9" cm="1">
        <f t="array" aca="1" ref="AD56" ca="1">_xll.FDS($E$9,"P_PRICE("&amp;AI56&amp;",0,D,D)")</f>
        <v>6734.11</v>
      </c>
      <c r="AE56" s="9" cm="1">
        <f t="array" aca="1" ref="AE56" ca="1">_xll.FDS($E$9,"P_PRICE("&amp;AJ56&amp;",0,D,D)")</f>
        <v>6840.2</v>
      </c>
      <c r="AF56" s="9" cm="1">
        <f t="array" aca="1" ref="AF56" ca="1">_xll.FDS($E$9,"P_PRICE("&amp;AK56&amp;",0,D,D)")</f>
        <v>6481.5</v>
      </c>
      <c r="AG56" s="20">
        <f t="shared" ca="1" si="17"/>
        <v>45992</v>
      </c>
      <c r="AH56" s="22">
        <f t="shared" ca="1" si="12"/>
        <v>45982</v>
      </c>
      <c r="AI56" s="22">
        <f t="shared" ca="1" si="13"/>
        <v>45975</v>
      </c>
      <c r="AJ56" s="22">
        <f t="shared" ca="1" si="14"/>
        <v>45961</v>
      </c>
      <c r="AK56" s="22">
        <f t="shared" ca="1" si="15"/>
        <v>45905</v>
      </c>
      <c r="AL56" s="22">
        <f t="shared" ca="1" si="16"/>
        <v>45819</v>
      </c>
      <c r="AN56" s="21">
        <v>45705</v>
      </c>
    </row>
    <row r="57" spans="4:40" x14ac:dyDescent="0.25">
      <c r="D57" s="6">
        <f ca="1"/>
        <v>45989</v>
      </c>
      <c r="E57" s="28" cm="1">
        <f t="array" aca="1" ref="E57" ca="1">_xll.FDS($E$7,"P_PRICE("&amp;D57&amp;",0,D,D)")</f>
        <v>119.96</v>
      </c>
      <c r="F57" s="29" cm="1">
        <f t="array" aca="1" ref="F57" ca="1">_xll.FDS($E$7,"P_BETA_LOCIDX("&amp;$AG57&amp;","&amp;$AL57&amp;",,"""&amp;$E$9&amp;""")")</f>
        <v>1.1890172999999999</v>
      </c>
      <c r="G57" s="30">
        <f t="shared" ca="1" si="2"/>
        <v>5.0517574499337671E-2</v>
      </c>
      <c r="H57" s="30">
        <f t="shared" ca="1" si="2"/>
        <v>5.9470246713507126E-2</v>
      </c>
      <c r="I57" s="30">
        <f t="shared" ca="1" si="2"/>
        <v>1.8625486413128913E-2</v>
      </c>
      <c r="J57" s="30">
        <f t="shared" ca="1" si="2"/>
        <v>1.1357330417281014E-2</v>
      </c>
      <c r="K57" s="30">
        <f t="shared" ca="1" si="3"/>
        <v>5.643084295936842E-2</v>
      </c>
      <c r="L57" s="30">
        <f t="shared" ca="1" si="3"/>
        <v>1.9694920612869336E-2</v>
      </c>
      <c r="M57" s="30">
        <f t="shared" ca="1" si="3"/>
        <v>4.6620679671490507E-3</v>
      </c>
      <c r="N57" s="30">
        <f t="shared" ca="1" si="3"/>
        <v>6.3456754342149063E-2</v>
      </c>
      <c r="O57" s="30">
        <f t="shared" ca="1" si="4"/>
        <v>0.10694841745870609</v>
      </c>
      <c r="P57" s="30">
        <f t="shared" ca="1" si="5"/>
        <v>7.9165167326376462E-2</v>
      </c>
      <c r="Q57" s="30">
        <f t="shared" ca="1" si="6"/>
        <v>2.3287554380277964E-2</v>
      </c>
      <c r="R57" s="30">
        <f t="shared" ca="1" si="7"/>
        <v>7.4814084759430077E-2</v>
      </c>
      <c r="S57" s="9" cm="1">
        <f t="array" aca="1" ref="S57" ca="1">_xll.FDS($E$7,"P_PRICE("&amp;AG57&amp;",0,D,D)")</f>
        <v>119.96</v>
      </c>
      <c r="T57" s="9" cm="1">
        <f t="array" aca="1" ref="T57" ca="1">_xll.FDS($E$7,"P_PRICE("&amp;AH57&amp;",0,D,D)")</f>
        <v>108.37</v>
      </c>
      <c r="U57" s="9" cm="1">
        <f t="array" aca="1" ref="U57" ca="1">_xll.FDS($E$7,"P_PRICE("&amp;AI57&amp;",0,D,D)")</f>
        <v>111.16</v>
      </c>
      <c r="V57" s="9" cm="1">
        <f t="array" aca="1" ref="V57" ca="1">_xll.FDS($E$7,"P_PRICE("&amp;AJ57&amp;",0,D,D)")</f>
        <v>117.23</v>
      </c>
      <c r="W57" s="9" cm="1">
        <f t="array" aca="1" ref="W57" ca="1">_xll.FDS($E$7,"P_PRICE("&amp;AK57&amp;",0,D,D)")</f>
        <v>111.61</v>
      </c>
      <c r="X57" s="24">
        <f t="shared" ca="1" si="8"/>
        <v>4.7460068881561623E-2</v>
      </c>
      <c r="Y57" s="24">
        <f t="shared" ca="1" si="9"/>
        <v>1.6564032005984552E-2</v>
      </c>
      <c r="Z57" s="24">
        <f t="shared" ca="1" si="10"/>
        <v>3.9209420814558804E-3</v>
      </c>
      <c r="AA57" s="24">
        <f t="shared" ca="1" si="11"/>
        <v>5.3369075741916516E-2</v>
      </c>
      <c r="AB57" s="9" cm="1">
        <f t="array" aca="1" ref="AB57" ca="1">_xll.FDS($E$9,"P_PRICE("&amp;AG57&amp;",0,D,D)")</f>
        <v>6849.09</v>
      </c>
      <c r="AC57" s="9" cm="1">
        <f t="array" aca="1" ref="AC57" ca="1">_xll.FDS($E$9,"P_PRICE("&amp;AH57&amp;",0,D,D)")</f>
        <v>6538.76</v>
      </c>
      <c r="AD57" s="9" cm="1">
        <f t="array" aca="1" ref="AD57" ca="1">_xll.FDS($E$9,"P_PRICE("&amp;AI57&amp;",0,D,D)")</f>
        <v>6737.49</v>
      </c>
      <c r="AE57" s="9" cm="1">
        <f t="array" aca="1" ref="AE57" ca="1">_xll.FDS($E$9,"P_PRICE("&amp;AJ57&amp;",0,D,D)")</f>
        <v>6822.34</v>
      </c>
      <c r="AF57" s="9" cm="1">
        <f t="array" aca="1" ref="AF57" ca="1">_xll.FDS($E$9,"P_PRICE("&amp;AK57&amp;",0,D,D)")</f>
        <v>6502.08</v>
      </c>
      <c r="AG57" s="20">
        <f t="shared" ca="1" si="17"/>
        <v>45989</v>
      </c>
      <c r="AH57" s="22">
        <f t="shared" ca="1" si="12"/>
        <v>45981</v>
      </c>
      <c r="AI57" s="22">
        <f t="shared" ca="1" si="13"/>
        <v>45974</v>
      </c>
      <c r="AJ57" s="22">
        <f t="shared" ca="1" si="14"/>
        <v>45960</v>
      </c>
      <c r="AK57" s="22">
        <f t="shared" ca="1" si="15"/>
        <v>45904</v>
      </c>
      <c r="AL57" s="22">
        <f t="shared" ca="1" si="16"/>
        <v>45818</v>
      </c>
      <c r="AN57" s="21">
        <v>45765</v>
      </c>
    </row>
    <row r="58" spans="4:40" x14ac:dyDescent="0.25">
      <c r="D58" s="6">
        <f ca="1"/>
        <v>45987</v>
      </c>
      <c r="E58" s="28" cm="1">
        <f t="array" aca="1" ref="E58" ca="1">_xll.FDS($E$7,"P_PRICE("&amp;D58&amp;",0,D,D)")</f>
        <v>119.66</v>
      </c>
      <c r="F58" s="29" cm="1">
        <f t="array" aca="1" ref="F58" ca="1">_xll.FDS($E$7,"P_BETA_LOCIDX("&amp;$AG58&amp;","&amp;$AL58&amp;",,"""&amp;$E$9&amp;""")")</f>
        <v>1.1923794999999999</v>
      </c>
      <c r="G58" s="30">
        <f t="shared" ca="1" si="2"/>
        <v>5.5738169956541947E-2</v>
      </c>
      <c r="H58" s="30">
        <f t="shared" ca="1" si="2"/>
        <v>6.187054805005994E-2</v>
      </c>
      <c r="I58" s="30">
        <f t="shared" ca="1" si="2"/>
        <v>2.3453505982524325E-2</v>
      </c>
      <c r="J58" s="30">
        <f t="shared" ca="1" si="2"/>
        <v>1.8783254454768084E-3</v>
      </c>
      <c r="K58" s="30">
        <f t="shared" ca="1" si="3"/>
        <v>3.0598643479681293E-2</v>
      </c>
      <c r="L58" s="30">
        <f t="shared" ca="1" si="3"/>
        <v>-6.6677261805715001E-3</v>
      </c>
      <c r="M58" s="30">
        <f t="shared" ca="1" si="3"/>
        <v>-1.349401914930365E-2</v>
      </c>
      <c r="N58" s="30">
        <f t="shared" ca="1" si="3"/>
        <v>6.7373752116850066E-2</v>
      </c>
      <c r="O58" s="30">
        <f t="shared" ca="1" si="4"/>
        <v>8.6336813436223236E-2</v>
      </c>
      <c r="P58" s="30">
        <f t="shared" ca="1" si="5"/>
        <v>5.5202821869488439E-2</v>
      </c>
      <c r="Q58" s="30">
        <f t="shared" ca="1" si="6"/>
        <v>9.9594868332206765E-3</v>
      </c>
      <c r="R58" s="30">
        <f t="shared" ca="1" si="7"/>
        <v>6.9252077562326875E-2</v>
      </c>
      <c r="S58" s="9" cm="1">
        <f t="array" aca="1" ref="S58" ca="1">_xll.FDS($E$7,"P_PRICE("&amp;AG58&amp;",0,D,D)")</f>
        <v>119.66</v>
      </c>
      <c r="T58" s="9" cm="1">
        <f t="array" aca="1" ref="T58" ca="1">_xll.FDS($E$7,"P_PRICE("&amp;AH58&amp;",0,D,D)")</f>
        <v>110.15</v>
      </c>
      <c r="U58" s="9" cm="1">
        <f t="array" aca="1" ref="U58" ca="1">_xll.FDS($E$7,"P_PRICE("&amp;AI58&amp;",0,D,D)")</f>
        <v>113.4</v>
      </c>
      <c r="V58" s="9" cm="1">
        <f t="array" aca="1" ref="V58" ca="1">_xll.FDS($E$7,"P_PRICE("&amp;AJ58&amp;",0,D,D)")</f>
        <v>118.48</v>
      </c>
      <c r="W58" s="9" cm="1">
        <f t="array" aca="1" ref="W58" ca="1">_xll.FDS($E$7,"P_PRICE("&amp;AK58&amp;",0,D,D)")</f>
        <v>111.91</v>
      </c>
      <c r="X58" s="24">
        <f t="shared" ca="1" si="8"/>
        <v>2.5661832897732051E-2</v>
      </c>
      <c r="Y58" s="24">
        <f t="shared" ca="1" si="9"/>
        <v>-5.5919496943477309E-3</v>
      </c>
      <c r="Z58" s="24">
        <f t="shared" ca="1" si="10"/>
        <v>-1.1316882879405132E-2</v>
      </c>
      <c r="AA58" s="24">
        <f t="shared" ca="1" si="11"/>
        <v>5.6503614928678392E-2</v>
      </c>
      <c r="AB58" s="9" cm="1">
        <f t="array" aca="1" ref="AB58" ca="1">_xll.FDS($E$9,"P_PRICE("&amp;AG58&amp;",0,D,D)")</f>
        <v>6812.61</v>
      </c>
      <c r="AC58" s="9" cm="1">
        <f t="array" aca="1" ref="AC58" ca="1">_xll.FDS($E$9,"P_PRICE("&amp;AH58&amp;",0,D,D)")</f>
        <v>6642.16</v>
      </c>
      <c r="AD58" s="9" cm="1">
        <f t="array" aca="1" ref="AD58" ca="1">_xll.FDS($E$9,"P_PRICE("&amp;AI58&amp;",0,D,D)")</f>
        <v>6850.92</v>
      </c>
      <c r="AE58" s="9" cm="1">
        <f t="array" aca="1" ref="AE58" ca="1">_xll.FDS($E$9,"P_PRICE("&amp;AJ58&amp;",0,D,D)")</f>
        <v>6890.59</v>
      </c>
      <c r="AF58" s="9" cm="1">
        <f t="array" aca="1" ref="AF58" ca="1">_xll.FDS($E$9,"P_PRICE("&amp;AK58&amp;",0,D,D)")</f>
        <v>6448.26</v>
      </c>
      <c r="AG58" s="20">
        <f t="shared" ca="1" si="17"/>
        <v>45987</v>
      </c>
      <c r="AH58" s="22">
        <f t="shared" ca="1" si="12"/>
        <v>45980</v>
      </c>
      <c r="AI58" s="22">
        <f t="shared" ca="1" si="13"/>
        <v>45973</v>
      </c>
      <c r="AJ58" s="22">
        <f t="shared" ca="1" si="14"/>
        <v>45959</v>
      </c>
      <c r="AK58" s="22">
        <f t="shared" ca="1" si="15"/>
        <v>45903</v>
      </c>
      <c r="AL58" s="22">
        <f t="shared" ca="1" si="16"/>
        <v>45817</v>
      </c>
      <c r="AN58" s="21">
        <v>45803</v>
      </c>
    </row>
    <row r="59" spans="4:40" x14ac:dyDescent="0.25">
      <c r="D59" s="6">
        <f ca="1"/>
        <v>45986</v>
      </c>
      <c r="E59" s="28" cm="1">
        <f t="array" aca="1" ref="E59" ca="1">_xll.FDS($E$7,"P_PRICE("&amp;D59&amp;",0,D,D)")</f>
        <v>116.27</v>
      </c>
      <c r="F59" s="29" cm="1">
        <f t="array" aca="1" ref="F59" ca="1">_xll.FDS($E$7,"P_BETA_LOCIDX("&amp;$AG59&amp;","&amp;$AL59&amp;",,"""&amp;$E$9&amp;""")")</f>
        <v>1.1476933</v>
      </c>
      <c r="G59" s="30">
        <f t="shared" ca="1" si="2"/>
        <v>4.2205057743357755E-2</v>
      </c>
      <c r="H59" s="30">
        <f t="shared" ca="1" si="2"/>
        <v>4.5667654712577326E-2</v>
      </c>
      <c r="I59" s="30">
        <f t="shared" ca="1" si="2"/>
        <v>-9.777934679874957E-3</v>
      </c>
      <c r="J59" s="30">
        <f t="shared" ca="1" si="2"/>
        <v>-1.7831429613965499E-2</v>
      </c>
      <c r="K59" s="30">
        <f t="shared" ca="1" si="3"/>
        <v>2.5765916813453141E-2</v>
      </c>
      <c r="L59" s="30">
        <f t="shared" ca="1" si="3"/>
        <v>-1.3532723509736827E-2</v>
      </c>
      <c r="M59" s="30">
        <f t="shared" ca="1" si="3"/>
        <v>-2.0820697969783274E-2</v>
      </c>
      <c r="N59" s="30">
        <f t="shared" ca="1" si="3"/>
        <v>6.2673270016553595E-2</v>
      </c>
      <c r="O59" s="30">
        <f t="shared" ca="1" si="4"/>
        <v>6.7970974556810893E-2</v>
      </c>
      <c r="P59" s="30">
        <f t="shared" ca="1" si="5"/>
        <v>3.21349312028405E-2</v>
      </c>
      <c r="Q59" s="30">
        <f t="shared" ca="1" si="6"/>
        <v>-3.0598632649658231E-2</v>
      </c>
      <c r="R59" s="30">
        <f t="shared" ca="1" si="7"/>
        <v>4.4841840402588096E-2</v>
      </c>
      <c r="S59" s="9" cm="1">
        <f t="array" aca="1" ref="S59" ca="1">_xll.FDS($E$7,"P_PRICE("&amp;AG59&amp;",0,D,D)")</f>
        <v>116.27</v>
      </c>
      <c r="T59" s="9" cm="1">
        <f t="array" aca="1" ref="T59" ca="1">_xll.FDS($E$7,"P_PRICE("&amp;AH59&amp;",0,D,D)")</f>
        <v>108.87</v>
      </c>
      <c r="U59" s="9" cm="1">
        <f t="array" aca="1" ref="U59" ca="1">_xll.FDS($E$7,"P_PRICE("&amp;AI59&amp;",0,D,D)")</f>
        <v>112.65</v>
      </c>
      <c r="V59" s="9" cm="1">
        <f t="array" aca="1" ref="V59" ca="1">_xll.FDS($E$7,"P_PRICE("&amp;AJ59&amp;",0,D,D)")</f>
        <v>119.94</v>
      </c>
      <c r="W59" s="9" cm="1">
        <f t="array" aca="1" ref="W59" ca="1">_xll.FDS($E$7,"P_PRICE("&amp;AK59&amp;",0,D,D)")</f>
        <v>111.28</v>
      </c>
      <c r="X59" s="24">
        <f t="shared" ca="1" si="8"/>
        <v>2.2450176204263927E-2</v>
      </c>
      <c r="Y59" s="24">
        <f t="shared" ca="1" si="9"/>
        <v>-1.179123683107397E-2</v>
      </c>
      <c r="Z59" s="24">
        <f t="shared" ca="1" si="10"/>
        <v>-1.8141343135647192E-2</v>
      </c>
      <c r="AA59" s="24">
        <f t="shared" ca="1" si="11"/>
        <v>5.4608029877453834E-2</v>
      </c>
      <c r="AB59" s="9" cm="1">
        <f t="array" aca="1" ref="AB59" ca="1">_xll.FDS($E$9,"P_PRICE("&amp;AG59&amp;",0,D,D)")</f>
        <v>6765.88</v>
      </c>
      <c r="AC59" s="9" cm="1">
        <f t="array" aca="1" ref="AC59" ca="1">_xll.FDS($E$9,"P_PRICE("&amp;AH59&amp;",0,D,D)")</f>
        <v>6617.32</v>
      </c>
      <c r="AD59" s="9" cm="1">
        <f t="array" aca="1" ref="AD59" ca="1">_xll.FDS($E$9,"P_PRICE("&amp;AI59&amp;",0,D,D)")</f>
        <v>6846.61</v>
      </c>
      <c r="AE59" s="9" cm="1">
        <f t="array" aca="1" ref="AE59" ca="1">_xll.FDS($E$9,"P_PRICE("&amp;AJ59&amp;",0,D,D)")</f>
        <v>6890.89</v>
      </c>
      <c r="AF59" s="9" cm="1">
        <f t="array" aca="1" ref="AF59" ca="1">_xll.FDS($E$9,"P_PRICE("&amp;AK59&amp;",0,D,D)")</f>
        <v>6415.54</v>
      </c>
      <c r="AG59" s="20">
        <f t="shared" ca="1" si="17"/>
        <v>45986</v>
      </c>
      <c r="AH59" s="22">
        <f t="shared" ca="1" si="12"/>
        <v>45979</v>
      </c>
      <c r="AI59" s="22">
        <f t="shared" ca="1" si="13"/>
        <v>45972</v>
      </c>
      <c r="AJ59" s="22">
        <f t="shared" ca="1" si="14"/>
        <v>45958</v>
      </c>
      <c r="AK59" s="22">
        <f t="shared" ca="1" si="15"/>
        <v>45902</v>
      </c>
      <c r="AL59" s="22">
        <f t="shared" ca="1" si="16"/>
        <v>45814</v>
      </c>
      <c r="AN59" s="21">
        <v>45827</v>
      </c>
    </row>
    <row r="60" spans="4:40" x14ac:dyDescent="0.25">
      <c r="D60" s="6">
        <f ca="1"/>
        <v>45985</v>
      </c>
      <c r="E60" s="28" cm="1">
        <f t="array" aca="1" ref="E60" ca="1">_xll.FDS($E$7,"P_PRICE("&amp;D60&amp;",0,D,D)")</f>
        <v>112.64</v>
      </c>
      <c r="F60" s="29" cm="1">
        <f t="array" aca="1" ref="F60" ca="1">_xll.FDS($E$7,"P_BETA_LOCIDX("&amp;$AG60&amp;","&amp;$AL60&amp;",,"""&amp;$E$9&amp;""")")</f>
        <v>1.0903138999999999</v>
      </c>
      <c r="G60" s="30">
        <f t="shared" ca="1" si="2"/>
        <v>2.577910993991887E-2</v>
      </c>
      <c r="H60" s="30">
        <f t="shared" ca="1" si="2"/>
        <v>8.5595829281739783E-3</v>
      </c>
      <c r="I60" s="30">
        <f t="shared" ca="1" si="2"/>
        <v>-4.1739871660271877E-2</v>
      </c>
      <c r="J60" s="30">
        <f t="shared" ca="1" si="2"/>
        <v>-4.4070199056527273E-2</v>
      </c>
      <c r="K60" s="30">
        <f t="shared" ca="1" si="3"/>
        <v>5.3450204152623746E-3</v>
      </c>
      <c r="L60" s="30">
        <f t="shared" ca="1" si="3"/>
        <v>-2.0316031427910761E-2</v>
      </c>
      <c r="M60" s="30">
        <f t="shared" ca="1" si="3"/>
        <v>-2.6966205231005513E-2</v>
      </c>
      <c r="N60" s="30">
        <f t="shared" ca="1" si="3"/>
        <v>4.1325621809957983E-2</v>
      </c>
      <c r="O60" s="30">
        <f t="shared" ca="1" si="4"/>
        <v>3.1124130355181245E-2</v>
      </c>
      <c r="P60" s="30">
        <f t="shared" ca="1" si="5"/>
        <v>-1.1756448499736782E-2</v>
      </c>
      <c r="Q60" s="30">
        <f t="shared" ca="1" si="6"/>
        <v>-6.870607689127739E-2</v>
      </c>
      <c r="R60" s="30">
        <f t="shared" ca="1" si="7"/>
        <v>-2.7445772465692908E-3</v>
      </c>
      <c r="S60" s="9" cm="1">
        <f t="array" aca="1" ref="S60" ca="1">_xll.FDS($E$7,"P_PRICE("&amp;AG60&amp;",0,D,D)")</f>
        <v>112.64</v>
      </c>
      <c r="T60" s="9" cm="1">
        <f t="array" aca="1" ref="T60" ca="1">_xll.FDS($E$7,"P_PRICE("&amp;AH60&amp;",0,D,D)")</f>
        <v>109.24</v>
      </c>
      <c r="U60" s="9" cm="1">
        <f t="array" aca="1" ref="U60" ca="1">_xll.FDS($E$7,"P_PRICE("&amp;AI60&amp;",0,D,D)")</f>
        <v>113.98</v>
      </c>
      <c r="V60" s="9" cm="1">
        <f t="array" aca="1" ref="V60" ca="1">_xll.FDS($E$7,"P_PRICE("&amp;AJ60&amp;",0,D,D)")</f>
        <v>120.95</v>
      </c>
      <c r="W60" s="9" cm="1">
        <f t="array" aca="1" ref="W60" ca="1">_xll.FDS($E$7,"P_PRICE("&amp;AK60&amp;",0,D,D)")</f>
        <v>112.95</v>
      </c>
      <c r="X60" s="24">
        <f t="shared" ca="1" si="8"/>
        <v>4.9022766886328561E-3</v>
      </c>
      <c r="Y60" s="24">
        <f t="shared" ca="1" si="9"/>
        <v>-1.863319492479254E-2</v>
      </c>
      <c r="Z60" s="24">
        <f t="shared" ca="1" si="10"/>
        <v>-2.4732515316007175E-2</v>
      </c>
      <c r="AA60" s="24">
        <f t="shared" ca="1" si="11"/>
        <v>3.7902499280214608E-2</v>
      </c>
      <c r="AB60" s="9" cm="1">
        <f t="array" aca="1" ref="AB60" ca="1">_xll.FDS($E$9,"P_PRICE("&amp;AG60&amp;",0,D,D)")</f>
        <v>6705.12</v>
      </c>
      <c r="AC60" s="9" cm="1">
        <f t="array" aca="1" ref="AC60" ca="1">_xll.FDS($E$9,"P_PRICE("&amp;AH60&amp;",0,D,D)")</f>
        <v>6672.41</v>
      </c>
      <c r="AD60" s="9" cm="1">
        <f t="array" aca="1" ref="AD60" ca="1">_xll.FDS($E$9,"P_PRICE("&amp;AI60&amp;",0,D,D)")</f>
        <v>6832.43</v>
      </c>
      <c r="AE60" s="9" cm="1">
        <f t="array" aca="1" ref="AE60" ca="1">_xll.FDS($E$9,"P_PRICE("&amp;AJ60&amp;",0,D,D)")</f>
        <v>6875.16</v>
      </c>
      <c r="AF60" s="9" cm="1">
        <f t="array" aca="1" ref="AF60" ca="1">_xll.FDS($E$9,"P_PRICE("&amp;AK60&amp;",0,D,D)")</f>
        <v>6460.26</v>
      </c>
      <c r="AG60" s="20">
        <f t="shared" ca="1" si="17"/>
        <v>45985</v>
      </c>
      <c r="AH60" s="22">
        <f t="shared" ca="1" si="12"/>
        <v>45978</v>
      </c>
      <c r="AI60" s="22">
        <f t="shared" ca="1" si="13"/>
        <v>45971</v>
      </c>
      <c r="AJ60" s="22">
        <f t="shared" ca="1" si="14"/>
        <v>45957</v>
      </c>
      <c r="AK60" s="22">
        <f t="shared" ca="1" si="15"/>
        <v>45898</v>
      </c>
      <c r="AL60" s="22">
        <f t="shared" ca="1" si="16"/>
        <v>45813</v>
      </c>
      <c r="AN60" s="27">
        <v>374560</v>
      </c>
    </row>
    <row r="61" spans="4:40" x14ac:dyDescent="0.25">
      <c r="D61" s="6">
        <f ca="1"/>
        <v>45982</v>
      </c>
      <c r="E61" s="28" cm="1">
        <f t="array" aca="1" ref="E61" ca="1">_xll.FDS($E$7,"P_PRICE("&amp;D61&amp;",0,D,D)")</f>
        <v>110.15</v>
      </c>
      <c r="F61" s="29" cm="1">
        <f t="array" aca="1" ref="F61" ca="1">_xll.FDS($E$7,"P_BETA_LOCIDX("&amp;$AG61&amp;","&amp;$AL61&amp;",,"""&amp;$E$9&amp;""")")</f>
        <v>1.0781353</v>
      </c>
      <c r="G61" s="30">
        <f t="shared" ca="1" si="2"/>
        <v>2.6285815242889313E-2</v>
      </c>
      <c r="H61" s="30">
        <f t="shared" ca="1" si="2"/>
        <v>-5.0630826407934391E-3</v>
      </c>
      <c r="I61" s="30">
        <f t="shared" ca="1" si="2"/>
        <v>-5.3427014498716015E-2</v>
      </c>
      <c r="J61" s="30">
        <f t="shared" ca="1" si="2"/>
        <v>-4.3626824235857023E-2</v>
      </c>
      <c r="K61" s="30">
        <f t="shared" ca="1" si="3"/>
        <v>-2.0992395511210796E-2</v>
      </c>
      <c r="L61" s="30">
        <f t="shared" ca="1" si="3"/>
        <v>-2.015815629725962E-2</v>
      </c>
      <c r="M61" s="30">
        <f t="shared" ca="1" si="3"/>
        <v>-2.9954861177409413E-2</v>
      </c>
      <c r="N61" s="30">
        <f t="shared" ca="1" si="3"/>
        <v>1.6769327990605775E-2</v>
      </c>
      <c r="O61" s="30">
        <f t="shared" ca="1" si="4"/>
        <v>5.293419731678517E-3</v>
      </c>
      <c r="P61" s="30">
        <f t="shared" ca="1" si="5"/>
        <v>-2.5221238938053059E-2</v>
      </c>
      <c r="Q61" s="30">
        <f t="shared" ca="1" si="6"/>
        <v>-8.3381875676125428E-2</v>
      </c>
      <c r="R61" s="30">
        <f t="shared" ca="1" si="7"/>
        <v>-2.6857496245251244E-2</v>
      </c>
      <c r="S61" s="9" cm="1">
        <f t="array" aca="1" ref="S61" ca="1">_xll.FDS($E$7,"P_PRICE("&amp;AG61&amp;",0,D,D)")</f>
        <v>110.15</v>
      </c>
      <c r="T61" s="9" cm="1">
        <f t="array" aca="1" ref="T61" ca="1">_xll.FDS($E$7,"P_PRICE("&amp;AH61&amp;",0,D,D)")</f>
        <v>109.57</v>
      </c>
      <c r="U61" s="9" cm="1">
        <f t="array" aca="1" ref="U61" ca="1">_xll.FDS($E$7,"P_PRICE("&amp;AI61&amp;",0,D,D)")</f>
        <v>113</v>
      </c>
      <c r="V61" s="9" cm="1">
        <f t="array" aca="1" ref="V61" ca="1">_xll.FDS($E$7,"P_PRICE("&amp;AJ61&amp;",0,D,D)")</f>
        <v>120.17</v>
      </c>
      <c r="W61" s="9" cm="1">
        <f t="array" aca="1" ref="W61" ca="1">_xll.FDS($E$7,"P_PRICE("&amp;AK61&amp;",0,D,D)")</f>
        <v>113.19</v>
      </c>
      <c r="X61" s="24">
        <f t="shared" ca="1" si="8"/>
        <v>-1.9471021411886613E-2</v>
      </c>
      <c r="Y61" s="24">
        <f t="shared" ca="1" si="9"/>
        <v>-1.8697241707288148E-2</v>
      </c>
      <c r="Z61" s="24">
        <f t="shared" ca="1" si="10"/>
        <v>-2.7783953625680757E-2</v>
      </c>
      <c r="AA61" s="24">
        <f t="shared" ca="1" si="11"/>
        <v>1.5554010698477061E-2</v>
      </c>
      <c r="AB61" s="9" cm="1">
        <f t="array" aca="1" ref="AB61" ca="1">_xll.FDS($E$9,"P_PRICE("&amp;AG61&amp;",0,D,D)")</f>
        <v>6602.99</v>
      </c>
      <c r="AC61" s="9" cm="1">
        <f t="array" aca="1" ref="AC61" ca="1">_xll.FDS($E$9,"P_PRICE("&amp;AH61&amp;",0,D,D)")</f>
        <v>6734.11</v>
      </c>
      <c r="AD61" s="9" cm="1">
        <f t="array" aca="1" ref="AD61" ca="1">_xll.FDS($E$9,"P_PRICE("&amp;AI61&amp;",0,D,D)")</f>
        <v>6728.8</v>
      </c>
      <c r="AE61" s="9" cm="1">
        <f t="array" aca="1" ref="AE61" ca="1">_xll.FDS($E$9,"P_PRICE("&amp;AJ61&amp;",0,D,D)")</f>
        <v>6791.69</v>
      </c>
      <c r="AF61" s="9" cm="1">
        <f t="array" aca="1" ref="AF61" ca="1">_xll.FDS($E$9,"P_PRICE("&amp;AK61&amp;",0,D,D)")</f>
        <v>6501.86</v>
      </c>
      <c r="AG61" s="20">
        <f t="shared" ca="1" si="17"/>
        <v>45982</v>
      </c>
      <c r="AH61" s="22">
        <f t="shared" ca="1" si="12"/>
        <v>45975</v>
      </c>
      <c r="AI61" s="22">
        <f t="shared" ca="1" si="13"/>
        <v>45968</v>
      </c>
      <c r="AJ61" s="22">
        <f t="shared" ca="1" si="14"/>
        <v>45954</v>
      </c>
      <c r="AK61" s="22">
        <f t="shared" ca="1" si="15"/>
        <v>45897</v>
      </c>
      <c r="AL61" s="22">
        <f t="shared" ca="1" si="16"/>
        <v>45812</v>
      </c>
      <c r="AN61" s="27">
        <v>45901</v>
      </c>
    </row>
    <row r="62" spans="4:40" x14ac:dyDescent="0.25">
      <c r="D62" s="6">
        <f ca="1"/>
        <v>45981</v>
      </c>
      <c r="E62" s="28" cm="1">
        <f t="array" aca="1" ref="E62" ca="1">_xll.FDS($E$7,"P_PRICE("&amp;D62&amp;",0,D,D)")</f>
        <v>108.37</v>
      </c>
      <c r="F62" s="29" cm="1">
        <f t="array" aca="1" ref="F62" ca="1">_xll.FDS($E$7,"P_BETA_LOCIDX("&amp;$AG62&amp;","&amp;$AL62&amp;",,"""&amp;$E$9&amp;""")")</f>
        <v>1.0650162000000001</v>
      </c>
      <c r="G62" s="30">
        <f t="shared" ca="1" si="2"/>
        <v>6.3149186524933537E-3</v>
      </c>
      <c r="H62" s="30">
        <f t="shared" ca="1" si="2"/>
        <v>-2.7072880796696737E-2</v>
      </c>
      <c r="I62" s="30">
        <f t="shared" ca="1" si="2"/>
        <v>-4.9037673550155474E-2</v>
      </c>
      <c r="J62" s="30">
        <f t="shared" ca="1" si="2"/>
        <v>-5.2431334230897172E-2</v>
      </c>
      <c r="K62" s="30">
        <f t="shared" ca="1" si="3"/>
        <v>-3.1413875111651293E-2</v>
      </c>
      <c r="L62" s="30">
        <f t="shared" ca="1" si="3"/>
        <v>-2.8773085399504676E-2</v>
      </c>
      <c r="M62" s="30">
        <f t="shared" ca="1" si="3"/>
        <v>-3.155959462664943E-2</v>
      </c>
      <c r="N62" s="30">
        <f t="shared" ca="1" si="3"/>
        <v>9.4253292856481992E-3</v>
      </c>
      <c r="O62" s="30">
        <f t="shared" ca="1" si="4"/>
        <v>-2.5098956459157939E-2</v>
      </c>
      <c r="P62" s="30">
        <f t="shared" ca="1" si="5"/>
        <v>-5.5845966196201413E-2</v>
      </c>
      <c r="Q62" s="30">
        <f t="shared" ca="1" si="6"/>
        <v>-8.0597268176804904E-2</v>
      </c>
      <c r="R62" s="30">
        <f t="shared" ca="1" si="7"/>
        <v>-4.3006004945248977E-2</v>
      </c>
      <c r="S62" s="9" cm="1">
        <f t="array" aca="1" ref="S62" ca="1">_xll.FDS($E$7,"P_PRICE("&amp;AG62&amp;",0,D,D)")</f>
        <v>108.37</v>
      </c>
      <c r="T62" s="9" cm="1">
        <f t="array" aca="1" ref="T62" ca="1">_xll.FDS($E$7,"P_PRICE("&amp;AH62&amp;",0,D,D)")</f>
        <v>111.16</v>
      </c>
      <c r="U62" s="9" cm="1">
        <f t="array" aca="1" ref="U62" ca="1">_xll.FDS($E$7,"P_PRICE("&amp;AI62&amp;",0,D,D)")</f>
        <v>114.78</v>
      </c>
      <c r="V62" s="9" cm="1">
        <f t="array" aca="1" ref="V62" ca="1">_xll.FDS($E$7,"P_PRICE("&amp;AJ62&amp;",0,D,D)")</f>
        <v>117.87</v>
      </c>
      <c r="W62" s="9" cm="1">
        <f t="array" aca="1" ref="W62" ca="1">_xll.FDS($E$7,"P_PRICE("&amp;AK62&amp;",0,D,D)")</f>
        <v>113.24</v>
      </c>
      <c r="X62" s="24">
        <f t="shared" ca="1" si="8"/>
        <v>-2.9496147675172724E-2</v>
      </c>
      <c r="Y62" s="24">
        <f t="shared" ca="1" si="9"/>
        <v>-2.7016570639493254E-2</v>
      </c>
      <c r="Z62" s="24">
        <f t="shared" ca="1" si="10"/>
        <v>-2.9632971429588983E-2</v>
      </c>
      <c r="AA62" s="24">
        <f t="shared" ca="1" si="11"/>
        <v>8.8499398278150121E-3</v>
      </c>
      <c r="AB62" s="9" cm="1">
        <f t="array" aca="1" ref="AB62" ca="1">_xll.FDS($E$9,"P_PRICE("&amp;AG62&amp;",0,D,D)")</f>
        <v>6538.76</v>
      </c>
      <c r="AC62" s="9" cm="1">
        <f t="array" aca="1" ref="AC62" ca="1">_xll.FDS($E$9,"P_PRICE("&amp;AH62&amp;",0,D,D)")</f>
        <v>6737.49</v>
      </c>
      <c r="AD62" s="9" cm="1">
        <f t="array" aca="1" ref="AD62" ca="1">_xll.FDS($E$9,"P_PRICE("&amp;AI62&amp;",0,D,D)")</f>
        <v>6720.32</v>
      </c>
      <c r="AE62" s="9" cm="1">
        <f t="array" aca="1" ref="AE62" ca="1">_xll.FDS($E$9,"P_PRICE("&amp;AJ62&amp;",0,D,D)")</f>
        <v>6738.44</v>
      </c>
      <c r="AF62" s="9" cm="1">
        <f t="array" aca="1" ref="AF62" ca="1">_xll.FDS($E$9,"P_PRICE("&amp;AK62&amp;",0,D,D)")</f>
        <v>6481.4</v>
      </c>
      <c r="AG62" s="20">
        <f t="shared" ca="1" si="17"/>
        <v>45981</v>
      </c>
      <c r="AH62" s="22">
        <f t="shared" ca="1" si="12"/>
        <v>45974</v>
      </c>
      <c r="AI62" s="22">
        <f t="shared" ca="1" si="13"/>
        <v>45967</v>
      </c>
      <c r="AJ62" s="22">
        <f t="shared" ca="1" si="14"/>
        <v>45953</v>
      </c>
      <c r="AK62" s="22">
        <f t="shared" ca="1" si="15"/>
        <v>45896</v>
      </c>
      <c r="AL62" s="22">
        <f t="shared" ca="1" si="16"/>
        <v>45811</v>
      </c>
      <c r="AN62" s="27">
        <v>45988</v>
      </c>
    </row>
    <row r="63" spans="4:40" x14ac:dyDescent="0.25">
      <c r="D63" s="6">
        <f ca="1"/>
        <v>45980</v>
      </c>
      <c r="E63" s="28" cm="1">
        <f t="array" aca="1" ref="E63" ca="1">_xll.FDS($E$7,"P_PRICE("&amp;D63&amp;",0,D,D)")</f>
        <v>110.15</v>
      </c>
      <c r="F63" s="29" cm="1">
        <f t="array" aca="1" ref="F63" ca="1">_xll.FDS($E$7,"P_BETA_LOCIDX("&amp;$AG63&amp;","&amp;$AL63&amp;",,"""&amp;$E$9&amp;""")")</f>
        <v>1.0600805</v>
      </c>
      <c r="G63" s="30">
        <f t="shared" ca="1" si="2"/>
        <v>3.6429700223169006E-3</v>
      </c>
      <c r="H63" s="30">
        <f t="shared" ca="1" si="2"/>
        <v>-2.3680879445711425E-2</v>
      </c>
      <c r="I63" s="30">
        <f t="shared" ca="1" si="2"/>
        <v>-4.9328669457297566E-2</v>
      </c>
      <c r="J63" s="30">
        <f t="shared" ca="1" si="2"/>
        <v>-6.4945944127835414E-2</v>
      </c>
      <c r="K63" s="30">
        <f t="shared" ca="1" si="3"/>
        <v>-3.2302582015262211E-2</v>
      </c>
      <c r="L63" s="30">
        <f t="shared" ca="1" si="3"/>
        <v>-2.4041088220926408E-2</v>
      </c>
      <c r="M63" s="30">
        <f t="shared" ca="1" si="3"/>
        <v>-9.0573794399498413E-3</v>
      </c>
      <c r="N63" s="30">
        <f t="shared" ca="1" si="3"/>
        <v>2.889098657117143E-2</v>
      </c>
      <c r="O63" s="30">
        <f t="shared" ca="1" si="4"/>
        <v>-2.8659611992945311E-2</v>
      </c>
      <c r="P63" s="30">
        <f t="shared" ca="1" si="5"/>
        <v>-4.7721967666637832E-2</v>
      </c>
      <c r="Q63" s="30">
        <f t="shared" ca="1" si="6"/>
        <v>-5.8386048897247411E-2</v>
      </c>
      <c r="R63" s="30">
        <f t="shared" ca="1" si="7"/>
        <v>-3.6054957556663991E-2</v>
      </c>
      <c r="S63" s="9" cm="1">
        <f t="array" aca="1" ref="S63" ca="1">_xll.FDS($E$7,"P_PRICE("&amp;AG63&amp;",0,D,D)")</f>
        <v>110.15</v>
      </c>
      <c r="T63" s="9" cm="1">
        <f t="array" aca="1" ref="T63" ca="1">_xll.FDS($E$7,"P_PRICE("&amp;AH63&amp;",0,D,D)")</f>
        <v>113.4</v>
      </c>
      <c r="U63" s="9" cm="1">
        <f t="array" aca="1" ref="U63" ca="1">_xll.FDS($E$7,"P_PRICE("&amp;AI63&amp;",0,D,D)")</f>
        <v>115.67</v>
      </c>
      <c r="V63" s="9" cm="1">
        <f t="array" aca="1" ref="V63" ca="1">_xll.FDS($E$7,"P_PRICE("&amp;AJ63&amp;",0,D,D)")</f>
        <v>116.98</v>
      </c>
      <c r="W63" s="9" cm="1">
        <f t="array" aca="1" ref="W63" ca="1">_xll.FDS($E$7,"P_PRICE("&amp;AK63&amp;",0,D,D)")</f>
        <v>114.27</v>
      </c>
      <c r="X63" s="24">
        <f t="shared" ca="1" si="8"/>
        <v>-3.0471819843174375E-2</v>
      </c>
      <c r="Y63" s="24">
        <f t="shared" ca="1" si="9"/>
        <v>-2.267854962045468E-2</v>
      </c>
      <c r="Z63" s="24">
        <f t="shared" ca="1" si="10"/>
        <v>-8.5440487207809612E-3</v>
      </c>
      <c r="AA63" s="24">
        <f t="shared" ca="1" si="11"/>
        <v>2.7253577979381216E-2</v>
      </c>
      <c r="AB63" s="9" cm="1">
        <f t="array" aca="1" ref="AB63" ca="1">_xll.FDS($E$9,"P_PRICE("&amp;AG63&amp;",0,D,D)")</f>
        <v>6642.16</v>
      </c>
      <c r="AC63" s="9" cm="1">
        <f t="array" aca="1" ref="AC63" ca="1">_xll.FDS($E$9,"P_PRICE("&amp;AH63&amp;",0,D,D)")</f>
        <v>6850.92</v>
      </c>
      <c r="AD63" s="9" cm="1">
        <f t="array" aca="1" ref="AD63" ca="1">_xll.FDS($E$9,"P_PRICE("&amp;AI63&amp;",0,D,D)")</f>
        <v>6796.29</v>
      </c>
      <c r="AE63" s="9" cm="1">
        <f t="array" aca="1" ref="AE63" ca="1">_xll.FDS($E$9,"P_PRICE("&amp;AJ63&amp;",0,D,D)")</f>
        <v>6699.4</v>
      </c>
      <c r="AF63" s="9" cm="1">
        <f t="array" aca="1" ref="AF63" ca="1">_xll.FDS($E$9,"P_PRICE("&amp;AK63&amp;",0,D,D)")</f>
        <v>6465.94</v>
      </c>
      <c r="AG63" s="20">
        <f t="shared" ca="1" si="17"/>
        <v>45980</v>
      </c>
      <c r="AH63" s="22">
        <f t="shared" ca="1" si="12"/>
        <v>45973</v>
      </c>
      <c r="AI63" s="22">
        <f t="shared" ca="1" si="13"/>
        <v>45966</v>
      </c>
      <c r="AJ63" s="22">
        <f t="shared" ca="1" si="14"/>
        <v>45952</v>
      </c>
      <c r="AK63" s="22">
        <f t="shared" ca="1" si="15"/>
        <v>45895</v>
      </c>
      <c r="AL63" s="22">
        <f t="shared" ca="1" si="16"/>
        <v>45810</v>
      </c>
      <c r="AN63" s="27">
        <v>46016</v>
      </c>
    </row>
    <row r="64" spans="4:40" x14ac:dyDescent="0.25">
      <c r="D64" s="6">
        <f ca="1"/>
        <v>45979</v>
      </c>
      <c r="E64" s="28" cm="1">
        <f t="array" aca="1" ref="E64" ca="1">_xll.FDS($E$7,"P_PRICE("&amp;D64&amp;",0,D,D)")</f>
        <v>108.87</v>
      </c>
      <c r="F64" s="29" cm="1">
        <f t="array" aca="1" ref="F64" ca="1">_xll.FDS($E$7,"P_BETA_LOCIDX("&amp;$AG64&amp;","&amp;$AL64&amp;",,"""&amp;$E$9&amp;""")")</f>
        <v>1.0581583000000001</v>
      </c>
      <c r="G64" s="30">
        <f t="shared" ca="1" si="2"/>
        <v>1.8820029633250454E-3</v>
      </c>
      <c r="H64" s="30">
        <f t="shared" ca="1" si="2"/>
        <v>-4.7924432743475964E-2</v>
      </c>
      <c r="I64" s="30">
        <f t="shared" ca="1" si="2"/>
        <v>-6.0780344133796987E-2</v>
      </c>
      <c r="J64" s="30">
        <f t="shared" ca="1" si="2"/>
        <v>-6.2290555537828703E-2</v>
      </c>
      <c r="K64" s="30">
        <f t="shared" ca="1" si="3"/>
        <v>-3.5437262617119956E-2</v>
      </c>
      <c r="L64" s="30">
        <f t="shared" ca="1" si="3"/>
        <v>-2.4100797396312598E-2</v>
      </c>
      <c r="M64" s="30">
        <f t="shared" ca="1" si="3"/>
        <v>-1.8543123096646932E-2</v>
      </c>
      <c r="N64" s="30">
        <f t="shared" ca="1" si="3"/>
        <v>2.9250321058745261E-2</v>
      </c>
      <c r="O64" s="30">
        <f t="shared" ca="1" si="4"/>
        <v>-3.3555259653794911E-2</v>
      </c>
      <c r="P64" s="30">
        <f t="shared" ca="1" si="5"/>
        <v>-7.2025230139788565E-2</v>
      </c>
      <c r="Q64" s="30">
        <f t="shared" ca="1" si="6"/>
        <v>-7.9323467230443923E-2</v>
      </c>
      <c r="R64" s="30">
        <f t="shared" ca="1" si="7"/>
        <v>-3.3040234479083441E-2</v>
      </c>
      <c r="S64" s="9" cm="1">
        <f t="array" aca="1" ref="S64" ca="1">_xll.FDS($E$7,"P_PRICE("&amp;AG64&amp;",0,D,D)")</f>
        <v>108.87</v>
      </c>
      <c r="T64" s="9" cm="1">
        <f t="array" aca="1" ref="T64" ca="1">_xll.FDS($E$7,"P_PRICE("&amp;AH64&amp;",0,D,D)")</f>
        <v>112.65</v>
      </c>
      <c r="U64" s="9" cm="1">
        <f t="array" aca="1" ref="U64" ca="1">_xll.FDS($E$7,"P_PRICE("&amp;AI64&amp;",0,D,D)")</f>
        <v>117.32</v>
      </c>
      <c r="V64" s="9" cm="1">
        <f t="array" aca="1" ref="V64" ca="1">_xll.FDS($E$7,"P_PRICE("&amp;AJ64&amp;",0,D,D)")</f>
        <v>118.25</v>
      </c>
      <c r="W64" s="9" cm="1">
        <f t="array" aca="1" ref="W64" ca="1">_xll.FDS($E$7,"P_PRICE("&amp;AK64&amp;",0,D,D)")</f>
        <v>112.59</v>
      </c>
      <c r="X64" s="24">
        <f t="shared" ca="1" si="8"/>
        <v>-3.3489566369341861E-2</v>
      </c>
      <c r="Y64" s="24">
        <f t="shared" ca="1" si="9"/>
        <v>-2.2776173844983871E-2</v>
      </c>
      <c r="Z64" s="24">
        <f t="shared" ca="1" si="10"/>
        <v>-1.7523959408197176E-2</v>
      </c>
      <c r="AA64" s="24">
        <f t="shared" ca="1" si="11"/>
        <v>2.7642670344073528E-2</v>
      </c>
      <c r="AB64" s="9" cm="1">
        <f t="array" aca="1" ref="AB64" ca="1">_xll.FDS($E$9,"P_PRICE("&amp;AG64&amp;",0,D,D)")</f>
        <v>6617.32</v>
      </c>
      <c r="AC64" s="9" cm="1">
        <f t="array" aca="1" ref="AC64" ca="1">_xll.FDS($E$9,"P_PRICE("&amp;AH64&amp;",0,D,D)")</f>
        <v>6846.61</v>
      </c>
      <c r="AD64" s="9" cm="1">
        <f t="array" aca="1" ref="AD64" ca="1">_xll.FDS($E$9,"P_PRICE("&amp;AI64&amp;",0,D,D)")</f>
        <v>6771.55</v>
      </c>
      <c r="AE64" s="9" cm="1">
        <f t="array" aca="1" ref="AE64" ca="1">_xll.FDS($E$9,"P_PRICE("&amp;AJ64&amp;",0,D,D)")</f>
        <v>6735.35</v>
      </c>
      <c r="AF64" s="9" cm="1">
        <f t="array" aca="1" ref="AF64" ca="1">_xll.FDS($E$9,"P_PRICE("&amp;AK64&amp;",0,D,D)")</f>
        <v>6439.32</v>
      </c>
      <c r="AG64" s="20">
        <f t="shared" ca="1" si="17"/>
        <v>45979</v>
      </c>
      <c r="AH64" s="22">
        <f t="shared" ca="1" si="12"/>
        <v>45972</v>
      </c>
      <c r="AI64" s="22">
        <f t="shared" ca="1" si="13"/>
        <v>45965</v>
      </c>
      <c r="AJ64" s="22">
        <f t="shared" ca="1" si="14"/>
        <v>45951</v>
      </c>
      <c r="AK64" s="22">
        <f t="shared" ca="1" si="15"/>
        <v>45894</v>
      </c>
      <c r="AL64" s="22">
        <f t="shared" ca="1" si="16"/>
        <v>45807</v>
      </c>
      <c r="AN64" s="27">
        <v>46023</v>
      </c>
    </row>
    <row r="65" spans="4:40" x14ac:dyDescent="0.25">
      <c r="D65" s="6">
        <f ca="1"/>
        <v>45978</v>
      </c>
      <c r="E65" s="28" cm="1">
        <f t="array" aca="1" ref="E65" ca="1">_xll.FDS($E$7,"P_PRICE("&amp;D65&amp;",0,D,D)")</f>
        <v>109.24</v>
      </c>
      <c r="F65" s="29" cm="1">
        <f t="array" aca="1" ref="F65" ca="1">_xll.FDS($E$7,"P_BETA_LOCIDX("&amp;$AG65&amp;","&amp;$AL65&amp;",,"""&amp;$E$9&amp;""")")</f>
        <v>1.0640669</v>
      </c>
      <c r="G65" s="30">
        <f t="shared" ca="1" si="2"/>
        <v>-1.6665097233753264E-2</v>
      </c>
      <c r="H65" s="30">
        <f t="shared" ca="1" si="2"/>
        <v>-4.9480350985790678E-2</v>
      </c>
      <c r="I65" s="30">
        <f t="shared" ca="1" si="2"/>
        <v>-5.9834695970567044E-2</v>
      </c>
      <c r="J65" s="30">
        <f t="shared" ca="1" si="2"/>
        <v>-6.9902315318580849E-2</v>
      </c>
      <c r="K65" s="30">
        <f t="shared" ca="1" si="3"/>
        <v>-2.4921145966808327E-2</v>
      </c>
      <c r="L65" s="30">
        <f t="shared" ca="1" si="3"/>
        <v>-2.7884513879074261E-2</v>
      </c>
      <c r="M65" s="30">
        <f t="shared" ca="1" si="3"/>
        <v>-9.9089811136534242E-3</v>
      </c>
      <c r="N65" s="30">
        <f t="shared" ca="1" si="3"/>
        <v>3.3813018574558894E-2</v>
      </c>
      <c r="O65" s="30">
        <f t="shared" ca="1" si="4"/>
        <v>-4.158624320056159E-2</v>
      </c>
      <c r="P65" s="30">
        <f t="shared" ca="1" si="5"/>
        <v>-7.7364864864864935E-2</v>
      </c>
      <c r="Q65" s="30">
        <f t="shared" ca="1" si="6"/>
        <v>-6.9743677084220468E-2</v>
      </c>
      <c r="R65" s="30">
        <f t="shared" ca="1" si="7"/>
        <v>-3.6089296744021948E-2</v>
      </c>
      <c r="S65" s="9" cm="1">
        <f t="array" aca="1" ref="S65" ca="1">_xll.FDS($E$7,"P_PRICE("&amp;AG65&amp;",0,D,D)")</f>
        <v>109.24</v>
      </c>
      <c r="T65" s="9" cm="1">
        <f t="array" aca="1" ref="T65" ca="1">_xll.FDS($E$7,"P_PRICE("&amp;AH65&amp;",0,D,D)")</f>
        <v>113.98</v>
      </c>
      <c r="U65" s="9" cm="1">
        <f t="array" aca="1" ref="U65" ca="1">_xll.FDS($E$7,"P_PRICE("&amp;AI65&amp;",0,D,D)")</f>
        <v>118.4</v>
      </c>
      <c r="V65" s="9" cm="1">
        <f t="array" aca="1" ref="V65" ca="1">_xll.FDS($E$7,"P_PRICE("&amp;AJ65&amp;",0,D,D)")</f>
        <v>117.43</v>
      </c>
      <c r="W65" s="9" cm="1">
        <f t="array" aca="1" ref="W65" ca="1">_xll.FDS($E$7,"P_PRICE("&amp;AK65&amp;",0,D,D)")</f>
        <v>113.33</v>
      </c>
      <c r="X65" s="24">
        <f t="shared" ca="1" si="8"/>
        <v>-2.3420657072227624E-2</v>
      </c>
      <c r="Y65" s="24">
        <f t="shared" ca="1" si="9"/>
        <v>-2.6205602184481314E-2</v>
      </c>
      <c r="Z65" s="24">
        <f t="shared" ca="1" si="10"/>
        <v>-9.3123666506809144E-3</v>
      </c>
      <c r="AA65" s="24">
        <f t="shared" ca="1" si="11"/>
        <v>3.1777154777165695E-2</v>
      </c>
      <c r="AB65" s="9" cm="1">
        <f t="array" aca="1" ref="AB65" ca="1">_xll.FDS($E$9,"P_PRICE("&amp;AG65&amp;",0,D,D)")</f>
        <v>6672.41</v>
      </c>
      <c r="AC65" s="9" cm="1">
        <f t="array" aca="1" ref="AC65" ca="1">_xll.FDS($E$9,"P_PRICE("&amp;AH65&amp;",0,D,D)")</f>
        <v>6832.43</v>
      </c>
      <c r="AD65" s="9" cm="1">
        <f t="array" aca="1" ref="AD65" ca="1">_xll.FDS($E$9,"P_PRICE("&amp;AI65&amp;",0,D,D)")</f>
        <v>6851.97</v>
      </c>
      <c r="AE65" s="9" cm="1">
        <f t="array" aca="1" ref="AE65" ca="1">_xll.FDS($E$9,"P_PRICE("&amp;AJ65&amp;",0,D,D)")</f>
        <v>6735.13</v>
      </c>
      <c r="AF65" s="9" cm="1">
        <f t="array" aca="1" ref="AF65" ca="1">_xll.FDS($E$9,"P_PRICE("&amp;AK65&amp;",0,D,D)")</f>
        <v>6466.91</v>
      </c>
      <c r="AG65" s="20">
        <f t="shared" ca="1" si="17"/>
        <v>45978</v>
      </c>
      <c r="AH65" s="22">
        <f t="shared" ca="1" si="12"/>
        <v>45971</v>
      </c>
      <c r="AI65" s="22">
        <f t="shared" ca="1" si="13"/>
        <v>45964</v>
      </c>
      <c r="AJ65" s="22">
        <f t="shared" ca="1" si="14"/>
        <v>45950</v>
      </c>
      <c r="AK65" s="22">
        <f t="shared" ca="1" si="15"/>
        <v>45891</v>
      </c>
      <c r="AL65" s="22">
        <f t="shared" ca="1" si="16"/>
        <v>45806</v>
      </c>
      <c r="AN65" s="27">
        <v>46041</v>
      </c>
    </row>
    <row r="66" spans="4:40" x14ac:dyDescent="0.25">
      <c r="D66" s="6">
        <f ca="1"/>
        <v>45975</v>
      </c>
      <c r="E66" s="28" cm="1">
        <f t="array" aca="1" ref="E66" ca="1">_xll.FDS($E$7,"P_PRICE("&amp;D66&amp;",0,D,D)")</f>
        <v>109.57</v>
      </c>
      <c r="F66" s="29" cm="1">
        <f t="array" aca="1" ref="F66" ca="1">_xll.FDS($E$7,"P_BETA_LOCIDX("&amp;$AG66&amp;","&amp;$AL66&amp;",,"""&amp;$E$9&amp;""")")</f>
        <v>1.1133782000000001</v>
      </c>
      <c r="G66" s="30">
        <f t="shared" ca="1" si="2"/>
        <v>-3.1232599326506055E-2</v>
      </c>
      <c r="H66" s="30">
        <f t="shared" ca="1" si="2"/>
        <v>-6.2748541209537628E-2</v>
      </c>
      <c r="I66" s="30">
        <f t="shared" ca="1" si="2"/>
        <v>-7.8883642107853438E-2</v>
      </c>
      <c r="J66" s="30">
        <f t="shared" ca="1" si="2"/>
        <v>-7.3995987460588081E-2</v>
      </c>
      <c r="K66" s="30">
        <f t="shared" ca="1" si="3"/>
        <v>8.7861702562101436E-4</v>
      </c>
      <c r="L66" s="30">
        <f t="shared" ca="1" si="3"/>
        <v>-1.7268251401713418E-2</v>
      </c>
      <c r="M66" s="30">
        <f t="shared" ca="1" si="3"/>
        <v>1.1711838940817799E-2</v>
      </c>
      <c r="N66" s="30">
        <f t="shared" ca="1" si="3"/>
        <v>6.3609426766946447E-2</v>
      </c>
      <c r="O66" s="30">
        <f t="shared" ca="1" si="4"/>
        <v>-3.0353982300885041E-2</v>
      </c>
      <c r="P66" s="30">
        <f t="shared" ca="1" si="5"/>
        <v>-8.0016792611251053E-2</v>
      </c>
      <c r="Q66" s="30">
        <f t="shared" ca="1" si="6"/>
        <v>-6.7171803167035637E-2</v>
      </c>
      <c r="R66" s="30">
        <f t="shared" ca="1" si="7"/>
        <v>-1.0386560693641633E-2</v>
      </c>
      <c r="S66" s="9" cm="1">
        <f t="array" aca="1" ref="S66" ca="1">_xll.FDS($E$7,"P_PRICE("&amp;AG66&amp;",0,D,D)")</f>
        <v>109.57</v>
      </c>
      <c r="T66" s="9" cm="1">
        <f t="array" aca="1" ref="T66" ca="1">_xll.FDS($E$7,"P_PRICE("&amp;AH66&amp;",0,D,D)")</f>
        <v>113</v>
      </c>
      <c r="U66" s="9" cm="1">
        <f t="array" aca="1" ref="U66" ca="1">_xll.FDS($E$7,"P_PRICE("&amp;AI66&amp;",0,D,D)")</f>
        <v>119.1</v>
      </c>
      <c r="V66" s="9" cm="1">
        <f t="array" aca="1" ref="V66" ca="1">_xll.FDS($E$7,"P_PRICE("&amp;AJ66&amp;",0,D,D)")</f>
        <v>117.46</v>
      </c>
      <c r="W66" s="9" cm="1">
        <f t="array" aca="1" ref="W66" ca="1">_xll.FDS($E$7,"P_PRICE("&amp;AK66&amp;",0,D,D)")</f>
        <v>110.72</v>
      </c>
      <c r="X66" s="24">
        <f t="shared" ca="1" si="8"/>
        <v>7.8914516704298165E-4</v>
      </c>
      <c r="Y66" s="24">
        <f t="shared" ca="1" si="9"/>
        <v>-1.550978041577733E-2</v>
      </c>
      <c r="Z66" s="24">
        <f t="shared" ca="1" si="10"/>
        <v>1.0519191897971236E-2</v>
      </c>
      <c r="AA66" s="24">
        <f t="shared" ca="1" si="11"/>
        <v>5.7131913277039592E-2</v>
      </c>
      <c r="AB66" s="9" cm="1">
        <f t="array" aca="1" ref="AB66" ca="1">_xll.FDS($E$9,"P_PRICE("&amp;AG66&amp;",0,D,D)")</f>
        <v>6734.11</v>
      </c>
      <c r="AC66" s="9" cm="1">
        <f t="array" aca="1" ref="AC66" ca="1">_xll.FDS($E$9,"P_PRICE("&amp;AH66&amp;",0,D,D)")</f>
        <v>6728.8</v>
      </c>
      <c r="AD66" s="9" cm="1">
        <f t="array" aca="1" ref="AD66" ca="1">_xll.FDS($E$9,"P_PRICE("&amp;AI66&amp;",0,D,D)")</f>
        <v>6840.2</v>
      </c>
      <c r="AE66" s="9" cm="1">
        <f t="array" aca="1" ref="AE66" ca="1">_xll.FDS($E$9,"P_PRICE("&amp;AJ66&amp;",0,D,D)")</f>
        <v>6664.01</v>
      </c>
      <c r="AF66" s="9" cm="1">
        <f t="array" aca="1" ref="AF66" ca="1">_xll.FDS($E$9,"P_PRICE("&amp;AK66&amp;",0,D,D)")</f>
        <v>6370.17</v>
      </c>
      <c r="AG66" s="20">
        <f t="shared" ca="1" si="17"/>
        <v>45975</v>
      </c>
      <c r="AH66" s="22">
        <f t="shared" ca="1" si="12"/>
        <v>45968</v>
      </c>
      <c r="AI66" s="22">
        <f t="shared" ca="1" si="13"/>
        <v>45961</v>
      </c>
      <c r="AJ66" s="22">
        <f t="shared" ca="1" si="14"/>
        <v>45947</v>
      </c>
      <c r="AK66" s="22">
        <f t="shared" ca="1" si="15"/>
        <v>45890</v>
      </c>
      <c r="AL66" s="22">
        <f t="shared" ca="1" si="16"/>
        <v>45805</v>
      </c>
      <c r="AN66" s="27">
        <v>46069</v>
      </c>
    </row>
    <row r="67" spans="4:40" x14ac:dyDescent="0.25">
      <c r="D67" s="6">
        <f ca="1"/>
        <v>45974</v>
      </c>
      <c r="E67" s="28" cm="1">
        <f t="array" aca="1" ref="E67" ca="1">_xll.FDS($E$7,"P_PRICE("&amp;D67&amp;",0,D,D)")</f>
        <v>111.16</v>
      </c>
      <c r="F67" s="29" cm="1">
        <f t="array" aca="1" ref="F67" ca="1">_xll.FDS($E$7,"P_BETA_LOCIDX("&amp;$AG67&amp;","&amp;$AL67&amp;",,"""&amp;$E$9&amp;""")")</f>
        <v>1.0710664999999999</v>
      </c>
      <c r="G67" s="30">
        <f t="shared" ca="1" si="2"/>
        <v>-3.427510392567875E-2</v>
      </c>
      <c r="H67" s="30">
        <f t="shared" ca="1" si="2"/>
        <v>-3.845761340529498E-2</v>
      </c>
      <c r="I67" s="30">
        <f t="shared" ca="1" si="2"/>
        <v>-6.6944601292965783E-2</v>
      </c>
      <c r="J67" s="30">
        <f t="shared" ca="1" si="2"/>
        <v>-5.3703506792845988E-2</v>
      </c>
      <c r="K67" s="30">
        <f t="shared" ca="1" si="3"/>
        <v>2.7365083515369054E-3</v>
      </c>
      <c r="L67" s="30">
        <f t="shared" ca="1" si="3"/>
        <v>-1.3320941572099941E-2</v>
      </c>
      <c r="M67" s="30">
        <f t="shared" ca="1" si="3"/>
        <v>1.7517544682738272E-2</v>
      </c>
      <c r="N67" s="30">
        <f t="shared" ca="1" si="3"/>
        <v>5.7224315676117653E-2</v>
      </c>
      <c r="O67" s="30">
        <f t="shared" ca="1" si="4"/>
        <v>-3.1538595574141848E-2</v>
      </c>
      <c r="P67" s="30">
        <f t="shared" ca="1" si="5"/>
        <v>-5.1778554977394919E-2</v>
      </c>
      <c r="Q67" s="30">
        <f t="shared" ca="1" si="6"/>
        <v>-4.9427056610227504E-2</v>
      </c>
      <c r="R67" s="30">
        <f t="shared" ca="1" si="7"/>
        <v>3.5208088832716644E-3</v>
      </c>
      <c r="S67" s="9" cm="1">
        <f t="array" aca="1" ref="S67" ca="1">_xll.FDS($E$7,"P_PRICE("&amp;AG67&amp;",0,D,D)")</f>
        <v>111.16</v>
      </c>
      <c r="T67" s="9" cm="1">
        <f t="array" aca="1" ref="T67" ca="1">_xll.FDS($E$7,"P_PRICE("&amp;AH67&amp;",0,D,D)")</f>
        <v>114.78</v>
      </c>
      <c r="U67" s="9" cm="1">
        <f t="array" aca="1" ref="U67" ca="1">_xll.FDS($E$7,"P_PRICE("&amp;AI67&amp;",0,D,D)")</f>
        <v>117.23</v>
      </c>
      <c r="V67" s="9" cm="1">
        <f t="array" aca="1" ref="V67" ca="1">_xll.FDS($E$7,"P_PRICE("&amp;AJ67&amp;",0,D,D)")</f>
        <v>116.94</v>
      </c>
      <c r="W67" s="9" cm="1">
        <f t="array" aca="1" ref="W67" ca="1">_xll.FDS($E$7,"P_PRICE("&amp;AK67&amp;",0,D,D)")</f>
        <v>110.77</v>
      </c>
      <c r="X67" s="24">
        <f t="shared" ca="1" si="8"/>
        <v>2.554937860101969E-3</v>
      </c>
      <c r="Y67" s="24">
        <f t="shared" ca="1" si="9"/>
        <v>-1.2437081705104158E-2</v>
      </c>
      <c r="Z67" s="24">
        <f t="shared" ca="1" si="10"/>
        <v>1.6355235349754915E-2</v>
      </c>
      <c r="AA67" s="24">
        <f t="shared" ca="1" si="11"/>
        <v>5.3427416202558531E-2</v>
      </c>
      <c r="AB67" s="9" cm="1">
        <f t="array" aca="1" ref="AB67" ca="1">_xll.FDS($E$9,"P_PRICE("&amp;AG67&amp;",0,D,D)")</f>
        <v>6737.49</v>
      </c>
      <c r="AC67" s="9" cm="1">
        <f t="array" aca="1" ref="AC67" ca="1">_xll.FDS($E$9,"P_PRICE("&amp;AH67&amp;",0,D,D)")</f>
        <v>6720.32</v>
      </c>
      <c r="AD67" s="9" cm="1">
        <f t="array" aca="1" ref="AD67" ca="1">_xll.FDS($E$9,"P_PRICE("&amp;AI67&amp;",0,D,D)")</f>
        <v>6822.34</v>
      </c>
      <c r="AE67" s="9" cm="1">
        <f t="array" aca="1" ref="AE67" ca="1">_xll.FDS($E$9,"P_PRICE("&amp;AJ67&amp;",0,D,D)")</f>
        <v>6629.07</v>
      </c>
      <c r="AF67" s="9" cm="1">
        <f t="array" aca="1" ref="AF67" ca="1">_xll.FDS($E$9,"P_PRICE("&amp;AK67&amp;",0,D,D)")</f>
        <v>6395.78</v>
      </c>
      <c r="AG67" s="20">
        <f t="shared" ca="1" si="17"/>
        <v>45974</v>
      </c>
      <c r="AH67" s="22">
        <f t="shared" ca="1" si="12"/>
        <v>45967</v>
      </c>
      <c r="AI67" s="22">
        <f t="shared" ca="1" si="13"/>
        <v>45960</v>
      </c>
      <c r="AJ67" s="22">
        <f t="shared" ca="1" si="14"/>
        <v>45946</v>
      </c>
      <c r="AK67" s="22">
        <f t="shared" ca="1" si="15"/>
        <v>45889</v>
      </c>
      <c r="AL67" s="22">
        <f t="shared" ca="1" si="16"/>
        <v>45804</v>
      </c>
      <c r="AN67" s="27">
        <v>46115</v>
      </c>
    </row>
    <row r="68" spans="4:40" x14ac:dyDescent="0.25">
      <c r="D68" s="6">
        <f ca="1"/>
        <v>45973</v>
      </c>
      <c r="E68" s="28" cm="1">
        <f t="array" aca="1" ref="E68" ca="1">_xll.FDS($E$7,"P_PRICE("&amp;D68&amp;",0,D,D)")</f>
        <v>113.4</v>
      </c>
      <c r="F68" s="29" cm="1">
        <f t="array" aca="1" ref="F68" ca="1">_xll.FDS($E$7,"P_BETA_LOCIDX("&amp;$AG68&amp;","&amp;$AL68&amp;",,"""&amp;$E$9&amp;""")")</f>
        <v>1.0701069999999999</v>
      </c>
      <c r="G68" s="30">
        <f t="shared" ca="1" si="2"/>
        <v>-2.8226538480316893E-2</v>
      </c>
      <c r="H68" s="30">
        <f t="shared" ca="1" si="2"/>
        <v>-3.6715693208168643E-2</v>
      </c>
      <c r="I68" s="30">
        <f t="shared" ca="1" si="2"/>
        <v>-7.2534992816110783E-2</v>
      </c>
      <c r="J68" s="30">
        <f t="shared" ca="1" si="2"/>
        <v>-6.4826391253204996E-2</v>
      </c>
      <c r="K68" s="30">
        <f t="shared" ca="1" si="3"/>
        <v>8.6017438058118272E-3</v>
      </c>
      <c r="L68" s="30">
        <f t="shared" ca="1" si="3"/>
        <v>-6.1607416331547725E-3</v>
      </c>
      <c r="M68" s="30">
        <f t="shared" ca="1" si="3"/>
        <v>2.8851403677976249E-2</v>
      </c>
      <c r="N68" s="30">
        <f t="shared" ca="1" si="3"/>
        <v>7.3364278126204052E-2</v>
      </c>
      <c r="O68" s="30">
        <f t="shared" ca="1" si="4"/>
        <v>-1.9624794674505064E-2</v>
      </c>
      <c r="P68" s="30">
        <f t="shared" ca="1" si="5"/>
        <v>-4.2876434841323419E-2</v>
      </c>
      <c r="Q68" s="30">
        <f t="shared" ca="1" si="6"/>
        <v>-4.3683589138134526E-2</v>
      </c>
      <c r="R68" s="30">
        <f t="shared" ca="1" si="7"/>
        <v>8.5378868729990565E-3</v>
      </c>
      <c r="S68" s="9" cm="1">
        <f t="array" aca="1" ref="S68" ca="1">_xll.FDS($E$7,"P_PRICE("&amp;AG68&amp;",0,D,D)")</f>
        <v>113.4</v>
      </c>
      <c r="T68" s="9" cm="1">
        <f t="array" aca="1" ref="T68" ca="1">_xll.FDS($E$7,"P_PRICE("&amp;AH68&amp;",0,D,D)")</f>
        <v>115.67</v>
      </c>
      <c r="U68" s="9" cm="1">
        <f t="array" aca="1" ref="U68" ca="1">_xll.FDS($E$7,"P_PRICE("&amp;AI68&amp;",0,D,D)")</f>
        <v>118.48</v>
      </c>
      <c r="V68" s="9" cm="1">
        <f t="array" aca="1" ref="V68" ca="1">_xll.FDS($E$7,"P_PRICE("&amp;AJ68&amp;",0,D,D)")</f>
        <v>118.58</v>
      </c>
      <c r="W68" s="9" cm="1">
        <f t="array" aca="1" ref="W68" ca="1">_xll.FDS($E$7,"P_PRICE("&amp;AK68&amp;",0,D,D)")</f>
        <v>112.44</v>
      </c>
      <c r="X68" s="24">
        <f t="shared" ca="1" si="8"/>
        <v>8.0382090817197049E-3</v>
      </c>
      <c r="Y68" s="24">
        <f t="shared" ca="1" si="9"/>
        <v>-5.7571267482174893E-3</v>
      </c>
      <c r="Z68" s="24">
        <f t="shared" ca="1" si="10"/>
        <v>2.6961232547751068E-2</v>
      </c>
      <c r="AA68" s="24">
        <f t="shared" ca="1" si="11"/>
        <v>6.8557890123327914E-2</v>
      </c>
      <c r="AB68" s="9" cm="1">
        <f t="array" aca="1" ref="AB68" ca="1">_xll.FDS($E$9,"P_PRICE("&amp;AG68&amp;",0,D,D)")</f>
        <v>6850.92</v>
      </c>
      <c r="AC68" s="9" cm="1">
        <f t="array" aca="1" ref="AC68" ca="1">_xll.FDS($E$9,"P_PRICE("&amp;AH68&amp;",0,D,D)")</f>
        <v>6796.29</v>
      </c>
      <c r="AD68" s="9" cm="1">
        <f t="array" aca="1" ref="AD68" ca="1">_xll.FDS($E$9,"P_PRICE("&amp;AI68&amp;",0,D,D)")</f>
        <v>6890.59</v>
      </c>
      <c r="AE68" s="9" cm="1">
        <f t="array" aca="1" ref="AE68" ca="1">_xll.FDS($E$9,"P_PRICE("&amp;AJ68&amp;",0,D,D)")</f>
        <v>6671.06</v>
      </c>
      <c r="AF68" s="9" cm="1">
        <f t="array" aca="1" ref="AF68" ca="1">_xll.FDS($E$9,"P_PRICE("&amp;AK68&amp;",0,D,D)")</f>
        <v>6411.37</v>
      </c>
      <c r="AG68" s="20">
        <f t="shared" ca="1" si="17"/>
        <v>45973</v>
      </c>
      <c r="AH68" s="22">
        <f t="shared" ca="1" si="12"/>
        <v>45966</v>
      </c>
      <c r="AI68" s="22">
        <f t="shared" ca="1" si="13"/>
        <v>45959</v>
      </c>
      <c r="AJ68" s="22">
        <f t="shared" ca="1" si="14"/>
        <v>45945</v>
      </c>
      <c r="AK68" s="22">
        <f t="shared" ca="1" si="15"/>
        <v>45888</v>
      </c>
      <c r="AL68" s="22">
        <f t="shared" ca="1" si="16"/>
        <v>45800</v>
      </c>
      <c r="AN68" s="27">
        <v>46147</v>
      </c>
    </row>
    <row r="69" spans="4:40" x14ac:dyDescent="0.25">
      <c r="D69" s="6">
        <f ca="1"/>
        <v>45972</v>
      </c>
      <c r="E69" s="28" cm="1">
        <f t="array" aca="1" ref="E69" ca="1">_xll.FDS($E$7,"P_PRICE("&amp;D69&amp;",0,D,D)")</f>
        <v>112.65</v>
      </c>
      <c r="F69" s="29" cm="1">
        <f t="array" aca="1" ref="F69" ca="1">_xll.FDS($E$7,"P_BETA_LOCIDX("&amp;$AG69&amp;","&amp;$AL69&amp;",,"""&amp;$E$9&amp;""")")</f>
        <v>1.0704974</v>
      </c>
      <c r="G69" s="30">
        <f t="shared" ca="1" si="2"/>
        <v>-5.1671707366286526E-2</v>
      </c>
      <c r="H69" s="30">
        <f t="shared" ca="1" si="2"/>
        <v>-5.390150736980201E-2</v>
      </c>
      <c r="I69" s="30">
        <f t="shared" ca="1" si="2"/>
        <v>-9.4781358247523428E-2</v>
      </c>
      <c r="J69" s="30">
        <f t="shared" ca="1" si="2"/>
        <v>-5.593242863768047E-2</v>
      </c>
      <c r="K69" s="30">
        <f t="shared" ca="1" si="3"/>
        <v>1.1866047632225946E-2</v>
      </c>
      <c r="L69" s="30">
        <f t="shared" ca="1" si="3"/>
        <v>-6.8788828252955049E-3</v>
      </c>
      <c r="M69" s="30">
        <f t="shared" ca="1" si="3"/>
        <v>3.2593546059711216E-2</v>
      </c>
      <c r="N69" s="30">
        <f t="shared" ca="1" si="3"/>
        <v>6.5974569765628127E-2</v>
      </c>
      <c r="O69" s="30">
        <f t="shared" ca="1" si="4"/>
        <v>-3.9805659734060583E-2</v>
      </c>
      <c r="P69" s="30">
        <f t="shared" ca="1" si="5"/>
        <v>-6.0780390195097511E-2</v>
      </c>
      <c r="Q69" s="30">
        <f t="shared" ca="1" si="6"/>
        <v>-6.2187812187812219E-2</v>
      </c>
      <c r="R69" s="30">
        <f t="shared" ca="1" si="7"/>
        <v>1.0042141127947657E-2</v>
      </c>
      <c r="S69" s="9" cm="1">
        <f t="array" aca="1" ref="S69" ca="1">_xll.FDS($E$7,"P_PRICE("&amp;AG69&amp;",0,D,D)")</f>
        <v>112.65</v>
      </c>
      <c r="T69" s="9" cm="1">
        <f t="array" aca="1" ref="T69" ca="1">_xll.FDS($E$7,"P_PRICE("&amp;AH69&amp;",0,D,D)")</f>
        <v>117.32</v>
      </c>
      <c r="U69" s="9" cm="1">
        <f t="array" aca="1" ref="U69" ca="1">_xll.FDS($E$7,"P_PRICE("&amp;AI69&amp;",0,D,D)")</f>
        <v>119.94</v>
      </c>
      <c r="V69" s="9" cm="1">
        <f t="array" aca="1" ref="V69" ca="1">_xll.FDS($E$7,"P_PRICE("&amp;AJ69&amp;",0,D,D)")</f>
        <v>120.12</v>
      </c>
      <c r="W69" s="9" cm="1">
        <f t="array" aca="1" ref="W69" ca="1">_xll.FDS($E$7,"P_PRICE("&amp;AK69&amp;",0,D,D)")</f>
        <v>111.53</v>
      </c>
      <c r="X69" s="24">
        <f t="shared" ca="1" si="8"/>
        <v>1.1084611351906082E-2</v>
      </c>
      <c r="Y69" s="24">
        <f t="shared" ca="1" si="9"/>
        <v>-6.425875322345953E-3</v>
      </c>
      <c r="Z69" s="24">
        <f t="shared" ca="1" si="10"/>
        <v>3.0447104364486277E-2</v>
      </c>
      <c r="AA69" s="24">
        <f t="shared" ca="1" si="11"/>
        <v>6.1629827186528541E-2</v>
      </c>
      <c r="AB69" s="9" cm="1">
        <f t="array" aca="1" ref="AB69" ca="1">_xll.FDS($E$9,"P_PRICE("&amp;AG69&amp;",0,D,D)")</f>
        <v>6846.61</v>
      </c>
      <c r="AC69" s="9" cm="1">
        <f t="array" aca="1" ref="AC69" ca="1">_xll.FDS($E$9,"P_PRICE("&amp;AH69&amp;",0,D,D)")</f>
        <v>6771.55</v>
      </c>
      <c r="AD69" s="9" cm="1">
        <f t="array" aca="1" ref="AD69" ca="1">_xll.FDS($E$9,"P_PRICE("&amp;AI69&amp;",0,D,D)")</f>
        <v>6890.89</v>
      </c>
      <c r="AE69" s="9" cm="1">
        <f t="array" aca="1" ref="AE69" ca="1">_xll.FDS($E$9,"P_PRICE("&amp;AJ69&amp;",0,D,D)")</f>
        <v>6644.31</v>
      </c>
      <c r="AF69" s="9" cm="1">
        <f t="array" aca="1" ref="AF69" ca="1">_xll.FDS($E$9,"P_PRICE("&amp;AK69&amp;",0,D,D)")</f>
        <v>6449.15</v>
      </c>
      <c r="AG69" s="20">
        <f t="shared" ca="1" si="17"/>
        <v>45972</v>
      </c>
      <c r="AH69" s="22">
        <f t="shared" ca="1" si="12"/>
        <v>45965</v>
      </c>
      <c r="AI69" s="22">
        <f t="shared" ca="1" si="13"/>
        <v>45958</v>
      </c>
      <c r="AJ69" s="22">
        <f t="shared" ca="1" si="14"/>
        <v>45944</v>
      </c>
      <c r="AK69" s="22">
        <f t="shared" ca="1" si="15"/>
        <v>45887</v>
      </c>
      <c r="AL69" s="22">
        <f t="shared" ca="1" si="16"/>
        <v>45799</v>
      </c>
      <c r="AN69" s="27">
        <v>46192</v>
      </c>
    </row>
    <row r="70" spans="4:40" x14ac:dyDescent="0.25">
      <c r="D70" s="6">
        <f ca="1"/>
        <v>45971</v>
      </c>
      <c r="E70" s="28" cm="1">
        <f t="array" aca="1" ref="E70" ca="1">_xll.FDS($E$7,"P_PRICE("&amp;D70&amp;",0,D,D)")</f>
        <v>113.98</v>
      </c>
      <c r="F70" s="29" cm="1">
        <f t="array" aca="1" ref="F70" ca="1">_xll.FDS($E$7,"P_BETA_LOCIDX("&amp;$AG70&amp;","&amp;$AL70&amp;",,"""&amp;$E$9&amp;""")")</f>
        <v>1.0720738999999999</v>
      </c>
      <c r="G70" s="30">
        <f t="shared" ca="1" si="2"/>
        <v>-3.4273810835297708E-2</v>
      </c>
      <c r="H70" s="30">
        <f t="shared" ca="1" si="2"/>
        <v>-5.0964042039741531E-2</v>
      </c>
      <c r="I70" s="30">
        <f t="shared" ca="1" si="2"/>
        <v>-5.8916602838233328E-2</v>
      </c>
      <c r="J70" s="30">
        <f t="shared" ca="1" si="2"/>
        <v>-3.5270932190593435E-2</v>
      </c>
      <c r="K70" s="30">
        <f t="shared" ca="1" si="3"/>
        <v>-3.0572702457833676E-3</v>
      </c>
      <c r="L70" s="30">
        <f t="shared" ca="1" si="3"/>
        <v>-6.6630766043262492E-3</v>
      </c>
      <c r="M70" s="30">
        <f t="shared" ca="1" si="3"/>
        <v>2.8629041157103432E-2</v>
      </c>
      <c r="N70" s="30">
        <f t="shared" ca="1" si="3"/>
        <v>6.3600055250860571E-2</v>
      </c>
      <c r="O70" s="30">
        <f t="shared" ca="1" si="4"/>
        <v>-3.7331081081081074E-2</v>
      </c>
      <c r="P70" s="30">
        <f t="shared" ca="1" si="5"/>
        <v>-5.7627118644067776E-2</v>
      </c>
      <c r="Q70" s="30">
        <f t="shared" ca="1" si="6"/>
        <v>-3.0287561681129893E-2</v>
      </c>
      <c r="R70" s="30">
        <f t="shared" ca="1" si="7"/>
        <v>2.8329123060267136E-2</v>
      </c>
      <c r="S70" s="9" cm="1">
        <f t="array" aca="1" ref="S70" ca="1">_xll.FDS($E$7,"P_PRICE("&amp;AG70&amp;",0,D,D)")</f>
        <v>113.98</v>
      </c>
      <c r="T70" s="9" cm="1">
        <f t="array" aca="1" ref="T70" ca="1">_xll.FDS($E$7,"P_PRICE("&amp;AH70&amp;",0,D,D)")</f>
        <v>118.4</v>
      </c>
      <c r="U70" s="9" cm="1">
        <f t="array" aca="1" ref="U70" ca="1">_xll.FDS($E$7,"P_PRICE("&amp;AI70&amp;",0,D,D)")</f>
        <v>120.95</v>
      </c>
      <c r="V70" s="9" cm="1">
        <f t="array" aca="1" ref="V70" ca="1">_xll.FDS($E$7,"P_PRICE("&amp;AJ70&amp;",0,D,D)")</f>
        <v>117.54</v>
      </c>
      <c r="W70" s="9" cm="1">
        <f t="array" aca="1" ref="W70" ca="1">_xll.FDS($E$7,"P_PRICE("&amp;AK70&amp;",0,D,D)")</f>
        <v>110.84</v>
      </c>
      <c r="X70" s="24">
        <f t="shared" ca="1" si="8"/>
        <v>-2.8517346106302632E-3</v>
      </c>
      <c r="Y70" s="24">
        <f t="shared" ca="1" si="9"/>
        <v>-6.21512808429181E-3</v>
      </c>
      <c r="Z70" s="24">
        <f t="shared" ca="1" si="10"/>
        <v>2.6704354202731206E-2</v>
      </c>
      <c r="AA70" s="24">
        <f t="shared" ca="1" si="11"/>
        <v>5.932432013395772E-2</v>
      </c>
      <c r="AB70" s="9" cm="1">
        <f t="array" aca="1" ref="AB70" ca="1">_xll.FDS($E$9,"P_PRICE("&amp;AG70&amp;",0,D,D)")</f>
        <v>6832.43</v>
      </c>
      <c r="AC70" s="9" cm="1">
        <f t="array" aca="1" ref="AC70" ca="1">_xll.FDS($E$9,"P_PRICE("&amp;AH70&amp;",0,D,D)")</f>
        <v>6851.97</v>
      </c>
      <c r="AD70" s="9" cm="1">
        <f t="array" aca="1" ref="AD70" ca="1">_xll.FDS($E$9,"P_PRICE("&amp;AI70&amp;",0,D,D)")</f>
        <v>6875.16</v>
      </c>
      <c r="AE70" s="9" cm="1">
        <f t="array" aca="1" ref="AE70" ca="1">_xll.FDS($E$9,"P_PRICE("&amp;AJ70&amp;",0,D,D)")</f>
        <v>6654.72</v>
      </c>
      <c r="AF70" s="9" cm="1">
        <f t="array" aca="1" ref="AF70" ca="1">_xll.FDS($E$9,"P_PRICE("&amp;AK70&amp;",0,D,D)")</f>
        <v>6449.8</v>
      </c>
      <c r="AG70" s="20">
        <f t="shared" ca="1" si="17"/>
        <v>45971</v>
      </c>
      <c r="AH70" s="22">
        <f t="shared" ca="1" si="12"/>
        <v>45964</v>
      </c>
      <c r="AI70" s="22">
        <f t="shared" ca="1" si="13"/>
        <v>45957</v>
      </c>
      <c r="AJ70" s="22">
        <f t="shared" ca="1" si="14"/>
        <v>45943</v>
      </c>
      <c r="AK70" s="22">
        <f t="shared" ca="1" si="15"/>
        <v>45884</v>
      </c>
      <c r="AL70" s="22">
        <f t="shared" ca="1" si="16"/>
        <v>45798</v>
      </c>
      <c r="AN70" s="27">
        <v>46206</v>
      </c>
    </row>
    <row r="71" spans="4:40" x14ac:dyDescent="0.25">
      <c r="D71" s="6">
        <f ca="1"/>
        <v>45968</v>
      </c>
      <c r="E71" s="28" cm="1">
        <f t="array" aca="1" ref="E71" ca="1">_xll.FDS($E$7,"P_PRICE("&amp;D71&amp;",0,D,D)")</f>
        <v>113</v>
      </c>
      <c r="F71" s="29" cm="1">
        <f t="array" aca="1" ref="F71" ca="1">_xll.FDS($E$7,"P_BETA_LOCIDX("&amp;$AG71&amp;","&amp;$AL71&amp;",,"""&amp;$E$9&amp;""")")</f>
        <v>1.1076082</v>
      </c>
      <c r="G71" s="30">
        <f t="shared" ca="1" si="2"/>
        <v>-3.3178875753963132E-2</v>
      </c>
      <c r="H71" s="30">
        <f t="shared" ca="1" si="2"/>
        <v>-4.9409193119106881E-2</v>
      </c>
      <c r="I71" s="30">
        <f t="shared" ca="1" si="2"/>
        <v>-5.5913241901451236E-2</v>
      </c>
      <c r="J71" s="30">
        <f t="shared" ca="1" si="2"/>
        <v>-3.3378641327865909E-2</v>
      </c>
      <c r="K71" s="30">
        <f t="shared" ca="1" si="3"/>
        <v>-1.8038588561737935E-2</v>
      </c>
      <c r="L71" s="30">
        <f t="shared" ca="1" si="3"/>
        <v>-1.025628079285121E-2</v>
      </c>
      <c r="M71" s="30">
        <f t="shared" ca="1" si="3"/>
        <v>2.9799305850429933E-2</v>
      </c>
      <c r="N71" s="30">
        <f t="shared" ca="1" si="3"/>
        <v>4.4564323654487779E-2</v>
      </c>
      <c r="O71" s="30">
        <f t="shared" ca="1" si="4"/>
        <v>-5.1217464315701067E-2</v>
      </c>
      <c r="P71" s="30">
        <f t="shared" ca="1" si="5"/>
        <v>-5.9665473911958089E-2</v>
      </c>
      <c r="Q71" s="30">
        <f t="shared" ca="1" si="6"/>
        <v>-2.6113936051021303E-2</v>
      </c>
      <c r="R71" s="30">
        <f t="shared" ca="1" si="7"/>
        <v>1.1185682326621871E-2</v>
      </c>
      <c r="S71" s="9" cm="1">
        <f t="array" aca="1" ref="S71" ca="1">_xll.FDS($E$7,"P_PRICE("&amp;AG71&amp;",0,D,D)")</f>
        <v>113</v>
      </c>
      <c r="T71" s="9" cm="1">
        <f t="array" aca="1" ref="T71" ca="1">_xll.FDS($E$7,"P_PRICE("&amp;AH71&amp;",0,D,D)")</f>
        <v>119.1</v>
      </c>
      <c r="U71" s="9" cm="1">
        <f t="array" aca="1" ref="U71" ca="1">_xll.FDS($E$7,"P_PRICE("&amp;AI71&amp;",0,D,D)")</f>
        <v>120.17</v>
      </c>
      <c r="V71" s="9" cm="1">
        <f t="array" aca="1" ref="V71" ca="1">_xll.FDS($E$7,"P_PRICE("&amp;AJ71&amp;",0,D,D)")</f>
        <v>116.03</v>
      </c>
      <c r="W71" s="9" cm="1">
        <f t="array" aca="1" ref="W71" ca="1">_xll.FDS($E$7,"P_PRICE("&amp;AK71&amp;",0,D,D)")</f>
        <v>111.75</v>
      </c>
      <c r="X71" s="24">
        <f t="shared" ca="1" si="8"/>
        <v>-1.6286073506622589E-2</v>
      </c>
      <c r="Y71" s="24">
        <f t="shared" ca="1" si="9"/>
        <v>-9.2598454876473557E-3</v>
      </c>
      <c r="Z71" s="24">
        <f t="shared" ca="1" si="10"/>
        <v>2.690419396536603E-2</v>
      </c>
      <c r="AA71" s="24">
        <f t="shared" ca="1" si="11"/>
        <v>4.0234736122834569E-2</v>
      </c>
      <c r="AB71" s="9" cm="1">
        <f t="array" aca="1" ref="AB71" ca="1">_xll.FDS($E$9,"P_PRICE("&amp;AG71&amp;",0,D,D)")</f>
        <v>6728.8</v>
      </c>
      <c r="AC71" s="9" cm="1">
        <f t="array" aca="1" ref="AC71" ca="1">_xll.FDS($E$9,"P_PRICE("&amp;AH71&amp;",0,D,D)")</f>
        <v>6840.2</v>
      </c>
      <c r="AD71" s="9" cm="1">
        <f t="array" aca="1" ref="AD71" ca="1">_xll.FDS($E$9,"P_PRICE("&amp;AI71&amp;",0,D,D)")</f>
        <v>6791.69</v>
      </c>
      <c r="AE71" s="9" cm="1">
        <f t="array" aca="1" ref="AE71" ca="1">_xll.FDS($E$9,"P_PRICE("&amp;AJ71&amp;",0,D,D)")</f>
        <v>6552.51</v>
      </c>
      <c r="AF71" s="9" cm="1">
        <f t="array" aca="1" ref="AF71" ca="1">_xll.FDS($E$9,"P_PRICE("&amp;AK71&amp;",0,D,D)")</f>
        <v>6468.54</v>
      </c>
      <c r="AG71" s="20">
        <f t="shared" ca="1" si="17"/>
        <v>45968</v>
      </c>
      <c r="AH71" s="22">
        <f t="shared" ca="1" si="12"/>
        <v>45961</v>
      </c>
      <c r="AI71" s="22">
        <f t="shared" ca="1" si="13"/>
        <v>45954</v>
      </c>
      <c r="AJ71" s="22">
        <f t="shared" ca="1" si="14"/>
        <v>45940</v>
      </c>
      <c r="AK71" s="22">
        <f t="shared" ca="1" si="15"/>
        <v>45883</v>
      </c>
      <c r="AL71" s="22">
        <f t="shared" ca="1" si="16"/>
        <v>45797</v>
      </c>
      <c r="AN71" s="27">
        <v>46272</v>
      </c>
    </row>
    <row r="72" spans="4:40" x14ac:dyDescent="0.25">
      <c r="D72" s="6">
        <f ca="1"/>
        <v>45967</v>
      </c>
      <c r="E72" s="28" cm="1">
        <f t="array" aca="1" ref="E72" ca="1">_xll.FDS($E$7,"P_PRICE("&amp;D72&amp;",0,D,D)")</f>
        <v>114.78</v>
      </c>
      <c r="F72" s="29" cm="1">
        <f t="array" aca="1" ref="F72" ca="1">_xll.FDS($E$7,"P_BETA_LOCIDX("&amp;$AG72&amp;","&amp;$AL72&amp;",,"""&amp;$E$9&amp;""")")</f>
        <v>1.1084607</v>
      </c>
      <c r="G72" s="30">
        <f t="shared" ca="1" si="2"/>
        <v>-4.3233726834312237E-3</v>
      </c>
      <c r="H72" s="30">
        <f t="shared" ca="1" si="2"/>
        <v>-2.323461606202679E-2</v>
      </c>
      <c r="I72" s="30">
        <f t="shared" ca="1" si="2"/>
        <v>-2.1628449645988448E-2</v>
      </c>
      <c r="J72" s="30">
        <f t="shared" ca="1" si="2"/>
        <v>-3.355171698374116E-2</v>
      </c>
      <c r="K72" s="30">
        <f t="shared" ca="1" si="3"/>
        <v>-1.6575714580920966E-2</v>
      </c>
      <c r="L72" s="30">
        <f t="shared" ca="1" si="3"/>
        <v>-2.9807059028498471E-3</v>
      </c>
      <c r="M72" s="30">
        <f t="shared" ca="1" si="3"/>
        <v>-2.4341300666210516E-3</v>
      </c>
      <c r="N72" s="30">
        <f t="shared" ca="1" si="3"/>
        <v>4.349452384691755E-2</v>
      </c>
      <c r="O72" s="30">
        <f t="shared" ca="1" si="4"/>
        <v>-2.089908726435219E-2</v>
      </c>
      <c r="P72" s="30">
        <f t="shared" ca="1" si="5"/>
        <v>-2.6215321964876637E-2</v>
      </c>
      <c r="Q72" s="30">
        <f t="shared" ca="1" si="6"/>
        <v>-2.40625797126095E-2</v>
      </c>
      <c r="R72" s="30">
        <f t="shared" ca="1" si="7"/>
        <v>9.94280686317639E-3</v>
      </c>
      <c r="S72" s="9" cm="1">
        <f t="array" aca="1" ref="S72" ca="1">_xll.FDS($E$7,"P_PRICE("&amp;AG72&amp;",0,D,D)")</f>
        <v>114.78</v>
      </c>
      <c r="T72" s="9" cm="1">
        <f t="array" aca="1" ref="T72" ca="1">_xll.FDS($E$7,"P_PRICE("&amp;AH72&amp;",0,D,D)")</f>
        <v>117.23</v>
      </c>
      <c r="U72" s="9" cm="1">
        <f t="array" aca="1" ref="U72" ca="1">_xll.FDS($E$7,"P_PRICE("&amp;AI72&amp;",0,D,D)")</f>
        <v>117.87</v>
      </c>
      <c r="V72" s="9" cm="1">
        <f t="array" aca="1" ref="V72" ca="1">_xll.FDS($E$7,"P_PRICE("&amp;AJ72&amp;",0,D,D)")</f>
        <v>117.61</v>
      </c>
      <c r="W72" s="9" cm="1">
        <f t="array" aca="1" ref="W72" ca="1">_xll.FDS($E$7,"P_PRICE("&amp;AK72&amp;",0,D,D)")</f>
        <v>113.65</v>
      </c>
      <c r="X72" s="24">
        <f t="shared" ca="1" si="8"/>
        <v>-1.4953813500939606E-2</v>
      </c>
      <c r="Y72" s="24">
        <f t="shared" ca="1" si="9"/>
        <v>-2.6890496910263462E-3</v>
      </c>
      <c r="Z72" s="24">
        <f t="shared" ca="1" si="10"/>
        <v>-2.1959552256756165E-3</v>
      </c>
      <c r="AA72" s="24">
        <f t="shared" ca="1" si="11"/>
        <v>3.9238670208982196E-2</v>
      </c>
      <c r="AB72" s="9" cm="1">
        <f t="array" aca="1" ref="AB72" ca="1">_xll.FDS($E$9,"P_PRICE("&amp;AG72&amp;",0,D,D)")</f>
        <v>6720.32</v>
      </c>
      <c r="AC72" s="9" cm="1">
        <f t="array" aca="1" ref="AC72" ca="1">_xll.FDS($E$9,"P_PRICE("&amp;AH72&amp;",0,D,D)")</f>
        <v>6822.34</v>
      </c>
      <c r="AD72" s="9" cm="1">
        <f t="array" aca="1" ref="AD72" ca="1">_xll.FDS($E$9,"P_PRICE("&amp;AI72&amp;",0,D,D)")</f>
        <v>6738.44</v>
      </c>
      <c r="AE72" s="9" cm="1">
        <f t="array" aca="1" ref="AE72" ca="1">_xll.FDS($E$9,"P_PRICE("&amp;AJ72&amp;",0,D,D)")</f>
        <v>6735.11</v>
      </c>
      <c r="AF72" s="9" cm="1">
        <f t="array" aca="1" ref="AF72" ca="1">_xll.FDS($E$9,"P_PRICE("&amp;AK72&amp;",0,D,D)")</f>
        <v>6466.58</v>
      </c>
      <c r="AG72" s="20">
        <f t="shared" ca="1" si="17"/>
        <v>45967</v>
      </c>
      <c r="AH72" s="22">
        <f t="shared" ca="1" si="12"/>
        <v>45960</v>
      </c>
      <c r="AI72" s="22">
        <f t="shared" ca="1" si="13"/>
        <v>45953</v>
      </c>
      <c r="AJ72" s="22">
        <f t="shared" ca="1" si="14"/>
        <v>45939</v>
      </c>
      <c r="AK72" s="22">
        <f t="shared" ca="1" si="15"/>
        <v>45882</v>
      </c>
      <c r="AL72" s="22">
        <f t="shared" ca="1" si="16"/>
        <v>45796</v>
      </c>
      <c r="AN72" s="27">
        <v>46352</v>
      </c>
    </row>
    <row r="73" spans="4:40" x14ac:dyDescent="0.25">
      <c r="D73" s="6">
        <f ca="1"/>
        <v>45966</v>
      </c>
      <c r="E73" s="28" cm="1">
        <f t="array" aca="1" ref="E73" ca="1">_xll.FDS($E$7,"P_PRICE("&amp;D73&amp;",0,D,D)")</f>
        <v>115.67</v>
      </c>
      <c r="F73" s="29" cm="1">
        <f t="array" aca="1" ref="F73" ca="1">_xll.FDS($E$7,"P_BETA_LOCIDX("&amp;$AG73&amp;","&amp;$AL73&amp;",,"""&amp;$E$9&amp;""")")</f>
        <v>1.1225258</v>
      </c>
      <c r="G73" s="30">
        <f t="shared" ca="1" si="2"/>
        <v>-8.3549467269457053E-3</v>
      </c>
      <c r="H73" s="30">
        <f t="shared" ca="1" si="2"/>
        <v>-2.7433012703988742E-2</v>
      </c>
      <c r="I73" s="30">
        <f t="shared" ca="1" si="2"/>
        <v>-2.5573587453888429E-2</v>
      </c>
      <c r="J73" s="30">
        <f t="shared" ca="1" si="2"/>
        <v>-2.8553322849549173E-2</v>
      </c>
      <c r="K73" s="30">
        <f t="shared" ca="1" si="3"/>
        <v>-1.5362136325046233E-2</v>
      </c>
      <c r="L73" s="30">
        <f t="shared" ca="1" si="3"/>
        <v>1.6234517234677677E-2</v>
      </c>
      <c r="M73" s="30">
        <f t="shared" ca="1" si="3"/>
        <v>7.0754966605070446E-3</v>
      </c>
      <c r="N73" s="30">
        <f t="shared" ca="1" si="3"/>
        <v>6.1044619823573926E-2</v>
      </c>
      <c r="O73" s="30">
        <f t="shared" ca="1" si="4"/>
        <v>-2.3717083051991938E-2</v>
      </c>
      <c r="P73" s="30">
        <f t="shared" ca="1" si="5"/>
        <v>-1.1198495469311065E-2</v>
      </c>
      <c r="Q73" s="30">
        <f t="shared" ca="1" si="6"/>
        <v>-1.8498090793381383E-2</v>
      </c>
      <c r="R73" s="30">
        <f t="shared" ca="1" si="7"/>
        <v>3.2491296974024753E-2</v>
      </c>
      <c r="S73" s="9" cm="1">
        <f t="array" aca="1" ref="S73" ca="1">_xll.FDS($E$7,"P_PRICE("&amp;AG73&amp;",0,D,D)")</f>
        <v>115.67</v>
      </c>
      <c r="T73" s="9" cm="1">
        <f t="array" aca="1" ref="T73" ca="1">_xll.FDS($E$7,"P_PRICE("&amp;AH73&amp;",0,D,D)")</f>
        <v>118.48</v>
      </c>
      <c r="U73" s="9" cm="1">
        <f t="array" aca="1" ref="U73" ca="1">_xll.FDS($E$7,"P_PRICE("&amp;AI73&amp;",0,D,D)")</f>
        <v>116.98</v>
      </c>
      <c r="V73" s="9" cm="1">
        <f t="array" aca="1" ref="V73" ca="1">_xll.FDS($E$7,"P_PRICE("&amp;AJ73&amp;",0,D,D)")</f>
        <v>117.85</v>
      </c>
      <c r="W73" s="9" cm="1">
        <f t="array" aca="1" ref="W73" ca="1">_xll.FDS($E$7,"P_PRICE("&amp;AK73&amp;",0,D,D)")</f>
        <v>112.03</v>
      </c>
      <c r="X73" s="24">
        <f t="shared" ca="1" si="8"/>
        <v>-1.3685330283763841E-2</v>
      </c>
      <c r="Y73" s="24">
        <f t="shared" ca="1" si="9"/>
        <v>1.4462489178135307E-2</v>
      </c>
      <c r="Z73" s="24">
        <f t="shared" ca="1" si="10"/>
        <v>6.3031929070200832E-3</v>
      </c>
      <c r="AA73" s="24">
        <f t="shared" ca="1" si="11"/>
        <v>5.4381484883085918E-2</v>
      </c>
      <c r="AB73" s="9" cm="1">
        <f t="array" aca="1" ref="AB73" ca="1">_xll.FDS($E$9,"P_PRICE("&amp;AG73&amp;",0,D,D)")</f>
        <v>6796.29</v>
      </c>
      <c r="AC73" s="9" cm="1">
        <f t="array" aca="1" ref="AC73" ca="1">_xll.FDS($E$9,"P_PRICE("&amp;AH73&amp;",0,D,D)")</f>
        <v>6890.59</v>
      </c>
      <c r="AD73" s="9" cm="1">
        <f t="array" aca="1" ref="AD73" ca="1">_xll.FDS($E$9,"P_PRICE("&amp;AI73&amp;",0,D,D)")</f>
        <v>6699.4</v>
      </c>
      <c r="AE73" s="9" cm="1">
        <f t="array" aca="1" ref="AE73" ca="1">_xll.FDS($E$9,"P_PRICE("&amp;AJ73&amp;",0,D,D)")</f>
        <v>6753.72</v>
      </c>
      <c r="AF73" s="9" cm="1">
        <f t="array" aca="1" ref="AF73" ca="1">_xll.FDS($E$9,"P_PRICE("&amp;AK73&amp;",0,D,D)")</f>
        <v>6445.76</v>
      </c>
      <c r="AG73" s="20">
        <f t="shared" ca="1" si="17"/>
        <v>45966</v>
      </c>
      <c r="AH73" s="22">
        <f t="shared" ca="1" si="12"/>
        <v>45959</v>
      </c>
      <c r="AI73" s="22">
        <f t="shared" ca="1" si="13"/>
        <v>45952</v>
      </c>
      <c r="AJ73" s="22">
        <f t="shared" ca="1" si="14"/>
        <v>45938</v>
      </c>
      <c r="AK73" s="22">
        <f t="shared" ca="1" si="15"/>
        <v>45881</v>
      </c>
      <c r="AL73" s="22">
        <f t="shared" ca="1" si="16"/>
        <v>45793</v>
      </c>
      <c r="AN73" s="27">
        <v>46381</v>
      </c>
    </row>
    <row r="74" spans="4:40" x14ac:dyDescent="0.25">
      <c r="D74" s="6">
        <f ca="1"/>
        <v>45965</v>
      </c>
      <c r="E74" s="28" cm="1">
        <f t="array" aca="1" ref="E74" ca="1">_xll.FDS($E$7,"P_PRICE("&amp;D74&amp;",0,D,D)")</f>
        <v>117.32</v>
      </c>
      <c r="F74" s="29" cm="1">
        <f t="array" aca="1" ref="F74" ca="1">_xll.FDS($E$7,"P_BETA_LOCIDX("&amp;$AG74&amp;","&amp;$AL74&amp;",,"""&amp;$E$9&amp;""")")</f>
        <v>1.1304411000000001</v>
      </c>
      <c r="G74" s="30">
        <f t="shared" ca="1" si="2"/>
        <v>-2.2666913330630298E-3</v>
      </c>
      <c r="H74" s="30">
        <f t="shared" ca="1" si="2"/>
        <v>-1.394039371704733E-2</v>
      </c>
      <c r="I74" s="30">
        <f t="shared" ca="1" si="2"/>
        <v>-1.1659682067759747E-3</v>
      </c>
      <c r="J74" s="30">
        <f t="shared" ca="1" si="2"/>
        <v>2.1551718875985837E-2</v>
      </c>
      <c r="K74" s="30">
        <f t="shared" ca="1" si="3"/>
        <v>-1.9577564128000914E-2</v>
      </c>
      <c r="L74" s="30">
        <f t="shared" ca="1" si="3"/>
        <v>6.0757002709584639E-3</v>
      </c>
      <c r="M74" s="30">
        <f t="shared" ca="1" si="3"/>
        <v>9.5895542476905071E-3</v>
      </c>
      <c r="N74" s="30">
        <f t="shared" ca="1" si="3"/>
        <v>7.060988976300131E-2</v>
      </c>
      <c r="O74" s="30">
        <f t="shared" ca="1" si="4"/>
        <v>-2.1844255461063944E-2</v>
      </c>
      <c r="P74" s="30">
        <f t="shared" ca="1" si="5"/>
        <v>-7.8646934460888662E-3</v>
      </c>
      <c r="Q74" s="30">
        <f t="shared" ca="1" si="6"/>
        <v>8.4235860409145324E-3</v>
      </c>
      <c r="R74" s="30">
        <f t="shared" ca="1" si="7"/>
        <v>9.2161608638987147E-2</v>
      </c>
      <c r="S74" s="9" cm="1">
        <f t="array" aca="1" ref="S74" ca="1">_xll.FDS($E$7,"P_PRICE("&amp;AG74&amp;",0,D,D)")</f>
        <v>117.32</v>
      </c>
      <c r="T74" s="9" cm="1">
        <f t="array" aca="1" ref="T74" ca="1">_xll.FDS($E$7,"P_PRICE("&amp;AH74&amp;",0,D,D)")</f>
        <v>119.94</v>
      </c>
      <c r="U74" s="9" cm="1">
        <f t="array" aca="1" ref="U74" ca="1">_xll.FDS($E$7,"P_PRICE("&amp;AI74&amp;",0,D,D)")</f>
        <v>118.25</v>
      </c>
      <c r="V74" s="9" cm="1">
        <f t="array" aca="1" ref="V74" ca="1">_xll.FDS($E$7,"P_PRICE("&amp;AJ74&amp;",0,D,D)")</f>
        <v>116.34</v>
      </c>
      <c r="W74" s="9" cm="1">
        <f t="array" aca="1" ref="W74" ca="1">_xll.FDS($E$7,"P_PRICE("&amp;AK74&amp;",0,D,D)")</f>
        <v>107.42</v>
      </c>
      <c r="X74" s="24">
        <f t="shared" ca="1" si="8"/>
        <v>-1.7318517637054165E-2</v>
      </c>
      <c r="Y74" s="24">
        <f t="shared" ca="1" si="9"/>
        <v>5.3746278961004368E-3</v>
      </c>
      <c r="Z74" s="24">
        <f t="shared" ca="1" si="10"/>
        <v>8.4830198120808831E-3</v>
      </c>
      <c r="AA74" s="24">
        <f t="shared" ca="1" si="11"/>
        <v>6.2462245722489484E-2</v>
      </c>
      <c r="AB74" s="9" cm="1">
        <f t="array" aca="1" ref="AB74" ca="1">_xll.FDS($E$9,"P_PRICE("&amp;AG74&amp;",0,D,D)")</f>
        <v>6771.55</v>
      </c>
      <c r="AC74" s="9" cm="1">
        <f t="array" aca="1" ref="AC74" ca="1">_xll.FDS($E$9,"P_PRICE("&amp;AH74&amp;",0,D,D)")</f>
        <v>6890.89</v>
      </c>
      <c r="AD74" s="9" cm="1">
        <f t="array" aca="1" ref="AD74" ca="1">_xll.FDS($E$9,"P_PRICE("&amp;AI74&amp;",0,D,D)")</f>
        <v>6735.35</v>
      </c>
      <c r="AE74" s="9" cm="1">
        <f t="array" aca="1" ref="AE74" ca="1">_xll.FDS($E$9,"P_PRICE("&amp;AJ74&amp;",0,D,D)")</f>
        <v>6714.59</v>
      </c>
      <c r="AF74" s="9" cm="1">
        <f t="array" aca="1" ref="AF74" ca="1">_xll.FDS($E$9,"P_PRICE("&amp;AK74&amp;",0,D,D)")</f>
        <v>6373.45</v>
      </c>
      <c r="AG74" s="20">
        <f t="shared" ca="1" si="17"/>
        <v>45965</v>
      </c>
      <c r="AH74" s="22">
        <f t="shared" ca="1" si="12"/>
        <v>45958</v>
      </c>
      <c r="AI74" s="22">
        <f t="shared" ca="1" si="13"/>
        <v>45951</v>
      </c>
      <c r="AJ74" s="22">
        <f t="shared" ca="1" si="14"/>
        <v>45937</v>
      </c>
      <c r="AK74" s="22">
        <f t="shared" ca="1" si="15"/>
        <v>45880</v>
      </c>
      <c r="AL74" s="22">
        <f t="shared" ca="1" si="16"/>
        <v>45792</v>
      </c>
    </row>
    <row r="75" spans="4:40" x14ac:dyDescent="0.25">
      <c r="D75" s="6">
        <f ca="1"/>
        <v>45964</v>
      </c>
      <c r="E75" s="28" cm="1">
        <f t="array" aca="1" ref="E75" ca="1">_xll.FDS($E$7,"P_PRICE("&amp;D75&amp;",0,D,D)")</f>
        <v>118.4</v>
      </c>
      <c r="F75" s="29" cm="1">
        <f t="array" aca="1" ref="F75" ca="1">_xll.FDS($E$7,"P_BETA_LOCIDX("&amp;$AG75&amp;","&amp;$AL75&amp;",,"""&amp;$E$9&amp;""")")</f>
        <v>1.1405145999999999</v>
      </c>
      <c r="G75" s="30">
        <f t="shared" ca="1" si="2"/>
        <v>-1.7236122287389896E-2</v>
      </c>
      <c r="H75" s="30">
        <f t="shared" ca="1" si="2"/>
        <v>-1.1525231832087163E-2</v>
      </c>
      <c r="I75" s="30">
        <f t="shared" ca="1" si="2"/>
        <v>-1.6698150635872152E-2</v>
      </c>
      <c r="J75" s="30">
        <f t="shared" ca="1" si="2"/>
        <v>6.9743163986717149E-4</v>
      </c>
      <c r="K75" s="30">
        <f t="shared" ca="1" si="3"/>
        <v>-3.8469698994641069E-3</v>
      </c>
      <c r="L75" s="30">
        <f t="shared" ca="1" si="3"/>
        <v>1.9785471975151198E-2</v>
      </c>
      <c r="M75" s="30">
        <f t="shared" ca="1" si="3"/>
        <v>1.8898929372963832E-2</v>
      </c>
      <c r="N75" s="30">
        <f t="shared" ca="1" si="3"/>
        <v>8.2559658936528238E-2</v>
      </c>
      <c r="O75" s="30">
        <f t="shared" ca="1" si="4"/>
        <v>-2.1083092186854002E-2</v>
      </c>
      <c r="P75" s="30">
        <f t="shared" ca="1" si="5"/>
        <v>8.2602401430640349E-3</v>
      </c>
      <c r="Q75" s="30">
        <f t="shared" ca="1" si="6"/>
        <v>2.2007787370916798E-3</v>
      </c>
      <c r="R75" s="30">
        <f t="shared" ca="1" si="7"/>
        <v>8.3257090576395409E-2</v>
      </c>
      <c r="S75" s="9" cm="1">
        <f t="array" aca="1" ref="S75" ca="1">_xll.FDS($E$7,"P_PRICE("&amp;AG75&amp;",0,D,D)")</f>
        <v>118.4</v>
      </c>
      <c r="T75" s="9" cm="1">
        <f t="array" aca="1" ref="T75" ca="1">_xll.FDS($E$7,"P_PRICE("&amp;AH75&amp;",0,D,D)")</f>
        <v>120.95</v>
      </c>
      <c r="U75" s="9" cm="1">
        <f t="array" aca="1" ref="U75" ca="1">_xll.FDS($E$7,"P_PRICE("&amp;AI75&amp;",0,D,D)")</f>
        <v>117.43</v>
      </c>
      <c r="V75" s="9" cm="1">
        <f t="array" aca="1" ref="V75" ca="1">_xll.FDS($E$7,"P_PRICE("&amp;AJ75&amp;",0,D,D)")</f>
        <v>118.14</v>
      </c>
      <c r="W75" s="9" cm="1">
        <f t="array" aca="1" ref="W75" ca="1">_xll.FDS($E$7,"P_PRICE("&amp;AK75&amp;",0,D,D)")</f>
        <v>109.3</v>
      </c>
      <c r="X75" s="24">
        <f t="shared" ca="1" si="8"/>
        <v>-3.3730124098929615E-3</v>
      </c>
      <c r="Y75" s="24">
        <f t="shared" ca="1" si="9"/>
        <v>1.7347846292499192E-2</v>
      </c>
      <c r="Z75" s="24">
        <f t="shared" ca="1" si="10"/>
        <v>1.6570528227314085E-2</v>
      </c>
      <c r="AA75" s="24">
        <f t="shared" ca="1" si="11"/>
        <v>7.2388077221044123E-2</v>
      </c>
      <c r="AB75" s="9" cm="1">
        <f t="array" aca="1" ref="AB75" ca="1">_xll.FDS($E$9,"P_PRICE("&amp;AG75&amp;",0,D,D)")</f>
        <v>6851.97</v>
      </c>
      <c r="AC75" s="9" cm="1">
        <f t="array" aca="1" ref="AC75" ca="1">_xll.FDS($E$9,"P_PRICE("&amp;AH75&amp;",0,D,D)")</f>
        <v>6875.16</v>
      </c>
      <c r="AD75" s="9" cm="1">
        <f t="array" aca="1" ref="AD75" ca="1">_xll.FDS($E$9,"P_PRICE("&amp;AI75&amp;",0,D,D)")</f>
        <v>6735.13</v>
      </c>
      <c r="AE75" s="9" cm="1">
        <f t="array" aca="1" ref="AE75" ca="1">_xll.FDS($E$9,"P_PRICE("&amp;AJ75&amp;",0,D,D)")</f>
        <v>6740.28</v>
      </c>
      <c r="AF75" s="9" cm="1">
        <f t="array" aca="1" ref="AF75" ca="1">_xll.FDS($E$9,"P_PRICE("&amp;AK75&amp;",0,D,D)")</f>
        <v>6389.45</v>
      </c>
      <c r="AG75" s="20">
        <f t="shared" ca="1" si="17"/>
        <v>45964</v>
      </c>
      <c r="AH75" s="22">
        <f t="shared" ca="1" si="12"/>
        <v>45957</v>
      </c>
      <c r="AI75" s="22">
        <f t="shared" ca="1" si="13"/>
        <v>45950</v>
      </c>
      <c r="AJ75" s="22">
        <f t="shared" ca="1" si="14"/>
        <v>45936</v>
      </c>
      <c r="AK75" s="22">
        <f t="shared" ca="1" si="15"/>
        <v>45877</v>
      </c>
      <c r="AL75" s="22">
        <f t="shared" ca="1" si="16"/>
        <v>45791</v>
      </c>
    </row>
    <row r="76" spans="4:40" x14ac:dyDescent="0.25">
      <c r="D76" s="6">
        <f ca="1"/>
        <v>45961</v>
      </c>
      <c r="E76" s="28" cm="1">
        <f t="array" aca="1" ref="E76" ca="1">_xll.FDS($E$7,"P_PRICE("&amp;D76&amp;",0,D,D)")</f>
        <v>119.1</v>
      </c>
      <c r="F76" s="29" cm="1">
        <f t="array" aca="1" ref="F76" ca="1">_xll.FDS($E$7,"P_BETA_LOCIDX("&amp;$AG76&amp;","&amp;$AL76&amp;",,"""&amp;$E$9&amp;""")")</f>
        <v>1.1248122</v>
      </c>
      <c r="G76" s="30">
        <f t="shared" ca="1" si="2"/>
        <v>-1.6938082387690713E-2</v>
      </c>
      <c r="H76" s="30">
        <f t="shared" ca="1" si="2"/>
        <v>-1.5776750301516818E-2</v>
      </c>
      <c r="I76" s="30">
        <f t="shared" ca="1" si="2"/>
        <v>-2.8006200724112425E-2</v>
      </c>
      <c r="J76" s="30">
        <f t="shared" ca="1" si="2"/>
        <v>2.5173877464791661E-2</v>
      </c>
      <c r="K76" s="30">
        <f t="shared" ca="1" si="3"/>
        <v>8.0340297955295101E-3</v>
      </c>
      <c r="L76" s="30">
        <f t="shared" ca="1" si="3"/>
        <v>2.9738950199354464E-2</v>
      </c>
      <c r="M76" s="30">
        <f t="shared" ca="1" si="3"/>
        <v>2.0837144371995027E-2</v>
      </c>
      <c r="N76" s="30">
        <f t="shared" ca="1" si="3"/>
        <v>8.8743069785488904E-2</v>
      </c>
      <c r="O76" s="30">
        <f t="shared" ca="1" si="4"/>
        <v>-8.9040525921612046E-3</v>
      </c>
      <c r="P76" s="30">
        <f t="shared" ca="1" si="5"/>
        <v>1.3962199897837646E-2</v>
      </c>
      <c r="Q76" s="30">
        <f t="shared" ca="1" si="6"/>
        <v>-7.1690563521173978E-3</v>
      </c>
      <c r="R76" s="30">
        <f t="shared" ca="1" si="7"/>
        <v>0.11391694725028056</v>
      </c>
      <c r="S76" s="9" cm="1">
        <f t="array" aca="1" ref="S76" ca="1">_xll.FDS($E$7,"P_PRICE("&amp;AG76&amp;",0,D,D)")</f>
        <v>119.1</v>
      </c>
      <c r="T76" s="9" cm="1">
        <f t="array" aca="1" ref="T76" ca="1">_xll.FDS($E$7,"P_PRICE("&amp;AH76&amp;",0,D,D)")</f>
        <v>120.17</v>
      </c>
      <c r="U76" s="9" cm="1">
        <f t="array" aca="1" ref="U76" ca="1">_xll.FDS($E$7,"P_PRICE("&amp;AI76&amp;",0,D,D)")</f>
        <v>117.46</v>
      </c>
      <c r="V76" s="9" cm="1">
        <f t="array" aca="1" ref="V76" ca="1">_xll.FDS($E$7,"P_PRICE("&amp;AJ76&amp;",0,D,D)")</f>
        <v>119.96</v>
      </c>
      <c r="W76" s="9" cm="1">
        <f t="array" aca="1" ref="W76" ca="1">_xll.FDS($E$7,"P_PRICE("&amp;AK76&amp;",0,D,D)")</f>
        <v>106.92</v>
      </c>
      <c r="X76" s="24">
        <f t="shared" ca="1" si="8"/>
        <v>7.1425521482870735E-3</v>
      </c>
      <c r="Y76" s="24">
        <f t="shared" ca="1" si="9"/>
        <v>2.6439035955828416E-2</v>
      </c>
      <c r="Z76" s="24">
        <f t="shared" ca="1" si="10"/>
        <v>1.8524998548197669E-2</v>
      </c>
      <c r="AA76" s="24">
        <f t="shared" ca="1" si="11"/>
        <v>7.8895899053627705E-2</v>
      </c>
      <c r="AB76" s="9" cm="1">
        <f t="array" aca="1" ref="AB76" ca="1">_xll.FDS($E$9,"P_PRICE("&amp;AG76&amp;",0,D,D)")</f>
        <v>6840.2</v>
      </c>
      <c r="AC76" s="9" cm="1">
        <f t="array" aca="1" ref="AC76" ca="1">_xll.FDS($E$9,"P_PRICE("&amp;AH76&amp;",0,D,D)")</f>
        <v>6791.69</v>
      </c>
      <c r="AD76" s="9" cm="1">
        <f t="array" aca="1" ref="AD76" ca="1">_xll.FDS($E$9,"P_PRICE("&amp;AI76&amp;",0,D,D)")</f>
        <v>6664.01</v>
      </c>
      <c r="AE76" s="9" cm="1">
        <f t="array" aca="1" ref="AE76" ca="1">_xll.FDS($E$9,"P_PRICE("&amp;AJ76&amp;",0,D,D)")</f>
        <v>6715.79</v>
      </c>
      <c r="AF76" s="9" cm="1">
        <f t="array" aca="1" ref="AF76" ca="1">_xll.FDS($E$9,"P_PRICE("&amp;AK76&amp;",0,D,D)")</f>
        <v>6340</v>
      </c>
      <c r="AG76" s="20">
        <f t="shared" ca="1" si="17"/>
        <v>45961</v>
      </c>
      <c r="AH76" s="22">
        <f t="shared" ca="1" si="12"/>
        <v>45954</v>
      </c>
      <c r="AI76" s="22">
        <f t="shared" ca="1" si="13"/>
        <v>45947</v>
      </c>
      <c r="AJ76" s="22">
        <f t="shared" ca="1" si="14"/>
        <v>45933</v>
      </c>
      <c r="AK76" s="22">
        <f t="shared" ca="1" si="15"/>
        <v>45876</v>
      </c>
      <c r="AL76" s="22">
        <f t="shared" ca="1" si="16"/>
        <v>45790</v>
      </c>
    </row>
    <row r="77" spans="4:40" x14ac:dyDescent="0.25">
      <c r="D77" s="6">
        <f ca="1"/>
        <v>45960</v>
      </c>
      <c r="E77" s="28" cm="1">
        <f t="array" aca="1" ref="E77" ca="1">_xll.FDS($E$7,"P_PRICE("&amp;D77&amp;",0,D,D)")</f>
        <v>117.23</v>
      </c>
      <c r="F77" s="29" cm="1">
        <f t="array" aca="1" ref="F77" ca="1">_xll.FDS($E$7,"P_BETA_LOCIDX("&amp;$AG77&amp;","&amp;$AL77&amp;",,"""&amp;$E$9&amp;""")")</f>
        <v>1.1577036000000001</v>
      </c>
      <c r="G77" s="30">
        <f t="shared" ca="1" si="2"/>
        <v>-1.9844223855574918E-2</v>
      </c>
      <c r="H77" s="30">
        <f t="shared" ca="1" si="2"/>
        <v>-3.1272850652539833E-2</v>
      </c>
      <c r="I77" s="30">
        <f t="shared" ca="1" si="2"/>
        <v>-5.0721418342045688E-2</v>
      </c>
      <c r="J77" s="30">
        <f t="shared" ca="1" si="2"/>
        <v>0.1140437474924009</v>
      </c>
      <c r="K77" s="30">
        <f t="shared" ca="1" si="3"/>
        <v>1.4414513157348074E-2</v>
      </c>
      <c r="L77" s="30">
        <f t="shared" ca="1" si="3"/>
        <v>3.3752754876928429E-2</v>
      </c>
      <c r="M77" s="30">
        <f t="shared" ca="1" si="3"/>
        <v>1.8444713702785335E-2</v>
      </c>
      <c r="N77" s="30">
        <f t="shared" ca="1" si="3"/>
        <v>8.7083301687927189E-2</v>
      </c>
      <c r="O77" s="30">
        <f t="shared" ca="1" si="4"/>
        <v>-5.4297106982268417E-3</v>
      </c>
      <c r="P77" s="30">
        <f t="shared" ca="1" si="5"/>
        <v>2.479904224388596E-3</v>
      </c>
      <c r="Q77" s="30">
        <f t="shared" ca="1" si="6"/>
        <v>-3.2276704639260356E-2</v>
      </c>
      <c r="R77" s="30">
        <f t="shared" ca="1" si="7"/>
        <v>0.20112704918032809</v>
      </c>
      <c r="S77" s="9" cm="1">
        <f t="array" aca="1" ref="S77" ca="1">_xll.FDS($E$7,"P_PRICE("&amp;AG77&amp;",0,D,D)")</f>
        <v>117.23</v>
      </c>
      <c r="T77" s="9" cm="1">
        <f t="array" aca="1" ref="T77" ca="1">_xll.FDS($E$7,"P_PRICE("&amp;AH77&amp;",0,D,D)")</f>
        <v>117.87</v>
      </c>
      <c r="U77" s="9" cm="1">
        <f t="array" aca="1" ref="U77" ca="1">_xll.FDS($E$7,"P_PRICE("&amp;AI77&amp;",0,D,D)")</f>
        <v>116.94</v>
      </c>
      <c r="V77" s="9" cm="1">
        <f t="array" aca="1" ref="V77" ca="1">_xll.FDS($E$7,"P_PRICE("&amp;AJ77&amp;",0,D,D)")</f>
        <v>121.14</v>
      </c>
      <c r="W77" s="9" cm="1">
        <f t="array" aca="1" ref="W77" ca="1">_xll.FDS($E$7,"P_PRICE("&amp;AK77&amp;",0,D,D)")</f>
        <v>97.6</v>
      </c>
      <c r="X77" s="24">
        <f t="shared" ca="1" si="8"/>
        <v>1.2450953039575996E-2</v>
      </c>
      <c r="Y77" s="24">
        <f t="shared" ca="1" si="9"/>
        <v>2.9154919166640259E-2</v>
      </c>
      <c r="Z77" s="24">
        <f t="shared" ca="1" si="10"/>
        <v>1.5932155434936313E-2</v>
      </c>
      <c r="AA77" s="24">
        <f t="shared" ca="1" si="11"/>
        <v>7.5220722893085235E-2</v>
      </c>
      <c r="AB77" s="9" cm="1">
        <f t="array" aca="1" ref="AB77" ca="1">_xll.FDS($E$9,"P_PRICE("&amp;AG77&amp;",0,D,D)")</f>
        <v>6822.34</v>
      </c>
      <c r="AC77" s="9" cm="1">
        <f t="array" aca="1" ref="AC77" ca="1">_xll.FDS($E$9,"P_PRICE("&amp;AH77&amp;",0,D,D)")</f>
        <v>6738.44</v>
      </c>
      <c r="AD77" s="9" cm="1">
        <f t="array" aca="1" ref="AD77" ca="1">_xll.FDS($E$9,"P_PRICE("&amp;AI77&amp;",0,D,D)")</f>
        <v>6629.07</v>
      </c>
      <c r="AE77" s="9" cm="1">
        <f t="array" aca="1" ref="AE77" ca="1">_xll.FDS($E$9,"P_PRICE("&amp;AJ77&amp;",0,D,D)")</f>
        <v>6715.35</v>
      </c>
      <c r="AF77" s="9" cm="1">
        <f t="array" aca="1" ref="AF77" ca="1">_xll.FDS($E$9,"P_PRICE("&amp;AK77&amp;",0,D,D)")</f>
        <v>6345.06</v>
      </c>
      <c r="AG77" s="20">
        <f t="shared" ca="1" si="17"/>
        <v>45960</v>
      </c>
      <c r="AH77" s="22">
        <f t="shared" ca="1" si="12"/>
        <v>45953</v>
      </c>
      <c r="AI77" s="22">
        <f t="shared" ca="1" si="13"/>
        <v>45946</v>
      </c>
      <c r="AJ77" s="22">
        <f t="shared" ca="1" si="14"/>
        <v>45932</v>
      </c>
      <c r="AK77" s="22">
        <f t="shared" ca="1" si="15"/>
        <v>45875</v>
      </c>
      <c r="AL77" s="22">
        <f t="shared" ca="1" si="16"/>
        <v>45789</v>
      </c>
    </row>
    <row r="78" spans="4:40" x14ac:dyDescent="0.25">
      <c r="D78" s="6">
        <f ca="1"/>
        <v>45959</v>
      </c>
      <c r="E78" s="28" cm="1">
        <f t="array" aca="1" ref="E78" ca="1">_xll.FDS($E$7,"P_PRICE("&amp;D78&amp;",0,D,D)")</f>
        <v>118.48</v>
      </c>
      <c r="F78" s="29" cm="1">
        <f t="array" aca="1" ref="F78" ca="1">_xll.FDS($E$7,"P_BETA_LOCIDX("&amp;$AG78&amp;","&amp;$AL78&amp;",,"""&amp;$E$9&amp;""")")</f>
        <v>1.1562663</v>
      </c>
      <c r="G78" s="30">
        <f t="shared" ca="1" si="2"/>
        <v>-2.0175258349946608E-2</v>
      </c>
      <c r="H78" s="30">
        <f t="shared" ca="1" si="2"/>
        <v>-3.8893508578279293E-2</v>
      </c>
      <c r="I78" s="30">
        <f t="shared" ca="1" si="2"/>
        <v>-4.2337888779183458E-2</v>
      </c>
      <c r="J78" s="30">
        <f t="shared" ca="1" si="2"/>
        <v>0.10104057107289867</v>
      </c>
      <c r="K78" s="30">
        <f t="shared" ca="1" si="3"/>
        <v>3.2997963085798838E-2</v>
      </c>
      <c r="L78" s="30">
        <f t="shared" ca="1" si="3"/>
        <v>3.8050196046655119E-2</v>
      </c>
      <c r="M78" s="30">
        <f t="shared" ca="1" si="3"/>
        <v>3.0906933418315772E-2</v>
      </c>
      <c r="N78" s="30">
        <f t="shared" ca="1" si="3"/>
        <v>0.10855616195415606</v>
      </c>
      <c r="O78" s="30">
        <f t="shared" ca="1" si="4"/>
        <v>1.2822704735852231E-2</v>
      </c>
      <c r="P78" s="30">
        <f t="shared" ca="1" si="5"/>
        <v>-8.4331253162417408E-4</v>
      </c>
      <c r="Q78" s="30">
        <f t="shared" ca="1" si="6"/>
        <v>-1.1430955360867689E-2</v>
      </c>
      <c r="R78" s="30">
        <f t="shared" ca="1" si="7"/>
        <v>0.20959673302705473</v>
      </c>
      <c r="S78" s="9" cm="1">
        <f t="array" aca="1" ref="S78" ca="1">_xll.FDS($E$7,"P_PRICE("&amp;AG78&amp;",0,D,D)")</f>
        <v>118.48</v>
      </c>
      <c r="T78" s="9" cm="1">
        <f t="array" aca="1" ref="T78" ca="1">_xll.FDS($E$7,"P_PRICE("&amp;AH78&amp;",0,D,D)")</f>
        <v>116.98</v>
      </c>
      <c r="U78" s="9" cm="1">
        <f t="array" aca="1" ref="U78" ca="1">_xll.FDS($E$7,"P_PRICE("&amp;AI78&amp;",0,D,D)")</f>
        <v>118.58</v>
      </c>
      <c r="V78" s="9" cm="1">
        <f t="array" aca="1" ref="V78" ca="1">_xll.FDS($E$7,"P_PRICE("&amp;AJ78&amp;",0,D,D)")</f>
        <v>119.85</v>
      </c>
      <c r="W78" s="9" cm="1">
        <f t="array" aca="1" ref="W78" ca="1">_xll.FDS($E$7,"P_PRICE("&amp;AK78&amp;",0,D,D)")</f>
        <v>97.95</v>
      </c>
      <c r="X78" s="24">
        <f t="shared" ca="1" si="8"/>
        <v>2.8538376571036306E-2</v>
      </c>
      <c r="Y78" s="24">
        <f t="shared" ca="1" si="9"/>
        <v>3.2907813750738146E-2</v>
      </c>
      <c r="Z78" s="24">
        <f t="shared" ca="1" si="10"/>
        <v>2.6729943974252102E-2</v>
      </c>
      <c r="AA78" s="24">
        <f t="shared" ca="1" si="11"/>
        <v>9.3885086812748986E-2</v>
      </c>
      <c r="AB78" s="9" cm="1">
        <f t="array" aca="1" ref="AB78" ca="1">_xll.FDS($E$9,"P_PRICE("&amp;AG78&amp;",0,D,D)")</f>
        <v>6890.59</v>
      </c>
      <c r="AC78" s="9" cm="1">
        <f t="array" aca="1" ref="AC78" ca="1">_xll.FDS($E$9,"P_PRICE("&amp;AH78&amp;",0,D,D)")</f>
        <v>6699.4</v>
      </c>
      <c r="AD78" s="9" cm="1">
        <f t="array" aca="1" ref="AD78" ca="1">_xll.FDS($E$9,"P_PRICE("&amp;AI78&amp;",0,D,D)")</f>
        <v>6671.06</v>
      </c>
      <c r="AE78" s="9" cm="1">
        <f t="array" aca="1" ref="AE78" ca="1">_xll.FDS($E$9,"P_PRICE("&amp;AJ78&amp;",0,D,D)")</f>
        <v>6711.2</v>
      </c>
      <c r="AF78" s="9" cm="1">
        <f t="array" aca="1" ref="AF78" ca="1">_xll.FDS($E$9,"P_PRICE("&amp;AK78&amp;",0,D,D)")</f>
        <v>6299.19</v>
      </c>
      <c r="AG78" s="20">
        <f t="shared" ca="1" si="17"/>
        <v>45959</v>
      </c>
      <c r="AH78" s="22">
        <f t="shared" ca="1" si="12"/>
        <v>45952</v>
      </c>
      <c r="AI78" s="22">
        <f t="shared" ca="1" si="13"/>
        <v>45945</v>
      </c>
      <c r="AJ78" s="22">
        <f t="shared" ca="1" si="14"/>
        <v>45931</v>
      </c>
      <c r="AK78" s="22">
        <f t="shared" ca="1" si="15"/>
        <v>45874</v>
      </c>
      <c r="AL78" s="22">
        <f t="shared" ca="1" si="16"/>
        <v>45786</v>
      </c>
    </row>
    <row r="79" spans="4:40" x14ac:dyDescent="0.25">
      <c r="D79" s="6">
        <f ca="1"/>
        <v>45958</v>
      </c>
      <c r="E79" s="28" cm="1">
        <f t="array" aca="1" ref="E79" ca="1">_xll.FDS($E$7,"P_PRICE("&amp;D79&amp;",0,D,D)")</f>
        <v>119.94</v>
      </c>
      <c r="F79" s="29" cm="1">
        <f t="array" aca="1" ref="F79" ca="1">_xll.FDS($E$7,"P_BETA_LOCIDX("&amp;$AG79&amp;","&amp;$AL79&amp;",,"""&amp;$E$9&amp;""")")</f>
        <v>1.1637114</v>
      </c>
      <c r="G79" s="30">
        <f t="shared" ca="1" si="2"/>
        <v>-1.2581929781571667E-2</v>
      </c>
      <c r="H79" s="30">
        <f t="shared" ca="1" si="2"/>
        <v>-4.4685522725987893E-2</v>
      </c>
      <c r="I79" s="30">
        <f t="shared" ca="1" si="2"/>
        <v>-3.4886768042304568E-2</v>
      </c>
      <c r="J79" s="30">
        <f t="shared" ca="1" si="2"/>
        <v>0.11800982710575311</v>
      </c>
      <c r="K79" s="30">
        <f t="shared" ca="1" si="3"/>
        <v>2.6873684538442723E-2</v>
      </c>
      <c r="L79" s="30">
        <f t="shared" ca="1" si="3"/>
        <v>4.318702122748639E-2</v>
      </c>
      <c r="M79" s="30">
        <f t="shared" ca="1" si="3"/>
        <v>3.5220379385090213E-2</v>
      </c>
      <c r="N79" s="30">
        <f t="shared" ca="1" si="3"/>
        <v>0.103126397695713</v>
      </c>
      <c r="O79" s="30">
        <f t="shared" ca="1" si="4"/>
        <v>1.4291754756871056E-2</v>
      </c>
      <c r="P79" s="30">
        <f t="shared" ca="1" si="5"/>
        <v>-1.4985014985015033E-3</v>
      </c>
      <c r="Q79" s="30">
        <f t="shared" ca="1" si="6"/>
        <v>3.3361134278564464E-4</v>
      </c>
      <c r="R79" s="30">
        <f t="shared" ca="1" si="7"/>
        <v>0.22113622480146611</v>
      </c>
      <c r="S79" s="9" cm="1">
        <f t="array" aca="1" ref="S79" ca="1">_xll.FDS($E$7,"P_PRICE("&amp;AG79&amp;",0,D,D)")</f>
        <v>119.94</v>
      </c>
      <c r="T79" s="9" cm="1">
        <f t="array" aca="1" ref="T79" ca="1">_xll.FDS($E$7,"P_PRICE("&amp;AH79&amp;",0,D,D)")</f>
        <v>118.25</v>
      </c>
      <c r="U79" s="9" cm="1">
        <f t="array" aca="1" ref="U79" ca="1">_xll.FDS($E$7,"P_PRICE("&amp;AI79&amp;",0,D,D)")</f>
        <v>120.12</v>
      </c>
      <c r="V79" s="9" cm="1">
        <f t="array" aca="1" ref="V79" ca="1">_xll.FDS($E$7,"P_PRICE("&amp;AJ79&amp;",0,D,D)")</f>
        <v>119.9</v>
      </c>
      <c r="W79" s="9" cm="1">
        <f t="array" aca="1" ref="W79" ca="1">_xll.FDS($E$7,"P_PRICE("&amp;AK79&amp;",0,D,D)")</f>
        <v>98.22</v>
      </c>
      <c r="X79" s="24">
        <f t="shared" ca="1" si="8"/>
        <v>2.3093083507167433E-2</v>
      </c>
      <c r="Y79" s="24">
        <f t="shared" ca="1" si="9"/>
        <v>3.7111453258502403E-2</v>
      </c>
      <c r="Z79" s="24">
        <f t="shared" ca="1" si="10"/>
        <v>3.026556187822016E-2</v>
      </c>
      <c r="AA79" s="24">
        <f t="shared" ca="1" si="11"/>
        <v>8.8618533509006614E-2</v>
      </c>
      <c r="AB79" s="9" cm="1">
        <f t="array" aca="1" ref="AB79" ca="1">_xll.FDS($E$9,"P_PRICE("&amp;AG79&amp;",0,D,D)")</f>
        <v>6890.89</v>
      </c>
      <c r="AC79" s="9" cm="1">
        <f t="array" aca="1" ref="AC79" ca="1">_xll.FDS($E$9,"P_PRICE("&amp;AH79&amp;",0,D,D)")</f>
        <v>6735.35</v>
      </c>
      <c r="AD79" s="9" cm="1">
        <f t="array" aca="1" ref="AD79" ca="1">_xll.FDS($E$9,"P_PRICE("&amp;AI79&amp;",0,D,D)")</f>
        <v>6644.31</v>
      </c>
      <c r="AE79" s="9" cm="1">
        <f t="array" aca="1" ref="AE79" ca="1">_xll.FDS($E$9,"P_PRICE("&amp;AJ79&amp;",0,D,D)")</f>
        <v>6688.46</v>
      </c>
      <c r="AF79" s="9" cm="1">
        <f t="array" aca="1" ref="AF79" ca="1">_xll.FDS($E$9,"P_PRICE("&amp;AK79&amp;",0,D,D)")</f>
        <v>6329.94</v>
      </c>
      <c r="AG79" s="20">
        <f t="shared" ca="1" si="17"/>
        <v>45958</v>
      </c>
      <c r="AH79" s="22">
        <f t="shared" ca="1" si="12"/>
        <v>45951</v>
      </c>
      <c r="AI79" s="22">
        <f t="shared" ca="1" si="13"/>
        <v>45944</v>
      </c>
      <c r="AJ79" s="22">
        <f t="shared" ca="1" si="14"/>
        <v>45930</v>
      </c>
      <c r="AK79" s="22">
        <f t="shared" ca="1" si="15"/>
        <v>45873</v>
      </c>
      <c r="AL79" s="22">
        <f t="shared" ca="1" si="16"/>
        <v>45785</v>
      </c>
    </row>
    <row r="80" spans="4:40" x14ac:dyDescent="0.25">
      <c r="D80" s="6">
        <f ca="1"/>
        <v>45957</v>
      </c>
      <c r="E80" s="28" cm="1">
        <f t="array" aca="1" ref="E80" ca="1">_xll.FDS($E$7,"P_PRICE("&amp;D80&amp;",0,D,D)")</f>
        <v>120.95</v>
      </c>
      <c r="F80" s="29" cm="1">
        <f t="array" aca="1" ref="F80" ca="1">_xll.FDS($E$7,"P_BETA_LOCIDX("&amp;$AG80&amp;","&amp;$AL80&amp;",,"""&amp;$E$9&amp;""")")</f>
        <v>1.1525650000000001</v>
      </c>
      <c r="G80" s="30">
        <f t="shared" ca="1" si="2"/>
        <v>6.0123405518014914E-3</v>
      </c>
      <c r="H80" s="30">
        <f t="shared" ca="1" si="2"/>
        <v>-9.1677309189367451E-3</v>
      </c>
      <c r="I80" s="30">
        <f t="shared" ca="1" si="2"/>
        <v>1.8483233017368365E-2</v>
      </c>
      <c r="J80" s="30">
        <f t="shared" ca="1" si="2"/>
        <v>0.15222667498670084</v>
      </c>
      <c r="K80" s="30">
        <f t="shared" ca="1" si="3"/>
        <v>2.3962963884884232E-2</v>
      </c>
      <c r="L80" s="30">
        <f t="shared" ca="1" si="3"/>
        <v>3.8179131293277435E-2</v>
      </c>
      <c r="M80" s="30">
        <f t="shared" ca="1" si="3"/>
        <v>3.7018992307703731E-2</v>
      </c>
      <c r="N80" s="30">
        <f t="shared" ca="1" si="3"/>
        <v>0.11772292602127922</v>
      </c>
      <c r="O80" s="30">
        <f t="shared" ca="1" si="4"/>
        <v>2.9975304436685724E-2</v>
      </c>
      <c r="P80" s="30">
        <f t="shared" ca="1" si="5"/>
        <v>2.901140037434069E-2</v>
      </c>
      <c r="Q80" s="30">
        <f t="shared" ca="1" si="6"/>
        <v>5.5502225325072096E-2</v>
      </c>
      <c r="R80" s="30">
        <f t="shared" ca="1" si="7"/>
        <v>0.26994960100798004</v>
      </c>
      <c r="S80" s="9" cm="1">
        <f t="array" aca="1" ref="S80" ca="1">_xll.FDS($E$7,"P_PRICE("&amp;AG80&amp;",0,D,D)")</f>
        <v>120.95</v>
      </c>
      <c r="T80" s="9" cm="1">
        <f t="array" aca="1" ref="T80" ca="1">_xll.FDS($E$7,"P_PRICE("&amp;AH80&amp;",0,D,D)")</f>
        <v>117.43</v>
      </c>
      <c r="U80" s="9" cm="1">
        <f t="array" aca="1" ref="U80" ca="1">_xll.FDS($E$7,"P_PRICE("&amp;AI80&amp;",0,D,D)")</f>
        <v>117.54</v>
      </c>
      <c r="V80" s="9" cm="1">
        <f t="array" aca="1" ref="V80" ca="1">_xll.FDS($E$7,"P_PRICE("&amp;AJ80&amp;",0,D,D)")</f>
        <v>114.59</v>
      </c>
      <c r="W80" s="9" cm="1">
        <f t="array" aca="1" ref="W80" ca="1">_xll.FDS($E$7,"P_PRICE("&amp;AK80&amp;",0,D,D)")</f>
        <v>95.24</v>
      </c>
      <c r="X80" s="24">
        <f t="shared" ca="1" si="8"/>
        <v>2.0790986959420277E-2</v>
      </c>
      <c r="Y80" s="24">
        <f t="shared" ca="1" si="9"/>
        <v>3.3125360646278024E-2</v>
      </c>
      <c r="Z80" s="24">
        <f t="shared" ca="1" si="10"/>
        <v>3.2118789228983813E-2</v>
      </c>
      <c r="AA80" s="24">
        <f t="shared" ca="1" si="11"/>
        <v>0.10213994527100789</v>
      </c>
      <c r="AB80" s="9" cm="1">
        <f t="array" aca="1" ref="AB80" ca="1">_xll.FDS($E$9,"P_PRICE("&amp;AG80&amp;",0,D,D)")</f>
        <v>6875.16</v>
      </c>
      <c r="AC80" s="9" cm="1">
        <f t="array" aca="1" ref="AC80" ca="1">_xll.FDS($E$9,"P_PRICE("&amp;AH80&amp;",0,D,D)")</f>
        <v>6735.13</v>
      </c>
      <c r="AD80" s="9" cm="1">
        <f t="array" aca="1" ref="AD80" ca="1">_xll.FDS($E$9,"P_PRICE("&amp;AI80&amp;",0,D,D)")</f>
        <v>6654.72</v>
      </c>
      <c r="AE80" s="9" cm="1">
        <f t="array" aca="1" ref="AE80" ca="1">_xll.FDS($E$9,"P_PRICE("&amp;AJ80&amp;",0,D,D)")</f>
        <v>6661.21</v>
      </c>
      <c r="AF80" s="9" cm="1">
        <f t="array" aca="1" ref="AF80" ca="1">_xll.FDS($E$9,"P_PRICE("&amp;AK80&amp;",0,D,D)")</f>
        <v>6238.01</v>
      </c>
      <c r="AG80" s="20">
        <f t="shared" ca="1" si="17"/>
        <v>45957</v>
      </c>
      <c r="AH80" s="22">
        <f t="shared" ca="1" si="12"/>
        <v>45950</v>
      </c>
      <c r="AI80" s="22">
        <f t="shared" ca="1" si="13"/>
        <v>45943</v>
      </c>
      <c r="AJ80" s="22">
        <f t="shared" ca="1" si="14"/>
        <v>45929</v>
      </c>
      <c r="AK80" s="22">
        <f t="shared" ca="1" si="15"/>
        <v>45870</v>
      </c>
      <c r="AL80" s="22">
        <f t="shared" ca="1" si="16"/>
        <v>45784</v>
      </c>
    </row>
    <row r="81" spans="4:38" x14ac:dyDescent="0.25">
      <c r="D81" s="6">
        <f ca="1"/>
        <v>45954</v>
      </c>
      <c r="E81" s="28" cm="1">
        <f t="array" aca="1" ref="E81" ca="1">_xll.FDS($E$7,"P_PRICE("&amp;D81&amp;",0,D,D)")</f>
        <v>120.17</v>
      </c>
      <c r="F81" s="29" cm="1">
        <f t="array" aca="1" ref="F81" ca="1">_xll.FDS($E$7,"P_BETA_LOCIDX("&amp;$AG81&amp;","&amp;$AL81&amp;",,"""&amp;$E$9&amp;""")")</f>
        <v>1.2208827</v>
      </c>
      <c r="G81" s="30">
        <f t="shared" ca="1" si="2"/>
        <v>-3.1998307219495425E-4</v>
      </c>
      <c r="H81" s="30">
        <f t="shared" ca="1" si="2"/>
        <v>-8.884285006434102E-3</v>
      </c>
      <c r="I81" s="30">
        <f t="shared" ca="1" si="2"/>
        <v>2.9987620858784782E-2</v>
      </c>
      <c r="J81" s="30">
        <f t="shared" ca="1" si="2"/>
        <v>0.17187676105576552</v>
      </c>
      <c r="K81" s="30">
        <f t="shared" ca="1" si="3"/>
        <v>2.3391667049719192E-2</v>
      </c>
      <c r="L81" s="30">
        <f t="shared" ca="1" si="3"/>
        <v>4.4564712482086911E-2</v>
      </c>
      <c r="M81" s="30">
        <f t="shared" ca="1" si="3"/>
        <v>2.7195452951367414E-2</v>
      </c>
      <c r="N81" s="30">
        <f t="shared" ca="1" si="3"/>
        <v>8.710700007571695E-2</v>
      </c>
      <c r="O81" s="30">
        <f t="shared" ca="1" si="4"/>
        <v>2.3071683977524238E-2</v>
      </c>
      <c r="P81" s="30">
        <f t="shared" ca="1" si="5"/>
        <v>3.5680427475652809E-2</v>
      </c>
      <c r="Q81" s="30">
        <f t="shared" ca="1" si="6"/>
        <v>5.7183073810152196E-2</v>
      </c>
      <c r="R81" s="30">
        <f t="shared" ca="1" si="7"/>
        <v>0.25898376113148247</v>
      </c>
      <c r="S81" s="9" cm="1">
        <f t="array" aca="1" ref="S81" ca="1">_xll.FDS($E$7,"P_PRICE("&amp;AG81&amp;",0,D,D)")</f>
        <v>120.17</v>
      </c>
      <c r="T81" s="9" cm="1">
        <f t="array" aca="1" ref="T81" ca="1">_xll.FDS($E$7,"P_PRICE("&amp;AH81&amp;",0,D,D)")</f>
        <v>117.46</v>
      </c>
      <c r="U81" s="9" cm="1">
        <f t="array" aca="1" ref="U81" ca="1">_xll.FDS($E$7,"P_PRICE("&amp;AI81&amp;",0,D,D)")</f>
        <v>116.03</v>
      </c>
      <c r="V81" s="9" cm="1">
        <f t="array" aca="1" ref="V81" ca="1">_xll.FDS($E$7,"P_PRICE("&amp;AJ81&amp;",0,D,D)")</f>
        <v>113.67</v>
      </c>
      <c r="W81" s="9" cm="1">
        <f t="array" aca="1" ref="W81" ca="1">_xll.FDS($E$7,"P_PRICE("&amp;AK81&amp;",0,D,D)")</f>
        <v>95.45</v>
      </c>
      <c r="X81" s="24">
        <f t="shared" ca="1" si="8"/>
        <v>1.9159635114593065E-2</v>
      </c>
      <c r="Y81" s="24">
        <f t="shared" ca="1" si="9"/>
        <v>3.6502042728664197E-2</v>
      </c>
      <c r="Z81" s="24">
        <f t="shared" ca="1" si="10"/>
        <v>2.2275238195583746E-2</v>
      </c>
      <c r="AA81" s="24">
        <f t="shared" ca="1" si="11"/>
        <v>7.1347558676781109E-2</v>
      </c>
      <c r="AB81" s="9" cm="1">
        <f t="array" aca="1" ref="AB81" ca="1">_xll.FDS($E$9,"P_PRICE("&amp;AG81&amp;",0,D,D)")</f>
        <v>6791.69</v>
      </c>
      <c r="AC81" s="9" cm="1">
        <f t="array" aca="1" ref="AC81" ca="1">_xll.FDS($E$9,"P_PRICE("&amp;AH81&amp;",0,D,D)")</f>
        <v>6664.01</v>
      </c>
      <c r="AD81" s="9" cm="1">
        <f t="array" aca="1" ref="AD81" ca="1">_xll.FDS($E$9,"P_PRICE("&amp;AI81&amp;",0,D,D)")</f>
        <v>6552.51</v>
      </c>
      <c r="AE81" s="9" cm="1">
        <f t="array" aca="1" ref="AE81" ca="1">_xll.FDS($E$9,"P_PRICE("&amp;AJ81&amp;",0,D,D)")</f>
        <v>6643.7</v>
      </c>
      <c r="AF81" s="9" cm="1">
        <f t="array" aca="1" ref="AF81" ca="1">_xll.FDS($E$9,"P_PRICE("&amp;AK81&amp;",0,D,D)")</f>
        <v>6339.39</v>
      </c>
      <c r="AG81" s="20">
        <f t="shared" ca="1" si="17"/>
        <v>45954</v>
      </c>
      <c r="AH81" s="22">
        <f t="shared" ca="1" si="12"/>
        <v>45947</v>
      </c>
      <c r="AI81" s="22">
        <f t="shared" ca="1" si="13"/>
        <v>45940</v>
      </c>
      <c r="AJ81" s="22">
        <f t="shared" ca="1" si="14"/>
        <v>45926</v>
      </c>
      <c r="AK81" s="22">
        <f t="shared" ca="1" si="15"/>
        <v>45869</v>
      </c>
      <c r="AL81" s="22">
        <f t="shared" ca="1" si="16"/>
        <v>45783</v>
      </c>
    </row>
    <row r="82" spans="4:38" x14ac:dyDescent="0.25">
      <c r="D82" s="6">
        <f ca="1"/>
        <v>45953</v>
      </c>
      <c r="E82" s="28" cm="1">
        <f t="array" aca="1" ref="E82" ca="1">_xll.FDS($E$7,"P_PRICE("&amp;D82&amp;",0,D,D)")</f>
        <v>117.87</v>
      </c>
      <c r="F82" s="29" cm="1">
        <f t="array" aca="1" ref="F82" ca="1">_xll.FDS($E$7,"P_BETA_LOCIDX("&amp;$AG82&amp;","&amp;$AL82&amp;",,"""&amp;$E$9&amp;""")")</f>
        <v>1.2034507000000001</v>
      </c>
      <c r="G82" s="30">
        <f t="shared" ca="1" si="2"/>
        <v>-1.1902387461910028E-2</v>
      </c>
      <c r="H82" s="30">
        <f t="shared" ca="1" si="2"/>
        <v>1.6156814652199068E-3</v>
      </c>
      <c r="I82" s="30">
        <f t="shared" ca="1" si="2"/>
        <v>3.0116802525016594E-2</v>
      </c>
      <c r="J82" s="30">
        <f t="shared" ca="1" si="2"/>
        <v>0.1501697083628627</v>
      </c>
      <c r="K82" s="30">
        <f t="shared" ca="1" si="3"/>
        <v>1.9855183767707955E-2</v>
      </c>
      <c r="L82" s="30">
        <f t="shared" ca="1" si="3"/>
        <v>5.9501490413653966E-4</v>
      </c>
      <c r="M82" s="30">
        <f t="shared" ca="1" si="3"/>
        <v>2.4365215725117618E-2</v>
      </c>
      <c r="N82" s="30">
        <f t="shared" ca="1" si="3"/>
        <v>7.1027970874601207E-2</v>
      </c>
      <c r="O82" s="30">
        <f t="shared" ca="1" si="4"/>
        <v>7.9527963057979267E-3</v>
      </c>
      <c r="P82" s="30">
        <f t="shared" ca="1" si="5"/>
        <v>2.2106963693564463E-3</v>
      </c>
      <c r="Q82" s="30">
        <f t="shared" ca="1" si="6"/>
        <v>5.4482018250134212E-2</v>
      </c>
      <c r="R82" s="30">
        <f t="shared" ca="1" si="7"/>
        <v>0.22119767923746392</v>
      </c>
      <c r="S82" s="9" cm="1">
        <f t="array" aca="1" ref="S82" ca="1">_xll.FDS($E$7,"P_PRICE("&amp;AG82&amp;",0,D,D)")</f>
        <v>117.87</v>
      </c>
      <c r="T82" s="9" cm="1">
        <f t="array" aca="1" ref="T82" ca="1">_xll.FDS($E$7,"P_PRICE("&amp;AH82&amp;",0,D,D)")</f>
        <v>116.94</v>
      </c>
      <c r="U82" s="9" cm="1">
        <f t="array" aca="1" ref="U82" ca="1">_xll.FDS($E$7,"P_PRICE("&amp;AI82&amp;",0,D,D)")</f>
        <v>117.61</v>
      </c>
      <c r="V82" s="9" cm="1">
        <f t="array" aca="1" ref="V82" ca="1">_xll.FDS($E$7,"P_PRICE("&amp;AJ82&amp;",0,D,D)")</f>
        <v>111.78</v>
      </c>
      <c r="W82" s="9" cm="1">
        <f t="array" aca="1" ref="W82" ca="1">_xll.FDS($E$7,"P_PRICE("&amp;AK82&amp;",0,D,D)")</f>
        <v>96.52</v>
      </c>
      <c r="X82" s="24">
        <f t="shared" ca="1" si="8"/>
        <v>1.6498543536272781E-2</v>
      </c>
      <c r="Y82" s="24">
        <f t="shared" ca="1" si="9"/>
        <v>4.9442399604449072E-4</v>
      </c>
      <c r="Z82" s="24">
        <f t="shared" ca="1" si="10"/>
        <v>2.024612701219719E-2</v>
      </c>
      <c r="AA82" s="24">
        <f t="shared" ca="1" si="11"/>
        <v>5.9020258058432473E-2</v>
      </c>
      <c r="AB82" s="9" cm="1">
        <f t="array" aca="1" ref="AB82" ca="1">_xll.FDS($E$9,"P_PRICE("&amp;AG82&amp;",0,D,D)")</f>
        <v>6738.44</v>
      </c>
      <c r="AC82" s="9" cm="1">
        <f t="array" aca="1" ref="AC82" ca="1">_xll.FDS($E$9,"P_PRICE("&amp;AH82&amp;",0,D,D)")</f>
        <v>6629.07</v>
      </c>
      <c r="AD82" s="9" cm="1">
        <f t="array" aca="1" ref="AD82" ca="1">_xll.FDS($E$9,"P_PRICE("&amp;AI82&amp;",0,D,D)")</f>
        <v>6735.11</v>
      </c>
      <c r="AE82" s="9" cm="1">
        <f t="array" aca="1" ref="AE82" ca="1">_xll.FDS($E$9,"P_PRICE("&amp;AJ82&amp;",0,D,D)")</f>
        <v>6604.72</v>
      </c>
      <c r="AF82" s="9" cm="1">
        <f t="array" aca="1" ref="AF82" ca="1">_xll.FDS($E$9,"P_PRICE("&amp;AK82&amp;",0,D,D)")</f>
        <v>6362.9</v>
      </c>
      <c r="AG82" s="20">
        <f t="shared" ca="1" si="17"/>
        <v>45953</v>
      </c>
      <c r="AH82" s="22">
        <f t="shared" ca="1" si="12"/>
        <v>45946</v>
      </c>
      <c r="AI82" s="22">
        <f t="shared" ca="1" si="13"/>
        <v>45939</v>
      </c>
      <c r="AJ82" s="22">
        <f t="shared" ca="1" si="14"/>
        <v>45925</v>
      </c>
      <c r="AK82" s="22">
        <f t="shared" ca="1" si="15"/>
        <v>45868</v>
      </c>
      <c r="AL82" s="22">
        <f t="shared" ca="1" si="16"/>
        <v>45782</v>
      </c>
    </row>
    <row r="83" spans="4:38" x14ac:dyDescent="0.25">
      <c r="D83" s="6">
        <f ca="1"/>
        <v>45952</v>
      </c>
      <c r="E83" s="28" cm="1">
        <f t="array" aca="1" ref="E83" ca="1">_xll.FDS($E$7,"P_PRICE("&amp;D83&amp;",0,D,D)")</f>
        <v>116.98</v>
      </c>
      <c r="F83" s="29" cm="1">
        <f t="array" aca="1" ref="F83" ca="1">_xll.FDS($E$7,"P_BETA_LOCIDX("&amp;$AG83&amp;","&amp;$AL83&amp;",,"""&amp;$E$9&amp;""")")</f>
        <v>1.2147790999999999</v>
      </c>
      <c r="G83" s="30">
        <f t="shared" ca="1" si="2"/>
        <v>-1.8653625608144923E-2</v>
      </c>
      <c r="H83" s="30">
        <f t="shared" ca="1" si="2"/>
        <v>2.3881721390559951E-3</v>
      </c>
      <c r="I83" s="30">
        <f t="shared" ca="1" si="2"/>
        <v>2.7656783570629853E-2</v>
      </c>
      <c r="J83" s="30">
        <f t="shared" ca="1" si="2"/>
        <v>0.14035772238101879</v>
      </c>
      <c r="K83" s="30">
        <f t="shared" ca="1" si="3"/>
        <v>5.1606251021574711E-3</v>
      </c>
      <c r="L83" s="30">
        <f t="shared" ca="1" si="3"/>
        <v>-9.7704377309099488E-3</v>
      </c>
      <c r="M83" s="30">
        <f t="shared" ca="1" si="3"/>
        <v>1.1241973090116304E-2</v>
      </c>
      <c r="N83" s="30">
        <f t="shared" ca="1" si="3"/>
        <v>6.264515709244893E-2</v>
      </c>
      <c r="O83" s="30">
        <f t="shared" ca="1" si="4"/>
        <v>-1.3493000505987451E-2</v>
      </c>
      <c r="P83" s="30">
        <f t="shared" ca="1" si="5"/>
        <v>-7.3822655918539537E-3</v>
      </c>
      <c r="Q83" s="30">
        <f t="shared" ca="1" si="6"/>
        <v>3.8898756660746159E-2</v>
      </c>
      <c r="R83" s="30">
        <f t="shared" ca="1" si="7"/>
        <v>0.20300287947346773</v>
      </c>
      <c r="S83" s="9" cm="1">
        <f t="array" aca="1" ref="S83" ca="1">_xll.FDS($E$7,"P_PRICE("&amp;AG83&amp;",0,D,D)")</f>
        <v>116.98</v>
      </c>
      <c r="T83" s="9" cm="1">
        <f t="array" aca="1" ref="T83" ca="1">_xll.FDS($E$7,"P_PRICE("&amp;AH83&amp;",0,D,D)")</f>
        <v>118.58</v>
      </c>
      <c r="U83" s="9" cm="1">
        <f t="array" aca="1" ref="U83" ca="1">_xll.FDS($E$7,"P_PRICE("&amp;AI83&amp;",0,D,D)")</f>
        <v>117.85</v>
      </c>
      <c r="V83" s="9" cm="1">
        <f t="array" aca="1" ref="V83" ca="1">_xll.FDS($E$7,"P_PRICE("&amp;AJ83&amp;",0,D,D)")</f>
        <v>112.6</v>
      </c>
      <c r="W83" s="9" cm="1">
        <f t="array" aca="1" ref="W83" ca="1">_xll.FDS($E$7,"P_PRICE("&amp;AK83&amp;",0,D,D)")</f>
        <v>97.24</v>
      </c>
      <c r="X83" s="24">
        <f t="shared" ca="1" si="8"/>
        <v>4.2482004359125636E-3</v>
      </c>
      <c r="Y83" s="24">
        <f t="shared" ca="1" si="9"/>
        <v>-8.0429748346098062E-3</v>
      </c>
      <c r="Z83" s="24">
        <f t="shared" ca="1" si="10"/>
        <v>9.2543352862395345E-3</v>
      </c>
      <c r="AA83" s="24">
        <f t="shared" ca="1" si="11"/>
        <v>5.1569175904037978E-2</v>
      </c>
      <c r="AB83" s="9" cm="1">
        <f t="array" aca="1" ref="AB83" ca="1">_xll.FDS($E$9,"P_PRICE("&amp;AG83&amp;",0,D,D)")</f>
        <v>6699.4</v>
      </c>
      <c r="AC83" s="9" cm="1">
        <f t="array" aca="1" ref="AC83" ca="1">_xll.FDS($E$9,"P_PRICE("&amp;AH83&amp;",0,D,D)")</f>
        <v>6671.06</v>
      </c>
      <c r="AD83" s="9" cm="1">
        <f t="array" aca="1" ref="AD83" ca="1">_xll.FDS($E$9,"P_PRICE("&amp;AI83&amp;",0,D,D)")</f>
        <v>6753.72</v>
      </c>
      <c r="AE83" s="9" cm="1">
        <f t="array" aca="1" ref="AE83" ca="1">_xll.FDS($E$9,"P_PRICE("&amp;AJ83&amp;",0,D,D)")</f>
        <v>6637.97</v>
      </c>
      <c r="AF83" s="9" cm="1">
        <f t="array" aca="1" ref="AF83" ca="1">_xll.FDS($E$9,"P_PRICE("&amp;AK83&amp;",0,D,D)")</f>
        <v>6370.86</v>
      </c>
      <c r="AG83" s="20">
        <f t="shared" ca="1" si="17"/>
        <v>45952</v>
      </c>
      <c r="AH83" s="22">
        <f t="shared" ca="1" si="12"/>
        <v>45945</v>
      </c>
      <c r="AI83" s="22">
        <f t="shared" ca="1" si="13"/>
        <v>45938</v>
      </c>
      <c r="AJ83" s="22">
        <f t="shared" ca="1" si="14"/>
        <v>45924</v>
      </c>
      <c r="AK83" s="22">
        <f t="shared" ca="1" si="15"/>
        <v>45867</v>
      </c>
      <c r="AL83" s="22">
        <f t="shared" ca="1" si="16"/>
        <v>45779</v>
      </c>
    </row>
    <row r="84" spans="4:38" x14ac:dyDescent="0.25">
      <c r="D84" s="6">
        <f ca="1"/>
        <v>45951</v>
      </c>
      <c r="E84" s="28" cm="1">
        <f t="array" aca="1" ref="E84" ca="1">_xll.FDS($E$7,"P_PRICE("&amp;D84&amp;",0,D,D)")</f>
        <v>118.25</v>
      </c>
      <c r="F84" s="29" cm="1">
        <f t="array" aca="1" ref="F84" ca="1">_xll.FDS($E$7,"P_BETA_LOCIDX("&amp;$AG84&amp;","&amp;$AL84&amp;",,"""&amp;$E$9&amp;""")")</f>
        <v>1.2111358999999999</v>
      </c>
      <c r="G84" s="30">
        <f t="shared" ca="1" si="2"/>
        <v>-3.2162688492192726E-2</v>
      </c>
      <c r="H84" s="30">
        <f t="shared" ca="1" si="2"/>
        <v>1.2672837856665467E-2</v>
      </c>
      <c r="I84" s="30">
        <f t="shared" ca="1" si="2"/>
        <v>2.210233388802272E-2</v>
      </c>
      <c r="J84" s="30">
        <f t="shared" ca="1" si="2"/>
        <v>0.13451804126522801</v>
      </c>
      <c r="K84" s="30">
        <f t="shared" ca="1" si="3"/>
        <v>1.6594922924427106E-2</v>
      </c>
      <c r="L84" s="30">
        <f t="shared" ca="1" si="3"/>
        <v>3.744559427157831E-3</v>
      </c>
      <c r="M84" s="30">
        <f t="shared" ca="1" si="3"/>
        <v>1.4269269968243757E-2</v>
      </c>
      <c r="N84" s="30">
        <f t="shared" ca="1" si="3"/>
        <v>6.5502255061136855E-2</v>
      </c>
      <c r="O84" s="30">
        <f t="shared" ca="1" si="4"/>
        <v>-1.5567765567765623E-2</v>
      </c>
      <c r="P84" s="30">
        <f t="shared" ca="1" si="5"/>
        <v>1.6417397283823298E-2</v>
      </c>
      <c r="Q84" s="30">
        <f t="shared" ca="1" si="6"/>
        <v>3.6371603856266477E-2</v>
      </c>
      <c r="R84" s="30">
        <f t="shared" ca="1" si="7"/>
        <v>0.20002029632636487</v>
      </c>
      <c r="S84" s="9" cm="1">
        <f t="array" aca="1" ref="S84" ca="1">_xll.FDS($E$7,"P_PRICE("&amp;AG84&amp;",0,D,D)")</f>
        <v>118.25</v>
      </c>
      <c r="T84" s="9" cm="1">
        <f t="array" aca="1" ref="T84" ca="1">_xll.FDS($E$7,"P_PRICE("&amp;AH84&amp;",0,D,D)")</f>
        <v>120.12</v>
      </c>
      <c r="U84" s="9" cm="1">
        <f t="array" aca="1" ref="U84" ca="1">_xll.FDS($E$7,"P_PRICE("&amp;AI84&amp;",0,D,D)")</f>
        <v>116.34</v>
      </c>
      <c r="V84" s="9" cm="1">
        <f t="array" aca="1" ref="V84" ca="1">_xll.FDS($E$7,"P_PRICE("&amp;AJ84&amp;",0,D,D)")</f>
        <v>114.1</v>
      </c>
      <c r="W84" s="9" cm="1">
        <f t="array" aca="1" ref="W84" ca="1">_xll.FDS($E$7,"P_PRICE("&amp;AK84&amp;",0,D,D)")</f>
        <v>98.54</v>
      </c>
      <c r="X84" s="24">
        <f t="shared" ca="1" si="8"/>
        <v>1.3701949487606724E-2</v>
      </c>
      <c r="Y84" s="24">
        <f t="shared" ca="1" si="9"/>
        <v>3.0917747770153881E-3</v>
      </c>
      <c r="Z84" s="24">
        <f t="shared" ca="1" si="10"/>
        <v>1.1781724881777311E-2</v>
      </c>
      <c r="AA84" s="24">
        <f t="shared" ca="1" si="11"/>
        <v>5.4083323812907258E-2</v>
      </c>
      <c r="AB84" s="9" cm="1">
        <f t="array" aca="1" ref="AB84" ca="1">_xll.FDS($E$9,"P_PRICE("&amp;AG84&amp;",0,D,D)")</f>
        <v>6735.35</v>
      </c>
      <c r="AC84" s="9" cm="1">
        <f t="array" aca="1" ref="AC84" ca="1">_xll.FDS($E$9,"P_PRICE("&amp;AH84&amp;",0,D,D)")</f>
        <v>6644.31</v>
      </c>
      <c r="AD84" s="9" cm="1">
        <f t="array" aca="1" ref="AD84" ca="1">_xll.FDS($E$9,"P_PRICE("&amp;AI84&amp;",0,D,D)")</f>
        <v>6714.59</v>
      </c>
      <c r="AE84" s="9" cm="1">
        <f t="array" aca="1" ref="AE84" ca="1">_xll.FDS($E$9,"P_PRICE("&amp;AJ84&amp;",0,D,D)")</f>
        <v>6656.92</v>
      </c>
      <c r="AF84" s="9" cm="1">
        <f t="array" aca="1" ref="AF84" ca="1">_xll.FDS($E$9,"P_PRICE("&amp;AK84&amp;",0,D,D)")</f>
        <v>6389.77</v>
      </c>
      <c r="AG84" s="20">
        <f t="shared" ca="1" si="17"/>
        <v>45951</v>
      </c>
      <c r="AH84" s="22">
        <f t="shared" ca="1" si="12"/>
        <v>45944</v>
      </c>
      <c r="AI84" s="22">
        <f t="shared" ca="1" si="13"/>
        <v>45937</v>
      </c>
      <c r="AJ84" s="22">
        <f t="shared" ca="1" si="14"/>
        <v>45923</v>
      </c>
      <c r="AK84" s="22">
        <f t="shared" ca="1" si="15"/>
        <v>45866</v>
      </c>
      <c r="AL84" s="22">
        <f t="shared" ca="1" si="16"/>
        <v>45778</v>
      </c>
    </row>
    <row r="85" spans="4:38" x14ac:dyDescent="0.25">
      <c r="D85" s="6">
        <f ca="1"/>
        <v>45950</v>
      </c>
      <c r="E85" s="28" cm="1">
        <f t="array" aca="1" ref="E85" ca="1">_xll.FDS($E$7,"P_PRICE("&amp;D85&amp;",0,D,D)")</f>
        <v>117.43</v>
      </c>
      <c r="F85" s="29" cm="1">
        <f t="array" aca="1" ref="F85" ca="1">_xll.FDS($E$7,"P_BETA_LOCIDX("&amp;$AG85&amp;","&amp;$AL85&amp;",,"""&amp;$E$9&amp;""")")</f>
        <v>1.2124855999999999</v>
      </c>
      <c r="G85" s="30">
        <f t="shared" ca="1" si="2"/>
        <v>-1.5586500652435822E-2</v>
      </c>
      <c r="H85" s="30">
        <f t="shared" ca="1" si="2"/>
        <v>-5.0834032145269346E-3</v>
      </c>
      <c r="I85" s="30">
        <f t="shared" ca="1" si="2"/>
        <v>1.6127285750013782E-2</v>
      </c>
      <c r="J85" s="30">
        <f t="shared" ca="1" si="2"/>
        <v>0.10783628560226978</v>
      </c>
      <c r="K85" s="30">
        <f t="shared" ca="1" si="3"/>
        <v>1.4650649027457044E-2</v>
      </c>
      <c r="L85" s="30">
        <f t="shared" ca="1" si="3"/>
        <v>-9.2641564445384065E-4</v>
      </c>
      <c r="M85" s="30">
        <f t="shared" ca="1" si="3"/>
        <v>7.4954478622596228E-3</v>
      </c>
      <c r="N85" s="30">
        <f t="shared" ca="1" si="3"/>
        <v>6.5759556892233659E-2</v>
      </c>
      <c r="O85" s="30">
        <f t="shared" ca="1" si="4"/>
        <v>-9.358516249787785E-4</v>
      </c>
      <c r="P85" s="30">
        <f t="shared" ca="1" si="5"/>
        <v>-6.0098188589807755E-3</v>
      </c>
      <c r="Q85" s="30">
        <f t="shared" ca="1" si="6"/>
        <v>2.3622733612273406E-2</v>
      </c>
      <c r="R85" s="30">
        <f t="shared" ca="1" si="7"/>
        <v>0.17359584249450344</v>
      </c>
      <c r="S85" s="9" cm="1">
        <f t="array" aca="1" ref="S85" ca="1">_xll.FDS($E$7,"P_PRICE("&amp;AG85&amp;",0,D,D)")</f>
        <v>117.43</v>
      </c>
      <c r="T85" s="9" cm="1">
        <f t="array" aca="1" ref="T85" ca="1">_xll.FDS($E$7,"P_PRICE("&amp;AH85&amp;",0,D,D)")</f>
        <v>117.54</v>
      </c>
      <c r="U85" s="9" cm="1">
        <f t="array" aca="1" ref="U85" ca="1">_xll.FDS($E$7,"P_PRICE("&amp;AI85&amp;",0,D,D)")</f>
        <v>118.14</v>
      </c>
      <c r="V85" s="9" cm="1">
        <f t="array" aca="1" ref="V85" ca="1">_xll.FDS($E$7,"P_PRICE("&amp;AJ85&amp;",0,D,D)")</f>
        <v>114.72</v>
      </c>
      <c r="W85" s="9" cm="1">
        <f t="array" aca="1" ref="W85" ca="1">_xll.FDS($E$7,"P_PRICE("&amp;AK85&amp;",0,D,D)")</f>
        <v>100.06</v>
      </c>
      <c r="X85" s="24">
        <f t="shared" ca="1" si="8"/>
        <v>1.2083153010194136E-2</v>
      </c>
      <c r="Y85" s="24">
        <f t="shared" ca="1" si="9"/>
        <v>-7.6406321399102861E-4</v>
      </c>
      <c r="Z85" s="24">
        <f t="shared" ca="1" si="10"/>
        <v>6.1818860877684845E-3</v>
      </c>
      <c r="AA85" s="24">
        <f t="shared" ca="1" si="11"/>
        <v>5.4235330211124699E-2</v>
      </c>
      <c r="AB85" s="9" cm="1">
        <f t="array" aca="1" ref="AB85" ca="1">_xll.FDS($E$9,"P_PRICE("&amp;AG85&amp;",0,D,D)")</f>
        <v>6735.13</v>
      </c>
      <c r="AC85" s="9" cm="1">
        <f t="array" aca="1" ref="AC85" ca="1">_xll.FDS($E$9,"P_PRICE("&amp;AH85&amp;",0,D,D)")</f>
        <v>6654.72</v>
      </c>
      <c r="AD85" s="9" cm="1">
        <f t="array" aca="1" ref="AD85" ca="1">_xll.FDS($E$9,"P_PRICE("&amp;AI85&amp;",0,D,D)")</f>
        <v>6740.28</v>
      </c>
      <c r="AE85" s="9" cm="1">
        <f t="array" aca="1" ref="AE85" ca="1">_xll.FDS($E$9,"P_PRICE("&amp;AJ85&amp;",0,D,D)")</f>
        <v>6693.75</v>
      </c>
      <c r="AF85" s="9" cm="1">
        <f t="array" aca="1" ref="AF85" ca="1">_xll.FDS($E$9,"P_PRICE("&amp;AK85&amp;",0,D,D)")</f>
        <v>6388.64</v>
      </c>
      <c r="AG85" s="20">
        <f t="shared" ca="1" si="17"/>
        <v>45950</v>
      </c>
      <c r="AH85" s="22">
        <f t="shared" ca="1" si="12"/>
        <v>45943</v>
      </c>
      <c r="AI85" s="22">
        <f t="shared" ca="1" si="13"/>
        <v>45936</v>
      </c>
      <c r="AJ85" s="22">
        <f t="shared" ca="1" si="14"/>
        <v>45922</v>
      </c>
      <c r="AK85" s="22">
        <f t="shared" ca="1" si="15"/>
        <v>45863</v>
      </c>
      <c r="AL85" s="22">
        <f t="shared" ca="1" si="16"/>
        <v>45777</v>
      </c>
    </row>
    <row r="86" spans="4:38" x14ac:dyDescent="0.25">
      <c r="D86" s="6">
        <f ca="1"/>
        <v>45947</v>
      </c>
      <c r="E86" s="28" cm="1">
        <f t="array" aca="1" ref="E86" ca="1">_xll.FDS($E$7,"P_PRICE("&amp;D86&amp;",0,D,D)")</f>
        <v>117.46</v>
      </c>
      <c r="F86" s="29" cm="1">
        <f t="array" aca="1" ref="F86" ca="1">_xll.FDS($E$7,"P_BETA_LOCIDX("&amp;$AG86&amp;","&amp;$AL86&amp;",,"""&amp;$E$9&amp;""")")</f>
        <v>1.2304933</v>
      </c>
      <c r="G86" s="30">
        <f t="shared" ref="G86:J149" ca="1" si="18">+O86-K86</f>
        <v>-8.6141426965204056E-3</v>
      </c>
      <c r="H86" s="30">
        <f t="shared" ca="1" si="18"/>
        <v>-1.1352946053139917E-2</v>
      </c>
      <c r="I86" s="30">
        <f t="shared" ca="1" si="18"/>
        <v>3.8706412982894858E-2</v>
      </c>
      <c r="J86" s="30">
        <f t="shared" ca="1" si="18"/>
        <v>0.15067009742781426</v>
      </c>
      <c r="K86" s="30">
        <f t="shared" ref="K86:N149" ca="1" si="19">+X86*$F86</f>
        <v>2.0938541558883545E-2</v>
      </c>
      <c r="L86" s="30">
        <f t="shared" ca="1" si="19"/>
        <v>-9.4873340402245546E-3</v>
      </c>
      <c r="M86" s="30">
        <f t="shared" ca="1" si="19"/>
        <v>-6.4623257897093554E-5</v>
      </c>
      <c r="N86" s="30">
        <f t="shared" ca="1" si="19"/>
        <v>5.8139205855091892E-2</v>
      </c>
      <c r="O86" s="30">
        <f t="shared" ref="O86:O149" ca="1" si="20">+S86/T86-1</f>
        <v>1.232439886236314E-2</v>
      </c>
      <c r="P86" s="30">
        <f t="shared" ref="P86:P149" ca="1" si="21">+S86/U86-1</f>
        <v>-2.0840280093364472E-2</v>
      </c>
      <c r="Q86" s="30">
        <f t="shared" ref="Q86:Q149" ca="1" si="22">+S86/V86-1</f>
        <v>3.8641789724997766E-2</v>
      </c>
      <c r="R86" s="30">
        <f t="shared" ref="R86:R149" ca="1" si="23">+S86/W86-1</f>
        <v>0.20880930328290614</v>
      </c>
      <c r="S86" s="9" cm="1">
        <f t="array" aca="1" ref="S86" ca="1">_xll.FDS($E$7,"P_PRICE("&amp;AG86&amp;",0,D,D)")</f>
        <v>117.46</v>
      </c>
      <c r="T86" s="9" cm="1">
        <f t="array" aca="1" ref="T86" ca="1">_xll.FDS($E$7,"P_PRICE("&amp;AH86&amp;",0,D,D)")</f>
        <v>116.03</v>
      </c>
      <c r="U86" s="9" cm="1">
        <f t="array" aca="1" ref="U86" ca="1">_xll.FDS($E$7,"P_PRICE("&amp;AI86&amp;",0,D,D)")</f>
        <v>119.96</v>
      </c>
      <c r="V86" s="9" cm="1">
        <f t="array" aca="1" ref="V86" ca="1">_xll.FDS($E$7,"P_PRICE("&amp;AJ86&amp;",0,D,D)")</f>
        <v>113.09</v>
      </c>
      <c r="W86" s="9" cm="1">
        <f t="array" aca="1" ref="W86" ca="1">_xll.FDS($E$7,"P_PRICE("&amp;AK86&amp;",0,D,D)")</f>
        <v>97.17</v>
      </c>
      <c r="X86" s="24">
        <f t="shared" ref="X86:X149" ca="1" si="24">+AB86/AC86-1</f>
        <v>1.7016379982632612E-2</v>
      </c>
      <c r="Y86" s="24">
        <f t="shared" ref="Y86:Y149" ca="1" si="25">+AB86/AD86-1</f>
        <v>-7.7101874835275863E-3</v>
      </c>
      <c r="Z86" s="24">
        <f t="shared" ref="Z86:Z149" ca="1" si="26">+AB86/AE86-1</f>
        <v>-5.2518171287152526E-5</v>
      </c>
      <c r="AA86" s="24">
        <f t="shared" ref="AA86:AA149" ca="1" si="27">+AB86/AF86-1</f>
        <v>4.7248697619964197E-2</v>
      </c>
      <c r="AB86" s="9" cm="1">
        <f t="array" aca="1" ref="AB86" ca="1">_xll.FDS($E$9,"P_PRICE("&amp;AG86&amp;",0,D,D)")</f>
        <v>6664.01</v>
      </c>
      <c r="AC86" s="9" cm="1">
        <f t="array" aca="1" ref="AC86" ca="1">_xll.FDS($E$9,"P_PRICE("&amp;AH86&amp;",0,D,D)")</f>
        <v>6552.51</v>
      </c>
      <c r="AD86" s="9" cm="1">
        <f t="array" aca="1" ref="AD86" ca="1">_xll.FDS($E$9,"P_PRICE("&amp;AI86&amp;",0,D,D)")</f>
        <v>6715.79</v>
      </c>
      <c r="AE86" s="9" cm="1">
        <f t="array" aca="1" ref="AE86" ca="1">_xll.FDS($E$9,"P_PRICE("&amp;AJ86&amp;",0,D,D)")</f>
        <v>6664.36</v>
      </c>
      <c r="AF86" s="9" cm="1">
        <f t="array" aca="1" ref="AF86" ca="1">_xll.FDS($E$9,"P_PRICE("&amp;AK86&amp;",0,D,D)")</f>
        <v>6363.35</v>
      </c>
      <c r="AG86" s="20">
        <f t="shared" ca="1" si="17"/>
        <v>45947</v>
      </c>
      <c r="AH86" s="22">
        <f t="shared" ref="AH86:AH149" ca="1" si="28">+WORKDAY($AG86, -5, $AN$2:$AN$100)</f>
        <v>45940</v>
      </c>
      <c r="AI86" s="22">
        <f t="shared" ref="AI86:AI149" ca="1" si="29">+WORKDAY($AG86, -10, $AN$2:$AN$100)</f>
        <v>45933</v>
      </c>
      <c r="AJ86" s="22">
        <f t="shared" ref="AJ86:AJ149" ca="1" si="30">+WORKDAY($AG86, -20, $AN$2:$AN$100)</f>
        <v>45919</v>
      </c>
      <c r="AK86" s="22">
        <f t="shared" ref="AK86:AK149" ca="1" si="31">+WORKDAY($AG86, -60, $AN$2:$AN$100)</f>
        <v>45862</v>
      </c>
      <c r="AL86" s="22">
        <f t="shared" ref="AL86:AL149" ca="1" si="32">+WORKDAY($AG86, -120, $AN$2:$AN$100)</f>
        <v>45776</v>
      </c>
    </row>
    <row r="87" spans="4:38" x14ac:dyDescent="0.25">
      <c r="D87" s="6">
        <f ca="1"/>
        <v>45946</v>
      </c>
      <c r="E87" s="28" cm="1">
        <f t="array" aca="1" ref="E87" ca="1">_xll.FDS($E$7,"P_PRICE("&amp;D87&amp;",0,D,D)")</f>
        <v>116.94</v>
      </c>
      <c r="F87" s="29" cm="1">
        <f t="array" aca="1" ref="F87" ca="1">_xll.FDS($E$7,"P_BETA_LOCIDX("&amp;$AG87&amp;","&amp;$AL87&amp;",,"""&amp;$E$9&amp;""")")</f>
        <v>1.2310083000000001</v>
      </c>
      <c r="G87" s="30">
        <f t="shared" ca="1" si="18"/>
        <v>1.3684643991363894E-2</v>
      </c>
      <c r="H87" s="30">
        <f t="shared" ca="1" si="18"/>
        <v>-1.8854417490395368E-2</v>
      </c>
      <c r="I87" s="30">
        <f t="shared" ca="1" si="18"/>
        <v>4.0372821048175821E-2</v>
      </c>
      <c r="J87" s="30">
        <f t="shared" ca="1" si="18"/>
        <v>0.15538385074225786</v>
      </c>
      <c r="K87" s="30">
        <f t="shared" ca="1" si="19"/>
        <v>-1.9381438481628394E-2</v>
      </c>
      <c r="L87" s="30">
        <f t="shared" ca="1" si="19"/>
        <v>-1.581621153387406E-2</v>
      </c>
      <c r="M87" s="30">
        <f t="shared" ca="1" si="19"/>
        <v>-5.3643477750172286E-4</v>
      </c>
      <c r="N87" s="30">
        <f t="shared" ca="1" si="19"/>
        <v>5.2299718399536996E-2</v>
      </c>
      <c r="O87" s="30">
        <f t="shared" ca="1" si="20"/>
        <v>-5.6967944902645007E-3</v>
      </c>
      <c r="P87" s="30">
        <f t="shared" ca="1" si="21"/>
        <v>-3.4670629024269428E-2</v>
      </c>
      <c r="Q87" s="30">
        <f t="shared" ca="1" si="22"/>
        <v>3.9836386270674096E-2</v>
      </c>
      <c r="R87" s="30">
        <f t="shared" ca="1" si="23"/>
        <v>0.20768356914179487</v>
      </c>
      <c r="S87" s="9" cm="1">
        <f t="array" aca="1" ref="S87" ca="1">_xll.FDS($E$7,"P_PRICE("&amp;AG87&amp;",0,D,D)")</f>
        <v>116.94</v>
      </c>
      <c r="T87" s="9" cm="1">
        <f t="array" aca="1" ref="T87" ca="1">_xll.FDS($E$7,"P_PRICE("&amp;AH87&amp;",0,D,D)")</f>
        <v>117.61</v>
      </c>
      <c r="U87" s="9" cm="1">
        <f t="array" aca="1" ref="U87" ca="1">_xll.FDS($E$7,"P_PRICE("&amp;AI87&amp;",0,D,D)")</f>
        <v>121.14</v>
      </c>
      <c r="V87" s="9" cm="1">
        <f t="array" aca="1" ref="V87" ca="1">_xll.FDS($E$7,"P_PRICE("&amp;AJ87&amp;",0,D,D)")</f>
        <v>112.46</v>
      </c>
      <c r="W87" s="9" cm="1">
        <f t="array" aca="1" ref="W87" ca="1">_xll.FDS($E$7,"P_PRICE("&amp;AK87&amp;",0,D,D)")</f>
        <v>96.83</v>
      </c>
      <c r="X87" s="24">
        <f t="shared" ca="1" si="24"/>
        <v>-1.574436052269379E-2</v>
      </c>
      <c r="Y87" s="24">
        <f t="shared" ca="1" si="25"/>
        <v>-1.2848176193348215E-2</v>
      </c>
      <c r="Z87" s="24">
        <f t="shared" ca="1" si="26"/>
        <v>-4.3576861139094092E-4</v>
      </c>
      <c r="AA87" s="24">
        <f t="shared" ca="1" si="27"/>
        <v>4.2485268701711432E-2</v>
      </c>
      <c r="AB87" s="9" cm="1">
        <f t="array" aca="1" ref="AB87" ca="1">_xll.FDS($E$9,"P_PRICE("&amp;AG87&amp;",0,D,D)")</f>
        <v>6629.07</v>
      </c>
      <c r="AC87" s="9" cm="1">
        <f t="array" aca="1" ref="AC87" ca="1">_xll.FDS($E$9,"P_PRICE("&amp;AH87&amp;",0,D,D)")</f>
        <v>6735.11</v>
      </c>
      <c r="AD87" s="9" cm="1">
        <f t="array" aca="1" ref="AD87" ca="1">_xll.FDS($E$9,"P_PRICE("&amp;AI87&amp;",0,D,D)")</f>
        <v>6715.35</v>
      </c>
      <c r="AE87" s="9" cm="1">
        <f t="array" aca="1" ref="AE87" ca="1">_xll.FDS($E$9,"P_PRICE("&amp;AJ87&amp;",0,D,D)")</f>
        <v>6631.96</v>
      </c>
      <c r="AF87" s="9" cm="1">
        <f t="array" aca="1" ref="AF87" ca="1">_xll.FDS($E$9,"P_PRICE("&amp;AK87&amp;",0,D,D)")</f>
        <v>6358.91</v>
      </c>
      <c r="AG87" s="20">
        <f t="shared" ref="AG87:AG150" ca="1" si="33">+WORKDAY(D87, 0, $AN$2:$AN$59)</f>
        <v>45946</v>
      </c>
      <c r="AH87" s="22">
        <f t="shared" ca="1" si="28"/>
        <v>45939</v>
      </c>
      <c r="AI87" s="22">
        <f t="shared" ca="1" si="29"/>
        <v>45932</v>
      </c>
      <c r="AJ87" s="22">
        <f t="shared" ca="1" si="30"/>
        <v>45918</v>
      </c>
      <c r="AK87" s="22">
        <f t="shared" ca="1" si="31"/>
        <v>45861</v>
      </c>
      <c r="AL87" s="22">
        <f t="shared" ca="1" si="32"/>
        <v>45775</v>
      </c>
    </row>
    <row r="88" spans="4:38" x14ac:dyDescent="0.25">
      <c r="D88" s="6">
        <f ca="1"/>
        <v>45945</v>
      </c>
      <c r="E88" s="28" cm="1">
        <f t="array" aca="1" ref="E88" ca="1">_xll.FDS($E$7,"P_PRICE("&amp;D88&amp;",0,D,D)")</f>
        <v>118.58</v>
      </c>
      <c r="F88" s="29" cm="1">
        <f t="array" aca="1" ref="F88" ca="1">_xll.FDS($E$7,"P_BETA_LOCIDX("&amp;$AG88&amp;","&amp;$AL88&amp;",,"""&amp;$E$9&amp;""")")</f>
        <v>1.2252338</v>
      </c>
      <c r="G88" s="30">
        <f t="shared" ca="1" si="18"/>
        <v>2.1190172779749383E-2</v>
      </c>
      <c r="H88" s="30">
        <f t="shared" ca="1" si="18"/>
        <v>-3.2683985928563912E-3</v>
      </c>
      <c r="I88" s="30">
        <f t="shared" ca="1" si="18"/>
        <v>5.2761627132265496E-2</v>
      </c>
      <c r="J88" s="30">
        <f t="shared" ca="1" si="18"/>
        <v>0.17096929678254</v>
      </c>
      <c r="K88" s="30">
        <f t="shared" ca="1" si="19"/>
        <v>-1.4995857972791292E-2</v>
      </c>
      <c r="L88" s="30">
        <f t="shared" ca="1" si="19"/>
        <v>-7.3281804642983291E-3</v>
      </c>
      <c r="M88" s="30">
        <f t="shared" ca="1" si="19"/>
        <v>1.3126013317172685E-2</v>
      </c>
      <c r="N88" s="30">
        <f t="shared" ca="1" si="19"/>
        <v>7.0186240165335062E-2</v>
      </c>
      <c r="O88" s="30">
        <f t="shared" ca="1" si="20"/>
        <v>6.19431480695809E-3</v>
      </c>
      <c r="P88" s="30">
        <f t="shared" ca="1" si="21"/>
        <v>-1.059657905715472E-2</v>
      </c>
      <c r="Q88" s="30">
        <f t="shared" ca="1" si="22"/>
        <v>6.5887640449438178E-2</v>
      </c>
      <c r="R88" s="30">
        <f t="shared" ca="1" si="23"/>
        <v>0.24115553694787506</v>
      </c>
      <c r="S88" s="9" cm="1">
        <f t="array" aca="1" ref="S88" ca="1">_xll.FDS($E$7,"P_PRICE("&amp;AG88&amp;",0,D,D)")</f>
        <v>118.58</v>
      </c>
      <c r="T88" s="9" cm="1">
        <f t="array" aca="1" ref="T88" ca="1">_xll.FDS($E$7,"P_PRICE("&amp;AH88&amp;",0,D,D)")</f>
        <v>117.85</v>
      </c>
      <c r="U88" s="9" cm="1">
        <f t="array" aca="1" ref="U88" ca="1">_xll.FDS($E$7,"P_PRICE("&amp;AI88&amp;",0,D,D)")</f>
        <v>119.85</v>
      </c>
      <c r="V88" s="9" cm="1">
        <f t="array" aca="1" ref="V88" ca="1">_xll.FDS($E$7,"P_PRICE("&amp;AJ88&amp;",0,D,D)")</f>
        <v>111.25</v>
      </c>
      <c r="W88" s="9" cm="1">
        <f t="array" aca="1" ref="W88" ca="1">_xll.FDS($E$7,"P_PRICE("&amp;AK88&amp;",0,D,D)")</f>
        <v>95.54</v>
      </c>
      <c r="X88" s="24">
        <f t="shared" ca="1" si="24"/>
        <v>-1.2239180777408598E-2</v>
      </c>
      <c r="Y88" s="24">
        <f t="shared" ca="1" si="25"/>
        <v>-5.9810466086540615E-3</v>
      </c>
      <c r="Z88" s="24">
        <f t="shared" ca="1" si="26"/>
        <v>1.0713068246380963E-2</v>
      </c>
      <c r="AA88" s="24">
        <f t="shared" ca="1" si="27"/>
        <v>5.7283956878544373E-2</v>
      </c>
      <c r="AB88" s="9" cm="1">
        <f t="array" aca="1" ref="AB88" ca="1">_xll.FDS($E$9,"P_PRICE("&amp;AG88&amp;",0,D,D)")</f>
        <v>6671.06</v>
      </c>
      <c r="AC88" s="9" cm="1">
        <f t="array" aca="1" ref="AC88" ca="1">_xll.FDS($E$9,"P_PRICE("&amp;AH88&amp;",0,D,D)")</f>
        <v>6753.72</v>
      </c>
      <c r="AD88" s="9" cm="1">
        <f t="array" aca="1" ref="AD88" ca="1">_xll.FDS($E$9,"P_PRICE("&amp;AI88&amp;",0,D,D)")</f>
        <v>6711.2</v>
      </c>
      <c r="AE88" s="9" cm="1">
        <f t="array" aca="1" ref="AE88" ca="1">_xll.FDS($E$9,"P_PRICE("&amp;AJ88&amp;",0,D,D)")</f>
        <v>6600.35</v>
      </c>
      <c r="AF88" s="9" cm="1">
        <f t="array" aca="1" ref="AF88" ca="1">_xll.FDS($E$9,"P_PRICE("&amp;AK88&amp;",0,D,D)")</f>
        <v>6309.62</v>
      </c>
      <c r="AG88" s="20">
        <f t="shared" ca="1" si="33"/>
        <v>45945</v>
      </c>
      <c r="AH88" s="22">
        <f t="shared" ca="1" si="28"/>
        <v>45938</v>
      </c>
      <c r="AI88" s="22">
        <f t="shared" ca="1" si="29"/>
        <v>45931</v>
      </c>
      <c r="AJ88" s="22">
        <f t="shared" ca="1" si="30"/>
        <v>45917</v>
      </c>
      <c r="AK88" s="22">
        <f t="shared" ca="1" si="31"/>
        <v>45860</v>
      </c>
      <c r="AL88" s="22">
        <f t="shared" ca="1" si="32"/>
        <v>45772</v>
      </c>
    </row>
    <row r="89" spans="4:38" x14ac:dyDescent="0.25">
      <c r="D89" s="6">
        <f ca="1"/>
        <v>45944</v>
      </c>
      <c r="E89" s="28" cm="1">
        <f t="array" aca="1" ref="E89" ca="1">_xll.FDS($E$7,"P_PRICE("&amp;D89&amp;",0,D,D)")</f>
        <v>120.12</v>
      </c>
      <c r="F89" s="29" cm="1">
        <f t="array" aca="1" ref="F89" ca="1">_xll.FDS($E$7,"P_BETA_LOCIDX("&amp;$AG89&amp;","&amp;$AL89&amp;",,"""&amp;$E$9&amp;""")")</f>
        <v>1.2754559999999999</v>
      </c>
      <c r="G89" s="30">
        <f t="shared" ca="1" si="18"/>
        <v>4.5840866186501371E-2</v>
      </c>
      <c r="H89" s="30">
        <f t="shared" ca="1" si="18"/>
        <v>1.0254047429411821E-2</v>
      </c>
      <c r="I89" s="30">
        <f t="shared" ca="1" si="18"/>
        <v>6.0199533599186159E-2</v>
      </c>
      <c r="J89" s="30">
        <f t="shared" ca="1" si="18"/>
        <v>0.20597068970417109</v>
      </c>
      <c r="K89" s="30">
        <f t="shared" ca="1" si="19"/>
        <v>-1.3349891457259478E-2</v>
      </c>
      <c r="L89" s="30">
        <f t="shared" ca="1" si="19"/>
        <v>-8.4191850440907753E-3</v>
      </c>
      <c r="M89" s="30">
        <f t="shared" ca="1" si="19"/>
        <v>7.2491467527199425E-3</v>
      </c>
      <c r="N89" s="30">
        <f t="shared" ca="1" si="19"/>
        <v>6.8512068916518634E-2</v>
      </c>
      <c r="O89" s="30">
        <f t="shared" ca="1" si="20"/>
        <v>3.2490974729241895E-2</v>
      </c>
      <c r="P89" s="30">
        <f t="shared" ca="1" si="21"/>
        <v>1.8348623853210455E-3</v>
      </c>
      <c r="Q89" s="30">
        <f t="shared" ca="1" si="22"/>
        <v>6.7448680351906098E-2</v>
      </c>
      <c r="R89" s="30">
        <f t="shared" ca="1" si="23"/>
        <v>0.27448275862068972</v>
      </c>
      <c r="S89" s="9" cm="1">
        <f t="array" aca="1" ref="S89" ca="1">_xll.FDS($E$7,"P_PRICE("&amp;AG89&amp;",0,D,D)")</f>
        <v>120.12</v>
      </c>
      <c r="T89" s="9" cm="1">
        <f t="array" aca="1" ref="T89" ca="1">_xll.FDS($E$7,"P_PRICE("&amp;AH89&amp;",0,D,D)")</f>
        <v>116.34</v>
      </c>
      <c r="U89" s="9" cm="1">
        <f t="array" aca="1" ref="U89" ca="1">_xll.FDS($E$7,"P_PRICE("&amp;AI89&amp;",0,D,D)")</f>
        <v>119.9</v>
      </c>
      <c r="V89" s="9" cm="1">
        <f t="array" aca="1" ref="V89" ca="1">_xll.FDS($E$7,"P_PRICE("&amp;AJ89&amp;",0,D,D)")</f>
        <v>112.53</v>
      </c>
      <c r="W89" s="9" cm="1">
        <f t="array" aca="1" ref="W89" ca="1">_xll.FDS($E$7,"P_PRICE("&amp;AK89&amp;",0,D,D)")</f>
        <v>94.25</v>
      </c>
      <c r="X89" s="24">
        <f t="shared" ca="1" si="24"/>
        <v>-1.0466759697911554E-2</v>
      </c>
      <c r="Y89" s="24">
        <f t="shared" ca="1" si="25"/>
        <v>-6.6009215873309435E-3</v>
      </c>
      <c r="Z89" s="24">
        <f t="shared" ca="1" si="26"/>
        <v>5.683572583232932E-3</v>
      </c>
      <c r="AA89" s="24">
        <f t="shared" ca="1" si="27"/>
        <v>5.3715744734838866E-2</v>
      </c>
      <c r="AB89" s="9" cm="1">
        <f t="array" aca="1" ref="AB89" ca="1">_xll.FDS($E$9,"P_PRICE("&amp;AG89&amp;",0,D,D)")</f>
        <v>6644.31</v>
      </c>
      <c r="AC89" s="9" cm="1">
        <f t="array" aca="1" ref="AC89" ca="1">_xll.FDS($E$9,"P_PRICE("&amp;AH89&amp;",0,D,D)")</f>
        <v>6714.59</v>
      </c>
      <c r="AD89" s="9" cm="1">
        <f t="array" aca="1" ref="AD89" ca="1">_xll.FDS($E$9,"P_PRICE("&amp;AI89&amp;",0,D,D)")</f>
        <v>6688.46</v>
      </c>
      <c r="AE89" s="9" cm="1">
        <f t="array" aca="1" ref="AE89" ca="1">_xll.FDS($E$9,"P_PRICE("&amp;AJ89&amp;",0,D,D)")</f>
        <v>6606.76</v>
      </c>
      <c r="AF89" s="9" cm="1">
        <f t="array" aca="1" ref="AF89" ca="1">_xll.FDS($E$9,"P_PRICE("&amp;AK89&amp;",0,D,D)")</f>
        <v>6305.6</v>
      </c>
      <c r="AG89" s="20">
        <f t="shared" ca="1" si="33"/>
        <v>45944</v>
      </c>
      <c r="AH89" s="22">
        <f t="shared" ca="1" si="28"/>
        <v>45937</v>
      </c>
      <c r="AI89" s="22">
        <f t="shared" ca="1" si="29"/>
        <v>45930</v>
      </c>
      <c r="AJ89" s="22">
        <f t="shared" ca="1" si="30"/>
        <v>45916</v>
      </c>
      <c r="AK89" s="22">
        <f t="shared" ca="1" si="31"/>
        <v>45859</v>
      </c>
      <c r="AL89" s="22">
        <f t="shared" ca="1" si="32"/>
        <v>45771</v>
      </c>
    </row>
    <row r="90" spans="4:38" x14ac:dyDescent="0.25">
      <c r="D90" s="6">
        <f ca="1"/>
        <v>45943</v>
      </c>
      <c r="E90" s="28" cm="1">
        <f t="array" aca="1" ref="E90" ca="1">_xll.FDS($E$7,"P_PRICE("&amp;D90&amp;",0,D,D)")</f>
        <v>117.54</v>
      </c>
      <c r="F90" s="29" cm="1">
        <f t="array" aca="1" ref="F90" ca="1">_xll.FDS($E$7,"P_BETA_LOCIDX("&amp;$AG90&amp;","&amp;$AL90&amp;",,"""&amp;$E$9&amp;""")")</f>
        <v>1.2938459</v>
      </c>
      <c r="G90" s="30">
        <f t="shared" ca="1" si="18"/>
        <v>1.1345145790230673E-2</v>
      </c>
      <c r="H90" s="30">
        <f t="shared" ca="1" si="18"/>
        <v>2.7004547492446882E-2</v>
      </c>
      <c r="I90" s="30">
        <f t="shared" ca="1" si="18"/>
        <v>3.0258597192630111E-2</v>
      </c>
      <c r="J90" s="30">
        <f t="shared" ca="1" si="18"/>
        <v>0.17608149281002455</v>
      </c>
      <c r="K90" s="30">
        <f t="shared" ca="1" si="19"/>
        <v>-1.6423865952749653E-2</v>
      </c>
      <c r="L90" s="30">
        <f t="shared" ca="1" si="19"/>
        <v>-1.2605907772011171E-3</v>
      </c>
      <c r="M90" s="30">
        <f t="shared" ca="1" si="19"/>
        <v>7.7138507056391439E-3</v>
      </c>
      <c r="N90" s="30">
        <f t="shared" ca="1" si="19"/>
        <v>7.3546404276941313E-2</v>
      </c>
      <c r="O90" s="30">
        <f t="shared" ca="1" si="20"/>
        <v>-5.0787201625189793E-3</v>
      </c>
      <c r="P90" s="30">
        <f t="shared" ca="1" si="21"/>
        <v>2.5743956715245764E-2</v>
      </c>
      <c r="Q90" s="30">
        <f t="shared" ca="1" si="22"/>
        <v>3.7972447898269257E-2</v>
      </c>
      <c r="R90" s="30">
        <f t="shared" ca="1" si="23"/>
        <v>0.24962789708696587</v>
      </c>
      <c r="S90" s="9" cm="1">
        <f t="array" aca="1" ref="S90" ca="1">_xll.FDS($E$7,"P_PRICE("&amp;AG90&amp;",0,D,D)")</f>
        <v>117.54</v>
      </c>
      <c r="T90" s="9" cm="1">
        <f t="array" aca="1" ref="T90" ca="1">_xll.FDS($E$7,"P_PRICE("&amp;AH90&amp;",0,D,D)")</f>
        <v>118.14</v>
      </c>
      <c r="U90" s="9" cm="1">
        <f t="array" aca="1" ref="U90" ca="1">_xll.FDS($E$7,"P_PRICE("&amp;AI90&amp;",0,D,D)")</f>
        <v>114.59</v>
      </c>
      <c r="V90" s="9" cm="1">
        <f t="array" aca="1" ref="V90" ca="1">_xll.FDS($E$7,"P_PRICE("&amp;AJ90&amp;",0,D,D)")</f>
        <v>113.24</v>
      </c>
      <c r="W90" s="9" cm="1">
        <f t="array" aca="1" ref="W90" ca="1">_xll.FDS($E$7,"P_PRICE("&amp;AK90&amp;",0,D,D)")</f>
        <v>94.06</v>
      </c>
      <c r="X90" s="24">
        <f t="shared" ca="1" si="24"/>
        <v>-1.2693834677491078E-2</v>
      </c>
      <c r="Y90" s="24">
        <f t="shared" ca="1" si="25"/>
        <v>-9.7429746247301718E-4</v>
      </c>
      <c r="Z90" s="24">
        <f t="shared" ca="1" si="26"/>
        <v>5.9619547471914114E-3</v>
      </c>
      <c r="AA90" s="24">
        <f t="shared" ca="1" si="27"/>
        <v>5.6843248702910687E-2</v>
      </c>
      <c r="AB90" s="9" cm="1">
        <f t="array" aca="1" ref="AB90" ca="1">_xll.FDS($E$9,"P_PRICE("&amp;AG90&amp;",0,D,D)")</f>
        <v>6654.72</v>
      </c>
      <c r="AC90" s="9" cm="1">
        <f t="array" aca="1" ref="AC90" ca="1">_xll.FDS($E$9,"P_PRICE("&amp;AH90&amp;",0,D,D)")</f>
        <v>6740.28</v>
      </c>
      <c r="AD90" s="9" cm="1">
        <f t="array" aca="1" ref="AD90" ca="1">_xll.FDS($E$9,"P_PRICE("&amp;AI90&amp;",0,D,D)")</f>
        <v>6661.21</v>
      </c>
      <c r="AE90" s="9" cm="1">
        <f t="array" aca="1" ref="AE90" ca="1">_xll.FDS($E$9,"P_PRICE("&amp;AJ90&amp;",0,D,D)")</f>
        <v>6615.28</v>
      </c>
      <c r="AF90" s="9" cm="1">
        <f t="array" aca="1" ref="AF90" ca="1">_xll.FDS($E$9,"P_PRICE("&amp;AK90&amp;",0,D,D)")</f>
        <v>6296.79</v>
      </c>
      <c r="AG90" s="20">
        <f t="shared" ca="1" si="33"/>
        <v>45943</v>
      </c>
      <c r="AH90" s="22">
        <f t="shared" ca="1" si="28"/>
        <v>45936</v>
      </c>
      <c r="AI90" s="22">
        <f t="shared" ca="1" si="29"/>
        <v>45929</v>
      </c>
      <c r="AJ90" s="22">
        <f t="shared" ca="1" si="30"/>
        <v>45915</v>
      </c>
      <c r="AK90" s="22">
        <f t="shared" ca="1" si="31"/>
        <v>45856</v>
      </c>
      <c r="AL90" s="22">
        <f t="shared" ca="1" si="32"/>
        <v>45770</v>
      </c>
    </row>
    <row r="91" spans="4:38" x14ac:dyDescent="0.25">
      <c r="D91" s="6">
        <f ca="1"/>
        <v>45940</v>
      </c>
      <c r="E91" s="28" cm="1">
        <f t="array" aca="1" ref="E91" ca="1">_xll.FDS($E$7,"P_PRICE("&amp;D91&amp;",0,D,D)")</f>
        <v>116.03</v>
      </c>
      <c r="F91" s="29" cm="1">
        <f t="array" aca="1" ref="F91" ca="1">_xll.FDS($E$7,"P_BETA_LOCIDX("&amp;$AG91&amp;","&amp;$AL91&amp;",,"""&amp;$E$9&amp;""")")</f>
        <v>1.3204245999999999</v>
      </c>
      <c r="G91" s="30">
        <f t="shared" ca="1" si="18"/>
        <v>-6.5763406821780362E-4</v>
      </c>
      <c r="H91" s="30">
        <f t="shared" ca="1" si="18"/>
        <v>3.8885719095733629E-2</v>
      </c>
      <c r="I91" s="30">
        <f t="shared" ca="1" si="18"/>
        <v>2.9655691104440333E-2</v>
      </c>
      <c r="J91" s="30">
        <f t="shared" ca="1" si="18"/>
        <v>0.19494023848266989</v>
      </c>
      <c r="K91" s="30">
        <f t="shared" ca="1" si="19"/>
        <v>-3.2103286238551111E-2</v>
      </c>
      <c r="L91" s="30">
        <f t="shared" ca="1" si="19"/>
        <v>-1.8123864604663035E-2</v>
      </c>
      <c r="M91" s="30">
        <f t="shared" ca="1" si="19"/>
        <v>-6.3732146955859407E-3</v>
      </c>
      <c r="N91" s="30">
        <f t="shared" ca="1" si="19"/>
        <v>5.3499615186363855E-2</v>
      </c>
      <c r="O91" s="30">
        <f t="shared" ca="1" si="20"/>
        <v>-3.2760920306768915E-2</v>
      </c>
      <c r="P91" s="30">
        <f t="shared" ca="1" si="21"/>
        <v>2.0761854491070597E-2</v>
      </c>
      <c r="Q91" s="30">
        <f t="shared" ca="1" si="22"/>
        <v>2.3282476408854391E-2</v>
      </c>
      <c r="R91" s="30">
        <f t="shared" ca="1" si="23"/>
        <v>0.24843985366903376</v>
      </c>
      <c r="S91" s="9" cm="1">
        <f t="array" aca="1" ref="S91" ca="1">_xll.FDS($E$7,"P_PRICE("&amp;AG91&amp;",0,D,D)")</f>
        <v>116.03</v>
      </c>
      <c r="T91" s="9" cm="1">
        <f t="array" aca="1" ref="T91" ca="1">_xll.FDS($E$7,"P_PRICE("&amp;AH91&amp;",0,D,D)")</f>
        <v>119.96</v>
      </c>
      <c r="U91" s="9" cm="1">
        <f t="array" aca="1" ref="U91" ca="1">_xll.FDS($E$7,"P_PRICE("&amp;AI91&amp;",0,D,D)")</f>
        <v>113.67</v>
      </c>
      <c r="V91" s="9" cm="1">
        <f t="array" aca="1" ref="V91" ca="1">_xll.FDS($E$7,"P_PRICE("&amp;AJ91&amp;",0,D,D)")</f>
        <v>113.39</v>
      </c>
      <c r="W91" s="9" cm="1">
        <f t="array" aca="1" ref="W91" ca="1">_xll.FDS($E$7,"P_PRICE("&amp;AK91&amp;",0,D,D)")</f>
        <v>92.94</v>
      </c>
      <c r="X91" s="24">
        <f t="shared" ca="1" si="24"/>
        <v>-2.4312850759180882E-2</v>
      </c>
      <c r="Y91" s="24">
        <f t="shared" ca="1" si="25"/>
        <v>-1.3725785330463425E-2</v>
      </c>
      <c r="Z91" s="24">
        <f t="shared" ca="1" si="26"/>
        <v>-4.826640381878633E-3</v>
      </c>
      <c r="AA91" s="24">
        <f t="shared" ca="1" si="27"/>
        <v>4.0516978543389648E-2</v>
      </c>
      <c r="AB91" s="9" cm="1">
        <f t="array" aca="1" ref="AB91" ca="1">_xll.FDS($E$9,"P_PRICE("&amp;AG91&amp;",0,D,D)")</f>
        <v>6552.51</v>
      </c>
      <c r="AC91" s="9" cm="1">
        <f t="array" aca="1" ref="AC91" ca="1">_xll.FDS($E$9,"P_PRICE("&amp;AH91&amp;",0,D,D)")</f>
        <v>6715.79</v>
      </c>
      <c r="AD91" s="9" cm="1">
        <f t="array" aca="1" ref="AD91" ca="1">_xll.FDS($E$9,"P_PRICE("&amp;AI91&amp;",0,D,D)")</f>
        <v>6643.7</v>
      </c>
      <c r="AE91" s="9" cm="1">
        <f t="array" aca="1" ref="AE91" ca="1">_xll.FDS($E$9,"P_PRICE("&amp;AJ91&amp;",0,D,D)")</f>
        <v>6584.29</v>
      </c>
      <c r="AF91" s="9" cm="1">
        <f t="array" aca="1" ref="AF91" ca="1">_xll.FDS($E$9,"P_PRICE("&amp;AK91&amp;",0,D,D)")</f>
        <v>6297.36</v>
      </c>
      <c r="AG91" s="20">
        <f t="shared" ca="1" si="33"/>
        <v>45940</v>
      </c>
      <c r="AH91" s="22">
        <f t="shared" ca="1" si="28"/>
        <v>45933</v>
      </c>
      <c r="AI91" s="22">
        <f t="shared" ca="1" si="29"/>
        <v>45926</v>
      </c>
      <c r="AJ91" s="22">
        <f t="shared" ca="1" si="30"/>
        <v>45912</v>
      </c>
      <c r="AK91" s="22">
        <f t="shared" ca="1" si="31"/>
        <v>45855</v>
      </c>
      <c r="AL91" s="22">
        <f t="shared" ca="1" si="32"/>
        <v>45769</v>
      </c>
    </row>
    <row r="92" spans="4:38" x14ac:dyDescent="0.25">
      <c r="D92" s="6">
        <f ca="1"/>
        <v>45939</v>
      </c>
      <c r="E92" s="28" cm="1">
        <f t="array" aca="1" ref="E92" ca="1">_xll.FDS($E$7,"P_PRICE("&amp;D92&amp;",0,D,D)")</f>
        <v>117.61</v>
      </c>
      <c r="F92" s="29" cm="1">
        <f t="array" aca="1" ref="F92" ca="1">_xll.FDS($E$7,"P_BETA_LOCIDX("&amp;$AG92&amp;","&amp;$AL92&amp;",,"""&amp;$E$9&amp;""")")</f>
        <v>1.3901171999999999</v>
      </c>
      <c r="G92" s="30">
        <f t="shared" ca="1" si="18"/>
        <v>-3.3230275168595128E-2</v>
      </c>
      <c r="H92" s="30">
        <f t="shared" ca="1" si="18"/>
        <v>2.4712407443968295E-2</v>
      </c>
      <c r="I92" s="30">
        <f t="shared" ca="1" si="18"/>
        <v>-3.724881157235696E-3</v>
      </c>
      <c r="J92" s="30">
        <f t="shared" ca="1" si="18"/>
        <v>0.1616364421650692</v>
      </c>
      <c r="K92" s="30">
        <f t="shared" ca="1" si="19"/>
        <v>4.0904369648639E-3</v>
      </c>
      <c r="L92" s="30">
        <f t="shared" ca="1" si="19"/>
        <v>2.744361331108636E-2</v>
      </c>
      <c r="M92" s="30">
        <f t="shared" ca="1" si="19"/>
        <v>3.1155649044018366E-2</v>
      </c>
      <c r="N92" s="30">
        <f t="shared" ca="1" si="19"/>
        <v>0.10462109444130477</v>
      </c>
      <c r="O92" s="30">
        <f t="shared" ca="1" si="20"/>
        <v>-2.9139838203731228E-2</v>
      </c>
      <c r="P92" s="30">
        <f t="shared" ca="1" si="21"/>
        <v>5.2156020755054655E-2</v>
      </c>
      <c r="Q92" s="30">
        <f t="shared" ca="1" si="22"/>
        <v>2.743076788678267E-2</v>
      </c>
      <c r="R92" s="30">
        <f t="shared" ca="1" si="23"/>
        <v>0.26625753660637397</v>
      </c>
      <c r="S92" s="9" cm="1">
        <f t="array" aca="1" ref="S92" ca="1">_xll.FDS($E$7,"P_PRICE("&amp;AG92&amp;",0,D,D)")</f>
        <v>117.61</v>
      </c>
      <c r="T92" s="9" cm="1">
        <f t="array" aca="1" ref="T92" ca="1">_xll.FDS($E$7,"P_PRICE("&amp;AH92&amp;",0,D,D)")</f>
        <v>121.14</v>
      </c>
      <c r="U92" s="9" cm="1">
        <f t="array" aca="1" ref="U92" ca="1">_xll.FDS($E$7,"P_PRICE("&amp;AI92&amp;",0,D,D)")</f>
        <v>111.78</v>
      </c>
      <c r="V92" s="9" cm="1">
        <f t="array" aca="1" ref="V92" ca="1">_xll.FDS($E$7,"P_PRICE("&amp;AJ92&amp;",0,D,D)")</f>
        <v>114.47</v>
      </c>
      <c r="W92" s="9" cm="1">
        <f t="array" aca="1" ref="W92" ca="1">_xll.FDS($E$7,"P_PRICE("&amp;AK92&amp;",0,D,D)")</f>
        <v>92.88</v>
      </c>
      <c r="X92" s="24">
        <f t="shared" ca="1" si="24"/>
        <v>2.9425123039006351E-3</v>
      </c>
      <c r="Y92" s="24">
        <f t="shared" ca="1" si="25"/>
        <v>1.9741942126236811E-2</v>
      </c>
      <c r="Z92" s="24">
        <f t="shared" ca="1" si="26"/>
        <v>2.2412246279679415E-2</v>
      </c>
      <c r="AA92" s="24">
        <f t="shared" ca="1" si="27"/>
        <v>7.5260628701885546E-2</v>
      </c>
      <c r="AB92" s="9" cm="1">
        <f t="array" aca="1" ref="AB92" ca="1">_xll.FDS($E$9,"P_PRICE("&amp;AG92&amp;",0,D,D)")</f>
        <v>6735.11</v>
      </c>
      <c r="AC92" s="9" cm="1">
        <f t="array" aca="1" ref="AC92" ca="1">_xll.FDS($E$9,"P_PRICE("&amp;AH92&amp;",0,D,D)")</f>
        <v>6715.35</v>
      </c>
      <c r="AD92" s="9" cm="1">
        <f t="array" aca="1" ref="AD92" ca="1">_xll.FDS($E$9,"P_PRICE("&amp;AI92&amp;",0,D,D)")</f>
        <v>6604.72</v>
      </c>
      <c r="AE92" s="9" cm="1">
        <f t="array" aca="1" ref="AE92" ca="1">_xll.FDS($E$9,"P_PRICE("&amp;AJ92&amp;",0,D,D)")</f>
        <v>6587.47</v>
      </c>
      <c r="AF92" s="9" cm="1">
        <f t="array" aca="1" ref="AF92" ca="1">_xll.FDS($E$9,"P_PRICE("&amp;AK92&amp;",0,D,D)")</f>
        <v>6263.7</v>
      </c>
      <c r="AG92" s="20">
        <f t="shared" ca="1" si="33"/>
        <v>45939</v>
      </c>
      <c r="AH92" s="22">
        <f t="shared" ca="1" si="28"/>
        <v>45932</v>
      </c>
      <c r="AI92" s="22">
        <f t="shared" ca="1" si="29"/>
        <v>45925</v>
      </c>
      <c r="AJ92" s="22">
        <f t="shared" ca="1" si="30"/>
        <v>45911</v>
      </c>
      <c r="AK92" s="22">
        <f t="shared" ca="1" si="31"/>
        <v>45854</v>
      </c>
      <c r="AL92" s="22">
        <f t="shared" ca="1" si="32"/>
        <v>45768</v>
      </c>
    </row>
    <row r="93" spans="4:38" x14ac:dyDescent="0.25">
      <c r="D93" s="6">
        <f ca="1"/>
        <v>45938</v>
      </c>
      <c r="E93" s="28" cm="1">
        <f t="array" aca="1" ref="E93" ca="1">_xll.FDS($E$7,"P_PRICE("&amp;D93&amp;",0,D,D)")</f>
        <v>117.85</v>
      </c>
      <c r="F93" s="29" cm="1">
        <f t="array" aca="1" ref="F93" ca="1">_xll.FDS($E$7,"P_BETA_LOCIDX("&amp;$AG93&amp;","&amp;$AL93&amp;",,"""&amp;$E$9&amp;""")")</f>
        <v>1.3919512999999999</v>
      </c>
      <c r="G93" s="30">
        <f t="shared" ca="1" si="18"/>
        <v>-2.5506480847772368E-2</v>
      </c>
      <c r="H93" s="30">
        <f t="shared" ca="1" si="18"/>
        <v>2.2352987746164035E-2</v>
      </c>
      <c r="I93" s="30">
        <f t="shared" ca="1" si="18"/>
        <v>1.1991519714540592E-2</v>
      </c>
      <c r="J93" s="30">
        <f t="shared" ca="1" si="18"/>
        <v>0.13750657079469747</v>
      </c>
      <c r="K93" s="30">
        <f t="shared" ca="1" si="19"/>
        <v>8.8189547735128722E-3</v>
      </c>
      <c r="L93" s="30">
        <f t="shared" ca="1" si="19"/>
        <v>2.4272234278702818E-2</v>
      </c>
      <c r="M93" s="30">
        <f t="shared" ca="1" si="19"/>
        <v>4.7239111239980154E-2</v>
      </c>
      <c r="N93" s="30">
        <f t="shared" ca="1" si="19"/>
        <v>0.11368782351467717</v>
      </c>
      <c r="O93" s="30">
        <f t="shared" ca="1" si="20"/>
        <v>-1.6687526074259496E-2</v>
      </c>
      <c r="P93" s="30">
        <f t="shared" ca="1" si="21"/>
        <v>4.6625222024866853E-2</v>
      </c>
      <c r="Q93" s="30">
        <f t="shared" ca="1" si="22"/>
        <v>5.9230630954520747E-2</v>
      </c>
      <c r="R93" s="30">
        <f t="shared" ca="1" si="23"/>
        <v>0.25119439430937462</v>
      </c>
      <c r="S93" s="9" cm="1">
        <f t="array" aca="1" ref="S93" ca="1">_xll.FDS($E$7,"P_PRICE("&amp;AG93&amp;",0,D,D)")</f>
        <v>117.85</v>
      </c>
      <c r="T93" s="9" cm="1">
        <f t="array" aca="1" ref="T93" ca="1">_xll.FDS($E$7,"P_PRICE("&amp;AH93&amp;",0,D,D)")</f>
        <v>119.85</v>
      </c>
      <c r="U93" s="9" cm="1">
        <f t="array" aca="1" ref="U93" ca="1">_xll.FDS($E$7,"P_PRICE("&amp;AI93&amp;",0,D,D)")</f>
        <v>112.6</v>
      </c>
      <c r="V93" s="9" cm="1">
        <f t="array" aca="1" ref="V93" ca="1">_xll.FDS($E$7,"P_PRICE("&amp;AJ93&amp;",0,D,D)")</f>
        <v>111.26</v>
      </c>
      <c r="W93" s="9" cm="1">
        <f t="array" aca="1" ref="W93" ca="1">_xll.FDS($E$7,"P_PRICE("&amp;AK93&amp;",0,D,D)")</f>
        <v>94.19</v>
      </c>
      <c r="X93" s="24">
        <f t="shared" ca="1" si="24"/>
        <v>6.3356776731433584E-3</v>
      </c>
      <c r="Y93" s="24">
        <f t="shared" ca="1" si="25"/>
        <v>1.7437559976920758E-2</v>
      </c>
      <c r="Z93" s="24">
        <f t="shared" ca="1" si="26"/>
        <v>3.3937330451130121E-2</v>
      </c>
      <c r="AA93" s="24">
        <f t="shared" ca="1" si="27"/>
        <v>8.1675144464233185E-2</v>
      </c>
      <c r="AB93" s="9" cm="1">
        <f t="array" aca="1" ref="AB93" ca="1">_xll.FDS($E$9,"P_PRICE("&amp;AG93&amp;",0,D,D)")</f>
        <v>6753.72</v>
      </c>
      <c r="AC93" s="9" cm="1">
        <f t="array" aca="1" ref="AC93" ca="1">_xll.FDS($E$9,"P_PRICE("&amp;AH93&amp;",0,D,D)")</f>
        <v>6711.2</v>
      </c>
      <c r="AD93" s="9" cm="1">
        <f t="array" aca="1" ref="AD93" ca="1">_xll.FDS($E$9,"P_PRICE("&amp;AI93&amp;",0,D,D)")</f>
        <v>6637.97</v>
      </c>
      <c r="AE93" s="9" cm="1">
        <f t="array" aca="1" ref="AE93" ca="1">_xll.FDS($E$9,"P_PRICE("&amp;AJ93&amp;",0,D,D)")</f>
        <v>6532.04</v>
      </c>
      <c r="AF93" s="9" cm="1">
        <f t="array" aca="1" ref="AF93" ca="1">_xll.FDS($E$9,"P_PRICE("&amp;AK93&amp;",0,D,D)")</f>
        <v>6243.76</v>
      </c>
      <c r="AG93" s="20">
        <f t="shared" ca="1" si="33"/>
        <v>45938</v>
      </c>
      <c r="AH93" s="22">
        <f t="shared" ca="1" si="28"/>
        <v>45931</v>
      </c>
      <c r="AI93" s="22">
        <f t="shared" ca="1" si="29"/>
        <v>45924</v>
      </c>
      <c r="AJ93" s="22">
        <f t="shared" ca="1" si="30"/>
        <v>45910</v>
      </c>
      <c r="AK93" s="22">
        <f t="shared" ca="1" si="31"/>
        <v>45853</v>
      </c>
      <c r="AL93" s="22">
        <f t="shared" ca="1" si="32"/>
        <v>45764</v>
      </c>
    </row>
    <row r="94" spans="4:38" x14ac:dyDescent="0.25">
      <c r="D94" s="6">
        <f ca="1"/>
        <v>45937</v>
      </c>
      <c r="E94" s="28" cm="1">
        <f t="array" aca="1" ref="E94" ca="1">_xll.FDS($E$7,"P_PRICE("&amp;D94&amp;",0,D,D)")</f>
        <v>116.34</v>
      </c>
      <c r="F94" s="29" cm="1">
        <f t="array" aca="1" ref="F94" ca="1">_xll.FDS($E$7,"P_BETA_LOCIDX("&amp;$AG94&amp;","&amp;$AL94&amp;",,"""&amp;$E$9&amp;""")")</f>
        <v>1.3216112</v>
      </c>
      <c r="G94" s="30">
        <f t="shared" ca="1" si="18"/>
        <v>-3.4854586181776323E-2</v>
      </c>
      <c r="H94" s="30">
        <f t="shared" ca="1" si="18"/>
        <v>8.1825652247588029E-3</v>
      </c>
      <c r="I94" s="30">
        <f t="shared" ca="1" si="18"/>
        <v>9.7706441873169556E-3</v>
      </c>
      <c r="J94" s="30">
        <f t="shared" ca="1" si="18"/>
        <v>0.13266033005013511</v>
      </c>
      <c r="K94" s="30">
        <f t="shared" ca="1" si="19"/>
        <v>5.1631766738530647E-3</v>
      </c>
      <c r="L94" s="30">
        <f t="shared" ca="1" si="19"/>
        <v>1.1449336615732103E-2</v>
      </c>
      <c r="M94" s="30">
        <f t="shared" ca="1" si="19"/>
        <v>4.0988026332914242E-2</v>
      </c>
      <c r="N94" s="30">
        <f t="shared" ca="1" si="19"/>
        <v>9.40372659009404E-2</v>
      </c>
      <c r="O94" s="30">
        <f t="shared" ca="1" si="20"/>
        <v>-2.9691409507923261E-2</v>
      </c>
      <c r="P94" s="30">
        <f t="shared" ca="1" si="21"/>
        <v>1.9631901840490906E-2</v>
      </c>
      <c r="Q94" s="30">
        <f t="shared" ca="1" si="22"/>
        <v>5.0758670520231197E-2</v>
      </c>
      <c r="R94" s="30">
        <f t="shared" ca="1" si="23"/>
        <v>0.22669759595107553</v>
      </c>
      <c r="S94" s="9" cm="1">
        <f t="array" aca="1" ref="S94" ca="1">_xll.FDS($E$7,"P_PRICE("&amp;AG94&amp;",0,D,D)")</f>
        <v>116.34</v>
      </c>
      <c r="T94" s="9" cm="1">
        <f t="array" aca="1" ref="T94" ca="1">_xll.FDS($E$7,"P_PRICE("&amp;AH94&amp;",0,D,D)")</f>
        <v>119.9</v>
      </c>
      <c r="U94" s="9" cm="1">
        <f t="array" aca="1" ref="U94" ca="1">_xll.FDS($E$7,"P_PRICE("&amp;AI94&amp;",0,D,D)")</f>
        <v>114.1</v>
      </c>
      <c r="V94" s="9" cm="1">
        <f t="array" aca="1" ref="V94" ca="1">_xll.FDS($E$7,"P_PRICE("&amp;AJ94&amp;",0,D,D)")</f>
        <v>110.72</v>
      </c>
      <c r="W94" s="9" cm="1">
        <f t="array" aca="1" ref="W94" ca="1">_xll.FDS($E$7,"P_PRICE("&amp;AK94&amp;",0,D,D)")</f>
        <v>94.84</v>
      </c>
      <c r="X94" s="24">
        <f t="shared" ca="1" si="24"/>
        <v>3.9067289032153063E-3</v>
      </c>
      <c r="Y94" s="24">
        <f t="shared" ca="1" si="25"/>
        <v>8.6631655480311487E-3</v>
      </c>
      <c r="Z94" s="24">
        <f t="shared" ca="1" si="26"/>
        <v>3.1013679615392364E-2</v>
      </c>
      <c r="AA94" s="24">
        <f t="shared" ca="1" si="27"/>
        <v>7.1153502558801263E-2</v>
      </c>
      <c r="AB94" s="9" cm="1">
        <f t="array" aca="1" ref="AB94" ca="1">_xll.FDS($E$9,"P_PRICE("&amp;AG94&amp;",0,D,D)")</f>
        <v>6714.59</v>
      </c>
      <c r="AC94" s="9" cm="1">
        <f t="array" aca="1" ref="AC94" ca="1">_xll.FDS($E$9,"P_PRICE("&amp;AH94&amp;",0,D,D)")</f>
        <v>6688.46</v>
      </c>
      <c r="AD94" s="9" cm="1">
        <f t="array" aca="1" ref="AD94" ca="1">_xll.FDS($E$9,"P_PRICE("&amp;AI94&amp;",0,D,D)")</f>
        <v>6656.92</v>
      </c>
      <c r="AE94" s="9" cm="1">
        <f t="array" aca="1" ref="AE94" ca="1">_xll.FDS($E$9,"P_PRICE("&amp;AJ94&amp;",0,D,D)")</f>
        <v>6512.61</v>
      </c>
      <c r="AF94" s="9" cm="1">
        <f t="array" aca="1" ref="AF94" ca="1">_xll.FDS($E$9,"P_PRICE("&amp;AK94&amp;",0,D,D)")</f>
        <v>6268.56</v>
      </c>
      <c r="AG94" s="20">
        <f t="shared" ca="1" si="33"/>
        <v>45937</v>
      </c>
      <c r="AH94" s="22">
        <f t="shared" ca="1" si="28"/>
        <v>45930</v>
      </c>
      <c r="AI94" s="22">
        <f t="shared" ca="1" si="29"/>
        <v>45923</v>
      </c>
      <c r="AJ94" s="22">
        <f t="shared" ca="1" si="30"/>
        <v>45909</v>
      </c>
      <c r="AK94" s="22">
        <f t="shared" ca="1" si="31"/>
        <v>45852</v>
      </c>
      <c r="AL94" s="22">
        <f t="shared" ca="1" si="32"/>
        <v>45763</v>
      </c>
    </row>
    <row r="95" spans="4:38" x14ac:dyDescent="0.25">
      <c r="D95" s="6">
        <f ca="1"/>
        <v>45936</v>
      </c>
      <c r="E95" s="28" cm="1">
        <f t="array" aca="1" ref="E95" ca="1">_xll.FDS($E$7,"P_PRICE("&amp;D95&amp;",0,D,D)")</f>
        <v>118.14</v>
      </c>
      <c r="F95" s="29" cm="1">
        <f t="array" aca="1" ref="F95" ca="1">_xll.FDS($E$7,"P_BETA_LOCIDX("&amp;$AG95&amp;","&amp;$AL95&amp;",,"""&amp;$E$9&amp;""")")</f>
        <v>1.3114882000000001</v>
      </c>
      <c r="G95" s="30">
        <f t="shared" ca="1" si="18"/>
        <v>1.5412367792257796E-2</v>
      </c>
      <c r="H95" s="30">
        <f t="shared" ca="1" si="18"/>
        <v>2.0695219354784876E-2</v>
      </c>
      <c r="I95" s="30">
        <f t="shared" ca="1" si="18"/>
        <v>4.7604699271284814E-3</v>
      </c>
      <c r="J95" s="30">
        <f t="shared" ca="1" si="18"/>
        <v>0.13976873840301957</v>
      </c>
      <c r="K95" s="30">
        <f t="shared" ca="1" si="19"/>
        <v>1.5567647915919193E-2</v>
      </c>
      <c r="L95" s="30">
        <f t="shared" ca="1" si="19"/>
        <v>9.1164961263865748E-3</v>
      </c>
      <c r="M95" s="30">
        <f t="shared" ca="1" si="19"/>
        <v>4.9496178297037056E-2</v>
      </c>
      <c r="N95" s="30">
        <f t="shared" ca="1" si="19"/>
        <v>0.10067645269315867</v>
      </c>
      <c r="O95" s="30">
        <f t="shared" ca="1" si="20"/>
        <v>3.0980015708176989E-2</v>
      </c>
      <c r="P95" s="30">
        <f t="shared" ca="1" si="21"/>
        <v>2.9811715481171452E-2</v>
      </c>
      <c r="Q95" s="30">
        <f t="shared" ca="1" si="22"/>
        <v>5.4256648224165538E-2</v>
      </c>
      <c r="R95" s="30">
        <f t="shared" ca="1" si="23"/>
        <v>0.24044519109617823</v>
      </c>
      <c r="S95" s="9" cm="1">
        <f t="array" aca="1" ref="S95" ca="1">_xll.FDS($E$7,"P_PRICE("&amp;AG95&amp;",0,D,D)")</f>
        <v>118.14</v>
      </c>
      <c r="T95" s="9" cm="1">
        <f t="array" aca="1" ref="T95" ca="1">_xll.FDS($E$7,"P_PRICE("&amp;AH95&amp;",0,D,D)")</f>
        <v>114.59</v>
      </c>
      <c r="U95" s="9" cm="1">
        <f t="array" aca="1" ref="U95" ca="1">_xll.FDS($E$7,"P_PRICE("&amp;AI95&amp;",0,D,D)")</f>
        <v>114.72</v>
      </c>
      <c r="V95" s="9" cm="1">
        <f t="array" aca="1" ref="V95" ca="1">_xll.FDS($E$7,"P_PRICE("&amp;AJ95&amp;",0,D,D)")</f>
        <v>112.06</v>
      </c>
      <c r="W95" s="9" cm="1">
        <f t="array" aca="1" ref="W95" ca="1">_xll.FDS($E$7,"P_PRICE("&amp;AK95&amp;",0,D,D)")</f>
        <v>95.24</v>
      </c>
      <c r="X95" s="24">
        <f t="shared" ca="1" si="24"/>
        <v>1.1870215771609072E-2</v>
      </c>
      <c r="Y95" s="24">
        <f t="shared" ca="1" si="25"/>
        <v>6.9512605042016951E-3</v>
      </c>
      <c r="Z95" s="24">
        <f t="shared" ca="1" si="26"/>
        <v>3.7740467887577678E-2</v>
      </c>
      <c r="AA95" s="24">
        <f t="shared" ca="1" si="27"/>
        <v>7.6765046527417224E-2</v>
      </c>
      <c r="AB95" s="9" cm="1">
        <f t="array" aca="1" ref="AB95" ca="1">_xll.FDS($E$9,"P_PRICE("&amp;AG95&amp;",0,D,D)")</f>
        <v>6740.28</v>
      </c>
      <c r="AC95" s="9" cm="1">
        <f t="array" aca="1" ref="AC95" ca="1">_xll.FDS($E$9,"P_PRICE("&amp;AH95&amp;",0,D,D)")</f>
        <v>6661.21</v>
      </c>
      <c r="AD95" s="9" cm="1">
        <f t="array" aca="1" ref="AD95" ca="1">_xll.FDS($E$9,"P_PRICE("&amp;AI95&amp;",0,D,D)")</f>
        <v>6693.75</v>
      </c>
      <c r="AE95" s="9" cm="1">
        <f t="array" aca="1" ref="AE95" ca="1">_xll.FDS($E$9,"P_PRICE("&amp;AJ95&amp;",0,D,D)")</f>
        <v>6495.15</v>
      </c>
      <c r="AF95" s="9" cm="1">
        <f t="array" aca="1" ref="AF95" ca="1">_xll.FDS($E$9,"P_PRICE("&amp;AK95&amp;",0,D,D)")</f>
        <v>6259.75</v>
      </c>
      <c r="AG95" s="20">
        <f t="shared" ca="1" si="33"/>
        <v>45936</v>
      </c>
      <c r="AH95" s="22">
        <f t="shared" ca="1" si="28"/>
        <v>45929</v>
      </c>
      <c r="AI95" s="22">
        <f t="shared" ca="1" si="29"/>
        <v>45922</v>
      </c>
      <c r="AJ95" s="22">
        <f t="shared" ca="1" si="30"/>
        <v>45908</v>
      </c>
      <c r="AK95" s="22">
        <f t="shared" ca="1" si="31"/>
        <v>45849</v>
      </c>
      <c r="AL95" s="22">
        <f t="shared" ca="1" si="32"/>
        <v>45762</v>
      </c>
    </row>
    <row r="96" spans="4:38" x14ac:dyDescent="0.25">
      <c r="D96" s="6">
        <f ca="1"/>
        <v>45933</v>
      </c>
      <c r="E96" s="28" cm="1">
        <f t="array" aca="1" ref="E96" ca="1">_xll.FDS($E$7,"P_PRICE("&amp;D96&amp;",0,D,D)")</f>
        <v>119.96</v>
      </c>
      <c r="F96" s="29" cm="1">
        <f t="array" aca="1" ref="F96" ca="1">_xll.FDS($E$7,"P_BETA_LOCIDX("&amp;$AG96&amp;","&amp;$AL96&amp;",,"""&amp;$E$9&amp;""")")</f>
        <v>1.317536</v>
      </c>
      <c r="G96" s="30">
        <f t="shared" ca="1" si="18"/>
        <v>4.1039193930214261E-2</v>
      </c>
      <c r="H96" s="30">
        <f t="shared" ca="1" si="18"/>
        <v>5.0580427274308816E-2</v>
      </c>
      <c r="I96" s="30">
        <f t="shared" ca="1" si="18"/>
        <v>2.0014101200705785E-2</v>
      </c>
      <c r="J96" s="30">
        <f t="shared" ca="1" si="18"/>
        <v>0.15969180004256467</v>
      </c>
      <c r="K96" s="30">
        <f t="shared" ca="1" si="19"/>
        <v>1.429642672607135E-2</v>
      </c>
      <c r="L96" s="30">
        <f t="shared" ca="1" si="19"/>
        <v>1.0167649478719586E-2</v>
      </c>
      <c r="M96" s="30">
        <f t="shared" ca="1" si="19"/>
        <v>4.7625628240376423E-2</v>
      </c>
      <c r="N96" s="30">
        <f t="shared" ca="1" si="19"/>
        <v>9.1324990029392664E-2</v>
      </c>
      <c r="O96" s="30">
        <f t="shared" ca="1" si="20"/>
        <v>5.5335620656285611E-2</v>
      </c>
      <c r="P96" s="30">
        <f t="shared" ca="1" si="21"/>
        <v>6.0748076753028402E-2</v>
      </c>
      <c r="Q96" s="30">
        <f t="shared" ca="1" si="22"/>
        <v>6.7639729441082208E-2</v>
      </c>
      <c r="R96" s="30">
        <f t="shared" ca="1" si="23"/>
        <v>0.25101679007195732</v>
      </c>
      <c r="S96" s="9" cm="1">
        <f t="array" aca="1" ref="S96" ca="1">_xll.FDS($E$7,"P_PRICE("&amp;AG96&amp;",0,D,D)")</f>
        <v>119.96</v>
      </c>
      <c r="T96" s="9" cm="1">
        <f t="array" aca="1" ref="T96" ca="1">_xll.FDS($E$7,"P_PRICE("&amp;AH96&amp;",0,D,D)")</f>
        <v>113.67</v>
      </c>
      <c r="U96" s="9" cm="1">
        <f t="array" aca="1" ref="U96" ca="1">_xll.FDS($E$7,"P_PRICE("&amp;AI96&amp;",0,D,D)")</f>
        <v>113.09</v>
      </c>
      <c r="V96" s="9" cm="1">
        <f t="array" aca="1" ref="V96" ca="1">_xll.FDS($E$7,"P_PRICE("&amp;AJ96&amp;",0,D,D)")</f>
        <v>112.36</v>
      </c>
      <c r="W96" s="9" cm="1">
        <f t="array" aca="1" ref="W96" ca="1">_xll.FDS($E$7,"P_PRICE("&amp;AK96&amp;",0,D,D)")</f>
        <v>95.89</v>
      </c>
      <c r="X96" s="24">
        <f t="shared" ca="1" si="24"/>
        <v>1.08508812860304E-2</v>
      </c>
      <c r="Y96" s="24">
        <f t="shared" ca="1" si="25"/>
        <v>7.717170140868701E-3</v>
      </c>
      <c r="Z96" s="24">
        <f t="shared" ca="1" si="26"/>
        <v>3.6147496721437911E-2</v>
      </c>
      <c r="AA96" s="24">
        <f t="shared" ca="1" si="27"/>
        <v>6.9314986481881835E-2</v>
      </c>
      <c r="AB96" s="9" cm="1">
        <f t="array" aca="1" ref="AB96" ca="1">_xll.FDS($E$9,"P_PRICE("&amp;AG96&amp;",0,D,D)")</f>
        <v>6715.79</v>
      </c>
      <c r="AC96" s="9" cm="1">
        <f t="array" aca="1" ref="AC96" ca="1">_xll.FDS($E$9,"P_PRICE("&amp;AH96&amp;",0,D,D)")</f>
        <v>6643.7</v>
      </c>
      <c r="AD96" s="9" cm="1">
        <f t="array" aca="1" ref="AD96" ca="1">_xll.FDS($E$9,"P_PRICE("&amp;AI96&amp;",0,D,D)")</f>
        <v>6664.36</v>
      </c>
      <c r="AE96" s="9" cm="1">
        <f t="array" aca="1" ref="AE96" ca="1">_xll.FDS($E$9,"P_PRICE("&amp;AJ96&amp;",0,D,D)")</f>
        <v>6481.5</v>
      </c>
      <c r="AF96" s="9" cm="1">
        <f t="array" aca="1" ref="AF96" ca="1">_xll.FDS($E$9,"P_PRICE("&amp;AK96&amp;",0,D,D)")</f>
        <v>6280.46</v>
      </c>
      <c r="AG96" s="20">
        <f t="shared" ca="1" si="33"/>
        <v>45933</v>
      </c>
      <c r="AH96" s="22">
        <f t="shared" ca="1" si="28"/>
        <v>45926</v>
      </c>
      <c r="AI96" s="22">
        <f t="shared" ca="1" si="29"/>
        <v>45919</v>
      </c>
      <c r="AJ96" s="22">
        <f t="shared" ca="1" si="30"/>
        <v>45905</v>
      </c>
      <c r="AK96" s="22">
        <f t="shared" ca="1" si="31"/>
        <v>45848</v>
      </c>
      <c r="AL96" s="22">
        <f t="shared" ca="1" si="32"/>
        <v>45761</v>
      </c>
    </row>
    <row r="97" spans="4:38" x14ac:dyDescent="0.25">
      <c r="D97" s="6">
        <f ca="1"/>
        <v>45932</v>
      </c>
      <c r="E97" s="28" cm="1">
        <f t="array" aca="1" ref="E97" ca="1">_xll.FDS($E$7,"P_PRICE("&amp;D97&amp;",0,D,D)")</f>
        <v>121.14</v>
      </c>
      <c r="F97" s="29" cm="1">
        <f t="array" aca="1" ref="F97" ca="1">_xll.FDS($E$7,"P_BETA_LOCIDX("&amp;$AG97&amp;","&amp;$AL97&amp;",,"""&amp;$E$9&amp;""")")</f>
        <v>1.3008221</v>
      </c>
      <c r="G97" s="30">
        <f t="shared" ca="1" si="18"/>
        <v>6.1946954511664584E-2</v>
      </c>
      <c r="H97" s="30">
        <f t="shared" ca="1" si="18"/>
        <v>6.0826513300154171E-2</v>
      </c>
      <c r="I97" s="30">
        <f t="shared" ca="1" si="18"/>
        <v>4.2719293911755281E-2</v>
      </c>
      <c r="J97" s="30">
        <f t="shared" ca="1" si="18"/>
        <v>0.16183219054430004</v>
      </c>
      <c r="K97" s="30">
        <f t="shared" ca="1" si="19"/>
        <v>2.1788955311201688E-2</v>
      </c>
      <c r="L97" s="30">
        <f t="shared" ca="1" si="19"/>
        <v>1.635648509927682E-2</v>
      </c>
      <c r="M97" s="30">
        <f t="shared" ca="1" si="19"/>
        <v>4.2667320190923612E-2</v>
      </c>
      <c r="N97" s="30">
        <f t="shared" ca="1" si="19"/>
        <v>9.3894978523803976E-2</v>
      </c>
      <c r="O97" s="30">
        <f t="shared" ca="1" si="20"/>
        <v>8.3735909822866272E-2</v>
      </c>
      <c r="P97" s="30">
        <f t="shared" ca="1" si="21"/>
        <v>7.7182998399430991E-2</v>
      </c>
      <c r="Q97" s="30">
        <f t="shared" ca="1" si="22"/>
        <v>8.5386614102678893E-2</v>
      </c>
      <c r="R97" s="30">
        <f t="shared" ca="1" si="23"/>
        <v>0.255727169068104</v>
      </c>
      <c r="S97" s="9" cm="1">
        <f t="array" aca="1" ref="S97" ca="1">_xll.FDS($E$7,"P_PRICE("&amp;AG97&amp;",0,D,D)")</f>
        <v>121.14</v>
      </c>
      <c r="T97" s="9" cm="1">
        <f t="array" aca="1" ref="T97" ca="1">_xll.FDS($E$7,"P_PRICE("&amp;AH97&amp;",0,D,D)")</f>
        <v>111.78</v>
      </c>
      <c r="U97" s="9" cm="1">
        <f t="array" aca="1" ref="U97" ca="1">_xll.FDS($E$7,"P_PRICE("&amp;AI97&amp;",0,D,D)")</f>
        <v>112.46</v>
      </c>
      <c r="V97" s="9" cm="1">
        <f t="array" aca="1" ref="V97" ca="1">_xll.FDS($E$7,"P_PRICE("&amp;AJ97&amp;",0,D,D)")</f>
        <v>111.61</v>
      </c>
      <c r="W97" s="9" cm="1">
        <f t="array" aca="1" ref="W97" ca="1">_xll.FDS($E$7,"P_PRICE("&amp;AK97&amp;",0,D,D)")</f>
        <v>96.47</v>
      </c>
      <c r="X97" s="24">
        <f t="shared" ca="1" si="24"/>
        <v>1.6750142322460304E-2</v>
      </c>
      <c r="Y97" s="24">
        <f t="shared" ca="1" si="25"/>
        <v>1.2573960035947129E-2</v>
      </c>
      <c r="Z97" s="24">
        <f t="shared" ca="1" si="26"/>
        <v>3.2800273143363423E-2</v>
      </c>
      <c r="AA97" s="24">
        <f t="shared" ca="1" si="27"/>
        <v>7.2181260238278533E-2</v>
      </c>
      <c r="AB97" s="9" cm="1">
        <f t="array" aca="1" ref="AB97" ca="1">_xll.FDS($E$9,"P_PRICE("&amp;AG97&amp;",0,D,D)")</f>
        <v>6715.35</v>
      </c>
      <c r="AC97" s="9" cm="1">
        <f t="array" aca="1" ref="AC97" ca="1">_xll.FDS($E$9,"P_PRICE("&amp;AH97&amp;",0,D,D)")</f>
        <v>6604.72</v>
      </c>
      <c r="AD97" s="9" cm="1">
        <f t="array" aca="1" ref="AD97" ca="1">_xll.FDS($E$9,"P_PRICE("&amp;AI97&amp;",0,D,D)")</f>
        <v>6631.96</v>
      </c>
      <c r="AE97" s="9" cm="1">
        <f t="array" aca="1" ref="AE97" ca="1">_xll.FDS($E$9,"P_PRICE("&amp;AJ97&amp;",0,D,D)")</f>
        <v>6502.08</v>
      </c>
      <c r="AF97" s="9" cm="1">
        <f t="array" aca="1" ref="AF97" ca="1">_xll.FDS($E$9,"P_PRICE("&amp;AK97&amp;",0,D,D)")</f>
        <v>6263.26</v>
      </c>
      <c r="AG97" s="20">
        <f t="shared" ca="1" si="33"/>
        <v>45932</v>
      </c>
      <c r="AH97" s="22">
        <f t="shared" ca="1" si="28"/>
        <v>45925</v>
      </c>
      <c r="AI97" s="22">
        <f t="shared" ca="1" si="29"/>
        <v>45918</v>
      </c>
      <c r="AJ97" s="22">
        <f t="shared" ca="1" si="30"/>
        <v>45904</v>
      </c>
      <c r="AK97" s="22">
        <f t="shared" ca="1" si="31"/>
        <v>45847</v>
      </c>
      <c r="AL97" s="22">
        <f t="shared" ca="1" si="32"/>
        <v>45758</v>
      </c>
    </row>
    <row r="98" spans="4:38" x14ac:dyDescent="0.25">
      <c r="D98" s="6">
        <f ca="1"/>
        <v>45931</v>
      </c>
      <c r="E98" s="28" cm="1">
        <f t="array" aca="1" ref="E98" ca="1">_xll.FDS($E$7,"P_PRICE("&amp;D98&amp;",0,D,D)")</f>
        <v>119.85</v>
      </c>
      <c r="F98" s="29" cm="1">
        <f t="array" aca="1" ref="F98" ca="1">_xll.FDS($E$7,"P_BETA_LOCIDX("&amp;$AG98&amp;","&amp;$AL98&amp;",,"""&amp;$E$9&amp;""")")</f>
        <v>1.3853129</v>
      </c>
      <c r="G98" s="30">
        <f t="shared" ca="1" si="18"/>
        <v>4.9104457202318305E-2</v>
      </c>
      <c r="H98" s="30">
        <f t="shared" ca="1" si="18"/>
        <v>5.4037644731837899E-2</v>
      </c>
      <c r="I98" s="30">
        <f t="shared" ca="1" si="18"/>
        <v>1.4461116267527663E-2</v>
      </c>
      <c r="J98" s="30">
        <f t="shared" ca="1" si="18"/>
        <v>0.15816974851710713</v>
      </c>
      <c r="K98" s="30">
        <f t="shared" ca="1" si="19"/>
        <v>1.5282754165354809E-2</v>
      </c>
      <c r="L98" s="30">
        <f t="shared" ca="1" si="19"/>
        <v>2.3265726054678824E-2</v>
      </c>
      <c r="M98" s="30">
        <f t="shared" ca="1" si="19"/>
        <v>5.6488754164069066E-2</v>
      </c>
      <c r="N98" s="30">
        <f t="shared" ca="1" si="19"/>
        <v>0.10807430853519055</v>
      </c>
      <c r="O98" s="30">
        <f t="shared" ca="1" si="20"/>
        <v>6.4387211367673114E-2</v>
      </c>
      <c r="P98" s="30">
        <f t="shared" ca="1" si="21"/>
        <v>7.7303370786516723E-2</v>
      </c>
      <c r="Q98" s="30">
        <f t="shared" ca="1" si="22"/>
        <v>7.0949870431596729E-2</v>
      </c>
      <c r="R98" s="30">
        <f t="shared" ca="1" si="23"/>
        <v>0.2662440570522977</v>
      </c>
      <c r="S98" s="9" cm="1">
        <f t="array" aca="1" ref="S98" ca="1">_xll.FDS($E$7,"P_PRICE("&amp;AG98&amp;",0,D,D)")</f>
        <v>119.85</v>
      </c>
      <c r="T98" s="9" cm="1">
        <f t="array" aca="1" ref="T98" ca="1">_xll.FDS($E$7,"P_PRICE("&amp;AH98&amp;",0,D,D)")</f>
        <v>112.6</v>
      </c>
      <c r="U98" s="9" cm="1">
        <f t="array" aca="1" ref="U98" ca="1">_xll.FDS($E$7,"P_PRICE("&amp;AI98&amp;",0,D,D)")</f>
        <v>111.25</v>
      </c>
      <c r="V98" s="9" cm="1">
        <f t="array" aca="1" ref="V98" ca="1">_xll.FDS($E$7,"P_PRICE("&amp;AJ98&amp;",0,D,D)")</f>
        <v>111.91</v>
      </c>
      <c r="W98" s="9" cm="1">
        <f t="array" aca="1" ref="W98" ca="1">_xll.FDS($E$7,"P_PRICE("&amp;AK98&amp;",0,D,D)")</f>
        <v>94.65</v>
      </c>
      <c r="X98" s="24">
        <f t="shared" ca="1" si="24"/>
        <v>1.1031987188854453E-2</v>
      </c>
      <c r="Y98" s="24">
        <f t="shared" ca="1" si="25"/>
        <v>1.6794563924640293E-2</v>
      </c>
      <c r="Z98" s="24">
        <f t="shared" ca="1" si="26"/>
        <v>4.0776891750642807E-2</v>
      </c>
      <c r="AA98" s="24">
        <f t="shared" ca="1" si="27"/>
        <v>7.8014366671378399E-2</v>
      </c>
      <c r="AB98" s="9" cm="1">
        <f t="array" aca="1" ref="AB98" ca="1">_xll.FDS($E$9,"P_PRICE("&amp;AG98&amp;",0,D,D)")</f>
        <v>6711.2</v>
      </c>
      <c r="AC98" s="9" cm="1">
        <f t="array" aca="1" ref="AC98" ca="1">_xll.FDS($E$9,"P_PRICE("&amp;AH98&amp;",0,D,D)")</f>
        <v>6637.97</v>
      </c>
      <c r="AD98" s="9" cm="1">
        <f t="array" aca="1" ref="AD98" ca="1">_xll.FDS($E$9,"P_PRICE("&amp;AI98&amp;",0,D,D)")</f>
        <v>6600.35</v>
      </c>
      <c r="AE98" s="9" cm="1">
        <f t="array" aca="1" ref="AE98" ca="1">_xll.FDS($E$9,"P_PRICE("&amp;AJ98&amp;",0,D,D)")</f>
        <v>6448.26</v>
      </c>
      <c r="AF98" s="9" cm="1">
        <f t="array" aca="1" ref="AF98" ca="1">_xll.FDS($E$9,"P_PRICE("&amp;AK98&amp;",0,D,D)")</f>
        <v>6225.52</v>
      </c>
      <c r="AG98" s="20">
        <f t="shared" ca="1" si="33"/>
        <v>45931</v>
      </c>
      <c r="AH98" s="22">
        <f t="shared" ca="1" si="28"/>
        <v>45924</v>
      </c>
      <c r="AI98" s="22">
        <f t="shared" ca="1" si="29"/>
        <v>45917</v>
      </c>
      <c r="AJ98" s="22">
        <f t="shared" ca="1" si="30"/>
        <v>45903</v>
      </c>
      <c r="AK98" s="22">
        <f t="shared" ca="1" si="31"/>
        <v>45846</v>
      </c>
      <c r="AL98" s="22">
        <f t="shared" ca="1" si="32"/>
        <v>45757</v>
      </c>
    </row>
    <row r="99" spans="4:38" x14ac:dyDescent="0.25">
      <c r="D99" s="6">
        <f ca="1"/>
        <v>45930</v>
      </c>
      <c r="E99" s="28" cm="1">
        <f t="array" aca="1" ref="E99" ca="1">_xll.FDS($E$7,"P_PRICE("&amp;D99&amp;",0,D,D)")</f>
        <v>119.9</v>
      </c>
      <c r="F99" s="29" cm="1">
        <f t="array" aca="1" ref="F99" ca="1">_xll.FDS($E$7,"P_BETA_LOCIDX("&amp;$AG99&amp;","&amp;$AL99&amp;",,"""&amp;$E$9&amp;""")")</f>
        <v>1.2589328</v>
      </c>
      <c r="G99" s="30">
        <f t="shared" ca="1" si="18"/>
        <v>4.4867871465568449E-2</v>
      </c>
      <c r="H99" s="30">
        <f t="shared" ca="1" si="18"/>
        <v>4.9925529579404541E-2</v>
      </c>
      <c r="I99" s="30">
        <f t="shared" ca="1" si="18"/>
        <v>2.390668141167037E-2</v>
      </c>
      <c r="J99" s="30">
        <f t="shared" ca="1" si="18"/>
        <v>0.17828686439756791</v>
      </c>
      <c r="K99" s="30">
        <f t="shared" ca="1" si="19"/>
        <v>5.9647315142738171E-3</v>
      </c>
      <c r="L99" s="30">
        <f t="shared" ca="1" si="19"/>
        <v>1.5568116559402831E-2</v>
      </c>
      <c r="M99" s="30">
        <f t="shared" ca="1" si="19"/>
        <v>5.3555575957129155E-2</v>
      </c>
      <c r="N99" s="30">
        <f t="shared" ca="1" si="19"/>
        <v>9.264805186276702E-2</v>
      </c>
      <c r="O99" s="30">
        <f t="shared" ca="1" si="20"/>
        <v>5.0832602979842267E-2</v>
      </c>
      <c r="P99" s="30">
        <f t="shared" ca="1" si="21"/>
        <v>6.5493646138807371E-2</v>
      </c>
      <c r="Q99" s="30">
        <f t="shared" ca="1" si="22"/>
        <v>7.7462257368799525E-2</v>
      </c>
      <c r="R99" s="30">
        <f t="shared" ca="1" si="23"/>
        <v>0.27093491626033495</v>
      </c>
      <c r="S99" s="9" cm="1">
        <f t="array" aca="1" ref="S99" ca="1">_xll.FDS($E$7,"P_PRICE("&amp;AG99&amp;",0,D,D)")</f>
        <v>119.9</v>
      </c>
      <c r="T99" s="9" cm="1">
        <f t="array" aca="1" ref="T99" ca="1">_xll.FDS($E$7,"P_PRICE("&amp;AH99&amp;",0,D,D)")</f>
        <v>114.1</v>
      </c>
      <c r="U99" s="9" cm="1">
        <f t="array" aca="1" ref="U99" ca="1">_xll.FDS($E$7,"P_PRICE("&amp;AI99&amp;",0,D,D)")</f>
        <v>112.53</v>
      </c>
      <c r="V99" s="9" cm="1">
        <f t="array" aca="1" ref="V99" ca="1">_xll.FDS($E$7,"P_PRICE("&amp;AJ99&amp;",0,D,D)")</f>
        <v>111.28</v>
      </c>
      <c r="W99" s="9" cm="1">
        <f t="array" aca="1" ref="W99" ca="1">_xll.FDS($E$7,"P_PRICE("&amp;AK99&amp;",0,D,D)")</f>
        <v>94.34</v>
      </c>
      <c r="X99" s="24">
        <f t="shared" ca="1" si="24"/>
        <v>4.7379268490532755E-3</v>
      </c>
      <c r="Y99" s="24">
        <f t="shared" ca="1" si="25"/>
        <v>1.2366121972040789E-2</v>
      </c>
      <c r="Z99" s="24">
        <f t="shared" ca="1" si="26"/>
        <v>4.254045645417226E-2</v>
      </c>
      <c r="AA99" s="24">
        <f t="shared" ca="1" si="27"/>
        <v>7.3592531597212352E-2</v>
      </c>
      <c r="AB99" s="9" cm="1">
        <f t="array" aca="1" ref="AB99" ca="1">_xll.FDS($E$9,"P_PRICE("&amp;AG99&amp;",0,D,D)")</f>
        <v>6688.46</v>
      </c>
      <c r="AC99" s="9" cm="1">
        <f t="array" aca="1" ref="AC99" ca="1">_xll.FDS($E$9,"P_PRICE("&amp;AH99&amp;",0,D,D)")</f>
        <v>6656.92</v>
      </c>
      <c r="AD99" s="9" cm="1">
        <f t="array" aca="1" ref="AD99" ca="1">_xll.FDS($E$9,"P_PRICE("&amp;AI99&amp;",0,D,D)")</f>
        <v>6606.76</v>
      </c>
      <c r="AE99" s="9" cm="1">
        <f t="array" aca="1" ref="AE99" ca="1">_xll.FDS($E$9,"P_PRICE("&amp;AJ99&amp;",0,D,D)")</f>
        <v>6415.54</v>
      </c>
      <c r="AF99" s="9" cm="1">
        <f t="array" aca="1" ref="AF99" ca="1">_xll.FDS($E$9,"P_PRICE("&amp;AK99&amp;",0,D,D)")</f>
        <v>6229.98</v>
      </c>
      <c r="AG99" s="20">
        <f t="shared" ca="1" si="33"/>
        <v>45930</v>
      </c>
      <c r="AH99" s="22">
        <f t="shared" ca="1" si="28"/>
        <v>45923</v>
      </c>
      <c r="AI99" s="22">
        <f t="shared" ca="1" si="29"/>
        <v>45916</v>
      </c>
      <c r="AJ99" s="22">
        <f t="shared" ca="1" si="30"/>
        <v>45902</v>
      </c>
      <c r="AK99" s="22">
        <f t="shared" ca="1" si="31"/>
        <v>45845</v>
      </c>
      <c r="AL99" s="22">
        <f t="shared" ca="1" si="32"/>
        <v>45756</v>
      </c>
    </row>
    <row r="100" spans="4:38" x14ac:dyDescent="0.25">
      <c r="D100" s="6">
        <f ca="1"/>
        <v>45929</v>
      </c>
      <c r="E100" s="28" cm="1">
        <f t="array" aca="1" ref="E100" ca="1">_xll.FDS($E$7,"P_PRICE("&amp;D100&amp;",0,D,D)")</f>
        <v>114.59</v>
      </c>
      <c r="F100" s="29" cm="1">
        <f t="array" aca="1" ref="F100" ca="1">_xll.FDS($E$7,"P_BETA_LOCIDX("&amp;$AG100&amp;","&amp;$AL100&amp;",,"""&amp;$E$9&amp;""")")</f>
        <v>1.2462329000000001</v>
      </c>
      <c r="G100" s="30">
        <f t="shared" ca="1" si="18"/>
        <v>4.9250572763258798E-3</v>
      </c>
      <c r="H100" s="30">
        <f t="shared" ca="1" si="18"/>
        <v>3.268966551565302E-3</v>
      </c>
      <c r="I100" s="30">
        <f t="shared" ca="1" si="18"/>
        <v>-2.4245072289739392E-2</v>
      </c>
      <c r="J100" s="30" t="e">
        <f t="shared" ca="1" si="18"/>
        <v>#VALUE!</v>
      </c>
      <c r="K100" s="30">
        <f t="shared" ca="1" si="19"/>
        <v>-6.058251139645217E-3</v>
      </c>
      <c r="L100" s="30">
        <f t="shared" ca="1" si="19"/>
        <v>8.6526159281239169E-3</v>
      </c>
      <c r="M100" s="30">
        <f t="shared" ca="1" si="19"/>
        <v>3.876477127158974E-2</v>
      </c>
      <c r="N100" s="30" t="e">
        <f t="shared" ca="1" si="19"/>
        <v>#VALUE!</v>
      </c>
      <c r="O100" s="30">
        <f t="shared" ca="1" si="20"/>
        <v>-1.1331938633193372E-3</v>
      </c>
      <c r="P100" s="30">
        <f t="shared" ca="1" si="21"/>
        <v>1.1921582479689219E-2</v>
      </c>
      <c r="Q100" s="30">
        <f t="shared" ca="1" si="22"/>
        <v>1.4519698981850349E-2</v>
      </c>
      <c r="R100" s="30" t="e">
        <f t="shared" ca="1" si="23"/>
        <v>#VALUE!</v>
      </c>
      <c r="S100" s="9" cm="1">
        <f t="array" aca="1" ref="S100" ca="1">_xll.FDS($E$7,"P_PRICE("&amp;AG100&amp;",0,D,D)")</f>
        <v>114.59</v>
      </c>
      <c r="T100" s="9" cm="1">
        <f t="array" aca="1" ref="T100" ca="1">_xll.FDS($E$7,"P_PRICE("&amp;AH100&amp;",0,D,D)")</f>
        <v>114.72</v>
      </c>
      <c r="U100" s="9" cm="1">
        <f t="array" aca="1" ref="U100" ca="1">_xll.FDS($E$7,"P_PRICE("&amp;AI100&amp;",0,D,D)")</f>
        <v>113.24</v>
      </c>
      <c r="V100" s="9" cm="1">
        <f t="array" aca="1" ref="V100" ca="1">_xll.FDS($E$7,"P_PRICE("&amp;AJ100&amp;",0,D,D)")</f>
        <v>112.95</v>
      </c>
      <c r="W100" s="9" t="str" cm="1">
        <f t="array" aca="1" ref="W100" ca="1">_xll.FDS($E$7,"P_PRICE("&amp;AK100&amp;",0,D,D)")</f>
        <v>#N/A N/A</v>
      </c>
      <c r="X100" s="24">
        <f t="shared" ca="1" si="24"/>
        <v>-4.8612511671335401E-3</v>
      </c>
      <c r="Y100" s="24">
        <f t="shared" ca="1" si="25"/>
        <v>6.9430167732884573E-3</v>
      </c>
      <c r="Z100" s="24">
        <f t="shared" ca="1" si="26"/>
        <v>3.110555921897884E-2</v>
      </c>
      <c r="AA100" s="24" t="e">
        <f t="shared" ca="1" si="27"/>
        <v>#VALUE!</v>
      </c>
      <c r="AB100" s="9" cm="1">
        <f t="array" aca="1" ref="AB100" ca="1">_xll.FDS($E$9,"P_PRICE("&amp;AG100&amp;",0,D,D)")</f>
        <v>6661.21</v>
      </c>
      <c r="AC100" s="9" cm="1">
        <f t="array" aca="1" ref="AC100" ca="1">_xll.FDS($E$9,"P_PRICE("&amp;AH100&amp;",0,D,D)")</f>
        <v>6693.75</v>
      </c>
      <c r="AD100" s="9" cm="1">
        <f t="array" aca="1" ref="AD100" ca="1">_xll.FDS($E$9,"P_PRICE("&amp;AI100&amp;",0,D,D)")</f>
        <v>6615.28</v>
      </c>
      <c r="AE100" s="9" cm="1">
        <f t="array" aca="1" ref="AE100" ca="1">_xll.FDS($E$9,"P_PRICE("&amp;AJ100&amp;",0,D,D)")</f>
        <v>6460.26</v>
      </c>
      <c r="AF100" s="9" t="str" cm="1">
        <f t="array" aca="1" ref="AF100" ca="1">_xll.FDS($E$9,"P_PRICE("&amp;AK100&amp;",0,D,D)")</f>
        <v>#N/A N/A</v>
      </c>
      <c r="AG100" s="20">
        <f t="shared" ca="1" si="33"/>
        <v>45929</v>
      </c>
      <c r="AH100" s="22">
        <f t="shared" ca="1" si="28"/>
        <v>45922</v>
      </c>
      <c r="AI100" s="22">
        <f t="shared" ca="1" si="29"/>
        <v>45915</v>
      </c>
      <c r="AJ100" s="22">
        <f t="shared" ca="1" si="30"/>
        <v>45898</v>
      </c>
      <c r="AK100" s="22">
        <f t="shared" ca="1" si="31"/>
        <v>45842</v>
      </c>
      <c r="AL100" s="22">
        <f t="shared" ca="1" si="32"/>
        <v>45755</v>
      </c>
    </row>
    <row r="101" spans="4:38" x14ac:dyDescent="0.25">
      <c r="D101" s="6">
        <f ca="1"/>
        <v>45926</v>
      </c>
      <c r="E101" s="28" cm="1">
        <f t="array" aca="1" ref="E101" ca="1">_xll.FDS($E$7,"P_PRICE("&amp;D101&amp;",0,D,D)")</f>
        <v>113.67</v>
      </c>
      <c r="F101" s="29" cm="1">
        <f t="array" aca="1" ref="F101" ca="1">_xll.FDS($E$7,"P_BETA_LOCIDX("&amp;$AG101&amp;","&amp;$AL101&amp;",,"""&amp;$E$9&amp;""")")</f>
        <v>1.2443093999999999</v>
      </c>
      <c r="G101" s="30">
        <f t="shared" ca="1" si="18"/>
        <v>8.9861080986327838E-3</v>
      </c>
      <c r="H101" s="30">
        <f t="shared" ca="1" si="18"/>
        <v>-8.7580409599523242E-3</v>
      </c>
      <c r="I101" s="30">
        <f t="shared" ca="1" si="18"/>
        <v>-2.2904320488473622E-2</v>
      </c>
      <c r="J101" s="30">
        <f t="shared" ca="1" si="18"/>
        <v>0.12508328093001569</v>
      </c>
      <c r="K101" s="30">
        <f t="shared" ca="1" si="19"/>
        <v>-3.8574495081297403E-3</v>
      </c>
      <c r="L101" s="30">
        <f t="shared" ca="1" si="19"/>
        <v>1.1227394518467288E-2</v>
      </c>
      <c r="M101" s="30">
        <f t="shared" ca="1" si="19"/>
        <v>2.7144977790355455E-2</v>
      </c>
      <c r="N101" s="30">
        <f t="shared" ca="1" si="19"/>
        <v>7.2199213276851901E-2</v>
      </c>
      <c r="O101" s="30">
        <f t="shared" ca="1" si="20"/>
        <v>5.1286585905030435E-3</v>
      </c>
      <c r="P101" s="30">
        <f t="shared" ca="1" si="21"/>
        <v>2.469353558514964E-3</v>
      </c>
      <c r="Q101" s="30">
        <f t="shared" ca="1" si="22"/>
        <v>4.2406573018818339E-3</v>
      </c>
      <c r="R101" s="30">
        <f t="shared" ca="1" si="23"/>
        <v>0.19728249420686761</v>
      </c>
      <c r="S101" s="9" cm="1">
        <f t="array" aca="1" ref="S101" ca="1">_xll.FDS($E$7,"P_PRICE("&amp;AG101&amp;",0,D,D)")</f>
        <v>113.67</v>
      </c>
      <c r="T101" s="9" cm="1">
        <f t="array" aca="1" ref="T101" ca="1">_xll.FDS($E$7,"P_PRICE("&amp;AH101&amp;",0,D,D)")</f>
        <v>113.09</v>
      </c>
      <c r="U101" s="9" cm="1">
        <f t="array" aca="1" ref="U101" ca="1">_xll.FDS($E$7,"P_PRICE("&amp;AI101&amp;",0,D,D)")</f>
        <v>113.39</v>
      </c>
      <c r="V101" s="9" cm="1">
        <f t="array" aca="1" ref="V101" ca="1">_xll.FDS($E$7,"P_PRICE("&amp;AJ101&amp;",0,D,D)")</f>
        <v>113.19</v>
      </c>
      <c r="W101" s="9" cm="1">
        <f t="array" aca="1" ref="W101" ca="1">_xll.FDS($E$7,"P_PRICE("&amp;AK101&amp;",0,D,D)")</f>
        <v>94.94</v>
      </c>
      <c r="X101" s="24">
        <f t="shared" ca="1" si="24"/>
        <v>-3.1000726251282362E-3</v>
      </c>
      <c r="Y101" s="24">
        <f t="shared" ca="1" si="25"/>
        <v>9.0229926081626388E-3</v>
      </c>
      <c r="Z101" s="24">
        <f t="shared" ca="1" si="26"/>
        <v>2.1815295930702971E-2</v>
      </c>
      <c r="AA101" s="24">
        <f t="shared" ca="1" si="27"/>
        <v>5.8023521542834855E-2</v>
      </c>
      <c r="AB101" s="9" cm="1">
        <f t="array" aca="1" ref="AB101" ca="1">_xll.FDS($E$9,"P_PRICE("&amp;AG101&amp;",0,D,D)")</f>
        <v>6643.7</v>
      </c>
      <c r="AC101" s="9" cm="1">
        <f t="array" aca="1" ref="AC101" ca="1">_xll.FDS($E$9,"P_PRICE("&amp;AH101&amp;",0,D,D)")</f>
        <v>6664.36</v>
      </c>
      <c r="AD101" s="9" cm="1">
        <f t="array" aca="1" ref="AD101" ca="1">_xll.FDS($E$9,"P_PRICE("&amp;AI101&amp;",0,D,D)")</f>
        <v>6584.29</v>
      </c>
      <c r="AE101" s="9" cm="1">
        <f t="array" aca="1" ref="AE101" ca="1">_xll.FDS($E$9,"P_PRICE("&amp;AJ101&amp;",0,D,D)")</f>
        <v>6501.86</v>
      </c>
      <c r="AF101" s="9" cm="1">
        <f t="array" aca="1" ref="AF101" ca="1">_xll.FDS($E$9,"P_PRICE("&amp;AK101&amp;",0,D,D)")</f>
        <v>6279.35</v>
      </c>
      <c r="AG101" s="20">
        <f t="shared" ca="1" si="33"/>
        <v>45926</v>
      </c>
      <c r="AH101" s="22">
        <f t="shared" ca="1" si="28"/>
        <v>45919</v>
      </c>
      <c r="AI101" s="22">
        <f t="shared" ca="1" si="29"/>
        <v>45912</v>
      </c>
      <c r="AJ101" s="22">
        <f t="shared" ca="1" si="30"/>
        <v>45897</v>
      </c>
      <c r="AK101" s="22">
        <f t="shared" ca="1" si="31"/>
        <v>45841</v>
      </c>
      <c r="AL101" s="22">
        <f t="shared" ca="1" si="32"/>
        <v>45754</v>
      </c>
    </row>
    <row r="102" spans="4:38" x14ac:dyDescent="0.25">
      <c r="D102" s="6">
        <f ca="1"/>
        <v>45925</v>
      </c>
      <c r="E102" s="28" cm="1">
        <f t="array" aca="1" ref="E102" ca="1">_xll.FDS($E$7,"P_PRICE("&amp;D102&amp;",0,D,D)")</f>
        <v>111.78</v>
      </c>
      <c r="F102" s="29" cm="1">
        <f t="array" aca="1" ref="F102" ca="1">_xll.FDS($E$7,"P_BETA_LOCIDX("&amp;$AG102&amp;","&amp;$AL102&amp;",,"""&amp;$E$9&amp;""")")</f>
        <v>1.2121625</v>
      </c>
      <c r="G102" s="30">
        <f t="shared" ca="1" si="18"/>
        <v>-1.067778655176441E-3</v>
      </c>
      <c r="H102" s="30">
        <f t="shared" ca="1" si="18"/>
        <v>-2.6673785001598865E-2</v>
      </c>
      <c r="I102" s="30">
        <f t="shared" ca="1" si="18"/>
        <v>-3.5956487745952406E-2</v>
      </c>
      <c r="J102" s="30">
        <f t="shared" ca="1" si="18"/>
        <v>0.10979161830749413</v>
      </c>
      <c r="K102" s="30">
        <f t="shared" ca="1" si="19"/>
        <v>-4.9788156894793791E-3</v>
      </c>
      <c r="L102" s="30">
        <f t="shared" ca="1" si="19"/>
        <v>3.1741781176991288E-3</v>
      </c>
      <c r="M102" s="30">
        <f t="shared" ca="1" si="19"/>
        <v>2.3063517064214511E-2</v>
      </c>
      <c r="N102" s="30">
        <f t="shared" ca="1" si="19"/>
        <v>7.3441154001175388E-2</v>
      </c>
      <c r="O102" s="30">
        <f t="shared" ca="1" si="20"/>
        <v>-6.0465943446558201E-3</v>
      </c>
      <c r="P102" s="30">
        <f t="shared" ca="1" si="21"/>
        <v>-2.3499606883899737E-2</v>
      </c>
      <c r="Q102" s="30">
        <f t="shared" ca="1" si="22"/>
        <v>-1.2892970681737892E-2</v>
      </c>
      <c r="R102" s="30">
        <f t="shared" ca="1" si="23"/>
        <v>0.18323277230866952</v>
      </c>
      <c r="S102" s="9" cm="1">
        <f t="array" aca="1" ref="S102" ca="1">_xll.FDS($E$7,"P_PRICE("&amp;AG102&amp;",0,D,D)")</f>
        <v>111.78</v>
      </c>
      <c r="T102" s="9" cm="1">
        <f t="array" aca="1" ref="T102" ca="1">_xll.FDS($E$7,"P_PRICE("&amp;AH102&amp;",0,D,D)")</f>
        <v>112.46</v>
      </c>
      <c r="U102" s="9" cm="1">
        <f t="array" aca="1" ref="U102" ca="1">_xll.FDS($E$7,"P_PRICE("&amp;AI102&amp;",0,D,D)")</f>
        <v>114.47</v>
      </c>
      <c r="V102" s="9" cm="1">
        <f t="array" aca="1" ref="V102" ca="1">_xll.FDS($E$7,"P_PRICE("&amp;AJ102&amp;",0,D,D)")</f>
        <v>113.24</v>
      </c>
      <c r="W102" s="9" cm="1">
        <f t="array" aca="1" ref="W102" ca="1">_xll.FDS($E$7,"P_PRICE("&amp;AK102&amp;",0,D,D)")</f>
        <v>94.47</v>
      </c>
      <c r="X102" s="24">
        <f t="shared" ca="1" si="24"/>
        <v>-4.107383036085821E-3</v>
      </c>
      <c r="Y102" s="24">
        <f t="shared" ca="1" si="25"/>
        <v>2.6186077507752703E-3</v>
      </c>
      <c r="Z102" s="24">
        <f t="shared" ca="1" si="26"/>
        <v>1.9026753479186587E-2</v>
      </c>
      <c r="AA102" s="24">
        <f t="shared" ca="1" si="27"/>
        <v>6.0586888310086628E-2</v>
      </c>
      <c r="AB102" s="9" cm="1">
        <f t="array" aca="1" ref="AB102" ca="1">_xll.FDS($E$9,"P_PRICE("&amp;AG102&amp;",0,D,D)")</f>
        <v>6604.72</v>
      </c>
      <c r="AC102" s="9" cm="1">
        <f t="array" aca="1" ref="AC102" ca="1">_xll.FDS($E$9,"P_PRICE("&amp;AH102&amp;",0,D,D)")</f>
        <v>6631.96</v>
      </c>
      <c r="AD102" s="9" cm="1">
        <f t="array" aca="1" ref="AD102" ca="1">_xll.FDS($E$9,"P_PRICE("&amp;AI102&amp;",0,D,D)")</f>
        <v>6587.47</v>
      </c>
      <c r="AE102" s="9" cm="1">
        <f t="array" aca="1" ref="AE102" ca="1">_xll.FDS($E$9,"P_PRICE("&amp;AJ102&amp;",0,D,D)")</f>
        <v>6481.4</v>
      </c>
      <c r="AF102" s="9" cm="1">
        <f t="array" aca="1" ref="AF102" ca="1">_xll.FDS($E$9,"P_PRICE("&amp;AK102&amp;",0,D,D)")</f>
        <v>6227.42</v>
      </c>
      <c r="AG102" s="20">
        <f t="shared" ca="1" si="33"/>
        <v>45925</v>
      </c>
      <c r="AH102" s="22">
        <f t="shared" ca="1" si="28"/>
        <v>45918</v>
      </c>
      <c r="AI102" s="22">
        <f t="shared" ca="1" si="29"/>
        <v>45911</v>
      </c>
      <c r="AJ102" s="22">
        <f t="shared" ca="1" si="30"/>
        <v>45896</v>
      </c>
      <c r="AK102" s="22">
        <f t="shared" ca="1" si="31"/>
        <v>45840</v>
      </c>
      <c r="AL102" s="22">
        <f t="shared" ca="1" si="32"/>
        <v>45751</v>
      </c>
    </row>
    <row r="103" spans="4:38" x14ac:dyDescent="0.25">
      <c r="D103" s="6">
        <f ca="1"/>
        <v>45924</v>
      </c>
      <c r="E103" s="28" cm="1">
        <f t="array" aca="1" ref="E103" ca="1">_xll.FDS($E$7,"P_PRICE("&amp;D103&amp;",0,D,D)")</f>
        <v>112.6</v>
      </c>
      <c r="F103" s="29" cm="1">
        <f t="array" aca="1" ref="F103" ca="1">_xll.FDS($E$7,"P_BETA_LOCIDX("&amp;$AG103&amp;","&amp;$AL103&amp;",,"""&amp;$E$9&amp;""")")</f>
        <v>1.1886938</v>
      </c>
      <c r="G103" s="30">
        <f t="shared" ca="1" si="18"/>
        <v>5.3596360913377179E-3</v>
      </c>
      <c r="H103" s="30">
        <f t="shared" ca="1" si="18"/>
        <v>-7.2331692628335442E-3</v>
      </c>
      <c r="I103" s="30">
        <f t="shared" ca="1" si="18"/>
        <v>-4.6240382054033899E-2</v>
      </c>
      <c r="J103" s="30">
        <f t="shared" ca="1" si="18"/>
        <v>0.12248126414364233</v>
      </c>
      <c r="K103" s="30">
        <f t="shared" ca="1" si="19"/>
        <v>6.7751953693364602E-3</v>
      </c>
      <c r="L103" s="30">
        <f t="shared" ca="1" si="19"/>
        <v>1.9277030488790564E-2</v>
      </c>
      <c r="M103" s="30">
        <f t="shared" ca="1" si="19"/>
        <v>3.1625872558978294E-2</v>
      </c>
      <c r="N103" s="30">
        <f t="shared" ca="1" si="19"/>
        <v>8.4378328568040423E-2</v>
      </c>
      <c r="O103" s="30">
        <f t="shared" ca="1" si="20"/>
        <v>1.2134831460674178E-2</v>
      </c>
      <c r="P103" s="30">
        <f t="shared" ca="1" si="21"/>
        <v>1.204386122595702E-2</v>
      </c>
      <c r="Q103" s="30">
        <f t="shared" ca="1" si="22"/>
        <v>-1.4614509495055605E-2</v>
      </c>
      <c r="R103" s="30">
        <f t="shared" ca="1" si="23"/>
        <v>0.20685959271168275</v>
      </c>
      <c r="S103" s="9" cm="1">
        <f t="array" aca="1" ref="S103" ca="1">_xll.FDS($E$7,"P_PRICE("&amp;AG103&amp;",0,D,D)")</f>
        <v>112.6</v>
      </c>
      <c r="T103" s="9" cm="1">
        <f t="array" aca="1" ref="T103" ca="1">_xll.FDS($E$7,"P_PRICE("&amp;AH103&amp;",0,D,D)")</f>
        <v>111.25</v>
      </c>
      <c r="U103" s="9" cm="1">
        <f t="array" aca="1" ref="U103" ca="1">_xll.FDS($E$7,"P_PRICE("&amp;AI103&amp;",0,D,D)")</f>
        <v>111.26</v>
      </c>
      <c r="V103" s="9" cm="1">
        <f t="array" aca="1" ref="V103" ca="1">_xll.FDS($E$7,"P_PRICE("&amp;AJ103&amp;",0,D,D)")</f>
        <v>114.27</v>
      </c>
      <c r="W103" s="9" cm="1">
        <f t="array" aca="1" ref="W103" ca="1">_xll.FDS($E$7,"P_PRICE("&amp;AK103&amp;",0,D,D)")</f>
        <v>93.3</v>
      </c>
      <c r="X103" s="24">
        <f t="shared" ca="1" si="24"/>
        <v>5.6996977433014795E-3</v>
      </c>
      <c r="Y103" s="24">
        <f t="shared" ca="1" si="25"/>
        <v>1.6216985811476903E-2</v>
      </c>
      <c r="Z103" s="24">
        <f t="shared" ca="1" si="26"/>
        <v>2.6605567017324638E-2</v>
      </c>
      <c r="AA103" s="24">
        <f t="shared" ca="1" si="27"/>
        <v>7.0984073920500323E-2</v>
      </c>
      <c r="AB103" s="9" cm="1">
        <f t="array" aca="1" ref="AB103" ca="1">_xll.FDS($E$9,"P_PRICE("&amp;AG103&amp;",0,D,D)")</f>
        <v>6637.97</v>
      </c>
      <c r="AC103" s="9" cm="1">
        <f t="array" aca="1" ref="AC103" ca="1">_xll.FDS($E$9,"P_PRICE("&amp;AH103&amp;",0,D,D)")</f>
        <v>6600.35</v>
      </c>
      <c r="AD103" s="9" cm="1">
        <f t="array" aca="1" ref="AD103" ca="1">_xll.FDS($E$9,"P_PRICE("&amp;AI103&amp;",0,D,D)")</f>
        <v>6532.04</v>
      </c>
      <c r="AE103" s="9" cm="1">
        <f t="array" aca="1" ref="AE103" ca="1">_xll.FDS($E$9,"P_PRICE("&amp;AJ103&amp;",0,D,D)")</f>
        <v>6465.94</v>
      </c>
      <c r="AF103" s="9" cm="1">
        <f t="array" aca="1" ref="AF103" ca="1">_xll.FDS($E$9,"P_PRICE("&amp;AK103&amp;",0,D,D)")</f>
        <v>6198.01</v>
      </c>
      <c r="AG103" s="20">
        <f t="shared" ca="1" si="33"/>
        <v>45924</v>
      </c>
      <c r="AH103" s="22">
        <f t="shared" ca="1" si="28"/>
        <v>45917</v>
      </c>
      <c r="AI103" s="22">
        <f t="shared" ca="1" si="29"/>
        <v>45910</v>
      </c>
      <c r="AJ103" s="22">
        <f t="shared" ca="1" si="30"/>
        <v>45895</v>
      </c>
      <c r="AK103" s="22">
        <f t="shared" ca="1" si="31"/>
        <v>45839</v>
      </c>
      <c r="AL103" s="22">
        <f t="shared" ca="1" si="32"/>
        <v>45750</v>
      </c>
    </row>
    <row r="104" spans="4:38" x14ac:dyDescent="0.25">
      <c r="D104" s="6">
        <f ca="1"/>
        <v>45923</v>
      </c>
      <c r="E104" s="28" cm="1">
        <f t="array" aca="1" ref="E104" ca="1">_xll.FDS($E$7,"P_PRICE("&amp;D104&amp;",0,D,D)")</f>
        <v>114.1</v>
      </c>
      <c r="F104" s="29" cm="1">
        <f t="array" aca="1" ref="F104" ca="1">_xll.FDS($E$7,"P_BETA_LOCIDX("&amp;$AG104&amp;","&amp;$AL104&amp;",,"""&amp;$E$9&amp;""")")</f>
        <v>1.1893994000000001</v>
      </c>
      <c r="G104" s="30">
        <f t="shared" ca="1" si="18"/>
        <v>4.9216487261528573E-3</v>
      </c>
      <c r="H104" s="30">
        <f t="shared" ca="1" si="18"/>
        <v>4.1720895343671481E-3</v>
      </c>
      <c r="I104" s="30">
        <f t="shared" ca="1" si="18"/>
        <v>-2.6781153003147408E-2</v>
      </c>
      <c r="J104" s="30">
        <f t="shared" ca="1" si="18"/>
        <v>0.15628326127161629</v>
      </c>
      <c r="K104" s="30">
        <f t="shared" ca="1" si="19"/>
        <v>9.0301863400515971E-3</v>
      </c>
      <c r="L104" s="30">
        <f t="shared" ca="1" si="19"/>
        <v>2.6355367113031606E-2</v>
      </c>
      <c r="M104" s="30">
        <f t="shared" ca="1" si="19"/>
        <v>4.0192646030947389E-2</v>
      </c>
      <c r="N104" s="30">
        <f t="shared" ca="1" si="19"/>
        <v>8.6636128706597079E-2</v>
      </c>
      <c r="O104" s="30">
        <f t="shared" ca="1" si="20"/>
        <v>1.3951835066204454E-2</v>
      </c>
      <c r="P104" s="30">
        <f t="shared" ca="1" si="21"/>
        <v>3.0527456647398754E-2</v>
      </c>
      <c r="Q104" s="30">
        <f t="shared" ca="1" si="22"/>
        <v>1.3411493027799981E-2</v>
      </c>
      <c r="R104" s="30">
        <f t="shared" ca="1" si="23"/>
        <v>0.24291938997821338</v>
      </c>
      <c r="S104" s="9" cm="1">
        <f t="array" aca="1" ref="S104" ca="1">_xll.FDS($E$7,"P_PRICE("&amp;AG104&amp;",0,D,D)")</f>
        <v>114.1</v>
      </c>
      <c r="T104" s="9" cm="1">
        <f t="array" aca="1" ref="T104" ca="1">_xll.FDS($E$7,"P_PRICE("&amp;AH104&amp;",0,D,D)")</f>
        <v>112.53</v>
      </c>
      <c r="U104" s="9" cm="1">
        <f t="array" aca="1" ref="U104" ca="1">_xll.FDS($E$7,"P_PRICE("&amp;AI104&amp;",0,D,D)")</f>
        <v>110.72</v>
      </c>
      <c r="V104" s="9" cm="1">
        <f t="array" aca="1" ref="V104" ca="1">_xll.FDS($E$7,"P_PRICE("&amp;AJ104&amp;",0,D,D)")</f>
        <v>112.59</v>
      </c>
      <c r="W104" s="9" cm="1">
        <f t="array" aca="1" ref="W104" ca="1">_xll.FDS($E$7,"P_PRICE("&amp;AK104&amp;",0,D,D)")</f>
        <v>91.8</v>
      </c>
      <c r="X104" s="24">
        <f t="shared" ca="1" si="24"/>
        <v>7.592223722369118E-3</v>
      </c>
      <c r="Y104" s="24">
        <f t="shared" ca="1" si="25"/>
        <v>2.215855087284524E-2</v>
      </c>
      <c r="Z104" s="24">
        <f t="shared" ca="1" si="26"/>
        <v>3.379238801612594E-2</v>
      </c>
      <c r="AA104" s="24">
        <f t="shared" ca="1" si="27"/>
        <v>7.2840232395103843E-2</v>
      </c>
      <c r="AB104" s="9" cm="1">
        <f t="array" aca="1" ref="AB104" ca="1">_xll.FDS($E$9,"P_PRICE("&amp;AG104&amp;",0,D,D)")</f>
        <v>6656.92</v>
      </c>
      <c r="AC104" s="9" cm="1">
        <f t="array" aca="1" ref="AC104" ca="1">_xll.FDS($E$9,"P_PRICE("&amp;AH104&amp;",0,D,D)")</f>
        <v>6606.76</v>
      </c>
      <c r="AD104" s="9" cm="1">
        <f t="array" aca="1" ref="AD104" ca="1">_xll.FDS($E$9,"P_PRICE("&amp;AI104&amp;",0,D,D)")</f>
        <v>6512.61</v>
      </c>
      <c r="AE104" s="9" cm="1">
        <f t="array" aca="1" ref="AE104" ca="1">_xll.FDS($E$9,"P_PRICE("&amp;AJ104&amp;",0,D,D)")</f>
        <v>6439.32</v>
      </c>
      <c r="AF104" s="9" cm="1">
        <f t="array" aca="1" ref="AF104" ca="1">_xll.FDS($E$9,"P_PRICE("&amp;AK104&amp;",0,D,D)")</f>
        <v>6204.95</v>
      </c>
      <c r="AG104" s="20">
        <f t="shared" ca="1" si="33"/>
        <v>45923</v>
      </c>
      <c r="AH104" s="22">
        <f t="shared" ca="1" si="28"/>
        <v>45916</v>
      </c>
      <c r="AI104" s="22">
        <f t="shared" ca="1" si="29"/>
        <v>45909</v>
      </c>
      <c r="AJ104" s="22">
        <f t="shared" ca="1" si="30"/>
        <v>45894</v>
      </c>
      <c r="AK104" s="22">
        <f t="shared" ca="1" si="31"/>
        <v>45838</v>
      </c>
      <c r="AL104" s="22">
        <f t="shared" ca="1" si="32"/>
        <v>45749</v>
      </c>
    </row>
    <row r="105" spans="4:38" x14ac:dyDescent="0.25">
      <c r="D105" s="6">
        <f ca="1"/>
        <v>45922</v>
      </c>
      <c r="E105" s="28" cm="1">
        <f t="array" aca="1" ref="E105" ca="1">_xll.FDS($E$7,"P_PRICE("&amp;D105&amp;",0,D,D)")</f>
        <v>114.72</v>
      </c>
      <c r="F105" s="29" cm="1">
        <f t="array" aca="1" ref="F105" ca="1">_xll.FDS($E$7,"P_BETA_LOCIDX("&amp;$AG105&amp;","&amp;$AL105&amp;",,"""&amp;$E$9&amp;""")")</f>
        <v>1.1900238000000001</v>
      </c>
      <c r="G105" s="30">
        <f t="shared" ca="1" si="18"/>
        <v>-1.0463944019019188E-3</v>
      </c>
      <c r="H105" s="30">
        <f t="shared" ca="1" si="18"/>
        <v>-1.264967077249636E-2</v>
      </c>
      <c r="I105" s="30">
        <f t="shared" ca="1" si="18"/>
        <v>-2.9477434635552392E-2</v>
      </c>
      <c r="J105" s="30">
        <f t="shared" ca="1" si="18"/>
        <v>0.15312155356332588</v>
      </c>
      <c r="K105" s="30">
        <f t="shared" ca="1" si="19"/>
        <v>1.4115981120375943E-2</v>
      </c>
      <c r="L105" s="30">
        <f t="shared" ca="1" si="19"/>
        <v>3.6386954370568839E-2</v>
      </c>
      <c r="M105" s="30">
        <f t="shared" ca="1" si="19"/>
        <v>4.1742501255158861E-2</v>
      </c>
      <c r="N105" s="30">
        <f t="shared" ca="1" si="19"/>
        <v>0.10037494993317767</v>
      </c>
      <c r="O105" s="30">
        <f t="shared" ca="1" si="20"/>
        <v>1.3069586718474024E-2</v>
      </c>
      <c r="P105" s="30">
        <f t="shared" ca="1" si="21"/>
        <v>2.3737283598072478E-2</v>
      </c>
      <c r="Q105" s="30">
        <f t="shared" ca="1" si="22"/>
        <v>1.2265066619606468E-2</v>
      </c>
      <c r="R105" s="30">
        <f t="shared" ca="1" si="23"/>
        <v>0.25349650349650354</v>
      </c>
      <c r="S105" s="9" cm="1">
        <f t="array" aca="1" ref="S105" ca="1">_xll.FDS($E$7,"P_PRICE("&amp;AG105&amp;",0,D,D)")</f>
        <v>114.72</v>
      </c>
      <c r="T105" s="9" cm="1">
        <f t="array" aca="1" ref="T105" ca="1">_xll.FDS($E$7,"P_PRICE("&amp;AH105&amp;",0,D,D)")</f>
        <v>113.24</v>
      </c>
      <c r="U105" s="9" cm="1">
        <f t="array" aca="1" ref="U105" ca="1">_xll.FDS($E$7,"P_PRICE("&amp;AI105&amp;",0,D,D)")</f>
        <v>112.06</v>
      </c>
      <c r="V105" s="9" cm="1">
        <f t="array" aca="1" ref="V105" ca="1">_xll.FDS($E$7,"P_PRICE("&amp;AJ105&amp;",0,D,D)")</f>
        <v>113.33</v>
      </c>
      <c r="W105" s="9" cm="1">
        <f t="array" aca="1" ref="W105" ca="1">_xll.FDS($E$7,"P_PRICE("&amp;AK105&amp;",0,D,D)")</f>
        <v>91.52</v>
      </c>
      <c r="X105" s="24">
        <f t="shared" ca="1" si="24"/>
        <v>1.1861931770083878E-2</v>
      </c>
      <c r="Y105" s="24">
        <f t="shared" ca="1" si="25"/>
        <v>3.0576661047089004E-2</v>
      </c>
      <c r="Z105" s="24">
        <f t="shared" ca="1" si="26"/>
        <v>3.5077030606580184E-2</v>
      </c>
      <c r="AA105" s="24">
        <f t="shared" ca="1" si="27"/>
        <v>8.4347010482628715E-2</v>
      </c>
      <c r="AB105" s="9" cm="1">
        <f t="array" aca="1" ref="AB105" ca="1">_xll.FDS($E$9,"P_PRICE("&amp;AG105&amp;",0,D,D)")</f>
        <v>6693.75</v>
      </c>
      <c r="AC105" s="9" cm="1">
        <f t="array" aca="1" ref="AC105" ca="1">_xll.FDS($E$9,"P_PRICE("&amp;AH105&amp;",0,D,D)")</f>
        <v>6615.28</v>
      </c>
      <c r="AD105" s="9" cm="1">
        <f t="array" aca="1" ref="AD105" ca="1">_xll.FDS($E$9,"P_PRICE("&amp;AI105&amp;",0,D,D)")</f>
        <v>6495.15</v>
      </c>
      <c r="AE105" s="9" cm="1">
        <f t="array" aca="1" ref="AE105" ca="1">_xll.FDS($E$9,"P_PRICE("&amp;AJ105&amp;",0,D,D)")</f>
        <v>6466.91</v>
      </c>
      <c r="AF105" s="9" cm="1">
        <f t="array" aca="1" ref="AF105" ca="1">_xll.FDS($E$9,"P_PRICE("&amp;AK105&amp;",0,D,D)")</f>
        <v>6173.07</v>
      </c>
      <c r="AG105" s="20">
        <f t="shared" ca="1" si="33"/>
        <v>45922</v>
      </c>
      <c r="AH105" s="22">
        <f t="shared" ca="1" si="28"/>
        <v>45915</v>
      </c>
      <c r="AI105" s="22">
        <f t="shared" ca="1" si="29"/>
        <v>45908</v>
      </c>
      <c r="AJ105" s="22">
        <f t="shared" ca="1" si="30"/>
        <v>45891</v>
      </c>
      <c r="AK105" s="22">
        <f t="shared" ca="1" si="31"/>
        <v>45835</v>
      </c>
      <c r="AL105" s="22">
        <f t="shared" ca="1" si="32"/>
        <v>45748</v>
      </c>
    </row>
    <row r="106" spans="4:38" x14ac:dyDescent="0.25">
      <c r="D106" s="6">
        <f ca="1"/>
        <v>45919</v>
      </c>
      <c r="E106" s="28" cm="1">
        <f t="array" aca="1" ref="E106" ca="1">_xll.FDS($E$7,"P_PRICE("&amp;D106&amp;",0,D,D)")</f>
        <v>113.09</v>
      </c>
      <c r="F106" s="29" cm="1">
        <f t="array" aca="1" ref="F106" ca="1">_xll.FDS($E$7,"P_BETA_LOCIDX("&amp;$AG106&amp;","&amp;$AL106&amp;",,"""&amp;$E$9&amp;""")")</f>
        <v>1.1875237999999999</v>
      </c>
      <c r="G106" s="30">
        <f t="shared" ca="1" si="18"/>
        <v>-1.7086933209317812E-2</v>
      </c>
      <c r="H106" s="30">
        <f t="shared" ca="1" si="18"/>
        <v>-2.7006166012273132E-2</v>
      </c>
      <c r="I106" s="30">
        <f t="shared" ca="1" si="18"/>
        <v>-3.3437400974304393E-2</v>
      </c>
      <c r="J106" s="30">
        <f t="shared" ca="1" si="18"/>
        <v>0.16847431781355271</v>
      </c>
      <c r="K106" s="30">
        <f t="shared" ca="1" si="19"/>
        <v>1.4441197253766191E-2</v>
      </c>
      <c r="L106" s="30">
        <f t="shared" ca="1" si="19"/>
        <v>3.350314002437705E-2</v>
      </c>
      <c r="M106" s="30">
        <f t="shared" ca="1" si="19"/>
        <v>5.4842747795113694E-2</v>
      </c>
      <c r="N106" s="30">
        <f t="shared" ca="1" si="19"/>
        <v>0.10120121828165339</v>
      </c>
      <c r="O106" s="30">
        <f t="shared" ca="1" si="20"/>
        <v>-2.6457359555516202E-3</v>
      </c>
      <c r="P106" s="30">
        <f t="shared" ca="1" si="21"/>
        <v>6.4969740121039177E-3</v>
      </c>
      <c r="Q106" s="30">
        <f t="shared" ca="1" si="22"/>
        <v>2.1405346820809301E-2</v>
      </c>
      <c r="R106" s="30">
        <f t="shared" ca="1" si="23"/>
        <v>0.26967553609520611</v>
      </c>
      <c r="S106" s="9" cm="1">
        <f t="array" aca="1" ref="S106" ca="1">_xll.FDS($E$7,"P_PRICE("&amp;AG106&amp;",0,D,D)")</f>
        <v>113.09</v>
      </c>
      <c r="T106" s="9" cm="1">
        <f t="array" aca="1" ref="T106" ca="1">_xll.FDS($E$7,"P_PRICE("&amp;AH106&amp;",0,D,D)")</f>
        <v>113.39</v>
      </c>
      <c r="U106" s="9" cm="1">
        <f t="array" aca="1" ref="U106" ca="1">_xll.FDS($E$7,"P_PRICE("&amp;AI106&amp;",0,D,D)")</f>
        <v>112.36</v>
      </c>
      <c r="V106" s="9" cm="1">
        <f t="array" aca="1" ref="V106" ca="1">_xll.FDS($E$7,"P_PRICE("&amp;AJ106&amp;",0,D,D)")</f>
        <v>110.72</v>
      </c>
      <c r="W106" s="9" cm="1">
        <f t="array" aca="1" ref="W106" ca="1">_xll.FDS($E$7,"P_PRICE("&amp;AK106&amp;",0,D,D)")</f>
        <v>89.07</v>
      </c>
      <c r="X106" s="24">
        <f t="shared" ca="1" si="24"/>
        <v>1.216076448637593E-2</v>
      </c>
      <c r="Y106" s="24">
        <f t="shared" ca="1" si="25"/>
        <v>2.8212605106842537E-2</v>
      </c>
      <c r="Z106" s="24">
        <f t="shared" ca="1" si="26"/>
        <v>4.6182440970963023E-2</v>
      </c>
      <c r="AA106" s="24">
        <f t="shared" ca="1" si="27"/>
        <v>8.5220370557334002E-2</v>
      </c>
      <c r="AB106" s="9" cm="1">
        <f t="array" aca="1" ref="AB106" ca="1">_xll.FDS($E$9,"P_PRICE("&amp;AG106&amp;",0,D,D)")</f>
        <v>6664.36</v>
      </c>
      <c r="AC106" s="9" cm="1">
        <f t="array" aca="1" ref="AC106" ca="1">_xll.FDS($E$9,"P_PRICE("&amp;AH106&amp;",0,D,D)")</f>
        <v>6584.29</v>
      </c>
      <c r="AD106" s="9" cm="1">
        <f t="array" aca="1" ref="AD106" ca="1">_xll.FDS($E$9,"P_PRICE("&amp;AI106&amp;",0,D,D)")</f>
        <v>6481.5</v>
      </c>
      <c r="AE106" s="9" cm="1">
        <f t="array" aca="1" ref="AE106" ca="1">_xll.FDS($E$9,"P_PRICE("&amp;AJ106&amp;",0,D,D)")</f>
        <v>6370.17</v>
      </c>
      <c r="AF106" s="9" cm="1">
        <f t="array" aca="1" ref="AF106" ca="1">_xll.FDS($E$9,"P_PRICE("&amp;AK106&amp;",0,D,D)")</f>
        <v>6141.02</v>
      </c>
      <c r="AG106" s="20">
        <f t="shared" ca="1" si="33"/>
        <v>45919</v>
      </c>
      <c r="AH106" s="22">
        <f t="shared" ca="1" si="28"/>
        <v>45912</v>
      </c>
      <c r="AI106" s="22">
        <f t="shared" ca="1" si="29"/>
        <v>45905</v>
      </c>
      <c r="AJ106" s="22">
        <f t="shared" ca="1" si="30"/>
        <v>45890</v>
      </c>
      <c r="AK106" s="22">
        <f t="shared" ca="1" si="31"/>
        <v>45834</v>
      </c>
      <c r="AL106" s="22">
        <f t="shared" ca="1" si="32"/>
        <v>45747</v>
      </c>
    </row>
    <row r="107" spans="4:38" x14ac:dyDescent="0.25">
      <c r="D107" s="6">
        <f ca="1"/>
        <v>45918</v>
      </c>
      <c r="E107" s="28" cm="1">
        <f t="array" aca="1" ref="E107" ca="1">_xll.FDS($E$7,"P_PRICE("&amp;D107&amp;",0,D,D)")</f>
        <v>112.46</v>
      </c>
      <c r="F107" s="29" cm="1">
        <f t="array" aca="1" ref="F107" ca="1">_xll.FDS($E$7,"P_BETA_LOCIDX("&amp;$AG107&amp;","&amp;$AL107&amp;",,"""&amp;$E$9&amp;""")")</f>
        <v>1.2051575999999999</v>
      </c>
      <c r="G107" s="30">
        <f t="shared" ca="1" si="18"/>
        <v>-2.5698495991746534E-2</v>
      </c>
      <c r="H107" s="30">
        <f t="shared" ca="1" si="18"/>
        <v>-1.6457394477380382E-2</v>
      </c>
      <c r="I107" s="30">
        <f t="shared" ca="1" si="18"/>
        <v>-2.9246587509844414E-2</v>
      </c>
      <c r="J107" s="30">
        <f t="shared" ca="1" si="18"/>
        <v>0.16151437156211448</v>
      </c>
      <c r="K107" s="30">
        <f t="shared" ca="1" si="19"/>
        <v>8.1393101788697891E-3</v>
      </c>
      <c r="L107" s="30">
        <f t="shared" ca="1" si="19"/>
        <v>2.4073199512771325E-2</v>
      </c>
      <c r="M107" s="30">
        <f t="shared" ca="1" si="19"/>
        <v>4.4503426004021553E-2</v>
      </c>
      <c r="N107" s="30">
        <f t="shared" ca="1" si="19"/>
        <v>0.10678381271667189</v>
      </c>
      <c r="O107" s="30">
        <f t="shared" ca="1" si="20"/>
        <v>-1.7559185812876743E-2</v>
      </c>
      <c r="P107" s="30">
        <f t="shared" ca="1" si="21"/>
        <v>7.6158050353909434E-3</v>
      </c>
      <c r="Q107" s="30">
        <f t="shared" ca="1" si="22"/>
        <v>1.5256838494177138E-2</v>
      </c>
      <c r="R107" s="30">
        <f t="shared" ca="1" si="23"/>
        <v>0.26829818427878638</v>
      </c>
      <c r="S107" s="9" cm="1">
        <f t="array" aca="1" ref="S107" ca="1">_xll.FDS($E$7,"P_PRICE("&amp;AG107&amp;",0,D,D)")</f>
        <v>112.46</v>
      </c>
      <c r="T107" s="9" cm="1">
        <f t="array" aca="1" ref="T107" ca="1">_xll.FDS($E$7,"P_PRICE("&amp;AH107&amp;",0,D,D)")</f>
        <v>114.47</v>
      </c>
      <c r="U107" s="9" cm="1">
        <f t="array" aca="1" ref="U107" ca="1">_xll.FDS($E$7,"P_PRICE("&amp;AI107&amp;",0,D,D)")</f>
        <v>111.61</v>
      </c>
      <c r="V107" s="9" cm="1">
        <f t="array" aca="1" ref="V107" ca="1">_xll.FDS($E$7,"P_PRICE("&amp;AJ107&amp;",0,D,D)")</f>
        <v>110.77</v>
      </c>
      <c r="W107" s="9" cm="1">
        <f t="array" aca="1" ref="W107" ca="1">_xll.FDS($E$7,"P_PRICE("&amp;AK107&amp;",0,D,D)")</f>
        <v>88.67</v>
      </c>
      <c r="X107" s="24">
        <f t="shared" ca="1" si="24"/>
        <v>6.7537309467822215E-3</v>
      </c>
      <c r="Y107" s="24">
        <f t="shared" ca="1" si="25"/>
        <v>1.9975146414685785E-2</v>
      </c>
      <c r="Z107" s="24">
        <f t="shared" ca="1" si="26"/>
        <v>3.6927474053203957E-2</v>
      </c>
      <c r="AA107" s="24">
        <f t="shared" ca="1" si="27"/>
        <v>8.8605683370101884E-2</v>
      </c>
      <c r="AB107" s="9" cm="1">
        <f t="array" aca="1" ref="AB107" ca="1">_xll.FDS($E$9,"P_PRICE("&amp;AG107&amp;",0,D,D)")</f>
        <v>6631.96</v>
      </c>
      <c r="AC107" s="9" cm="1">
        <f t="array" aca="1" ref="AC107" ca="1">_xll.FDS($E$9,"P_PRICE("&amp;AH107&amp;",0,D,D)")</f>
        <v>6587.47</v>
      </c>
      <c r="AD107" s="9" cm="1">
        <f t="array" aca="1" ref="AD107" ca="1">_xll.FDS($E$9,"P_PRICE("&amp;AI107&amp;",0,D,D)")</f>
        <v>6502.08</v>
      </c>
      <c r="AE107" s="9" cm="1">
        <f t="array" aca="1" ref="AE107" ca="1">_xll.FDS($E$9,"P_PRICE("&amp;AJ107&amp;",0,D,D)")</f>
        <v>6395.78</v>
      </c>
      <c r="AF107" s="9" cm="1">
        <f t="array" aca="1" ref="AF107" ca="1">_xll.FDS($E$9,"P_PRICE("&amp;AK107&amp;",0,D,D)")</f>
        <v>6092.16</v>
      </c>
      <c r="AG107" s="20">
        <f t="shared" ca="1" si="33"/>
        <v>45918</v>
      </c>
      <c r="AH107" s="22">
        <f t="shared" ca="1" si="28"/>
        <v>45911</v>
      </c>
      <c r="AI107" s="22">
        <f t="shared" ca="1" si="29"/>
        <v>45904</v>
      </c>
      <c r="AJ107" s="22">
        <f t="shared" ca="1" si="30"/>
        <v>45889</v>
      </c>
      <c r="AK107" s="22">
        <f t="shared" ca="1" si="31"/>
        <v>45833</v>
      </c>
      <c r="AL107" s="22">
        <f t="shared" ca="1" si="32"/>
        <v>45744</v>
      </c>
    </row>
    <row r="108" spans="4:38" x14ac:dyDescent="0.25">
      <c r="D108" s="6">
        <f ca="1"/>
        <v>45917</v>
      </c>
      <c r="E108" s="28" cm="1">
        <f t="array" aca="1" ref="E108" ca="1">_xll.FDS($E$7,"P_PRICE("&amp;D108&amp;",0,D,D)")</f>
        <v>111.25</v>
      </c>
      <c r="F108" s="29" cm="1">
        <f t="array" aca="1" ref="F108" ca="1">_xll.FDS($E$7,"P_BETA_LOCIDX("&amp;$AG108&amp;","&amp;$AL108&amp;",,"""&amp;$E$9&amp;""")")</f>
        <v>1.2086127</v>
      </c>
      <c r="G108" s="30">
        <f t="shared" ca="1" si="18"/>
        <v>-1.2729167369944E-2</v>
      </c>
      <c r="H108" s="30">
        <f t="shared" ca="1" si="18"/>
        <v>-3.4404186516836924E-2</v>
      </c>
      <c r="I108" s="30">
        <f t="shared" ca="1" si="18"/>
        <v>-4.6208199508529169E-2</v>
      </c>
      <c r="J108" s="30">
        <f t="shared" ca="1" si="18"/>
        <v>0.11476668944985352</v>
      </c>
      <c r="K108" s="30">
        <f t="shared" ca="1" si="19"/>
        <v>1.263928780855616E-2</v>
      </c>
      <c r="L108" s="30">
        <f t="shared" ca="1" si="19"/>
        <v>2.8506590234109796E-2</v>
      </c>
      <c r="M108" s="30">
        <f t="shared" ca="1" si="19"/>
        <v>3.562477723887425E-2</v>
      </c>
      <c r="N108" s="30">
        <f t="shared" ca="1" si="19"/>
        <v>0.10081460425644023</v>
      </c>
      <c r="O108" s="30">
        <f t="shared" ca="1" si="20"/>
        <v>-8.9879561387840035E-5</v>
      </c>
      <c r="P108" s="30">
        <f t="shared" ca="1" si="21"/>
        <v>-5.8975962827271244E-3</v>
      </c>
      <c r="Q108" s="30">
        <f t="shared" ca="1" si="22"/>
        <v>-1.0583422269654919E-2</v>
      </c>
      <c r="R108" s="30">
        <f t="shared" ca="1" si="23"/>
        <v>0.21558129370629375</v>
      </c>
      <c r="S108" s="9" cm="1">
        <f t="array" aca="1" ref="S108" ca="1">_xll.FDS($E$7,"P_PRICE("&amp;AG108&amp;",0,D,D)")</f>
        <v>111.25</v>
      </c>
      <c r="T108" s="9" cm="1">
        <f t="array" aca="1" ref="T108" ca="1">_xll.FDS($E$7,"P_PRICE("&amp;AH108&amp;",0,D,D)")</f>
        <v>111.26</v>
      </c>
      <c r="U108" s="9" cm="1">
        <f t="array" aca="1" ref="U108" ca="1">_xll.FDS($E$7,"P_PRICE("&amp;AI108&amp;",0,D,D)")</f>
        <v>111.91</v>
      </c>
      <c r="V108" s="9" cm="1">
        <f t="array" aca="1" ref="V108" ca="1">_xll.FDS($E$7,"P_PRICE("&amp;AJ108&amp;",0,D,D)")</f>
        <v>112.44</v>
      </c>
      <c r="W108" s="9" cm="1">
        <f t="array" aca="1" ref="W108" ca="1">_xll.FDS($E$7,"P_PRICE("&amp;AK108&amp;",0,D,D)")</f>
        <v>91.52</v>
      </c>
      <c r="X108" s="24">
        <f t="shared" ca="1" si="24"/>
        <v>1.0457682439176885E-2</v>
      </c>
      <c r="Y108" s="24">
        <f t="shared" ca="1" si="25"/>
        <v>2.3586207752168908E-2</v>
      </c>
      <c r="Z108" s="24">
        <f t="shared" ca="1" si="26"/>
        <v>2.9475759471064844E-2</v>
      </c>
      <c r="AA108" s="24">
        <f t="shared" ca="1" si="27"/>
        <v>8.3413490737305862E-2</v>
      </c>
      <c r="AB108" s="9" cm="1">
        <f t="array" aca="1" ref="AB108" ca="1">_xll.FDS($E$9,"P_PRICE("&amp;AG108&amp;",0,D,D)")</f>
        <v>6600.35</v>
      </c>
      <c r="AC108" s="9" cm="1">
        <f t="array" aca="1" ref="AC108" ca="1">_xll.FDS($E$9,"P_PRICE("&amp;AH108&amp;",0,D,D)")</f>
        <v>6532.04</v>
      </c>
      <c r="AD108" s="9" cm="1">
        <f t="array" aca="1" ref="AD108" ca="1">_xll.FDS($E$9,"P_PRICE("&amp;AI108&amp;",0,D,D)")</f>
        <v>6448.26</v>
      </c>
      <c r="AE108" s="9" cm="1">
        <f t="array" aca="1" ref="AE108" ca="1">_xll.FDS($E$9,"P_PRICE("&amp;AJ108&amp;",0,D,D)")</f>
        <v>6411.37</v>
      </c>
      <c r="AF108" s="9" cm="1">
        <f t="array" aca="1" ref="AF108" ca="1">_xll.FDS($E$9,"P_PRICE("&amp;AK108&amp;",0,D,D)")</f>
        <v>6092.18</v>
      </c>
      <c r="AG108" s="20">
        <f t="shared" ca="1" si="33"/>
        <v>45917</v>
      </c>
      <c r="AH108" s="22">
        <f t="shared" ca="1" si="28"/>
        <v>45910</v>
      </c>
      <c r="AI108" s="22">
        <f t="shared" ca="1" si="29"/>
        <v>45903</v>
      </c>
      <c r="AJ108" s="22">
        <f t="shared" ca="1" si="30"/>
        <v>45888</v>
      </c>
      <c r="AK108" s="22">
        <f t="shared" ca="1" si="31"/>
        <v>45832</v>
      </c>
      <c r="AL108" s="22">
        <f t="shared" ca="1" si="32"/>
        <v>45743</v>
      </c>
    </row>
    <row r="109" spans="4:38" x14ac:dyDescent="0.25">
      <c r="D109" s="6">
        <f ca="1"/>
        <v>45916</v>
      </c>
      <c r="E109" s="28" cm="1">
        <f t="array" aca="1" ref="E109" ca="1">_xll.FDS($E$7,"P_PRICE("&amp;D109&amp;",0,D,D)")</f>
        <v>112.53</v>
      </c>
      <c r="F109" s="29" cm="1">
        <f t="array" aca="1" ref="F109" ca="1">_xll.FDS($E$7,"P_BETA_LOCIDX("&amp;$AG109&amp;","&amp;$AL109&amp;",,"""&amp;$E$9&amp;""")")</f>
        <v>1.2214240000000001</v>
      </c>
      <c r="G109" s="30">
        <f t="shared" ca="1" si="18"/>
        <v>-1.3100577627736219E-3</v>
      </c>
      <c r="H109" s="30">
        <f t="shared" ca="1" si="18"/>
        <v>-2.5172535985180329E-2</v>
      </c>
      <c r="I109" s="30">
        <f t="shared" ca="1" si="18"/>
        <v>-2.0884036570364382E-2</v>
      </c>
      <c r="J109" s="30">
        <f t="shared" ca="1" si="18"/>
        <v>0.13340649855853878</v>
      </c>
      <c r="K109" s="30">
        <f t="shared" ca="1" si="19"/>
        <v>1.7657601115374868E-2</v>
      </c>
      <c r="L109" s="30">
        <f t="shared" ca="1" si="19"/>
        <v>3.6405461937732427E-2</v>
      </c>
      <c r="M109" s="30">
        <f t="shared" ca="1" si="19"/>
        <v>2.9850234006032005E-2</v>
      </c>
      <c r="N109" s="30">
        <f t="shared" ca="1" si="19"/>
        <v>0.11790007321951082</v>
      </c>
      <c r="O109" s="30">
        <f t="shared" ca="1" si="20"/>
        <v>1.6347543352601246E-2</v>
      </c>
      <c r="P109" s="30">
        <f t="shared" ca="1" si="21"/>
        <v>1.1232925952552097E-2</v>
      </c>
      <c r="Q109" s="30">
        <f t="shared" ca="1" si="22"/>
        <v>8.9661974356676222E-3</v>
      </c>
      <c r="R109" s="30">
        <f t="shared" ca="1" si="23"/>
        <v>0.2513065717780496</v>
      </c>
      <c r="S109" s="9" cm="1">
        <f t="array" aca="1" ref="S109" ca="1">_xll.FDS($E$7,"P_PRICE("&amp;AG109&amp;",0,D,D)")</f>
        <v>112.53</v>
      </c>
      <c r="T109" s="9" cm="1">
        <f t="array" aca="1" ref="T109" ca="1">_xll.FDS($E$7,"P_PRICE("&amp;AH109&amp;",0,D,D)")</f>
        <v>110.72</v>
      </c>
      <c r="U109" s="9" cm="1">
        <f t="array" aca="1" ref="U109" ca="1">_xll.FDS($E$7,"P_PRICE("&amp;AI109&amp;",0,D,D)")</f>
        <v>111.28</v>
      </c>
      <c r="V109" s="9" cm="1">
        <f t="array" aca="1" ref="V109" ca="1">_xll.FDS($E$7,"P_PRICE("&amp;AJ109&amp;",0,D,D)")</f>
        <v>111.53</v>
      </c>
      <c r="W109" s="9" cm="1">
        <f t="array" aca="1" ref="W109" ca="1">_xll.FDS($E$7,"P_PRICE("&amp;AK109&amp;",0,D,D)")</f>
        <v>89.93</v>
      </c>
      <c r="X109" s="24">
        <f t="shared" ca="1" si="24"/>
        <v>1.4456569639514916E-2</v>
      </c>
      <c r="Y109" s="24">
        <f t="shared" ca="1" si="25"/>
        <v>2.9805752906224559E-2</v>
      </c>
      <c r="Z109" s="24">
        <f t="shared" ca="1" si="26"/>
        <v>2.4438879542265424E-2</v>
      </c>
      <c r="AA109" s="24">
        <f t="shared" ca="1" si="27"/>
        <v>9.6526737004930974E-2</v>
      </c>
      <c r="AB109" s="9" cm="1">
        <f t="array" aca="1" ref="AB109" ca="1">_xll.FDS($E$9,"P_PRICE("&amp;AG109&amp;",0,D,D)")</f>
        <v>6606.76</v>
      </c>
      <c r="AC109" s="9" cm="1">
        <f t="array" aca="1" ref="AC109" ca="1">_xll.FDS($E$9,"P_PRICE("&amp;AH109&amp;",0,D,D)")</f>
        <v>6512.61</v>
      </c>
      <c r="AD109" s="9" cm="1">
        <f t="array" aca="1" ref="AD109" ca="1">_xll.FDS($E$9,"P_PRICE("&amp;AI109&amp;",0,D,D)")</f>
        <v>6415.54</v>
      </c>
      <c r="AE109" s="9" cm="1">
        <f t="array" aca="1" ref="AE109" ca="1">_xll.FDS($E$9,"P_PRICE("&amp;AJ109&amp;",0,D,D)")</f>
        <v>6449.15</v>
      </c>
      <c r="AF109" s="9" cm="1">
        <f t="array" aca="1" ref="AF109" ca="1">_xll.FDS($E$9,"P_PRICE("&amp;AK109&amp;",0,D,D)")</f>
        <v>6025.17</v>
      </c>
      <c r="AG109" s="20">
        <f t="shared" ca="1" si="33"/>
        <v>45916</v>
      </c>
      <c r="AH109" s="22">
        <f t="shared" ca="1" si="28"/>
        <v>45909</v>
      </c>
      <c r="AI109" s="22">
        <f t="shared" ca="1" si="29"/>
        <v>45902</v>
      </c>
      <c r="AJ109" s="22">
        <f t="shared" ca="1" si="30"/>
        <v>45887</v>
      </c>
      <c r="AK109" s="22">
        <f t="shared" ca="1" si="31"/>
        <v>45831</v>
      </c>
      <c r="AL109" s="22">
        <f t="shared" ca="1" si="32"/>
        <v>45742</v>
      </c>
    </row>
    <row r="110" spans="4:38" x14ac:dyDescent="0.25">
      <c r="D110" s="6">
        <f ca="1"/>
        <v>45915</v>
      </c>
      <c r="E110" s="28" cm="1">
        <f t="array" aca="1" ref="E110" ca="1">_xll.FDS($E$7,"P_PRICE("&amp;D110&amp;",0,D,D)")</f>
        <v>113.24</v>
      </c>
      <c r="F110" s="29" cm="1">
        <f t="array" aca="1" ref="F110" ca="1">_xll.FDS($E$7,"P_BETA_LOCIDX("&amp;$AG110&amp;","&amp;$AL110&amp;",,"""&amp;$E$9&amp;""")")</f>
        <v>1.2209970999999999</v>
      </c>
      <c r="G110" s="30">
        <f t="shared" ca="1" si="18"/>
        <v>-1.20526818995478E-2</v>
      </c>
      <c r="H110" s="30">
        <f t="shared" ca="1" si="18"/>
        <v>-2.6731463260877834E-2</v>
      </c>
      <c r="I110" s="30">
        <f t="shared" ca="1" si="18"/>
        <v>-9.6738128919048386E-3</v>
      </c>
      <c r="J110" s="30">
        <f t="shared" ca="1" si="18"/>
        <v>0.1521647415138988</v>
      </c>
      <c r="K110" s="30">
        <f t="shared" ca="1" si="19"/>
        <v>2.2582755074632609E-2</v>
      </c>
      <c r="L110" s="30">
        <f t="shared" ca="1" si="19"/>
        <v>2.9298971007668432E-2</v>
      </c>
      <c r="M110" s="30">
        <f t="shared" ca="1" si="19"/>
        <v>3.1326645804210858E-2</v>
      </c>
      <c r="N110" s="30">
        <f t="shared" ca="1" si="19"/>
        <v>0.13246373267781963</v>
      </c>
      <c r="O110" s="30">
        <f t="shared" ca="1" si="20"/>
        <v>1.0530073175084809E-2</v>
      </c>
      <c r="P110" s="30">
        <f t="shared" ca="1" si="21"/>
        <v>2.5675077467905982E-3</v>
      </c>
      <c r="Q110" s="30">
        <f t="shared" ca="1" si="22"/>
        <v>2.1652832912306019E-2</v>
      </c>
      <c r="R110" s="30">
        <f t="shared" ca="1" si="23"/>
        <v>0.28462847419171844</v>
      </c>
      <c r="S110" s="9" cm="1">
        <f t="array" aca="1" ref="S110" ca="1">_xll.FDS($E$7,"P_PRICE("&amp;AG110&amp;",0,D,D)")</f>
        <v>113.24</v>
      </c>
      <c r="T110" s="9" cm="1">
        <f t="array" aca="1" ref="T110" ca="1">_xll.FDS($E$7,"P_PRICE("&amp;AH110&amp;",0,D,D)")</f>
        <v>112.06</v>
      </c>
      <c r="U110" s="9" cm="1">
        <f t="array" aca="1" ref="U110" ca="1">_xll.FDS($E$7,"P_PRICE("&amp;AI110&amp;",0,D,D)")</f>
        <v>112.95</v>
      </c>
      <c r="V110" s="9" cm="1">
        <f t="array" aca="1" ref="V110" ca="1">_xll.FDS($E$7,"P_PRICE("&amp;AJ110&amp;",0,D,D)")</f>
        <v>110.84</v>
      </c>
      <c r="W110" s="9" cm="1">
        <f t="array" aca="1" ref="W110" ca="1">_xll.FDS($E$7,"P_PRICE("&amp;AK110&amp;",0,D,D)")</f>
        <v>88.15</v>
      </c>
      <c r="X110" s="24">
        <f t="shared" ca="1" si="24"/>
        <v>1.8495338829742192E-2</v>
      </c>
      <c r="Y110" s="24">
        <f t="shared" ca="1" si="25"/>
        <v>2.3995938243971615E-2</v>
      </c>
      <c r="Z110" s="24">
        <f t="shared" ca="1" si="26"/>
        <v>2.5656609507271444E-2</v>
      </c>
      <c r="AA110" s="24">
        <f t="shared" ca="1" si="27"/>
        <v>0.10848816322153398</v>
      </c>
      <c r="AB110" s="9" cm="1">
        <f t="array" aca="1" ref="AB110" ca="1">_xll.FDS($E$9,"P_PRICE("&amp;AG110&amp;",0,D,D)")</f>
        <v>6615.28</v>
      </c>
      <c r="AC110" s="9" cm="1">
        <f t="array" aca="1" ref="AC110" ca="1">_xll.FDS($E$9,"P_PRICE("&amp;AH110&amp;",0,D,D)")</f>
        <v>6495.15</v>
      </c>
      <c r="AD110" s="9" cm="1">
        <f t="array" aca="1" ref="AD110" ca="1">_xll.FDS($E$9,"P_PRICE("&amp;AI110&amp;",0,D,D)")</f>
        <v>6460.26</v>
      </c>
      <c r="AE110" s="9" cm="1">
        <f t="array" aca="1" ref="AE110" ca="1">_xll.FDS($E$9,"P_PRICE("&amp;AJ110&amp;",0,D,D)")</f>
        <v>6449.8</v>
      </c>
      <c r="AF110" s="9" cm="1">
        <f t="array" aca="1" ref="AF110" ca="1">_xll.FDS($E$9,"P_PRICE("&amp;AK110&amp;",0,D,D)")</f>
        <v>5967.84</v>
      </c>
      <c r="AG110" s="20">
        <f t="shared" ca="1" si="33"/>
        <v>45915</v>
      </c>
      <c r="AH110" s="22">
        <f t="shared" ca="1" si="28"/>
        <v>45908</v>
      </c>
      <c r="AI110" s="22">
        <f t="shared" ca="1" si="29"/>
        <v>45898</v>
      </c>
      <c r="AJ110" s="22">
        <f t="shared" ca="1" si="30"/>
        <v>45884</v>
      </c>
      <c r="AK110" s="22">
        <f t="shared" ca="1" si="31"/>
        <v>45828</v>
      </c>
      <c r="AL110" s="22">
        <f t="shared" ca="1" si="32"/>
        <v>45741</v>
      </c>
    </row>
    <row r="111" spans="4:38" x14ac:dyDescent="0.25">
      <c r="D111" s="6">
        <f ca="1"/>
        <v>45912</v>
      </c>
      <c r="E111" s="28" cm="1">
        <f t="array" aca="1" ref="E111" ca="1">_xll.FDS($E$7,"P_PRICE("&amp;D111&amp;",0,D,D)")</f>
        <v>113.39</v>
      </c>
      <c r="F111" s="29" cm="1">
        <f t="array" aca="1" ref="F111" ca="1">_xll.FDS($E$7,"P_BETA_LOCIDX("&amp;$AG111&amp;","&amp;$AL111&amp;",,"""&amp;$E$9&amp;""")")</f>
        <v>1.2319039000000001</v>
      </c>
      <c r="G111" s="30">
        <f t="shared" ca="1" si="18"/>
        <v>-1.0369779995940815E-2</v>
      </c>
      <c r="H111" s="30">
        <f t="shared" ca="1" si="18"/>
        <v>-1.3851027004835847E-2</v>
      </c>
      <c r="I111" s="30">
        <f t="shared" ca="1" si="18"/>
        <v>-7.3684436361458154E-3</v>
      </c>
      <c r="J111" s="30">
        <f t="shared" ca="1" si="18"/>
        <v>0.14932678567431501</v>
      </c>
      <c r="K111" s="30">
        <f t="shared" ca="1" si="19"/>
        <v>1.9536743328087542E-2</v>
      </c>
      <c r="L111" s="30">
        <f t="shared" ca="1" si="19"/>
        <v>1.5617967547286593E-2</v>
      </c>
      <c r="M111" s="30">
        <f t="shared" ca="1" si="19"/>
        <v>2.2044058848673841E-2</v>
      </c>
      <c r="N111" s="30">
        <f t="shared" ca="1" si="19"/>
        <v>0.12428884950483798</v>
      </c>
      <c r="O111" s="30">
        <f t="shared" ca="1" si="20"/>
        <v>9.166963332146727E-3</v>
      </c>
      <c r="P111" s="30">
        <f t="shared" ca="1" si="21"/>
        <v>1.7669405424507456E-3</v>
      </c>
      <c r="Q111" s="30">
        <f t="shared" ca="1" si="22"/>
        <v>1.4675615212528026E-2</v>
      </c>
      <c r="R111" s="30">
        <f t="shared" ca="1" si="23"/>
        <v>0.27361563517915299</v>
      </c>
      <c r="S111" s="9" cm="1">
        <f t="array" aca="1" ref="S111" ca="1">_xll.FDS($E$7,"P_PRICE("&amp;AG111&amp;",0,D,D)")</f>
        <v>113.39</v>
      </c>
      <c r="T111" s="9" cm="1">
        <f t="array" aca="1" ref="T111" ca="1">_xll.FDS($E$7,"P_PRICE("&amp;AH111&amp;",0,D,D)")</f>
        <v>112.36</v>
      </c>
      <c r="U111" s="9" cm="1">
        <f t="array" aca="1" ref="U111" ca="1">_xll.FDS($E$7,"P_PRICE("&amp;AI111&amp;",0,D,D)")</f>
        <v>113.19</v>
      </c>
      <c r="V111" s="9" cm="1">
        <f t="array" aca="1" ref="V111" ca="1">_xll.FDS($E$7,"P_PRICE("&amp;AJ111&amp;",0,D,D)")</f>
        <v>111.75</v>
      </c>
      <c r="W111" s="9" cm="1">
        <f t="array" aca="1" ref="W111" ca="1">_xll.FDS($E$7,"P_PRICE("&amp;AK111&amp;",0,D,D)")</f>
        <v>89.03</v>
      </c>
      <c r="X111" s="24">
        <f t="shared" ca="1" si="24"/>
        <v>1.5858983260047754E-2</v>
      </c>
      <c r="Y111" s="24">
        <f t="shared" ca="1" si="25"/>
        <v>1.2677910628650979E-2</v>
      </c>
      <c r="Z111" s="24">
        <f t="shared" ca="1" si="26"/>
        <v>1.7894300723192647E-2</v>
      </c>
      <c r="AA111" s="24">
        <f t="shared" ca="1" si="27"/>
        <v>0.10089167629458595</v>
      </c>
      <c r="AB111" s="9" cm="1">
        <f t="array" aca="1" ref="AB111" ca="1">_xll.FDS($E$9,"P_PRICE("&amp;AG111&amp;",0,D,D)")</f>
        <v>6584.29</v>
      </c>
      <c r="AC111" s="9" cm="1">
        <f t="array" aca="1" ref="AC111" ca="1">_xll.FDS($E$9,"P_PRICE("&amp;AH111&amp;",0,D,D)")</f>
        <v>6481.5</v>
      </c>
      <c r="AD111" s="9" cm="1">
        <f t="array" aca="1" ref="AD111" ca="1">_xll.FDS($E$9,"P_PRICE("&amp;AI111&amp;",0,D,D)")</f>
        <v>6501.86</v>
      </c>
      <c r="AE111" s="9" cm="1">
        <f t="array" aca="1" ref="AE111" ca="1">_xll.FDS($E$9,"P_PRICE("&amp;AJ111&amp;",0,D,D)")</f>
        <v>6468.54</v>
      </c>
      <c r="AF111" s="9" cm="1">
        <f t="array" aca="1" ref="AF111" ca="1">_xll.FDS($E$9,"P_PRICE("&amp;AK111&amp;",0,D,D)")</f>
        <v>5980.87</v>
      </c>
      <c r="AG111" s="20">
        <f t="shared" ca="1" si="33"/>
        <v>45912</v>
      </c>
      <c r="AH111" s="22">
        <f t="shared" ca="1" si="28"/>
        <v>45905</v>
      </c>
      <c r="AI111" s="22">
        <f t="shared" ca="1" si="29"/>
        <v>45897</v>
      </c>
      <c r="AJ111" s="22">
        <f t="shared" ca="1" si="30"/>
        <v>45883</v>
      </c>
      <c r="AK111" s="22">
        <f t="shared" ca="1" si="31"/>
        <v>45826</v>
      </c>
      <c r="AL111" s="22">
        <f t="shared" ca="1" si="32"/>
        <v>45740</v>
      </c>
    </row>
    <row r="112" spans="4:38" x14ac:dyDescent="0.25">
      <c r="D112" s="6">
        <f ca="1"/>
        <v>45911</v>
      </c>
      <c r="E112" s="28" cm="1">
        <f t="array" aca="1" ref="E112" ca="1">_xll.FDS($E$7,"P_PRICE("&amp;D112&amp;",0,D,D)")</f>
        <v>114.47</v>
      </c>
      <c r="F112" s="29" cm="1">
        <f t="array" aca="1" ref="F112" ca="1">_xll.FDS($E$7,"P_BETA_LOCIDX("&amp;$AG112&amp;","&amp;$AL112&amp;",,"""&amp;$E$9&amp;""")")</f>
        <v>1.2319169999999999</v>
      </c>
      <c r="G112" s="30">
        <f t="shared" ca="1" si="18"/>
        <v>9.4465222302463139E-3</v>
      </c>
      <c r="H112" s="30">
        <f t="shared" ca="1" si="18"/>
        <v>-9.2987944871714308E-3</v>
      </c>
      <c r="I112" s="30">
        <f t="shared" ca="1" si="18"/>
        <v>-1.5815037271492673E-2</v>
      </c>
      <c r="J112" s="30">
        <f t="shared" ca="1" si="18"/>
        <v>0.15005406683148964</v>
      </c>
      <c r="K112" s="30">
        <f t="shared" ca="1" si="19"/>
        <v>1.6178421771187244E-2</v>
      </c>
      <c r="L112" s="30">
        <f t="shared" ca="1" si="19"/>
        <v>2.0160680746443855E-2</v>
      </c>
      <c r="M112" s="30">
        <f t="shared" ca="1" si="19"/>
        <v>2.3030171455390637E-2</v>
      </c>
      <c r="N112" s="30">
        <f t="shared" ca="1" si="19"/>
        <v>0.124525601356908</v>
      </c>
      <c r="O112" s="30">
        <f t="shared" ca="1" si="20"/>
        <v>2.5624944001433558E-2</v>
      </c>
      <c r="P112" s="30">
        <f t="shared" ca="1" si="21"/>
        <v>1.0861886259272424E-2</v>
      </c>
      <c r="Q112" s="30">
        <f t="shared" ca="1" si="22"/>
        <v>7.2151341838979643E-3</v>
      </c>
      <c r="R112" s="30">
        <f t="shared" ca="1" si="23"/>
        <v>0.27457966818839763</v>
      </c>
      <c r="S112" s="9" cm="1">
        <f t="array" aca="1" ref="S112" ca="1">_xll.FDS($E$7,"P_PRICE("&amp;AG112&amp;",0,D,D)")</f>
        <v>114.47</v>
      </c>
      <c r="T112" s="9" cm="1">
        <f t="array" aca="1" ref="T112" ca="1">_xll.FDS($E$7,"P_PRICE("&amp;AH112&amp;",0,D,D)")</f>
        <v>111.61</v>
      </c>
      <c r="U112" s="9" cm="1">
        <f t="array" aca="1" ref="U112" ca="1">_xll.FDS($E$7,"P_PRICE("&amp;AI112&amp;",0,D,D)")</f>
        <v>113.24</v>
      </c>
      <c r="V112" s="9" cm="1">
        <f t="array" aca="1" ref="V112" ca="1">_xll.FDS($E$7,"P_PRICE("&amp;AJ112&amp;",0,D,D)")</f>
        <v>113.65</v>
      </c>
      <c r="W112" s="9" cm="1">
        <f t="array" aca="1" ref="W112" ca="1">_xll.FDS($E$7,"P_PRICE("&amp;AK112&amp;",0,D,D)")</f>
        <v>89.81</v>
      </c>
      <c r="X112" s="24">
        <f t="shared" ca="1" si="24"/>
        <v>1.3132720606329196E-2</v>
      </c>
      <c r="Y112" s="24">
        <f t="shared" ca="1" si="25"/>
        <v>1.6365291449378372E-2</v>
      </c>
      <c r="Z112" s="24">
        <f t="shared" ca="1" si="26"/>
        <v>1.8694580442830677E-2</v>
      </c>
      <c r="AA112" s="24">
        <f t="shared" ca="1" si="27"/>
        <v>0.1010827850877194</v>
      </c>
      <c r="AB112" s="9" cm="1">
        <f t="array" aca="1" ref="AB112" ca="1">_xll.FDS($E$9,"P_PRICE("&amp;AG112&amp;",0,D,D)")</f>
        <v>6587.47</v>
      </c>
      <c r="AC112" s="9" cm="1">
        <f t="array" aca="1" ref="AC112" ca="1">_xll.FDS($E$9,"P_PRICE("&amp;AH112&amp;",0,D,D)")</f>
        <v>6502.08</v>
      </c>
      <c r="AD112" s="9" cm="1">
        <f t="array" aca="1" ref="AD112" ca="1">_xll.FDS($E$9,"P_PRICE("&amp;AI112&amp;",0,D,D)")</f>
        <v>6481.4</v>
      </c>
      <c r="AE112" s="9" cm="1">
        <f t="array" aca="1" ref="AE112" ca="1">_xll.FDS($E$9,"P_PRICE("&amp;AJ112&amp;",0,D,D)")</f>
        <v>6466.58</v>
      </c>
      <c r="AF112" s="9" cm="1">
        <f t="array" aca="1" ref="AF112" ca="1">_xll.FDS($E$9,"P_PRICE("&amp;AK112&amp;",0,D,D)")</f>
        <v>5982.72</v>
      </c>
      <c r="AG112" s="20">
        <f t="shared" ca="1" si="33"/>
        <v>45911</v>
      </c>
      <c r="AH112" s="22">
        <f t="shared" ca="1" si="28"/>
        <v>45904</v>
      </c>
      <c r="AI112" s="22">
        <f t="shared" ca="1" si="29"/>
        <v>45896</v>
      </c>
      <c r="AJ112" s="22">
        <f t="shared" ca="1" si="30"/>
        <v>45882</v>
      </c>
      <c r="AK112" s="22">
        <f t="shared" ca="1" si="31"/>
        <v>45825</v>
      </c>
      <c r="AL112" s="22">
        <f t="shared" ca="1" si="32"/>
        <v>45737</v>
      </c>
    </row>
    <row r="113" spans="4:38" x14ac:dyDescent="0.25">
      <c r="D113" s="6">
        <f ca="1"/>
        <v>45910</v>
      </c>
      <c r="E113" s="28" cm="1">
        <f t="array" aca="1" ref="E113" ca="1">_xll.FDS($E$7,"P_PRICE("&amp;D113&amp;",0,D,D)")</f>
        <v>111.26</v>
      </c>
      <c r="F113" s="29" cm="1">
        <f t="array" aca="1" ref="F113" ca="1">_xll.FDS($E$7,"P_BETA_LOCIDX("&amp;$AG113&amp;","&amp;$AL113&amp;",,"""&amp;$E$9&amp;""")")</f>
        <v>1.2278353</v>
      </c>
      <c r="G113" s="30">
        <f t="shared" ca="1" si="18"/>
        <v>-2.1761075875008716E-2</v>
      </c>
      <c r="H113" s="30">
        <f t="shared" ca="1" si="18"/>
        <v>-3.8893034438247501E-2</v>
      </c>
      <c r="I113" s="30">
        <f t="shared" ca="1" si="18"/>
        <v>-2.3308401628429232E-2</v>
      </c>
      <c r="J113" s="30">
        <f t="shared" ca="1" si="18"/>
        <v>0.12771612466481003</v>
      </c>
      <c r="K113" s="30">
        <f t="shared" ca="1" si="19"/>
        <v>1.5952837111716876E-2</v>
      </c>
      <c r="L113" s="30">
        <f t="shared" ca="1" si="19"/>
        <v>1.2551912533985759E-2</v>
      </c>
      <c r="M113" s="30">
        <f t="shared" ca="1" si="19"/>
        <v>1.6435242653154825E-2</v>
      </c>
      <c r="N113" s="30">
        <f t="shared" ca="1" si="19"/>
        <v>0.10154031108814539</v>
      </c>
      <c r="O113" s="30">
        <f t="shared" ca="1" si="20"/>
        <v>-5.8082387632918397E-3</v>
      </c>
      <c r="P113" s="30">
        <f t="shared" ca="1" si="21"/>
        <v>-2.6341121904261744E-2</v>
      </c>
      <c r="Q113" s="30">
        <f t="shared" ca="1" si="22"/>
        <v>-6.8731589752744071E-3</v>
      </c>
      <c r="R113" s="30">
        <f t="shared" ca="1" si="23"/>
        <v>0.2292564357529554</v>
      </c>
      <c r="S113" s="9" cm="1">
        <f t="array" aca="1" ref="S113" ca="1">_xll.FDS($E$7,"P_PRICE("&amp;AG113&amp;",0,D,D)")</f>
        <v>111.26</v>
      </c>
      <c r="T113" s="9" cm="1">
        <f t="array" aca="1" ref="T113" ca="1">_xll.FDS($E$7,"P_PRICE("&amp;AH113&amp;",0,D,D)")</f>
        <v>111.91</v>
      </c>
      <c r="U113" s="9" cm="1">
        <f t="array" aca="1" ref="U113" ca="1">_xll.FDS($E$7,"P_PRICE("&amp;AI113&amp;",0,D,D)")</f>
        <v>114.27</v>
      </c>
      <c r="V113" s="9" cm="1">
        <f t="array" aca="1" ref="V113" ca="1">_xll.FDS($E$7,"P_PRICE("&amp;AJ113&amp;",0,D,D)")</f>
        <v>112.03</v>
      </c>
      <c r="W113" s="9" cm="1">
        <f t="array" aca="1" ref="W113" ca="1">_xll.FDS($E$7,"P_PRICE("&amp;AK113&amp;",0,D,D)")</f>
        <v>90.51</v>
      </c>
      <c r="X113" s="24">
        <f t="shared" ca="1" si="24"/>
        <v>1.2992652281390571E-2</v>
      </c>
      <c r="Y113" s="24">
        <f t="shared" ca="1" si="25"/>
        <v>1.0222798231966257E-2</v>
      </c>
      <c r="Z113" s="24">
        <f t="shared" ca="1" si="26"/>
        <v>1.3385543364940578E-2</v>
      </c>
      <c r="AA113" s="24">
        <f t="shared" ca="1" si="27"/>
        <v>8.2698641330922307E-2</v>
      </c>
      <c r="AB113" s="9" cm="1">
        <f t="array" aca="1" ref="AB113" ca="1">_xll.FDS($E$9,"P_PRICE("&amp;AG113&amp;",0,D,D)")</f>
        <v>6532.04</v>
      </c>
      <c r="AC113" s="9" cm="1">
        <f t="array" aca="1" ref="AC113" ca="1">_xll.FDS($E$9,"P_PRICE("&amp;AH113&amp;",0,D,D)")</f>
        <v>6448.26</v>
      </c>
      <c r="AD113" s="9" cm="1">
        <f t="array" aca="1" ref="AD113" ca="1">_xll.FDS($E$9,"P_PRICE("&amp;AI113&amp;",0,D,D)")</f>
        <v>6465.94</v>
      </c>
      <c r="AE113" s="9" cm="1">
        <f t="array" aca="1" ref="AE113" ca="1">_xll.FDS($E$9,"P_PRICE("&amp;AJ113&amp;",0,D,D)")</f>
        <v>6445.76</v>
      </c>
      <c r="AF113" s="9" cm="1">
        <f t="array" aca="1" ref="AF113" ca="1">_xll.FDS($E$9,"P_PRICE("&amp;AK113&amp;",0,D,D)")</f>
        <v>6033.11</v>
      </c>
      <c r="AG113" s="20">
        <f t="shared" ca="1" si="33"/>
        <v>45910</v>
      </c>
      <c r="AH113" s="22">
        <f t="shared" ca="1" si="28"/>
        <v>45903</v>
      </c>
      <c r="AI113" s="22">
        <f t="shared" ca="1" si="29"/>
        <v>45895</v>
      </c>
      <c r="AJ113" s="22">
        <f t="shared" ca="1" si="30"/>
        <v>45881</v>
      </c>
      <c r="AK113" s="22">
        <f t="shared" ca="1" si="31"/>
        <v>45824</v>
      </c>
      <c r="AL113" s="22">
        <f t="shared" ca="1" si="32"/>
        <v>45736</v>
      </c>
    </row>
    <row r="114" spans="4:38" x14ac:dyDescent="0.25">
      <c r="D114" s="6">
        <f ca="1"/>
        <v>45909</v>
      </c>
      <c r="E114" s="28" cm="1">
        <f t="array" aca="1" ref="E114" ca="1">_xll.FDS($E$7,"P_PRICE("&amp;D114&amp;",0,D,D)")</f>
        <v>110.72</v>
      </c>
      <c r="F114" s="29" cm="1">
        <f t="array" aca="1" ref="F114" ca="1">_xll.FDS($E$7,"P_BETA_LOCIDX("&amp;$AG114&amp;","&amp;$AL114&amp;",,"""&amp;$E$9&amp;""")")</f>
        <v>1.2331373999999999</v>
      </c>
      <c r="G114" s="30">
        <f t="shared" ca="1" si="18"/>
        <v>-2.3690273217999415E-2</v>
      </c>
      <c r="H114" s="30">
        <f t="shared" ca="1" si="18"/>
        <v>-3.0644056802233484E-2</v>
      </c>
      <c r="I114" s="30">
        <f t="shared" ca="1" si="18"/>
        <v>3.7958093250464592E-3</v>
      </c>
      <c r="J114" s="30">
        <f t="shared" ca="1" si="18"/>
        <v>0.1191652375424879</v>
      </c>
      <c r="K114" s="30">
        <f t="shared" ca="1" si="19"/>
        <v>1.8657922391256056E-2</v>
      </c>
      <c r="L114" s="30">
        <f t="shared" ca="1" si="19"/>
        <v>1.4035121728070537E-2</v>
      </c>
      <c r="M114" s="30">
        <f t="shared" ca="1" si="19"/>
        <v>2.6924726887949182E-2</v>
      </c>
      <c r="N114" s="30">
        <f t="shared" ca="1" si="19"/>
        <v>0.11051046214653912</v>
      </c>
      <c r="O114" s="30">
        <f t="shared" ca="1" si="20"/>
        <v>-5.0323508267433592E-3</v>
      </c>
      <c r="P114" s="30">
        <f t="shared" ca="1" si="21"/>
        <v>-1.6608935074162945E-2</v>
      </c>
      <c r="Q114" s="30">
        <f t="shared" ca="1" si="22"/>
        <v>3.0720536212995642E-2</v>
      </c>
      <c r="R114" s="30">
        <f t="shared" ca="1" si="23"/>
        <v>0.22967569968902701</v>
      </c>
      <c r="S114" s="9" cm="1">
        <f t="array" aca="1" ref="S114" ca="1">_xll.FDS($E$7,"P_PRICE("&amp;AG114&amp;",0,D,D)")</f>
        <v>110.72</v>
      </c>
      <c r="T114" s="9" cm="1">
        <f t="array" aca="1" ref="T114" ca="1">_xll.FDS($E$7,"P_PRICE("&amp;AH114&amp;",0,D,D)")</f>
        <v>111.28</v>
      </c>
      <c r="U114" s="9" cm="1">
        <f t="array" aca="1" ref="U114" ca="1">_xll.FDS($E$7,"P_PRICE("&amp;AI114&amp;",0,D,D)")</f>
        <v>112.59</v>
      </c>
      <c r="V114" s="9" cm="1">
        <f t="array" aca="1" ref="V114" ca="1">_xll.FDS($E$7,"P_PRICE("&amp;AJ114&amp;",0,D,D)")</f>
        <v>107.42</v>
      </c>
      <c r="W114" s="9" cm="1">
        <f t="array" aca="1" ref="W114" ca="1">_xll.FDS($E$7,"P_PRICE("&amp;AK114&amp;",0,D,D)")</f>
        <v>90.04</v>
      </c>
      <c r="X114" s="24">
        <f t="shared" ca="1" si="24"/>
        <v>1.5130448878815983E-2</v>
      </c>
      <c r="Y114" s="24">
        <f t="shared" ca="1" si="25"/>
        <v>1.1381636570320985E-2</v>
      </c>
      <c r="Z114" s="24">
        <f t="shared" ca="1" si="26"/>
        <v>2.1834328346499898E-2</v>
      </c>
      <c r="AA114" s="24">
        <f t="shared" ca="1" si="27"/>
        <v>8.9617314458663833E-2</v>
      </c>
      <c r="AB114" s="9" cm="1">
        <f t="array" aca="1" ref="AB114" ca="1">_xll.FDS($E$9,"P_PRICE("&amp;AG114&amp;",0,D,D)")</f>
        <v>6512.61</v>
      </c>
      <c r="AC114" s="9" cm="1">
        <f t="array" aca="1" ref="AC114" ca="1">_xll.FDS($E$9,"P_PRICE("&amp;AH114&amp;",0,D,D)")</f>
        <v>6415.54</v>
      </c>
      <c r="AD114" s="9" cm="1">
        <f t="array" aca="1" ref="AD114" ca="1">_xll.FDS($E$9,"P_PRICE("&amp;AI114&amp;",0,D,D)")</f>
        <v>6439.32</v>
      </c>
      <c r="AE114" s="9" cm="1">
        <f t="array" aca="1" ref="AE114" ca="1">_xll.FDS($E$9,"P_PRICE("&amp;AJ114&amp;",0,D,D)")</f>
        <v>6373.45</v>
      </c>
      <c r="AF114" s="9" cm="1">
        <f t="array" aca="1" ref="AF114" ca="1">_xll.FDS($E$9,"P_PRICE("&amp;AK114&amp;",0,D,D)")</f>
        <v>5976.97</v>
      </c>
      <c r="AG114" s="20">
        <f t="shared" ca="1" si="33"/>
        <v>45909</v>
      </c>
      <c r="AH114" s="22">
        <f t="shared" ca="1" si="28"/>
        <v>45902</v>
      </c>
      <c r="AI114" s="22">
        <f t="shared" ca="1" si="29"/>
        <v>45894</v>
      </c>
      <c r="AJ114" s="22">
        <f t="shared" ca="1" si="30"/>
        <v>45880</v>
      </c>
      <c r="AK114" s="22">
        <f t="shared" ca="1" si="31"/>
        <v>45821</v>
      </c>
      <c r="AL114" s="22">
        <f t="shared" ca="1" si="32"/>
        <v>45735</v>
      </c>
    </row>
    <row r="115" spans="4:38" x14ac:dyDescent="0.25">
      <c r="D115" s="6">
        <f ca="1"/>
        <v>45908</v>
      </c>
      <c r="E115" s="28" cm="1">
        <f t="array" aca="1" ref="E115" ca="1">_xll.FDS($E$7,"P_PRICE("&amp;D115&amp;",0,D,D)")</f>
        <v>112.06</v>
      </c>
      <c r="F115" s="29" cm="1">
        <f t="array" aca="1" ref="F115" ca="1">_xll.FDS($E$7,"P_BETA_LOCIDX("&amp;$AG115&amp;","&amp;$AL115&amp;",,"""&amp;$E$9&amp;""")")</f>
        <v>1.2334849999999999</v>
      </c>
      <c r="G115" s="30">
        <f t="shared" ca="1" si="18"/>
        <v>-1.4541289274035895E-2</v>
      </c>
      <c r="H115" s="30">
        <f t="shared" ca="1" si="18"/>
        <v>-1.6592650973158228E-2</v>
      </c>
      <c r="I115" s="30">
        <f t="shared" ca="1" si="18"/>
        <v>4.8461883471896984E-3</v>
      </c>
      <c r="J115" s="30">
        <f t="shared" ca="1" si="18"/>
        <v>0.11822420520679366</v>
      </c>
      <c r="K115" s="30">
        <f t="shared" ca="1" si="19"/>
        <v>6.661696533885408E-3</v>
      </c>
      <c r="L115" s="30">
        <f t="shared" ca="1" si="19"/>
        <v>5.3864390257480016E-3</v>
      </c>
      <c r="M115" s="30">
        <f t="shared" ca="1" si="19"/>
        <v>2.0405412750706117E-2</v>
      </c>
      <c r="N115" s="30">
        <f t="shared" ca="1" si="19"/>
        <v>9.1796310936171466E-2</v>
      </c>
      <c r="O115" s="30">
        <f t="shared" ca="1" si="20"/>
        <v>-7.8795927401504873E-3</v>
      </c>
      <c r="P115" s="30">
        <f t="shared" ca="1" si="21"/>
        <v>-1.1206211947410227E-2</v>
      </c>
      <c r="Q115" s="30">
        <f t="shared" ca="1" si="22"/>
        <v>2.5251601097895815E-2</v>
      </c>
      <c r="R115" s="30">
        <f t="shared" ca="1" si="23"/>
        <v>0.21002051614296513</v>
      </c>
      <c r="S115" s="9" cm="1">
        <f t="array" aca="1" ref="S115" ca="1">_xll.FDS($E$7,"P_PRICE("&amp;AG115&amp;",0,D,D)")</f>
        <v>112.06</v>
      </c>
      <c r="T115" s="9" cm="1">
        <f t="array" aca="1" ref="T115" ca="1">_xll.FDS($E$7,"P_PRICE("&amp;AH115&amp;",0,D,D)")</f>
        <v>112.95</v>
      </c>
      <c r="U115" s="9" cm="1">
        <f t="array" aca="1" ref="U115" ca="1">_xll.FDS($E$7,"P_PRICE("&amp;AI115&amp;",0,D,D)")</f>
        <v>113.33</v>
      </c>
      <c r="V115" s="9" cm="1">
        <f t="array" aca="1" ref="V115" ca="1">_xll.FDS($E$7,"P_PRICE("&amp;AJ115&amp;",0,D,D)")</f>
        <v>109.3</v>
      </c>
      <c r="W115" s="9" cm="1">
        <f t="array" aca="1" ref="W115" ca="1">_xll.FDS($E$7,"P_PRICE("&amp;AK115&amp;",0,D,D)")</f>
        <v>92.61</v>
      </c>
      <c r="X115" s="24">
        <f t="shared" ca="1" si="24"/>
        <v>5.4007114264749134E-3</v>
      </c>
      <c r="Y115" s="24">
        <f t="shared" ca="1" si="25"/>
        <v>4.3668459898158485E-3</v>
      </c>
      <c r="Z115" s="24">
        <f t="shared" ca="1" si="26"/>
        <v>1.6542894928358365E-2</v>
      </c>
      <c r="AA115" s="24">
        <f t="shared" ca="1" si="27"/>
        <v>7.4420289615334978E-2</v>
      </c>
      <c r="AB115" s="9" cm="1">
        <f t="array" aca="1" ref="AB115" ca="1">_xll.FDS($E$9,"P_PRICE("&amp;AG115&amp;",0,D,D)")</f>
        <v>6495.15</v>
      </c>
      <c r="AC115" s="9" cm="1">
        <f t="array" aca="1" ref="AC115" ca="1">_xll.FDS($E$9,"P_PRICE("&amp;AH115&amp;",0,D,D)")</f>
        <v>6460.26</v>
      </c>
      <c r="AD115" s="9" cm="1">
        <f t="array" aca="1" ref="AD115" ca="1">_xll.FDS($E$9,"P_PRICE("&amp;AI115&amp;",0,D,D)")</f>
        <v>6466.91</v>
      </c>
      <c r="AE115" s="9" cm="1">
        <f t="array" aca="1" ref="AE115" ca="1">_xll.FDS($E$9,"P_PRICE("&amp;AJ115&amp;",0,D,D)")</f>
        <v>6389.45</v>
      </c>
      <c r="AF115" s="9" cm="1">
        <f t="array" aca="1" ref="AF115" ca="1">_xll.FDS($E$9,"P_PRICE("&amp;AK115&amp;",0,D,D)")</f>
        <v>6045.26</v>
      </c>
      <c r="AG115" s="20">
        <f t="shared" ca="1" si="33"/>
        <v>45908</v>
      </c>
      <c r="AH115" s="22">
        <f t="shared" ca="1" si="28"/>
        <v>45898</v>
      </c>
      <c r="AI115" s="22">
        <f t="shared" ca="1" si="29"/>
        <v>45891</v>
      </c>
      <c r="AJ115" s="22">
        <f t="shared" ca="1" si="30"/>
        <v>45877</v>
      </c>
      <c r="AK115" s="22">
        <f t="shared" ca="1" si="31"/>
        <v>45820</v>
      </c>
      <c r="AL115" s="22">
        <f t="shared" ca="1" si="32"/>
        <v>45734</v>
      </c>
    </row>
    <row r="116" spans="4:38" x14ac:dyDescent="0.25">
      <c r="D116" s="6">
        <f ca="1"/>
        <v>45905</v>
      </c>
      <c r="E116" s="28" cm="1">
        <f t="array" aca="1" ref="E116" ca="1">_xll.FDS($E$7,"P_PRICE("&amp;D116&amp;",0,D,D)")</f>
        <v>112.36</v>
      </c>
      <c r="F116" s="29" cm="1">
        <f t="array" aca="1" ref="F116" ca="1">_xll.FDS($E$7,"P_BETA_LOCIDX("&amp;$AG116&amp;","&amp;$AL116&amp;",,"""&amp;$E$9&amp;""")")</f>
        <v>1.2327079999999999</v>
      </c>
      <c r="G116" s="30">
        <f t="shared" ca="1" si="18"/>
        <v>-3.4726870874882587E-3</v>
      </c>
      <c r="H116" s="30">
        <f t="shared" ca="1" si="18"/>
        <v>-6.7316162483879241E-3</v>
      </c>
      <c r="I116" s="30">
        <f t="shared" ca="1" si="18"/>
        <v>2.336683044453175E-2</v>
      </c>
      <c r="J116" s="30">
        <f t="shared" ca="1" si="18"/>
        <v>0.13963362911457572</v>
      </c>
      <c r="K116" s="30">
        <f t="shared" ca="1" si="19"/>
        <v>-3.8601161636823244E-3</v>
      </c>
      <c r="L116" s="30">
        <f t="shared" ca="1" si="19"/>
        <v>2.1543754976711689E-2</v>
      </c>
      <c r="M116" s="30">
        <f t="shared" ca="1" si="19"/>
        <v>2.7512331545741342E-2</v>
      </c>
      <c r="N116" s="30">
        <f t="shared" ca="1" si="19"/>
        <v>9.400712626531009E-2</v>
      </c>
      <c r="O116" s="30">
        <f t="shared" ca="1" si="20"/>
        <v>-7.3328032511705832E-3</v>
      </c>
      <c r="P116" s="30">
        <f t="shared" ca="1" si="21"/>
        <v>1.4812138728323765E-2</v>
      </c>
      <c r="Q116" s="30">
        <f t="shared" ca="1" si="22"/>
        <v>5.0879161990273092E-2</v>
      </c>
      <c r="R116" s="30">
        <f t="shared" ca="1" si="23"/>
        <v>0.23364075537988582</v>
      </c>
      <c r="S116" s="9" cm="1">
        <f t="array" aca="1" ref="S116" ca="1">_xll.FDS($E$7,"P_PRICE("&amp;AG116&amp;",0,D,D)")</f>
        <v>112.36</v>
      </c>
      <c r="T116" s="9" cm="1">
        <f t="array" aca="1" ref="T116" ca="1">_xll.FDS($E$7,"P_PRICE("&amp;AH116&amp;",0,D,D)")</f>
        <v>113.19</v>
      </c>
      <c r="U116" s="9" cm="1">
        <f t="array" aca="1" ref="U116" ca="1">_xll.FDS($E$7,"P_PRICE("&amp;AI116&amp;",0,D,D)")</f>
        <v>110.72</v>
      </c>
      <c r="V116" s="9" cm="1">
        <f t="array" aca="1" ref="V116" ca="1">_xll.FDS($E$7,"P_PRICE("&amp;AJ116&amp;",0,D,D)")</f>
        <v>106.92</v>
      </c>
      <c r="W116" s="9" cm="1">
        <f t="array" aca="1" ref="W116" ca="1">_xll.FDS($E$7,"P_PRICE("&amp;AK116&amp;",0,D,D)")</f>
        <v>91.08</v>
      </c>
      <c r="X116" s="24">
        <f t="shared" ca="1" si="24"/>
        <v>-3.13141162682673E-3</v>
      </c>
      <c r="Y116" s="24">
        <f t="shared" ca="1" si="25"/>
        <v>1.7476770635634464E-2</v>
      </c>
      <c r="Z116" s="24">
        <f t="shared" ca="1" si="26"/>
        <v>2.231861198738172E-2</v>
      </c>
      <c r="AA116" s="24">
        <f t="shared" ca="1" si="27"/>
        <v>7.6260660485135245E-2</v>
      </c>
      <c r="AB116" s="9" cm="1">
        <f t="array" aca="1" ref="AB116" ca="1">_xll.FDS($E$9,"P_PRICE("&amp;AG116&amp;",0,D,D)")</f>
        <v>6481.5</v>
      </c>
      <c r="AC116" s="9" cm="1">
        <f t="array" aca="1" ref="AC116" ca="1">_xll.FDS($E$9,"P_PRICE("&amp;AH116&amp;",0,D,D)")</f>
        <v>6501.86</v>
      </c>
      <c r="AD116" s="9" cm="1">
        <f t="array" aca="1" ref="AD116" ca="1">_xll.FDS($E$9,"P_PRICE("&amp;AI116&amp;",0,D,D)")</f>
        <v>6370.17</v>
      </c>
      <c r="AE116" s="9" cm="1">
        <f t="array" aca="1" ref="AE116" ca="1">_xll.FDS($E$9,"P_PRICE("&amp;AJ116&amp;",0,D,D)")</f>
        <v>6340</v>
      </c>
      <c r="AF116" s="9" cm="1">
        <f t="array" aca="1" ref="AF116" ca="1">_xll.FDS($E$9,"P_PRICE("&amp;AK116&amp;",0,D,D)")</f>
        <v>6022.24</v>
      </c>
      <c r="AG116" s="20">
        <f t="shared" ca="1" si="33"/>
        <v>45905</v>
      </c>
      <c r="AH116" s="22">
        <f t="shared" ca="1" si="28"/>
        <v>45897</v>
      </c>
      <c r="AI116" s="22">
        <f t="shared" ca="1" si="29"/>
        <v>45890</v>
      </c>
      <c r="AJ116" s="22">
        <f t="shared" ca="1" si="30"/>
        <v>45876</v>
      </c>
      <c r="AK116" s="22">
        <f t="shared" ca="1" si="31"/>
        <v>45819</v>
      </c>
      <c r="AL116" s="22">
        <f t="shared" ca="1" si="32"/>
        <v>45733</v>
      </c>
    </row>
    <row r="117" spans="4:38" x14ac:dyDescent="0.25">
      <c r="D117" s="6">
        <f ca="1"/>
        <v>45904</v>
      </c>
      <c r="E117" s="28" cm="1">
        <f t="array" aca="1" ref="E117" ca="1">_xll.FDS($E$7,"P_PRICE("&amp;D117&amp;",0,D,D)")</f>
        <v>111.61</v>
      </c>
      <c r="F117" s="29" cm="1">
        <f t="array" aca="1" ref="F117" ca="1">_xll.FDS($E$7,"P_BETA_LOCIDX("&amp;$AG117&amp;","&amp;$AL117&amp;",,"""&amp;$E$9&amp;""")")</f>
        <v>1.2342027</v>
      </c>
      <c r="G117" s="30">
        <f t="shared" ca="1" si="18"/>
        <v>-1.8332138896979037E-2</v>
      </c>
      <c r="H117" s="30">
        <f t="shared" ca="1" si="18"/>
        <v>-1.2929580466463451E-2</v>
      </c>
      <c r="I117" s="30">
        <f t="shared" ca="1" si="18"/>
        <v>0.11300250113204387</v>
      </c>
      <c r="J117" s="30">
        <f t="shared" ca="1" si="18"/>
        <v>0.10671694406195681</v>
      </c>
      <c r="K117" s="30">
        <f t="shared" ca="1" si="19"/>
        <v>3.9379319029840733E-3</v>
      </c>
      <c r="L117" s="30">
        <f t="shared" ca="1" si="19"/>
        <v>2.051286113812548E-2</v>
      </c>
      <c r="M117" s="30">
        <f t="shared" ca="1" si="19"/>
        <v>3.0542580835169402E-2</v>
      </c>
      <c r="N117" s="30">
        <f t="shared" ca="1" si="19"/>
        <v>9.4682410082284341E-2</v>
      </c>
      <c r="O117" s="30">
        <f t="shared" ca="1" si="20"/>
        <v>-1.4394206993994962E-2</v>
      </c>
      <c r="P117" s="30">
        <f t="shared" ca="1" si="21"/>
        <v>7.5832806716620293E-3</v>
      </c>
      <c r="Q117" s="30">
        <f t="shared" ca="1" si="22"/>
        <v>0.14354508196721327</v>
      </c>
      <c r="R117" s="30">
        <f t="shared" ca="1" si="23"/>
        <v>0.20139935414424115</v>
      </c>
      <c r="S117" s="9" cm="1">
        <f t="array" aca="1" ref="S117" ca="1">_xll.FDS($E$7,"P_PRICE("&amp;AG117&amp;",0,D,D)")</f>
        <v>111.61</v>
      </c>
      <c r="T117" s="9" cm="1">
        <f t="array" aca="1" ref="T117" ca="1">_xll.FDS($E$7,"P_PRICE("&amp;AH117&amp;",0,D,D)")</f>
        <v>113.24</v>
      </c>
      <c r="U117" s="9" cm="1">
        <f t="array" aca="1" ref="U117" ca="1">_xll.FDS($E$7,"P_PRICE("&amp;AI117&amp;",0,D,D)")</f>
        <v>110.77</v>
      </c>
      <c r="V117" s="9" cm="1">
        <f t="array" aca="1" ref="V117" ca="1">_xll.FDS($E$7,"P_PRICE("&amp;AJ117&amp;",0,D,D)")</f>
        <v>97.6</v>
      </c>
      <c r="W117" s="9" cm="1">
        <f t="array" aca="1" ref="W117" ca="1">_xll.FDS($E$7,"P_PRICE("&amp;AK117&amp;",0,D,D)")</f>
        <v>92.9</v>
      </c>
      <c r="X117" s="24">
        <f t="shared" ca="1" si="24"/>
        <v>3.1906686826921327E-3</v>
      </c>
      <c r="Y117" s="24">
        <f t="shared" ca="1" si="25"/>
        <v>1.662033403275287E-2</v>
      </c>
      <c r="Z117" s="24">
        <f t="shared" ca="1" si="26"/>
        <v>2.4746810904861416E-2</v>
      </c>
      <c r="AA117" s="24">
        <f t="shared" ca="1" si="27"/>
        <v>7.6715445592757447E-2</v>
      </c>
      <c r="AB117" s="9" cm="1">
        <f t="array" aca="1" ref="AB117" ca="1">_xll.FDS($E$9,"P_PRICE("&amp;AG117&amp;",0,D,D)")</f>
        <v>6502.08</v>
      </c>
      <c r="AC117" s="9" cm="1">
        <f t="array" aca="1" ref="AC117" ca="1">_xll.FDS($E$9,"P_PRICE("&amp;AH117&amp;",0,D,D)")</f>
        <v>6481.4</v>
      </c>
      <c r="AD117" s="9" cm="1">
        <f t="array" aca="1" ref="AD117" ca="1">_xll.FDS($E$9,"P_PRICE("&amp;AI117&amp;",0,D,D)")</f>
        <v>6395.78</v>
      </c>
      <c r="AE117" s="9" cm="1">
        <f t="array" aca="1" ref="AE117" ca="1">_xll.FDS($E$9,"P_PRICE("&amp;AJ117&amp;",0,D,D)")</f>
        <v>6345.06</v>
      </c>
      <c r="AF117" s="9" cm="1">
        <f t="array" aca="1" ref="AF117" ca="1">_xll.FDS($E$9,"P_PRICE("&amp;AK117&amp;",0,D,D)")</f>
        <v>6038.81</v>
      </c>
      <c r="AG117" s="20">
        <f t="shared" ca="1" si="33"/>
        <v>45904</v>
      </c>
      <c r="AH117" s="22">
        <f t="shared" ca="1" si="28"/>
        <v>45896</v>
      </c>
      <c r="AI117" s="22">
        <f t="shared" ca="1" si="29"/>
        <v>45889</v>
      </c>
      <c r="AJ117" s="22">
        <f t="shared" ca="1" si="30"/>
        <v>45875</v>
      </c>
      <c r="AK117" s="22">
        <f t="shared" ca="1" si="31"/>
        <v>45818</v>
      </c>
      <c r="AL117" s="22">
        <f t="shared" ca="1" si="32"/>
        <v>45730</v>
      </c>
    </row>
    <row r="118" spans="4:38" x14ac:dyDescent="0.25">
      <c r="D118" s="6">
        <f ca="1"/>
        <v>45903</v>
      </c>
      <c r="E118" s="28" cm="1">
        <f t="array" aca="1" ref="E118" ca="1">_xll.FDS($E$7,"P_PRICE("&amp;D118&amp;",0,D,D)")</f>
        <v>111.91</v>
      </c>
      <c r="F118" s="29" cm="1">
        <f t="array" aca="1" ref="F118" ca="1">_xll.FDS($E$7,"P_BETA_LOCIDX("&amp;$AG118&amp;","&amp;$AL118&amp;",,"""&amp;$E$9&amp;""")")</f>
        <v>1.2501595999999999</v>
      </c>
      <c r="G118" s="30">
        <f t="shared" ca="1" si="18"/>
        <v>-1.7234493519137091E-2</v>
      </c>
      <c r="H118" s="30">
        <f t="shared" ca="1" si="18"/>
        <v>-1.1906843910950742E-2</v>
      </c>
      <c r="I118" s="30">
        <f t="shared" ca="1" si="18"/>
        <v>0.11293673356911216</v>
      </c>
      <c r="J118" s="30">
        <f t="shared" ca="1" si="18"/>
        <v>0.10892477520817469</v>
      </c>
      <c r="K118" s="30">
        <f t="shared" ca="1" si="19"/>
        <v>-3.418346246330633E-3</v>
      </c>
      <c r="L118" s="30">
        <f t="shared" ca="1" si="19"/>
        <v>7.1932188664825909E-3</v>
      </c>
      <c r="M118" s="30">
        <f t="shared" ca="1" si="19"/>
        <v>2.9584961173103278E-2</v>
      </c>
      <c r="N118" s="30">
        <f t="shared" ca="1" si="19"/>
        <v>9.2084024963535835E-2</v>
      </c>
      <c r="O118" s="30">
        <f t="shared" ca="1" si="20"/>
        <v>-2.0652839765467723E-2</v>
      </c>
      <c r="P118" s="30">
        <f t="shared" ca="1" si="21"/>
        <v>-4.7136250444681504E-3</v>
      </c>
      <c r="Q118" s="30">
        <f t="shared" ca="1" si="22"/>
        <v>0.14252169474221543</v>
      </c>
      <c r="R118" s="30">
        <f t="shared" ca="1" si="23"/>
        <v>0.20100880017171052</v>
      </c>
      <c r="S118" s="9" cm="1">
        <f t="array" aca="1" ref="S118" ca="1">_xll.FDS($E$7,"P_PRICE("&amp;AG118&amp;",0,D,D)")</f>
        <v>111.91</v>
      </c>
      <c r="T118" s="9" cm="1">
        <f t="array" aca="1" ref="T118" ca="1">_xll.FDS($E$7,"P_PRICE("&amp;AH118&amp;",0,D,D)")</f>
        <v>114.27</v>
      </c>
      <c r="U118" s="9" cm="1">
        <f t="array" aca="1" ref="U118" ca="1">_xll.FDS($E$7,"P_PRICE("&amp;AI118&amp;",0,D,D)")</f>
        <v>112.44</v>
      </c>
      <c r="V118" s="9" cm="1">
        <f t="array" aca="1" ref="V118" ca="1">_xll.FDS($E$7,"P_PRICE("&amp;AJ118&amp;",0,D,D)")</f>
        <v>97.95</v>
      </c>
      <c r="W118" s="9" cm="1">
        <f t="array" aca="1" ref="W118" ca="1">_xll.FDS($E$7,"P_PRICE("&amp;AK118&amp;",0,D,D)")</f>
        <v>93.18</v>
      </c>
      <c r="X118" s="24">
        <f t="shared" ca="1" si="24"/>
        <v>-2.7343278780810332E-3</v>
      </c>
      <c r="Y118" s="24">
        <f t="shared" ca="1" si="25"/>
        <v>5.7538404428383316E-3</v>
      </c>
      <c r="Z118" s="24">
        <f t="shared" ca="1" si="26"/>
        <v>2.3664947397998848E-2</v>
      </c>
      <c r="AA118" s="24">
        <f t="shared" ca="1" si="27"/>
        <v>7.3657815340965938E-2</v>
      </c>
      <c r="AB118" s="9" cm="1">
        <f t="array" aca="1" ref="AB118" ca="1">_xll.FDS($E$9,"P_PRICE("&amp;AG118&amp;",0,D,D)")</f>
        <v>6448.26</v>
      </c>
      <c r="AC118" s="9" cm="1">
        <f t="array" aca="1" ref="AC118" ca="1">_xll.FDS($E$9,"P_PRICE("&amp;AH118&amp;",0,D,D)")</f>
        <v>6465.94</v>
      </c>
      <c r="AD118" s="9" cm="1">
        <f t="array" aca="1" ref="AD118" ca="1">_xll.FDS($E$9,"P_PRICE("&amp;AI118&amp;",0,D,D)")</f>
        <v>6411.37</v>
      </c>
      <c r="AE118" s="9" cm="1">
        <f t="array" aca="1" ref="AE118" ca="1">_xll.FDS($E$9,"P_PRICE("&amp;AJ118&amp;",0,D,D)")</f>
        <v>6299.19</v>
      </c>
      <c r="AF118" s="9" cm="1">
        <f t="array" aca="1" ref="AF118" ca="1">_xll.FDS($E$9,"P_PRICE("&amp;AK118&amp;",0,D,D)")</f>
        <v>6005.88</v>
      </c>
      <c r="AG118" s="20">
        <f t="shared" ca="1" si="33"/>
        <v>45903</v>
      </c>
      <c r="AH118" s="22">
        <f t="shared" ca="1" si="28"/>
        <v>45895</v>
      </c>
      <c r="AI118" s="22">
        <f t="shared" ca="1" si="29"/>
        <v>45888</v>
      </c>
      <c r="AJ118" s="22">
        <f t="shared" ca="1" si="30"/>
        <v>45874</v>
      </c>
      <c r="AK118" s="22">
        <f t="shared" ca="1" si="31"/>
        <v>45817</v>
      </c>
      <c r="AL118" s="22">
        <f t="shared" ca="1" si="32"/>
        <v>45729</v>
      </c>
    </row>
    <row r="119" spans="4:38" x14ac:dyDescent="0.25">
      <c r="D119" s="6">
        <f ca="1"/>
        <v>45902</v>
      </c>
      <c r="E119" s="28" cm="1">
        <f t="array" aca="1" ref="E119" ca="1">_xll.FDS($E$7,"P_PRICE("&amp;D119&amp;",0,D,D)")</f>
        <v>111.28</v>
      </c>
      <c r="F119" s="29" cm="1">
        <f t="array" aca="1" ref="F119" ca="1">_xll.FDS($E$7,"P_BETA_LOCIDX("&amp;$AG119&amp;","&amp;$AL119&amp;",,"""&amp;$E$9&amp;""")")</f>
        <v>1.2549554000000001</v>
      </c>
      <c r="G119" s="30">
        <f t="shared" ca="1" si="18"/>
        <v>-7.0006657061792953E-3</v>
      </c>
      <c r="H119" s="30">
        <f t="shared" ca="1" si="18"/>
        <v>4.2987002854547865E-3</v>
      </c>
      <c r="I119" s="30">
        <f t="shared" ca="1" si="18"/>
        <v>0.11599600343947628</v>
      </c>
      <c r="J119" s="30">
        <f t="shared" ca="1" si="18"/>
        <v>0.11567350350552173</v>
      </c>
      <c r="K119" s="30">
        <f t="shared" ca="1" si="19"/>
        <v>-4.6344706291968664E-3</v>
      </c>
      <c r="L119" s="30">
        <f t="shared" ca="1" si="19"/>
        <v>-6.5402496443716365E-3</v>
      </c>
      <c r="M119" s="30">
        <f t="shared" ca="1" si="19"/>
        <v>1.6970805764351813E-2</v>
      </c>
      <c r="N119" s="30">
        <f t="shared" ca="1" si="19"/>
        <v>8.6833520484104323E-2</v>
      </c>
      <c r="O119" s="30">
        <f t="shared" ca="1" si="20"/>
        <v>-1.1635136335376162E-2</v>
      </c>
      <c r="P119" s="30">
        <f t="shared" ca="1" si="21"/>
        <v>-2.24154935891685E-3</v>
      </c>
      <c r="Q119" s="30">
        <f t="shared" ca="1" si="22"/>
        <v>0.13296680920382808</v>
      </c>
      <c r="R119" s="30">
        <f t="shared" ca="1" si="23"/>
        <v>0.20250702398962606</v>
      </c>
      <c r="S119" s="9" cm="1">
        <f t="array" aca="1" ref="S119" ca="1">_xll.FDS($E$7,"P_PRICE("&amp;AG119&amp;",0,D,D)")</f>
        <v>111.28</v>
      </c>
      <c r="T119" s="9" cm="1">
        <f t="array" aca="1" ref="T119" ca="1">_xll.FDS($E$7,"P_PRICE("&amp;AH119&amp;",0,D,D)")</f>
        <v>112.59</v>
      </c>
      <c r="U119" s="9" cm="1">
        <f t="array" aca="1" ref="U119" ca="1">_xll.FDS($E$7,"P_PRICE("&amp;AI119&amp;",0,D,D)")</f>
        <v>111.53</v>
      </c>
      <c r="V119" s="9" cm="1">
        <f t="array" aca="1" ref="V119" ca="1">_xll.FDS($E$7,"P_PRICE("&amp;AJ119&amp;",0,D,D)")</f>
        <v>98.22</v>
      </c>
      <c r="W119" s="9" cm="1">
        <f t="array" aca="1" ref="W119" ca="1">_xll.FDS($E$7,"P_PRICE("&amp;AK119&amp;",0,D,D)")</f>
        <v>92.54</v>
      </c>
      <c r="X119" s="24">
        <f t="shared" ca="1" si="24"/>
        <v>-3.6929365212475807E-3</v>
      </c>
      <c r="Y119" s="24">
        <f t="shared" ca="1" si="25"/>
        <v>-5.2115395052060309E-3</v>
      </c>
      <c r="Z119" s="24">
        <f t="shared" ca="1" si="26"/>
        <v>1.3523034973475401E-2</v>
      </c>
      <c r="AA119" s="24">
        <f t="shared" ca="1" si="27"/>
        <v>6.9192515115759745E-2</v>
      </c>
      <c r="AB119" s="9" cm="1">
        <f t="array" aca="1" ref="AB119" ca="1">_xll.FDS($E$9,"P_PRICE("&amp;AG119&amp;",0,D,D)")</f>
        <v>6415.54</v>
      </c>
      <c r="AC119" s="9" cm="1">
        <f t="array" aca="1" ref="AC119" ca="1">_xll.FDS($E$9,"P_PRICE("&amp;AH119&amp;",0,D,D)")</f>
        <v>6439.32</v>
      </c>
      <c r="AD119" s="9" cm="1">
        <f t="array" aca="1" ref="AD119" ca="1">_xll.FDS($E$9,"P_PRICE("&amp;AI119&amp;",0,D,D)")</f>
        <v>6449.15</v>
      </c>
      <c r="AE119" s="9" cm="1">
        <f t="array" aca="1" ref="AE119" ca="1">_xll.FDS($E$9,"P_PRICE("&amp;AJ119&amp;",0,D,D)")</f>
        <v>6329.94</v>
      </c>
      <c r="AF119" s="9" cm="1">
        <f t="array" aca="1" ref="AF119" ca="1">_xll.FDS($E$9,"P_PRICE("&amp;AK119&amp;",0,D,D)")</f>
        <v>6000.36</v>
      </c>
      <c r="AG119" s="20">
        <f t="shared" ca="1" si="33"/>
        <v>45902</v>
      </c>
      <c r="AH119" s="22">
        <f t="shared" ca="1" si="28"/>
        <v>45894</v>
      </c>
      <c r="AI119" s="22">
        <f t="shared" ca="1" si="29"/>
        <v>45887</v>
      </c>
      <c r="AJ119" s="22">
        <f t="shared" ca="1" si="30"/>
        <v>45873</v>
      </c>
      <c r="AK119" s="22">
        <f t="shared" ca="1" si="31"/>
        <v>45814</v>
      </c>
      <c r="AL119" s="22">
        <f t="shared" ca="1" si="32"/>
        <v>45728</v>
      </c>
    </row>
    <row r="120" spans="4:38" x14ac:dyDescent="0.25">
      <c r="D120" s="6">
        <f ca="1"/>
        <v>45898</v>
      </c>
      <c r="E120" s="28" cm="1">
        <f t="array" aca="1" ref="E120" ca="1">_xll.FDS($E$7,"P_PRICE("&amp;D120&amp;",0,D,D)")</f>
        <v>112.95</v>
      </c>
      <c r="F120" s="29" cm="1">
        <f t="array" aca="1" ref="F120" ca="1">_xll.FDS($E$7,"P_BETA_LOCIDX("&amp;$AG120&amp;","&amp;$AL120&amp;",,"""&amp;$E$9&amp;""")")</f>
        <v>1.2466086999999999</v>
      </c>
      <c r="G120" s="30">
        <f t="shared" ca="1" si="18"/>
        <v>-2.0711373325972074E-3</v>
      </c>
      <c r="H120" s="30">
        <f t="shared" ca="1" si="18"/>
        <v>1.7014754153858735E-2</v>
      </c>
      <c r="I120" s="30">
        <f t="shared" ca="1" si="18"/>
        <v>0.14153667061386488</v>
      </c>
      <c r="J120" s="30">
        <f t="shared" ca="1" si="18"/>
        <v>0.10778853484586891</v>
      </c>
      <c r="K120" s="30">
        <f t="shared" ca="1" si="19"/>
        <v>-1.2819024626907966E-3</v>
      </c>
      <c r="L120" s="30">
        <f t="shared" ca="1" si="19"/>
        <v>2.021694781543727E-3</v>
      </c>
      <c r="M120" s="30">
        <f t="shared" ca="1" si="19"/>
        <v>4.4414610360515736E-2</v>
      </c>
      <c r="N120" s="30">
        <f t="shared" ca="1" si="19"/>
        <v>0.10934508584378634</v>
      </c>
      <c r="O120" s="30">
        <f t="shared" ca="1" si="20"/>
        <v>-3.3530397952880042E-3</v>
      </c>
      <c r="P120" s="30">
        <f t="shared" ca="1" si="21"/>
        <v>1.9036448935402461E-2</v>
      </c>
      <c r="Q120" s="30">
        <f t="shared" ca="1" si="22"/>
        <v>0.18595128097438063</v>
      </c>
      <c r="R120" s="30">
        <f t="shared" ca="1" si="23"/>
        <v>0.21713362068965525</v>
      </c>
      <c r="S120" s="9" cm="1">
        <f t="array" aca="1" ref="S120" ca="1">_xll.FDS($E$7,"P_PRICE("&amp;AG120&amp;",0,D,D)")</f>
        <v>112.95</v>
      </c>
      <c r="T120" s="9" cm="1">
        <f t="array" aca="1" ref="T120" ca="1">_xll.FDS($E$7,"P_PRICE("&amp;AH120&amp;",0,D,D)")</f>
        <v>113.33</v>
      </c>
      <c r="U120" s="9" cm="1">
        <f t="array" aca="1" ref="U120" ca="1">_xll.FDS($E$7,"P_PRICE("&amp;AI120&amp;",0,D,D)")</f>
        <v>110.84</v>
      </c>
      <c r="V120" s="9" cm="1">
        <f t="array" aca="1" ref="V120" ca="1">_xll.FDS($E$7,"P_PRICE("&amp;AJ120&amp;",0,D,D)")</f>
        <v>95.24</v>
      </c>
      <c r="W120" s="9" cm="1">
        <f t="array" aca="1" ref="W120" ca="1">_xll.FDS($E$7,"P_PRICE("&amp;AK120&amp;",0,D,D)")</f>
        <v>92.8</v>
      </c>
      <c r="X120" s="24">
        <f t="shared" ca="1" si="24"/>
        <v>-1.0283118212561781E-3</v>
      </c>
      <c r="Y120" s="24">
        <f t="shared" ca="1" si="25"/>
        <v>1.6217557133555438E-3</v>
      </c>
      <c r="Z120" s="24">
        <f t="shared" ca="1" si="26"/>
        <v>3.5628349425538053E-2</v>
      </c>
      <c r="AA120" s="24">
        <f t="shared" ca="1" si="27"/>
        <v>8.7714040375128421E-2</v>
      </c>
      <c r="AB120" s="9" cm="1">
        <f t="array" aca="1" ref="AB120" ca="1">_xll.FDS($E$9,"P_PRICE("&amp;AG120&amp;",0,D,D)")</f>
        <v>6460.26</v>
      </c>
      <c r="AC120" s="9" cm="1">
        <f t="array" aca="1" ref="AC120" ca="1">_xll.FDS($E$9,"P_PRICE("&amp;AH120&amp;",0,D,D)")</f>
        <v>6466.91</v>
      </c>
      <c r="AD120" s="9" cm="1">
        <f t="array" aca="1" ref="AD120" ca="1">_xll.FDS($E$9,"P_PRICE("&amp;AI120&amp;",0,D,D)")</f>
        <v>6449.8</v>
      </c>
      <c r="AE120" s="9" cm="1">
        <f t="array" aca="1" ref="AE120" ca="1">_xll.FDS($E$9,"P_PRICE("&amp;AJ120&amp;",0,D,D)")</f>
        <v>6238.01</v>
      </c>
      <c r="AF120" s="9" cm="1">
        <f t="array" aca="1" ref="AF120" ca="1">_xll.FDS($E$9,"P_PRICE("&amp;AK120&amp;",0,D,D)")</f>
        <v>5939.3</v>
      </c>
      <c r="AG120" s="20">
        <f t="shared" ca="1" si="33"/>
        <v>45898</v>
      </c>
      <c r="AH120" s="22">
        <f t="shared" ca="1" si="28"/>
        <v>45891</v>
      </c>
      <c r="AI120" s="22">
        <f t="shared" ca="1" si="29"/>
        <v>45884</v>
      </c>
      <c r="AJ120" s="22">
        <f t="shared" ca="1" si="30"/>
        <v>45870</v>
      </c>
      <c r="AK120" s="22">
        <f t="shared" ca="1" si="31"/>
        <v>45813</v>
      </c>
      <c r="AL120" s="22">
        <f t="shared" ca="1" si="32"/>
        <v>45727</v>
      </c>
    </row>
    <row r="121" spans="4:38" x14ac:dyDescent="0.25">
      <c r="D121" s="6">
        <f ca="1"/>
        <v>45897</v>
      </c>
      <c r="E121" s="28" cm="1">
        <f t="array" aca="1" ref="E121" ca="1">_xll.FDS($E$7,"P_PRICE("&amp;D121&amp;",0,D,D)")</f>
        <v>113.19</v>
      </c>
      <c r="F121" s="29" cm="1">
        <f t="array" aca="1" ref="F121" ca="1">_xll.FDS($E$7,"P_BETA_LOCIDX("&amp;$AG121&amp;","&amp;$AL121&amp;",,"""&amp;$E$9&amp;""")")</f>
        <v>1.2534695</v>
      </c>
      <c r="G121" s="30">
        <f t="shared" ca="1" si="18"/>
        <v>-3.6043457728657038E-3</v>
      </c>
      <c r="H121" s="30">
        <f t="shared" ca="1" si="18"/>
        <v>6.4291779779854091E-3</v>
      </c>
      <c r="I121" s="30">
        <f t="shared" ca="1" si="18"/>
        <v>0.15373173974210874</v>
      </c>
      <c r="J121" s="30">
        <f t="shared" ca="1" si="18"/>
        <v>0.13400368611522789</v>
      </c>
      <c r="K121" s="30">
        <f t="shared" ca="1" si="19"/>
        <v>2.5912871784426451E-2</v>
      </c>
      <c r="L121" s="30">
        <f t="shared" ca="1" si="19"/>
        <v>6.4567280622829931E-3</v>
      </c>
      <c r="M121" s="30">
        <f t="shared" ca="1" si="19"/>
        <v>3.2124729613574703E-2</v>
      </c>
      <c r="N121" s="30">
        <f t="shared" ca="1" si="19"/>
        <v>0.11148487022280033</v>
      </c>
      <c r="O121" s="30">
        <f t="shared" ca="1" si="20"/>
        <v>2.2308526011560748E-2</v>
      </c>
      <c r="P121" s="30">
        <f t="shared" ca="1" si="21"/>
        <v>1.2885906040268402E-2</v>
      </c>
      <c r="Q121" s="30">
        <f t="shared" ca="1" si="22"/>
        <v>0.18585646935568345</v>
      </c>
      <c r="R121" s="30">
        <f t="shared" ca="1" si="23"/>
        <v>0.24548855633802824</v>
      </c>
      <c r="S121" s="9" cm="1">
        <f t="array" aca="1" ref="S121" ca="1">_xll.FDS($E$7,"P_PRICE("&amp;AG121&amp;",0,D,D)")</f>
        <v>113.19</v>
      </c>
      <c r="T121" s="9" cm="1">
        <f t="array" aca="1" ref="T121" ca="1">_xll.FDS($E$7,"P_PRICE("&amp;AH121&amp;",0,D,D)")</f>
        <v>110.72</v>
      </c>
      <c r="U121" s="9" cm="1">
        <f t="array" aca="1" ref="U121" ca="1">_xll.FDS($E$7,"P_PRICE("&amp;AI121&amp;",0,D,D)")</f>
        <v>111.75</v>
      </c>
      <c r="V121" s="9" cm="1">
        <f t="array" aca="1" ref="V121" ca="1">_xll.FDS($E$7,"P_PRICE("&amp;AJ121&amp;",0,D,D)")</f>
        <v>95.45</v>
      </c>
      <c r="W121" s="9" cm="1">
        <f t="array" aca="1" ref="W121" ca="1">_xll.FDS($E$7,"P_PRICE("&amp;AK121&amp;",0,D,D)")</f>
        <v>90.88</v>
      </c>
      <c r="X121" s="24">
        <f t="shared" ca="1" si="24"/>
        <v>2.0672917677236224E-2</v>
      </c>
      <c r="Y121" s="24">
        <f t="shared" ca="1" si="25"/>
        <v>5.1510850980283074E-3</v>
      </c>
      <c r="Z121" s="24">
        <f t="shared" ca="1" si="26"/>
        <v>2.5628648813213806E-2</v>
      </c>
      <c r="AA121" s="24">
        <f t="shared" ca="1" si="27"/>
        <v>8.894103145134391E-2</v>
      </c>
      <c r="AB121" s="9" cm="1">
        <f t="array" aca="1" ref="AB121" ca="1">_xll.FDS($E$9,"P_PRICE("&amp;AG121&amp;",0,D,D)")</f>
        <v>6501.86</v>
      </c>
      <c r="AC121" s="9" cm="1">
        <f t="array" aca="1" ref="AC121" ca="1">_xll.FDS($E$9,"P_PRICE("&amp;AH121&amp;",0,D,D)")</f>
        <v>6370.17</v>
      </c>
      <c r="AD121" s="9" cm="1">
        <f t="array" aca="1" ref="AD121" ca="1">_xll.FDS($E$9,"P_PRICE("&amp;AI121&amp;",0,D,D)")</f>
        <v>6468.54</v>
      </c>
      <c r="AE121" s="9" cm="1">
        <f t="array" aca="1" ref="AE121" ca="1">_xll.FDS($E$9,"P_PRICE("&amp;AJ121&amp;",0,D,D)")</f>
        <v>6339.39</v>
      </c>
      <c r="AF121" s="9" cm="1">
        <f t="array" aca="1" ref="AF121" ca="1">_xll.FDS($E$9,"P_PRICE("&amp;AK121&amp;",0,D,D)")</f>
        <v>5970.81</v>
      </c>
      <c r="AG121" s="20">
        <f t="shared" ca="1" si="33"/>
        <v>45897</v>
      </c>
      <c r="AH121" s="22">
        <f t="shared" ca="1" si="28"/>
        <v>45890</v>
      </c>
      <c r="AI121" s="22">
        <f t="shared" ca="1" si="29"/>
        <v>45883</v>
      </c>
      <c r="AJ121" s="22">
        <f t="shared" ca="1" si="30"/>
        <v>45869</v>
      </c>
      <c r="AK121" s="22">
        <f t="shared" ca="1" si="31"/>
        <v>45812</v>
      </c>
      <c r="AL121" s="22">
        <f t="shared" ca="1" si="32"/>
        <v>45726</v>
      </c>
    </row>
    <row r="122" spans="4:38" x14ac:dyDescent="0.25">
      <c r="D122" s="6">
        <f ca="1"/>
        <v>45896</v>
      </c>
      <c r="E122" s="28" cm="1">
        <f t="array" aca="1" ref="E122" ca="1">_xll.FDS($E$7,"P_PRICE("&amp;D122&amp;",0,D,D)")</f>
        <v>113.24</v>
      </c>
      <c r="F122" s="29" cm="1">
        <f t="array" aca="1" ref="F122" ca="1">_xll.FDS($E$7,"P_BETA_LOCIDX("&amp;$AG122&amp;","&amp;$AL122&amp;",,"""&amp;$E$9&amp;""")")</f>
        <v>1.2505145</v>
      </c>
      <c r="G122" s="30">
        <f t="shared" ca="1" si="18"/>
        <v>5.5578786470440421E-3</v>
      </c>
      <c r="H122" s="30">
        <f t="shared" ca="1" si="18"/>
        <v>-6.4734753293789315E-3</v>
      </c>
      <c r="I122" s="30">
        <f t="shared" ca="1" si="18"/>
        <v>0.14993928514031202</v>
      </c>
      <c r="J122" s="30">
        <f t="shared" ca="1" si="18"/>
        <v>0.13571981573025982</v>
      </c>
      <c r="K122" s="30">
        <f t="shared" ca="1" si="19"/>
        <v>1.6740577613676425E-2</v>
      </c>
      <c r="L122" s="30">
        <f t="shared" ca="1" si="19"/>
        <v>2.8659082374298379E-3</v>
      </c>
      <c r="M122" s="30">
        <f t="shared" ca="1" si="19"/>
        <v>2.3289061316380814E-2</v>
      </c>
      <c r="N122" s="30">
        <f t="shared" ca="1" si="19"/>
        <v>0.10703698848396315</v>
      </c>
      <c r="O122" s="30">
        <f t="shared" ca="1" si="20"/>
        <v>2.2298456260720467E-2</v>
      </c>
      <c r="P122" s="30">
        <f t="shared" ca="1" si="21"/>
        <v>-3.6075670919490932E-3</v>
      </c>
      <c r="Q122" s="30">
        <f t="shared" ca="1" si="22"/>
        <v>0.17322834645669283</v>
      </c>
      <c r="R122" s="30">
        <f t="shared" ca="1" si="23"/>
        <v>0.24275680421422297</v>
      </c>
      <c r="S122" s="9" cm="1">
        <f t="array" aca="1" ref="S122" ca="1">_xll.FDS($E$7,"P_PRICE("&amp;AG122&amp;",0,D,D)")</f>
        <v>113.24</v>
      </c>
      <c r="T122" s="9" cm="1">
        <f t="array" aca="1" ref="T122" ca="1">_xll.FDS($E$7,"P_PRICE("&amp;AH122&amp;",0,D,D)")</f>
        <v>110.77</v>
      </c>
      <c r="U122" s="9" cm="1">
        <f t="array" aca="1" ref="U122" ca="1">_xll.FDS($E$7,"P_PRICE("&amp;AI122&amp;",0,D,D)")</f>
        <v>113.65</v>
      </c>
      <c r="V122" s="9" cm="1">
        <f t="array" aca="1" ref="V122" ca="1">_xll.FDS($E$7,"P_PRICE("&amp;AJ122&amp;",0,D,D)")</f>
        <v>96.52</v>
      </c>
      <c r="W122" s="9" cm="1">
        <f t="array" aca="1" ref="W122" ca="1">_xll.FDS($E$7,"P_PRICE("&amp;AK122&amp;",0,D,D)")</f>
        <v>91.12</v>
      </c>
      <c r="X122" s="24">
        <f t="shared" ca="1" si="24"/>
        <v>1.3386952021489096E-2</v>
      </c>
      <c r="Y122" s="24">
        <f t="shared" ca="1" si="25"/>
        <v>2.2917832919409076E-3</v>
      </c>
      <c r="Z122" s="24">
        <f t="shared" ca="1" si="26"/>
        <v>1.8623583586100612E-2</v>
      </c>
      <c r="AA122" s="24">
        <f t="shared" ca="1" si="27"/>
        <v>8.5594360148533388E-2</v>
      </c>
      <c r="AB122" s="9" cm="1">
        <f t="array" aca="1" ref="AB122" ca="1">_xll.FDS($E$9,"P_PRICE("&amp;AG122&amp;",0,D,D)")</f>
        <v>6481.4</v>
      </c>
      <c r="AC122" s="9" cm="1">
        <f t="array" aca="1" ref="AC122" ca="1">_xll.FDS($E$9,"P_PRICE("&amp;AH122&amp;",0,D,D)")</f>
        <v>6395.78</v>
      </c>
      <c r="AD122" s="9" cm="1">
        <f t="array" aca="1" ref="AD122" ca="1">_xll.FDS($E$9,"P_PRICE("&amp;AI122&amp;",0,D,D)")</f>
        <v>6466.58</v>
      </c>
      <c r="AE122" s="9" cm="1">
        <f t="array" aca="1" ref="AE122" ca="1">_xll.FDS($E$9,"P_PRICE("&amp;AJ122&amp;",0,D,D)")</f>
        <v>6362.9</v>
      </c>
      <c r="AF122" s="9" cm="1">
        <f t="array" aca="1" ref="AF122" ca="1">_xll.FDS($E$9,"P_PRICE("&amp;AK122&amp;",0,D,D)")</f>
        <v>5970.37</v>
      </c>
      <c r="AG122" s="20">
        <f t="shared" ca="1" si="33"/>
        <v>45896</v>
      </c>
      <c r="AH122" s="22">
        <f t="shared" ca="1" si="28"/>
        <v>45889</v>
      </c>
      <c r="AI122" s="22">
        <f t="shared" ca="1" si="29"/>
        <v>45882</v>
      </c>
      <c r="AJ122" s="22">
        <f t="shared" ca="1" si="30"/>
        <v>45868</v>
      </c>
      <c r="AK122" s="22">
        <f t="shared" ca="1" si="31"/>
        <v>45811</v>
      </c>
      <c r="AL122" s="22">
        <f t="shared" ca="1" si="32"/>
        <v>45723</v>
      </c>
    </row>
    <row r="123" spans="4:38" x14ac:dyDescent="0.25">
      <c r="D123" s="6">
        <f ca="1"/>
        <v>45895</v>
      </c>
      <c r="E123" s="28" cm="1">
        <f t="array" aca="1" ref="E123" ca="1">_xll.FDS($E$7,"P_PRICE("&amp;D123&amp;",0,D,D)")</f>
        <v>114.27</v>
      </c>
      <c r="F123" s="29" cm="1">
        <f t="array" aca="1" ref="F123" ca="1">_xll.FDS($E$7,"P_BETA_LOCIDX("&amp;$AG123&amp;","&amp;$AL123&amp;",,"""&amp;$E$9&amp;""")")</f>
        <v>1.2625363999999999</v>
      </c>
      <c r="G123" s="30">
        <f t="shared" ca="1" si="18"/>
        <v>5.529342277280868E-3</v>
      </c>
      <c r="H123" s="30">
        <f t="shared" ca="1" si="18"/>
        <v>1.6041970820774791E-2</v>
      </c>
      <c r="I123" s="30">
        <f t="shared" ca="1" si="18"/>
        <v>0.1562913418815256</v>
      </c>
      <c r="J123" s="30">
        <f t="shared" ca="1" si="18"/>
        <v>0.1431246877449292</v>
      </c>
      <c r="K123" s="30">
        <f t="shared" ca="1" si="19"/>
        <v>1.0746004574373236E-2</v>
      </c>
      <c r="L123" s="30">
        <f t="shared" ca="1" si="19"/>
        <v>3.9526734709328156E-3</v>
      </c>
      <c r="M123" s="30">
        <f t="shared" ca="1" si="19"/>
        <v>1.8842347958046506E-2</v>
      </c>
      <c r="N123" s="30">
        <f t="shared" ca="1" si="19"/>
        <v>0.11272760371567085</v>
      </c>
      <c r="O123" s="30">
        <f t="shared" ca="1" si="20"/>
        <v>1.6275346851654104E-2</v>
      </c>
      <c r="P123" s="30">
        <f t="shared" ca="1" si="21"/>
        <v>1.9994644291707608E-2</v>
      </c>
      <c r="Q123" s="30">
        <f t="shared" ca="1" si="22"/>
        <v>0.17513368983957212</v>
      </c>
      <c r="R123" s="30">
        <f t="shared" ca="1" si="23"/>
        <v>0.25585229146060007</v>
      </c>
      <c r="S123" s="9" cm="1">
        <f t="array" aca="1" ref="S123" ca="1">_xll.FDS($E$7,"P_PRICE("&amp;AG123&amp;",0,D,D)")</f>
        <v>114.27</v>
      </c>
      <c r="T123" s="9" cm="1">
        <f t="array" aca="1" ref="T123" ca="1">_xll.FDS($E$7,"P_PRICE("&amp;AH123&amp;",0,D,D)")</f>
        <v>112.44</v>
      </c>
      <c r="U123" s="9" cm="1">
        <f t="array" aca="1" ref="U123" ca="1">_xll.FDS($E$7,"P_PRICE("&amp;AI123&amp;",0,D,D)")</f>
        <v>112.03</v>
      </c>
      <c r="V123" s="9" cm="1">
        <f t="array" aca="1" ref="V123" ca="1">_xll.FDS($E$7,"P_PRICE("&amp;AJ123&amp;",0,D,D)")</f>
        <v>97.24</v>
      </c>
      <c r="W123" s="9" cm="1">
        <f t="array" aca="1" ref="W123" ca="1">_xll.FDS($E$7,"P_PRICE("&amp;AK123&amp;",0,D,D)")</f>
        <v>90.99</v>
      </c>
      <c r="X123" s="24">
        <f t="shared" ca="1" si="24"/>
        <v>8.5114413924012311E-3</v>
      </c>
      <c r="Y123" s="24">
        <f t="shared" ca="1" si="25"/>
        <v>3.1307402075162472E-3</v>
      </c>
      <c r="Z123" s="24">
        <f t="shared" ca="1" si="26"/>
        <v>1.4924201756120858E-2</v>
      </c>
      <c r="AA123" s="24">
        <f t="shared" ca="1" si="27"/>
        <v>8.9286616778471384E-2</v>
      </c>
      <c r="AB123" s="9" cm="1">
        <f t="array" aca="1" ref="AB123" ca="1">_xll.FDS($E$9,"P_PRICE("&amp;AG123&amp;",0,D,D)")</f>
        <v>6465.94</v>
      </c>
      <c r="AC123" s="9" cm="1">
        <f t="array" aca="1" ref="AC123" ca="1">_xll.FDS($E$9,"P_PRICE("&amp;AH123&amp;",0,D,D)")</f>
        <v>6411.37</v>
      </c>
      <c r="AD123" s="9" cm="1">
        <f t="array" aca="1" ref="AD123" ca="1">_xll.FDS($E$9,"P_PRICE("&amp;AI123&amp;",0,D,D)")</f>
        <v>6445.76</v>
      </c>
      <c r="AE123" s="9" cm="1">
        <f t="array" aca="1" ref="AE123" ca="1">_xll.FDS($E$9,"P_PRICE("&amp;AJ123&amp;",0,D,D)")</f>
        <v>6370.86</v>
      </c>
      <c r="AF123" s="9" cm="1">
        <f t="array" aca="1" ref="AF123" ca="1">_xll.FDS($E$9,"P_PRICE("&amp;AK123&amp;",0,D,D)")</f>
        <v>5935.94</v>
      </c>
      <c r="AG123" s="20">
        <f t="shared" ca="1" si="33"/>
        <v>45895</v>
      </c>
      <c r="AH123" s="22">
        <f t="shared" ca="1" si="28"/>
        <v>45888</v>
      </c>
      <c r="AI123" s="22">
        <f t="shared" ca="1" si="29"/>
        <v>45881</v>
      </c>
      <c r="AJ123" s="22">
        <f t="shared" ca="1" si="30"/>
        <v>45867</v>
      </c>
      <c r="AK123" s="22">
        <f t="shared" ca="1" si="31"/>
        <v>45810</v>
      </c>
      <c r="AL123" s="22">
        <f t="shared" ca="1" si="32"/>
        <v>45722</v>
      </c>
    </row>
    <row r="124" spans="4:38" x14ac:dyDescent="0.25">
      <c r="D124" s="6">
        <f ca="1"/>
        <v>45894</v>
      </c>
      <c r="E124" s="28" cm="1">
        <f t="array" aca="1" ref="E124" ca="1">_xll.FDS($E$7,"P_PRICE("&amp;D124&amp;",0,D,D)")</f>
        <v>112.59</v>
      </c>
      <c r="F124" s="29" cm="1">
        <f t="array" aca="1" ref="F124" ca="1">_xll.FDS($E$7,"P_BETA_LOCIDX("&amp;$AG124&amp;","&amp;$AL124&amp;",,"""&amp;$E$9&amp;""")")</f>
        <v>1.2812357000000001</v>
      </c>
      <c r="G124" s="30">
        <f t="shared" ca="1" si="18"/>
        <v>1.1457069575799799E-2</v>
      </c>
      <c r="H124" s="30">
        <f t="shared" ca="1" si="18"/>
        <v>3.4887189852621556E-2</v>
      </c>
      <c r="I124" s="30">
        <f t="shared" ca="1" si="18"/>
        <v>0.13264624449952048</v>
      </c>
      <c r="J124" s="30">
        <f t="shared" ca="1" si="18"/>
        <v>0.12072836104171006</v>
      </c>
      <c r="K124" s="30">
        <f t="shared" ca="1" si="19"/>
        <v>-1.952900293992159E-3</v>
      </c>
      <c r="L124" s="30">
        <f t="shared" ca="1" si="19"/>
        <v>1.3241650214405005E-2</v>
      </c>
      <c r="M124" s="30">
        <f t="shared" ca="1" si="19"/>
        <v>9.9354482140982699E-3</v>
      </c>
      <c r="N124" s="30">
        <f t="shared" ca="1" si="19"/>
        <v>0.114352814912656</v>
      </c>
      <c r="O124" s="30">
        <f t="shared" ca="1" si="20"/>
        <v>9.5041692818076395E-3</v>
      </c>
      <c r="P124" s="30">
        <f t="shared" ca="1" si="21"/>
        <v>4.8128840067026557E-2</v>
      </c>
      <c r="Q124" s="30">
        <f t="shared" ca="1" si="22"/>
        <v>0.14258169271361876</v>
      </c>
      <c r="R124" s="30">
        <f t="shared" ca="1" si="23"/>
        <v>0.23508117595436606</v>
      </c>
      <c r="S124" s="9" cm="1">
        <f t="array" aca="1" ref="S124" ca="1">_xll.FDS($E$7,"P_PRICE("&amp;AG124&amp;",0,D,D)")</f>
        <v>112.59</v>
      </c>
      <c r="T124" s="9" cm="1">
        <f t="array" aca="1" ref="T124" ca="1">_xll.FDS($E$7,"P_PRICE("&amp;AH124&amp;",0,D,D)")</f>
        <v>111.53</v>
      </c>
      <c r="U124" s="9" cm="1">
        <f t="array" aca="1" ref="U124" ca="1">_xll.FDS($E$7,"P_PRICE("&amp;AI124&amp;",0,D,D)")</f>
        <v>107.42</v>
      </c>
      <c r="V124" s="9" cm="1">
        <f t="array" aca="1" ref="V124" ca="1">_xll.FDS($E$7,"P_PRICE("&amp;AJ124&amp;",0,D,D)")</f>
        <v>98.54</v>
      </c>
      <c r="W124" s="9" cm="1">
        <f t="array" aca="1" ref="W124" ca="1">_xll.FDS($E$7,"P_PRICE("&amp;AK124&amp;",0,D,D)")</f>
        <v>91.16</v>
      </c>
      <c r="X124" s="24">
        <f t="shared" ca="1" si="24"/>
        <v>-1.5242318755184225E-3</v>
      </c>
      <c r="Y124" s="24">
        <f t="shared" ca="1" si="25"/>
        <v>1.033506185817723E-2</v>
      </c>
      <c r="Z124" s="24">
        <f t="shared" ca="1" si="26"/>
        <v>7.7545827158096436E-3</v>
      </c>
      <c r="AA124" s="24">
        <f t="shared" ca="1" si="27"/>
        <v>8.9251973631905512E-2</v>
      </c>
      <c r="AB124" s="9" cm="1">
        <f t="array" aca="1" ref="AB124" ca="1">_xll.FDS($E$9,"P_PRICE("&amp;AG124&amp;",0,D,D)")</f>
        <v>6439.32</v>
      </c>
      <c r="AC124" s="9" cm="1">
        <f t="array" aca="1" ref="AC124" ca="1">_xll.FDS($E$9,"P_PRICE("&amp;AH124&amp;",0,D,D)")</f>
        <v>6449.15</v>
      </c>
      <c r="AD124" s="9" cm="1">
        <f t="array" aca="1" ref="AD124" ca="1">_xll.FDS($E$9,"P_PRICE("&amp;AI124&amp;",0,D,D)")</f>
        <v>6373.45</v>
      </c>
      <c r="AE124" s="9" cm="1">
        <f t="array" aca="1" ref="AE124" ca="1">_xll.FDS($E$9,"P_PRICE("&amp;AJ124&amp;",0,D,D)")</f>
        <v>6389.77</v>
      </c>
      <c r="AF124" s="9" cm="1">
        <f t="array" aca="1" ref="AF124" ca="1">_xll.FDS($E$9,"P_PRICE("&amp;AK124&amp;",0,D,D)")</f>
        <v>5911.69</v>
      </c>
      <c r="AG124" s="20">
        <f t="shared" ca="1" si="33"/>
        <v>45894</v>
      </c>
      <c r="AH124" s="22">
        <f t="shared" ca="1" si="28"/>
        <v>45887</v>
      </c>
      <c r="AI124" s="22">
        <f t="shared" ca="1" si="29"/>
        <v>45880</v>
      </c>
      <c r="AJ124" s="22">
        <f t="shared" ca="1" si="30"/>
        <v>45866</v>
      </c>
      <c r="AK124" s="22">
        <f t="shared" ca="1" si="31"/>
        <v>45807</v>
      </c>
      <c r="AL124" s="22">
        <f t="shared" ca="1" si="32"/>
        <v>45721</v>
      </c>
    </row>
    <row r="125" spans="4:38" x14ac:dyDescent="0.25">
      <c r="D125" s="6">
        <f ca="1"/>
        <v>45891</v>
      </c>
      <c r="E125" s="28" cm="1">
        <f t="array" aca="1" ref="E125" ca="1">_xll.FDS($E$7,"P_PRICE("&amp;D125&amp;",0,D,D)")</f>
        <v>113.33</v>
      </c>
      <c r="F125" s="29" cm="1">
        <f t="array" aca="1" ref="F125" ca="1">_xll.FDS($E$7,"P_BETA_LOCIDX("&amp;$AG125&amp;","&amp;$AL125&amp;",,"""&amp;$E$9&amp;""")")</f>
        <v>1.2913038999999999</v>
      </c>
      <c r="G125" s="30">
        <f t="shared" ca="1" si="18"/>
        <v>1.9039249054731627E-2</v>
      </c>
      <c r="H125" s="30">
        <f t="shared" ca="1" si="18"/>
        <v>2.1216379080926485E-2</v>
      </c>
      <c r="I125" s="30">
        <f t="shared" ca="1" si="18"/>
        <v>0.11680010350329688</v>
      </c>
      <c r="J125" s="30">
        <f t="shared" ca="1" si="18"/>
        <v>0.11122036229447678</v>
      </c>
      <c r="K125" s="30">
        <f t="shared" ca="1" si="19"/>
        <v>3.4255650917857268E-3</v>
      </c>
      <c r="L125" s="30">
        <f t="shared" ca="1" si="19"/>
        <v>1.5654618174334289E-2</v>
      </c>
      <c r="M125" s="30">
        <f t="shared" ca="1" si="19"/>
        <v>1.5820324240057148E-2</v>
      </c>
      <c r="N125" s="30">
        <f t="shared" ca="1" si="19"/>
        <v>0.12116328276859419</v>
      </c>
      <c r="O125" s="30">
        <f t="shared" ca="1" si="20"/>
        <v>2.2464814146517353E-2</v>
      </c>
      <c r="P125" s="30">
        <f t="shared" ca="1" si="21"/>
        <v>3.6870997255260773E-2</v>
      </c>
      <c r="Q125" s="30">
        <f t="shared" ca="1" si="22"/>
        <v>0.13262042774335403</v>
      </c>
      <c r="R125" s="30">
        <f t="shared" ca="1" si="23"/>
        <v>0.23238364506307096</v>
      </c>
      <c r="S125" s="9" cm="1">
        <f t="array" aca="1" ref="S125" ca="1">_xll.FDS($E$7,"P_PRICE("&amp;AG125&amp;",0,D,D)")</f>
        <v>113.33</v>
      </c>
      <c r="T125" s="9" cm="1">
        <f t="array" aca="1" ref="T125" ca="1">_xll.FDS($E$7,"P_PRICE("&amp;AH125&amp;",0,D,D)")</f>
        <v>110.84</v>
      </c>
      <c r="U125" s="9" cm="1">
        <f t="array" aca="1" ref="U125" ca="1">_xll.FDS($E$7,"P_PRICE("&amp;AI125&amp;",0,D,D)")</f>
        <v>109.3</v>
      </c>
      <c r="V125" s="9" cm="1">
        <f t="array" aca="1" ref="V125" ca="1">_xll.FDS($E$7,"P_PRICE("&amp;AJ125&amp;",0,D,D)")</f>
        <v>100.06</v>
      </c>
      <c r="W125" s="9" cm="1">
        <f t="array" aca="1" ref="W125" ca="1">_xll.FDS($E$7,"P_PRICE("&amp;AK125&amp;",0,D,D)")</f>
        <v>91.96</v>
      </c>
      <c r="X125" s="24">
        <f t="shared" ca="1" si="24"/>
        <v>2.65279543551733E-3</v>
      </c>
      <c r="Y125" s="24">
        <f t="shared" ca="1" si="25"/>
        <v>1.2123109187801795E-2</v>
      </c>
      <c r="Z125" s="24">
        <f t="shared" ca="1" si="26"/>
        <v>1.2251433794985944E-2</v>
      </c>
      <c r="AA125" s="24">
        <f t="shared" ca="1" si="27"/>
        <v>9.3830184179412912E-2</v>
      </c>
      <c r="AB125" s="9" cm="1">
        <f t="array" aca="1" ref="AB125" ca="1">_xll.FDS($E$9,"P_PRICE("&amp;AG125&amp;",0,D,D)")</f>
        <v>6466.91</v>
      </c>
      <c r="AC125" s="9" cm="1">
        <f t="array" aca="1" ref="AC125" ca="1">_xll.FDS($E$9,"P_PRICE("&amp;AH125&amp;",0,D,D)")</f>
        <v>6449.8</v>
      </c>
      <c r="AD125" s="9" cm="1">
        <f t="array" aca="1" ref="AD125" ca="1">_xll.FDS($E$9,"P_PRICE("&amp;AI125&amp;",0,D,D)")</f>
        <v>6389.45</v>
      </c>
      <c r="AE125" s="9" cm="1">
        <f t="array" aca="1" ref="AE125" ca="1">_xll.FDS($E$9,"P_PRICE("&amp;AJ125&amp;",0,D,D)")</f>
        <v>6388.64</v>
      </c>
      <c r="AF125" s="9" cm="1">
        <f t="array" aca="1" ref="AF125" ca="1">_xll.FDS($E$9,"P_PRICE("&amp;AK125&amp;",0,D,D)")</f>
        <v>5912.17</v>
      </c>
      <c r="AG125" s="20">
        <f t="shared" ca="1" si="33"/>
        <v>45891</v>
      </c>
      <c r="AH125" s="22">
        <f t="shared" ca="1" si="28"/>
        <v>45884</v>
      </c>
      <c r="AI125" s="22">
        <f t="shared" ca="1" si="29"/>
        <v>45877</v>
      </c>
      <c r="AJ125" s="22">
        <f t="shared" ca="1" si="30"/>
        <v>45863</v>
      </c>
      <c r="AK125" s="22">
        <f t="shared" ca="1" si="31"/>
        <v>45806</v>
      </c>
      <c r="AL125" s="22">
        <f t="shared" ca="1" si="32"/>
        <v>45720</v>
      </c>
    </row>
    <row r="126" spans="4:38" x14ac:dyDescent="0.25">
      <c r="D126" s="6">
        <f ca="1"/>
        <v>45890</v>
      </c>
      <c r="E126" s="28" cm="1">
        <f t="array" aca="1" ref="E126" ca="1">_xll.FDS($E$7,"P_PRICE("&amp;D126&amp;",0,D,D)")</f>
        <v>110.72</v>
      </c>
      <c r="F126" s="29" cm="1">
        <f t="array" aca="1" ref="F126" ca="1">_xll.FDS($E$7,"P_BETA_LOCIDX("&amp;$AG126&amp;","&amp;$AL126&amp;",,"""&amp;$E$9&amp;""")")</f>
        <v>1.2908081</v>
      </c>
      <c r="G126" s="30">
        <f t="shared" ca="1" si="18"/>
        <v>1.0412897677991213E-2</v>
      </c>
      <c r="H126" s="30">
        <f t="shared" ca="1" si="18"/>
        <v>2.9398054759080288E-2</v>
      </c>
      <c r="I126" s="30">
        <f t="shared" ca="1" si="18"/>
        <v>0.1380628914364988</v>
      </c>
      <c r="J126" s="30">
        <f t="shared" ca="1" si="18"/>
        <v>9.8427532803329956E-2</v>
      </c>
      <c r="K126" s="30">
        <f t="shared" ca="1" si="19"/>
        <v>-1.9629899915127719E-2</v>
      </c>
      <c r="L126" s="30">
        <f t="shared" ca="1" si="19"/>
        <v>6.1425363370663129E-3</v>
      </c>
      <c r="M126" s="30">
        <f t="shared" ca="1" si="19"/>
        <v>1.3834397356737211E-3</v>
      </c>
      <c r="N126" s="30">
        <f t="shared" ca="1" si="19"/>
        <v>0.10557420708357744</v>
      </c>
      <c r="O126" s="30">
        <f t="shared" ca="1" si="20"/>
        <v>-9.2170022371365068E-3</v>
      </c>
      <c r="P126" s="30">
        <f t="shared" ca="1" si="21"/>
        <v>3.5540591096146601E-2</v>
      </c>
      <c r="Q126" s="30">
        <f t="shared" ca="1" si="22"/>
        <v>0.13944633117217253</v>
      </c>
      <c r="R126" s="30">
        <f t="shared" ca="1" si="23"/>
        <v>0.2040017398869074</v>
      </c>
      <c r="S126" s="9" cm="1">
        <f t="array" aca="1" ref="S126" ca="1">_xll.FDS($E$7,"P_PRICE("&amp;AG126&amp;",0,D,D)")</f>
        <v>110.72</v>
      </c>
      <c r="T126" s="9" cm="1">
        <f t="array" aca="1" ref="T126" ca="1">_xll.FDS($E$7,"P_PRICE("&amp;AH126&amp;",0,D,D)")</f>
        <v>111.75</v>
      </c>
      <c r="U126" s="9" cm="1">
        <f t="array" aca="1" ref="U126" ca="1">_xll.FDS($E$7,"P_PRICE("&amp;AI126&amp;",0,D,D)")</f>
        <v>106.92</v>
      </c>
      <c r="V126" s="9" cm="1">
        <f t="array" aca="1" ref="V126" ca="1">_xll.FDS($E$7,"P_PRICE("&amp;AJ126&amp;",0,D,D)")</f>
        <v>97.17</v>
      </c>
      <c r="W126" s="9" cm="1">
        <f t="array" aca="1" ref="W126" ca="1">_xll.FDS($E$7,"P_PRICE("&amp;AK126&amp;",0,D,D)")</f>
        <v>91.96</v>
      </c>
      <c r="X126" s="24">
        <f t="shared" ca="1" si="24"/>
        <v>-1.5207450212876505E-2</v>
      </c>
      <c r="Y126" s="24">
        <f t="shared" ca="1" si="25"/>
        <v>4.758675078864405E-3</v>
      </c>
      <c r="Z126" s="24">
        <f t="shared" ca="1" si="26"/>
        <v>1.0717625150273857E-3</v>
      </c>
      <c r="AA126" s="24">
        <f t="shared" ca="1" si="27"/>
        <v>8.1789235040884423E-2</v>
      </c>
      <c r="AB126" s="9" cm="1">
        <f t="array" aca="1" ref="AB126" ca="1">_xll.FDS($E$9,"P_PRICE("&amp;AG126&amp;",0,D,D)")</f>
        <v>6370.17</v>
      </c>
      <c r="AC126" s="9" cm="1">
        <f t="array" aca="1" ref="AC126" ca="1">_xll.FDS($E$9,"P_PRICE("&amp;AH126&amp;",0,D,D)")</f>
        <v>6468.54</v>
      </c>
      <c r="AD126" s="9" cm="1">
        <f t="array" aca="1" ref="AD126" ca="1">_xll.FDS($E$9,"P_PRICE("&amp;AI126&amp;",0,D,D)")</f>
        <v>6340</v>
      </c>
      <c r="AE126" s="9" cm="1">
        <f t="array" aca="1" ref="AE126" ca="1">_xll.FDS($E$9,"P_PRICE("&amp;AJ126&amp;",0,D,D)")</f>
        <v>6363.35</v>
      </c>
      <c r="AF126" s="9" cm="1">
        <f t="array" aca="1" ref="AF126" ca="1">_xll.FDS($E$9,"P_PRICE("&amp;AK126&amp;",0,D,D)")</f>
        <v>5888.55</v>
      </c>
      <c r="AG126" s="20">
        <f t="shared" ca="1" si="33"/>
        <v>45890</v>
      </c>
      <c r="AH126" s="22">
        <f t="shared" ca="1" si="28"/>
        <v>45883</v>
      </c>
      <c r="AI126" s="22">
        <f t="shared" ca="1" si="29"/>
        <v>45876</v>
      </c>
      <c r="AJ126" s="22">
        <f t="shared" ca="1" si="30"/>
        <v>45862</v>
      </c>
      <c r="AK126" s="22">
        <f t="shared" ca="1" si="31"/>
        <v>45805</v>
      </c>
      <c r="AL126" s="22">
        <f t="shared" ca="1" si="32"/>
        <v>45719</v>
      </c>
    </row>
    <row r="127" spans="4:38" x14ac:dyDescent="0.25">
      <c r="D127" s="6">
        <f ca="1"/>
        <v>45889</v>
      </c>
      <c r="E127" s="28" cm="1">
        <f t="array" aca="1" ref="E127" ca="1">_xll.FDS($E$7,"P_PRICE("&amp;D127&amp;",0,D,D)")</f>
        <v>110.77</v>
      </c>
      <c r="F127" s="29" cm="1">
        <f t="array" aca="1" ref="F127" ca="1">_xll.FDS($E$7,"P_BETA_LOCIDX("&amp;$AG127&amp;","&amp;$AL127&amp;",,"""&amp;$E$9&amp;""")")</f>
        <v>1.2858769000000001</v>
      </c>
      <c r="G127" s="30">
        <f t="shared" ca="1" si="18"/>
        <v>-1.1262406817714491E-2</v>
      </c>
      <c r="H127" s="30">
        <f t="shared" ca="1" si="18"/>
        <v>0.12465971298428499</v>
      </c>
      <c r="I127" s="30">
        <f t="shared" ca="1" si="18"/>
        <v>0.13650792309484414</v>
      </c>
      <c r="J127" s="30">
        <f t="shared" ca="1" si="18"/>
        <v>6.0445834937818521E-2</v>
      </c>
      <c r="K127" s="30">
        <f t="shared" ca="1" si="19"/>
        <v>-1.4078552267195362E-2</v>
      </c>
      <c r="L127" s="30">
        <f t="shared" ca="1" si="19"/>
        <v>1.0278811605878988E-2</v>
      </c>
      <c r="M127" s="30">
        <f t="shared" ca="1" si="19"/>
        <v>7.4557245350225562E-3</v>
      </c>
      <c r="N127" s="30">
        <f t="shared" ca="1" si="19"/>
        <v>0.10298237638452168</v>
      </c>
      <c r="O127" s="30">
        <f t="shared" ca="1" si="20"/>
        <v>-2.5340959084909853E-2</v>
      </c>
      <c r="P127" s="30">
        <f t="shared" ca="1" si="21"/>
        <v>0.13493852459016398</v>
      </c>
      <c r="Q127" s="30">
        <f t="shared" ca="1" si="22"/>
        <v>0.14396364762986669</v>
      </c>
      <c r="R127" s="30">
        <f t="shared" ca="1" si="23"/>
        <v>0.1634282113223402</v>
      </c>
      <c r="S127" s="9" cm="1">
        <f t="array" aca="1" ref="S127" ca="1">_xll.FDS($E$7,"P_PRICE("&amp;AG127&amp;",0,D,D)")</f>
        <v>110.77</v>
      </c>
      <c r="T127" s="9" cm="1">
        <f t="array" aca="1" ref="T127" ca="1">_xll.FDS($E$7,"P_PRICE("&amp;AH127&amp;",0,D,D)")</f>
        <v>113.65</v>
      </c>
      <c r="U127" s="9" cm="1">
        <f t="array" aca="1" ref="U127" ca="1">_xll.FDS($E$7,"P_PRICE("&amp;AI127&amp;",0,D,D)")</f>
        <v>97.6</v>
      </c>
      <c r="V127" s="9" cm="1">
        <f t="array" aca="1" ref="V127" ca="1">_xll.FDS($E$7,"P_PRICE("&amp;AJ127&amp;",0,D,D)")</f>
        <v>96.83</v>
      </c>
      <c r="W127" s="9" cm="1">
        <f t="array" aca="1" ref="W127" ca="1">_xll.FDS($E$7,"P_PRICE("&amp;AK127&amp;",0,D,D)")</f>
        <v>95.21</v>
      </c>
      <c r="X127" s="24">
        <f t="shared" ca="1" si="24"/>
        <v>-1.0948600342066461E-2</v>
      </c>
      <c r="Y127" s="24">
        <f t="shared" ca="1" si="25"/>
        <v>7.9936202336934326E-3</v>
      </c>
      <c r="Z127" s="24">
        <f t="shared" ca="1" si="26"/>
        <v>5.7981635217356775E-3</v>
      </c>
      <c r="AA127" s="24">
        <f t="shared" ca="1" si="27"/>
        <v>8.0087274594109026E-2</v>
      </c>
      <c r="AB127" s="9" cm="1">
        <f t="array" aca="1" ref="AB127" ca="1">_xll.FDS($E$9,"P_PRICE("&amp;AG127&amp;",0,D,D)")</f>
        <v>6395.78</v>
      </c>
      <c r="AC127" s="9" cm="1">
        <f t="array" aca="1" ref="AC127" ca="1">_xll.FDS($E$9,"P_PRICE("&amp;AH127&amp;",0,D,D)")</f>
        <v>6466.58</v>
      </c>
      <c r="AD127" s="9" cm="1">
        <f t="array" aca="1" ref="AD127" ca="1">_xll.FDS($E$9,"P_PRICE("&amp;AI127&amp;",0,D,D)")</f>
        <v>6345.06</v>
      </c>
      <c r="AE127" s="9" cm="1">
        <f t="array" aca="1" ref="AE127" ca="1">_xll.FDS($E$9,"P_PRICE("&amp;AJ127&amp;",0,D,D)")</f>
        <v>6358.91</v>
      </c>
      <c r="AF127" s="9" cm="1">
        <f t="array" aca="1" ref="AF127" ca="1">_xll.FDS($E$9,"P_PRICE("&amp;AK127&amp;",0,D,D)")</f>
        <v>5921.54</v>
      </c>
      <c r="AG127" s="20">
        <f t="shared" ca="1" si="33"/>
        <v>45889</v>
      </c>
      <c r="AH127" s="22">
        <f t="shared" ca="1" si="28"/>
        <v>45882</v>
      </c>
      <c r="AI127" s="22">
        <f t="shared" ca="1" si="29"/>
        <v>45875</v>
      </c>
      <c r="AJ127" s="22">
        <f t="shared" ca="1" si="30"/>
        <v>45861</v>
      </c>
      <c r="AK127" s="22">
        <f t="shared" ca="1" si="31"/>
        <v>45804</v>
      </c>
      <c r="AL127" s="22">
        <f t="shared" ca="1" si="32"/>
        <v>45716</v>
      </c>
    </row>
    <row r="128" spans="4:38" x14ac:dyDescent="0.25">
      <c r="D128" s="6">
        <f ca="1"/>
        <v>45888</v>
      </c>
      <c r="E128" s="28" cm="1">
        <f t="array" aca="1" ref="E128" ca="1">_xll.FDS($E$7,"P_PRICE("&amp;D128&amp;",0,D,D)")</f>
        <v>112.44</v>
      </c>
      <c r="F128" s="29" cm="1">
        <f t="array" aca="1" ref="F128" ca="1">_xll.FDS($E$7,"P_BETA_LOCIDX("&amp;$AG128&amp;","&amp;$AL128&amp;",,"""&amp;$E$9&amp;""")")</f>
        <v>1.2771695000000001</v>
      </c>
      <c r="G128" s="30">
        <f t="shared" ca="1" si="18"/>
        <v>1.0473803885296611E-2</v>
      </c>
      <c r="H128" s="30">
        <f t="shared" ca="1" si="18"/>
        <v>0.12518796825810535</v>
      </c>
      <c r="I128" s="30">
        <f t="shared" ca="1" si="18"/>
        <v>0.15629340952925036</v>
      </c>
      <c r="J128" s="30">
        <f t="shared" ca="1" si="18"/>
        <v>6.1087453999687819E-2</v>
      </c>
      <c r="K128" s="30">
        <f t="shared" ca="1" si="19"/>
        <v>-6.8140698854751644E-3</v>
      </c>
      <c r="L128" s="30">
        <f t="shared" ca="1" si="19"/>
        <v>2.2744650424896085E-2</v>
      </c>
      <c r="M128" s="30">
        <f t="shared" ca="1" si="19"/>
        <v>2.0595851513244896E-2</v>
      </c>
      <c r="N128" s="30">
        <f t="shared" ca="1" si="19"/>
        <v>0.13393858489923863</v>
      </c>
      <c r="O128" s="30">
        <f t="shared" ca="1" si="20"/>
        <v>3.6597339998214462E-3</v>
      </c>
      <c r="P128" s="30">
        <f t="shared" ca="1" si="21"/>
        <v>0.14793261868300145</v>
      </c>
      <c r="Q128" s="30">
        <f t="shared" ca="1" si="22"/>
        <v>0.17688926104249525</v>
      </c>
      <c r="R128" s="30">
        <f t="shared" ca="1" si="23"/>
        <v>0.19502603889892645</v>
      </c>
      <c r="S128" s="9" cm="1">
        <f t="array" aca="1" ref="S128" ca="1">_xll.FDS($E$7,"P_PRICE("&amp;AG128&amp;",0,D,D)")</f>
        <v>112.44</v>
      </c>
      <c r="T128" s="9" cm="1">
        <f t="array" aca="1" ref="T128" ca="1">_xll.FDS($E$7,"P_PRICE("&amp;AH128&amp;",0,D,D)")</f>
        <v>112.03</v>
      </c>
      <c r="U128" s="9" cm="1">
        <f t="array" aca="1" ref="U128" ca="1">_xll.FDS($E$7,"P_PRICE("&amp;AI128&amp;",0,D,D)")</f>
        <v>97.95</v>
      </c>
      <c r="V128" s="9" cm="1">
        <f t="array" aca="1" ref="V128" ca="1">_xll.FDS($E$7,"P_PRICE("&amp;AJ128&amp;",0,D,D)")</f>
        <v>95.54</v>
      </c>
      <c r="W128" s="9" cm="1">
        <f t="array" aca="1" ref="W128" ca="1">_xll.FDS($E$7,"P_PRICE("&amp;AK128&amp;",0,D,D)")</f>
        <v>94.09</v>
      </c>
      <c r="X128" s="24">
        <f t="shared" ca="1" si="24"/>
        <v>-5.3352901752470316E-3</v>
      </c>
      <c r="Y128" s="24">
        <f t="shared" ca="1" si="25"/>
        <v>1.7808638888492156E-2</v>
      </c>
      <c r="Z128" s="24">
        <f t="shared" ca="1" si="26"/>
        <v>1.6126169246325484E-2</v>
      </c>
      <c r="AA128" s="24">
        <f t="shared" ca="1" si="27"/>
        <v>0.10487142458321985</v>
      </c>
      <c r="AB128" s="9" cm="1">
        <f t="array" aca="1" ref="AB128" ca="1">_xll.FDS($E$9,"P_PRICE("&amp;AG128&amp;",0,D,D)")</f>
        <v>6411.37</v>
      </c>
      <c r="AC128" s="9" cm="1">
        <f t="array" aca="1" ref="AC128" ca="1">_xll.FDS($E$9,"P_PRICE("&amp;AH128&amp;",0,D,D)")</f>
        <v>6445.76</v>
      </c>
      <c r="AD128" s="9" cm="1">
        <f t="array" aca="1" ref="AD128" ca="1">_xll.FDS($E$9,"P_PRICE("&amp;AI128&amp;",0,D,D)")</f>
        <v>6299.19</v>
      </c>
      <c r="AE128" s="9" cm="1">
        <f t="array" aca="1" ref="AE128" ca="1">_xll.FDS($E$9,"P_PRICE("&amp;AJ128&amp;",0,D,D)")</f>
        <v>6309.62</v>
      </c>
      <c r="AF128" s="9" cm="1">
        <f t="array" aca="1" ref="AF128" ca="1">_xll.FDS($E$9,"P_PRICE("&amp;AK128&amp;",0,D,D)")</f>
        <v>5802.82</v>
      </c>
      <c r="AG128" s="20">
        <f t="shared" ca="1" si="33"/>
        <v>45888</v>
      </c>
      <c r="AH128" s="22">
        <f t="shared" ca="1" si="28"/>
        <v>45881</v>
      </c>
      <c r="AI128" s="22">
        <f t="shared" ca="1" si="29"/>
        <v>45874</v>
      </c>
      <c r="AJ128" s="22">
        <f t="shared" ca="1" si="30"/>
        <v>45860</v>
      </c>
      <c r="AK128" s="22">
        <f t="shared" ca="1" si="31"/>
        <v>45800</v>
      </c>
      <c r="AL128" s="22">
        <f t="shared" ca="1" si="32"/>
        <v>45715</v>
      </c>
    </row>
    <row r="129" spans="4:38" x14ac:dyDescent="0.25">
      <c r="D129" s="6">
        <f ca="1"/>
        <v>45887</v>
      </c>
      <c r="E129" s="28" cm="1">
        <f t="array" aca="1" ref="E129" ca="1">_xll.FDS($E$7,"P_PRICE("&amp;D129&amp;",0,D,D)")</f>
        <v>111.53</v>
      </c>
      <c r="F129" s="29" cm="1">
        <f t="array" aca="1" ref="F129" ca="1">_xll.FDS($E$7,"P_BETA_LOCIDX("&amp;$AG129&amp;","&amp;$AL129&amp;",,"""&amp;$E$9&amp;""")")</f>
        <v>1.2804137</v>
      </c>
      <c r="G129" s="30">
        <f t="shared" ca="1" si="18"/>
        <v>2.3053048804394141E-2</v>
      </c>
      <c r="H129" s="30">
        <f t="shared" ca="1" si="18"/>
        <v>0.11139844046164592</v>
      </c>
      <c r="I129" s="30">
        <f t="shared" ca="1" si="18"/>
        <v>0.15419294475754008</v>
      </c>
      <c r="J129" s="30">
        <f t="shared" ca="1" si="18"/>
        <v>3.8957070762981466E-2</v>
      </c>
      <c r="K129" s="30">
        <f t="shared" ca="1" si="19"/>
        <v>1.5207982660882345E-2</v>
      </c>
      <c r="L129" s="30">
        <f t="shared" ca="1" si="19"/>
        <v>2.4113675197079427E-2</v>
      </c>
      <c r="M129" s="30">
        <f t="shared" ca="1" si="19"/>
        <v>2.914923030877304E-2</v>
      </c>
      <c r="N129" s="30">
        <f t="shared" ca="1" si="19"/>
        <v>0.13306899060734226</v>
      </c>
      <c r="O129" s="30">
        <f t="shared" ca="1" si="20"/>
        <v>3.8261031465276485E-2</v>
      </c>
      <c r="P129" s="30">
        <f t="shared" ca="1" si="21"/>
        <v>0.13551211565872534</v>
      </c>
      <c r="Q129" s="30">
        <f t="shared" ca="1" si="22"/>
        <v>0.18334217506631312</v>
      </c>
      <c r="R129" s="30">
        <f t="shared" ca="1" si="23"/>
        <v>0.17202606137032372</v>
      </c>
      <c r="S129" s="9" cm="1">
        <f t="array" aca="1" ref="S129" ca="1">_xll.FDS($E$7,"P_PRICE("&amp;AG129&amp;",0,D,D)")</f>
        <v>111.53</v>
      </c>
      <c r="T129" s="9" cm="1">
        <f t="array" aca="1" ref="T129" ca="1">_xll.FDS($E$7,"P_PRICE("&amp;AH129&amp;",0,D,D)")</f>
        <v>107.42</v>
      </c>
      <c r="U129" s="9" cm="1">
        <f t="array" aca="1" ref="U129" ca="1">_xll.FDS($E$7,"P_PRICE("&amp;AI129&amp;",0,D,D)")</f>
        <v>98.22</v>
      </c>
      <c r="V129" s="9" cm="1">
        <f t="array" aca="1" ref="V129" ca="1">_xll.FDS($E$7,"P_PRICE("&amp;AJ129&amp;",0,D,D)")</f>
        <v>94.25</v>
      </c>
      <c r="W129" s="9" cm="1">
        <f t="array" aca="1" ref="W129" ca="1">_xll.FDS($E$7,"P_PRICE("&amp;AK129&amp;",0,D,D)")</f>
        <v>95.16</v>
      </c>
      <c r="X129" s="24">
        <f t="shared" ca="1" si="24"/>
        <v>1.1877397641779641E-2</v>
      </c>
      <c r="Y129" s="24">
        <f t="shared" ca="1" si="25"/>
        <v>1.8832721953130793E-2</v>
      </c>
      <c r="Z129" s="24">
        <f t="shared" ca="1" si="26"/>
        <v>2.2765478304998643E-2</v>
      </c>
      <c r="AA129" s="24">
        <f t="shared" ca="1" si="27"/>
        <v>0.10392655952317775</v>
      </c>
      <c r="AB129" s="9" cm="1">
        <f t="array" aca="1" ref="AB129" ca="1">_xll.FDS($E$9,"P_PRICE("&amp;AG129&amp;",0,D,D)")</f>
        <v>6449.15</v>
      </c>
      <c r="AC129" s="9" cm="1">
        <f t="array" aca="1" ref="AC129" ca="1">_xll.FDS($E$9,"P_PRICE("&amp;AH129&amp;",0,D,D)")</f>
        <v>6373.45</v>
      </c>
      <c r="AD129" s="9" cm="1">
        <f t="array" aca="1" ref="AD129" ca="1">_xll.FDS($E$9,"P_PRICE("&amp;AI129&amp;",0,D,D)")</f>
        <v>6329.94</v>
      </c>
      <c r="AE129" s="9" cm="1">
        <f t="array" aca="1" ref="AE129" ca="1">_xll.FDS($E$9,"P_PRICE("&amp;AJ129&amp;",0,D,D)")</f>
        <v>6305.6</v>
      </c>
      <c r="AF129" s="9" cm="1">
        <f t="array" aca="1" ref="AF129" ca="1">_xll.FDS($E$9,"P_PRICE("&amp;AK129&amp;",0,D,D)")</f>
        <v>5842.01</v>
      </c>
      <c r="AG129" s="20">
        <f t="shared" ca="1" si="33"/>
        <v>45887</v>
      </c>
      <c r="AH129" s="22">
        <f t="shared" ca="1" si="28"/>
        <v>45880</v>
      </c>
      <c r="AI129" s="22">
        <f t="shared" ca="1" si="29"/>
        <v>45873</v>
      </c>
      <c r="AJ129" s="22">
        <f t="shared" ca="1" si="30"/>
        <v>45859</v>
      </c>
      <c r="AK129" s="22">
        <f t="shared" ca="1" si="31"/>
        <v>45799</v>
      </c>
      <c r="AL129" s="22">
        <f t="shared" ca="1" si="32"/>
        <v>45714</v>
      </c>
    </row>
    <row r="130" spans="4:38" x14ac:dyDescent="0.25">
      <c r="D130" s="6">
        <f ca="1"/>
        <v>45884</v>
      </c>
      <c r="E130" s="28" cm="1">
        <f t="array" aca="1" ref="E130" ca="1">_xll.FDS($E$7,"P_PRICE("&amp;D130&amp;",0,D,D)")</f>
        <v>110.84</v>
      </c>
      <c r="F130" s="29" cm="1">
        <f t="array" aca="1" ref="F130" ca="1">_xll.FDS($E$7,"P_BETA_LOCIDX("&amp;$AG130&amp;","&amp;$AL130&amp;",,"""&amp;$E$9&amp;""")")</f>
        <v>1.279606</v>
      </c>
      <c r="G130" s="30">
        <f t="shared" ca="1" si="18"/>
        <v>2.0034534204323544E-3</v>
      </c>
      <c r="H130" s="30">
        <f t="shared" ca="1" si="18"/>
        <v>0.12035213921554261</v>
      </c>
      <c r="I130" s="30">
        <f t="shared" ca="1" si="18"/>
        <v>0.14730274804197896</v>
      </c>
      <c r="J130" s="30">
        <f t="shared" ca="1" si="18"/>
        <v>3.3256192094683806E-2</v>
      </c>
      <c r="K130" s="30">
        <f t="shared" ca="1" si="19"/>
        <v>1.2086208061726934E-2</v>
      </c>
      <c r="L130" s="30">
        <f t="shared" ca="1" si="19"/>
        <v>4.3444584849976091E-2</v>
      </c>
      <c r="M130" s="30">
        <f t="shared" ca="1" si="19"/>
        <v>3.1094019978433633E-2</v>
      </c>
      <c r="N130" s="30">
        <f t="shared" ca="1" si="19"/>
        <v>0.13249896146021731</v>
      </c>
      <c r="O130" s="30">
        <f t="shared" ca="1" si="20"/>
        <v>1.4089661482159288E-2</v>
      </c>
      <c r="P130" s="30">
        <f t="shared" ca="1" si="21"/>
        <v>0.16379672406551871</v>
      </c>
      <c r="Q130" s="30">
        <f t="shared" ca="1" si="22"/>
        <v>0.1783967680204126</v>
      </c>
      <c r="R130" s="30">
        <f t="shared" ca="1" si="23"/>
        <v>0.16575515355490111</v>
      </c>
      <c r="S130" s="9" cm="1">
        <f t="array" aca="1" ref="S130" ca="1">_xll.FDS($E$7,"P_PRICE("&amp;AG130&amp;",0,D,D)")</f>
        <v>110.84</v>
      </c>
      <c r="T130" s="9" cm="1">
        <f t="array" aca="1" ref="T130" ca="1">_xll.FDS($E$7,"P_PRICE("&amp;AH130&amp;",0,D,D)")</f>
        <v>109.3</v>
      </c>
      <c r="U130" s="9" cm="1">
        <f t="array" aca="1" ref="U130" ca="1">_xll.FDS($E$7,"P_PRICE("&amp;AI130&amp;",0,D,D)")</f>
        <v>95.24</v>
      </c>
      <c r="V130" s="9" cm="1">
        <f t="array" aca="1" ref="V130" ca="1">_xll.FDS($E$7,"P_PRICE("&amp;AJ130&amp;",0,D,D)")</f>
        <v>94.06</v>
      </c>
      <c r="W130" s="9" cm="1">
        <f t="array" aca="1" ref="W130" ca="1">_xll.FDS($E$7,"P_PRICE("&amp;AK130&amp;",0,D,D)")</f>
        <v>95.08</v>
      </c>
      <c r="X130" s="24">
        <f t="shared" ca="1" si="24"/>
        <v>9.4452574165226899E-3</v>
      </c>
      <c r="Y130" s="24">
        <f t="shared" ca="1" si="25"/>
        <v>3.3951532620178471E-2</v>
      </c>
      <c r="Z130" s="24">
        <f t="shared" ca="1" si="26"/>
        <v>2.4299682854279858E-2</v>
      </c>
      <c r="AA130" s="24">
        <f t="shared" ca="1" si="27"/>
        <v>0.10354668660526545</v>
      </c>
      <c r="AB130" s="9" cm="1">
        <f t="array" aca="1" ref="AB130" ca="1">_xll.FDS($E$9,"P_PRICE("&amp;AG130&amp;",0,D,D)")</f>
        <v>6449.8</v>
      </c>
      <c r="AC130" s="9" cm="1">
        <f t="array" aca="1" ref="AC130" ca="1">_xll.FDS($E$9,"P_PRICE("&amp;AH130&amp;",0,D,D)")</f>
        <v>6389.45</v>
      </c>
      <c r="AD130" s="9" cm="1">
        <f t="array" aca="1" ref="AD130" ca="1">_xll.FDS($E$9,"P_PRICE("&amp;AI130&amp;",0,D,D)")</f>
        <v>6238.01</v>
      </c>
      <c r="AE130" s="9" cm="1">
        <f t="array" aca="1" ref="AE130" ca="1">_xll.FDS($E$9,"P_PRICE("&amp;AJ130&amp;",0,D,D)")</f>
        <v>6296.79</v>
      </c>
      <c r="AF130" s="9" cm="1">
        <f t="array" aca="1" ref="AF130" ca="1">_xll.FDS($E$9,"P_PRICE("&amp;AK130&amp;",0,D,D)")</f>
        <v>5844.61</v>
      </c>
      <c r="AG130" s="20">
        <f t="shared" ca="1" si="33"/>
        <v>45884</v>
      </c>
      <c r="AH130" s="22">
        <f t="shared" ca="1" si="28"/>
        <v>45877</v>
      </c>
      <c r="AI130" s="22">
        <f t="shared" ca="1" si="29"/>
        <v>45870</v>
      </c>
      <c r="AJ130" s="22">
        <f t="shared" ca="1" si="30"/>
        <v>45856</v>
      </c>
      <c r="AK130" s="22">
        <f t="shared" ca="1" si="31"/>
        <v>45798</v>
      </c>
      <c r="AL130" s="22">
        <f t="shared" ca="1" si="32"/>
        <v>45713</v>
      </c>
    </row>
    <row r="131" spans="4:38" x14ac:dyDescent="0.25">
      <c r="D131" s="6">
        <f ca="1"/>
        <v>45883</v>
      </c>
      <c r="E131" s="28" cm="1">
        <f t="array" aca="1" ref="E131" ca="1">_xll.FDS($E$7,"P_PRICE("&amp;D131&amp;",0,D,D)")</f>
        <v>111.75</v>
      </c>
      <c r="F131" s="29" cm="1">
        <f t="array" aca="1" ref="F131" ca="1">_xll.FDS($E$7,"P_BETA_LOCIDX("&amp;$AG131&amp;","&amp;$AL131&amp;",,"""&amp;$E$9&amp;""")")</f>
        <v>1.2776957</v>
      </c>
      <c r="G131" s="30">
        <f t="shared" ca="1" si="18"/>
        <v>1.9269386875644293E-2</v>
      </c>
      <c r="H131" s="30">
        <f t="shared" ca="1" si="18"/>
        <v>0.14474002437148847</v>
      </c>
      <c r="I131" s="30">
        <f t="shared" ca="1" si="18"/>
        <v>0.16765726628373415</v>
      </c>
      <c r="J131" s="30">
        <f t="shared" ca="1" si="18"/>
        <v>4.1815659061648525E-2</v>
      </c>
      <c r="K131" s="30">
        <f t="shared" ca="1" si="19"/>
        <v>2.5904574964984092E-2</v>
      </c>
      <c r="L131" s="30">
        <f t="shared" ca="1" si="19"/>
        <v>2.6030012296924365E-2</v>
      </c>
      <c r="M131" s="30">
        <f t="shared" ca="1" si="19"/>
        <v>3.4731371547124433E-2</v>
      </c>
      <c r="N131" s="30">
        <f t="shared" ca="1" si="19"/>
        <v>0.11358136327085777</v>
      </c>
      <c r="O131" s="30">
        <f t="shared" ca="1" si="20"/>
        <v>4.5173961840628385E-2</v>
      </c>
      <c r="P131" s="30">
        <f t="shared" ca="1" si="21"/>
        <v>0.17077003666841284</v>
      </c>
      <c r="Q131" s="30">
        <f t="shared" ca="1" si="22"/>
        <v>0.20238863783085859</v>
      </c>
      <c r="R131" s="30">
        <f t="shared" ca="1" si="23"/>
        <v>0.1553970223325063</v>
      </c>
      <c r="S131" s="9" cm="1">
        <f t="array" aca="1" ref="S131" ca="1">_xll.FDS($E$7,"P_PRICE("&amp;AG131&amp;",0,D,D)")</f>
        <v>111.75</v>
      </c>
      <c r="T131" s="9" cm="1">
        <f t="array" aca="1" ref="T131" ca="1">_xll.FDS($E$7,"P_PRICE("&amp;AH131&amp;",0,D,D)")</f>
        <v>106.92</v>
      </c>
      <c r="U131" s="9" cm="1">
        <f t="array" aca="1" ref="U131" ca="1">_xll.FDS($E$7,"P_PRICE("&amp;AI131&amp;",0,D,D)")</f>
        <v>95.45</v>
      </c>
      <c r="V131" s="9" cm="1">
        <f t="array" aca="1" ref="V131" ca="1">_xll.FDS($E$7,"P_PRICE("&amp;AJ131&amp;",0,D,D)")</f>
        <v>92.94</v>
      </c>
      <c r="W131" s="9" cm="1">
        <f t="array" aca="1" ref="W131" ca="1">_xll.FDS($E$7,"P_PRICE("&amp;AK131&amp;",0,D,D)")</f>
        <v>96.72</v>
      </c>
      <c r="X131" s="24">
        <f t="shared" ca="1" si="24"/>
        <v>2.0274447949526708E-2</v>
      </c>
      <c r="Y131" s="24">
        <f t="shared" ca="1" si="25"/>
        <v>2.0372622602490065E-2</v>
      </c>
      <c r="Z131" s="24">
        <f t="shared" ca="1" si="26"/>
        <v>2.7182819467205244E-2</v>
      </c>
      <c r="AA131" s="24">
        <f t="shared" ca="1" si="27"/>
        <v>8.8895472741168158E-2</v>
      </c>
      <c r="AB131" s="9" cm="1">
        <f t="array" aca="1" ref="AB131" ca="1">_xll.FDS($E$9,"P_PRICE("&amp;AG131&amp;",0,D,D)")</f>
        <v>6468.54</v>
      </c>
      <c r="AC131" s="9" cm="1">
        <f t="array" aca="1" ref="AC131" ca="1">_xll.FDS($E$9,"P_PRICE("&amp;AH131&amp;",0,D,D)")</f>
        <v>6340</v>
      </c>
      <c r="AD131" s="9" cm="1">
        <f t="array" aca="1" ref="AD131" ca="1">_xll.FDS($E$9,"P_PRICE("&amp;AI131&amp;",0,D,D)")</f>
        <v>6339.39</v>
      </c>
      <c r="AE131" s="9" cm="1">
        <f t="array" aca="1" ref="AE131" ca="1">_xll.FDS($E$9,"P_PRICE("&amp;AJ131&amp;",0,D,D)")</f>
        <v>6297.36</v>
      </c>
      <c r="AF131" s="9" cm="1">
        <f t="array" aca="1" ref="AF131" ca="1">_xll.FDS($E$9,"P_PRICE("&amp;AK131&amp;",0,D,D)")</f>
        <v>5940.46</v>
      </c>
      <c r="AG131" s="20">
        <f t="shared" ca="1" si="33"/>
        <v>45883</v>
      </c>
      <c r="AH131" s="22">
        <f t="shared" ca="1" si="28"/>
        <v>45876</v>
      </c>
      <c r="AI131" s="22">
        <f t="shared" ca="1" si="29"/>
        <v>45869</v>
      </c>
      <c r="AJ131" s="22">
        <f t="shared" ca="1" si="30"/>
        <v>45855</v>
      </c>
      <c r="AK131" s="22">
        <f t="shared" ca="1" si="31"/>
        <v>45797</v>
      </c>
      <c r="AL131" s="22">
        <f t="shared" ca="1" si="32"/>
        <v>45712</v>
      </c>
    </row>
    <row r="132" spans="4:38" x14ac:dyDescent="0.25">
      <c r="D132" s="6">
        <f ca="1"/>
        <v>45882</v>
      </c>
      <c r="E132" s="28" cm="1">
        <f t="array" aca="1" ref="E132" ca="1">_xll.FDS($E$7,"P_PRICE("&amp;D132&amp;",0,D,D)")</f>
        <v>113.65</v>
      </c>
      <c r="F132" s="29" cm="1">
        <f t="array" aca="1" ref="F132" ca="1">_xll.FDS($E$7,"P_BETA_LOCIDX("&amp;$AG132&amp;","&amp;$AL132&amp;",,"""&amp;$E$9&amp;""")")</f>
        <v>1.2777334</v>
      </c>
      <c r="G132" s="30">
        <f t="shared" ca="1" si="18"/>
        <v>0.13997568986843167</v>
      </c>
      <c r="H132" s="30">
        <f t="shared" ca="1" si="18"/>
        <v>0.15665619888747204</v>
      </c>
      <c r="I132" s="30">
        <f t="shared" ca="1" si="18"/>
        <v>0.18223634642546063</v>
      </c>
      <c r="J132" s="30">
        <f t="shared" ca="1" si="18"/>
        <v>4.4286539238993006E-2</v>
      </c>
      <c r="K132" s="30">
        <f t="shared" ca="1" si="19"/>
        <v>2.4471031443043849E-2</v>
      </c>
      <c r="L132" s="30">
        <f t="shared" ca="1" si="19"/>
        <v>2.0819971854343287E-2</v>
      </c>
      <c r="M132" s="30">
        <f t="shared" ca="1" si="19"/>
        <v>4.1385531266184571E-2</v>
      </c>
      <c r="N132" s="30">
        <f t="shared" ca="1" si="19"/>
        <v>0.10776617236769731</v>
      </c>
      <c r="O132" s="30">
        <f t="shared" ca="1" si="20"/>
        <v>0.16444672131147553</v>
      </c>
      <c r="P132" s="30">
        <f t="shared" ca="1" si="21"/>
        <v>0.17747617074181532</v>
      </c>
      <c r="Q132" s="30">
        <f t="shared" ca="1" si="22"/>
        <v>0.22362187769164521</v>
      </c>
      <c r="R132" s="30">
        <f t="shared" ca="1" si="23"/>
        <v>0.15205271160669032</v>
      </c>
      <c r="S132" s="9" cm="1">
        <f t="array" aca="1" ref="S132" ca="1">_xll.FDS($E$7,"P_PRICE("&amp;AG132&amp;",0,D,D)")</f>
        <v>113.65</v>
      </c>
      <c r="T132" s="9" cm="1">
        <f t="array" aca="1" ref="T132" ca="1">_xll.FDS($E$7,"P_PRICE("&amp;AH132&amp;",0,D,D)")</f>
        <v>97.6</v>
      </c>
      <c r="U132" s="9" cm="1">
        <f t="array" aca="1" ref="U132" ca="1">_xll.FDS($E$7,"P_PRICE("&amp;AI132&amp;",0,D,D)")</f>
        <v>96.52</v>
      </c>
      <c r="V132" s="9" cm="1">
        <f t="array" aca="1" ref="V132" ca="1">_xll.FDS($E$7,"P_PRICE("&amp;AJ132&amp;",0,D,D)")</f>
        <v>92.88</v>
      </c>
      <c r="W132" s="9" cm="1">
        <f t="array" aca="1" ref="W132" ca="1">_xll.FDS($E$7,"P_PRICE("&amp;AK132&amp;",0,D,D)")</f>
        <v>98.65</v>
      </c>
      <c r="X132" s="24">
        <f t="shared" ca="1" si="24"/>
        <v>1.9151907152966219E-2</v>
      </c>
      <c r="Y132" s="24">
        <f t="shared" ca="1" si="25"/>
        <v>1.6294456930016299E-2</v>
      </c>
      <c r="Z132" s="24">
        <f t="shared" ca="1" si="26"/>
        <v>3.2389801554991493E-2</v>
      </c>
      <c r="AA132" s="24">
        <f t="shared" ca="1" si="27"/>
        <v>8.4341672815078095E-2</v>
      </c>
      <c r="AB132" s="9" cm="1">
        <f t="array" aca="1" ref="AB132" ca="1">_xll.FDS($E$9,"P_PRICE("&amp;AG132&amp;",0,D,D)")</f>
        <v>6466.58</v>
      </c>
      <c r="AC132" s="9" cm="1">
        <f t="array" aca="1" ref="AC132" ca="1">_xll.FDS($E$9,"P_PRICE("&amp;AH132&amp;",0,D,D)")</f>
        <v>6345.06</v>
      </c>
      <c r="AD132" s="9" cm="1">
        <f t="array" aca="1" ref="AD132" ca="1">_xll.FDS($E$9,"P_PRICE("&amp;AI132&amp;",0,D,D)")</f>
        <v>6362.9</v>
      </c>
      <c r="AE132" s="9" cm="1">
        <f t="array" aca="1" ref="AE132" ca="1">_xll.FDS($E$9,"P_PRICE("&amp;AJ132&amp;",0,D,D)")</f>
        <v>6263.7</v>
      </c>
      <c r="AF132" s="9" cm="1">
        <f t="array" aca="1" ref="AF132" ca="1">_xll.FDS($E$9,"P_PRICE("&amp;AK132&amp;",0,D,D)")</f>
        <v>5963.6</v>
      </c>
      <c r="AG132" s="20">
        <f t="shared" ca="1" si="33"/>
        <v>45882</v>
      </c>
      <c r="AH132" s="22">
        <f t="shared" ca="1" si="28"/>
        <v>45875</v>
      </c>
      <c r="AI132" s="22">
        <f t="shared" ca="1" si="29"/>
        <v>45868</v>
      </c>
      <c r="AJ132" s="22">
        <f t="shared" ca="1" si="30"/>
        <v>45854</v>
      </c>
      <c r="AK132" s="22">
        <f t="shared" ca="1" si="31"/>
        <v>45796</v>
      </c>
      <c r="AL132" s="22">
        <f t="shared" ca="1" si="32"/>
        <v>45709</v>
      </c>
    </row>
    <row r="133" spans="4:38" x14ac:dyDescent="0.25">
      <c r="D133" s="6">
        <f ca="1"/>
        <v>45881</v>
      </c>
      <c r="E133" s="28" cm="1">
        <f t="array" aca="1" ref="E133" ca="1">_xll.FDS($E$7,"P_PRICE("&amp;D133&amp;",0,D,D)")</f>
        <v>112.03</v>
      </c>
      <c r="F133" s="29" cm="1">
        <f t="array" aca="1" ref="F133" ca="1">_xll.FDS($E$7,"P_BETA_LOCIDX("&amp;$AG133&amp;","&amp;$AL133&amp;",,"""&amp;$E$9&amp;""")")</f>
        <v>1.2816297000000001</v>
      </c>
      <c r="G133" s="30">
        <f t="shared" ca="1" si="18"/>
        <v>0.1139257587744841</v>
      </c>
      <c r="H133" s="30">
        <f t="shared" ca="1" si="18"/>
        <v>0.13703022449550617</v>
      </c>
      <c r="I133" s="30">
        <f t="shared" ca="1" si="18"/>
        <v>0.14794072613969786</v>
      </c>
      <c r="J133" s="30">
        <f t="shared" ca="1" si="18"/>
        <v>2.7468426600326112E-2</v>
      </c>
      <c r="K133" s="30">
        <f t="shared" ca="1" si="19"/>
        <v>2.9821050822248809E-2</v>
      </c>
      <c r="L133" s="30">
        <f t="shared" ca="1" si="19"/>
        <v>1.5067677602395899E-2</v>
      </c>
      <c r="M133" s="30">
        <f t="shared" ca="1" si="19"/>
        <v>4.1463669231360606E-2</v>
      </c>
      <c r="N133" s="30">
        <f t="shared" ca="1" si="19"/>
        <v>0.10483397889795565</v>
      </c>
      <c r="O133" s="30">
        <f t="shared" ca="1" si="20"/>
        <v>0.14374680959673292</v>
      </c>
      <c r="P133" s="30">
        <f t="shared" ca="1" si="21"/>
        <v>0.15209790209790208</v>
      </c>
      <c r="Q133" s="30">
        <f t="shared" ca="1" si="22"/>
        <v>0.18940439537105846</v>
      </c>
      <c r="R133" s="30">
        <f t="shared" ca="1" si="23"/>
        <v>0.13230240549828176</v>
      </c>
      <c r="S133" s="9" cm="1">
        <f t="array" aca="1" ref="S133" ca="1">_xll.FDS($E$7,"P_PRICE("&amp;AG133&amp;",0,D,D)")</f>
        <v>112.03</v>
      </c>
      <c r="T133" s="9" cm="1">
        <f t="array" aca="1" ref="T133" ca="1">_xll.FDS($E$7,"P_PRICE("&amp;AH133&amp;",0,D,D)")</f>
        <v>97.95</v>
      </c>
      <c r="U133" s="9" cm="1">
        <f t="array" aca="1" ref="U133" ca="1">_xll.FDS($E$7,"P_PRICE("&amp;AI133&amp;",0,D,D)")</f>
        <v>97.24</v>
      </c>
      <c r="V133" s="9" cm="1">
        <f t="array" aca="1" ref="V133" ca="1">_xll.FDS($E$7,"P_PRICE("&amp;AJ133&amp;",0,D,D)")</f>
        <v>94.19</v>
      </c>
      <c r="W133" s="9" cm="1">
        <f t="array" aca="1" ref="W133" ca="1">_xll.FDS($E$7,"P_PRICE("&amp;AK133&amp;",0,D,D)")</f>
        <v>98.94</v>
      </c>
      <c r="X133" s="24">
        <f t="shared" ca="1" si="24"/>
        <v>2.3268070974204802E-2</v>
      </c>
      <c r="Y133" s="24">
        <f t="shared" ca="1" si="25"/>
        <v>1.175665451760044E-2</v>
      </c>
      <c r="Z133" s="24">
        <f t="shared" ca="1" si="26"/>
        <v>3.2352300536856005E-2</v>
      </c>
      <c r="AA133" s="24">
        <f t="shared" ca="1" si="27"/>
        <v>8.1797401307066808E-2</v>
      </c>
      <c r="AB133" s="9" cm="1">
        <f t="array" aca="1" ref="AB133" ca="1">_xll.FDS($E$9,"P_PRICE("&amp;AG133&amp;",0,D,D)")</f>
        <v>6445.76</v>
      </c>
      <c r="AC133" s="9" cm="1">
        <f t="array" aca="1" ref="AC133" ca="1">_xll.FDS($E$9,"P_PRICE("&amp;AH133&amp;",0,D,D)")</f>
        <v>6299.19</v>
      </c>
      <c r="AD133" s="9" cm="1">
        <f t="array" aca="1" ref="AD133" ca="1">_xll.FDS($E$9,"P_PRICE("&amp;AI133&amp;",0,D,D)")</f>
        <v>6370.86</v>
      </c>
      <c r="AE133" s="9" cm="1">
        <f t="array" aca="1" ref="AE133" ca="1">_xll.FDS($E$9,"P_PRICE("&amp;AJ133&amp;",0,D,D)")</f>
        <v>6243.76</v>
      </c>
      <c r="AF133" s="9" cm="1">
        <f t="array" aca="1" ref="AF133" ca="1">_xll.FDS($E$9,"P_PRICE("&amp;AK133&amp;",0,D,D)")</f>
        <v>5958.38</v>
      </c>
      <c r="AG133" s="20">
        <f t="shared" ca="1" si="33"/>
        <v>45881</v>
      </c>
      <c r="AH133" s="22">
        <f t="shared" ca="1" si="28"/>
        <v>45874</v>
      </c>
      <c r="AI133" s="22">
        <f t="shared" ca="1" si="29"/>
        <v>45867</v>
      </c>
      <c r="AJ133" s="22">
        <f t="shared" ca="1" si="30"/>
        <v>45853</v>
      </c>
      <c r="AK133" s="22">
        <f t="shared" ca="1" si="31"/>
        <v>45793</v>
      </c>
      <c r="AL133" s="22">
        <f t="shared" ca="1" si="32"/>
        <v>45708</v>
      </c>
    </row>
    <row r="134" spans="4:38" x14ac:dyDescent="0.25">
      <c r="D134" s="6">
        <f ca="1"/>
        <v>45880</v>
      </c>
      <c r="E134" s="28" cm="1">
        <f t="array" aca="1" ref="E134" ca="1">_xll.FDS($E$7,"P_PRICE("&amp;D134&amp;",0,D,D)")</f>
        <v>107.42</v>
      </c>
      <c r="F134" s="29" cm="1">
        <f t="array" aca="1" ref="F134" ca="1">_xll.FDS($E$7,"P_BETA_LOCIDX("&amp;$AG134&amp;","&amp;$AL134&amp;",,"""&amp;$E$9&amp;""")")</f>
        <v>1.2676158</v>
      </c>
      <c r="G134" s="30">
        <f t="shared" ca="1" si="18"/>
        <v>8.4954088559277538E-2</v>
      </c>
      <c r="H134" s="30">
        <f t="shared" ca="1" si="18"/>
        <v>9.3353284444151585E-2</v>
      </c>
      <c r="I134" s="30">
        <f t="shared" ca="1" si="18"/>
        <v>0.11143380555611035</v>
      </c>
      <c r="J134" s="30">
        <f t="shared" ca="1" si="18"/>
        <v>2.2445025542099095E-4</v>
      </c>
      <c r="K134" s="30">
        <f t="shared" ca="1" si="19"/>
        <v>8.7131889809383325E-3</v>
      </c>
      <c r="L134" s="30">
        <f t="shared" ca="1" si="19"/>
        <v>-3.2375953838714652E-3</v>
      </c>
      <c r="M134" s="30">
        <f t="shared" ca="1" si="19"/>
        <v>2.1210648260844546E-2</v>
      </c>
      <c r="N134" s="30">
        <f t="shared" ca="1" si="19"/>
        <v>9.7802739768089134E-2</v>
      </c>
      <c r="O134" s="30">
        <f t="shared" ca="1" si="20"/>
        <v>9.3667277540215865E-2</v>
      </c>
      <c r="P134" s="30">
        <f t="shared" ca="1" si="21"/>
        <v>9.0115689060280113E-2</v>
      </c>
      <c r="Q134" s="30">
        <f t="shared" ca="1" si="22"/>
        <v>0.13264445381695489</v>
      </c>
      <c r="R134" s="30">
        <f t="shared" ca="1" si="23"/>
        <v>9.8027190023510125E-2</v>
      </c>
      <c r="S134" s="9" cm="1">
        <f t="array" aca="1" ref="S134" ca="1">_xll.FDS($E$7,"P_PRICE("&amp;AG134&amp;",0,D,D)")</f>
        <v>107.42</v>
      </c>
      <c r="T134" s="9" cm="1">
        <f t="array" aca="1" ref="T134" ca="1">_xll.FDS($E$7,"P_PRICE("&amp;AH134&amp;",0,D,D)")</f>
        <v>98.22</v>
      </c>
      <c r="U134" s="9" cm="1">
        <f t="array" aca="1" ref="U134" ca="1">_xll.FDS($E$7,"P_PRICE("&amp;AI134&amp;",0,D,D)")</f>
        <v>98.54</v>
      </c>
      <c r="V134" s="9" cm="1">
        <f t="array" aca="1" ref="V134" ca="1">_xll.FDS($E$7,"P_PRICE("&amp;AJ134&amp;",0,D,D)")</f>
        <v>94.84</v>
      </c>
      <c r="W134" s="9" cm="1">
        <f t="array" aca="1" ref="W134" ca="1">_xll.FDS($E$7,"P_PRICE("&amp;AK134&amp;",0,D,D)")</f>
        <v>97.83</v>
      </c>
      <c r="X134" s="24">
        <f t="shared" ca="1" si="24"/>
        <v>6.8736828469149192E-3</v>
      </c>
      <c r="Y134" s="24">
        <f t="shared" ca="1" si="25"/>
        <v>-2.5540825413121748E-3</v>
      </c>
      <c r="Z134" s="24">
        <f t="shared" ca="1" si="26"/>
        <v>1.6732710542772145E-2</v>
      </c>
      <c r="AA134" s="24">
        <f t="shared" ca="1" si="27"/>
        <v>7.7154875923832078E-2</v>
      </c>
      <c r="AB134" s="9" cm="1">
        <f t="array" aca="1" ref="AB134" ca="1">_xll.FDS($E$9,"P_PRICE("&amp;AG134&amp;",0,D,D)")</f>
        <v>6373.45</v>
      </c>
      <c r="AC134" s="9" cm="1">
        <f t="array" aca="1" ref="AC134" ca="1">_xll.FDS($E$9,"P_PRICE("&amp;AH134&amp;",0,D,D)")</f>
        <v>6329.94</v>
      </c>
      <c r="AD134" s="9" cm="1">
        <f t="array" aca="1" ref="AD134" ca="1">_xll.FDS($E$9,"P_PRICE("&amp;AI134&amp;",0,D,D)")</f>
        <v>6389.77</v>
      </c>
      <c r="AE134" s="9" cm="1">
        <f t="array" aca="1" ref="AE134" ca="1">_xll.FDS($E$9,"P_PRICE("&amp;AJ134&amp;",0,D,D)")</f>
        <v>6268.56</v>
      </c>
      <c r="AF134" s="9" cm="1">
        <f t="array" aca="1" ref="AF134" ca="1">_xll.FDS($E$9,"P_PRICE("&amp;AK134&amp;",0,D,D)")</f>
        <v>5916.93</v>
      </c>
      <c r="AG134" s="20">
        <f t="shared" ca="1" si="33"/>
        <v>45880</v>
      </c>
      <c r="AH134" s="22">
        <f t="shared" ca="1" si="28"/>
        <v>45873</v>
      </c>
      <c r="AI134" s="22">
        <f t="shared" ca="1" si="29"/>
        <v>45866</v>
      </c>
      <c r="AJ134" s="22">
        <f t="shared" ca="1" si="30"/>
        <v>45852</v>
      </c>
      <c r="AK134" s="22">
        <f t="shared" ca="1" si="31"/>
        <v>45792</v>
      </c>
      <c r="AL134" s="22">
        <f t="shared" ca="1" si="32"/>
        <v>45707</v>
      </c>
    </row>
    <row r="135" spans="4:38" x14ac:dyDescent="0.25">
      <c r="D135" s="6">
        <f ca="1"/>
        <v>45877</v>
      </c>
      <c r="E135" s="28" cm="1">
        <f t="array" aca="1" ref="E135" ca="1">_xll.FDS($E$7,"P_PRICE("&amp;D135&amp;",0,D,D)")</f>
        <v>109.3</v>
      </c>
      <c r="F135" s="29" cm="1">
        <f t="array" aca="1" ref="F135" ca="1">_xll.FDS($E$7,"P_BETA_LOCIDX("&amp;$AG135&amp;","&amp;$AL135&amp;",,"""&amp;$E$9&amp;""")")</f>
        <v>1.2674158</v>
      </c>
      <c r="G135" s="30">
        <f t="shared" ca="1" si="18"/>
        <v>0.11685802837251524</v>
      </c>
      <c r="H135" s="30">
        <f t="shared" ca="1" si="18"/>
        <v>9.2183900702604987E-2</v>
      </c>
      <c r="I135" s="30">
        <f t="shared" ca="1" si="18"/>
        <v>0.12136660107381192</v>
      </c>
      <c r="J135" s="30">
        <f t="shared" ca="1" si="18"/>
        <v>1.4500531541468187E-2</v>
      </c>
      <c r="K135" s="30">
        <f t="shared" ca="1" si="19"/>
        <v>3.0769019086535621E-2</v>
      </c>
      <c r="L135" s="30">
        <f t="shared" ca="1" si="19"/>
        <v>1.6069254144843574E-4</v>
      </c>
      <c r="M135" s="30">
        <f t="shared" ca="1" si="19"/>
        <v>2.6260446385238952E-2</v>
      </c>
      <c r="N135" s="30">
        <f t="shared" ca="1" si="19"/>
        <v>0.1068701466159136</v>
      </c>
      <c r="O135" s="30">
        <f t="shared" ca="1" si="20"/>
        <v>0.14762704745905086</v>
      </c>
      <c r="P135" s="30">
        <f t="shared" ca="1" si="21"/>
        <v>9.2344593244053419E-2</v>
      </c>
      <c r="Q135" s="30">
        <f t="shared" ca="1" si="22"/>
        <v>0.14762704745905086</v>
      </c>
      <c r="R135" s="30">
        <f t="shared" ca="1" si="23"/>
        <v>0.12137067815738178</v>
      </c>
      <c r="S135" s="9" cm="1">
        <f t="array" aca="1" ref="S135" ca="1">_xll.FDS($E$7,"P_PRICE("&amp;AG135&amp;",0,D,D)")</f>
        <v>109.3</v>
      </c>
      <c r="T135" s="9" cm="1">
        <f t="array" aca="1" ref="T135" ca="1">_xll.FDS($E$7,"P_PRICE("&amp;AH135&amp;",0,D,D)")</f>
        <v>95.24</v>
      </c>
      <c r="U135" s="9" cm="1">
        <f t="array" aca="1" ref="U135" ca="1">_xll.FDS($E$7,"P_PRICE("&amp;AI135&amp;",0,D,D)")</f>
        <v>100.06</v>
      </c>
      <c r="V135" s="9" cm="1">
        <f t="array" aca="1" ref="V135" ca="1">_xll.FDS($E$7,"P_PRICE("&amp;AJ135&amp;",0,D,D)")</f>
        <v>95.24</v>
      </c>
      <c r="W135" s="9" cm="1">
        <f t="array" aca="1" ref="W135" ca="1">_xll.FDS($E$7,"P_PRICE("&amp;AK135&amp;",0,D,D)")</f>
        <v>97.47</v>
      </c>
      <c r="X135" s="24">
        <f t="shared" ca="1" si="24"/>
        <v>2.4276972944897501E-2</v>
      </c>
      <c r="Y135" s="24">
        <f t="shared" ca="1" si="25"/>
        <v>1.267875478974112E-4</v>
      </c>
      <c r="Z135" s="24">
        <f t="shared" ca="1" si="26"/>
        <v>2.0719677303406625E-2</v>
      </c>
      <c r="AA135" s="24">
        <f t="shared" ca="1" si="27"/>
        <v>8.4321298989576743E-2</v>
      </c>
      <c r="AB135" s="9" cm="1">
        <f t="array" aca="1" ref="AB135" ca="1">_xll.FDS($E$9,"P_PRICE("&amp;AG135&amp;",0,D,D)")</f>
        <v>6389.45</v>
      </c>
      <c r="AC135" s="9" cm="1">
        <f t="array" aca="1" ref="AC135" ca="1">_xll.FDS($E$9,"P_PRICE("&amp;AH135&amp;",0,D,D)")</f>
        <v>6238.01</v>
      </c>
      <c r="AD135" s="9" cm="1">
        <f t="array" aca="1" ref="AD135" ca="1">_xll.FDS($E$9,"P_PRICE("&amp;AI135&amp;",0,D,D)")</f>
        <v>6388.64</v>
      </c>
      <c r="AE135" s="9" cm="1">
        <f t="array" aca="1" ref="AE135" ca="1">_xll.FDS($E$9,"P_PRICE("&amp;AJ135&amp;",0,D,D)")</f>
        <v>6259.75</v>
      </c>
      <c r="AF135" s="9" cm="1">
        <f t="array" aca="1" ref="AF135" ca="1">_xll.FDS($E$9,"P_PRICE("&amp;AK135&amp;",0,D,D)")</f>
        <v>5892.58</v>
      </c>
      <c r="AG135" s="20">
        <f t="shared" ca="1" si="33"/>
        <v>45877</v>
      </c>
      <c r="AH135" s="22">
        <f t="shared" ca="1" si="28"/>
        <v>45870</v>
      </c>
      <c r="AI135" s="22">
        <f t="shared" ca="1" si="29"/>
        <v>45863</v>
      </c>
      <c r="AJ135" s="22">
        <f t="shared" ca="1" si="30"/>
        <v>45849</v>
      </c>
      <c r="AK135" s="22">
        <f t="shared" ca="1" si="31"/>
        <v>45791</v>
      </c>
      <c r="AL135" s="22">
        <f t="shared" ca="1" si="32"/>
        <v>45706</v>
      </c>
    </row>
    <row r="136" spans="4:38" x14ac:dyDescent="0.25">
      <c r="D136" s="6">
        <f ca="1"/>
        <v>45876</v>
      </c>
      <c r="E136" s="28" cm="1">
        <f t="array" aca="1" ref="E136" ca="1">_xll.FDS($E$7,"P_PRICE("&amp;D136&amp;",0,D,D)")</f>
        <v>106.92</v>
      </c>
      <c r="F136" s="29" cm="1">
        <f t="array" aca="1" ref="F136" ca="1">_xll.FDS($E$7,"P_BETA_LOCIDX("&amp;$AG136&amp;","&amp;$AL136&amp;",,"""&amp;$E$9&amp;""")")</f>
        <v>1.2637830000000001</v>
      </c>
      <c r="G136" s="30">
        <f t="shared" ca="1" si="18"/>
        <v>0.12004602106619328</v>
      </c>
      <c r="H136" s="30">
        <f t="shared" ca="1" si="18"/>
        <v>0.10497700058143544</v>
      </c>
      <c r="I136" s="30">
        <f t="shared" ca="1" si="18"/>
        <v>0.1030467236352106</v>
      </c>
      <c r="J136" s="30">
        <f t="shared" ca="1" si="18"/>
        <v>-8.109094395538724E-3</v>
      </c>
      <c r="K136" s="30">
        <f t="shared" ca="1" si="19"/>
        <v>1.2160596366533831E-4</v>
      </c>
      <c r="L136" s="30">
        <f t="shared" ca="1" si="19"/>
        <v>-4.6373895903888381E-3</v>
      </c>
      <c r="M136" s="30">
        <f t="shared" ca="1" si="19"/>
        <v>1.198091219751431E-2</v>
      </c>
      <c r="N136" s="30">
        <f t="shared" ca="1" si="19"/>
        <v>9.7351148185269881E-2</v>
      </c>
      <c r="O136" s="30">
        <f t="shared" ca="1" si="20"/>
        <v>0.12016762702985861</v>
      </c>
      <c r="P136" s="30">
        <f t="shared" ca="1" si="21"/>
        <v>0.1003396109910466</v>
      </c>
      <c r="Q136" s="30">
        <f t="shared" ca="1" si="22"/>
        <v>0.11502763583272491</v>
      </c>
      <c r="R136" s="30">
        <f t="shared" ca="1" si="23"/>
        <v>8.9242053789731157E-2</v>
      </c>
      <c r="S136" s="9" cm="1">
        <f t="array" aca="1" ref="S136" ca="1">_xll.FDS($E$7,"P_PRICE("&amp;AG136&amp;",0,D,D)")</f>
        <v>106.92</v>
      </c>
      <c r="T136" s="9" cm="1">
        <f t="array" aca="1" ref="T136" ca="1">_xll.FDS($E$7,"P_PRICE("&amp;AH136&amp;",0,D,D)")</f>
        <v>95.45</v>
      </c>
      <c r="U136" s="9" cm="1">
        <f t="array" aca="1" ref="U136" ca="1">_xll.FDS($E$7,"P_PRICE("&amp;AI136&amp;",0,D,D)")</f>
        <v>97.17</v>
      </c>
      <c r="V136" s="9" cm="1">
        <f t="array" aca="1" ref="V136" ca="1">_xll.FDS($E$7,"P_PRICE("&amp;AJ136&amp;",0,D,D)")</f>
        <v>95.89</v>
      </c>
      <c r="W136" s="9" cm="1">
        <f t="array" aca="1" ref="W136" ca="1">_xll.FDS($E$7,"P_PRICE("&amp;AK136&amp;",0,D,D)")</f>
        <v>98.16</v>
      </c>
      <c r="X136" s="24">
        <f t="shared" ca="1" si="24"/>
        <v>9.6223769163961137E-5</v>
      </c>
      <c r="Y136" s="24">
        <f t="shared" ca="1" si="25"/>
        <v>-3.6694508395735959E-3</v>
      </c>
      <c r="Z136" s="24">
        <f t="shared" ca="1" si="26"/>
        <v>9.4801973103881831E-3</v>
      </c>
      <c r="AA136" s="24">
        <f t="shared" ca="1" si="27"/>
        <v>7.7031537997638733E-2</v>
      </c>
      <c r="AB136" s="9" cm="1">
        <f t="array" aca="1" ref="AB136" ca="1">_xll.FDS($E$9,"P_PRICE("&amp;AG136&amp;",0,D,D)")</f>
        <v>6340</v>
      </c>
      <c r="AC136" s="9" cm="1">
        <f t="array" aca="1" ref="AC136" ca="1">_xll.FDS($E$9,"P_PRICE("&amp;AH136&amp;",0,D,D)")</f>
        <v>6339.39</v>
      </c>
      <c r="AD136" s="9" cm="1">
        <f t="array" aca="1" ref="AD136" ca="1">_xll.FDS($E$9,"P_PRICE("&amp;AI136&amp;",0,D,D)")</f>
        <v>6363.35</v>
      </c>
      <c r="AE136" s="9" cm="1">
        <f t="array" aca="1" ref="AE136" ca="1">_xll.FDS($E$9,"P_PRICE("&amp;AJ136&amp;",0,D,D)")</f>
        <v>6280.46</v>
      </c>
      <c r="AF136" s="9" cm="1">
        <f t="array" aca="1" ref="AF136" ca="1">_xll.FDS($E$9,"P_PRICE("&amp;AK136&amp;",0,D,D)")</f>
        <v>5886.55</v>
      </c>
      <c r="AG136" s="20">
        <f t="shared" ca="1" si="33"/>
        <v>45876</v>
      </c>
      <c r="AH136" s="22">
        <f t="shared" ca="1" si="28"/>
        <v>45869</v>
      </c>
      <c r="AI136" s="22">
        <f t="shared" ca="1" si="29"/>
        <v>45862</v>
      </c>
      <c r="AJ136" s="22">
        <f t="shared" ca="1" si="30"/>
        <v>45848</v>
      </c>
      <c r="AK136" s="22">
        <f t="shared" ca="1" si="31"/>
        <v>45790</v>
      </c>
      <c r="AL136" s="22">
        <f t="shared" ca="1" si="32"/>
        <v>45702</v>
      </c>
    </row>
    <row r="137" spans="4:38" x14ac:dyDescent="0.25">
      <c r="D137" s="6">
        <f ca="1"/>
        <v>45875</v>
      </c>
      <c r="E137" s="28" cm="1">
        <f t="array" aca="1" ref="E137" ca="1">_xll.FDS($E$7,"P_PRICE("&amp;D137&amp;",0,D,D)")</f>
        <v>97.6</v>
      </c>
      <c r="F137" s="29" cm="1">
        <f t="array" aca="1" ref="F137" ca="1">_xll.FDS($E$7,"P_BETA_LOCIDX("&amp;$AG137&amp;","&amp;$AL137&amp;",,"""&amp;$E$9&amp;""")")</f>
        <v>1.2714415999999999</v>
      </c>
      <c r="G137" s="30">
        <f t="shared" ca="1" si="18"/>
        <v>1.4754199007412271E-2</v>
      </c>
      <c r="H137" s="30">
        <f t="shared" ca="1" si="18"/>
        <v>1.0721339559703055E-2</v>
      </c>
      <c r="I137" s="30">
        <f t="shared" ca="1" si="18"/>
        <v>-4.8919115913057323E-3</v>
      </c>
      <c r="J137" s="30">
        <f t="shared" ca="1" si="18"/>
        <v>-0.12041288688409024</v>
      </c>
      <c r="K137" s="30">
        <f t="shared" ca="1" si="19"/>
        <v>-3.5648082075781071E-3</v>
      </c>
      <c r="L137" s="30">
        <f t="shared" ca="1" si="19"/>
        <v>-2.7692585930605934E-3</v>
      </c>
      <c r="M137" s="30">
        <f t="shared" ca="1" si="19"/>
        <v>1.660539764914757E-2</v>
      </c>
      <c r="N137" s="30">
        <f t="shared" ca="1" si="19"/>
        <v>0.10896753086261746</v>
      </c>
      <c r="O137" s="30">
        <f t="shared" ca="1" si="20"/>
        <v>1.1189390799834165E-2</v>
      </c>
      <c r="P137" s="30">
        <f t="shared" ca="1" si="21"/>
        <v>7.9520809666424608E-3</v>
      </c>
      <c r="Q137" s="30">
        <f t="shared" ca="1" si="22"/>
        <v>1.1713486057841838E-2</v>
      </c>
      <c r="R137" s="30">
        <f t="shared" ca="1" si="23"/>
        <v>-1.1445356021472786E-2</v>
      </c>
      <c r="S137" s="9" cm="1">
        <f t="array" aca="1" ref="S137" ca="1">_xll.FDS($E$7,"P_PRICE("&amp;AG137&amp;",0,D,D)")</f>
        <v>97.6</v>
      </c>
      <c r="T137" s="9" cm="1">
        <f t="array" aca="1" ref="T137" ca="1">_xll.FDS($E$7,"P_PRICE("&amp;AH137&amp;",0,D,D)")</f>
        <v>96.52</v>
      </c>
      <c r="U137" s="9" cm="1">
        <f t="array" aca="1" ref="U137" ca="1">_xll.FDS($E$7,"P_PRICE("&amp;AI137&amp;",0,D,D)")</f>
        <v>96.83</v>
      </c>
      <c r="V137" s="9" cm="1">
        <f t="array" aca="1" ref="V137" ca="1">_xll.FDS($E$7,"P_PRICE("&amp;AJ137&amp;",0,D,D)")</f>
        <v>96.47</v>
      </c>
      <c r="W137" s="9" cm="1">
        <f t="array" aca="1" ref="W137" ca="1">_xll.FDS($E$7,"P_PRICE("&amp;AK137&amp;",0,D,D)")</f>
        <v>98.73</v>
      </c>
      <c r="X137" s="24">
        <f t="shared" ca="1" si="24"/>
        <v>-2.8037530057047899E-3</v>
      </c>
      <c r="Y137" s="24">
        <f t="shared" ca="1" si="25"/>
        <v>-2.178046237483966E-3</v>
      </c>
      <c r="Z137" s="24">
        <f t="shared" ca="1" si="26"/>
        <v>1.3060291286007608E-2</v>
      </c>
      <c r="AA137" s="24">
        <f t="shared" ca="1" si="27"/>
        <v>8.5703921330415378E-2</v>
      </c>
      <c r="AB137" s="9" cm="1">
        <f t="array" aca="1" ref="AB137" ca="1">_xll.FDS($E$9,"P_PRICE("&amp;AG137&amp;",0,D,D)")</f>
        <v>6345.06</v>
      </c>
      <c r="AC137" s="9" cm="1">
        <f t="array" aca="1" ref="AC137" ca="1">_xll.FDS($E$9,"P_PRICE("&amp;AH137&amp;",0,D,D)")</f>
        <v>6362.9</v>
      </c>
      <c r="AD137" s="9" cm="1">
        <f t="array" aca="1" ref="AD137" ca="1">_xll.FDS($E$9,"P_PRICE("&amp;AI137&amp;",0,D,D)")</f>
        <v>6358.91</v>
      </c>
      <c r="AE137" s="9" cm="1">
        <f t="array" aca="1" ref="AE137" ca="1">_xll.FDS($E$9,"P_PRICE("&amp;AJ137&amp;",0,D,D)")</f>
        <v>6263.26</v>
      </c>
      <c r="AF137" s="9" cm="1">
        <f t="array" aca="1" ref="AF137" ca="1">_xll.FDS($E$9,"P_PRICE("&amp;AK137&amp;",0,D,D)")</f>
        <v>5844.19</v>
      </c>
      <c r="AG137" s="20">
        <f t="shared" ca="1" si="33"/>
        <v>45875</v>
      </c>
      <c r="AH137" s="22">
        <f t="shared" ca="1" si="28"/>
        <v>45868</v>
      </c>
      <c r="AI137" s="22">
        <f t="shared" ca="1" si="29"/>
        <v>45861</v>
      </c>
      <c r="AJ137" s="22">
        <f t="shared" ca="1" si="30"/>
        <v>45847</v>
      </c>
      <c r="AK137" s="22">
        <f t="shared" ca="1" si="31"/>
        <v>45789</v>
      </c>
      <c r="AL137" s="22">
        <f t="shared" ca="1" si="32"/>
        <v>45701</v>
      </c>
    </row>
    <row r="138" spans="4:38" x14ac:dyDescent="0.25">
      <c r="D138" s="6">
        <f ca="1"/>
        <v>45874</v>
      </c>
      <c r="E138" s="28" cm="1">
        <f t="array" aca="1" ref="E138" ca="1">_xll.FDS($E$7,"P_PRICE("&amp;D138&amp;",0,D,D)")</f>
        <v>97.95</v>
      </c>
      <c r="F138" s="29" cm="1">
        <f t="array" aca="1" ref="F138" ca="1">_xll.FDS($E$7,"P_BETA_LOCIDX("&amp;$AG138&amp;","&amp;$AL138&amp;",,"""&amp;$E$9&amp;""")")</f>
        <v>1.2725192000000001</v>
      </c>
      <c r="G138" s="30">
        <f t="shared" ca="1" si="18"/>
        <v>2.1616928571667401E-2</v>
      </c>
      <c r="H138" s="30">
        <f t="shared" ca="1" si="18"/>
        <v>2.7328550832190046E-2</v>
      </c>
      <c r="I138" s="30">
        <f t="shared" ca="1" si="18"/>
        <v>1.9806874055130378E-2</v>
      </c>
      <c r="J138" s="30">
        <f t="shared" ca="1" si="18"/>
        <v>-0.10820778169644568</v>
      </c>
      <c r="K138" s="30">
        <f t="shared" ca="1" si="19"/>
        <v>-1.4315406564262986E-2</v>
      </c>
      <c r="L138" s="30">
        <f t="shared" ca="1" si="19"/>
        <v>-2.1035141983193912E-3</v>
      </c>
      <c r="M138" s="30">
        <f t="shared" ca="1" si="19"/>
        <v>1.5058419130289488E-2</v>
      </c>
      <c r="N138" s="30">
        <f t="shared" ca="1" si="19"/>
        <v>0.1437295070373909</v>
      </c>
      <c r="O138" s="30">
        <f t="shared" ca="1" si="20"/>
        <v>7.3015220074044151E-3</v>
      </c>
      <c r="P138" s="30">
        <f t="shared" ca="1" si="21"/>
        <v>2.5225036633870657E-2</v>
      </c>
      <c r="Q138" s="30">
        <f t="shared" ca="1" si="22"/>
        <v>3.4865293185419866E-2</v>
      </c>
      <c r="R138" s="30">
        <f t="shared" ca="1" si="23"/>
        <v>3.552172534094522E-2</v>
      </c>
      <c r="S138" s="9" cm="1">
        <f t="array" aca="1" ref="S138" ca="1">_xll.FDS($E$7,"P_PRICE("&amp;AG138&amp;",0,D,D)")</f>
        <v>97.95</v>
      </c>
      <c r="T138" s="9" cm="1">
        <f t="array" aca="1" ref="T138" ca="1">_xll.FDS($E$7,"P_PRICE("&amp;AH138&amp;",0,D,D)")</f>
        <v>97.24</v>
      </c>
      <c r="U138" s="9" cm="1">
        <f t="array" aca="1" ref="U138" ca="1">_xll.FDS($E$7,"P_PRICE("&amp;AI138&amp;",0,D,D)")</f>
        <v>95.54</v>
      </c>
      <c r="V138" s="9" cm="1">
        <f t="array" aca="1" ref="V138" ca="1">_xll.FDS($E$7,"P_PRICE("&amp;AJ138&amp;",0,D,D)")</f>
        <v>94.65</v>
      </c>
      <c r="W138" s="9" cm="1">
        <f t="array" aca="1" ref="W138" ca="1">_xll.FDS($E$7,"P_PRICE("&amp;AK138&amp;",0,D,D)")</f>
        <v>94.59</v>
      </c>
      <c r="X138" s="24">
        <f t="shared" ca="1" si="24"/>
        <v>-1.1249658601821477E-2</v>
      </c>
      <c r="Y138" s="24">
        <f t="shared" ca="1" si="25"/>
        <v>-1.653031402842009E-3</v>
      </c>
      <c r="Z138" s="24">
        <f t="shared" ca="1" si="26"/>
        <v>1.1833549647258357E-2</v>
      </c>
      <c r="AA138" s="24">
        <f t="shared" ca="1" si="27"/>
        <v>0.11294879247196499</v>
      </c>
      <c r="AB138" s="9" cm="1">
        <f t="array" aca="1" ref="AB138" ca="1">_xll.FDS($E$9,"P_PRICE("&amp;AG138&amp;",0,D,D)")</f>
        <v>6299.19</v>
      </c>
      <c r="AC138" s="9" cm="1">
        <f t="array" aca="1" ref="AC138" ca="1">_xll.FDS($E$9,"P_PRICE("&amp;AH138&amp;",0,D,D)")</f>
        <v>6370.86</v>
      </c>
      <c r="AD138" s="9" cm="1">
        <f t="array" aca="1" ref="AD138" ca="1">_xll.FDS($E$9,"P_PRICE("&amp;AI138&amp;",0,D,D)")</f>
        <v>6309.62</v>
      </c>
      <c r="AE138" s="9" cm="1">
        <f t="array" aca="1" ref="AE138" ca="1">_xll.FDS($E$9,"P_PRICE("&amp;AJ138&amp;",0,D,D)")</f>
        <v>6225.52</v>
      </c>
      <c r="AF138" s="9" cm="1">
        <f t="array" aca="1" ref="AF138" ca="1">_xll.FDS($E$9,"P_PRICE("&amp;AK138&amp;",0,D,D)")</f>
        <v>5659.91</v>
      </c>
      <c r="AG138" s="20">
        <f t="shared" ca="1" si="33"/>
        <v>45874</v>
      </c>
      <c r="AH138" s="22">
        <f t="shared" ca="1" si="28"/>
        <v>45867</v>
      </c>
      <c r="AI138" s="22">
        <f t="shared" ca="1" si="29"/>
        <v>45860</v>
      </c>
      <c r="AJ138" s="22">
        <f t="shared" ca="1" si="30"/>
        <v>45846</v>
      </c>
      <c r="AK138" s="22">
        <f t="shared" ca="1" si="31"/>
        <v>45786</v>
      </c>
      <c r="AL138" s="22">
        <f t="shared" ca="1" si="32"/>
        <v>45700</v>
      </c>
    </row>
    <row r="139" spans="4:38" x14ac:dyDescent="0.25">
      <c r="D139" s="6">
        <f ca="1"/>
        <v>45873</v>
      </c>
      <c r="E139" s="28" cm="1">
        <f t="array" aca="1" ref="E139" ca="1">_xll.FDS($E$7,"P_PRICE("&amp;D139&amp;",0,D,D)")</f>
        <v>98.22</v>
      </c>
      <c r="F139" s="29" cm="1">
        <f t="array" aca="1" ref="F139" ca="1">_xll.FDS($E$7,"P_BETA_LOCIDX("&amp;$AG139&amp;","&amp;$AL139&amp;",,"""&amp;$E$9&amp;""")")</f>
        <v>1.2732589000000001</v>
      </c>
      <c r="G139" s="30">
        <f t="shared" ca="1" si="18"/>
        <v>8.6746256620048451E-3</v>
      </c>
      <c r="H139" s="30">
        <f t="shared" ca="1" si="18"/>
        <v>3.7207159021881792E-2</v>
      </c>
      <c r="I139" s="30">
        <f t="shared" ca="1" si="18"/>
        <v>2.0698402385501854E-2</v>
      </c>
      <c r="J139" s="30">
        <f t="shared" ca="1" si="18"/>
        <v>-0.10415641365545494</v>
      </c>
      <c r="K139" s="30">
        <f t="shared" ca="1" si="19"/>
        <v>-1.192203788039338E-2</v>
      </c>
      <c r="L139" s="30">
        <f t="shared" ca="1" si="19"/>
        <v>4.9148568932376423E-3</v>
      </c>
      <c r="M139" s="30">
        <f t="shared" ca="1" si="19"/>
        <v>2.0429433103156095E-2</v>
      </c>
      <c r="N139" s="30">
        <f t="shared" ca="1" si="19"/>
        <v>0.14971741003612341</v>
      </c>
      <c r="O139" s="30">
        <f t="shared" ca="1" si="20"/>
        <v>-3.2474122183885346E-3</v>
      </c>
      <c r="P139" s="30">
        <f t="shared" ca="1" si="21"/>
        <v>4.2122015915119437E-2</v>
      </c>
      <c r="Q139" s="30">
        <f t="shared" ca="1" si="22"/>
        <v>4.1127835488657949E-2</v>
      </c>
      <c r="R139" s="30">
        <f t="shared" ca="1" si="23"/>
        <v>4.5560996380668461E-2</v>
      </c>
      <c r="S139" s="9" cm="1">
        <f t="array" aca="1" ref="S139" ca="1">_xll.FDS($E$7,"P_PRICE("&amp;AG139&amp;",0,D,D)")</f>
        <v>98.22</v>
      </c>
      <c r="T139" s="9" cm="1">
        <f t="array" aca="1" ref="T139" ca="1">_xll.FDS($E$7,"P_PRICE("&amp;AH139&amp;",0,D,D)")</f>
        <v>98.54</v>
      </c>
      <c r="U139" s="9" cm="1">
        <f t="array" aca="1" ref="U139" ca="1">_xll.FDS($E$7,"P_PRICE("&amp;AI139&amp;",0,D,D)")</f>
        <v>94.25</v>
      </c>
      <c r="V139" s="9" cm="1">
        <f t="array" aca="1" ref="V139" ca="1">_xll.FDS($E$7,"P_PRICE("&amp;AJ139&amp;",0,D,D)")</f>
        <v>94.34</v>
      </c>
      <c r="W139" s="9" cm="1">
        <f t="array" aca="1" ref="W139" ca="1">_xll.FDS($E$7,"P_PRICE("&amp;AK139&amp;",0,D,D)")</f>
        <v>93.94</v>
      </c>
      <c r="X139" s="24">
        <f t="shared" ca="1" si="24"/>
        <v>-9.3634043165874425E-3</v>
      </c>
      <c r="Y139" s="24">
        <f t="shared" ca="1" si="25"/>
        <v>3.8600608982490847E-3</v>
      </c>
      <c r="Z139" s="24">
        <f t="shared" ca="1" si="26"/>
        <v>1.6044995329038025E-2</v>
      </c>
      <c r="AA139" s="24">
        <f t="shared" ca="1" si="27"/>
        <v>0.11758599137702741</v>
      </c>
      <c r="AB139" s="9" cm="1">
        <f t="array" aca="1" ref="AB139" ca="1">_xll.FDS($E$9,"P_PRICE("&amp;AG139&amp;",0,D,D)")</f>
        <v>6329.94</v>
      </c>
      <c r="AC139" s="9" cm="1">
        <f t="array" aca="1" ref="AC139" ca="1">_xll.FDS($E$9,"P_PRICE("&amp;AH139&amp;",0,D,D)")</f>
        <v>6389.77</v>
      </c>
      <c r="AD139" s="9" cm="1">
        <f t="array" aca="1" ref="AD139" ca="1">_xll.FDS($E$9,"P_PRICE("&amp;AI139&amp;",0,D,D)")</f>
        <v>6305.6</v>
      </c>
      <c r="AE139" s="9" cm="1">
        <f t="array" aca="1" ref="AE139" ca="1">_xll.FDS($E$9,"P_PRICE("&amp;AJ139&amp;",0,D,D)")</f>
        <v>6229.98</v>
      </c>
      <c r="AF139" s="9" cm="1">
        <f t="array" aca="1" ref="AF139" ca="1">_xll.FDS($E$9,"P_PRICE("&amp;AK139&amp;",0,D,D)")</f>
        <v>5663.94</v>
      </c>
      <c r="AG139" s="20">
        <f t="shared" ca="1" si="33"/>
        <v>45873</v>
      </c>
      <c r="AH139" s="22">
        <f t="shared" ca="1" si="28"/>
        <v>45866</v>
      </c>
      <c r="AI139" s="22">
        <f t="shared" ca="1" si="29"/>
        <v>45859</v>
      </c>
      <c r="AJ139" s="22">
        <f t="shared" ca="1" si="30"/>
        <v>45845</v>
      </c>
      <c r="AK139" s="22">
        <f t="shared" ca="1" si="31"/>
        <v>45785</v>
      </c>
      <c r="AL139" s="22">
        <f t="shared" ca="1" si="32"/>
        <v>45699</v>
      </c>
    </row>
    <row r="140" spans="4:38" x14ac:dyDescent="0.25">
      <c r="D140" s="6">
        <f ca="1"/>
        <v>45870</v>
      </c>
      <c r="E140" s="28" cm="1">
        <f t="array" aca="1" ref="E140" ca="1">_xll.FDS($E$7,"P_PRICE("&amp;D140&amp;",0,D,D)")</f>
        <v>95.24</v>
      </c>
      <c r="F140" s="29" cm="1">
        <f t="array" aca="1" ref="F140" ca="1">_xll.FDS($E$7,"P_BETA_LOCIDX("&amp;$AG140&amp;","&amp;$AL140&amp;",,"""&amp;$E$9&amp;""")")</f>
        <v>1.2618697999999999</v>
      </c>
      <c r="G140" s="30">
        <f t="shared" ca="1" si="18"/>
        <v>-1.8418998620427524E-2</v>
      </c>
      <c r="H140" s="30">
        <f t="shared" ca="1" si="18"/>
        <v>2.4324631364881152E-2</v>
      </c>
      <c r="I140" s="30" t="e">
        <f t="shared" ca="1" si="18"/>
        <v>#VALUE!</v>
      </c>
      <c r="J140" s="30">
        <f t="shared" ca="1" si="18"/>
        <v>-9.8710626353788244E-2</v>
      </c>
      <c r="K140" s="30">
        <f t="shared" ca="1" si="19"/>
        <v>-2.9752098721167557E-2</v>
      </c>
      <c r="L140" s="30">
        <f t="shared" ca="1" si="19"/>
        <v>-1.1779447439727128E-2</v>
      </c>
      <c r="M140" s="30" t="e">
        <f t="shared" ca="1" si="19"/>
        <v>#VALUE!</v>
      </c>
      <c r="N140" s="30">
        <f t="shared" ca="1" si="19"/>
        <v>0.13595741354612101</v>
      </c>
      <c r="O140" s="30">
        <f t="shared" ca="1" si="20"/>
        <v>-4.8171097341595082E-2</v>
      </c>
      <c r="P140" s="30">
        <f t="shared" ca="1" si="21"/>
        <v>1.2545183925154024E-2</v>
      </c>
      <c r="Q140" s="30" t="e">
        <f t="shared" ca="1" si="22"/>
        <v>#VALUE!</v>
      </c>
      <c r="R140" s="30">
        <f t="shared" ca="1" si="23"/>
        <v>3.7246787192332764E-2</v>
      </c>
      <c r="S140" s="9" cm="1">
        <f t="array" aca="1" ref="S140" ca="1">_xll.FDS($E$7,"P_PRICE("&amp;AG140&amp;",0,D,D)")</f>
        <v>95.24</v>
      </c>
      <c r="T140" s="9" cm="1">
        <f t="array" aca="1" ref="T140" ca="1">_xll.FDS($E$7,"P_PRICE("&amp;AH140&amp;",0,D,D)")</f>
        <v>100.06</v>
      </c>
      <c r="U140" s="9" cm="1">
        <f t="array" aca="1" ref="U140" ca="1">_xll.FDS($E$7,"P_PRICE("&amp;AI140&amp;",0,D,D)")</f>
        <v>94.06</v>
      </c>
      <c r="V140" s="9" t="str" cm="1">
        <f t="array" aca="1" ref="V140" ca="1">_xll.FDS($E$7,"P_PRICE("&amp;AJ140&amp;",0,D,D)")</f>
        <v>#N/A N/A</v>
      </c>
      <c r="W140" s="9" cm="1">
        <f t="array" aca="1" ref="W140" ca="1">_xll.FDS($E$7,"P_PRICE("&amp;AK140&amp;",0,D,D)")</f>
        <v>91.82</v>
      </c>
      <c r="X140" s="24">
        <f t="shared" ca="1" si="24"/>
        <v>-2.3577788073831041E-2</v>
      </c>
      <c r="Y140" s="24">
        <f t="shared" ca="1" si="25"/>
        <v>-9.3349150916577361E-3</v>
      </c>
      <c r="Z140" s="24" t="e">
        <f t="shared" ca="1" si="26"/>
        <v>#VALUE!</v>
      </c>
      <c r="AA140" s="24">
        <f t="shared" ca="1" si="27"/>
        <v>0.10774282223579723</v>
      </c>
      <c r="AB140" s="9" cm="1">
        <f t="array" aca="1" ref="AB140" ca="1">_xll.FDS($E$9,"P_PRICE("&amp;AG140&amp;",0,D,D)")</f>
        <v>6238.01</v>
      </c>
      <c r="AC140" s="9" cm="1">
        <f t="array" aca="1" ref="AC140" ca="1">_xll.FDS($E$9,"P_PRICE("&amp;AH140&amp;",0,D,D)")</f>
        <v>6388.64</v>
      </c>
      <c r="AD140" s="9" cm="1">
        <f t="array" aca="1" ref="AD140" ca="1">_xll.FDS($E$9,"P_PRICE("&amp;AI140&amp;",0,D,D)")</f>
        <v>6296.79</v>
      </c>
      <c r="AE140" s="9" t="str" cm="1">
        <f t="array" aca="1" ref="AE140" ca="1">_xll.FDS($E$9,"P_PRICE("&amp;AJ140&amp;",0,D,D)")</f>
        <v>#N/A N/A</v>
      </c>
      <c r="AF140" s="9" cm="1">
        <f t="array" aca="1" ref="AF140" ca="1">_xll.FDS($E$9,"P_PRICE("&amp;AK140&amp;",0,D,D)")</f>
        <v>5631.28</v>
      </c>
      <c r="AG140" s="20">
        <f t="shared" ca="1" si="33"/>
        <v>45870</v>
      </c>
      <c r="AH140" s="22">
        <f t="shared" ca="1" si="28"/>
        <v>45863</v>
      </c>
      <c r="AI140" s="22">
        <f t="shared" ca="1" si="29"/>
        <v>45856</v>
      </c>
      <c r="AJ140" s="22">
        <f t="shared" ca="1" si="30"/>
        <v>45842</v>
      </c>
      <c r="AK140" s="22">
        <f t="shared" ca="1" si="31"/>
        <v>45784</v>
      </c>
      <c r="AL140" s="22">
        <f t="shared" ca="1" si="32"/>
        <v>45698</v>
      </c>
    </row>
    <row r="141" spans="4:38" x14ac:dyDescent="0.25">
      <c r="D141" s="6">
        <f ca="1"/>
        <v>45869</v>
      </c>
      <c r="E141" s="28" cm="1">
        <f t="array" aca="1" ref="E141" ca="1">_xll.FDS($E$7,"P_PRICE("&amp;D141&amp;",0,D,D)")</f>
        <v>95.45</v>
      </c>
      <c r="F141" s="29" cm="1">
        <f t="array" aca="1" ref="F141" ca="1">_xll.FDS($E$7,"P_BETA_LOCIDX("&amp;$AG141&amp;","&amp;$AL141&amp;",,"""&amp;$E$9&amp;""")")</f>
        <v>1.2748377</v>
      </c>
      <c r="G141" s="30">
        <f t="shared" ca="1" si="18"/>
        <v>-1.2900774435571536E-2</v>
      </c>
      <c r="H141" s="30">
        <f t="shared" ca="1" si="18"/>
        <v>1.8498116825448125E-2</v>
      </c>
      <c r="I141" s="30">
        <f t="shared" ca="1" si="18"/>
        <v>-6.8175458712488399E-3</v>
      </c>
      <c r="J141" s="30">
        <f t="shared" ca="1" si="18"/>
        <v>-0.15057732933298806</v>
      </c>
      <c r="K141" s="30">
        <f t="shared" ca="1" si="19"/>
        <v>-4.800162067464411E-3</v>
      </c>
      <c r="L141" s="30">
        <f t="shared" ca="1" si="19"/>
        <v>8.5085541450704398E-3</v>
      </c>
      <c r="M141" s="30">
        <f t="shared" ca="1" si="19"/>
        <v>1.2189359648371209E-2</v>
      </c>
      <c r="N141" s="30">
        <f t="shared" ca="1" si="19"/>
        <v>0.16654326866241853</v>
      </c>
      <c r="O141" s="30">
        <f t="shared" ca="1" si="20"/>
        <v>-1.7700936503035947E-2</v>
      </c>
      <c r="P141" s="30">
        <f t="shared" ca="1" si="21"/>
        <v>2.7006670970518565E-2</v>
      </c>
      <c r="Q141" s="30">
        <f t="shared" ca="1" si="22"/>
        <v>5.3718137771223695E-3</v>
      </c>
      <c r="R141" s="30">
        <f t="shared" ca="1" si="23"/>
        <v>1.5965939329430467E-2</v>
      </c>
      <c r="S141" s="9" cm="1">
        <f t="array" aca="1" ref="S141" ca="1">_xll.FDS($E$7,"P_PRICE("&amp;AG141&amp;",0,D,D)")</f>
        <v>95.45</v>
      </c>
      <c r="T141" s="9" cm="1">
        <f t="array" aca="1" ref="T141" ca="1">_xll.FDS($E$7,"P_PRICE("&amp;AH141&amp;",0,D,D)")</f>
        <v>97.17</v>
      </c>
      <c r="U141" s="9" cm="1">
        <f t="array" aca="1" ref="U141" ca="1">_xll.FDS($E$7,"P_PRICE("&amp;AI141&amp;",0,D,D)")</f>
        <v>92.94</v>
      </c>
      <c r="V141" s="9" cm="1">
        <f t="array" aca="1" ref="V141" ca="1">_xll.FDS($E$7,"P_PRICE("&amp;AJ141&amp;",0,D,D)")</f>
        <v>94.94</v>
      </c>
      <c r="W141" s="9" cm="1">
        <f t="array" aca="1" ref="W141" ca="1">_xll.FDS($E$7,"P_PRICE("&amp;AK141&amp;",0,D,D)")</f>
        <v>93.95</v>
      </c>
      <c r="X141" s="24">
        <f t="shared" ca="1" si="24"/>
        <v>-3.7653122961961438E-3</v>
      </c>
      <c r="Y141" s="24">
        <f t="shared" ca="1" si="25"/>
        <v>6.674225389687205E-3</v>
      </c>
      <c r="Z141" s="24">
        <f t="shared" ca="1" si="26"/>
        <v>9.5614991997579057E-3</v>
      </c>
      <c r="AA141" s="24">
        <f t="shared" ca="1" si="27"/>
        <v>0.13063880105084635</v>
      </c>
      <c r="AB141" s="9" cm="1">
        <f t="array" aca="1" ref="AB141" ca="1">_xll.FDS($E$9,"P_PRICE("&amp;AG141&amp;",0,D,D)")</f>
        <v>6339.39</v>
      </c>
      <c r="AC141" s="9" cm="1">
        <f t="array" aca="1" ref="AC141" ca="1">_xll.FDS($E$9,"P_PRICE("&amp;AH141&amp;",0,D,D)")</f>
        <v>6363.35</v>
      </c>
      <c r="AD141" s="9" cm="1">
        <f t="array" aca="1" ref="AD141" ca="1">_xll.FDS($E$9,"P_PRICE("&amp;AI141&amp;",0,D,D)")</f>
        <v>6297.36</v>
      </c>
      <c r="AE141" s="9" cm="1">
        <f t="array" aca="1" ref="AE141" ca="1">_xll.FDS($E$9,"P_PRICE("&amp;AJ141&amp;",0,D,D)")</f>
        <v>6279.35</v>
      </c>
      <c r="AF141" s="9" cm="1">
        <f t="array" aca="1" ref="AF141" ca="1">_xll.FDS($E$9,"P_PRICE("&amp;AK141&amp;",0,D,D)")</f>
        <v>5606.91</v>
      </c>
      <c r="AG141" s="20">
        <f t="shared" ca="1" si="33"/>
        <v>45869</v>
      </c>
      <c r="AH141" s="22">
        <f t="shared" ca="1" si="28"/>
        <v>45862</v>
      </c>
      <c r="AI141" s="22">
        <f t="shared" ca="1" si="29"/>
        <v>45855</v>
      </c>
      <c r="AJ141" s="22">
        <f t="shared" ca="1" si="30"/>
        <v>45841</v>
      </c>
      <c r="AK141" s="22">
        <f t="shared" ca="1" si="31"/>
        <v>45783</v>
      </c>
      <c r="AL141" s="22">
        <f t="shared" ca="1" si="32"/>
        <v>45695</v>
      </c>
    </row>
    <row r="142" spans="4:38" x14ac:dyDescent="0.25">
      <c r="D142" s="6">
        <f ca="1"/>
        <v>45868</v>
      </c>
      <c r="E142" s="28" cm="1">
        <f t="array" aca="1" ref="E142" ca="1">_xll.FDS($E$7,"P_PRICE("&amp;D142&amp;",0,D,D)")</f>
        <v>96.52</v>
      </c>
      <c r="F142" s="29" cm="1">
        <f t="array" aca="1" ref="F142" ca="1">_xll.FDS($E$7,"P_BETA_LOCIDX("&amp;$AG142&amp;","&amp;$AL142&amp;",,"""&amp;$E$9&amp;""")")</f>
        <v>1.2781467</v>
      </c>
      <c r="G142" s="30">
        <f t="shared" ca="1" si="18"/>
        <v>-4.003480775442856E-3</v>
      </c>
      <c r="H142" s="30">
        <f t="shared" ca="1" si="18"/>
        <v>1.8947980003365505E-2</v>
      </c>
      <c r="I142" s="30">
        <f t="shared" ca="1" si="18"/>
        <v>-6.1065794496673771E-3</v>
      </c>
      <c r="J142" s="30">
        <f t="shared" ca="1" si="18"/>
        <v>-0.17878404335057207</v>
      </c>
      <c r="K142" s="30">
        <f t="shared" ca="1" si="19"/>
        <v>8.0199363302832819E-4</v>
      </c>
      <c r="L142" s="30">
        <f t="shared" ca="1" si="19"/>
        <v>2.0242373140476055E-2</v>
      </c>
      <c r="M142" s="30">
        <f t="shared" ca="1" si="19"/>
        <v>2.7806590035038454E-2</v>
      </c>
      <c r="N142" s="30">
        <f t="shared" ca="1" si="19"/>
        <v>0.16117590085693334</v>
      </c>
      <c r="O142" s="30">
        <f t="shared" ca="1" si="20"/>
        <v>-3.2014871424145275E-3</v>
      </c>
      <c r="P142" s="30">
        <f t="shared" ca="1" si="21"/>
        <v>3.9190353143841561E-2</v>
      </c>
      <c r="Q142" s="30">
        <f t="shared" ca="1" si="22"/>
        <v>2.1700010585371077E-2</v>
      </c>
      <c r="R142" s="30">
        <f t="shared" ca="1" si="23"/>
        <v>-1.7608142493638734E-2</v>
      </c>
      <c r="S142" s="9" cm="1">
        <f t="array" aca="1" ref="S142" ca="1">_xll.FDS($E$7,"P_PRICE("&amp;AG142&amp;",0,D,D)")</f>
        <v>96.52</v>
      </c>
      <c r="T142" s="9" cm="1">
        <f t="array" aca="1" ref="T142" ca="1">_xll.FDS($E$7,"P_PRICE("&amp;AH142&amp;",0,D,D)")</f>
        <v>96.83</v>
      </c>
      <c r="U142" s="9" cm="1">
        <f t="array" aca="1" ref="U142" ca="1">_xll.FDS($E$7,"P_PRICE("&amp;AI142&amp;",0,D,D)")</f>
        <v>92.88</v>
      </c>
      <c r="V142" s="9" cm="1">
        <f t="array" aca="1" ref="V142" ca="1">_xll.FDS($E$7,"P_PRICE("&amp;AJ142&amp;",0,D,D)")</f>
        <v>94.47</v>
      </c>
      <c r="W142" s="9" cm="1">
        <f t="array" aca="1" ref="W142" ca="1">_xll.FDS($E$7,"P_PRICE("&amp;AK142&amp;",0,D,D)")</f>
        <v>98.25</v>
      </c>
      <c r="X142" s="24">
        <f t="shared" ca="1" si="24"/>
        <v>6.2746602798280371E-4</v>
      </c>
      <c r="Y142" s="24">
        <f t="shared" ca="1" si="25"/>
        <v>1.5837284671998964E-2</v>
      </c>
      <c r="Z142" s="24">
        <f t="shared" ca="1" si="26"/>
        <v>2.1755397901538576E-2</v>
      </c>
      <c r="AA142" s="24">
        <f t="shared" ca="1" si="27"/>
        <v>0.12610125336703004</v>
      </c>
      <c r="AB142" s="9" cm="1">
        <f t="array" aca="1" ref="AB142" ca="1">_xll.FDS($E$9,"P_PRICE("&amp;AG142&amp;",0,D,D)")</f>
        <v>6362.9</v>
      </c>
      <c r="AC142" s="9" cm="1">
        <f t="array" aca="1" ref="AC142" ca="1">_xll.FDS($E$9,"P_PRICE("&amp;AH142&amp;",0,D,D)")</f>
        <v>6358.91</v>
      </c>
      <c r="AD142" s="9" cm="1">
        <f t="array" aca="1" ref="AD142" ca="1">_xll.FDS($E$9,"P_PRICE("&amp;AI142&amp;",0,D,D)")</f>
        <v>6263.7</v>
      </c>
      <c r="AE142" s="9" cm="1">
        <f t="array" aca="1" ref="AE142" ca="1">_xll.FDS($E$9,"P_PRICE("&amp;AJ142&amp;",0,D,D)")</f>
        <v>6227.42</v>
      </c>
      <c r="AF142" s="9" cm="1">
        <f t="array" aca="1" ref="AF142" ca="1">_xll.FDS($E$9,"P_PRICE("&amp;AK142&amp;",0,D,D)")</f>
        <v>5650.38</v>
      </c>
      <c r="AG142" s="20">
        <f t="shared" ca="1" si="33"/>
        <v>45868</v>
      </c>
      <c r="AH142" s="22">
        <f t="shared" ca="1" si="28"/>
        <v>45861</v>
      </c>
      <c r="AI142" s="22">
        <f t="shared" ca="1" si="29"/>
        <v>45854</v>
      </c>
      <c r="AJ142" s="22">
        <f t="shared" ca="1" si="30"/>
        <v>45840</v>
      </c>
      <c r="AK142" s="22">
        <f t="shared" ca="1" si="31"/>
        <v>45782</v>
      </c>
      <c r="AL142" s="22">
        <f t="shared" ca="1" si="32"/>
        <v>45694</v>
      </c>
    </row>
    <row r="143" spans="4:38" x14ac:dyDescent="0.25">
      <c r="D143" s="6">
        <f ca="1"/>
        <v>45867</v>
      </c>
      <c r="E143" s="28" cm="1">
        <f t="array" aca="1" ref="E143" ca="1">_xll.FDS($E$7,"P_PRICE("&amp;D143&amp;",0,D,D)")</f>
        <v>97.24</v>
      </c>
      <c r="F143" s="29" cm="1">
        <f t="array" aca="1" ref="F143" ca="1">_xll.FDS($E$7,"P_BETA_LOCIDX("&amp;$AG143&amp;","&amp;$AL143&amp;",,"""&amp;$E$9&amp;""")")</f>
        <v>1.2804393999999999</v>
      </c>
      <c r="G143" s="30">
        <f t="shared" ca="1" si="18"/>
        <v>5.3658872720287569E-3</v>
      </c>
      <c r="H143" s="30">
        <f t="shared" ca="1" si="18"/>
        <v>6.3163178586245448E-3</v>
      </c>
      <c r="I143" s="30">
        <f t="shared" ca="1" si="18"/>
        <v>6.5204948979518187E-3</v>
      </c>
      <c r="J143" s="30">
        <f t="shared" ca="1" si="18"/>
        <v>-0.16694777556735557</v>
      </c>
      <c r="K143" s="30">
        <f t="shared" ca="1" si="19"/>
        <v>1.2427707034020897E-2</v>
      </c>
      <c r="L143" s="30">
        <f t="shared" ca="1" si="19"/>
        <v>2.6065038973310781E-2</v>
      </c>
      <c r="M143" s="30">
        <f t="shared" ca="1" si="19"/>
        <v>3.5708872733344992E-2</v>
      </c>
      <c r="N143" s="30">
        <f t="shared" ca="1" si="19"/>
        <v>0.15405568339397208</v>
      </c>
      <c r="O143" s="30">
        <f t="shared" ca="1" si="20"/>
        <v>1.7793594306049654E-2</v>
      </c>
      <c r="P143" s="30">
        <f t="shared" ca="1" si="21"/>
        <v>3.2381356831935326E-2</v>
      </c>
      <c r="Q143" s="30">
        <f t="shared" ca="1" si="22"/>
        <v>4.222936763129681E-2</v>
      </c>
      <c r="R143" s="30">
        <f t="shared" ca="1" si="23"/>
        <v>-1.2892092173383496E-2</v>
      </c>
      <c r="S143" s="9" cm="1">
        <f t="array" aca="1" ref="S143" ca="1">_xll.FDS($E$7,"P_PRICE("&amp;AG143&amp;",0,D,D)")</f>
        <v>97.24</v>
      </c>
      <c r="T143" s="9" cm="1">
        <f t="array" aca="1" ref="T143" ca="1">_xll.FDS($E$7,"P_PRICE("&amp;AH143&amp;",0,D,D)")</f>
        <v>95.54</v>
      </c>
      <c r="U143" s="9" cm="1">
        <f t="array" aca="1" ref="U143" ca="1">_xll.FDS($E$7,"P_PRICE("&amp;AI143&amp;",0,D,D)")</f>
        <v>94.19</v>
      </c>
      <c r="V143" s="9" cm="1">
        <f t="array" aca="1" ref="V143" ca="1">_xll.FDS($E$7,"P_PRICE("&amp;AJ143&amp;",0,D,D)")</f>
        <v>93.3</v>
      </c>
      <c r="W143" s="9" cm="1">
        <f t="array" aca="1" ref="W143" ca="1">_xll.FDS($E$7,"P_PRICE("&amp;AK143&amp;",0,D,D)")</f>
        <v>98.51</v>
      </c>
      <c r="X143" s="24">
        <f t="shared" ca="1" si="24"/>
        <v>9.7058142962649363E-3</v>
      </c>
      <c r="Y143" s="24">
        <f t="shared" ca="1" si="25"/>
        <v>2.0356323753635497E-2</v>
      </c>
      <c r="Z143" s="24">
        <f t="shared" ca="1" si="26"/>
        <v>2.7887983401123861E-2</v>
      </c>
      <c r="AA143" s="24">
        <f t="shared" ca="1" si="27"/>
        <v>0.12031470087063245</v>
      </c>
      <c r="AB143" s="9" cm="1">
        <f t="array" aca="1" ref="AB143" ca="1">_xll.FDS($E$9,"P_PRICE("&amp;AG143&amp;",0,D,D)")</f>
        <v>6370.86</v>
      </c>
      <c r="AC143" s="9" cm="1">
        <f t="array" aca="1" ref="AC143" ca="1">_xll.FDS($E$9,"P_PRICE("&amp;AH143&amp;",0,D,D)")</f>
        <v>6309.62</v>
      </c>
      <c r="AD143" s="9" cm="1">
        <f t="array" aca="1" ref="AD143" ca="1">_xll.FDS($E$9,"P_PRICE("&amp;AI143&amp;",0,D,D)")</f>
        <v>6243.76</v>
      </c>
      <c r="AE143" s="9" cm="1">
        <f t="array" aca="1" ref="AE143" ca="1">_xll.FDS($E$9,"P_PRICE("&amp;AJ143&amp;",0,D,D)")</f>
        <v>6198.01</v>
      </c>
      <c r="AF143" s="9" cm="1">
        <f t="array" aca="1" ref="AF143" ca="1">_xll.FDS($E$9,"P_PRICE("&amp;AK143&amp;",0,D,D)")</f>
        <v>5686.67</v>
      </c>
      <c r="AG143" s="20">
        <f t="shared" ca="1" si="33"/>
        <v>45867</v>
      </c>
      <c r="AH143" s="22">
        <f t="shared" ca="1" si="28"/>
        <v>45860</v>
      </c>
      <c r="AI143" s="22">
        <f t="shared" ca="1" si="29"/>
        <v>45853</v>
      </c>
      <c r="AJ143" s="22">
        <f t="shared" ca="1" si="30"/>
        <v>45839</v>
      </c>
      <c r="AK143" s="22">
        <f t="shared" ca="1" si="31"/>
        <v>45779</v>
      </c>
      <c r="AL143" s="22">
        <f t="shared" ca="1" si="32"/>
        <v>45693</v>
      </c>
    </row>
    <row r="144" spans="4:38" x14ac:dyDescent="0.25">
      <c r="D144" s="6">
        <f ca="1"/>
        <v>45866</v>
      </c>
      <c r="E144" s="28" cm="1">
        <f t="array" aca="1" ref="E144" ca="1">_xll.FDS($E$7,"P_PRICE("&amp;D144&amp;",0,D,D)")</f>
        <v>98.54</v>
      </c>
      <c r="F144" s="29" cm="1">
        <f t="array" aca="1" ref="F144" ca="1">_xll.FDS($E$7,"P_BETA_LOCIDX("&amp;$AG144&amp;","&amp;$AL144&amp;",,"""&amp;$E$9&amp;""")")</f>
        <v>1.2803131000000001</v>
      </c>
      <c r="G144" s="30">
        <f t="shared" ca="1" si="18"/>
        <v>2.8427043201975817E-2</v>
      </c>
      <c r="H144" s="30">
        <f t="shared" ca="1" si="18"/>
        <v>1.425671101334711E-2</v>
      </c>
      <c r="I144" s="30">
        <f t="shared" ca="1" si="18"/>
        <v>3.5285205506588764E-2</v>
      </c>
      <c r="J144" s="30">
        <f t="shared" ca="1" si="18"/>
        <v>-0.15601060359130325</v>
      </c>
      <c r="K144" s="30">
        <f t="shared" ca="1" si="19"/>
        <v>1.709019817733453E-2</v>
      </c>
      <c r="L144" s="30">
        <f t="shared" ca="1" si="19"/>
        <v>2.4756363638698511E-2</v>
      </c>
      <c r="M144" s="30">
        <f t="shared" ca="1" si="19"/>
        <v>3.8135273796243589E-2</v>
      </c>
      <c r="N144" s="30">
        <f t="shared" ca="1" si="19"/>
        <v>0.17948380674876063</v>
      </c>
      <c r="O144" s="30">
        <f t="shared" ca="1" si="20"/>
        <v>4.5517241379310347E-2</v>
      </c>
      <c r="P144" s="30">
        <f t="shared" ca="1" si="21"/>
        <v>3.9013074652045621E-2</v>
      </c>
      <c r="Q144" s="30">
        <f t="shared" ca="1" si="22"/>
        <v>7.3420479302832353E-2</v>
      </c>
      <c r="R144" s="30">
        <f t="shared" ca="1" si="23"/>
        <v>2.3473203157457379E-2</v>
      </c>
      <c r="S144" s="9" cm="1">
        <f t="array" aca="1" ref="S144" ca="1">_xll.FDS($E$7,"P_PRICE("&amp;AG144&amp;",0,D,D)")</f>
        <v>98.54</v>
      </c>
      <c r="T144" s="9" cm="1">
        <f t="array" aca="1" ref="T144" ca="1">_xll.FDS($E$7,"P_PRICE("&amp;AH144&amp;",0,D,D)")</f>
        <v>94.25</v>
      </c>
      <c r="U144" s="9" cm="1">
        <f t="array" aca="1" ref="U144" ca="1">_xll.FDS($E$7,"P_PRICE("&amp;AI144&amp;",0,D,D)")</f>
        <v>94.84</v>
      </c>
      <c r="V144" s="9" cm="1">
        <f t="array" aca="1" ref="V144" ca="1">_xll.FDS($E$7,"P_PRICE("&amp;AJ144&amp;",0,D,D)")</f>
        <v>91.8</v>
      </c>
      <c r="W144" s="9" cm="1">
        <f t="array" aca="1" ref="W144" ca="1">_xll.FDS($E$7,"P_PRICE("&amp;AK144&amp;",0,D,D)")</f>
        <v>96.28</v>
      </c>
      <c r="X144" s="24">
        <f t="shared" ca="1" si="24"/>
        <v>1.3348452169500202E-2</v>
      </c>
      <c r="Y144" s="24">
        <f t="shared" ca="1" si="25"/>
        <v>1.9336179282004151E-2</v>
      </c>
      <c r="Z144" s="24">
        <f t="shared" ca="1" si="26"/>
        <v>2.9785896743729001E-2</v>
      </c>
      <c r="AA144" s="24">
        <f t="shared" ca="1" si="27"/>
        <v>0.14018743286213398</v>
      </c>
      <c r="AB144" s="9" cm="1">
        <f t="array" aca="1" ref="AB144" ca="1">_xll.FDS($E$9,"P_PRICE("&amp;AG144&amp;",0,D,D)")</f>
        <v>6389.77</v>
      </c>
      <c r="AC144" s="9" cm="1">
        <f t="array" aca="1" ref="AC144" ca="1">_xll.FDS($E$9,"P_PRICE("&amp;AH144&amp;",0,D,D)")</f>
        <v>6305.6</v>
      </c>
      <c r="AD144" s="9" cm="1">
        <f t="array" aca="1" ref="AD144" ca="1">_xll.FDS($E$9,"P_PRICE("&amp;AI144&amp;",0,D,D)")</f>
        <v>6268.56</v>
      </c>
      <c r="AE144" s="9" cm="1">
        <f t="array" aca="1" ref="AE144" ca="1">_xll.FDS($E$9,"P_PRICE("&amp;AJ144&amp;",0,D,D)")</f>
        <v>6204.95</v>
      </c>
      <c r="AF144" s="9" cm="1">
        <f t="array" aca="1" ref="AF144" ca="1">_xll.FDS($E$9,"P_PRICE("&amp;AK144&amp;",0,D,D)")</f>
        <v>5604.14</v>
      </c>
      <c r="AG144" s="20">
        <f t="shared" ca="1" si="33"/>
        <v>45866</v>
      </c>
      <c r="AH144" s="22">
        <f t="shared" ca="1" si="28"/>
        <v>45859</v>
      </c>
      <c r="AI144" s="22">
        <f t="shared" ca="1" si="29"/>
        <v>45852</v>
      </c>
      <c r="AJ144" s="22">
        <f t="shared" ca="1" si="30"/>
        <v>45838</v>
      </c>
      <c r="AK144" s="22">
        <f t="shared" ca="1" si="31"/>
        <v>45778</v>
      </c>
      <c r="AL144" s="22">
        <f t="shared" ca="1" si="32"/>
        <v>45692</v>
      </c>
    </row>
    <row r="145" spans="4:38" x14ac:dyDescent="0.25">
      <c r="D145" s="6">
        <f ca="1"/>
        <v>45863</v>
      </c>
      <c r="E145" s="28" cm="1">
        <f t="array" aca="1" ref="E145" ca="1">_xll.FDS($E$7,"P_PRICE("&amp;D145&amp;",0,D,D)")</f>
        <v>100.06</v>
      </c>
      <c r="F145" s="29" cm="1">
        <f t="array" aca="1" ref="F145" ca="1">_xll.FDS($E$7,"P_BETA_LOCIDX("&amp;$AG145&amp;","&amp;$AL145&amp;",,"""&amp;$E$9&amp;""")")</f>
        <v>1.2821358</v>
      </c>
      <c r="G145" s="30">
        <f t="shared" ca="1" si="18"/>
        <v>4.508681565205197E-2</v>
      </c>
      <c r="H145" s="30">
        <f t="shared" ca="1" si="18"/>
        <v>2.4209453771439689E-2</v>
      </c>
      <c r="I145" s="30">
        <f t="shared" ca="1" si="18"/>
        <v>4.8539426572046553E-2</v>
      </c>
      <c r="J145" s="30">
        <f t="shared" ca="1" si="18"/>
        <v>-0.14006053047081138</v>
      </c>
      <c r="K145" s="30">
        <f t="shared" ca="1" si="19"/>
        <v>1.8702255153816624E-2</v>
      </c>
      <c r="L145" s="30">
        <f t="shared" ca="1" si="19"/>
        <v>2.6399534048803901E-2</v>
      </c>
      <c r="M145" s="30">
        <f t="shared" ca="1" si="19"/>
        <v>4.4773510490890532E-2</v>
      </c>
      <c r="N145" s="30">
        <f t="shared" ca="1" si="19"/>
        <v>0.18868765266741597</v>
      </c>
      <c r="O145" s="30">
        <f t="shared" ca="1" si="20"/>
        <v>6.3789070805868597E-2</v>
      </c>
      <c r="P145" s="30">
        <f t="shared" ca="1" si="21"/>
        <v>5.0608987820243589E-2</v>
      </c>
      <c r="Q145" s="30">
        <f t="shared" ca="1" si="22"/>
        <v>9.3312937062937085E-2</v>
      </c>
      <c r="R145" s="30">
        <f t="shared" ca="1" si="23"/>
        <v>4.8627122196604589E-2</v>
      </c>
      <c r="S145" s="9" cm="1">
        <f t="array" aca="1" ref="S145" ca="1">_xll.FDS($E$7,"P_PRICE("&amp;AG145&amp;",0,D,D)")</f>
        <v>100.06</v>
      </c>
      <c r="T145" s="9" cm="1">
        <f t="array" aca="1" ref="T145" ca="1">_xll.FDS($E$7,"P_PRICE("&amp;AH145&amp;",0,D,D)")</f>
        <v>94.06</v>
      </c>
      <c r="U145" s="9" cm="1">
        <f t="array" aca="1" ref="U145" ca="1">_xll.FDS($E$7,"P_PRICE("&amp;AI145&amp;",0,D,D)")</f>
        <v>95.24</v>
      </c>
      <c r="V145" s="9" cm="1">
        <f t="array" aca="1" ref="V145" ca="1">_xll.FDS($E$7,"P_PRICE("&amp;AJ145&amp;",0,D,D)")</f>
        <v>91.52</v>
      </c>
      <c r="W145" s="9" cm="1">
        <f t="array" aca="1" ref="W145" ca="1">_xll.FDS($E$7,"P_PRICE("&amp;AK145&amp;",0,D,D)")</f>
        <v>95.42</v>
      </c>
      <c r="X145" s="24">
        <f t="shared" ca="1" si="24"/>
        <v>1.4586797399945173E-2</v>
      </c>
      <c r="Y145" s="24">
        <f t="shared" ca="1" si="25"/>
        <v>2.05902791645034E-2</v>
      </c>
      <c r="Z145" s="24">
        <f t="shared" ca="1" si="26"/>
        <v>3.4921036048514154E-2</v>
      </c>
      <c r="AA145" s="24">
        <f t="shared" ca="1" si="27"/>
        <v>0.14716666726521166</v>
      </c>
      <c r="AB145" s="9" cm="1">
        <f t="array" aca="1" ref="AB145" ca="1">_xll.FDS($E$9,"P_PRICE("&amp;AG145&amp;",0,D,D)")</f>
        <v>6388.64</v>
      </c>
      <c r="AC145" s="9" cm="1">
        <f t="array" aca="1" ref="AC145" ca="1">_xll.FDS($E$9,"P_PRICE("&amp;AH145&amp;",0,D,D)")</f>
        <v>6296.79</v>
      </c>
      <c r="AD145" s="9" cm="1">
        <f t="array" aca="1" ref="AD145" ca="1">_xll.FDS($E$9,"P_PRICE("&amp;AI145&amp;",0,D,D)")</f>
        <v>6259.75</v>
      </c>
      <c r="AE145" s="9" cm="1">
        <f t="array" aca="1" ref="AE145" ca="1">_xll.FDS($E$9,"P_PRICE("&amp;AJ145&amp;",0,D,D)")</f>
        <v>6173.07</v>
      </c>
      <c r="AF145" s="9" cm="1">
        <f t="array" aca="1" ref="AF145" ca="1">_xll.FDS($E$9,"P_PRICE("&amp;AK145&amp;",0,D,D)")</f>
        <v>5569.06</v>
      </c>
      <c r="AG145" s="20">
        <f t="shared" ca="1" si="33"/>
        <v>45863</v>
      </c>
      <c r="AH145" s="22">
        <f t="shared" ca="1" si="28"/>
        <v>45856</v>
      </c>
      <c r="AI145" s="22">
        <f t="shared" ca="1" si="29"/>
        <v>45849</v>
      </c>
      <c r="AJ145" s="22">
        <f t="shared" ca="1" si="30"/>
        <v>45835</v>
      </c>
      <c r="AK145" s="22">
        <f t="shared" ca="1" si="31"/>
        <v>45777</v>
      </c>
      <c r="AL145" s="22">
        <f t="shared" ca="1" si="32"/>
        <v>45691</v>
      </c>
    </row>
    <row r="146" spans="4:38" x14ac:dyDescent="0.25">
      <c r="D146" s="6">
        <f ca="1"/>
        <v>45862</v>
      </c>
      <c r="E146" s="28" cm="1">
        <f t="array" aca="1" ref="E146" ca="1">_xll.FDS($E$7,"P_PRICE("&amp;D146&amp;",0,D,D)")</f>
        <v>97.17</v>
      </c>
      <c r="F146" s="29" cm="1">
        <f t="array" aca="1" ref="F146" ca="1">_xll.FDS($E$7,"P_BETA_LOCIDX("&amp;$AG146&amp;","&amp;$AL146&amp;",,"""&amp;$E$9&amp;""")")</f>
        <v>1.2791623999999999</v>
      </c>
      <c r="G146" s="30">
        <f t="shared" ca="1" si="18"/>
        <v>3.2108898753951259E-2</v>
      </c>
      <c r="H146" s="30">
        <f t="shared" ca="1" si="18"/>
        <v>-3.5338562981999111E-3</v>
      </c>
      <c r="I146" s="30">
        <f t="shared" ca="1" si="18"/>
        <v>4.4628808178651697E-2</v>
      </c>
      <c r="J146" s="30">
        <f t="shared" ca="1" si="18"/>
        <v>-0.14490822360925765</v>
      </c>
      <c r="K146" s="30">
        <f t="shared" ca="1" si="19"/>
        <v>1.3404335590787377E-2</v>
      </c>
      <c r="L146" s="30">
        <f t="shared" ca="1" si="19"/>
        <v>1.6882484935179853E-2</v>
      </c>
      <c r="M146" s="30">
        <f t="shared" ca="1" si="19"/>
        <v>4.6310902161530193E-2</v>
      </c>
      <c r="N146" s="30">
        <f t="shared" ca="1" si="19"/>
        <v>0.18460435029447059</v>
      </c>
      <c r="O146" s="30">
        <f t="shared" ca="1" si="20"/>
        <v>4.551323434473864E-2</v>
      </c>
      <c r="P146" s="30">
        <f t="shared" ca="1" si="21"/>
        <v>1.3348628636979942E-2</v>
      </c>
      <c r="Q146" s="30">
        <f t="shared" ca="1" si="22"/>
        <v>9.093971034018189E-2</v>
      </c>
      <c r="R146" s="30">
        <f t="shared" ca="1" si="23"/>
        <v>3.969612668521294E-2</v>
      </c>
      <c r="S146" s="9" cm="1">
        <f t="array" aca="1" ref="S146" ca="1">_xll.FDS($E$7,"P_PRICE("&amp;AG146&amp;",0,D,D)")</f>
        <v>97.17</v>
      </c>
      <c r="T146" s="9" cm="1">
        <f t="array" aca="1" ref="T146" ca="1">_xll.FDS($E$7,"P_PRICE("&amp;AH146&amp;",0,D,D)")</f>
        <v>92.94</v>
      </c>
      <c r="U146" s="9" cm="1">
        <f t="array" aca="1" ref="U146" ca="1">_xll.FDS($E$7,"P_PRICE("&amp;AI146&amp;",0,D,D)")</f>
        <v>95.89</v>
      </c>
      <c r="V146" s="9" cm="1">
        <f t="array" aca="1" ref="V146" ca="1">_xll.FDS($E$7,"P_PRICE("&amp;AJ146&amp;",0,D,D)")</f>
        <v>89.07</v>
      </c>
      <c r="W146" s="9" cm="1">
        <f t="array" aca="1" ref="W146" ca="1">_xll.FDS($E$7,"P_PRICE("&amp;AK146&amp;",0,D,D)")</f>
        <v>93.46</v>
      </c>
      <c r="X146" s="24">
        <f t="shared" ca="1" si="24"/>
        <v>1.0478994372244976E-2</v>
      </c>
      <c r="Y146" s="24">
        <f t="shared" ca="1" si="25"/>
        <v>1.3198077847800915E-2</v>
      </c>
      <c r="Z146" s="24">
        <f t="shared" ca="1" si="26"/>
        <v>3.6204083360744654E-2</v>
      </c>
      <c r="AA146" s="24">
        <f t="shared" ca="1" si="27"/>
        <v>0.14431658583340989</v>
      </c>
      <c r="AB146" s="9" cm="1">
        <f t="array" aca="1" ref="AB146" ca="1">_xll.FDS($E$9,"P_PRICE("&amp;AG146&amp;",0,D,D)")</f>
        <v>6363.35</v>
      </c>
      <c r="AC146" s="9" cm="1">
        <f t="array" aca="1" ref="AC146" ca="1">_xll.FDS($E$9,"P_PRICE("&amp;AH146&amp;",0,D,D)")</f>
        <v>6297.36</v>
      </c>
      <c r="AD146" s="9" cm="1">
        <f t="array" aca="1" ref="AD146" ca="1">_xll.FDS($E$9,"P_PRICE("&amp;AI146&amp;",0,D,D)")</f>
        <v>6280.46</v>
      </c>
      <c r="AE146" s="9" cm="1">
        <f t="array" aca="1" ref="AE146" ca="1">_xll.FDS($E$9,"P_PRICE("&amp;AJ146&amp;",0,D,D)")</f>
        <v>6141.02</v>
      </c>
      <c r="AF146" s="9" cm="1">
        <f t="array" aca="1" ref="AF146" ca="1">_xll.FDS($E$9,"P_PRICE("&amp;AK146&amp;",0,D,D)")</f>
        <v>5560.83</v>
      </c>
      <c r="AG146" s="20">
        <f t="shared" ca="1" si="33"/>
        <v>45862</v>
      </c>
      <c r="AH146" s="22">
        <f t="shared" ca="1" si="28"/>
        <v>45855</v>
      </c>
      <c r="AI146" s="22">
        <f t="shared" ca="1" si="29"/>
        <v>45848</v>
      </c>
      <c r="AJ146" s="22">
        <f t="shared" ca="1" si="30"/>
        <v>45834</v>
      </c>
      <c r="AK146" s="22">
        <f t="shared" ca="1" si="31"/>
        <v>45776</v>
      </c>
      <c r="AL146" s="22">
        <f t="shared" ca="1" si="32"/>
        <v>45688</v>
      </c>
    </row>
    <row r="147" spans="4:38" x14ac:dyDescent="0.25">
      <c r="D147" s="6">
        <f ca="1"/>
        <v>45861</v>
      </c>
      <c r="E147" s="28" cm="1">
        <f t="array" aca="1" ref="E147" ca="1">_xll.FDS($E$7,"P_PRICE("&amp;D147&amp;",0,D,D)")</f>
        <v>96.83</v>
      </c>
      <c r="F147" s="29" cm="1">
        <f t="array" aca="1" ref="F147" ca="1">_xll.FDS($E$7,"P_BETA_LOCIDX("&amp;$AG147&amp;","&amp;$AL147&amp;",,"""&amp;$E$9&amp;""")")</f>
        <v>1.2792962000000001</v>
      </c>
      <c r="G147" s="30">
        <f t="shared" ca="1" si="18"/>
        <v>2.308233140751885E-2</v>
      </c>
      <c r="H147" s="30">
        <f t="shared" ca="1" si="18"/>
        <v>-1.5805169487171582E-2</v>
      </c>
      <c r="I147" s="30">
        <f t="shared" ca="1" si="18"/>
        <v>3.6011628844753181E-2</v>
      </c>
      <c r="J147" s="30">
        <f t="shared" ca="1" si="18"/>
        <v>-0.15135536516165257</v>
      </c>
      <c r="K147" s="30">
        <f t="shared" ca="1" si="19"/>
        <v>1.9445661701869635E-2</v>
      </c>
      <c r="L147" s="30">
        <f t="shared" ca="1" si="19"/>
        <v>1.9536899558696301E-2</v>
      </c>
      <c r="M147" s="30">
        <f t="shared" ca="1" si="19"/>
        <v>5.6014986696016004E-2</v>
      </c>
      <c r="N147" s="30">
        <f t="shared" ca="1" si="19"/>
        <v>0.1920905328314719</v>
      </c>
      <c r="O147" s="30">
        <f t="shared" ca="1" si="20"/>
        <v>4.2527993109388484E-2</v>
      </c>
      <c r="P147" s="30">
        <f t="shared" ca="1" si="21"/>
        <v>3.7317300715247192E-3</v>
      </c>
      <c r="Q147" s="30">
        <f t="shared" ca="1" si="22"/>
        <v>9.2026615540769185E-2</v>
      </c>
      <c r="R147" s="30">
        <f t="shared" ca="1" si="23"/>
        <v>4.0735167669819328E-2</v>
      </c>
      <c r="S147" s="9" cm="1">
        <f t="array" aca="1" ref="S147" ca="1">_xll.FDS($E$7,"P_PRICE("&amp;AG147&amp;",0,D,D)")</f>
        <v>96.83</v>
      </c>
      <c r="T147" s="9" cm="1">
        <f t="array" aca="1" ref="T147" ca="1">_xll.FDS($E$7,"P_PRICE("&amp;AH147&amp;",0,D,D)")</f>
        <v>92.88</v>
      </c>
      <c r="U147" s="9" cm="1">
        <f t="array" aca="1" ref="U147" ca="1">_xll.FDS($E$7,"P_PRICE("&amp;AI147&amp;",0,D,D)")</f>
        <v>96.47</v>
      </c>
      <c r="V147" s="9" cm="1">
        <f t="array" aca="1" ref="V147" ca="1">_xll.FDS($E$7,"P_PRICE("&amp;AJ147&amp;",0,D,D)")</f>
        <v>88.67</v>
      </c>
      <c r="W147" s="9" cm="1">
        <f t="array" aca="1" ref="W147" ca="1">_xll.FDS($E$7,"P_PRICE("&amp;AK147&amp;",0,D,D)")</f>
        <v>93.04</v>
      </c>
      <c r="X147" s="24">
        <f t="shared" ca="1" si="24"/>
        <v>1.5200280984082992E-2</v>
      </c>
      <c r="Y147" s="24">
        <f t="shared" ca="1" si="25"/>
        <v>1.5271599773919675E-2</v>
      </c>
      <c r="Z147" s="24">
        <f t="shared" ca="1" si="26"/>
        <v>4.3785783695766467E-2</v>
      </c>
      <c r="AA147" s="24">
        <f t="shared" ca="1" si="27"/>
        <v>0.15015328962242824</v>
      </c>
      <c r="AB147" s="9" cm="1">
        <f t="array" aca="1" ref="AB147" ca="1">_xll.FDS($E$9,"P_PRICE("&amp;AG147&amp;",0,D,D)")</f>
        <v>6358.91</v>
      </c>
      <c r="AC147" s="9" cm="1">
        <f t="array" aca="1" ref="AC147" ca="1">_xll.FDS($E$9,"P_PRICE("&amp;AH147&amp;",0,D,D)")</f>
        <v>6263.7</v>
      </c>
      <c r="AD147" s="9" cm="1">
        <f t="array" aca="1" ref="AD147" ca="1">_xll.FDS($E$9,"P_PRICE("&amp;AI147&amp;",0,D,D)")</f>
        <v>6263.26</v>
      </c>
      <c r="AE147" s="9" cm="1">
        <f t="array" aca="1" ref="AE147" ca="1">_xll.FDS($E$9,"P_PRICE("&amp;AJ147&amp;",0,D,D)")</f>
        <v>6092.16</v>
      </c>
      <c r="AF147" s="9" cm="1">
        <f t="array" aca="1" ref="AF147" ca="1">_xll.FDS($E$9,"P_PRICE("&amp;AK147&amp;",0,D,D)")</f>
        <v>5528.75</v>
      </c>
      <c r="AG147" s="20">
        <f t="shared" ca="1" si="33"/>
        <v>45861</v>
      </c>
      <c r="AH147" s="22">
        <f t="shared" ca="1" si="28"/>
        <v>45854</v>
      </c>
      <c r="AI147" s="22">
        <f t="shared" ca="1" si="29"/>
        <v>45847</v>
      </c>
      <c r="AJ147" s="22">
        <f t="shared" ca="1" si="30"/>
        <v>45833</v>
      </c>
      <c r="AK147" s="22">
        <f t="shared" ca="1" si="31"/>
        <v>45775</v>
      </c>
      <c r="AL147" s="22">
        <f t="shared" ca="1" si="32"/>
        <v>45687</v>
      </c>
    </row>
    <row r="148" spans="4:38" x14ac:dyDescent="0.25">
      <c r="D148" s="6">
        <f ca="1"/>
        <v>45860</v>
      </c>
      <c r="E148" s="28" cm="1">
        <f t="array" aca="1" ref="E148" ca="1">_xll.FDS($E$7,"P_PRICE("&amp;D148&amp;",0,D,D)")</f>
        <v>95.54</v>
      </c>
      <c r="F148" s="29" cm="1">
        <f t="array" aca="1" ref="F148" ca="1">_xll.FDS($E$7,"P_BETA_LOCIDX("&amp;$AG148&amp;","&amp;$AL148&amp;",,"""&amp;$E$9&amp;""")")</f>
        <v>1.2759197</v>
      </c>
      <c r="G148" s="30">
        <f t="shared" ca="1" si="18"/>
        <v>8.7416324702035107E-4</v>
      </c>
      <c r="H148" s="30">
        <f t="shared" ca="1" si="18"/>
        <v>-7.8332226507347412E-3</v>
      </c>
      <c r="I148" s="30">
        <f t="shared" ca="1" si="18"/>
        <v>-1.6148633386461192E-3</v>
      </c>
      <c r="J148" s="30">
        <f t="shared" ca="1" si="18"/>
        <v>-0.14760611527273204</v>
      </c>
      <c r="K148" s="30">
        <f t="shared" ca="1" si="19"/>
        <v>1.345856846547581E-2</v>
      </c>
      <c r="L148" s="30">
        <f t="shared" ca="1" si="19"/>
        <v>1.7236286570438988E-2</v>
      </c>
      <c r="M148" s="30">
        <f t="shared" ca="1" si="19"/>
        <v>4.553968851347133E-2</v>
      </c>
      <c r="N148" s="30">
        <f t="shared" ca="1" si="19"/>
        <v>0.18114138139129554</v>
      </c>
      <c r="O148" s="30">
        <f t="shared" ca="1" si="20"/>
        <v>1.4332731712496161E-2</v>
      </c>
      <c r="P148" s="30">
        <f t="shared" ca="1" si="21"/>
        <v>9.4030639197042465E-3</v>
      </c>
      <c r="Q148" s="30">
        <f t="shared" ca="1" si="22"/>
        <v>4.3924825174825211E-2</v>
      </c>
      <c r="R148" s="30">
        <f t="shared" ca="1" si="23"/>
        <v>3.35352661185635E-2</v>
      </c>
      <c r="S148" s="9" cm="1">
        <f t="array" aca="1" ref="S148" ca="1">_xll.FDS($E$7,"P_PRICE("&amp;AG148&amp;",0,D,D)")</f>
        <v>95.54</v>
      </c>
      <c r="T148" s="9" cm="1">
        <f t="array" aca="1" ref="T148" ca="1">_xll.FDS($E$7,"P_PRICE("&amp;AH148&amp;",0,D,D)")</f>
        <v>94.19</v>
      </c>
      <c r="U148" s="9" cm="1">
        <f t="array" aca="1" ref="U148" ca="1">_xll.FDS($E$7,"P_PRICE("&amp;AI148&amp;",0,D,D)")</f>
        <v>94.65</v>
      </c>
      <c r="V148" s="9" cm="1">
        <f t="array" aca="1" ref="V148" ca="1">_xll.FDS($E$7,"P_PRICE("&amp;AJ148&amp;",0,D,D)")</f>
        <v>91.52</v>
      </c>
      <c r="W148" s="9" cm="1">
        <f t="array" aca="1" ref="W148" ca="1">_xll.FDS($E$7,"P_PRICE("&amp;AK148&amp;",0,D,D)")</f>
        <v>92.44</v>
      </c>
      <c r="X148" s="24">
        <f t="shared" ca="1" si="24"/>
        <v>1.0548131254244142E-2</v>
      </c>
      <c r="Y148" s="24">
        <f t="shared" ca="1" si="25"/>
        <v>1.3508911705367499E-2</v>
      </c>
      <c r="Z148" s="24">
        <f t="shared" ca="1" si="26"/>
        <v>3.5691657173622549E-2</v>
      </c>
      <c r="AA148" s="24">
        <f t="shared" ca="1" si="27"/>
        <v>0.14196926451664282</v>
      </c>
      <c r="AB148" s="9" cm="1">
        <f t="array" aca="1" ref="AB148" ca="1">_xll.FDS($E$9,"P_PRICE("&amp;AG148&amp;",0,D,D)")</f>
        <v>6309.62</v>
      </c>
      <c r="AC148" s="9" cm="1">
        <f t="array" aca="1" ref="AC148" ca="1">_xll.FDS($E$9,"P_PRICE("&amp;AH148&amp;",0,D,D)")</f>
        <v>6243.76</v>
      </c>
      <c r="AD148" s="9" cm="1">
        <f t="array" aca="1" ref="AD148" ca="1">_xll.FDS($E$9,"P_PRICE("&amp;AI148&amp;",0,D,D)")</f>
        <v>6225.52</v>
      </c>
      <c r="AE148" s="9" cm="1">
        <f t="array" aca="1" ref="AE148" ca="1">_xll.FDS($E$9,"P_PRICE("&amp;AJ148&amp;",0,D,D)")</f>
        <v>6092.18</v>
      </c>
      <c r="AF148" s="9" cm="1">
        <f t="array" aca="1" ref="AF148" ca="1">_xll.FDS($E$9,"P_PRICE("&amp;AK148&amp;",0,D,D)")</f>
        <v>5525.21</v>
      </c>
      <c r="AG148" s="20">
        <f t="shared" ca="1" si="33"/>
        <v>45860</v>
      </c>
      <c r="AH148" s="22">
        <f t="shared" ca="1" si="28"/>
        <v>45853</v>
      </c>
      <c r="AI148" s="22">
        <f t="shared" ca="1" si="29"/>
        <v>45846</v>
      </c>
      <c r="AJ148" s="22">
        <f t="shared" ca="1" si="30"/>
        <v>45832</v>
      </c>
      <c r="AK148" s="22">
        <f t="shared" ca="1" si="31"/>
        <v>45772</v>
      </c>
      <c r="AL148" s="22">
        <f t="shared" ca="1" si="32"/>
        <v>45686</v>
      </c>
    </row>
    <row r="149" spans="4:38" x14ac:dyDescent="0.25">
      <c r="D149" s="6">
        <f ca="1"/>
        <v>45859</v>
      </c>
      <c r="E149" s="28" cm="1">
        <f t="array" aca="1" ref="E149" ca="1">_xll.FDS($E$7,"P_PRICE("&amp;D149&amp;",0,D,D)")</f>
        <v>94.25</v>
      </c>
      <c r="F149" s="29" cm="1">
        <f t="array" aca="1" ref="F149" ca="1">_xll.FDS($E$7,"P_BETA_LOCIDX("&amp;$AG149&amp;","&amp;$AL149&amp;",,"""&amp;$E$9&amp;""")")</f>
        <v>1.2707196000000001</v>
      </c>
      <c r="G149" s="30">
        <f t="shared" ca="1" si="18"/>
        <v>-1.3729499205338872E-2</v>
      </c>
      <c r="H149" s="30">
        <f t="shared" ca="1" si="18"/>
        <v>-1.6378093236012255E-2</v>
      </c>
      <c r="I149" s="30">
        <f t="shared" ca="1" si="18"/>
        <v>-1.11058480771059E-2</v>
      </c>
      <c r="J149" s="30">
        <f t="shared" ref="J149:J212" ca="1" si="34">+R149-N149</f>
        <v>-0.15842507283410545</v>
      </c>
      <c r="K149" s="30">
        <f t="shared" ca="1" si="19"/>
        <v>7.5084954094721077E-3</v>
      </c>
      <c r="L149" s="30">
        <f t="shared" ca="1" si="19"/>
        <v>1.5424097051996995E-2</v>
      </c>
      <c r="M149" s="30">
        <f t="shared" ca="1" si="19"/>
        <v>5.9143210470078082E-2</v>
      </c>
      <c r="N149" s="30">
        <f t="shared" ref="N149:N212" ca="1" si="35">+AA149*$F149</f>
        <v>0.19017110458013731</v>
      </c>
      <c r="O149" s="30">
        <f t="shared" ca="1" si="20"/>
        <v>-6.2210037958667641E-3</v>
      </c>
      <c r="P149" s="30">
        <f t="shared" ca="1" si="21"/>
        <v>-9.5399618401525998E-4</v>
      </c>
      <c r="Q149" s="30">
        <f t="shared" ca="1" si="22"/>
        <v>4.8037362392972183E-2</v>
      </c>
      <c r="R149" s="30">
        <f t="shared" ca="1" si="23"/>
        <v>3.1746031746031855E-2</v>
      </c>
      <c r="S149" s="9" cm="1">
        <f t="array" aca="1" ref="S149" ca="1">_xll.FDS($E$7,"P_PRICE("&amp;AG149&amp;",0,D,D)")</f>
        <v>94.25</v>
      </c>
      <c r="T149" s="9" cm="1">
        <f t="array" aca="1" ref="T149" ca="1">_xll.FDS($E$7,"P_PRICE("&amp;AH149&amp;",0,D,D)")</f>
        <v>94.84</v>
      </c>
      <c r="U149" s="9" cm="1">
        <f t="array" aca="1" ref="U149" ca="1">_xll.FDS($E$7,"P_PRICE("&amp;AI149&amp;",0,D,D)")</f>
        <v>94.34</v>
      </c>
      <c r="V149" s="9" cm="1">
        <f t="array" aca="1" ref="V149" ca="1">_xll.FDS($E$7,"P_PRICE("&amp;AJ149&amp;",0,D,D)")</f>
        <v>89.93</v>
      </c>
      <c r="W149" s="9" cm="1">
        <f t="array" aca="1" ref="W149" ca="1">_xll.FDS($E$7,"P_PRICE("&amp;AK149&amp;",0,D,D)")</f>
        <v>91.35</v>
      </c>
      <c r="X149" s="24">
        <f t="shared" ca="1" si="24"/>
        <v>5.9088530699236141E-3</v>
      </c>
      <c r="Y149" s="24">
        <f t="shared" ca="1" si="25"/>
        <v>1.2138080700098586E-2</v>
      </c>
      <c r="Z149" s="24">
        <f t="shared" ca="1" si="26"/>
        <v>4.6543085091375058E-2</v>
      </c>
      <c r="AA149" s="24">
        <f t="shared" ca="1" si="27"/>
        <v>0.14965622988748839</v>
      </c>
      <c r="AB149" s="9" cm="1">
        <f t="array" aca="1" ref="AB149" ca="1">_xll.FDS($E$9,"P_PRICE("&amp;AG149&amp;",0,D,D)")</f>
        <v>6305.6</v>
      </c>
      <c r="AC149" s="9" cm="1">
        <f t="array" aca="1" ref="AC149" ca="1">_xll.FDS($E$9,"P_PRICE("&amp;AH149&amp;",0,D,D)")</f>
        <v>6268.56</v>
      </c>
      <c r="AD149" s="9" cm="1">
        <f t="array" aca="1" ref="AD149" ca="1">_xll.FDS($E$9,"P_PRICE("&amp;AI149&amp;",0,D,D)")</f>
        <v>6229.98</v>
      </c>
      <c r="AE149" s="9" cm="1">
        <f t="array" aca="1" ref="AE149" ca="1">_xll.FDS($E$9,"P_PRICE("&amp;AJ149&amp;",0,D,D)")</f>
        <v>6025.17</v>
      </c>
      <c r="AF149" s="9" cm="1">
        <f t="array" aca="1" ref="AF149" ca="1">_xll.FDS($E$9,"P_PRICE("&amp;AK149&amp;",0,D,D)")</f>
        <v>5484.77</v>
      </c>
      <c r="AG149" s="20">
        <f t="shared" ca="1" si="33"/>
        <v>45859</v>
      </c>
      <c r="AH149" s="22">
        <f t="shared" ca="1" si="28"/>
        <v>45852</v>
      </c>
      <c r="AI149" s="22">
        <f t="shared" ca="1" si="29"/>
        <v>45845</v>
      </c>
      <c r="AJ149" s="22">
        <f t="shared" ca="1" si="30"/>
        <v>45831</v>
      </c>
      <c r="AK149" s="22">
        <f t="shared" ca="1" si="31"/>
        <v>45771</v>
      </c>
      <c r="AL149" s="22">
        <f t="shared" ca="1" si="32"/>
        <v>45685</v>
      </c>
    </row>
    <row r="150" spans="4:38" x14ac:dyDescent="0.25">
      <c r="D150" s="6">
        <f ca="1"/>
        <v>45856</v>
      </c>
      <c r="E150" s="28" cm="1">
        <f t="array" aca="1" ref="E150" ca="1">_xll.FDS($E$7,"P_PRICE("&amp;D150&amp;",0,D,D)")</f>
        <v>94.06</v>
      </c>
      <c r="F150" s="29" cm="1">
        <f t="array" aca="1" ref="F150" ca="1">_xll.FDS($E$7,"P_BETA_LOCIDX("&amp;$AG150&amp;","&amp;$AL150&amp;",,"""&amp;$E$9&amp;""")")</f>
        <v>1.2721411</v>
      </c>
      <c r="G150" s="30">
        <f t="shared" ref="G150:J213" ca="1" si="36">+O150-K150</f>
        <v>-1.99172263603134E-2</v>
      </c>
      <c r="H150" s="30" t="e">
        <f t="shared" ca="1" si="36"/>
        <v>#VALUE!</v>
      </c>
      <c r="I150" s="30">
        <f t="shared" ca="1" si="36"/>
        <v>-3.0761743002748476E-3</v>
      </c>
      <c r="J150" s="30">
        <f t="shared" ca="1" si="34"/>
        <v>-0.14675205867954247</v>
      </c>
      <c r="K150" s="30">
        <f t="shared" ref="K150:N213" ca="1" si="37">+X150*$F150</f>
        <v>7.5274741553575377E-3</v>
      </c>
      <c r="L150" s="30" t="e">
        <f t="shared" ca="1" si="37"/>
        <v>#VALUE!</v>
      </c>
      <c r="M150" s="30">
        <f t="shared" ca="1" si="37"/>
        <v>7.0120984283258303E-2</v>
      </c>
      <c r="N150" s="30">
        <f t="shared" ca="1" si="35"/>
        <v>0.21792846227822152</v>
      </c>
      <c r="O150" s="30">
        <f t="shared" ref="O150:O213" ca="1" si="38">+S150/T150-1</f>
        <v>-1.2389752204955862E-2</v>
      </c>
      <c r="P150" s="30" t="e">
        <f t="shared" ref="P150:P213" ca="1" si="39">+S150/U150-1</f>
        <v>#VALUE!</v>
      </c>
      <c r="Q150" s="30">
        <f t="shared" ref="Q150:Q213" ca="1" si="40">+S150/V150-1</f>
        <v>6.7044809982983455E-2</v>
      </c>
      <c r="R150" s="30">
        <f t="shared" ref="R150:R213" ca="1" si="41">+S150/W150-1</f>
        <v>7.117640359867905E-2</v>
      </c>
      <c r="S150" s="9" cm="1">
        <f t="array" aca="1" ref="S150" ca="1">_xll.FDS($E$7,"P_PRICE("&amp;AG150&amp;",0,D,D)")</f>
        <v>94.06</v>
      </c>
      <c r="T150" s="9" cm="1">
        <f t="array" aca="1" ref="T150" ca="1">_xll.FDS($E$7,"P_PRICE("&amp;AH150&amp;",0,D,D)")</f>
        <v>95.24</v>
      </c>
      <c r="U150" s="9" t="str" cm="1">
        <f t="array" aca="1" ref="U150" ca="1">_xll.FDS($E$7,"P_PRICE("&amp;AI150&amp;",0,D,D)")</f>
        <v>#N/A N/A</v>
      </c>
      <c r="V150" s="9" cm="1">
        <f t="array" aca="1" ref="V150" ca="1">_xll.FDS($E$7,"P_PRICE("&amp;AJ150&amp;",0,D,D)")</f>
        <v>88.15</v>
      </c>
      <c r="W150" s="9" cm="1">
        <f t="array" aca="1" ref="W150" ca="1">_xll.FDS($E$7,"P_PRICE("&amp;AK150&amp;",0,D,D)")</f>
        <v>87.81</v>
      </c>
      <c r="X150" s="24">
        <f t="shared" ref="X150:X213" ca="1" si="42">+AB150/AC150-1</f>
        <v>5.9171692160229217E-3</v>
      </c>
      <c r="Y150" s="24" t="e">
        <f t="shared" ref="Y150:Y213" ca="1" si="43">+AB150/AD150-1</f>
        <v>#VALUE!</v>
      </c>
      <c r="Z150" s="24">
        <f t="shared" ref="Z150:Z213" ca="1" si="44">+AB150/AE150-1</f>
        <v>5.5120445588353606E-2</v>
      </c>
      <c r="AA150" s="24">
        <f t="shared" ref="AA150:AA213" ca="1" si="45">+AB150/AF150-1</f>
        <v>0.17130840460875096</v>
      </c>
      <c r="AB150" s="9" cm="1">
        <f t="array" aca="1" ref="AB150" ca="1">_xll.FDS($E$9,"P_PRICE("&amp;AG150&amp;",0,D,D)")</f>
        <v>6296.79</v>
      </c>
      <c r="AC150" s="9" cm="1">
        <f t="array" aca="1" ref="AC150" ca="1">_xll.FDS($E$9,"P_PRICE("&amp;AH150&amp;",0,D,D)")</f>
        <v>6259.75</v>
      </c>
      <c r="AD150" s="9" t="str" cm="1">
        <f t="array" aca="1" ref="AD150" ca="1">_xll.FDS($E$9,"P_PRICE("&amp;AI150&amp;",0,D,D)")</f>
        <v>#N/A N/A</v>
      </c>
      <c r="AE150" s="9" cm="1">
        <f t="array" aca="1" ref="AE150" ca="1">_xll.FDS($E$9,"P_PRICE("&amp;AJ150&amp;",0,D,D)")</f>
        <v>5967.84</v>
      </c>
      <c r="AF150" s="9" cm="1">
        <f t="array" aca="1" ref="AF150" ca="1">_xll.FDS($E$9,"P_PRICE("&amp;AK150&amp;",0,D,D)")</f>
        <v>5375.86</v>
      </c>
      <c r="AG150" s="20">
        <f t="shared" ca="1" si="33"/>
        <v>45856</v>
      </c>
      <c r="AH150" s="22">
        <f t="shared" ref="AH150:AH213" ca="1" si="46">+WORKDAY($AG150, -5, $AN$2:$AN$100)</f>
        <v>45849</v>
      </c>
      <c r="AI150" s="22">
        <f t="shared" ref="AI150:AI213" ca="1" si="47">+WORKDAY($AG150, -10, $AN$2:$AN$100)</f>
        <v>45842</v>
      </c>
      <c r="AJ150" s="22">
        <f t="shared" ref="AJ150:AJ213" ca="1" si="48">+WORKDAY($AG150, -20, $AN$2:$AN$100)</f>
        <v>45828</v>
      </c>
      <c r="AK150" s="22">
        <f t="shared" ref="AK150:AK213" ca="1" si="49">+WORKDAY($AG150, -60, $AN$2:$AN$100)</f>
        <v>45770</v>
      </c>
      <c r="AL150" s="22">
        <f t="shared" ref="AL150:AL213" ca="1" si="50">+WORKDAY($AG150, -120, $AN$2:$AN$100)</f>
        <v>45684</v>
      </c>
    </row>
    <row r="151" spans="4:38" x14ac:dyDescent="0.25">
      <c r="D151" s="6">
        <f ca="1"/>
        <v>45855</v>
      </c>
      <c r="E151" s="28" cm="1">
        <f t="array" aca="1" ref="E151" ca="1">_xll.FDS($E$7,"P_PRICE("&amp;D151&amp;",0,D,D)")</f>
        <v>92.94</v>
      </c>
      <c r="F151" s="29" cm="1">
        <f t="array" aca="1" ref="F151" ca="1">_xll.FDS($E$7,"P_BETA_LOCIDX("&amp;$AG151&amp;","&amp;$AL151&amp;",,"""&amp;$E$9&amp;""")")</f>
        <v>1.2709956</v>
      </c>
      <c r="G151" s="30">
        <f t="shared" ca="1" si="36"/>
        <v>-3.4184521445899792E-2</v>
      </c>
      <c r="H151" s="30">
        <f t="shared" ca="1" si="36"/>
        <v>-2.4711318586992211E-2</v>
      </c>
      <c r="I151" s="30">
        <f t="shared" ca="1" si="36"/>
        <v>-2.3339557864474461E-2</v>
      </c>
      <c r="J151" s="30">
        <f t="shared" ca="1" si="34"/>
        <v>-0.15844539064252697</v>
      </c>
      <c r="K151" s="30">
        <f t="shared" ca="1" si="37"/>
        <v>3.4201038841101894E-3</v>
      </c>
      <c r="L151" s="30">
        <f t="shared" ca="1" si="37"/>
        <v>3.6453822061200377E-3</v>
      </c>
      <c r="M151" s="30">
        <f t="shared" ca="1" si="37"/>
        <v>6.7257338387893453E-2</v>
      </c>
      <c r="N151" s="30">
        <f t="shared" ca="1" si="35"/>
        <v>0.24267310879465012</v>
      </c>
      <c r="O151" s="30">
        <f t="shared" ca="1" si="38"/>
        <v>-3.0764417561789603E-2</v>
      </c>
      <c r="P151" s="30">
        <f t="shared" ca="1" si="39"/>
        <v>-2.1065936380872174E-2</v>
      </c>
      <c r="Q151" s="30">
        <f t="shared" ca="1" si="40"/>
        <v>4.3917780523418992E-2</v>
      </c>
      <c r="R151" s="30">
        <f t="shared" ca="1" si="41"/>
        <v>8.4227718152123154E-2</v>
      </c>
      <c r="S151" s="9" cm="1">
        <f t="array" aca="1" ref="S151" ca="1">_xll.FDS($E$7,"P_PRICE("&amp;AG151&amp;",0,D,D)")</f>
        <v>92.94</v>
      </c>
      <c r="T151" s="9" cm="1">
        <f t="array" aca="1" ref="T151" ca="1">_xll.FDS($E$7,"P_PRICE("&amp;AH151&amp;",0,D,D)")</f>
        <v>95.89</v>
      </c>
      <c r="U151" s="9" cm="1">
        <f t="array" aca="1" ref="U151" ca="1">_xll.FDS($E$7,"P_PRICE("&amp;AI151&amp;",0,D,D)")</f>
        <v>94.94</v>
      </c>
      <c r="V151" s="9" cm="1">
        <f t="array" aca="1" ref="V151" ca="1">_xll.FDS($E$7,"P_PRICE("&amp;AJ151&amp;",0,D,D)")</f>
        <v>89.03</v>
      </c>
      <c r="W151" s="9" cm="1">
        <f t="array" aca="1" ref="W151" ca="1">_xll.FDS($E$7,"P_PRICE("&amp;AK151&amp;",0,D,D)")</f>
        <v>85.72</v>
      </c>
      <c r="X151" s="24">
        <f t="shared" ca="1" si="42"/>
        <v>2.6908856994549701E-3</v>
      </c>
      <c r="Y151" s="24">
        <f t="shared" ca="1" si="43"/>
        <v>2.8681312556235738E-3</v>
      </c>
      <c r="Z151" s="24">
        <f t="shared" ca="1" si="44"/>
        <v>5.291705052943807E-2</v>
      </c>
      <c r="AA151" s="24">
        <f t="shared" ca="1" si="45"/>
        <v>0.19093150975082063</v>
      </c>
      <c r="AB151" s="9" cm="1">
        <f t="array" aca="1" ref="AB151" ca="1">_xll.FDS($E$9,"P_PRICE("&amp;AG151&amp;",0,D,D)")</f>
        <v>6297.36</v>
      </c>
      <c r="AC151" s="9" cm="1">
        <f t="array" aca="1" ref="AC151" ca="1">_xll.FDS($E$9,"P_PRICE("&amp;AH151&amp;",0,D,D)")</f>
        <v>6280.46</v>
      </c>
      <c r="AD151" s="9" cm="1">
        <f t="array" aca="1" ref="AD151" ca="1">_xll.FDS($E$9,"P_PRICE("&amp;AI151&amp;",0,D,D)")</f>
        <v>6279.35</v>
      </c>
      <c r="AE151" s="9" cm="1">
        <f t="array" aca="1" ref="AE151" ca="1">_xll.FDS($E$9,"P_PRICE("&amp;AJ151&amp;",0,D,D)")</f>
        <v>5980.87</v>
      </c>
      <c r="AF151" s="9" cm="1">
        <f t="array" aca="1" ref="AF151" ca="1">_xll.FDS($E$9,"P_PRICE("&amp;AK151&amp;",0,D,D)")</f>
        <v>5287.76</v>
      </c>
      <c r="AG151" s="20">
        <f t="shared" ref="AG151:AG214" ca="1" si="51">+WORKDAY(D151, 0, $AN$2:$AN$59)</f>
        <v>45855</v>
      </c>
      <c r="AH151" s="22">
        <f t="shared" ca="1" si="46"/>
        <v>45848</v>
      </c>
      <c r="AI151" s="22">
        <f t="shared" ca="1" si="47"/>
        <v>45841</v>
      </c>
      <c r="AJ151" s="22">
        <f t="shared" ca="1" si="48"/>
        <v>45826</v>
      </c>
      <c r="AK151" s="22">
        <f t="shared" ca="1" si="49"/>
        <v>45769</v>
      </c>
      <c r="AL151" s="22">
        <f t="shared" ca="1" si="50"/>
        <v>45681</v>
      </c>
    </row>
    <row r="152" spans="4:38" x14ac:dyDescent="0.25">
      <c r="D152" s="6">
        <f ca="1"/>
        <v>45854</v>
      </c>
      <c r="E152" s="28" cm="1">
        <f t="array" aca="1" ref="E152" ca="1">_xll.FDS($E$7,"P_PRICE("&amp;D152&amp;",0,D,D)")</f>
        <v>92.88</v>
      </c>
      <c r="F152" s="29" cm="1">
        <f t="array" aca="1" ref="F152" ca="1">_xll.FDS($E$7,"P_BETA_LOCIDX("&amp;$AG152&amp;","&amp;$AL152&amp;",,"""&amp;$E$9&amp;""")")</f>
        <v>1.2712417</v>
      </c>
      <c r="G152" s="30">
        <f t="shared" ca="1" si="36"/>
        <v>-3.7302947490783472E-2</v>
      </c>
      <c r="H152" s="30">
        <f t="shared" ca="1" si="36"/>
        <v>-2.4236800352734577E-2</v>
      </c>
      <c r="I152" s="30">
        <f t="shared" ca="1" si="36"/>
        <v>-2.5520921093590387E-2</v>
      </c>
      <c r="J152" s="30">
        <f t="shared" ca="1" si="34"/>
        <v>-0.14949144554914706</v>
      </c>
      <c r="K152" s="30">
        <f t="shared" ca="1" si="37"/>
        <v>8.9305944188684946E-5</v>
      </c>
      <c r="L152" s="30">
        <f t="shared" ca="1" si="37"/>
        <v>7.4060604353004648E-3</v>
      </c>
      <c r="M152" s="30">
        <f t="shared" ca="1" si="37"/>
        <v>5.9704196898066386E-2</v>
      </c>
      <c r="N152" s="30">
        <f t="shared" ca="1" si="35"/>
        <v>0.27245118439571947</v>
      </c>
      <c r="O152" s="30">
        <f t="shared" ca="1" si="38"/>
        <v>-3.7213641546594789E-2</v>
      </c>
      <c r="P152" s="30">
        <f t="shared" ca="1" si="39"/>
        <v>-1.6830739917434112E-2</v>
      </c>
      <c r="Q152" s="30">
        <f t="shared" ca="1" si="40"/>
        <v>3.4183275804475999E-2</v>
      </c>
      <c r="R152" s="30">
        <f t="shared" ca="1" si="41"/>
        <v>0.12295973884657241</v>
      </c>
      <c r="S152" s="9" cm="1">
        <f t="array" aca="1" ref="S152" ca="1">_xll.FDS($E$7,"P_PRICE("&amp;AG152&amp;",0,D,D)")</f>
        <v>92.88</v>
      </c>
      <c r="T152" s="9" cm="1">
        <f t="array" aca="1" ref="T152" ca="1">_xll.FDS($E$7,"P_PRICE("&amp;AH152&amp;",0,D,D)")</f>
        <v>96.47</v>
      </c>
      <c r="U152" s="9" cm="1">
        <f t="array" aca="1" ref="U152" ca="1">_xll.FDS($E$7,"P_PRICE("&amp;AI152&amp;",0,D,D)")</f>
        <v>94.47</v>
      </c>
      <c r="V152" s="9" cm="1">
        <f t="array" aca="1" ref="V152" ca="1">_xll.FDS($E$7,"P_PRICE("&amp;AJ152&amp;",0,D,D)")</f>
        <v>89.81</v>
      </c>
      <c r="W152" s="9" cm="1">
        <f t="array" aca="1" ref="W152" ca="1">_xll.FDS($E$7,"P_PRICE("&amp;AK152&amp;",0,D,D)")</f>
        <v>82.71</v>
      </c>
      <c r="X152" s="24">
        <f t="shared" ca="1" si="42"/>
        <v>7.0250955572559448E-5</v>
      </c>
      <c r="Y152" s="24">
        <f t="shared" ca="1" si="43"/>
        <v>5.8258476222896594E-3</v>
      </c>
      <c r="Z152" s="24">
        <f t="shared" ca="1" si="44"/>
        <v>4.6965259948652083E-2</v>
      </c>
      <c r="AA152" s="24">
        <f t="shared" ca="1" si="45"/>
        <v>0.21431894847039668</v>
      </c>
      <c r="AB152" s="9" cm="1">
        <f t="array" aca="1" ref="AB152" ca="1">_xll.FDS($E$9,"P_PRICE("&amp;AG152&amp;",0,D,D)")</f>
        <v>6263.7</v>
      </c>
      <c r="AC152" s="9" cm="1">
        <f t="array" aca="1" ref="AC152" ca="1">_xll.FDS($E$9,"P_PRICE("&amp;AH152&amp;",0,D,D)")</f>
        <v>6263.26</v>
      </c>
      <c r="AD152" s="9" cm="1">
        <f t="array" aca="1" ref="AD152" ca="1">_xll.FDS($E$9,"P_PRICE("&amp;AI152&amp;",0,D,D)")</f>
        <v>6227.42</v>
      </c>
      <c r="AE152" s="9" cm="1">
        <f t="array" aca="1" ref="AE152" ca="1">_xll.FDS($E$9,"P_PRICE("&amp;AJ152&amp;",0,D,D)")</f>
        <v>5982.72</v>
      </c>
      <c r="AF152" s="9" cm="1">
        <f t="array" aca="1" ref="AF152" ca="1">_xll.FDS($E$9,"P_PRICE("&amp;AK152&amp;",0,D,D)")</f>
        <v>5158.2</v>
      </c>
      <c r="AG152" s="20">
        <f t="shared" ca="1" si="51"/>
        <v>45854</v>
      </c>
      <c r="AH152" s="22">
        <f t="shared" ca="1" si="46"/>
        <v>45847</v>
      </c>
      <c r="AI152" s="22">
        <f t="shared" ca="1" si="47"/>
        <v>45840</v>
      </c>
      <c r="AJ152" s="22">
        <f t="shared" ca="1" si="48"/>
        <v>45825</v>
      </c>
      <c r="AK152" s="22">
        <f t="shared" ca="1" si="49"/>
        <v>45768</v>
      </c>
      <c r="AL152" s="22">
        <f t="shared" ca="1" si="50"/>
        <v>45680</v>
      </c>
    </row>
    <row r="153" spans="4:38" x14ac:dyDescent="0.25">
      <c r="D153" s="6">
        <f ca="1"/>
        <v>45853</v>
      </c>
      <c r="E153" s="28" cm="1">
        <f t="array" aca="1" ref="E153" ca="1">_xll.FDS($E$7,"P_PRICE("&amp;D153&amp;",0,D,D)")</f>
        <v>94.19</v>
      </c>
      <c r="F153" s="29" cm="1">
        <f t="array" aca="1" ref="F153" ca="1">_xll.FDS($E$7,"P_BETA_LOCIDX("&amp;$AG153&amp;","&amp;$AL153&amp;",,"""&amp;$E$9&amp;""")")</f>
        <v>1.2736784000000001</v>
      </c>
      <c r="G153" s="30">
        <f t="shared" ca="1" si="36"/>
        <v>-8.5917300065079267E-3</v>
      </c>
      <c r="H153" s="30">
        <f t="shared" ca="1" si="36"/>
        <v>1.375895263192109E-4</v>
      </c>
      <c r="I153" s="30">
        <f t="shared" ca="1" si="36"/>
        <v>-3.8128274941874457E-3</v>
      </c>
      <c r="J153" s="30">
        <f t="shared" ca="1" si="34"/>
        <v>-0.1203286701419479</v>
      </c>
      <c r="K153" s="30">
        <f t="shared" ca="1" si="37"/>
        <v>3.731719441267491E-3</v>
      </c>
      <c r="L153" s="30">
        <f t="shared" ca="1" si="37"/>
        <v>9.4015315883645909E-3</v>
      </c>
      <c r="M153" s="30">
        <f t="shared" ca="1" si="37"/>
        <v>4.4471318268687457E-2</v>
      </c>
      <c r="N153" s="30">
        <f t="shared" ca="1" si="35"/>
        <v>0.23171510082041388</v>
      </c>
      <c r="O153" s="30">
        <f t="shared" ca="1" si="38"/>
        <v>-4.8600105652404357E-3</v>
      </c>
      <c r="P153" s="30">
        <f t="shared" ca="1" si="39"/>
        <v>9.5391211146838017E-3</v>
      </c>
      <c r="Q153" s="30">
        <f t="shared" ca="1" si="40"/>
        <v>4.0658490774500011E-2</v>
      </c>
      <c r="R153" s="30">
        <f t="shared" ca="1" si="41"/>
        <v>0.11138643067846599</v>
      </c>
      <c r="S153" s="9" cm="1">
        <f t="array" aca="1" ref="S153" ca="1">_xll.FDS($E$7,"P_PRICE("&amp;AG153&amp;",0,D,D)")</f>
        <v>94.19</v>
      </c>
      <c r="T153" s="9" cm="1">
        <f t="array" aca="1" ref="T153" ca="1">_xll.FDS($E$7,"P_PRICE("&amp;AH153&amp;",0,D,D)")</f>
        <v>94.65</v>
      </c>
      <c r="U153" s="9" cm="1">
        <f t="array" aca="1" ref="U153" ca="1">_xll.FDS($E$7,"P_PRICE("&amp;AI153&amp;",0,D,D)")</f>
        <v>93.3</v>
      </c>
      <c r="V153" s="9" cm="1">
        <f t="array" aca="1" ref="V153" ca="1">_xll.FDS($E$7,"P_PRICE("&amp;AJ153&amp;",0,D,D)")</f>
        <v>90.51</v>
      </c>
      <c r="W153" s="9" cm="1">
        <f t="array" aca="1" ref="W153" ca="1">_xll.FDS($E$7,"P_PRICE("&amp;AK153&amp;",0,D,D)")</f>
        <v>84.75</v>
      </c>
      <c r="X153" s="24">
        <f t="shared" ca="1" si="42"/>
        <v>2.9298757372877571E-3</v>
      </c>
      <c r="Y153" s="24">
        <f t="shared" ca="1" si="43"/>
        <v>7.3814014498201352E-3</v>
      </c>
      <c r="Z153" s="24">
        <f t="shared" ca="1" si="44"/>
        <v>3.4915657098909314E-2</v>
      </c>
      <c r="AA153" s="24">
        <f t="shared" ca="1" si="45"/>
        <v>0.18192590909951356</v>
      </c>
      <c r="AB153" s="9" cm="1">
        <f t="array" aca="1" ref="AB153" ca="1">_xll.FDS($E$9,"P_PRICE("&amp;AG153&amp;",0,D,D)")</f>
        <v>6243.76</v>
      </c>
      <c r="AC153" s="9" cm="1">
        <f t="array" aca="1" ref="AC153" ca="1">_xll.FDS($E$9,"P_PRICE("&amp;AH153&amp;",0,D,D)")</f>
        <v>6225.52</v>
      </c>
      <c r="AD153" s="9" cm="1">
        <f t="array" aca="1" ref="AD153" ca="1">_xll.FDS($E$9,"P_PRICE("&amp;AI153&amp;",0,D,D)")</f>
        <v>6198.01</v>
      </c>
      <c r="AE153" s="9" cm="1">
        <f t="array" aca="1" ref="AE153" ca="1">_xll.FDS($E$9,"P_PRICE("&amp;AJ153&amp;",0,D,D)")</f>
        <v>6033.11</v>
      </c>
      <c r="AF153" s="9" cm="1">
        <f t="array" aca="1" ref="AF153" ca="1">_xll.FDS($E$9,"P_PRICE("&amp;AK153&amp;",0,D,D)")</f>
        <v>5282.7</v>
      </c>
      <c r="AG153" s="20">
        <f t="shared" ca="1" si="51"/>
        <v>45853</v>
      </c>
      <c r="AH153" s="22">
        <f t="shared" ca="1" si="46"/>
        <v>45846</v>
      </c>
      <c r="AI153" s="22">
        <f t="shared" ca="1" si="47"/>
        <v>45839</v>
      </c>
      <c r="AJ153" s="22">
        <f t="shared" ca="1" si="48"/>
        <v>45824</v>
      </c>
      <c r="AK153" s="22">
        <f t="shared" ca="1" si="49"/>
        <v>45764</v>
      </c>
      <c r="AL153" s="22">
        <f t="shared" ca="1" si="50"/>
        <v>45679</v>
      </c>
    </row>
    <row r="154" spans="4:38" x14ac:dyDescent="0.25">
      <c r="D154" s="6">
        <f ca="1"/>
        <v>45852</v>
      </c>
      <c r="E154" s="28" cm="1">
        <f t="array" aca="1" ref="E154" ca="1">_xll.FDS($E$7,"P_PRICE("&amp;D154&amp;",0,D,D)")</f>
        <v>94.84</v>
      </c>
      <c r="F154" s="29" cm="1">
        <f t="array" aca="1" ref="F154" ca="1">_xll.FDS($E$7,"P_BETA_LOCIDX("&amp;$AG154&amp;","&amp;$AL154&amp;",,"""&amp;$E$9&amp;""")")</f>
        <v>1.2750276</v>
      </c>
      <c r="G154" s="30">
        <f t="shared" ca="1" si="36"/>
        <v>-2.5958033385420146E-3</v>
      </c>
      <c r="H154" s="30">
        <f t="shared" ca="1" si="36"/>
        <v>2.004453219962482E-2</v>
      </c>
      <c r="I154" s="30">
        <f t="shared" ca="1" si="36"/>
        <v>-8.893331895142513E-3</v>
      </c>
      <c r="J154" s="30">
        <f t="shared" ca="1" si="34"/>
        <v>-0.12445149704663527</v>
      </c>
      <c r="K154" s="30">
        <f t="shared" ca="1" si="37"/>
        <v>7.8957821386267182E-3</v>
      </c>
      <c r="L154" s="30">
        <f t="shared" ca="1" si="37"/>
        <v>1.3070936209961416E-2</v>
      </c>
      <c r="M154" s="30">
        <f t="shared" ca="1" si="37"/>
        <v>6.2202972055071408E-2</v>
      </c>
      <c r="N154" s="30">
        <f t="shared" ca="1" si="35"/>
        <v>0.23995373181492519</v>
      </c>
      <c r="O154" s="30">
        <f t="shared" ca="1" si="38"/>
        <v>5.2999788000847037E-3</v>
      </c>
      <c r="P154" s="30">
        <f t="shared" ca="1" si="39"/>
        <v>3.3115468409586235E-2</v>
      </c>
      <c r="Q154" s="30">
        <f t="shared" ca="1" si="40"/>
        <v>5.3309640159928895E-2</v>
      </c>
      <c r="R154" s="30">
        <f t="shared" ca="1" si="41"/>
        <v>0.11550223476828991</v>
      </c>
      <c r="S154" s="9" cm="1">
        <f t="array" aca="1" ref="S154" ca="1">_xll.FDS($E$7,"P_PRICE("&amp;AG154&amp;",0,D,D)")</f>
        <v>94.84</v>
      </c>
      <c r="T154" s="9" cm="1">
        <f t="array" aca="1" ref="T154" ca="1">_xll.FDS($E$7,"P_PRICE("&amp;AH154&amp;",0,D,D)")</f>
        <v>94.34</v>
      </c>
      <c r="U154" s="9" cm="1">
        <f t="array" aca="1" ref="U154" ca="1">_xll.FDS($E$7,"P_PRICE("&amp;AI154&amp;",0,D,D)")</f>
        <v>91.8</v>
      </c>
      <c r="V154" s="9" cm="1">
        <f t="array" aca="1" ref="V154" ca="1">_xll.FDS($E$7,"P_PRICE("&amp;AJ154&amp;",0,D,D)")</f>
        <v>90.04</v>
      </c>
      <c r="W154" s="9" cm="1">
        <f t="array" aca="1" ref="W154" ca="1">_xll.FDS($E$7,"P_PRICE("&amp;AK154&amp;",0,D,D)")</f>
        <v>85.02</v>
      </c>
      <c r="X154" s="24">
        <f t="shared" ca="1" si="42"/>
        <v>6.1926362524440393E-3</v>
      </c>
      <c r="Y154" s="24">
        <f t="shared" ca="1" si="43"/>
        <v>1.0251492759812741E-2</v>
      </c>
      <c r="Z154" s="24">
        <f t="shared" ca="1" si="44"/>
        <v>4.8785588684567616E-2</v>
      </c>
      <c r="AA154" s="24">
        <f t="shared" ca="1" si="45"/>
        <v>0.18819493147828736</v>
      </c>
      <c r="AB154" s="9" cm="1">
        <f t="array" aca="1" ref="AB154" ca="1">_xll.FDS($E$9,"P_PRICE("&amp;AG154&amp;",0,D,D)")</f>
        <v>6268.56</v>
      </c>
      <c r="AC154" s="9" cm="1">
        <f t="array" aca="1" ref="AC154" ca="1">_xll.FDS($E$9,"P_PRICE("&amp;AH154&amp;",0,D,D)")</f>
        <v>6229.98</v>
      </c>
      <c r="AD154" s="9" cm="1">
        <f t="array" aca="1" ref="AD154" ca="1">_xll.FDS($E$9,"P_PRICE("&amp;AI154&amp;",0,D,D)")</f>
        <v>6204.95</v>
      </c>
      <c r="AE154" s="9" cm="1">
        <f t="array" aca="1" ref="AE154" ca="1">_xll.FDS($E$9,"P_PRICE("&amp;AJ154&amp;",0,D,D)")</f>
        <v>5976.97</v>
      </c>
      <c r="AF154" s="9" cm="1">
        <f t="array" aca="1" ref="AF154" ca="1">_xll.FDS($E$9,"P_PRICE("&amp;AK154&amp;",0,D,D)")</f>
        <v>5275.7</v>
      </c>
      <c r="AG154" s="20">
        <f t="shared" ca="1" si="51"/>
        <v>45852</v>
      </c>
      <c r="AH154" s="22">
        <f t="shared" ca="1" si="46"/>
        <v>45845</v>
      </c>
      <c r="AI154" s="22">
        <f t="shared" ca="1" si="47"/>
        <v>45838</v>
      </c>
      <c r="AJ154" s="22">
        <f t="shared" ca="1" si="48"/>
        <v>45821</v>
      </c>
      <c r="AK154" s="22">
        <f t="shared" ca="1" si="49"/>
        <v>45763</v>
      </c>
      <c r="AL154" s="22">
        <f t="shared" ca="1" si="50"/>
        <v>45678</v>
      </c>
    </row>
    <row r="155" spans="4:38" x14ac:dyDescent="0.25">
      <c r="D155" s="6">
        <f ca="1"/>
        <v>45849</v>
      </c>
      <c r="E155" s="28" cm="1">
        <f t="array" aca="1" ref="E155" ca="1">_xll.FDS($E$7,"P_PRICE("&amp;D155&amp;",0,D,D)")</f>
        <v>95.24</v>
      </c>
      <c r="F155" s="29" cm="1">
        <f t="array" aca="1" ref="F155" ca="1">_xll.FDS($E$7,"P_BETA_LOCIDX("&amp;$AG155&amp;","&amp;$AL155&amp;",,"""&amp;$E$9&amp;""")")</f>
        <v>1.2786846999999999</v>
      </c>
      <c r="G155" s="30" t="e">
        <f t="shared" ca="1" si="36"/>
        <v>#VALUE!</v>
      </c>
      <c r="H155" s="30">
        <f t="shared" ca="1" si="36"/>
        <v>2.2692028433056E-2</v>
      </c>
      <c r="I155" s="30">
        <f t="shared" ca="1" si="36"/>
        <v>-1.6969955236576462E-2</v>
      </c>
      <c r="J155" s="30">
        <f t="shared" ca="1" si="34"/>
        <v>-9.642270582631482E-2</v>
      </c>
      <c r="K155" s="30" t="e">
        <f t="shared" ca="1" si="37"/>
        <v>#VALUE!</v>
      </c>
      <c r="L155" s="30">
        <f t="shared" ca="1" si="37"/>
        <v>1.7954824713797123E-2</v>
      </c>
      <c r="M155" s="30">
        <f t="shared" ca="1" si="37"/>
        <v>4.5368616288298635E-2</v>
      </c>
      <c r="N155" s="30">
        <f t="shared" ca="1" si="35"/>
        <v>0.20450880239408673</v>
      </c>
      <c r="O155" s="30" t="e">
        <f t="shared" ca="1" si="38"/>
        <v>#VALUE!</v>
      </c>
      <c r="P155" s="30">
        <f t="shared" ca="1" si="39"/>
        <v>4.0646853146853124E-2</v>
      </c>
      <c r="Q155" s="30">
        <f t="shared" ca="1" si="40"/>
        <v>2.8398661051722174E-2</v>
      </c>
      <c r="R155" s="30">
        <f t="shared" ca="1" si="41"/>
        <v>0.10808609656777191</v>
      </c>
      <c r="S155" s="9" cm="1">
        <f t="array" aca="1" ref="S155" ca="1">_xll.FDS($E$7,"P_PRICE("&amp;AG155&amp;",0,D,D)")</f>
        <v>95.24</v>
      </c>
      <c r="T155" s="9" t="str" cm="1">
        <f t="array" aca="1" ref="T155" ca="1">_xll.FDS($E$7,"P_PRICE("&amp;AH155&amp;",0,D,D)")</f>
        <v>#N/A N/A</v>
      </c>
      <c r="U155" s="9" cm="1">
        <f t="array" aca="1" ref="U155" ca="1">_xll.FDS($E$7,"P_PRICE("&amp;AI155&amp;",0,D,D)")</f>
        <v>91.52</v>
      </c>
      <c r="V155" s="9" cm="1">
        <f t="array" aca="1" ref="V155" ca="1">_xll.FDS($E$7,"P_PRICE("&amp;AJ155&amp;",0,D,D)")</f>
        <v>92.61</v>
      </c>
      <c r="W155" s="9" cm="1">
        <f t="array" aca="1" ref="W155" ca="1">_xll.FDS($E$7,"P_PRICE("&amp;AK155&amp;",0,D,D)")</f>
        <v>85.95</v>
      </c>
      <c r="X155" s="24" t="e">
        <f t="shared" ca="1" si="42"/>
        <v>#VALUE!</v>
      </c>
      <c r="Y155" s="24">
        <f t="shared" ca="1" si="43"/>
        <v>1.4041635685323461E-2</v>
      </c>
      <c r="Z155" s="24">
        <f t="shared" ca="1" si="44"/>
        <v>3.5480690656812142E-2</v>
      </c>
      <c r="AA155" s="24">
        <f t="shared" ca="1" si="45"/>
        <v>0.15993684947828557</v>
      </c>
      <c r="AB155" s="9" cm="1">
        <f t="array" aca="1" ref="AB155" ca="1">_xll.FDS($E$9,"P_PRICE("&amp;AG155&amp;",0,D,D)")</f>
        <v>6259.75</v>
      </c>
      <c r="AC155" s="9" t="str" cm="1">
        <f t="array" aca="1" ref="AC155" ca="1">_xll.FDS($E$9,"P_PRICE("&amp;AH155&amp;",0,D,D)")</f>
        <v>#N/A N/A</v>
      </c>
      <c r="AD155" s="9" cm="1">
        <f t="array" aca="1" ref="AD155" ca="1">_xll.FDS($E$9,"P_PRICE("&amp;AI155&amp;",0,D,D)")</f>
        <v>6173.07</v>
      </c>
      <c r="AE155" s="9" cm="1">
        <f t="array" aca="1" ref="AE155" ca="1">_xll.FDS($E$9,"P_PRICE("&amp;AJ155&amp;",0,D,D)")</f>
        <v>6045.26</v>
      </c>
      <c r="AF155" s="9" cm="1">
        <f t="array" aca="1" ref="AF155" ca="1">_xll.FDS($E$9,"P_PRICE("&amp;AK155&amp;",0,D,D)")</f>
        <v>5396.63</v>
      </c>
      <c r="AG155" s="20">
        <f t="shared" ca="1" si="51"/>
        <v>45849</v>
      </c>
      <c r="AH155" s="22">
        <f t="shared" ca="1" si="46"/>
        <v>45842</v>
      </c>
      <c r="AI155" s="22">
        <f t="shared" ca="1" si="47"/>
        <v>45835</v>
      </c>
      <c r="AJ155" s="22">
        <f t="shared" ca="1" si="48"/>
        <v>45820</v>
      </c>
      <c r="AK155" s="22">
        <f t="shared" ca="1" si="49"/>
        <v>45762</v>
      </c>
      <c r="AL155" s="22">
        <f t="shared" ca="1" si="50"/>
        <v>45674</v>
      </c>
    </row>
    <row r="156" spans="4:38" x14ac:dyDescent="0.25">
      <c r="D156" s="6">
        <f ca="1"/>
        <v>45848</v>
      </c>
      <c r="E156" s="28" cm="1">
        <f t="array" aca="1" ref="E156" ca="1">_xll.FDS($E$7,"P_PRICE("&amp;D156&amp;",0,D,D)")</f>
        <v>95.89</v>
      </c>
      <c r="F156" s="29" cm="1">
        <f t="array" aca="1" ref="F156" ca="1">_xll.FDS($E$7,"P_BETA_LOCIDX("&amp;$AG156&amp;","&amp;$AL156&amp;",,"""&amp;$E$9&amp;""")")</f>
        <v>1.2782538000000001</v>
      </c>
      <c r="G156" s="30">
        <f t="shared" ca="1" si="36"/>
        <v>9.7803629990819551E-3</v>
      </c>
      <c r="H156" s="30">
        <f t="shared" ca="1" si="36"/>
        <v>4.7544543623506082E-2</v>
      </c>
      <c r="I156" s="30">
        <f t="shared" ca="1" si="36"/>
        <v>-1.9979095469854838E-3</v>
      </c>
      <c r="J156" s="30">
        <f t="shared" ca="1" si="34"/>
        <v>-8.8915492024387005E-2</v>
      </c>
      <c r="K156" s="30">
        <f t="shared" ca="1" si="37"/>
        <v>2.2595678183241969E-4</v>
      </c>
      <c r="L156" s="30">
        <f t="shared" ca="1" si="37"/>
        <v>2.9024447057980511E-2</v>
      </c>
      <c r="M156" s="30">
        <f t="shared" ca="1" si="37"/>
        <v>5.4808625401179652E-2</v>
      </c>
      <c r="N156" s="30">
        <f t="shared" ca="1" si="35"/>
        <v>0.20677513296633157</v>
      </c>
      <c r="O156" s="30">
        <f t="shared" ca="1" si="38"/>
        <v>1.0006319780914374E-2</v>
      </c>
      <c r="P156" s="30">
        <f t="shared" ca="1" si="39"/>
        <v>7.6568990681486593E-2</v>
      </c>
      <c r="Q156" s="30">
        <f t="shared" ca="1" si="40"/>
        <v>5.2810715854194168E-2</v>
      </c>
      <c r="R156" s="30">
        <f t="shared" ca="1" si="41"/>
        <v>0.11785964094194457</v>
      </c>
      <c r="S156" s="9" cm="1">
        <f t="array" aca="1" ref="S156" ca="1">_xll.FDS($E$7,"P_PRICE("&amp;AG156&amp;",0,D,D)")</f>
        <v>95.89</v>
      </c>
      <c r="T156" s="9" cm="1">
        <f t="array" aca="1" ref="T156" ca="1">_xll.FDS($E$7,"P_PRICE("&amp;AH156&amp;",0,D,D)")</f>
        <v>94.94</v>
      </c>
      <c r="U156" s="9" cm="1">
        <f t="array" aca="1" ref="U156" ca="1">_xll.FDS($E$7,"P_PRICE("&amp;AI156&amp;",0,D,D)")</f>
        <v>89.07</v>
      </c>
      <c r="V156" s="9" cm="1">
        <f t="array" aca="1" ref="V156" ca="1">_xll.FDS($E$7,"P_PRICE("&amp;AJ156&amp;",0,D,D)")</f>
        <v>91.08</v>
      </c>
      <c r="W156" s="9" cm="1">
        <f t="array" aca="1" ref="W156" ca="1">_xll.FDS($E$7,"P_PRICE("&amp;AK156&amp;",0,D,D)")</f>
        <v>85.78</v>
      </c>
      <c r="X156" s="24">
        <f t="shared" ca="1" si="42"/>
        <v>1.7676988860304554E-4</v>
      </c>
      <c r="Y156" s="24">
        <f t="shared" ca="1" si="43"/>
        <v>2.2706325659255233E-2</v>
      </c>
      <c r="Z156" s="24">
        <f t="shared" ca="1" si="44"/>
        <v>4.2877733202263624E-2</v>
      </c>
      <c r="AA156" s="24">
        <f t="shared" ca="1" si="45"/>
        <v>0.16176375377591801</v>
      </c>
      <c r="AB156" s="9" cm="1">
        <f t="array" aca="1" ref="AB156" ca="1">_xll.FDS($E$9,"P_PRICE("&amp;AG156&amp;",0,D,D)")</f>
        <v>6280.46</v>
      </c>
      <c r="AC156" s="9" cm="1">
        <f t="array" aca="1" ref="AC156" ca="1">_xll.FDS($E$9,"P_PRICE("&amp;AH156&amp;",0,D,D)")</f>
        <v>6279.35</v>
      </c>
      <c r="AD156" s="9" cm="1">
        <f t="array" aca="1" ref="AD156" ca="1">_xll.FDS($E$9,"P_PRICE("&amp;AI156&amp;",0,D,D)")</f>
        <v>6141.02</v>
      </c>
      <c r="AE156" s="9" cm="1">
        <f t="array" aca="1" ref="AE156" ca="1">_xll.FDS($E$9,"P_PRICE("&amp;AJ156&amp;",0,D,D)")</f>
        <v>6022.24</v>
      </c>
      <c r="AF156" s="9" cm="1">
        <f t="array" aca="1" ref="AF156" ca="1">_xll.FDS($E$9,"P_PRICE("&amp;AK156&amp;",0,D,D)")</f>
        <v>5405.97</v>
      </c>
      <c r="AG156" s="20">
        <f t="shared" ca="1" si="51"/>
        <v>45848</v>
      </c>
      <c r="AH156" s="22">
        <f t="shared" ca="1" si="46"/>
        <v>45841</v>
      </c>
      <c r="AI156" s="22">
        <f t="shared" ca="1" si="47"/>
        <v>45834</v>
      </c>
      <c r="AJ156" s="22">
        <f t="shared" ca="1" si="48"/>
        <v>45819</v>
      </c>
      <c r="AK156" s="22">
        <f t="shared" ca="1" si="49"/>
        <v>45761</v>
      </c>
      <c r="AL156" s="22">
        <f t="shared" ca="1" si="50"/>
        <v>45673</v>
      </c>
    </row>
    <row r="157" spans="4:38" x14ac:dyDescent="0.25">
      <c r="D157" s="6">
        <f ca="1"/>
        <v>45847</v>
      </c>
      <c r="E157" s="28" cm="1">
        <f t="array" aca="1" ref="E157" ca="1">_xll.FDS($E$7,"P_PRICE("&amp;D157&amp;",0,D,D)")</f>
        <v>96.47</v>
      </c>
      <c r="F157" s="29" cm="1">
        <f t="array" aca="1" ref="F157" ca="1">_xll.FDS($E$7,"P_BETA_LOCIDX("&amp;$AG157&amp;","&amp;$AL157&amp;",,"""&amp;$E$9&amp;""")")</f>
        <v>1.2851086</v>
      </c>
      <c r="G157" s="30">
        <f t="shared" ca="1" si="36"/>
        <v>1.3774694839361706E-2</v>
      </c>
      <c r="H157" s="30">
        <f t="shared" ca="1" si="36"/>
        <v>5.1873987028254319E-2</v>
      </c>
      <c r="I157" s="30">
        <f t="shared" ca="1" si="36"/>
        <v>-9.3363944983410468E-3</v>
      </c>
      <c r="J157" s="30">
        <f t="shared" ca="1" si="34"/>
        <v>-7.7200604454581628E-2</v>
      </c>
      <c r="K157" s="30">
        <f t="shared" ca="1" si="37"/>
        <v>7.3960471951467115E-3</v>
      </c>
      <c r="L157" s="30">
        <f t="shared" ca="1" si="37"/>
        <v>3.6092630768069102E-2</v>
      </c>
      <c r="M157" s="30">
        <f t="shared" ca="1" si="37"/>
        <v>4.7764812151731714E-2</v>
      </c>
      <c r="N157" s="30">
        <f t="shared" ca="1" si="35"/>
        <v>0.21562401724665145</v>
      </c>
      <c r="O157" s="30">
        <f t="shared" ca="1" si="38"/>
        <v>2.1170742034508416E-2</v>
      </c>
      <c r="P157" s="30">
        <f t="shared" ca="1" si="39"/>
        <v>8.7966617796323421E-2</v>
      </c>
      <c r="Q157" s="30">
        <f t="shared" ca="1" si="40"/>
        <v>3.8428417653390667E-2</v>
      </c>
      <c r="R157" s="30">
        <f t="shared" ca="1" si="41"/>
        <v>0.13842341279206982</v>
      </c>
      <c r="S157" s="9" cm="1">
        <f t="array" aca="1" ref="S157" ca="1">_xll.FDS($E$7,"P_PRICE("&amp;AG157&amp;",0,D,D)")</f>
        <v>96.47</v>
      </c>
      <c r="T157" s="9" cm="1">
        <f t="array" aca="1" ref="T157" ca="1">_xll.FDS($E$7,"P_PRICE("&amp;AH157&amp;",0,D,D)")</f>
        <v>94.47</v>
      </c>
      <c r="U157" s="9" cm="1">
        <f t="array" aca="1" ref="U157" ca="1">_xll.FDS($E$7,"P_PRICE("&amp;AI157&amp;",0,D,D)")</f>
        <v>88.67</v>
      </c>
      <c r="V157" s="9" cm="1">
        <f t="array" aca="1" ref="V157" ca="1">_xll.FDS($E$7,"P_PRICE("&amp;AJ157&amp;",0,D,D)")</f>
        <v>92.9</v>
      </c>
      <c r="W157" s="9" cm="1">
        <f t="array" aca="1" ref="W157" ca="1">_xll.FDS($E$7,"P_PRICE("&amp;AK157&amp;",0,D,D)")</f>
        <v>84.74</v>
      </c>
      <c r="X157" s="24">
        <f t="shared" ca="1" si="42"/>
        <v>5.7551923589544973E-3</v>
      </c>
      <c r="Y157" s="24">
        <f t="shared" ca="1" si="43"/>
        <v>2.8085276814791449E-2</v>
      </c>
      <c r="Z157" s="24">
        <f t="shared" ca="1" si="44"/>
        <v>3.7167918844937864E-2</v>
      </c>
      <c r="AA157" s="24">
        <f t="shared" ca="1" si="45"/>
        <v>0.16778661137794226</v>
      </c>
      <c r="AB157" s="9" cm="1">
        <f t="array" aca="1" ref="AB157" ca="1">_xll.FDS($E$9,"P_PRICE("&amp;AG157&amp;",0,D,D)")</f>
        <v>6263.26</v>
      </c>
      <c r="AC157" s="9" cm="1">
        <f t="array" aca="1" ref="AC157" ca="1">_xll.FDS($E$9,"P_PRICE("&amp;AH157&amp;",0,D,D)")</f>
        <v>6227.42</v>
      </c>
      <c r="AD157" s="9" cm="1">
        <f t="array" aca="1" ref="AD157" ca="1">_xll.FDS($E$9,"P_PRICE("&amp;AI157&amp;",0,D,D)")</f>
        <v>6092.16</v>
      </c>
      <c r="AE157" s="9" cm="1">
        <f t="array" aca="1" ref="AE157" ca="1">_xll.FDS($E$9,"P_PRICE("&amp;AJ157&amp;",0,D,D)")</f>
        <v>6038.81</v>
      </c>
      <c r="AF157" s="9" cm="1">
        <f t="array" aca="1" ref="AF157" ca="1">_xll.FDS($E$9,"P_PRICE("&amp;AK157&amp;",0,D,D)")</f>
        <v>5363.36</v>
      </c>
      <c r="AG157" s="20">
        <f t="shared" ca="1" si="51"/>
        <v>45847</v>
      </c>
      <c r="AH157" s="22">
        <f t="shared" ca="1" si="46"/>
        <v>45840</v>
      </c>
      <c r="AI157" s="22">
        <f t="shared" ca="1" si="47"/>
        <v>45833</v>
      </c>
      <c r="AJ157" s="22">
        <f t="shared" ca="1" si="48"/>
        <v>45818</v>
      </c>
      <c r="AK157" s="22">
        <f t="shared" ca="1" si="49"/>
        <v>45758</v>
      </c>
      <c r="AL157" s="22">
        <f t="shared" ca="1" si="50"/>
        <v>45672</v>
      </c>
    </row>
    <row r="158" spans="4:38" x14ac:dyDescent="0.25">
      <c r="D158" s="6">
        <f ca="1"/>
        <v>45846</v>
      </c>
      <c r="E158" s="28" cm="1">
        <f t="array" aca="1" ref="E158" ca="1">_xll.FDS($E$7,"P_PRICE("&amp;D158&amp;",0,D,D)")</f>
        <v>94.65</v>
      </c>
      <c r="F158" s="29" cm="1">
        <f t="array" aca="1" ref="F158" ca="1">_xll.FDS($E$7,"P_BETA_LOCIDX("&amp;$AG158&amp;","&amp;$AL158&amp;",,"""&amp;$E$9&amp;""")")</f>
        <v>1.2830789</v>
      </c>
      <c r="G158" s="30">
        <f t="shared" ca="1" si="36"/>
        <v>8.7744802253074024E-3</v>
      </c>
      <c r="H158" s="30">
        <f t="shared" ca="1" si="36"/>
        <v>6.1173308307426351E-3</v>
      </c>
      <c r="I158" s="30">
        <f t="shared" ca="1" si="36"/>
        <v>-3.1147339228782343E-2</v>
      </c>
      <c r="J158" s="30">
        <f t="shared" ca="1" si="34"/>
        <v>-9.6399671542610976E-2</v>
      </c>
      <c r="K158" s="30">
        <f t="shared" ca="1" si="37"/>
        <v>5.6949731508985748E-3</v>
      </c>
      <c r="L158" s="30">
        <f t="shared" ca="1" si="37"/>
        <v>2.8082843994432376E-2</v>
      </c>
      <c r="M158" s="30">
        <f t="shared" ca="1" si="37"/>
        <v>4.6923256807661982E-2</v>
      </c>
      <c r="N158" s="30">
        <f t="shared" ca="1" si="35"/>
        <v>0.2332000558808287</v>
      </c>
      <c r="O158" s="30">
        <f t="shared" ca="1" si="38"/>
        <v>1.4469453376205976E-2</v>
      </c>
      <c r="P158" s="30">
        <f t="shared" ca="1" si="39"/>
        <v>3.4200174825175012E-2</v>
      </c>
      <c r="Q158" s="30">
        <f t="shared" ca="1" si="40"/>
        <v>1.5775917578879639E-2</v>
      </c>
      <c r="R158" s="30">
        <f t="shared" ca="1" si="41"/>
        <v>0.13680038433821773</v>
      </c>
      <c r="S158" s="9" cm="1">
        <f t="array" aca="1" ref="S158" ca="1">_xll.FDS($E$7,"P_PRICE("&amp;AG158&amp;",0,D,D)")</f>
        <v>94.65</v>
      </c>
      <c r="T158" s="9" cm="1">
        <f t="array" aca="1" ref="T158" ca="1">_xll.FDS($E$7,"P_PRICE("&amp;AH158&amp;",0,D,D)")</f>
        <v>93.3</v>
      </c>
      <c r="U158" s="9" cm="1">
        <f t="array" aca="1" ref="U158" ca="1">_xll.FDS($E$7,"P_PRICE("&amp;AI158&amp;",0,D,D)")</f>
        <v>91.52</v>
      </c>
      <c r="V158" s="9" cm="1">
        <f t="array" aca="1" ref="V158" ca="1">_xll.FDS($E$7,"P_PRICE("&amp;AJ158&amp;",0,D,D)")</f>
        <v>93.18</v>
      </c>
      <c r="W158" s="9" cm="1">
        <f t="array" aca="1" ref="W158" ca="1">_xll.FDS($E$7,"P_PRICE("&amp;AK158&amp;",0,D,D)")</f>
        <v>83.26</v>
      </c>
      <c r="X158" s="24">
        <f t="shared" ca="1" si="42"/>
        <v>4.4385213963837877E-3</v>
      </c>
      <c r="Y158" s="24">
        <f t="shared" ca="1" si="43"/>
        <v>2.1887074905863058E-2</v>
      </c>
      <c r="Z158" s="24">
        <f t="shared" ca="1" si="44"/>
        <v>3.6570827255955951E-2</v>
      </c>
      <c r="AA158" s="24">
        <f t="shared" ca="1" si="45"/>
        <v>0.18175036303755654</v>
      </c>
      <c r="AB158" s="9" cm="1">
        <f t="array" aca="1" ref="AB158" ca="1">_xll.FDS($E$9,"P_PRICE("&amp;AG158&amp;",0,D,D)")</f>
        <v>6225.52</v>
      </c>
      <c r="AC158" s="9" cm="1">
        <f t="array" aca="1" ref="AC158" ca="1">_xll.FDS($E$9,"P_PRICE("&amp;AH158&amp;",0,D,D)")</f>
        <v>6198.01</v>
      </c>
      <c r="AD158" s="9" cm="1">
        <f t="array" aca="1" ref="AD158" ca="1">_xll.FDS($E$9,"P_PRICE("&amp;AI158&amp;",0,D,D)")</f>
        <v>6092.18</v>
      </c>
      <c r="AE158" s="9" cm="1">
        <f t="array" aca="1" ref="AE158" ca="1">_xll.FDS($E$9,"P_PRICE("&amp;AJ158&amp;",0,D,D)")</f>
        <v>6005.88</v>
      </c>
      <c r="AF158" s="9" cm="1">
        <f t="array" aca="1" ref="AF158" ca="1">_xll.FDS($E$9,"P_PRICE("&amp;AK158&amp;",0,D,D)")</f>
        <v>5268.05</v>
      </c>
      <c r="AG158" s="20">
        <f t="shared" ca="1" si="51"/>
        <v>45846</v>
      </c>
      <c r="AH158" s="22">
        <f t="shared" ca="1" si="46"/>
        <v>45839</v>
      </c>
      <c r="AI158" s="22">
        <f t="shared" ca="1" si="47"/>
        <v>45832</v>
      </c>
      <c r="AJ158" s="22">
        <f t="shared" ca="1" si="48"/>
        <v>45817</v>
      </c>
      <c r="AK158" s="22">
        <f t="shared" ca="1" si="49"/>
        <v>45757</v>
      </c>
      <c r="AL158" s="22">
        <f t="shared" ca="1" si="50"/>
        <v>45671</v>
      </c>
    </row>
    <row r="159" spans="4:38" x14ac:dyDescent="0.25">
      <c r="D159" s="6">
        <f ca="1"/>
        <v>45845</v>
      </c>
      <c r="E159" s="28" cm="1">
        <f t="array" aca="1" ref="E159" ca="1">_xll.FDS($E$7,"P_PRICE("&amp;D159&amp;",0,D,D)")</f>
        <v>94.34</v>
      </c>
      <c r="F159" s="29" cm="1">
        <f t="array" aca="1" ref="F159" ca="1">_xll.FDS($E$7,"P_BETA_LOCIDX("&amp;$AG159&amp;","&amp;$AL159&amp;",,"""&amp;$E$9&amp;""")")</f>
        <v>1.2831619999999999</v>
      </c>
      <c r="G159" s="30">
        <f t="shared" ca="1" si="36"/>
        <v>2.249272868966231E-2</v>
      </c>
      <c r="H159" s="30">
        <f t="shared" ca="1" si="36"/>
        <v>5.420382402536443E-3</v>
      </c>
      <c r="I159" s="30">
        <f t="shared" ca="1" si="36"/>
        <v>-2.9652615324813815E-2</v>
      </c>
      <c r="J159" s="30">
        <f t="shared" ca="1" si="34"/>
        <v>-0.12214297324856241</v>
      </c>
      <c r="K159" s="30">
        <f t="shared" ca="1" si="37"/>
        <v>5.176116626241881E-3</v>
      </c>
      <c r="L159" s="30">
        <f t="shared" ca="1" si="37"/>
        <v>4.3617758373622646E-2</v>
      </c>
      <c r="M159" s="30">
        <f t="shared" ca="1" si="37"/>
        <v>4.9103663520188724E-2</v>
      </c>
      <c r="N159" s="30">
        <f t="shared" ca="1" si="35"/>
        <v>0.18178579027653055</v>
      </c>
      <c r="O159" s="30">
        <f t="shared" ca="1" si="38"/>
        <v>2.7668845315904189E-2</v>
      </c>
      <c r="P159" s="30">
        <f t="shared" ca="1" si="39"/>
        <v>4.9038140776159089E-2</v>
      </c>
      <c r="Q159" s="30">
        <f t="shared" ca="1" si="40"/>
        <v>1.9451048195374909E-2</v>
      </c>
      <c r="R159" s="30">
        <f t="shared" ca="1" si="41"/>
        <v>5.9642817027968142E-2</v>
      </c>
      <c r="S159" s="9" cm="1">
        <f t="array" aca="1" ref="S159" ca="1">_xll.FDS($E$7,"P_PRICE("&amp;AG159&amp;",0,D,D)")</f>
        <v>94.34</v>
      </c>
      <c r="T159" s="9" cm="1">
        <f t="array" aca="1" ref="T159" ca="1">_xll.FDS($E$7,"P_PRICE("&amp;AH159&amp;",0,D,D)")</f>
        <v>91.8</v>
      </c>
      <c r="U159" s="9" cm="1">
        <f t="array" aca="1" ref="U159" ca="1">_xll.FDS($E$7,"P_PRICE("&amp;AI159&amp;",0,D,D)")</f>
        <v>89.93</v>
      </c>
      <c r="V159" s="9" cm="1">
        <f t="array" aca="1" ref="V159" ca="1">_xll.FDS($E$7,"P_PRICE("&amp;AJ159&amp;",0,D,D)")</f>
        <v>92.54</v>
      </c>
      <c r="W159" s="9" cm="1">
        <f t="array" aca="1" ref="W159" ca="1">_xll.FDS($E$7,"P_PRICE("&amp;AK159&amp;",0,D,D)")</f>
        <v>89.03</v>
      </c>
      <c r="X159" s="24">
        <f t="shared" ca="1" si="42"/>
        <v>4.0338761795017941E-3</v>
      </c>
      <c r="Y159" s="24">
        <f t="shared" ca="1" si="43"/>
        <v>3.399240187413799E-2</v>
      </c>
      <c r="Z159" s="24">
        <f t="shared" ca="1" si="44"/>
        <v>3.8267703937763686E-2</v>
      </c>
      <c r="AA159" s="24">
        <f t="shared" ca="1" si="45"/>
        <v>0.14167017903938128</v>
      </c>
      <c r="AB159" s="9" cm="1">
        <f t="array" aca="1" ref="AB159" ca="1">_xll.FDS($E$9,"P_PRICE("&amp;AG159&amp;",0,D,D)")</f>
        <v>6229.98</v>
      </c>
      <c r="AC159" s="9" cm="1">
        <f t="array" aca="1" ref="AC159" ca="1">_xll.FDS($E$9,"P_PRICE("&amp;AH159&amp;",0,D,D)")</f>
        <v>6204.95</v>
      </c>
      <c r="AD159" s="9" cm="1">
        <f t="array" aca="1" ref="AD159" ca="1">_xll.FDS($E$9,"P_PRICE("&amp;AI159&amp;",0,D,D)")</f>
        <v>6025.17</v>
      </c>
      <c r="AE159" s="9" cm="1">
        <f t="array" aca="1" ref="AE159" ca="1">_xll.FDS($E$9,"P_PRICE("&amp;AJ159&amp;",0,D,D)")</f>
        <v>6000.36</v>
      </c>
      <c r="AF159" s="9" cm="1">
        <f t="array" aca="1" ref="AF159" ca="1">_xll.FDS($E$9,"P_PRICE("&amp;AK159&amp;",0,D,D)")</f>
        <v>5456.9</v>
      </c>
      <c r="AG159" s="20">
        <f t="shared" ca="1" si="51"/>
        <v>45845</v>
      </c>
      <c r="AH159" s="22">
        <f t="shared" ca="1" si="46"/>
        <v>45838</v>
      </c>
      <c r="AI159" s="22">
        <f t="shared" ca="1" si="47"/>
        <v>45831</v>
      </c>
      <c r="AJ159" s="22">
        <f t="shared" ca="1" si="48"/>
        <v>45814</v>
      </c>
      <c r="AK159" s="22">
        <f t="shared" ca="1" si="49"/>
        <v>45756</v>
      </c>
      <c r="AL159" s="22">
        <f t="shared" ca="1" si="50"/>
        <v>45670</v>
      </c>
    </row>
    <row r="160" spans="4:38" x14ac:dyDescent="0.25">
      <c r="D160" s="6">
        <f ca="1"/>
        <v>45841</v>
      </c>
      <c r="E160" s="28" cm="1">
        <f t="array" aca="1" ref="E160" ca="1">_xll.FDS($E$7,"P_PRICE("&amp;D160&amp;",0,D,D)")</f>
        <v>94.94</v>
      </c>
      <c r="F160" s="29" cm="1">
        <f t="array" aca="1" ref="F160" ca="1">_xll.FDS($E$7,"P_BETA_LOCIDX("&amp;$AG160&amp;","&amp;$AL160&amp;",,"""&amp;$E$9&amp;""")")</f>
        <v>1.2775475000000001</v>
      </c>
      <c r="G160" s="30">
        <f t="shared" ca="1" si="36"/>
        <v>3.7125731527709004E-2</v>
      </c>
      <c r="H160" s="30">
        <f t="shared" ca="1" si="36"/>
        <v>2.6251101591604209E-3</v>
      </c>
      <c r="I160" s="30">
        <f t="shared" ca="1" si="36"/>
        <v>-2.1342627498743605E-2</v>
      </c>
      <c r="J160" s="30">
        <f t="shared" ca="1" si="34"/>
        <v>-0.13823260348563143</v>
      </c>
      <c r="K160" s="30">
        <f t="shared" ca="1" si="37"/>
        <v>2.8777490657089601E-2</v>
      </c>
      <c r="L160" s="30">
        <f t="shared" ca="1" si="37"/>
        <v>6.3757008227900119E-2</v>
      </c>
      <c r="M160" s="30">
        <f t="shared" ca="1" si="37"/>
        <v>6.6016923273391592E-2</v>
      </c>
      <c r="N160" s="30">
        <f t="shared" ca="1" si="35"/>
        <v>0.30715651385253612</v>
      </c>
      <c r="O160" s="30">
        <f t="shared" ca="1" si="38"/>
        <v>6.5903222184798604E-2</v>
      </c>
      <c r="P160" s="30">
        <f t="shared" ca="1" si="39"/>
        <v>6.638211838706054E-2</v>
      </c>
      <c r="Q160" s="30">
        <f t="shared" ca="1" si="40"/>
        <v>4.4674295774647987E-2</v>
      </c>
      <c r="R160" s="30">
        <f t="shared" ca="1" si="41"/>
        <v>0.16892391036690468</v>
      </c>
      <c r="S160" s="9" cm="1">
        <f t="array" aca="1" ref="S160" ca="1">_xll.FDS($E$7,"P_PRICE("&amp;AG160&amp;",0,D,D)")</f>
        <v>94.94</v>
      </c>
      <c r="T160" s="9" cm="1">
        <f t="array" aca="1" ref="T160" ca="1">_xll.FDS($E$7,"P_PRICE("&amp;AH160&amp;",0,D,D)")</f>
        <v>89.07</v>
      </c>
      <c r="U160" s="9" cm="1">
        <f t="array" aca="1" ref="U160" ca="1">_xll.FDS($E$7,"P_PRICE("&amp;AI160&amp;",0,D,D)")</f>
        <v>89.03</v>
      </c>
      <c r="V160" s="9" cm="1">
        <f t="array" aca="1" ref="V160" ca="1">_xll.FDS($E$7,"P_PRICE("&amp;AJ160&amp;",0,D,D)")</f>
        <v>90.88</v>
      </c>
      <c r="W160" s="9" cm="1">
        <f t="array" aca="1" ref="W160" ca="1">_xll.FDS($E$7,"P_PRICE("&amp;AK160&amp;",0,D,D)")</f>
        <v>81.22</v>
      </c>
      <c r="X160" s="24">
        <f t="shared" ca="1" si="42"/>
        <v>2.2525573927458353E-2</v>
      </c>
      <c r="Y160" s="24">
        <f t="shared" ca="1" si="43"/>
        <v>4.9905782937933907E-2</v>
      </c>
      <c r="Z160" s="24">
        <f t="shared" ca="1" si="44"/>
        <v>5.1674730899157639E-2</v>
      </c>
      <c r="AA160" s="24">
        <f t="shared" ca="1" si="45"/>
        <v>0.24042668773766618</v>
      </c>
      <c r="AB160" s="9" cm="1">
        <f t="array" aca="1" ref="AB160" ca="1">_xll.FDS($E$9,"P_PRICE("&amp;AG160&amp;",0,D,D)")</f>
        <v>6279.35</v>
      </c>
      <c r="AC160" s="9" cm="1">
        <f t="array" aca="1" ref="AC160" ca="1">_xll.FDS($E$9,"P_PRICE("&amp;AH160&amp;",0,D,D)")</f>
        <v>6141.02</v>
      </c>
      <c r="AD160" s="9" cm="1">
        <f t="array" aca="1" ref="AD160" ca="1">_xll.FDS($E$9,"P_PRICE("&amp;AI160&amp;",0,D,D)")</f>
        <v>5980.87</v>
      </c>
      <c r="AE160" s="9" cm="1">
        <f t="array" aca="1" ref="AE160" ca="1">_xll.FDS($E$9,"P_PRICE("&amp;AJ160&amp;",0,D,D)")</f>
        <v>5970.81</v>
      </c>
      <c r="AF160" s="9" cm="1">
        <f t="array" aca="1" ref="AF160" ca="1">_xll.FDS($E$9,"P_PRICE("&amp;AK160&amp;",0,D,D)")</f>
        <v>5062.25</v>
      </c>
      <c r="AG160" s="20">
        <f t="shared" ca="1" si="51"/>
        <v>45841</v>
      </c>
      <c r="AH160" s="22">
        <f t="shared" ca="1" si="46"/>
        <v>45834</v>
      </c>
      <c r="AI160" s="22">
        <f t="shared" ca="1" si="47"/>
        <v>45826</v>
      </c>
      <c r="AJ160" s="22">
        <f t="shared" ca="1" si="48"/>
        <v>45812</v>
      </c>
      <c r="AK160" s="22">
        <f t="shared" ca="1" si="49"/>
        <v>45754</v>
      </c>
      <c r="AL160" s="22">
        <f t="shared" ca="1" si="50"/>
        <v>45665</v>
      </c>
    </row>
    <row r="161" spans="4:38" x14ac:dyDescent="0.25">
      <c r="D161" s="6">
        <f ca="1"/>
        <v>45840</v>
      </c>
      <c r="E161" s="28" cm="1">
        <f t="array" aca="1" ref="E161" ca="1">_xll.FDS($E$7,"P_PRICE("&amp;D161&amp;",0,D,D)")</f>
        <v>94.47</v>
      </c>
      <c r="F161" s="29" cm="1">
        <f t="array" aca="1" ref="F161" ca="1">_xll.FDS($E$7,"P_BETA_LOCIDX("&amp;$AG161&amp;","&amp;$AL161&amp;",,"""&amp;$E$9&amp;""")")</f>
        <v>1.2787681</v>
      </c>
      <c r="G161" s="30">
        <f t="shared" ca="1" si="36"/>
        <v>3.7019474221737819E-2</v>
      </c>
      <c r="H161" s="30">
        <f t="shared" ca="1" si="36"/>
        <v>-4.1574081613719727E-4</v>
      </c>
      <c r="I161" s="30">
        <f t="shared" ca="1" si="36"/>
        <v>-1.8291737873226743E-2</v>
      </c>
      <c r="J161" s="30">
        <f t="shared" ca="1" si="34"/>
        <v>-0.12249325752898438</v>
      </c>
      <c r="K161" s="30">
        <f t="shared" ca="1" si="37"/>
        <v>2.8391600549887184E-2</v>
      </c>
      <c r="L161" s="30">
        <f t="shared" ca="1" si="37"/>
        <v>5.2303058486775231E-2</v>
      </c>
      <c r="M161" s="30">
        <f t="shared" ca="1" si="37"/>
        <v>5.5056443755579554E-2</v>
      </c>
      <c r="N161" s="30">
        <f t="shared" ca="1" si="35"/>
        <v>0.29066439639382918</v>
      </c>
      <c r="O161" s="30">
        <f t="shared" ca="1" si="38"/>
        <v>6.5411074771625E-2</v>
      </c>
      <c r="P161" s="30">
        <f t="shared" ca="1" si="39"/>
        <v>5.1887317670638033E-2</v>
      </c>
      <c r="Q161" s="30">
        <f t="shared" ca="1" si="40"/>
        <v>3.6764705882352811E-2</v>
      </c>
      <c r="R161" s="30">
        <f t="shared" ca="1" si="41"/>
        <v>0.1681711388648448</v>
      </c>
      <c r="S161" s="9" cm="1">
        <f t="array" aca="1" ref="S161" ca="1">_xll.FDS($E$7,"P_PRICE("&amp;AG161&amp;",0,D,D)")</f>
        <v>94.47</v>
      </c>
      <c r="T161" s="9" cm="1">
        <f t="array" aca="1" ref="T161" ca="1">_xll.FDS($E$7,"P_PRICE("&amp;AH161&amp;",0,D,D)")</f>
        <v>88.67</v>
      </c>
      <c r="U161" s="9" cm="1">
        <f t="array" aca="1" ref="U161" ca="1">_xll.FDS($E$7,"P_PRICE("&amp;AI161&amp;",0,D,D)")</f>
        <v>89.81</v>
      </c>
      <c r="V161" s="9" cm="1">
        <f t="array" aca="1" ref="V161" ca="1">_xll.FDS($E$7,"P_PRICE("&amp;AJ161&amp;",0,D,D)")</f>
        <v>91.12</v>
      </c>
      <c r="W161" s="9" cm="1">
        <f t="array" aca="1" ref="W161" ca="1">_xll.FDS($E$7,"P_PRICE("&amp;AK161&amp;",0,D,D)")</f>
        <v>80.87</v>
      </c>
      <c r="X161" s="24">
        <f t="shared" ca="1" si="42"/>
        <v>2.2202305914486908E-2</v>
      </c>
      <c r="Y161" s="24">
        <f t="shared" ca="1" si="43"/>
        <v>4.0901128583654245E-2</v>
      </c>
      <c r="Z161" s="24">
        <f t="shared" ca="1" si="44"/>
        <v>4.3054283067883503E-2</v>
      </c>
      <c r="AA161" s="24">
        <f t="shared" ca="1" si="45"/>
        <v>0.22730031848137999</v>
      </c>
      <c r="AB161" s="9" cm="1">
        <f t="array" aca="1" ref="AB161" ca="1">_xll.FDS($E$9,"P_PRICE("&amp;AG161&amp;",0,D,D)")</f>
        <v>6227.42</v>
      </c>
      <c r="AC161" s="9" cm="1">
        <f t="array" aca="1" ref="AC161" ca="1">_xll.FDS($E$9,"P_PRICE("&amp;AH161&amp;",0,D,D)")</f>
        <v>6092.16</v>
      </c>
      <c r="AD161" s="9" cm="1">
        <f t="array" aca="1" ref="AD161" ca="1">_xll.FDS($E$9,"P_PRICE("&amp;AI161&amp;",0,D,D)")</f>
        <v>5982.72</v>
      </c>
      <c r="AE161" s="9" cm="1">
        <f t="array" aca="1" ref="AE161" ca="1">_xll.FDS($E$9,"P_PRICE("&amp;AJ161&amp;",0,D,D)")</f>
        <v>5970.37</v>
      </c>
      <c r="AF161" s="9" cm="1">
        <f t="array" aca="1" ref="AF161" ca="1">_xll.FDS($E$9,"P_PRICE("&amp;AK161&amp;",0,D,D)")</f>
        <v>5074.08</v>
      </c>
      <c r="AG161" s="20">
        <f t="shared" ca="1" si="51"/>
        <v>45840</v>
      </c>
      <c r="AH161" s="22">
        <f t="shared" ca="1" si="46"/>
        <v>45833</v>
      </c>
      <c r="AI161" s="22">
        <f t="shared" ca="1" si="47"/>
        <v>45825</v>
      </c>
      <c r="AJ161" s="22">
        <f t="shared" ca="1" si="48"/>
        <v>45811</v>
      </c>
      <c r="AK161" s="22">
        <f t="shared" ca="1" si="49"/>
        <v>45751</v>
      </c>
      <c r="AL161" s="22">
        <f t="shared" ca="1" si="50"/>
        <v>45664</v>
      </c>
    </row>
    <row r="162" spans="4:38" x14ac:dyDescent="0.25">
      <c r="D162" s="6">
        <f ca="1"/>
        <v>45839</v>
      </c>
      <c r="E162" s="28" cm="1">
        <f t="array" aca="1" ref="E162" ca="1">_xll.FDS($E$7,"P_PRICE("&amp;D162&amp;",0,D,D)")</f>
        <v>93.3</v>
      </c>
      <c r="F162" s="29" cm="1">
        <f t="array" aca="1" ref="F162" ca="1">_xll.FDS($E$7,"P_BETA_LOCIDX("&amp;$AG162&amp;","&amp;$AL162&amp;",,"""&amp;$E$9&amp;""")")</f>
        <v>1.2772585999999999</v>
      </c>
      <c r="G162" s="30">
        <f t="shared" ca="1" si="36"/>
        <v>-2.7385331529493524E-3</v>
      </c>
      <c r="H162" s="30">
        <f t="shared" ca="1" si="36"/>
        <v>-4.0853519457826754E-3</v>
      </c>
      <c r="I162" s="30">
        <f t="shared" ca="1" si="36"/>
        <v>-3.1003185211361785E-2</v>
      </c>
      <c r="J162" s="30">
        <f t="shared" ca="1" si="34"/>
        <v>-0.1092117824048402</v>
      </c>
      <c r="K162" s="30">
        <f t="shared" ca="1" si="37"/>
        <v>2.2187833852249973E-2</v>
      </c>
      <c r="L162" s="30">
        <f t="shared" ca="1" si="37"/>
        <v>3.4910675114493236E-2</v>
      </c>
      <c r="M162" s="30">
        <f t="shared" ca="1" si="37"/>
        <v>5.6390590420725452E-2</v>
      </c>
      <c r="N162" s="30">
        <f t="shared" ca="1" si="35"/>
        <v>0.18969817499314368</v>
      </c>
      <c r="O162" s="30">
        <f t="shared" ca="1" si="38"/>
        <v>1.944930069930062E-2</v>
      </c>
      <c r="P162" s="30">
        <f t="shared" ca="1" si="39"/>
        <v>3.0825323168710561E-2</v>
      </c>
      <c r="Q162" s="30">
        <f t="shared" ca="1" si="40"/>
        <v>2.5387405209363667E-2</v>
      </c>
      <c r="R162" s="30">
        <f t="shared" ca="1" si="41"/>
        <v>8.0486392588303479E-2</v>
      </c>
      <c r="S162" s="9" cm="1">
        <f t="array" aca="1" ref="S162" ca="1">_xll.FDS($E$7,"P_PRICE("&amp;AG162&amp;",0,D,D)")</f>
        <v>93.3</v>
      </c>
      <c r="T162" s="9" cm="1">
        <f t="array" aca="1" ref="T162" ca="1">_xll.FDS($E$7,"P_PRICE("&amp;AH162&amp;",0,D,D)")</f>
        <v>91.52</v>
      </c>
      <c r="U162" s="9" cm="1">
        <f t="array" aca="1" ref="U162" ca="1">_xll.FDS($E$7,"P_PRICE("&amp;AI162&amp;",0,D,D)")</f>
        <v>90.51</v>
      </c>
      <c r="V162" s="9" cm="1">
        <f t="array" aca="1" ref="V162" ca="1">_xll.FDS($E$7,"P_PRICE("&amp;AJ162&amp;",0,D,D)")</f>
        <v>90.99</v>
      </c>
      <c r="W162" s="9" cm="1">
        <f t="array" aca="1" ref="W162" ca="1">_xll.FDS($E$7,"P_PRICE("&amp;AK162&amp;",0,D,D)")</f>
        <v>86.35</v>
      </c>
      <c r="X162" s="24">
        <f t="shared" ca="1" si="42"/>
        <v>1.7371449957158225E-2</v>
      </c>
      <c r="Y162" s="24">
        <f t="shared" ca="1" si="43"/>
        <v>2.733250346836047E-2</v>
      </c>
      <c r="Z162" s="24">
        <f t="shared" ca="1" si="44"/>
        <v>4.4149705017234142E-2</v>
      </c>
      <c r="AA162" s="24">
        <f t="shared" ca="1" si="45"/>
        <v>0.14851978682558387</v>
      </c>
      <c r="AB162" s="9" cm="1">
        <f t="array" aca="1" ref="AB162" ca="1">_xll.FDS($E$9,"P_PRICE("&amp;AG162&amp;",0,D,D)")</f>
        <v>6198.01</v>
      </c>
      <c r="AC162" s="9" cm="1">
        <f t="array" aca="1" ref="AC162" ca="1">_xll.FDS($E$9,"P_PRICE("&amp;AH162&amp;",0,D,D)")</f>
        <v>6092.18</v>
      </c>
      <c r="AD162" s="9" cm="1">
        <f t="array" aca="1" ref="AD162" ca="1">_xll.FDS($E$9,"P_PRICE("&amp;AI162&amp;",0,D,D)")</f>
        <v>6033.11</v>
      </c>
      <c r="AE162" s="9" cm="1">
        <f t="array" aca="1" ref="AE162" ca="1">_xll.FDS($E$9,"P_PRICE("&amp;AJ162&amp;",0,D,D)")</f>
        <v>5935.94</v>
      </c>
      <c r="AF162" s="9" cm="1">
        <f t="array" aca="1" ref="AF162" ca="1">_xll.FDS($E$9,"P_PRICE("&amp;AK162&amp;",0,D,D)")</f>
        <v>5396.52</v>
      </c>
      <c r="AG162" s="20">
        <f t="shared" ca="1" si="51"/>
        <v>45839</v>
      </c>
      <c r="AH162" s="22">
        <f t="shared" ca="1" si="46"/>
        <v>45832</v>
      </c>
      <c r="AI162" s="22">
        <f t="shared" ca="1" si="47"/>
        <v>45824</v>
      </c>
      <c r="AJ162" s="22">
        <f t="shared" ca="1" si="48"/>
        <v>45810</v>
      </c>
      <c r="AK162" s="22">
        <f t="shared" ca="1" si="49"/>
        <v>45750</v>
      </c>
      <c r="AL162" s="22">
        <f t="shared" ca="1" si="50"/>
        <v>45663</v>
      </c>
    </row>
    <row r="163" spans="4:38" x14ac:dyDescent="0.25">
      <c r="D163" s="6">
        <f ca="1"/>
        <v>45838</v>
      </c>
      <c r="E163" s="28" cm="1">
        <f t="array" aca="1" ref="E163" ca="1">_xll.FDS($E$7,"P_PRICE("&amp;D163&amp;",0,D,D)")</f>
        <v>91.8</v>
      </c>
      <c r="F163" s="29" cm="1">
        <f t="array" aca="1" ref="F163" ca="1">_xll.FDS($E$7,"P_BETA_LOCIDX("&amp;$AG163&amp;","&amp;$AL163&amp;",,"""&amp;$E$9&amp;""")")</f>
        <v>1.2741203000000001</v>
      </c>
      <c r="G163" s="30">
        <f t="shared" ca="1" si="36"/>
        <v>-1.7223457377487934E-2</v>
      </c>
      <c r="H163" s="30">
        <f t="shared" ca="1" si="36"/>
        <v>-2.9051994909384954E-2</v>
      </c>
      <c r="I163" s="30">
        <f t="shared" ca="1" si="36"/>
        <v>-5.618440275461524E-2</v>
      </c>
      <c r="J163" s="30">
        <f t="shared" ca="1" si="34"/>
        <v>-0.10706186397868221</v>
      </c>
      <c r="K163" s="30">
        <f t="shared" ca="1" si="37"/>
        <v>3.8017408228149537E-2</v>
      </c>
      <c r="L163" s="30">
        <f t="shared" ca="1" si="37"/>
        <v>4.8598862968025541E-2</v>
      </c>
      <c r="M163" s="30">
        <f t="shared" ca="1" si="37"/>
        <v>6.3205025834913733E-2</v>
      </c>
      <c r="N163" s="30">
        <f t="shared" ca="1" si="35"/>
        <v>0.11997149655067817</v>
      </c>
      <c r="O163" s="30">
        <f t="shared" ca="1" si="38"/>
        <v>2.0793950850661602E-2</v>
      </c>
      <c r="P163" s="30">
        <f t="shared" ca="1" si="39"/>
        <v>1.9546868058640587E-2</v>
      </c>
      <c r="Q163" s="30">
        <f t="shared" ca="1" si="40"/>
        <v>7.0206230802984937E-3</v>
      </c>
      <c r="R163" s="30">
        <f t="shared" ca="1" si="41"/>
        <v>1.2909632571995955E-2</v>
      </c>
      <c r="S163" s="9" cm="1">
        <f t="array" aca="1" ref="S163" ca="1">_xll.FDS($E$7,"P_PRICE("&amp;AG163&amp;",0,D,D)")</f>
        <v>91.8</v>
      </c>
      <c r="T163" s="9" cm="1">
        <f t="array" aca="1" ref="T163" ca="1">_xll.FDS($E$7,"P_PRICE("&amp;AH163&amp;",0,D,D)")</f>
        <v>89.93</v>
      </c>
      <c r="U163" s="9" cm="1">
        <f t="array" aca="1" ref="U163" ca="1">_xll.FDS($E$7,"P_PRICE("&amp;AI163&amp;",0,D,D)")</f>
        <v>90.04</v>
      </c>
      <c r="V163" s="9" cm="1">
        <f t="array" aca="1" ref="V163" ca="1">_xll.FDS($E$7,"P_PRICE("&amp;AJ163&amp;",0,D,D)")</f>
        <v>91.16</v>
      </c>
      <c r="W163" s="9" cm="1">
        <f t="array" aca="1" ref="W163" ca="1">_xll.FDS($E$7,"P_PRICE("&amp;AK163&amp;",0,D,D)")</f>
        <v>90.63</v>
      </c>
      <c r="X163" s="24">
        <f t="shared" ca="1" si="42"/>
        <v>2.9838162242725064E-2</v>
      </c>
      <c r="Y163" s="24">
        <f t="shared" ca="1" si="43"/>
        <v>3.8143072493253216E-2</v>
      </c>
      <c r="Z163" s="24">
        <f t="shared" ca="1" si="44"/>
        <v>4.960679602617879E-2</v>
      </c>
      <c r="AA163" s="24">
        <f t="shared" ca="1" si="45"/>
        <v>9.416025829796304E-2</v>
      </c>
      <c r="AB163" s="9" cm="1">
        <f t="array" aca="1" ref="AB163" ca="1">_xll.FDS($E$9,"P_PRICE("&amp;AG163&amp;",0,D,D)")</f>
        <v>6204.95</v>
      </c>
      <c r="AC163" s="9" cm="1">
        <f t="array" aca="1" ref="AC163" ca="1">_xll.FDS($E$9,"P_PRICE("&amp;AH163&amp;",0,D,D)")</f>
        <v>6025.17</v>
      </c>
      <c r="AD163" s="9" cm="1">
        <f t="array" aca="1" ref="AD163" ca="1">_xll.FDS($E$9,"P_PRICE("&amp;AI163&amp;",0,D,D)")</f>
        <v>5976.97</v>
      </c>
      <c r="AE163" s="9" cm="1">
        <f t="array" aca="1" ref="AE163" ca="1">_xll.FDS($E$9,"P_PRICE("&amp;AJ163&amp;",0,D,D)")</f>
        <v>5911.69</v>
      </c>
      <c r="AF163" s="9" cm="1">
        <f t="array" aca="1" ref="AF163" ca="1">_xll.FDS($E$9,"P_PRICE("&amp;AK163&amp;",0,D,D)")</f>
        <v>5670.97</v>
      </c>
      <c r="AG163" s="20">
        <f t="shared" ca="1" si="51"/>
        <v>45838</v>
      </c>
      <c r="AH163" s="22">
        <f t="shared" ca="1" si="46"/>
        <v>45831</v>
      </c>
      <c r="AI163" s="22">
        <f t="shared" ca="1" si="47"/>
        <v>45821</v>
      </c>
      <c r="AJ163" s="22">
        <f t="shared" ca="1" si="48"/>
        <v>45807</v>
      </c>
      <c r="AK163" s="22">
        <f t="shared" ca="1" si="49"/>
        <v>45749</v>
      </c>
      <c r="AL163" s="22">
        <f t="shared" ca="1" si="50"/>
        <v>45660</v>
      </c>
    </row>
    <row r="164" spans="4:38" x14ac:dyDescent="0.25">
      <c r="D164" s="6">
        <f ca="1"/>
        <v>45835</v>
      </c>
      <c r="E164" s="28" cm="1">
        <f t="array" aca="1" ref="E164" ca="1">_xll.FDS($E$7,"P_PRICE("&amp;D164&amp;",0,D,D)")</f>
        <v>91.52</v>
      </c>
      <c r="F164" s="29" cm="1">
        <f t="array" aca="1" ref="F164" ca="1">_xll.FDS($E$7,"P_BETA_LOCIDX("&amp;$AG164&amp;","&amp;$AL164&amp;",,"""&amp;$E$9&amp;""")")</f>
        <v>1.2740899999999999</v>
      </c>
      <c r="G164" s="30">
        <f t="shared" ca="1" si="36"/>
        <v>-5.5848080922764262E-3</v>
      </c>
      <c r="H164" s="30">
        <f t="shared" ca="1" si="36"/>
        <v>-3.8706832651075329E-2</v>
      </c>
      <c r="I164" s="30">
        <f t="shared" ca="1" si="36"/>
        <v>-6.1009405300734156E-2</v>
      </c>
      <c r="J164" s="30">
        <f t="shared" ca="1" si="34"/>
        <v>-9.208676636593241E-2</v>
      </c>
      <c r="K164" s="30">
        <f t="shared" ca="1" si="37"/>
        <v>4.3815097371913324E-2</v>
      </c>
      <c r="L164" s="30">
        <f t="shared" ca="1" si="37"/>
        <v>2.6937045371083882E-2</v>
      </c>
      <c r="M164" s="30">
        <f t="shared" ca="1" si="37"/>
        <v>5.622471630551882E-2</v>
      </c>
      <c r="N164" s="30">
        <f t="shared" ca="1" si="35"/>
        <v>0.12213741352406407</v>
      </c>
      <c r="O164" s="30">
        <f t="shared" ca="1" si="38"/>
        <v>3.8230289279636898E-2</v>
      </c>
      <c r="P164" s="30">
        <f t="shared" ca="1" si="39"/>
        <v>-1.176978727999145E-2</v>
      </c>
      <c r="Q164" s="30">
        <f t="shared" ca="1" si="40"/>
        <v>-4.784688995215336E-3</v>
      </c>
      <c r="R164" s="30">
        <f t="shared" ca="1" si="41"/>
        <v>3.005064715813166E-2</v>
      </c>
      <c r="S164" s="9" cm="1">
        <f t="array" aca="1" ref="S164" ca="1">_xll.FDS($E$7,"P_PRICE("&amp;AG164&amp;",0,D,D)")</f>
        <v>91.52</v>
      </c>
      <c r="T164" s="9" cm="1">
        <f t="array" aca="1" ref="T164" ca="1">_xll.FDS($E$7,"P_PRICE("&amp;AH164&amp;",0,D,D)")</f>
        <v>88.15</v>
      </c>
      <c r="U164" s="9" cm="1">
        <f t="array" aca="1" ref="U164" ca="1">_xll.FDS($E$7,"P_PRICE("&amp;AI164&amp;",0,D,D)")</f>
        <v>92.61</v>
      </c>
      <c r="V164" s="9" cm="1">
        <f t="array" aca="1" ref="V164" ca="1">_xll.FDS($E$7,"P_PRICE("&amp;AJ164&amp;",0,D,D)")</f>
        <v>91.96</v>
      </c>
      <c r="W164" s="9" cm="1">
        <f t="array" aca="1" ref="W164" ca="1">_xll.FDS($E$7,"P_PRICE("&amp;AK164&amp;",0,D,D)")</f>
        <v>88.85</v>
      </c>
      <c r="X164" s="24">
        <f t="shared" ca="1" si="42"/>
        <v>3.4389326791602892E-2</v>
      </c>
      <c r="Y164" s="24">
        <f t="shared" ca="1" si="43"/>
        <v>2.1142184124421259E-2</v>
      </c>
      <c r="Z164" s="24">
        <f t="shared" ca="1" si="44"/>
        <v>4.4129312925710762E-2</v>
      </c>
      <c r="AA164" s="24">
        <f t="shared" ca="1" si="45"/>
        <v>9.5862469310695531E-2</v>
      </c>
      <c r="AB164" s="9" cm="1">
        <f t="array" aca="1" ref="AB164" ca="1">_xll.FDS($E$9,"P_PRICE("&amp;AG164&amp;",0,D,D)")</f>
        <v>6173.07</v>
      </c>
      <c r="AC164" s="9" cm="1">
        <f t="array" aca="1" ref="AC164" ca="1">_xll.FDS($E$9,"P_PRICE("&amp;AH164&amp;",0,D,D)")</f>
        <v>5967.84</v>
      </c>
      <c r="AD164" s="9" cm="1">
        <f t="array" aca="1" ref="AD164" ca="1">_xll.FDS($E$9,"P_PRICE("&amp;AI164&amp;",0,D,D)")</f>
        <v>6045.26</v>
      </c>
      <c r="AE164" s="9" cm="1">
        <f t="array" aca="1" ref="AE164" ca="1">_xll.FDS($E$9,"P_PRICE("&amp;AJ164&amp;",0,D,D)")</f>
        <v>5912.17</v>
      </c>
      <c r="AF164" s="9" cm="1">
        <f t="array" aca="1" ref="AF164" ca="1">_xll.FDS($E$9,"P_PRICE("&amp;AK164&amp;",0,D,D)")</f>
        <v>5633.07</v>
      </c>
      <c r="AG164" s="20">
        <f t="shared" ca="1" si="51"/>
        <v>45835</v>
      </c>
      <c r="AH164" s="22">
        <f t="shared" ca="1" si="46"/>
        <v>45828</v>
      </c>
      <c r="AI164" s="22">
        <f t="shared" ca="1" si="47"/>
        <v>45820</v>
      </c>
      <c r="AJ164" s="22">
        <f t="shared" ca="1" si="48"/>
        <v>45806</v>
      </c>
      <c r="AK164" s="22">
        <f t="shared" ca="1" si="49"/>
        <v>45748</v>
      </c>
      <c r="AL164" s="22">
        <f t="shared" ca="1" si="50"/>
        <v>45659</v>
      </c>
    </row>
    <row r="165" spans="4:38" x14ac:dyDescent="0.25">
      <c r="D165" s="6">
        <f ca="1"/>
        <v>45834</v>
      </c>
      <c r="E165" s="28" cm="1">
        <f t="array" aca="1" ref="E165" ca="1">_xll.FDS($E$7,"P_PRICE("&amp;D165&amp;",0,D,D)")</f>
        <v>89.07</v>
      </c>
      <c r="F165" s="29" cm="1">
        <f t="array" aca="1" ref="F165" ca="1">_xll.FDS($E$7,"P_BETA_LOCIDX("&amp;$AG165&amp;","&amp;$AL165&amp;",,"""&amp;$E$9&amp;""")")</f>
        <v>1.2694840000000001</v>
      </c>
      <c r="G165" s="30">
        <f t="shared" ca="1" si="36"/>
        <v>-3.3543738103658849E-2</v>
      </c>
      <c r="H165" s="30">
        <f t="shared" ca="1" si="36"/>
        <v>-4.710725251779109E-2</v>
      </c>
      <c r="I165" s="30">
        <f t="shared" ca="1" si="36"/>
        <v>-8.5855492869991917E-2</v>
      </c>
      <c r="J165" s="30">
        <f t="shared" ca="1" si="34"/>
        <v>-0.10720186765347484</v>
      </c>
      <c r="K165" s="30">
        <f t="shared" ca="1" si="37"/>
        <v>3.3993024860931587E-2</v>
      </c>
      <c r="L165" s="30">
        <f t="shared" ca="1" si="37"/>
        <v>2.5038741318845054E-2</v>
      </c>
      <c r="M165" s="30">
        <f t="shared" ca="1" si="37"/>
        <v>5.4428785605964057E-2</v>
      </c>
      <c r="N165" s="30">
        <f t="shared" ca="1" si="35"/>
        <v>0.11970613047034406</v>
      </c>
      <c r="O165" s="30">
        <f t="shared" ca="1" si="38"/>
        <v>4.492867572727377E-4</v>
      </c>
      <c r="P165" s="30">
        <f t="shared" ca="1" si="39"/>
        <v>-2.2068511198946039E-2</v>
      </c>
      <c r="Q165" s="30">
        <f t="shared" ca="1" si="40"/>
        <v>-3.1426707264027853E-2</v>
      </c>
      <c r="R165" s="30">
        <f t="shared" ca="1" si="41"/>
        <v>1.2504262816869227E-2</v>
      </c>
      <c r="S165" s="9" cm="1">
        <f t="array" aca="1" ref="S165" ca="1">_xll.FDS($E$7,"P_PRICE("&amp;AG165&amp;",0,D,D)")</f>
        <v>89.07</v>
      </c>
      <c r="T165" s="9" cm="1">
        <f t="array" aca="1" ref="T165" ca="1">_xll.FDS($E$7,"P_PRICE("&amp;AH165&amp;",0,D,D)")</f>
        <v>89.03</v>
      </c>
      <c r="U165" s="9" cm="1">
        <f t="array" aca="1" ref="U165" ca="1">_xll.FDS($E$7,"P_PRICE("&amp;AI165&amp;",0,D,D)")</f>
        <v>91.08</v>
      </c>
      <c r="V165" s="9" cm="1">
        <f t="array" aca="1" ref="V165" ca="1">_xll.FDS($E$7,"P_PRICE("&amp;AJ165&amp;",0,D,D)")</f>
        <v>91.96</v>
      </c>
      <c r="W165" s="9" cm="1">
        <f t="array" aca="1" ref="W165" ca="1">_xll.FDS($E$7,"P_PRICE("&amp;AK165&amp;",0,D,D)")</f>
        <v>87.97</v>
      </c>
      <c r="X165" s="24">
        <f t="shared" ca="1" si="42"/>
        <v>2.6777040798412255E-2</v>
      </c>
      <c r="Y165" s="24">
        <f t="shared" ca="1" si="43"/>
        <v>1.9723558011637055E-2</v>
      </c>
      <c r="Z165" s="24">
        <f t="shared" ca="1" si="44"/>
        <v>4.2874731470395888E-2</v>
      </c>
      <c r="AA165" s="24">
        <f t="shared" ca="1" si="45"/>
        <v>9.4295107673940004E-2</v>
      </c>
      <c r="AB165" s="9" cm="1">
        <f t="array" aca="1" ref="AB165" ca="1">_xll.FDS($E$9,"P_PRICE("&amp;AG165&amp;",0,D,D)")</f>
        <v>6141.02</v>
      </c>
      <c r="AC165" s="9" cm="1">
        <f t="array" aca="1" ref="AC165" ca="1">_xll.FDS($E$9,"P_PRICE("&amp;AH165&amp;",0,D,D)")</f>
        <v>5980.87</v>
      </c>
      <c r="AD165" s="9" cm="1">
        <f t="array" aca="1" ref="AD165" ca="1">_xll.FDS($E$9,"P_PRICE("&amp;AI165&amp;",0,D,D)")</f>
        <v>6022.24</v>
      </c>
      <c r="AE165" s="9" cm="1">
        <f t="array" aca="1" ref="AE165" ca="1">_xll.FDS($E$9,"P_PRICE("&amp;AJ165&amp;",0,D,D)")</f>
        <v>5888.55</v>
      </c>
      <c r="AF165" s="9" cm="1">
        <f t="array" aca="1" ref="AF165" ca="1">_xll.FDS($E$9,"P_PRICE("&amp;AK165&amp;",0,D,D)")</f>
        <v>5611.85</v>
      </c>
      <c r="AG165" s="20">
        <f t="shared" ca="1" si="51"/>
        <v>45834</v>
      </c>
      <c r="AH165" s="22">
        <f t="shared" ca="1" si="46"/>
        <v>45826</v>
      </c>
      <c r="AI165" s="22">
        <f t="shared" ca="1" si="47"/>
        <v>45819</v>
      </c>
      <c r="AJ165" s="22">
        <f t="shared" ca="1" si="48"/>
        <v>45805</v>
      </c>
      <c r="AK165" s="22">
        <f t="shared" ca="1" si="49"/>
        <v>45747</v>
      </c>
      <c r="AL165" s="22">
        <f t="shared" ca="1" si="50"/>
        <v>45657</v>
      </c>
    </row>
    <row r="166" spans="4:38" x14ac:dyDescent="0.25">
      <c r="D166" s="6">
        <f ca="1"/>
        <v>45833</v>
      </c>
      <c r="E166" s="28" cm="1">
        <f t="array" aca="1" ref="E166" ca="1">_xll.FDS($E$7,"P_PRICE("&amp;D166&amp;",0,D,D)")</f>
        <v>88.67</v>
      </c>
      <c r="F166" s="29" cm="1">
        <f t="array" aca="1" ref="F166" ca="1">_xll.FDS($E$7,"P_BETA_LOCIDX("&amp;$AG166&amp;","&amp;$AL166&amp;",,"""&amp;$E$9&amp;""")")</f>
        <v>1.2700184999999999</v>
      </c>
      <c r="G166" s="30">
        <f t="shared" ca="1" si="36"/>
        <v>-3.5925509711219661E-2</v>
      </c>
      <c r="H166" s="30">
        <f t="shared" ca="1" si="36"/>
        <v>-5.6752837422043269E-2</v>
      </c>
      <c r="I166" s="30">
        <f t="shared" ca="1" si="36"/>
        <v>-0.10528387888157233</v>
      </c>
      <c r="J166" s="30">
        <f t="shared" ca="1" si="34"/>
        <v>-0.11032187543425372</v>
      </c>
      <c r="K166" s="30">
        <f t="shared" ca="1" si="37"/>
        <v>2.3232045731707337E-2</v>
      </c>
      <c r="L166" s="30">
        <f t="shared" ca="1" si="37"/>
        <v>1.1220006420966856E-2</v>
      </c>
      <c r="M166" s="30">
        <f t="shared" ca="1" si="37"/>
        <v>3.6593615253802239E-2</v>
      </c>
      <c r="N166" s="30">
        <f t="shared" ca="1" si="35"/>
        <v>0.11633503631467119</v>
      </c>
      <c r="O166" s="30">
        <f t="shared" ca="1" si="38"/>
        <v>-1.2693463979512321E-2</v>
      </c>
      <c r="P166" s="30">
        <f t="shared" ca="1" si="39"/>
        <v>-4.5532831001076413E-2</v>
      </c>
      <c r="Q166" s="30">
        <f t="shared" ca="1" si="40"/>
        <v>-6.8690263627770087E-2</v>
      </c>
      <c r="R166" s="30">
        <f t="shared" ca="1" si="41"/>
        <v>6.0131608804174785E-3</v>
      </c>
      <c r="S166" s="9" cm="1">
        <f t="array" aca="1" ref="S166" ca="1">_xll.FDS($E$7,"P_PRICE("&amp;AG166&amp;",0,D,D)")</f>
        <v>88.67</v>
      </c>
      <c r="T166" s="9" cm="1">
        <f t="array" aca="1" ref="T166" ca="1">_xll.FDS($E$7,"P_PRICE("&amp;AH166&amp;",0,D,D)")</f>
        <v>89.81</v>
      </c>
      <c r="U166" s="9" cm="1">
        <f t="array" aca="1" ref="U166" ca="1">_xll.FDS($E$7,"P_PRICE("&amp;AI166&amp;",0,D,D)")</f>
        <v>92.9</v>
      </c>
      <c r="V166" s="9" cm="1">
        <f t="array" aca="1" ref="V166" ca="1">_xll.FDS($E$7,"P_PRICE("&amp;AJ166&amp;",0,D,D)")</f>
        <v>95.21</v>
      </c>
      <c r="W166" s="9" cm="1">
        <f t="array" aca="1" ref="W166" ca="1">_xll.FDS($E$7,"P_PRICE("&amp;AK166&amp;",0,D,D)")</f>
        <v>88.14</v>
      </c>
      <c r="X166" s="24">
        <f t="shared" ca="1" si="42"/>
        <v>1.8292682926829285E-2</v>
      </c>
      <c r="Y166" s="24">
        <f t="shared" ca="1" si="43"/>
        <v>8.8345220333143626E-3</v>
      </c>
      <c r="Z166" s="24">
        <f t="shared" ca="1" si="44"/>
        <v>2.8813450555092102E-2</v>
      </c>
      <c r="AA166" s="24">
        <f t="shared" ca="1" si="45"/>
        <v>9.1601056452855767E-2</v>
      </c>
      <c r="AB166" s="9" cm="1">
        <f t="array" aca="1" ref="AB166" ca="1">_xll.FDS($E$9,"P_PRICE("&amp;AG166&amp;",0,D,D)")</f>
        <v>6092.16</v>
      </c>
      <c r="AC166" s="9" cm="1">
        <f t="array" aca="1" ref="AC166" ca="1">_xll.FDS($E$9,"P_PRICE("&amp;AH166&amp;",0,D,D)")</f>
        <v>5982.72</v>
      </c>
      <c r="AD166" s="9" cm="1">
        <f t="array" aca="1" ref="AD166" ca="1">_xll.FDS($E$9,"P_PRICE("&amp;AI166&amp;",0,D,D)")</f>
        <v>6038.81</v>
      </c>
      <c r="AE166" s="9" cm="1">
        <f t="array" aca="1" ref="AE166" ca="1">_xll.FDS($E$9,"P_PRICE("&amp;AJ166&amp;",0,D,D)")</f>
        <v>5921.54</v>
      </c>
      <c r="AF166" s="9" cm="1">
        <f t="array" aca="1" ref="AF166" ca="1">_xll.FDS($E$9,"P_PRICE("&amp;AK166&amp;",0,D,D)")</f>
        <v>5580.94</v>
      </c>
      <c r="AG166" s="20">
        <f t="shared" ca="1" si="51"/>
        <v>45833</v>
      </c>
      <c r="AH166" s="22">
        <f t="shared" ca="1" si="46"/>
        <v>45825</v>
      </c>
      <c r="AI166" s="22">
        <f t="shared" ca="1" si="47"/>
        <v>45818</v>
      </c>
      <c r="AJ166" s="22">
        <f t="shared" ca="1" si="48"/>
        <v>45804</v>
      </c>
      <c r="AK166" s="22">
        <f t="shared" ca="1" si="49"/>
        <v>45744</v>
      </c>
      <c r="AL166" s="22">
        <f t="shared" ca="1" si="50"/>
        <v>45656</v>
      </c>
    </row>
    <row r="167" spans="4:38" x14ac:dyDescent="0.25">
      <c r="D167" s="6">
        <f ca="1"/>
        <v>45832</v>
      </c>
      <c r="E167" s="28" cm="1">
        <f t="array" aca="1" ref="E167" ca="1">_xll.FDS($E$7,"P_PRICE("&amp;D167&amp;",0,D,D)")</f>
        <v>91.52</v>
      </c>
      <c r="F167" s="29" cm="1">
        <f t="array" aca="1" ref="F167" ca="1">_xll.FDS($E$7,"P_BETA_LOCIDX("&amp;$AG167&amp;","&amp;$AL167&amp;",,"""&amp;$E$9&amp;""")")</f>
        <v>1.2685535999999999</v>
      </c>
      <c r="G167" s="30">
        <f t="shared" ca="1" si="36"/>
        <v>-1.261382490614452E-3</v>
      </c>
      <c r="H167" s="30">
        <f t="shared" ca="1" si="36"/>
        <v>-3.6043147433377679E-2</v>
      </c>
      <c r="I167" s="30">
        <f t="shared" ca="1" si="36"/>
        <v>-9.0571219276326692E-2</v>
      </c>
      <c r="J167" s="30">
        <f t="shared" ca="1" si="34"/>
        <v>-9.5603021057495338E-2</v>
      </c>
      <c r="K167" s="30">
        <f t="shared" ca="1" si="37"/>
        <v>1.2420370447746113E-2</v>
      </c>
      <c r="L167" s="30">
        <f t="shared" ca="1" si="37"/>
        <v>1.8228165677635983E-2</v>
      </c>
      <c r="M167" s="30">
        <f t="shared" ca="1" si="37"/>
        <v>6.3256945708466045E-2</v>
      </c>
      <c r="N167" s="30">
        <f t="shared" ca="1" si="35"/>
        <v>8.8874130239175383E-2</v>
      </c>
      <c r="O167" s="30">
        <f t="shared" ca="1" si="38"/>
        <v>1.1158987957131661E-2</v>
      </c>
      <c r="P167" s="30">
        <f t="shared" ca="1" si="39"/>
        <v>-1.7814981755741699E-2</v>
      </c>
      <c r="Q167" s="30">
        <f t="shared" ca="1" si="40"/>
        <v>-2.7314273567860647E-2</v>
      </c>
      <c r="R167" s="30">
        <f t="shared" ca="1" si="41"/>
        <v>-6.7288908183199547E-3</v>
      </c>
      <c r="S167" s="9" cm="1">
        <f t="array" aca="1" ref="S167" ca="1">_xll.FDS($E$7,"P_PRICE("&amp;AG167&amp;",0,D,D)")</f>
        <v>91.52</v>
      </c>
      <c r="T167" s="9" cm="1">
        <f t="array" aca="1" ref="T167" ca="1">_xll.FDS($E$7,"P_PRICE("&amp;AH167&amp;",0,D,D)")</f>
        <v>90.51</v>
      </c>
      <c r="U167" s="9" cm="1">
        <f t="array" aca="1" ref="U167" ca="1">_xll.FDS($E$7,"P_PRICE("&amp;AI167&amp;",0,D,D)")</f>
        <v>93.18</v>
      </c>
      <c r="V167" s="9" cm="1">
        <f t="array" aca="1" ref="V167" ca="1">_xll.FDS($E$7,"P_PRICE("&amp;AJ167&amp;",0,D,D)")</f>
        <v>94.09</v>
      </c>
      <c r="W167" s="9" cm="1">
        <f t="array" aca="1" ref="W167" ca="1">_xll.FDS($E$7,"P_PRICE("&amp;AK167&amp;",0,D,D)")</f>
        <v>92.14</v>
      </c>
      <c r="X167" s="24">
        <f t="shared" ca="1" si="42"/>
        <v>9.7909701629841361E-3</v>
      </c>
      <c r="Y167" s="24">
        <f t="shared" ca="1" si="43"/>
        <v>1.4369251466895827E-2</v>
      </c>
      <c r="Z167" s="24">
        <f t="shared" ca="1" si="44"/>
        <v>4.9865410266043186E-2</v>
      </c>
      <c r="AA167" s="24">
        <f t="shared" ca="1" si="45"/>
        <v>7.0059420618234336E-2</v>
      </c>
      <c r="AB167" s="9" cm="1">
        <f t="array" aca="1" ref="AB167" ca="1">_xll.FDS($E$9,"P_PRICE("&amp;AG167&amp;",0,D,D)")</f>
        <v>6092.18</v>
      </c>
      <c r="AC167" s="9" cm="1">
        <f t="array" aca="1" ref="AC167" ca="1">_xll.FDS($E$9,"P_PRICE("&amp;AH167&amp;",0,D,D)")</f>
        <v>6033.11</v>
      </c>
      <c r="AD167" s="9" cm="1">
        <f t="array" aca="1" ref="AD167" ca="1">_xll.FDS($E$9,"P_PRICE("&amp;AI167&amp;",0,D,D)")</f>
        <v>6005.88</v>
      </c>
      <c r="AE167" s="9" cm="1">
        <f t="array" aca="1" ref="AE167" ca="1">_xll.FDS($E$9,"P_PRICE("&amp;AJ167&amp;",0,D,D)")</f>
        <v>5802.82</v>
      </c>
      <c r="AF167" s="9" cm="1">
        <f t="array" aca="1" ref="AF167" ca="1">_xll.FDS($E$9,"P_PRICE("&amp;AK167&amp;",0,D,D)")</f>
        <v>5693.31</v>
      </c>
      <c r="AG167" s="20">
        <f t="shared" ca="1" si="51"/>
        <v>45832</v>
      </c>
      <c r="AH167" s="22">
        <f t="shared" ca="1" si="46"/>
        <v>45824</v>
      </c>
      <c r="AI167" s="22">
        <f t="shared" ca="1" si="47"/>
        <v>45817</v>
      </c>
      <c r="AJ167" s="22">
        <f t="shared" ca="1" si="48"/>
        <v>45800</v>
      </c>
      <c r="AK167" s="22">
        <f t="shared" ca="1" si="49"/>
        <v>45743</v>
      </c>
      <c r="AL167" s="22">
        <f t="shared" ca="1" si="50"/>
        <v>45653</v>
      </c>
    </row>
    <row r="168" spans="4:38" x14ac:dyDescent="0.25">
      <c r="D168" s="6">
        <f ca="1"/>
        <v>45831</v>
      </c>
      <c r="E168" s="28" cm="1">
        <f t="array" aca="1" ref="E168" ca="1">_xll.FDS($E$7,"P_PRICE("&amp;D168&amp;",0,D,D)")</f>
        <v>89.93</v>
      </c>
      <c r="F168" s="29" cm="1">
        <f t="array" aca="1" ref="F168" ca="1">_xll.FDS($E$7,"P_BETA_LOCIDX("&amp;$AG168&amp;","&amp;$AL168&amp;",,"""&amp;$E$9&amp;""")")</f>
        <v>1.2671095999999999</v>
      </c>
      <c r="G168" s="30">
        <f t="shared" ca="1" si="36"/>
        <v>-1.1440014416799366E-2</v>
      </c>
      <c r="H168" s="30">
        <f t="shared" ca="1" si="36"/>
        <v>-3.3443203728262982E-2</v>
      </c>
      <c r="I168" s="30">
        <f t="shared" ca="1" si="36"/>
        <v>-9.4686769937273804E-2</v>
      </c>
      <c r="J168" s="30">
        <f t="shared" ca="1" si="34"/>
        <v>-0.1185893442718019</v>
      </c>
      <c r="K168" s="30">
        <f t="shared" ca="1" si="37"/>
        <v>1.0218335163134357E-2</v>
      </c>
      <c r="L168" s="30">
        <f t="shared" ca="1" si="37"/>
        <v>5.2391838449692982E-3</v>
      </c>
      <c r="M168" s="30">
        <f t="shared" ca="1" si="37"/>
        <v>3.9726702682124679E-2</v>
      </c>
      <c r="N168" s="30">
        <f t="shared" ca="1" si="35"/>
        <v>6.9424615999439943E-2</v>
      </c>
      <c r="O168" s="30">
        <f t="shared" ca="1" si="38"/>
        <v>-1.221679253665009E-3</v>
      </c>
      <c r="P168" s="30">
        <f t="shared" ca="1" si="39"/>
        <v>-2.8204019883293685E-2</v>
      </c>
      <c r="Q168" s="30">
        <f t="shared" ca="1" si="40"/>
        <v>-5.4960067255149125E-2</v>
      </c>
      <c r="R168" s="30">
        <f t="shared" ca="1" si="41"/>
        <v>-4.9164728272361957E-2</v>
      </c>
      <c r="S168" s="9" cm="1">
        <f t="array" aca="1" ref="S168" ca="1">_xll.FDS($E$7,"P_PRICE("&amp;AG168&amp;",0,D,D)")</f>
        <v>89.93</v>
      </c>
      <c r="T168" s="9" cm="1">
        <f t="array" aca="1" ref="T168" ca="1">_xll.FDS($E$7,"P_PRICE("&amp;AH168&amp;",0,D,D)")</f>
        <v>90.04</v>
      </c>
      <c r="U168" s="9" cm="1">
        <f t="array" aca="1" ref="U168" ca="1">_xll.FDS($E$7,"P_PRICE("&amp;AI168&amp;",0,D,D)")</f>
        <v>92.54</v>
      </c>
      <c r="V168" s="9" cm="1">
        <f t="array" aca="1" ref="V168" ca="1">_xll.FDS($E$7,"P_PRICE("&amp;AJ168&amp;",0,D,D)")</f>
        <v>95.16</v>
      </c>
      <c r="W168" s="9" cm="1">
        <f t="array" aca="1" ref="W168" ca="1">_xll.FDS($E$7,"P_PRICE("&amp;AK168&amp;",0,D,D)")</f>
        <v>94.58</v>
      </c>
      <c r="X168" s="24">
        <f t="shared" ca="1" si="42"/>
        <v>8.0642867539906238E-3</v>
      </c>
      <c r="Y168" s="24">
        <f t="shared" ca="1" si="43"/>
        <v>4.1347519148851042E-3</v>
      </c>
      <c r="Z168" s="24">
        <f t="shared" ca="1" si="44"/>
        <v>3.1352222950662423E-2</v>
      </c>
      <c r="AA168" s="24">
        <f t="shared" ca="1" si="45"/>
        <v>5.4789748258114335E-2</v>
      </c>
      <c r="AB168" s="9" cm="1">
        <f t="array" aca="1" ref="AB168" ca="1">_xll.FDS($E$9,"P_PRICE("&amp;AG168&amp;",0,D,D)")</f>
        <v>6025.17</v>
      </c>
      <c r="AC168" s="9" cm="1">
        <f t="array" aca="1" ref="AC168" ca="1">_xll.FDS($E$9,"P_PRICE("&amp;AH168&amp;",0,D,D)")</f>
        <v>5976.97</v>
      </c>
      <c r="AD168" s="9" cm="1">
        <f t="array" aca="1" ref="AD168" ca="1">_xll.FDS($E$9,"P_PRICE("&amp;AI168&amp;",0,D,D)")</f>
        <v>6000.36</v>
      </c>
      <c r="AE168" s="9" cm="1">
        <f t="array" aca="1" ref="AE168" ca="1">_xll.FDS($E$9,"P_PRICE("&amp;AJ168&amp;",0,D,D)")</f>
        <v>5842.01</v>
      </c>
      <c r="AF168" s="9" cm="1">
        <f t="array" aca="1" ref="AF168" ca="1">_xll.FDS($E$9,"P_PRICE("&amp;AK168&amp;",0,D,D)")</f>
        <v>5712.2</v>
      </c>
      <c r="AG168" s="20">
        <f t="shared" ca="1" si="51"/>
        <v>45831</v>
      </c>
      <c r="AH168" s="22">
        <f t="shared" ca="1" si="46"/>
        <v>45821</v>
      </c>
      <c r="AI168" s="22">
        <f t="shared" ca="1" si="47"/>
        <v>45814</v>
      </c>
      <c r="AJ168" s="22">
        <f t="shared" ca="1" si="48"/>
        <v>45799</v>
      </c>
      <c r="AK168" s="22">
        <f t="shared" ca="1" si="49"/>
        <v>45742</v>
      </c>
      <c r="AL168" s="22">
        <f t="shared" ca="1" si="50"/>
        <v>45652</v>
      </c>
    </row>
    <row r="169" spans="4:38" x14ac:dyDescent="0.25">
      <c r="D169" s="6">
        <f ca="1"/>
        <v>45828</v>
      </c>
      <c r="E169" s="28" cm="1">
        <f t="array" aca="1" ref="E169" ca="1">_xll.FDS($E$7,"P_PRICE("&amp;D169&amp;",0,D,D)")</f>
        <v>88.15</v>
      </c>
      <c r="F169" s="29" cm="1">
        <f t="array" aca="1" ref="F169" ca="1">_xll.FDS($E$7,"P_BETA_LOCIDX("&amp;$AG169&amp;","&amp;$AL169&amp;",,"""&amp;$E$9&amp;""")")</f>
        <v>1.2612481</v>
      </c>
      <c r="G169" s="30">
        <f t="shared" ca="1" si="36"/>
        <v>-3.2006484867166118E-2</v>
      </c>
      <c r="H169" s="30">
        <f t="shared" ca="1" si="36"/>
        <v>-5.6168408995986262E-2</v>
      </c>
      <c r="I169" s="30">
        <f t="shared" ca="1" si="36"/>
        <v>-9.9478629665453761E-2</v>
      </c>
      <c r="J169" s="30">
        <f t="shared" ca="1" si="34"/>
        <v>-0.14781800993844518</v>
      </c>
      <c r="K169" s="30">
        <f t="shared" ca="1" si="37"/>
        <v>-1.6152461250963642E-2</v>
      </c>
      <c r="L169" s="30">
        <f t="shared" ca="1" si="37"/>
        <v>6.0606503752966487E-3</v>
      </c>
      <c r="M169" s="30">
        <f t="shared" ca="1" si="37"/>
        <v>2.6592638920817781E-2</v>
      </c>
      <c r="N169" s="30">
        <f t="shared" ca="1" si="35"/>
        <v>4.1743575296928195E-2</v>
      </c>
      <c r="O169" s="30">
        <f t="shared" ca="1" si="38"/>
        <v>-4.8158946118129764E-2</v>
      </c>
      <c r="P169" s="30">
        <f t="shared" ca="1" si="39"/>
        <v>-5.0107758620689613E-2</v>
      </c>
      <c r="Q169" s="30">
        <f t="shared" ca="1" si="40"/>
        <v>-7.2885990744635976E-2</v>
      </c>
      <c r="R169" s="30">
        <f t="shared" ca="1" si="41"/>
        <v>-0.106074434641517</v>
      </c>
      <c r="S169" s="9" cm="1">
        <f t="array" aca="1" ref="S169" ca="1">_xll.FDS($E$7,"P_PRICE("&amp;AG169&amp;",0,D,D)")</f>
        <v>88.15</v>
      </c>
      <c r="T169" s="9" cm="1">
        <f t="array" aca="1" ref="T169" ca="1">_xll.FDS($E$7,"P_PRICE("&amp;AH169&amp;",0,D,D)")</f>
        <v>92.61</v>
      </c>
      <c r="U169" s="9" cm="1">
        <f t="array" aca="1" ref="U169" ca="1">_xll.FDS($E$7,"P_PRICE("&amp;AI169&amp;",0,D,D)")</f>
        <v>92.8</v>
      </c>
      <c r="V169" s="9" cm="1">
        <f t="array" aca="1" ref="V169" ca="1">_xll.FDS($E$7,"P_PRICE("&amp;AJ169&amp;",0,D,D)")</f>
        <v>95.08</v>
      </c>
      <c r="W169" s="9" cm="1">
        <f t="array" aca="1" ref="W169" ca="1">_xll.FDS($E$7,"P_PRICE("&amp;AK169&amp;",0,D,D)")</f>
        <v>98.61</v>
      </c>
      <c r="X169" s="24">
        <f t="shared" ca="1" si="42"/>
        <v>-1.2806727915755545E-2</v>
      </c>
      <c r="Y169" s="24">
        <f t="shared" ca="1" si="43"/>
        <v>4.8052800835114429E-3</v>
      </c>
      <c r="Z169" s="24">
        <f t="shared" ca="1" si="44"/>
        <v>2.1084383731335476E-2</v>
      </c>
      <c r="AA169" s="24">
        <f t="shared" ca="1" si="45"/>
        <v>3.3097037210147784E-2</v>
      </c>
      <c r="AB169" s="9" cm="1">
        <f t="array" aca="1" ref="AB169" ca="1">_xll.FDS($E$9,"P_PRICE("&amp;AG169&amp;",0,D,D)")</f>
        <v>5967.84</v>
      </c>
      <c r="AC169" s="9" cm="1">
        <f t="array" aca="1" ref="AC169" ca="1">_xll.FDS($E$9,"P_PRICE("&amp;AH169&amp;",0,D,D)")</f>
        <v>6045.26</v>
      </c>
      <c r="AD169" s="9" cm="1">
        <f t="array" aca="1" ref="AD169" ca="1">_xll.FDS($E$9,"P_PRICE("&amp;AI169&amp;",0,D,D)")</f>
        <v>5939.3</v>
      </c>
      <c r="AE169" s="9" cm="1">
        <f t="array" aca="1" ref="AE169" ca="1">_xll.FDS($E$9,"P_PRICE("&amp;AJ169&amp;",0,D,D)")</f>
        <v>5844.61</v>
      </c>
      <c r="AF169" s="9" cm="1">
        <f t="array" aca="1" ref="AF169" ca="1">_xll.FDS($E$9,"P_PRICE("&amp;AK169&amp;",0,D,D)")</f>
        <v>5776.65</v>
      </c>
      <c r="AG169" s="20">
        <f t="shared" ca="1" si="51"/>
        <v>45828</v>
      </c>
      <c r="AH169" s="22">
        <f t="shared" ca="1" si="46"/>
        <v>45820</v>
      </c>
      <c r="AI169" s="22">
        <f t="shared" ca="1" si="47"/>
        <v>45813</v>
      </c>
      <c r="AJ169" s="22">
        <f t="shared" ca="1" si="48"/>
        <v>45798</v>
      </c>
      <c r="AK169" s="22">
        <f t="shared" ca="1" si="49"/>
        <v>45741</v>
      </c>
      <c r="AL169" s="22">
        <f t="shared" ca="1" si="50"/>
        <v>45650</v>
      </c>
    </row>
    <row r="170" spans="4:38" x14ac:dyDescent="0.25">
      <c r="D170" s="6">
        <f ca="1"/>
        <v>45826</v>
      </c>
      <c r="E170" s="28" cm="1">
        <f t="array" aca="1" ref="E170" ca="1">_xll.FDS($E$7,"P_PRICE("&amp;D170&amp;",0,D,D)")</f>
        <v>89.03</v>
      </c>
      <c r="F170" s="29" cm="1">
        <f t="array" aca="1" ref="F170" ca="1">_xll.FDS($E$7,"P_BETA_LOCIDX("&amp;$AG170&amp;","&amp;$AL170&amp;",,"""&amp;$E$9&amp;""")")</f>
        <v>1.2601137</v>
      </c>
      <c r="G170" s="30">
        <f t="shared" ca="1" si="36"/>
        <v>-1.3851287970031205E-2</v>
      </c>
      <c r="H170" s="30">
        <f t="shared" ca="1" si="36"/>
        <v>-2.2479633698428519E-2</v>
      </c>
      <c r="I170" s="30">
        <f t="shared" ca="1" si="36"/>
        <v>-8.8079785600697985E-2</v>
      </c>
      <c r="J170" s="30">
        <f t="shared" ca="1" si="34"/>
        <v>-0.13933646717366915</v>
      </c>
      <c r="K170" s="30">
        <f t="shared" ca="1" si="37"/>
        <v>-8.6563975811325758E-3</v>
      </c>
      <c r="L170" s="30">
        <f t="shared" ca="1" si="37"/>
        <v>2.1231196139215132E-3</v>
      </c>
      <c r="M170" s="30">
        <f t="shared" ca="1" si="37"/>
        <v>8.5719278670337816E-3</v>
      </c>
      <c r="N170" s="30">
        <f t="shared" ca="1" si="35"/>
        <v>4.6602338976379956E-2</v>
      </c>
      <c r="O170" s="30">
        <f t="shared" ca="1" si="38"/>
        <v>-2.2507685551163781E-2</v>
      </c>
      <c r="P170" s="30">
        <f t="shared" ca="1" si="39"/>
        <v>-2.0356514084507005E-2</v>
      </c>
      <c r="Q170" s="30">
        <f t="shared" ca="1" si="40"/>
        <v>-7.95078577336642E-2</v>
      </c>
      <c r="R170" s="30">
        <f t="shared" ca="1" si="41"/>
        <v>-9.2734128197289212E-2</v>
      </c>
      <c r="S170" s="9" cm="1">
        <f t="array" aca="1" ref="S170" ca="1">_xll.FDS($E$7,"P_PRICE("&amp;AG170&amp;",0,D,D)")</f>
        <v>89.03</v>
      </c>
      <c r="T170" s="9" cm="1">
        <f t="array" aca="1" ref="T170" ca="1">_xll.FDS($E$7,"P_PRICE("&amp;AH170&amp;",0,D,D)")</f>
        <v>91.08</v>
      </c>
      <c r="U170" s="9" cm="1">
        <f t="array" aca="1" ref="U170" ca="1">_xll.FDS($E$7,"P_PRICE("&amp;AI170&amp;",0,D,D)")</f>
        <v>90.88</v>
      </c>
      <c r="V170" s="9" cm="1">
        <f t="array" aca="1" ref="V170" ca="1">_xll.FDS($E$7,"P_PRICE("&amp;AJ170&amp;",0,D,D)")</f>
        <v>96.72</v>
      </c>
      <c r="W170" s="9" cm="1">
        <f t="array" aca="1" ref="W170" ca="1">_xll.FDS($E$7,"P_PRICE("&amp;AK170&amp;",0,D,D)")</f>
        <v>98.13</v>
      </c>
      <c r="X170" s="24">
        <f t="shared" ca="1" si="42"/>
        <v>-6.8695369164961662E-3</v>
      </c>
      <c r="Y170" s="24">
        <f t="shared" ca="1" si="43"/>
        <v>1.684863527728897E-3</v>
      </c>
      <c r="Z170" s="24">
        <f t="shared" ca="1" si="44"/>
        <v>6.8025035098291387E-3</v>
      </c>
      <c r="AA170" s="24">
        <f t="shared" ca="1" si="45"/>
        <v>3.6982646071048952E-2</v>
      </c>
      <c r="AB170" s="9" cm="1">
        <f t="array" aca="1" ref="AB170" ca="1">_xll.FDS($E$9,"P_PRICE("&amp;AG170&amp;",0,D,D)")</f>
        <v>5980.87</v>
      </c>
      <c r="AC170" s="9" cm="1">
        <f t="array" aca="1" ref="AC170" ca="1">_xll.FDS($E$9,"P_PRICE("&amp;AH170&amp;",0,D,D)")</f>
        <v>6022.24</v>
      </c>
      <c r="AD170" s="9" cm="1">
        <f t="array" aca="1" ref="AD170" ca="1">_xll.FDS($E$9,"P_PRICE("&amp;AI170&amp;",0,D,D)")</f>
        <v>5970.81</v>
      </c>
      <c r="AE170" s="9" cm="1">
        <f t="array" aca="1" ref="AE170" ca="1">_xll.FDS($E$9,"P_PRICE("&amp;AJ170&amp;",0,D,D)")</f>
        <v>5940.46</v>
      </c>
      <c r="AF170" s="9" cm="1">
        <f t="array" aca="1" ref="AF170" ca="1">_xll.FDS($E$9,"P_PRICE("&amp;AK170&amp;",0,D,D)")</f>
        <v>5767.57</v>
      </c>
      <c r="AG170" s="20">
        <f t="shared" ca="1" si="51"/>
        <v>45826</v>
      </c>
      <c r="AH170" s="22">
        <f t="shared" ca="1" si="46"/>
        <v>45819</v>
      </c>
      <c r="AI170" s="22">
        <f t="shared" ca="1" si="47"/>
        <v>45812</v>
      </c>
      <c r="AJ170" s="22">
        <f t="shared" ca="1" si="48"/>
        <v>45797</v>
      </c>
      <c r="AK170" s="22">
        <f t="shared" ca="1" si="49"/>
        <v>45740</v>
      </c>
      <c r="AL170" s="22">
        <f t="shared" ca="1" si="50"/>
        <v>45649</v>
      </c>
    </row>
    <row r="171" spans="4:38" x14ac:dyDescent="0.25">
      <c r="D171" s="6">
        <f ca="1"/>
        <v>45825</v>
      </c>
      <c r="E171" s="28" cm="1">
        <f t="array" aca="1" ref="E171" ca="1">_xll.FDS($E$7,"P_PRICE("&amp;D171&amp;",0,D,D)")</f>
        <v>89.81</v>
      </c>
      <c r="F171" s="29" cm="1">
        <f t="array" aca="1" ref="F171" ca="1">_xll.FDS($E$7,"P_BETA_LOCIDX("&amp;$AG171&amp;","&amp;$AL171&amp;",,"""&amp;$E$9&amp;""")")</f>
        <v>1.2573684000000001</v>
      </c>
      <c r="G171" s="30">
        <f t="shared" ca="1" si="36"/>
        <v>-2.1582814748467086E-2</v>
      </c>
      <c r="H171" s="30">
        <f t="shared" ca="1" si="36"/>
        <v>-1.6977573718014692E-2</v>
      </c>
      <c r="I171" s="30">
        <f t="shared" ca="1" si="36"/>
        <v>-9.3641001714947492E-2</v>
      </c>
      <c r="J171" s="30">
        <f t="shared" ca="1" si="34"/>
        <v>-0.12105513339274873</v>
      </c>
      <c r="K171" s="30">
        <f t="shared" ca="1" si="37"/>
        <v>-1.1678756833879573E-2</v>
      </c>
      <c r="L171" s="30">
        <f t="shared" ca="1" si="37"/>
        <v>2.6009275371542606E-3</v>
      </c>
      <c r="M171" s="30">
        <f t="shared" ca="1" si="37"/>
        <v>4.0312703414046042E-3</v>
      </c>
      <c r="N171" s="30">
        <f t="shared" ca="1" si="35"/>
        <v>6.9919370054132707E-2</v>
      </c>
      <c r="O171" s="30">
        <f t="shared" ca="1" si="38"/>
        <v>-3.3261571582346661E-2</v>
      </c>
      <c r="P171" s="30">
        <f t="shared" ca="1" si="39"/>
        <v>-1.4376646180860431E-2</v>
      </c>
      <c r="Q171" s="30">
        <f t="shared" ca="1" si="40"/>
        <v>-8.9609731373542889E-2</v>
      </c>
      <c r="R171" s="30">
        <f t="shared" ca="1" si="41"/>
        <v>-5.1135763338616025E-2</v>
      </c>
      <c r="S171" s="9" cm="1">
        <f t="array" aca="1" ref="S171" ca="1">_xll.FDS($E$7,"P_PRICE("&amp;AG171&amp;",0,D,D)")</f>
        <v>89.81</v>
      </c>
      <c r="T171" s="9" cm="1">
        <f t="array" aca="1" ref="T171" ca="1">_xll.FDS($E$7,"P_PRICE("&amp;AH171&amp;",0,D,D)")</f>
        <v>92.9</v>
      </c>
      <c r="U171" s="9" cm="1">
        <f t="array" aca="1" ref="U171" ca="1">_xll.FDS($E$7,"P_PRICE("&amp;AI171&amp;",0,D,D)")</f>
        <v>91.12</v>
      </c>
      <c r="V171" s="9" cm="1">
        <f t="array" aca="1" ref="V171" ca="1">_xll.FDS($E$7,"P_PRICE("&amp;AJ171&amp;",0,D,D)")</f>
        <v>98.65</v>
      </c>
      <c r="W171" s="9" cm="1">
        <f t="array" aca="1" ref="W171" ca="1">_xll.FDS($E$7,"P_PRICE("&amp;AK171&amp;",0,D,D)")</f>
        <v>94.65</v>
      </c>
      <c r="X171" s="24">
        <f t="shared" ca="1" si="42"/>
        <v>-9.2882538115953706E-3</v>
      </c>
      <c r="Y171" s="24">
        <f t="shared" ca="1" si="43"/>
        <v>2.0685485154186001E-3</v>
      </c>
      <c r="Z171" s="24">
        <f t="shared" ca="1" si="44"/>
        <v>3.2061171104702524E-3</v>
      </c>
      <c r="AA171" s="24">
        <f t="shared" ca="1" si="45"/>
        <v>5.560770419722072E-2</v>
      </c>
      <c r="AB171" s="9" cm="1">
        <f t="array" aca="1" ref="AB171" ca="1">_xll.FDS($E$9,"P_PRICE("&amp;AG171&amp;",0,D,D)")</f>
        <v>5982.72</v>
      </c>
      <c r="AC171" s="9" cm="1">
        <f t="array" aca="1" ref="AC171" ca="1">_xll.FDS($E$9,"P_PRICE("&amp;AH171&amp;",0,D,D)")</f>
        <v>6038.81</v>
      </c>
      <c r="AD171" s="9" cm="1">
        <f t="array" aca="1" ref="AD171" ca="1">_xll.FDS($E$9,"P_PRICE("&amp;AI171&amp;",0,D,D)")</f>
        <v>5970.37</v>
      </c>
      <c r="AE171" s="9" cm="1">
        <f t="array" aca="1" ref="AE171" ca="1">_xll.FDS($E$9,"P_PRICE("&amp;AJ171&amp;",0,D,D)")</f>
        <v>5963.6</v>
      </c>
      <c r="AF171" s="9" cm="1">
        <f t="array" aca="1" ref="AF171" ca="1">_xll.FDS($E$9,"P_PRICE("&amp;AK171&amp;",0,D,D)")</f>
        <v>5667.56</v>
      </c>
      <c r="AG171" s="20">
        <f t="shared" ca="1" si="51"/>
        <v>45825</v>
      </c>
      <c r="AH171" s="22">
        <f t="shared" ca="1" si="46"/>
        <v>45818</v>
      </c>
      <c r="AI171" s="22">
        <f t="shared" ca="1" si="47"/>
        <v>45811</v>
      </c>
      <c r="AJ171" s="22">
        <f t="shared" ca="1" si="48"/>
        <v>45796</v>
      </c>
      <c r="AK171" s="22">
        <f t="shared" ca="1" si="49"/>
        <v>45737</v>
      </c>
      <c r="AL171" s="22">
        <f t="shared" ca="1" si="50"/>
        <v>45646</v>
      </c>
    </row>
    <row r="172" spans="4:38" x14ac:dyDescent="0.25">
      <c r="D172" s="6">
        <f ca="1"/>
        <v>45824</v>
      </c>
      <c r="E172" s="28" cm="1">
        <f t="array" aca="1" ref="E172" ca="1">_xll.FDS($E$7,"P_PRICE("&amp;D172&amp;",0,D,D)")</f>
        <v>90.51</v>
      </c>
      <c r="F172" s="29" cm="1">
        <f t="array" aca="1" ref="F172" ca="1">_xll.FDS($E$7,"P_BETA_LOCIDX("&amp;$AG172&amp;","&amp;$AL172&amp;",,"""&amp;$E$9&amp;""")")</f>
        <v>1.2585325999999999</v>
      </c>
      <c r="G172" s="30">
        <f t="shared" ca="1" si="36"/>
        <v>-3.4360266165385928E-2</v>
      </c>
      <c r="H172" s="30">
        <f t="shared" ca="1" si="36"/>
        <v>-2.5877200001429814E-2</v>
      </c>
      <c r="I172" s="30">
        <f t="shared" ca="1" si="36"/>
        <v>-0.10098766888152637</v>
      </c>
      <c r="J172" s="30">
        <f t="shared" ca="1" si="34"/>
        <v>-0.15482688935242922</v>
      </c>
      <c r="K172" s="30">
        <f t="shared" ca="1" si="37"/>
        <v>5.7060485221147837E-3</v>
      </c>
      <c r="L172" s="30">
        <f t="shared" ca="1" si="37"/>
        <v>2.060189502286083E-2</v>
      </c>
      <c r="M172" s="30">
        <f t="shared" ca="1" si="37"/>
        <v>1.5784515455207471E-2</v>
      </c>
      <c r="N172" s="30">
        <f t="shared" ca="1" si="35"/>
        <v>8.2278472506440894E-2</v>
      </c>
      <c r="O172" s="30">
        <f t="shared" ca="1" si="38"/>
        <v>-2.865421764327114E-2</v>
      </c>
      <c r="P172" s="30">
        <f t="shared" ca="1" si="39"/>
        <v>-5.2753049785689843E-3</v>
      </c>
      <c r="Q172" s="30">
        <f t="shared" ca="1" si="40"/>
        <v>-8.5203153426318901E-2</v>
      </c>
      <c r="R172" s="30">
        <f t="shared" ca="1" si="41"/>
        <v>-7.2548416845988339E-2</v>
      </c>
      <c r="S172" s="9" cm="1">
        <f t="array" aca="1" ref="S172" ca="1">_xll.FDS($E$7,"P_PRICE("&amp;AG172&amp;",0,D,D)")</f>
        <v>90.51</v>
      </c>
      <c r="T172" s="9" cm="1">
        <f t="array" aca="1" ref="T172" ca="1">_xll.FDS($E$7,"P_PRICE("&amp;AH172&amp;",0,D,D)")</f>
        <v>93.18</v>
      </c>
      <c r="U172" s="9" cm="1">
        <f t="array" aca="1" ref="U172" ca="1">_xll.FDS($E$7,"P_PRICE("&amp;AI172&amp;",0,D,D)")</f>
        <v>90.99</v>
      </c>
      <c r="V172" s="9" cm="1">
        <f t="array" aca="1" ref="V172" ca="1">_xll.FDS($E$7,"P_PRICE("&amp;AJ172&amp;",0,D,D)")</f>
        <v>98.94</v>
      </c>
      <c r="W172" s="9" cm="1">
        <f t="array" aca="1" ref="W172" ca="1">_xll.FDS($E$7,"P_PRICE("&amp;AK172&amp;",0,D,D)")</f>
        <v>97.59</v>
      </c>
      <c r="X172" s="24">
        <f t="shared" ca="1" si="42"/>
        <v>4.5338901210145721E-3</v>
      </c>
      <c r="Y172" s="24">
        <f t="shared" ca="1" si="43"/>
        <v>1.6369774627102096E-2</v>
      </c>
      <c r="Z172" s="24">
        <f t="shared" ca="1" si="44"/>
        <v>1.2541999671051407E-2</v>
      </c>
      <c r="AA172" s="24">
        <f t="shared" ca="1" si="45"/>
        <v>6.5376512699345968E-2</v>
      </c>
      <c r="AB172" s="9" cm="1">
        <f t="array" aca="1" ref="AB172" ca="1">_xll.FDS($E$9,"P_PRICE("&amp;AG172&amp;",0,D,D)")</f>
        <v>6033.11</v>
      </c>
      <c r="AC172" s="9" cm="1">
        <f t="array" aca="1" ref="AC172" ca="1">_xll.FDS($E$9,"P_PRICE("&amp;AH172&amp;",0,D,D)")</f>
        <v>6005.88</v>
      </c>
      <c r="AD172" s="9" cm="1">
        <f t="array" aca="1" ref="AD172" ca="1">_xll.FDS($E$9,"P_PRICE("&amp;AI172&amp;",0,D,D)")</f>
        <v>5935.94</v>
      </c>
      <c r="AE172" s="9" cm="1">
        <f t="array" aca="1" ref="AE172" ca="1">_xll.FDS($E$9,"P_PRICE("&amp;AJ172&amp;",0,D,D)")</f>
        <v>5958.38</v>
      </c>
      <c r="AF172" s="9" cm="1">
        <f t="array" aca="1" ref="AF172" ca="1">_xll.FDS($E$9,"P_PRICE("&amp;AK172&amp;",0,D,D)")</f>
        <v>5662.89</v>
      </c>
      <c r="AG172" s="20">
        <f t="shared" ca="1" si="51"/>
        <v>45824</v>
      </c>
      <c r="AH172" s="22">
        <f t="shared" ca="1" si="46"/>
        <v>45817</v>
      </c>
      <c r="AI172" s="22">
        <f t="shared" ca="1" si="47"/>
        <v>45810</v>
      </c>
      <c r="AJ172" s="22">
        <f t="shared" ca="1" si="48"/>
        <v>45793</v>
      </c>
      <c r="AK172" s="22">
        <f t="shared" ca="1" si="49"/>
        <v>45736</v>
      </c>
      <c r="AL172" s="22">
        <f t="shared" ca="1" si="50"/>
        <v>45645</v>
      </c>
    </row>
    <row r="173" spans="4:38" x14ac:dyDescent="0.25">
      <c r="D173" s="6">
        <f ca="1"/>
        <v>45821</v>
      </c>
      <c r="E173" s="28" cm="1">
        <f t="array" aca="1" ref="E173" ca="1">_xll.FDS($E$7,"P_PRICE("&amp;D173&amp;",0,D,D)")</f>
        <v>90.04</v>
      </c>
      <c r="F173" s="29" cm="1">
        <f t="array" aca="1" ref="F173" ca="1">_xll.FDS($E$7,"P_BETA_LOCIDX("&amp;$AG173&amp;","&amp;$AL173&amp;",,"""&amp;$E$9&amp;""")")</f>
        <v>1.2591455</v>
      </c>
      <c r="G173" s="30">
        <f t="shared" ca="1" si="36"/>
        <v>-2.2107070338094684E-2</v>
      </c>
      <c r="H173" s="30">
        <f t="shared" ca="1" si="36"/>
        <v>-2.6190239329319798E-2</v>
      </c>
      <c r="I173" s="30">
        <f t="shared" ca="1" si="36"/>
        <v>-9.2404669308594201E-2</v>
      </c>
      <c r="J173" s="30">
        <f t="shared" ca="1" si="34"/>
        <v>-0.15522694505131895</v>
      </c>
      <c r="K173" s="30">
        <f t="shared" ca="1" si="37"/>
        <v>-4.9082743777039018E-3</v>
      </c>
      <c r="L173" s="30">
        <f t="shared" ca="1" si="37"/>
        <v>1.3904148938797711E-2</v>
      </c>
      <c r="M173" s="30">
        <f t="shared" ca="1" si="37"/>
        <v>1.2776743314522894E-2</v>
      </c>
      <c r="N173" s="30">
        <f t="shared" ca="1" si="35"/>
        <v>6.6932088834227077E-2</v>
      </c>
      <c r="O173" s="30">
        <f t="shared" ca="1" si="38"/>
        <v>-2.7015344715798584E-2</v>
      </c>
      <c r="P173" s="30">
        <f t="shared" ca="1" si="39"/>
        <v>-1.2286090390522086E-2</v>
      </c>
      <c r="Q173" s="30">
        <f t="shared" ca="1" si="40"/>
        <v>-7.9627925994071314E-2</v>
      </c>
      <c r="R173" s="30">
        <f t="shared" ca="1" si="41"/>
        <v>-8.8294856217091877E-2</v>
      </c>
      <c r="S173" s="9" cm="1">
        <f t="array" aca="1" ref="S173" ca="1">_xll.FDS($E$7,"P_PRICE("&amp;AG173&amp;",0,D,D)")</f>
        <v>90.04</v>
      </c>
      <c r="T173" s="9" cm="1">
        <f t="array" aca="1" ref="T173" ca="1">_xll.FDS($E$7,"P_PRICE("&amp;AH173&amp;",0,D,D)")</f>
        <v>92.54</v>
      </c>
      <c r="U173" s="9" cm="1">
        <f t="array" aca="1" ref="U173" ca="1">_xll.FDS($E$7,"P_PRICE("&amp;AI173&amp;",0,D,D)")</f>
        <v>91.16</v>
      </c>
      <c r="V173" s="9" cm="1">
        <f t="array" aca="1" ref="V173" ca="1">_xll.FDS($E$7,"P_PRICE("&amp;AJ173&amp;",0,D,D)")</f>
        <v>97.83</v>
      </c>
      <c r="W173" s="9" cm="1">
        <f t="array" aca="1" ref="W173" ca="1">_xll.FDS($E$7,"P_PRICE("&amp;AK173&amp;",0,D,D)")</f>
        <v>98.76</v>
      </c>
      <c r="X173" s="24">
        <f t="shared" ca="1" si="42"/>
        <v>-3.8980994473664099E-3</v>
      </c>
      <c r="Y173" s="24">
        <f t="shared" ca="1" si="43"/>
        <v>1.1042527602090235E-2</v>
      </c>
      <c r="Z173" s="24">
        <f t="shared" ca="1" si="44"/>
        <v>1.0147154013990356E-2</v>
      </c>
      <c r="AA173" s="24">
        <f t="shared" ca="1" si="45"/>
        <v>5.3156754985207888E-2</v>
      </c>
      <c r="AB173" s="9" cm="1">
        <f t="array" aca="1" ref="AB173" ca="1">_xll.FDS($E$9,"P_PRICE("&amp;AG173&amp;",0,D,D)")</f>
        <v>5976.97</v>
      </c>
      <c r="AC173" s="9" cm="1">
        <f t="array" aca="1" ref="AC173" ca="1">_xll.FDS($E$9,"P_PRICE("&amp;AH173&amp;",0,D,D)")</f>
        <v>6000.36</v>
      </c>
      <c r="AD173" s="9" cm="1">
        <f t="array" aca="1" ref="AD173" ca="1">_xll.FDS($E$9,"P_PRICE("&amp;AI173&amp;",0,D,D)")</f>
        <v>5911.69</v>
      </c>
      <c r="AE173" s="9" cm="1">
        <f t="array" aca="1" ref="AE173" ca="1">_xll.FDS($E$9,"P_PRICE("&amp;AJ173&amp;",0,D,D)")</f>
        <v>5916.93</v>
      </c>
      <c r="AF173" s="9" cm="1">
        <f t="array" aca="1" ref="AF173" ca="1">_xll.FDS($E$9,"P_PRICE("&amp;AK173&amp;",0,D,D)")</f>
        <v>5675.29</v>
      </c>
      <c r="AG173" s="20">
        <f t="shared" ca="1" si="51"/>
        <v>45821</v>
      </c>
      <c r="AH173" s="22">
        <f t="shared" ca="1" si="46"/>
        <v>45814</v>
      </c>
      <c r="AI173" s="22">
        <f t="shared" ca="1" si="47"/>
        <v>45807</v>
      </c>
      <c r="AJ173" s="22">
        <f t="shared" ca="1" si="48"/>
        <v>45792</v>
      </c>
      <c r="AK173" s="22">
        <f t="shared" ca="1" si="49"/>
        <v>45735</v>
      </c>
      <c r="AL173" s="22">
        <f t="shared" ca="1" si="50"/>
        <v>45644</v>
      </c>
    </row>
    <row r="174" spans="4:38" x14ac:dyDescent="0.25">
      <c r="D174" s="6">
        <f ca="1"/>
        <v>45820</v>
      </c>
      <c r="E174" s="28" cm="1">
        <f t="array" aca="1" ref="E174" ca="1">_xll.FDS($E$7,"P_PRICE("&amp;D174&amp;",0,D,D)")</f>
        <v>92.61</v>
      </c>
      <c r="F174" s="29" cm="1">
        <f t="array" aca="1" ref="F174" ca="1">_xll.FDS($E$7,"P_BETA_LOCIDX("&amp;$AG174&amp;","&amp;$AL174&amp;",,"""&amp;$E$9&amp;""")")</f>
        <v>1.2547206</v>
      </c>
      <c r="G174" s="30">
        <f t="shared" ca="1" si="36"/>
        <v>-2.4432239408243336E-2</v>
      </c>
      <c r="H174" s="30">
        <f t="shared" ca="1" si="36"/>
        <v>-2.1176967043792839E-2</v>
      </c>
      <c r="I174" s="30">
        <f t="shared" ca="1" si="36"/>
        <v>-8.2371999089294601E-2</v>
      </c>
      <c r="J174" s="30">
        <f t="shared" ca="1" si="34"/>
        <v>-0.13294443022589669</v>
      </c>
      <c r="K174" s="30">
        <f t="shared" ca="1" si="37"/>
        <v>2.2384825615139867E-2</v>
      </c>
      <c r="L174" s="30">
        <f t="shared" ca="1" si="37"/>
        <v>2.8245257604906527E-2</v>
      </c>
      <c r="M174" s="30">
        <f t="shared" ca="1" si="37"/>
        <v>3.2510503244419287E-2</v>
      </c>
      <c r="N174" s="30">
        <f t="shared" ca="1" si="35"/>
        <v>9.622714293652708E-2</v>
      </c>
      <c r="O174" s="30">
        <f t="shared" ca="1" si="38"/>
        <v>-2.0474137931034697E-3</v>
      </c>
      <c r="P174" s="30">
        <f t="shared" ca="1" si="39"/>
        <v>7.0682905611136881E-3</v>
      </c>
      <c r="Q174" s="30">
        <f t="shared" ca="1" si="40"/>
        <v>-4.9861495844875314E-2</v>
      </c>
      <c r="R174" s="30">
        <f t="shared" ca="1" si="41"/>
        <v>-3.6717287289369627E-2</v>
      </c>
      <c r="S174" s="9" cm="1">
        <f t="array" aca="1" ref="S174" ca="1">_xll.FDS($E$7,"P_PRICE("&amp;AG174&amp;",0,D,D)")</f>
        <v>92.61</v>
      </c>
      <c r="T174" s="9" cm="1">
        <f t="array" aca="1" ref="T174" ca="1">_xll.FDS($E$7,"P_PRICE("&amp;AH174&amp;",0,D,D)")</f>
        <v>92.8</v>
      </c>
      <c r="U174" s="9" cm="1">
        <f t="array" aca="1" ref="U174" ca="1">_xll.FDS($E$7,"P_PRICE("&amp;AI174&amp;",0,D,D)")</f>
        <v>91.96</v>
      </c>
      <c r="V174" s="9" cm="1">
        <f t="array" aca="1" ref="V174" ca="1">_xll.FDS($E$7,"P_PRICE("&amp;AJ174&amp;",0,D,D)")</f>
        <v>97.47</v>
      </c>
      <c r="W174" s="9" cm="1">
        <f t="array" aca="1" ref="W174" ca="1">_xll.FDS($E$7,"P_PRICE("&amp;AK174&amp;",0,D,D)")</f>
        <v>96.14</v>
      </c>
      <c r="X174" s="24">
        <f t="shared" ca="1" si="42"/>
        <v>1.7840486252588716E-2</v>
      </c>
      <c r="Y174" s="24">
        <f t="shared" ca="1" si="43"/>
        <v>2.2511193013732722E-2</v>
      </c>
      <c r="Z174" s="24">
        <f t="shared" ca="1" si="44"/>
        <v>2.5910551914441582E-2</v>
      </c>
      <c r="AA174" s="24">
        <f t="shared" ca="1" si="45"/>
        <v>7.6692088211931075E-2</v>
      </c>
      <c r="AB174" s="9" cm="1">
        <f t="array" aca="1" ref="AB174" ca="1">_xll.FDS($E$9,"P_PRICE("&amp;AG174&amp;",0,D,D)")</f>
        <v>6045.26</v>
      </c>
      <c r="AC174" s="9" cm="1">
        <f t="array" aca="1" ref="AC174" ca="1">_xll.FDS($E$9,"P_PRICE("&amp;AH174&amp;",0,D,D)")</f>
        <v>5939.3</v>
      </c>
      <c r="AD174" s="9" cm="1">
        <f t="array" aca="1" ref="AD174" ca="1">_xll.FDS($E$9,"P_PRICE("&amp;AI174&amp;",0,D,D)")</f>
        <v>5912.17</v>
      </c>
      <c r="AE174" s="9" cm="1">
        <f t="array" aca="1" ref="AE174" ca="1">_xll.FDS($E$9,"P_PRICE("&amp;AJ174&amp;",0,D,D)")</f>
        <v>5892.58</v>
      </c>
      <c r="AF174" s="9" cm="1">
        <f t="array" aca="1" ref="AF174" ca="1">_xll.FDS($E$9,"P_PRICE("&amp;AK174&amp;",0,D,D)")</f>
        <v>5614.66</v>
      </c>
      <c r="AG174" s="20">
        <f t="shared" ca="1" si="51"/>
        <v>45820</v>
      </c>
      <c r="AH174" s="22">
        <f t="shared" ca="1" si="46"/>
        <v>45813</v>
      </c>
      <c r="AI174" s="22">
        <f t="shared" ca="1" si="47"/>
        <v>45806</v>
      </c>
      <c r="AJ174" s="22">
        <f t="shared" ca="1" si="48"/>
        <v>45791</v>
      </c>
      <c r="AK174" s="22">
        <f t="shared" ca="1" si="49"/>
        <v>45734</v>
      </c>
      <c r="AL174" s="22">
        <f t="shared" ca="1" si="50"/>
        <v>45643</v>
      </c>
    </row>
    <row r="175" spans="4:38" x14ac:dyDescent="0.25">
      <c r="D175" s="6">
        <f ca="1"/>
        <v>45819</v>
      </c>
      <c r="E175" s="28" cm="1">
        <f t="array" aca="1" ref="E175" ca="1">_xll.FDS($E$7,"P_PRICE("&amp;D175&amp;",0,D,D)")</f>
        <v>91.08</v>
      </c>
      <c r="F175" s="29" cm="1">
        <f t="array" aca="1" ref="F175" ca="1">_xll.FDS($E$7,"P_BETA_LOCIDX("&amp;$AG175&amp;","&amp;$AL175&amp;",,"""&amp;$E$9&amp;""")")</f>
        <v>1.2529701</v>
      </c>
      <c r="G175" s="30">
        <f t="shared" ca="1" si="36"/>
        <v>-8.5918435601239265E-3</v>
      </c>
      <c r="H175" s="30">
        <f t="shared" ca="1" si="36"/>
        <v>-3.8016036789116067E-2</v>
      </c>
      <c r="I175" s="30">
        <f t="shared" ca="1" si="36"/>
        <v>-0.10100916922372834</v>
      </c>
      <c r="J175" s="30">
        <f t="shared" ca="1" si="34"/>
        <v>-0.14085272781162095</v>
      </c>
      <c r="K175" s="30">
        <f t="shared" ca="1" si="37"/>
        <v>1.0792547785476161E-2</v>
      </c>
      <c r="L175" s="30">
        <f t="shared" ca="1" si="37"/>
        <v>2.844665879868551E-2</v>
      </c>
      <c r="M175" s="30">
        <f t="shared" ca="1" si="37"/>
        <v>2.8882029859425184E-2</v>
      </c>
      <c r="N175" s="30">
        <f t="shared" ca="1" si="35"/>
        <v>7.663819991683006E-2</v>
      </c>
      <c r="O175" s="30">
        <f t="shared" ca="1" si="38"/>
        <v>2.2007042253522346E-3</v>
      </c>
      <c r="P175" s="30">
        <f t="shared" ca="1" si="39"/>
        <v>-9.5693779904305609E-3</v>
      </c>
      <c r="Q175" s="30">
        <f t="shared" ca="1" si="40"/>
        <v>-7.212713936430315E-2</v>
      </c>
      <c r="R175" s="30">
        <f t="shared" ca="1" si="41"/>
        <v>-6.4214527894790874E-2</v>
      </c>
      <c r="S175" s="9" cm="1">
        <f t="array" aca="1" ref="S175" ca="1">_xll.FDS($E$7,"P_PRICE("&amp;AG175&amp;",0,D,D)")</f>
        <v>91.08</v>
      </c>
      <c r="T175" s="9" cm="1">
        <f t="array" aca="1" ref="T175" ca="1">_xll.FDS($E$7,"P_PRICE("&amp;AH175&amp;",0,D,D)")</f>
        <v>90.88</v>
      </c>
      <c r="U175" s="9" cm="1">
        <f t="array" aca="1" ref="U175" ca="1">_xll.FDS($E$7,"P_PRICE("&amp;AI175&amp;",0,D,D)")</f>
        <v>91.96</v>
      </c>
      <c r="V175" s="9" cm="1">
        <f t="array" aca="1" ref="V175" ca="1">_xll.FDS($E$7,"P_PRICE("&amp;AJ175&amp;",0,D,D)")</f>
        <v>98.16</v>
      </c>
      <c r="W175" s="9" cm="1">
        <f t="array" aca="1" ref="W175" ca="1">_xll.FDS($E$7,"P_PRICE("&amp;AK175&amp;",0,D,D)")</f>
        <v>97.33</v>
      </c>
      <c r="X175" s="24">
        <f t="shared" ca="1" si="42"/>
        <v>8.6135716929527373E-3</v>
      </c>
      <c r="Y175" s="24">
        <f t="shared" ca="1" si="43"/>
        <v>2.2703381987076554E-2</v>
      </c>
      <c r="Z175" s="24">
        <f t="shared" ca="1" si="44"/>
        <v>2.3050853216230127E-2</v>
      </c>
      <c r="AA175" s="24">
        <f t="shared" ca="1" si="45"/>
        <v>6.1165226462171818E-2</v>
      </c>
      <c r="AB175" s="9" cm="1">
        <f t="array" aca="1" ref="AB175" ca="1">_xll.FDS($E$9,"P_PRICE("&amp;AG175&amp;",0,D,D)")</f>
        <v>6022.24</v>
      </c>
      <c r="AC175" s="9" cm="1">
        <f t="array" aca="1" ref="AC175" ca="1">_xll.FDS($E$9,"P_PRICE("&amp;AH175&amp;",0,D,D)")</f>
        <v>5970.81</v>
      </c>
      <c r="AD175" s="9" cm="1">
        <f t="array" aca="1" ref="AD175" ca="1">_xll.FDS($E$9,"P_PRICE("&amp;AI175&amp;",0,D,D)")</f>
        <v>5888.55</v>
      </c>
      <c r="AE175" s="9" cm="1">
        <f t="array" aca="1" ref="AE175" ca="1">_xll.FDS($E$9,"P_PRICE("&amp;AJ175&amp;",0,D,D)")</f>
        <v>5886.55</v>
      </c>
      <c r="AF175" s="9" cm="1">
        <f t="array" aca="1" ref="AF175" ca="1">_xll.FDS($E$9,"P_PRICE("&amp;AK175&amp;",0,D,D)")</f>
        <v>5675.12</v>
      </c>
      <c r="AG175" s="20">
        <f t="shared" ca="1" si="51"/>
        <v>45819</v>
      </c>
      <c r="AH175" s="22">
        <f t="shared" ca="1" si="46"/>
        <v>45812</v>
      </c>
      <c r="AI175" s="22">
        <f t="shared" ca="1" si="47"/>
        <v>45805</v>
      </c>
      <c r="AJ175" s="22">
        <f t="shared" ca="1" si="48"/>
        <v>45790</v>
      </c>
      <c r="AK175" s="22">
        <f t="shared" ca="1" si="49"/>
        <v>45733</v>
      </c>
      <c r="AL175" s="22">
        <f t="shared" ca="1" si="50"/>
        <v>45642</v>
      </c>
    </row>
    <row r="176" spans="4:38" x14ac:dyDescent="0.25">
      <c r="D176" s="6">
        <f ca="1"/>
        <v>45818</v>
      </c>
      <c r="E176" s="28" cm="1">
        <f t="array" aca="1" ref="E176" ca="1">_xll.FDS($E$7,"P_PRICE("&amp;D176&amp;",0,D,D)")</f>
        <v>92.9</v>
      </c>
      <c r="F176" s="29" cm="1">
        <f t="array" aca="1" ref="F176" ca="1">_xll.FDS($E$7,"P_BETA_LOCIDX("&amp;$AG176&amp;","&amp;$AL176&amp;",,"""&amp;$E$9&amp;""")")</f>
        <v>1.2514860999999999</v>
      </c>
      <c r="G176" s="30">
        <f t="shared" ca="1" si="36"/>
        <v>5.188548787073876E-3</v>
      </c>
      <c r="H176" s="30">
        <f t="shared" ca="1" si="36"/>
        <v>-4.9046550407642414E-2</v>
      </c>
      <c r="I176" s="30">
        <f t="shared" ca="1" si="36"/>
        <v>-0.10072623571841674</v>
      </c>
      <c r="J176" s="30">
        <f t="shared" ca="1" si="34"/>
        <v>-0.13121118331739912</v>
      </c>
      <c r="K176" s="30">
        <f t="shared" ca="1" si="37"/>
        <v>1.4346130756385345E-2</v>
      </c>
      <c r="L176" s="30">
        <f t="shared" ca="1" si="37"/>
        <v>2.4784393071228289E-2</v>
      </c>
      <c r="M176" s="30">
        <f t="shared" ca="1" si="37"/>
        <v>4.1676301554535465E-2</v>
      </c>
      <c r="N176" s="30">
        <f t="shared" ca="1" si="35"/>
        <v>8.8745712280499656E-2</v>
      </c>
      <c r="O176" s="30">
        <f t="shared" ca="1" si="38"/>
        <v>1.9534679543459221E-2</v>
      </c>
      <c r="P176" s="30">
        <f t="shared" ca="1" si="39"/>
        <v>-2.4262157336414125E-2</v>
      </c>
      <c r="Q176" s="30">
        <f t="shared" ca="1" si="40"/>
        <v>-5.9049934163881268E-2</v>
      </c>
      <c r="R176" s="30">
        <f t="shared" ca="1" si="41"/>
        <v>-4.246547103689946E-2</v>
      </c>
      <c r="S176" s="9" cm="1">
        <f t="array" aca="1" ref="S176" ca="1">_xll.FDS($E$7,"P_PRICE("&amp;AG176&amp;",0,D,D)")</f>
        <v>92.9</v>
      </c>
      <c r="T176" s="9" cm="1">
        <f t="array" aca="1" ref="T176" ca="1">_xll.FDS($E$7,"P_PRICE("&amp;AH176&amp;",0,D,D)")</f>
        <v>91.12</v>
      </c>
      <c r="U176" s="9" cm="1">
        <f t="array" aca="1" ref="U176" ca="1">_xll.FDS($E$7,"P_PRICE("&amp;AI176&amp;",0,D,D)")</f>
        <v>95.21</v>
      </c>
      <c r="V176" s="9" cm="1">
        <f t="array" aca="1" ref="V176" ca="1">_xll.FDS($E$7,"P_PRICE("&amp;AJ176&amp;",0,D,D)")</f>
        <v>98.73</v>
      </c>
      <c r="W176" s="9" cm="1">
        <f t="array" aca="1" ref="W176" ca="1">_xll.FDS($E$7,"P_PRICE("&amp;AK176&amp;",0,D,D)")</f>
        <v>97.02</v>
      </c>
      <c r="X176" s="24">
        <f t="shared" ca="1" si="42"/>
        <v>1.1463276145364576E-2</v>
      </c>
      <c r="Y176" s="24">
        <f t="shared" ca="1" si="43"/>
        <v>1.9803969913232189E-2</v>
      </c>
      <c r="Z176" s="24">
        <f t="shared" ca="1" si="44"/>
        <v>3.3301449815971162E-2</v>
      </c>
      <c r="AA176" s="24">
        <f t="shared" ca="1" si="45"/>
        <v>7.0912263652388674E-2</v>
      </c>
      <c r="AB176" s="9" cm="1">
        <f t="array" aca="1" ref="AB176" ca="1">_xll.FDS($E$9,"P_PRICE("&amp;AG176&amp;",0,D,D)")</f>
        <v>6038.81</v>
      </c>
      <c r="AC176" s="9" cm="1">
        <f t="array" aca="1" ref="AC176" ca="1">_xll.FDS($E$9,"P_PRICE("&amp;AH176&amp;",0,D,D)")</f>
        <v>5970.37</v>
      </c>
      <c r="AD176" s="9" cm="1">
        <f t="array" aca="1" ref="AD176" ca="1">_xll.FDS($E$9,"P_PRICE("&amp;AI176&amp;",0,D,D)")</f>
        <v>5921.54</v>
      </c>
      <c r="AE176" s="9" cm="1">
        <f t="array" aca="1" ref="AE176" ca="1">_xll.FDS($E$9,"P_PRICE("&amp;AJ176&amp;",0,D,D)")</f>
        <v>5844.19</v>
      </c>
      <c r="AF176" s="9" cm="1">
        <f t="array" aca="1" ref="AF176" ca="1">_xll.FDS($E$9,"P_PRICE("&amp;AK176&amp;",0,D,D)")</f>
        <v>5638.94</v>
      </c>
      <c r="AG176" s="20">
        <f t="shared" ca="1" si="51"/>
        <v>45818</v>
      </c>
      <c r="AH176" s="22">
        <f t="shared" ca="1" si="46"/>
        <v>45811</v>
      </c>
      <c r="AI176" s="22">
        <f t="shared" ca="1" si="47"/>
        <v>45804</v>
      </c>
      <c r="AJ176" s="22">
        <f t="shared" ca="1" si="48"/>
        <v>45789</v>
      </c>
      <c r="AK176" s="22">
        <f t="shared" ca="1" si="49"/>
        <v>45730</v>
      </c>
      <c r="AL176" s="22">
        <f t="shared" ca="1" si="50"/>
        <v>45639</v>
      </c>
    </row>
    <row r="177" spans="4:38" x14ac:dyDescent="0.25">
      <c r="D177" s="6">
        <f ca="1"/>
        <v>45817</v>
      </c>
      <c r="E177" s="28" cm="1">
        <f t="array" aca="1" ref="E177" ca="1">_xll.FDS($E$7,"P_PRICE("&amp;D177&amp;",0,D,D)")</f>
        <v>93.18</v>
      </c>
      <c r="F177" s="29" cm="1">
        <f t="array" aca="1" ref="F177" ca="1">_xll.FDS($E$7,"P_BETA_LOCIDX("&amp;$AG177&amp;","&amp;$AL177&amp;",,"""&amp;$E$9&amp;""")")</f>
        <v>1.2520739999999999</v>
      </c>
      <c r="G177" s="30">
        <f t="shared" ca="1" si="36"/>
        <v>9.3160619985796101E-3</v>
      </c>
      <c r="H177" s="30">
        <f t="shared" ca="1" si="36"/>
        <v>-5.3485830734008921E-2</v>
      </c>
      <c r="I177" s="30">
        <f t="shared" ca="1" si="36"/>
        <v>-9.1441231583282517E-2</v>
      </c>
      <c r="J177" s="30">
        <f t="shared" ca="1" si="34"/>
        <v>-0.12484528348335713</v>
      </c>
      <c r="K177" s="30">
        <f t="shared" ca="1" si="37"/>
        <v>1.4752516966141866E-2</v>
      </c>
      <c r="L177" s="30">
        <f t="shared" ca="1" si="37"/>
        <v>4.3814239704143887E-2</v>
      </c>
      <c r="M177" s="30">
        <f t="shared" ca="1" si="37"/>
        <v>7.6534793270564533E-2</v>
      </c>
      <c r="N177" s="30">
        <f t="shared" ca="1" si="35"/>
        <v>0.10983471265883296</v>
      </c>
      <c r="O177" s="30">
        <f t="shared" ca="1" si="38"/>
        <v>2.4068578964721477E-2</v>
      </c>
      <c r="P177" s="30">
        <f t="shared" ca="1" si="39"/>
        <v>-9.6715910298650343E-3</v>
      </c>
      <c r="Q177" s="30">
        <f t="shared" ca="1" si="40"/>
        <v>-1.4906438312717984E-2</v>
      </c>
      <c r="R177" s="30">
        <f t="shared" ca="1" si="41"/>
        <v>-1.5010570824524172E-2</v>
      </c>
      <c r="S177" s="9" cm="1">
        <f t="array" aca="1" ref="S177" ca="1">_xll.FDS($E$7,"P_PRICE("&amp;AG177&amp;",0,D,D)")</f>
        <v>93.18</v>
      </c>
      <c r="T177" s="9" cm="1">
        <f t="array" aca="1" ref="T177" ca="1">_xll.FDS($E$7,"P_PRICE("&amp;AH177&amp;",0,D,D)")</f>
        <v>90.99</v>
      </c>
      <c r="U177" s="9" cm="1">
        <f t="array" aca="1" ref="U177" ca="1">_xll.FDS($E$7,"P_PRICE("&amp;AI177&amp;",0,D,D)")</f>
        <v>94.09</v>
      </c>
      <c r="V177" s="9" cm="1">
        <f t="array" aca="1" ref="V177" ca="1">_xll.FDS($E$7,"P_PRICE("&amp;AJ177&amp;",0,D,D)")</f>
        <v>94.59</v>
      </c>
      <c r="W177" s="9" cm="1">
        <f t="array" aca="1" ref="W177" ca="1">_xll.FDS($E$7,"P_PRICE("&amp;AK177&amp;",0,D,D)")</f>
        <v>94.6</v>
      </c>
      <c r="X177" s="24">
        <f t="shared" ca="1" si="42"/>
        <v>1.178246410846473E-2</v>
      </c>
      <c r="Y177" s="24">
        <f t="shared" ca="1" si="43"/>
        <v>3.4993330828803959E-2</v>
      </c>
      <c r="Z177" s="24">
        <f t="shared" ca="1" si="44"/>
        <v>6.1126413670888891E-2</v>
      </c>
      <c r="AA177" s="24">
        <f t="shared" ca="1" si="45"/>
        <v>8.7722221417290802E-2</v>
      </c>
      <c r="AB177" s="9" cm="1">
        <f t="array" aca="1" ref="AB177" ca="1">_xll.FDS($E$9,"P_PRICE("&amp;AG177&amp;",0,D,D)")</f>
        <v>6005.88</v>
      </c>
      <c r="AC177" s="9" cm="1">
        <f t="array" aca="1" ref="AC177" ca="1">_xll.FDS($E$9,"P_PRICE("&amp;AH177&amp;",0,D,D)")</f>
        <v>5935.94</v>
      </c>
      <c r="AD177" s="9" cm="1">
        <f t="array" aca="1" ref="AD177" ca="1">_xll.FDS($E$9,"P_PRICE("&amp;AI177&amp;",0,D,D)")</f>
        <v>5802.82</v>
      </c>
      <c r="AE177" s="9" cm="1">
        <f t="array" aca="1" ref="AE177" ca="1">_xll.FDS($E$9,"P_PRICE("&amp;AJ177&amp;",0,D,D)")</f>
        <v>5659.91</v>
      </c>
      <c r="AF177" s="9" cm="1">
        <f t="array" aca="1" ref="AF177" ca="1">_xll.FDS($E$9,"P_PRICE("&amp;AK177&amp;",0,D,D)")</f>
        <v>5521.52</v>
      </c>
      <c r="AG177" s="20">
        <f t="shared" ca="1" si="51"/>
        <v>45817</v>
      </c>
      <c r="AH177" s="22">
        <f t="shared" ca="1" si="46"/>
        <v>45810</v>
      </c>
      <c r="AI177" s="22">
        <f t="shared" ca="1" si="47"/>
        <v>45800</v>
      </c>
      <c r="AJ177" s="22">
        <f t="shared" ca="1" si="48"/>
        <v>45786</v>
      </c>
      <c r="AK177" s="22">
        <f t="shared" ca="1" si="49"/>
        <v>45729</v>
      </c>
      <c r="AL177" s="22">
        <f t="shared" ca="1" si="50"/>
        <v>45638</v>
      </c>
    </row>
    <row r="178" spans="4:38" x14ac:dyDescent="0.25">
      <c r="D178" s="6">
        <f ca="1"/>
        <v>45814</v>
      </c>
      <c r="E178" s="28" cm="1">
        <f t="array" aca="1" ref="E178" ca="1">_xll.FDS($E$7,"P_PRICE("&amp;D178&amp;",0,D,D)")</f>
        <v>92.54</v>
      </c>
      <c r="F178" s="29" cm="1">
        <f t="array" aca="1" ref="F178" ca="1">_xll.FDS($E$7,"P_BETA_LOCIDX("&amp;$AG178&amp;","&amp;$AL178&amp;",,"""&amp;$E$9&amp;""")")</f>
        <v>1.2485728</v>
      </c>
      <c r="G178" s="30">
        <f t="shared" ca="1" si="36"/>
        <v>-3.5892435415026853E-3</v>
      </c>
      <c r="H178" s="30">
        <f t="shared" ca="1" si="36"/>
        <v>-6.1375638070211083E-2</v>
      </c>
      <c r="I178" s="30">
        <f t="shared" ca="1" si="36"/>
        <v>-8.9064378077232373E-2</v>
      </c>
      <c r="J178" s="30">
        <f t="shared" ca="1" si="34"/>
        <v>-0.14879294620752859</v>
      </c>
      <c r="K178" s="30">
        <f t="shared" ca="1" si="37"/>
        <v>1.872746205839625E-2</v>
      </c>
      <c r="L178" s="30">
        <f t="shared" ca="1" si="37"/>
        <v>3.384306135730665E-2</v>
      </c>
      <c r="M178" s="30">
        <f t="shared" ca="1" si="37"/>
        <v>7.4161248420004419E-2</v>
      </c>
      <c r="N178" s="30">
        <f t="shared" ca="1" si="35"/>
        <v>8.9431287333773798E-2</v>
      </c>
      <c r="O178" s="30">
        <f t="shared" ca="1" si="38"/>
        <v>1.5138218516893565E-2</v>
      </c>
      <c r="P178" s="30">
        <f t="shared" ca="1" si="39"/>
        <v>-2.7532576712904433E-2</v>
      </c>
      <c r="Q178" s="30">
        <f t="shared" ca="1" si="40"/>
        <v>-1.4903129657227954E-2</v>
      </c>
      <c r="R178" s="30">
        <f t="shared" ca="1" si="41"/>
        <v>-5.9361658873754775E-2</v>
      </c>
      <c r="S178" s="9" cm="1">
        <f t="array" aca="1" ref="S178" ca="1">_xll.FDS($E$7,"P_PRICE("&amp;AG178&amp;",0,D,D)")</f>
        <v>92.54</v>
      </c>
      <c r="T178" s="9" cm="1">
        <f t="array" aca="1" ref="T178" ca="1">_xll.FDS($E$7,"P_PRICE("&amp;AH178&amp;",0,D,D)")</f>
        <v>91.16</v>
      </c>
      <c r="U178" s="9" cm="1">
        <f t="array" aca="1" ref="U178" ca="1">_xll.FDS($E$7,"P_PRICE("&amp;AI178&amp;",0,D,D)")</f>
        <v>95.16</v>
      </c>
      <c r="V178" s="9" cm="1">
        <f t="array" aca="1" ref="V178" ca="1">_xll.FDS($E$7,"P_PRICE("&amp;AJ178&amp;",0,D,D)")</f>
        <v>93.94</v>
      </c>
      <c r="W178" s="9" cm="1">
        <f t="array" aca="1" ref="W178" ca="1">_xll.FDS($E$7,"P_PRICE("&amp;AK178&amp;",0,D,D)")</f>
        <v>98.38</v>
      </c>
      <c r="X178" s="24">
        <f t="shared" ca="1" si="42"/>
        <v>1.4999095013439545E-2</v>
      </c>
      <c r="Y178" s="24">
        <f t="shared" ca="1" si="43"/>
        <v>2.7105396943859938E-2</v>
      </c>
      <c r="Z178" s="24">
        <f t="shared" ca="1" si="44"/>
        <v>5.9396815644233492E-2</v>
      </c>
      <c r="AA178" s="24">
        <f t="shared" ca="1" si="45"/>
        <v>7.1626810494168858E-2</v>
      </c>
      <c r="AB178" s="9" cm="1">
        <f t="array" aca="1" ref="AB178" ca="1">_xll.FDS($E$9,"P_PRICE("&amp;AG178&amp;",0,D,D)")</f>
        <v>6000.36</v>
      </c>
      <c r="AC178" s="9" cm="1">
        <f t="array" aca="1" ref="AC178" ca="1">_xll.FDS($E$9,"P_PRICE("&amp;AH178&amp;",0,D,D)")</f>
        <v>5911.69</v>
      </c>
      <c r="AD178" s="9" cm="1">
        <f t="array" aca="1" ref="AD178" ca="1">_xll.FDS($E$9,"P_PRICE("&amp;AI178&amp;",0,D,D)")</f>
        <v>5842.01</v>
      </c>
      <c r="AE178" s="9" cm="1">
        <f t="array" aca="1" ref="AE178" ca="1">_xll.FDS($E$9,"P_PRICE("&amp;AJ178&amp;",0,D,D)")</f>
        <v>5663.94</v>
      </c>
      <c r="AF178" s="9" cm="1">
        <f t="array" aca="1" ref="AF178" ca="1">_xll.FDS($E$9,"P_PRICE("&amp;AK178&amp;",0,D,D)")</f>
        <v>5599.3</v>
      </c>
      <c r="AG178" s="20">
        <f t="shared" ca="1" si="51"/>
        <v>45814</v>
      </c>
      <c r="AH178" s="22">
        <f t="shared" ca="1" si="46"/>
        <v>45807</v>
      </c>
      <c r="AI178" s="22">
        <f t="shared" ca="1" si="47"/>
        <v>45799</v>
      </c>
      <c r="AJ178" s="22">
        <f t="shared" ca="1" si="48"/>
        <v>45785</v>
      </c>
      <c r="AK178" s="22">
        <f t="shared" ca="1" si="49"/>
        <v>45728</v>
      </c>
      <c r="AL178" s="22">
        <f t="shared" ca="1" si="50"/>
        <v>45637</v>
      </c>
    </row>
    <row r="179" spans="4:38" x14ac:dyDescent="0.25">
      <c r="D179" s="6">
        <f ca="1"/>
        <v>45813</v>
      </c>
      <c r="E179" s="28" cm="1">
        <f t="array" aca="1" ref="E179" ca="1">_xll.FDS($E$7,"P_PRICE("&amp;D179&amp;",0,D,D)")</f>
        <v>92.8</v>
      </c>
      <c r="F179" s="29" cm="1">
        <f t="array" aca="1" ref="F179" ca="1">_xll.FDS($E$7,"P_BETA_LOCIDX("&amp;$AG179&amp;","&amp;$AL179&amp;",,"""&amp;$E$9&amp;""")")</f>
        <v>1.2547242999999999</v>
      </c>
      <c r="G179" s="30">
        <f t="shared" ca="1" si="36"/>
        <v>3.3766776700309836E-3</v>
      </c>
      <c r="H179" s="30">
        <f t="shared" ca="1" si="36"/>
        <v>-4.4307911171283423E-2</v>
      </c>
      <c r="I179" s="30">
        <f t="shared" ca="1" si="36"/>
        <v>-5.795790871916745E-2</v>
      </c>
      <c r="J179" s="30">
        <f t="shared" ca="1" si="34"/>
        <v>-0.10203169515162405</v>
      </c>
      <c r="K179" s="30">
        <f t="shared" ca="1" si="37"/>
        <v>5.757728593561981E-3</v>
      </c>
      <c r="L179" s="30">
        <f t="shared" ca="1" si="37"/>
        <v>2.0328104692528676E-2</v>
      </c>
      <c r="M179" s="30">
        <f t="shared" ca="1" si="37"/>
        <v>6.8630964698256969E-2</v>
      </c>
      <c r="N179" s="30">
        <f t="shared" ca="1" si="35"/>
        <v>8.2693218981276378E-2</v>
      </c>
      <c r="O179" s="30">
        <f t="shared" ca="1" si="38"/>
        <v>9.1344062635929646E-3</v>
      </c>
      <c r="P179" s="30">
        <f t="shared" ca="1" si="39"/>
        <v>-2.397980647875475E-2</v>
      </c>
      <c r="Q179" s="30">
        <f t="shared" ca="1" si="40"/>
        <v>1.0673055979089519E-2</v>
      </c>
      <c r="R179" s="30">
        <f t="shared" ca="1" si="41"/>
        <v>-1.9338476170347674E-2</v>
      </c>
      <c r="S179" s="9" cm="1">
        <f t="array" aca="1" ref="S179" ca="1">_xll.FDS($E$7,"P_PRICE("&amp;AG179&amp;",0,D,D)")</f>
        <v>92.8</v>
      </c>
      <c r="T179" s="9" cm="1">
        <f t="array" aca="1" ref="T179" ca="1">_xll.FDS($E$7,"P_PRICE("&amp;AH179&amp;",0,D,D)")</f>
        <v>91.96</v>
      </c>
      <c r="U179" s="9" cm="1">
        <f t="array" aca="1" ref="U179" ca="1">_xll.FDS($E$7,"P_PRICE("&amp;AI179&amp;",0,D,D)")</f>
        <v>95.08</v>
      </c>
      <c r="V179" s="9" cm="1">
        <f t="array" aca="1" ref="V179" ca="1">_xll.FDS($E$7,"P_PRICE("&amp;AJ179&amp;",0,D,D)")</f>
        <v>91.82</v>
      </c>
      <c r="W179" s="9" cm="1">
        <f t="array" aca="1" ref="W179" ca="1">_xll.FDS($E$7,"P_PRICE("&amp;AK179&amp;",0,D,D)")</f>
        <v>94.63</v>
      </c>
      <c r="X179" s="24">
        <f t="shared" ca="1" si="42"/>
        <v>4.5888396307953716E-3</v>
      </c>
      <c r="Y179" s="24">
        <f t="shared" ca="1" si="43"/>
        <v>1.6201252093809515E-2</v>
      </c>
      <c r="Z179" s="24">
        <f t="shared" ca="1" si="44"/>
        <v>5.4698043784006556E-2</v>
      </c>
      <c r="AA179" s="24">
        <f t="shared" ca="1" si="45"/>
        <v>6.5905489342380941E-2</v>
      </c>
      <c r="AB179" s="9" cm="1">
        <f t="array" aca="1" ref="AB179" ca="1">_xll.FDS($E$9,"P_PRICE("&amp;AG179&amp;",0,D,D)")</f>
        <v>5939.3</v>
      </c>
      <c r="AC179" s="9" cm="1">
        <f t="array" aca="1" ref="AC179" ca="1">_xll.FDS($E$9,"P_PRICE("&amp;AH179&amp;",0,D,D)")</f>
        <v>5912.17</v>
      </c>
      <c r="AD179" s="9" cm="1">
        <f t="array" aca="1" ref="AD179" ca="1">_xll.FDS($E$9,"P_PRICE("&amp;AI179&amp;",0,D,D)")</f>
        <v>5844.61</v>
      </c>
      <c r="AE179" s="9" cm="1">
        <f t="array" aca="1" ref="AE179" ca="1">_xll.FDS($E$9,"P_PRICE("&amp;AJ179&amp;",0,D,D)")</f>
        <v>5631.28</v>
      </c>
      <c r="AF179" s="9" cm="1">
        <f t="array" aca="1" ref="AF179" ca="1">_xll.FDS($E$9,"P_PRICE("&amp;AK179&amp;",0,D,D)")</f>
        <v>5572.07</v>
      </c>
      <c r="AG179" s="20">
        <f t="shared" ca="1" si="51"/>
        <v>45813</v>
      </c>
      <c r="AH179" s="22">
        <f t="shared" ca="1" si="46"/>
        <v>45806</v>
      </c>
      <c r="AI179" s="22">
        <f t="shared" ca="1" si="47"/>
        <v>45798</v>
      </c>
      <c r="AJ179" s="22">
        <f t="shared" ca="1" si="48"/>
        <v>45784</v>
      </c>
      <c r="AK179" s="22">
        <f t="shared" ca="1" si="49"/>
        <v>45727</v>
      </c>
      <c r="AL179" s="22">
        <f t="shared" ca="1" si="50"/>
        <v>45636</v>
      </c>
    </row>
    <row r="180" spans="4:38" x14ac:dyDescent="0.25">
      <c r="D180" s="6">
        <f ca="1"/>
        <v>45812</v>
      </c>
      <c r="E180" s="28" cm="1">
        <f t="array" aca="1" ref="E180" ca="1">_xll.FDS($E$7,"P_PRICE("&amp;D180&amp;",0,D,D)")</f>
        <v>90.88</v>
      </c>
      <c r="F180" s="29" cm="1">
        <f t="array" aca="1" ref="F180" ca="1">_xll.FDS($E$7,"P_BETA_LOCIDX("&amp;$AG180&amp;","&amp;$AL180&amp;",,"""&amp;$E$9&amp;""")")</f>
        <v>1.2638358999999999</v>
      </c>
      <c r="G180" s="30">
        <f t="shared" ca="1" si="36"/>
        <v>-2.9399370933405229E-2</v>
      </c>
      <c r="H180" s="30">
        <f t="shared" ca="1" si="36"/>
        <v>-6.6837457741230649E-2</v>
      </c>
      <c r="I180" s="30">
        <f t="shared" ca="1" si="36"/>
        <v>-0.11470250715797997</v>
      </c>
      <c r="J180" s="30">
        <f t="shared" ca="1" si="34"/>
        <v>-0.11101186798385851</v>
      </c>
      <c r="K180" s="30">
        <f t="shared" ca="1" si="37"/>
        <v>1.7655134308785798E-2</v>
      </c>
      <c r="L180" s="30">
        <f t="shared" ca="1" si="37"/>
        <v>6.4569780059121964E-3</v>
      </c>
      <c r="M180" s="30">
        <f t="shared" ca="1" si="37"/>
        <v>8.2025551330412061E-2</v>
      </c>
      <c r="N180" s="30">
        <f t="shared" ca="1" si="35"/>
        <v>8.0191776270090748E-2</v>
      </c>
      <c r="O180" s="30">
        <f t="shared" ca="1" si="38"/>
        <v>-1.1744236624619431E-2</v>
      </c>
      <c r="P180" s="30">
        <f t="shared" ca="1" si="39"/>
        <v>-6.038047973531846E-2</v>
      </c>
      <c r="Q180" s="30">
        <f t="shared" ca="1" si="40"/>
        <v>-3.2676955827567911E-2</v>
      </c>
      <c r="R180" s="30">
        <f t="shared" ca="1" si="41"/>
        <v>-3.0820091713767761E-2</v>
      </c>
      <c r="S180" s="9" cm="1">
        <f t="array" aca="1" ref="S180" ca="1">_xll.FDS($E$7,"P_PRICE("&amp;AG180&amp;",0,D,D)")</f>
        <v>90.88</v>
      </c>
      <c r="T180" s="9" cm="1">
        <f t="array" aca="1" ref="T180" ca="1">_xll.FDS($E$7,"P_PRICE("&amp;AH180&amp;",0,D,D)")</f>
        <v>91.96</v>
      </c>
      <c r="U180" s="9" cm="1">
        <f t="array" aca="1" ref="U180" ca="1">_xll.FDS($E$7,"P_PRICE("&amp;AI180&amp;",0,D,D)")</f>
        <v>96.72</v>
      </c>
      <c r="V180" s="9" cm="1">
        <f t="array" aca="1" ref="V180" ca="1">_xll.FDS($E$7,"P_PRICE("&amp;AJ180&amp;",0,D,D)")</f>
        <v>93.95</v>
      </c>
      <c r="W180" s="9" cm="1">
        <f t="array" aca="1" ref="W180" ca="1">_xll.FDS($E$7,"P_PRICE("&amp;AK180&amp;",0,D,D)")</f>
        <v>93.77</v>
      </c>
      <c r="X180" s="24">
        <f t="shared" ca="1" si="42"/>
        <v>1.3969483149502082E-2</v>
      </c>
      <c r="Y180" s="24">
        <f t="shared" ca="1" si="43"/>
        <v>5.1090319604880641E-3</v>
      </c>
      <c r="Z180" s="24">
        <f t="shared" ca="1" si="44"/>
        <v>6.4902058352996672E-2</v>
      </c>
      <c r="AA180" s="24">
        <f t="shared" ca="1" si="45"/>
        <v>6.3451098572283593E-2</v>
      </c>
      <c r="AB180" s="9" cm="1">
        <f t="array" aca="1" ref="AB180" ca="1">_xll.FDS($E$9,"P_PRICE("&amp;AG180&amp;",0,D,D)")</f>
        <v>5970.81</v>
      </c>
      <c r="AC180" s="9" cm="1">
        <f t="array" aca="1" ref="AC180" ca="1">_xll.FDS($E$9,"P_PRICE("&amp;AH180&amp;",0,D,D)")</f>
        <v>5888.55</v>
      </c>
      <c r="AD180" s="9" cm="1">
        <f t="array" aca="1" ref="AD180" ca="1">_xll.FDS($E$9,"P_PRICE("&amp;AI180&amp;",0,D,D)")</f>
        <v>5940.46</v>
      </c>
      <c r="AE180" s="9" cm="1">
        <f t="array" aca="1" ref="AE180" ca="1">_xll.FDS($E$9,"P_PRICE("&amp;AJ180&amp;",0,D,D)")</f>
        <v>5606.91</v>
      </c>
      <c r="AF180" s="9" cm="1">
        <f t="array" aca="1" ref="AF180" ca="1">_xll.FDS($E$9,"P_PRICE("&amp;AK180&amp;",0,D,D)")</f>
        <v>5614.56</v>
      </c>
      <c r="AG180" s="20">
        <f t="shared" ca="1" si="51"/>
        <v>45812</v>
      </c>
      <c r="AH180" s="22">
        <f t="shared" ca="1" si="46"/>
        <v>45805</v>
      </c>
      <c r="AI180" s="22">
        <f t="shared" ca="1" si="47"/>
        <v>45797</v>
      </c>
      <c r="AJ180" s="22">
        <f t="shared" ca="1" si="48"/>
        <v>45783</v>
      </c>
      <c r="AK180" s="22">
        <f t="shared" ca="1" si="49"/>
        <v>45726</v>
      </c>
      <c r="AL180" s="22">
        <f t="shared" ca="1" si="50"/>
        <v>45635</v>
      </c>
    </row>
    <row r="181" spans="4:38" x14ac:dyDescent="0.25">
      <c r="D181" s="6">
        <f ca="1"/>
        <v>45811</v>
      </c>
      <c r="E181" s="28" cm="1">
        <f t="array" aca="1" ref="E181" ca="1">_xll.FDS($E$7,"P_PRICE("&amp;D181&amp;",0,D,D)")</f>
        <v>91.12</v>
      </c>
      <c r="F181" s="29" cm="1">
        <f t="array" aca="1" ref="F181" ca="1">_xll.FDS($E$7,"P_BETA_LOCIDX("&amp;$AG181&amp;","&amp;$AL181&amp;",,"""&amp;$E$9&amp;""")")</f>
        <v>1.2637653</v>
      </c>
      <c r="G181" s="30">
        <f t="shared" ca="1" si="36"/>
        <v>-5.3378890574740316E-2</v>
      </c>
      <c r="H181" s="30">
        <f t="shared" ca="1" si="36"/>
        <v>-7.7765113295945917E-2</v>
      </c>
      <c r="I181" s="30">
        <f t="shared" ca="1" si="36"/>
        <v>-0.14413901209678409</v>
      </c>
      <c r="J181" s="30">
        <f t="shared" ca="1" si="34"/>
        <v>-0.10937214449726526</v>
      </c>
      <c r="K181" s="30">
        <f t="shared" ca="1" si="37"/>
        <v>1.0421218061348984E-2</v>
      </c>
      <c r="L181" s="30">
        <f t="shared" ca="1" si="37"/>
        <v>1.4346520693874138E-3</v>
      </c>
      <c r="M181" s="30">
        <f t="shared" ca="1" si="37"/>
        <v>7.1569037542076733E-2</v>
      </c>
      <c r="N181" s="30">
        <f t="shared" ca="1" si="35"/>
        <v>4.3840404162940529E-2</v>
      </c>
      <c r="O181" s="30">
        <f t="shared" ca="1" si="38"/>
        <v>-4.2957672513391332E-2</v>
      </c>
      <c r="P181" s="30">
        <f t="shared" ca="1" si="39"/>
        <v>-7.633046122655851E-2</v>
      </c>
      <c r="Q181" s="30">
        <f t="shared" ca="1" si="40"/>
        <v>-7.2569974554707373E-2</v>
      </c>
      <c r="R181" s="30">
        <f t="shared" ca="1" si="41"/>
        <v>-6.553174033432474E-2</v>
      </c>
      <c r="S181" s="9" cm="1">
        <f t="array" aca="1" ref="S181" ca="1">_xll.FDS($E$7,"P_PRICE("&amp;AG181&amp;",0,D,D)")</f>
        <v>91.12</v>
      </c>
      <c r="T181" s="9" cm="1">
        <f t="array" aca="1" ref="T181" ca="1">_xll.FDS($E$7,"P_PRICE("&amp;AH181&amp;",0,D,D)")</f>
        <v>95.21</v>
      </c>
      <c r="U181" s="9" cm="1">
        <f t="array" aca="1" ref="U181" ca="1">_xll.FDS($E$7,"P_PRICE("&amp;AI181&amp;",0,D,D)")</f>
        <v>98.65</v>
      </c>
      <c r="V181" s="9" cm="1">
        <f t="array" aca="1" ref="V181" ca="1">_xll.FDS($E$7,"P_PRICE("&amp;AJ181&amp;",0,D,D)")</f>
        <v>98.25</v>
      </c>
      <c r="W181" s="9" cm="1">
        <f t="array" aca="1" ref="W181" ca="1">_xll.FDS($E$7,"P_PRICE("&amp;AK181&amp;",0,D,D)")</f>
        <v>97.51</v>
      </c>
      <c r="X181" s="24">
        <f t="shared" ca="1" si="42"/>
        <v>8.2461656933838778E-3</v>
      </c>
      <c r="Y181" s="24">
        <f t="shared" ca="1" si="43"/>
        <v>1.1352203367092084E-3</v>
      </c>
      <c r="Z181" s="24">
        <f t="shared" ca="1" si="44"/>
        <v>5.6631589379829261E-2</v>
      </c>
      <c r="AA181" s="24">
        <f t="shared" ca="1" si="45"/>
        <v>3.4690305362032436E-2</v>
      </c>
      <c r="AB181" s="9" cm="1">
        <f t="array" aca="1" ref="AB181" ca="1">_xll.FDS($E$9,"P_PRICE("&amp;AG181&amp;",0,D,D)")</f>
        <v>5970.37</v>
      </c>
      <c r="AC181" s="9" cm="1">
        <f t="array" aca="1" ref="AC181" ca="1">_xll.FDS($E$9,"P_PRICE("&amp;AH181&amp;",0,D,D)")</f>
        <v>5921.54</v>
      </c>
      <c r="AD181" s="9" cm="1">
        <f t="array" aca="1" ref="AD181" ca="1">_xll.FDS($E$9,"P_PRICE("&amp;AI181&amp;",0,D,D)")</f>
        <v>5963.6</v>
      </c>
      <c r="AE181" s="9" cm="1">
        <f t="array" aca="1" ref="AE181" ca="1">_xll.FDS($E$9,"P_PRICE("&amp;AJ181&amp;",0,D,D)")</f>
        <v>5650.38</v>
      </c>
      <c r="AF181" s="9" cm="1">
        <f t="array" aca="1" ref="AF181" ca="1">_xll.FDS($E$9,"P_PRICE("&amp;AK181&amp;",0,D,D)")</f>
        <v>5770.2</v>
      </c>
      <c r="AG181" s="20">
        <f t="shared" ca="1" si="51"/>
        <v>45811</v>
      </c>
      <c r="AH181" s="22">
        <f t="shared" ca="1" si="46"/>
        <v>45804</v>
      </c>
      <c r="AI181" s="22">
        <f t="shared" ca="1" si="47"/>
        <v>45796</v>
      </c>
      <c r="AJ181" s="22">
        <f t="shared" ca="1" si="48"/>
        <v>45782</v>
      </c>
      <c r="AK181" s="22">
        <f t="shared" ca="1" si="49"/>
        <v>45723</v>
      </c>
      <c r="AL181" s="22">
        <f t="shared" ca="1" si="50"/>
        <v>45632</v>
      </c>
    </row>
    <row r="182" spans="4:38" x14ac:dyDescent="0.25">
      <c r="D182" s="6">
        <f ca="1"/>
        <v>45810</v>
      </c>
      <c r="E182" s="28" cm="1">
        <f t="array" aca="1" ref="E182" ca="1">_xll.FDS($E$7,"P_PRICE("&amp;D182&amp;",0,D,D)")</f>
        <v>90.99</v>
      </c>
      <c r="F182" s="29" cm="1">
        <f t="array" aca="1" ref="F182" ca="1">_xll.FDS($E$7,"P_BETA_LOCIDX("&amp;$AG182&amp;","&amp;$AL182&amp;",,"""&amp;$E$9&amp;""")")</f>
        <v>1.2649276</v>
      </c>
      <c r="G182" s="30">
        <f t="shared" ca="1" si="36"/>
        <v>-6.1965338733500991E-2</v>
      </c>
      <c r="H182" s="30">
        <f t="shared" ca="1" si="36"/>
        <v>-7.55878536858135E-2</v>
      </c>
      <c r="I182" s="30">
        <f t="shared" ca="1" si="36"/>
        <v>-0.13178437691537206</v>
      </c>
      <c r="J182" s="30">
        <f t="shared" ca="1" si="34"/>
        <v>-0.12237891429245384</v>
      </c>
      <c r="K182" s="30">
        <f t="shared" ca="1" si="37"/>
        <v>2.9018160499894835E-2</v>
      </c>
      <c r="L182" s="30">
        <f t="shared" ca="1" si="37"/>
        <v>-4.7638746343805988E-3</v>
      </c>
      <c r="M182" s="30">
        <f t="shared" ca="1" si="37"/>
        <v>5.5446949243054398E-2</v>
      </c>
      <c r="N182" s="30">
        <f t="shared" ca="1" si="35"/>
        <v>4.3516796454834861E-2</v>
      </c>
      <c r="O182" s="30">
        <f t="shared" ca="1" si="38"/>
        <v>-3.2947178233606156E-2</v>
      </c>
      <c r="P182" s="30">
        <f t="shared" ca="1" si="39"/>
        <v>-8.0351728320194105E-2</v>
      </c>
      <c r="Q182" s="30">
        <f t="shared" ca="1" si="40"/>
        <v>-7.6337427672317659E-2</v>
      </c>
      <c r="R182" s="30">
        <f t="shared" ca="1" si="41"/>
        <v>-7.8862117837618984E-2</v>
      </c>
      <c r="S182" s="9" cm="1">
        <f t="array" aca="1" ref="S182" ca="1">_xll.FDS($E$7,"P_PRICE("&amp;AG182&amp;",0,D,D)")</f>
        <v>90.99</v>
      </c>
      <c r="T182" s="9" cm="1">
        <f t="array" aca="1" ref="T182" ca="1">_xll.FDS($E$7,"P_PRICE("&amp;AH182&amp;",0,D,D)")</f>
        <v>94.09</v>
      </c>
      <c r="U182" s="9" cm="1">
        <f t="array" aca="1" ref="U182" ca="1">_xll.FDS($E$7,"P_PRICE("&amp;AI182&amp;",0,D,D)")</f>
        <v>98.94</v>
      </c>
      <c r="V182" s="9" cm="1">
        <f t="array" aca="1" ref="V182" ca="1">_xll.FDS($E$7,"P_PRICE("&amp;AJ182&amp;",0,D,D)")</f>
        <v>98.51</v>
      </c>
      <c r="W182" s="9" cm="1">
        <f t="array" aca="1" ref="W182" ca="1">_xll.FDS($E$7,"P_PRICE("&amp;AK182&amp;",0,D,D)")</f>
        <v>98.78</v>
      </c>
      <c r="X182" s="24">
        <f t="shared" ca="1" si="42"/>
        <v>2.2940570274452732E-2</v>
      </c>
      <c r="Y182" s="24">
        <f t="shared" ca="1" si="43"/>
        <v>-3.7661243492359553E-3</v>
      </c>
      <c r="Z182" s="24">
        <f t="shared" ca="1" si="44"/>
        <v>4.3834089194555004E-2</v>
      </c>
      <c r="AA182" s="24">
        <f t="shared" ca="1" si="45"/>
        <v>3.4402598579424515E-2</v>
      </c>
      <c r="AB182" s="9" cm="1">
        <f t="array" aca="1" ref="AB182" ca="1">_xll.FDS($E$9,"P_PRICE("&amp;AG182&amp;",0,D,D)")</f>
        <v>5935.94</v>
      </c>
      <c r="AC182" s="9" cm="1">
        <f t="array" aca="1" ref="AC182" ca="1">_xll.FDS($E$9,"P_PRICE("&amp;AH182&amp;",0,D,D)")</f>
        <v>5802.82</v>
      </c>
      <c r="AD182" s="9" cm="1">
        <f t="array" aca="1" ref="AD182" ca="1">_xll.FDS($E$9,"P_PRICE("&amp;AI182&amp;",0,D,D)")</f>
        <v>5958.38</v>
      </c>
      <c r="AE182" s="9" cm="1">
        <f t="array" aca="1" ref="AE182" ca="1">_xll.FDS($E$9,"P_PRICE("&amp;AJ182&amp;",0,D,D)")</f>
        <v>5686.67</v>
      </c>
      <c r="AF182" s="9" cm="1">
        <f t="array" aca="1" ref="AF182" ca="1">_xll.FDS($E$9,"P_PRICE("&amp;AK182&amp;",0,D,D)")</f>
        <v>5738.52</v>
      </c>
      <c r="AG182" s="20">
        <f t="shared" ca="1" si="51"/>
        <v>45810</v>
      </c>
      <c r="AH182" s="22">
        <f t="shared" ca="1" si="46"/>
        <v>45800</v>
      </c>
      <c r="AI182" s="22">
        <f t="shared" ca="1" si="47"/>
        <v>45793</v>
      </c>
      <c r="AJ182" s="22">
        <f t="shared" ca="1" si="48"/>
        <v>45779</v>
      </c>
      <c r="AK182" s="22">
        <f t="shared" ca="1" si="49"/>
        <v>45722</v>
      </c>
      <c r="AL182" s="22">
        <f t="shared" ca="1" si="50"/>
        <v>45631</v>
      </c>
    </row>
    <row r="183" spans="4:38" x14ac:dyDescent="0.25">
      <c r="D183" s="6">
        <f ca="1"/>
        <v>45807</v>
      </c>
      <c r="E183" s="28" cm="1">
        <f t="array" aca="1" ref="E183" ca="1">_xll.FDS($E$7,"P_PRICE("&amp;D183&amp;",0,D,D)")</f>
        <v>91.16</v>
      </c>
      <c r="F183" s="29" cm="1">
        <f t="array" aca="1" ref="F183" ca="1">_xll.FDS($E$7,"P_BETA_LOCIDX("&amp;$AG183&amp;","&amp;$AL183&amp;",,"""&amp;$E$9&amp;""")")</f>
        <v>1.2661545000000001</v>
      </c>
      <c r="G183" s="30">
        <f t="shared" ca="1" si="36"/>
        <v>-5.7136401598565034E-2</v>
      </c>
      <c r="H183" s="30">
        <f t="shared" ca="1" si="36"/>
        <v>-6.7058195723347841E-2</v>
      </c>
      <c r="I183" s="30">
        <f t="shared" ca="1" si="36"/>
        <v>-0.12266361355269909</v>
      </c>
      <c r="J183" s="30">
        <f t="shared" ca="1" si="34"/>
        <v>-0.12767767020034626</v>
      </c>
      <c r="K183" s="30">
        <f t="shared" ca="1" si="37"/>
        <v>1.5101933334588537E-2</v>
      </c>
      <c r="L183" s="30">
        <f t="shared" ca="1" si="37"/>
        <v>-1.1212993190726458E-3</v>
      </c>
      <c r="M183" s="30">
        <f t="shared" ca="1" si="37"/>
        <v>6.948538339067159E-2</v>
      </c>
      <c r="N183" s="30">
        <f t="shared" ca="1" si="35"/>
        <v>1.4965970764878038E-2</v>
      </c>
      <c r="O183" s="30">
        <f t="shared" ca="1" si="38"/>
        <v>-4.2034468263976499E-2</v>
      </c>
      <c r="P183" s="30">
        <f t="shared" ca="1" si="39"/>
        <v>-6.817949504242049E-2</v>
      </c>
      <c r="Q183" s="30">
        <f t="shared" ca="1" si="40"/>
        <v>-5.3178230162027496E-2</v>
      </c>
      <c r="R183" s="30">
        <f t="shared" ca="1" si="41"/>
        <v>-0.11271169943546822</v>
      </c>
      <c r="S183" s="9" cm="1">
        <f t="array" aca="1" ref="S183" ca="1">_xll.FDS($E$7,"P_PRICE("&amp;AG183&amp;",0,D,D)")</f>
        <v>91.16</v>
      </c>
      <c r="T183" s="9" cm="1">
        <f t="array" aca="1" ref="T183" ca="1">_xll.FDS($E$7,"P_PRICE("&amp;AH183&amp;",0,D,D)")</f>
        <v>95.16</v>
      </c>
      <c r="U183" s="9" cm="1">
        <f t="array" aca="1" ref="U183" ca="1">_xll.FDS($E$7,"P_PRICE("&amp;AI183&amp;",0,D,D)")</f>
        <v>97.83</v>
      </c>
      <c r="V183" s="9" cm="1">
        <f t="array" aca="1" ref="V183" ca="1">_xll.FDS($E$7,"P_PRICE("&amp;AJ183&amp;",0,D,D)")</f>
        <v>96.28</v>
      </c>
      <c r="W183" s="9" cm="1">
        <f t="array" aca="1" ref="W183" ca="1">_xll.FDS($E$7,"P_PRICE("&amp;AK183&amp;",0,D,D)")</f>
        <v>102.74</v>
      </c>
      <c r="X183" s="24">
        <f t="shared" ca="1" si="42"/>
        <v>1.1927401699072693E-2</v>
      </c>
      <c r="Y183" s="24">
        <f t="shared" ca="1" si="43"/>
        <v>-8.8559438763013976E-4</v>
      </c>
      <c r="Z183" s="24">
        <f t="shared" ca="1" si="44"/>
        <v>5.4879071543537217E-2</v>
      </c>
      <c r="AA183" s="24">
        <f t="shared" ca="1" si="45"/>
        <v>1.1820019409067406E-2</v>
      </c>
      <c r="AB183" s="9" cm="1">
        <f t="array" aca="1" ref="AB183" ca="1">_xll.FDS($E$9,"P_PRICE("&amp;AG183&amp;",0,D,D)")</f>
        <v>5911.69</v>
      </c>
      <c r="AC183" s="9" cm="1">
        <f t="array" aca="1" ref="AC183" ca="1">_xll.FDS($E$9,"P_PRICE("&amp;AH183&amp;",0,D,D)")</f>
        <v>5842.01</v>
      </c>
      <c r="AD183" s="9" cm="1">
        <f t="array" aca="1" ref="AD183" ca="1">_xll.FDS($E$9,"P_PRICE("&amp;AI183&amp;",0,D,D)")</f>
        <v>5916.93</v>
      </c>
      <c r="AE183" s="9" cm="1">
        <f t="array" aca="1" ref="AE183" ca="1">_xll.FDS($E$9,"P_PRICE("&amp;AJ183&amp;",0,D,D)")</f>
        <v>5604.14</v>
      </c>
      <c r="AF183" s="9" cm="1">
        <f t="array" aca="1" ref="AF183" ca="1">_xll.FDS($E$9,"P_PRICE("&amp;AK183&amp;",0,D,D)")</f>
        <v>5842.63</v>
      </c>
      <c r="AG183" s="20">
        <f t="shared" ca="1" si="51"/>
        <v>45807</v>
      </c>
      <c r="AH183" s="22">
        <f t="shared" ca="1" si="46"/>
        <v>45799</v>
      </c>
      <c r="AI183" s="22">
        <f t="shared" ca="1" si="47"/>
        <v>45792</v>
      </c>
      <c r="AJ183" s="22">
        <f t="shared" ca="1" si="48"/>
        <v>45778</v>
      </c>
      <c r="AK183" s="22">
        <f t="shared" ca="1" si="49"/>
        <v>45721</v>
      </c>
      <c r="AL183" s="22">
        <f t="shared" ca="1" si="50"/>
        <v>45630</v>
      </c>
    </row>
    <row r="184" spans="4:38" x14ac:dyDescent="0.25">
      <c r="D184" s="6">
        <f ca="1"/>
        <v>45806</v>
      </c>
      <c r="E184" s="28" cm="1">
        <f t="array" aca="1" ref="E184" ca="1">_xll.FDS($E$7,"P_PRICE("&amp;D184&amp;",0,D,D)")</f>
        <v>91.96</v>
      </c>
      <c r="F184" s="29" cm="1">
        <f t="array" aca="1" ref="F184" ca="1">_xll.FDS($E$7,"P_BETA_LOCIDX("&amp;$AG184&amp;","&amp;$AL184&amp;",,"""&amp;$E$9&amp;""")")</f>
        <v>1.2661556</v>
      </c>
      <c r="G184" s="30">
        <f t="shared" ca="1" si="36"/>
        <v>-4.7450431024416463E-2</v>
      </c>
      <c r="H184" s="30">
        <f t="shared" ca="1" si="36"/>
        <v>-6.0739574027027177E-2</v>
      </c>
      <c r="I184" s="30">
        <f t="shared" ca="1" si="36"/>
        <v>-0.11426863701644512</v>
      </c>
      <c r="J184" s="30">
        <f t="shared" ca="1" si="34"/>
        <v>-7.4534210520631708E-2</v>
      </c>
      <c r="K184" s="30">
        <f t="shared" ca="1" si="37"/>
        <v>1.4635959000857325E-2</v>
      </c>
      <c r="L184" s="30">
        <f t="shared" ca="1" si="37"/>
        <v>4.2093596020758538E-3</v>
      </c>
      <c r="M184" s="30">
        <f t="shared" ca="1" si="37"/>
        <v>7.8007895033632188E-2</v>
      </c>
      <c r="N184" s="30">
        <f t="shared" ca="1" si="35"/>
        <v>2.9367561159194599E-2</v>
      </c>
      <c r="O184" s="30">
        <f t="shared" ca="1" si="38"/>
        <v>-3.2814472023559138E-2</v>
      </c>
      <c r="P184" s="30">
        <f t="shared" ca="1" si="39"/>
        <v>-5.6530214424951319E-2</v>
      </c>
      <c r="Q184" s="30">
        <f t="shared" ca="1" si="40"/>
        <v>-3.6260741982812927E-2</v>
      </c>
      <c r="R184" s="30">
        <f t="shared" ca="1" si="41"/>
        <v>-4.5166649361437106E-2</v>
      </c>
      <c r="S184" s="9" cm="1">
        <f t="array" aca="1" ref="S184" ca="1">_xll.FDS($E$7,"P_PRICE("&amp;AG184&amp;",0,D,D)")</f>
        <v>91.96</v>
      </c>
      <c r="T184" s="9" cm="1">
        <f t="array" aca="1" ref="T184" ca="1">_xll.FDS($E$7,"P_PRICE("&amp;AH184&amp;",0,D,D)")</f>
        <v>95.08</v>
      </c>
      <c r="U184" s="9" cm="1">
        <f t="array" aca="1" ref="U184" ca="1">_xll.FDS($E$7,"P_PRICE("&amp;AI184&amp;",0,D,D)")</f>
        <v>97.47</v>
      </c>
      <c r="V184" s="9" cm="1">
        <f t="array" aca="1" ref="V184" ca="1">_xll.FDS($E$7,"P_PRICE("&amp;AJ184&amp;",0,D,D)")</f>
        <v>95.42</v>
      </c>
      <c r="W184" s="9" cm="1">
        <f t="array" aca="1" ref="W184" ca="1">_xll.FDS($E$7,"P_PRICE("&amp;AK184&amp;",0,D,D)")</f>
        <v>96.31</v>
      </c>
      <c r="X184" s="24">
        <f t="shared" ca="1" si="42"/>
        <v>1.1559368375306578E-2</v>
      </c>
      <c r="Y184" s="24">
        <f t="shared" ca="1" si="43"/>
        <v>3.324519989546193E-3</v>
      </c>
      <c r="Z184" s="24">
        <f t="shared" ca="1" si="44"/>
        <v>6.1610038318854476E-2</v>
      </c>
      <c r="AA184" s="24">
        <f t="shared" ca="1" si="45"/>
        <v>2.3194274984207786E-2</v>
      </c>
      <c r="AB184" s="9" cm="1">
        <f t="array" aca="1" ref="AB184" ca="1">_xll.FDS($E$9,"P_PRICE("&amp;AG184&amp;",0,D,D)")</f>
        <v>5912.17</v>
      </c>
      <c r="AC184" s="9" cm="1">
        <f t="array" aca="1" ref="AC184" ca="1">_xll.FDS($E$9,"P_PRICE("&amp;AH184&amp;",0,D,D)")</f>
        <v>5844.61</v>
      </c>
      <c r="AD184" s="9" cm="1">
        <f t="array" aca="1" ref="AD184" ca="1">_xll.FDS($E$9,"P_PRICE("&amp;AI184&amp;",0,D,D)")</f>
        <v>5892.58</v>
      </c>
      <c r="AE184" s="9" cm="1">
        <f t="array" aca="1" ref="AE184" ca="1">_xll.FDS($E$9,"P_PRICE("&amp;AJ184&amp;",0,D,D)")</f>
        <v>5569.06</v>
      </c>
      <c r="AF184" s="9" cm="1">
        <f t="array" aca="1" ref="AF184" ca="1">_xll.FDS($E$9,"P_PRICE("&amp;AK184&amp;",0,D,D)")</f>
        <v>5778.15</v>
      </c>
      <c r="AG184" s="20">
        <f t="shared" ca="1" si="51"/>
        <v>45806</v>
      </c>
      <c r="AH184" s="22">
        <f t="shared" ca="1" si="46"/>
        <v>45798</v>
      </c>
      <c r="AI184" s="22">
        <f t="shared" ca="1" si="47"/>
        <v>45791</v>
      </c>
      <c r="AJ184" s="22">
        <f t="shared" ca="1" si="48"/>
        <v>45777</v>
      </c>
      <c r="AK184" s="22">
        <f t="shared" ca="1" si="49"/>
        <v>45720</v>
      </c>
      <c r="AL184" s="22">
        <f t="shared" ca="1" si="50"/>
        <v>45629</v>
      </c>
    </row>
    <row r="185" spans="4:38" x14ac:dyDescent="0.25">
      <c r="D185" s="6">
        <f ca="1"/>
        <v>45805</v>
      </c>
      <c r="E185" s="28" cm="1">
        <f t="array" aca="1" ref="E185" ca="1">_xll.FDS($E$7,"P_PRICE("&amp;D185&amp;",0,D,D)")</f>
        <v>91.96</v>
      </c>
      <c r="F185" s="29" cm="1">
        <f t="array" aca="1" ref="F185" ca="1">_xll.FDS($E$7,"P_BETA_LOCIDX("&amp;$AG185&amp;","&amp;$AL185&amp;",,"""&amp;$E$9&amp;""")")</f>
        <v>1.2667227000000001</v>
      </c>
      <c r="G185" s="30">
        <f t="shared" ca="1" si="36"/>
        <v>-3.8145121655684185E-2</v>
      </c>
      <c r="H185" s="30">
        <f t="shared" ca="1" si="36"/>
        <v>-6.3592562831917249E-2</v>
      </c>
      <c r="I185" s="30">
        <f t="shared" ca="1" si="36"/>
        <v>-9.0702237122538276E-2</v>
      </c>
      <c r="J185" s="30">
        <f t="shared" ca="1" si="34"/>
        <v>-8.8532446919833085E-2</v>
      </c>
      <c r="K185" s="30">
        <f t="shared" ca="1" si="37"/>
        <v>-1.1069104977897364E-2</v>
      </c>
      <c r="L185" s="30">
        <f t="shared" ca="1" si="37"/>
        <v>4.3037864283820289E-4</v>
      </c>
      <c r="M185" s="30">
        <f t="shared" ca="1" si="37"/>
        <v>7.4652590214770276E-2</v>
      </c>
      <c r="N185" s="30">
        <f t="shared" ca="1" si="35"/>
        <v>8.4084097086697361E-3</v>
      </c>
      <c r="O185" s="30">
        <f t="shared" ca="1" si="38"/>
        <v>-4.9214226633581548E-2</v>
      </c>
      <c r="P185" s="30">
        <f t="shared" ca="1" si="39"/>
        <v>-6.316218418907904E-2</v>
      </c>
      <c r="Q185" s="30">
        <f t="shared" ca="1" si="40"/>
        <v>-1.6049646907768E-2</v>
      </c>
      <c r="R185" s="30">
        <f t="shared" ca="1" si="41"/>
        <v>-8.0124037211163346E-2</v>
      </c>
      <c r="S185" s="9" cm="1">
        <f t="array" aca="1" ref="S185" ca="1">_xll.FDS($E$7,"P_PRICE("&amp;AG185&amp;",0,D,D)")</f>
        <v>91.96</v>
      </c>
      <c r="T185" s="9" cm="1">
        <f t="array" aca="1" ref="T185" ca="1">_xll.FDS($E$7,"P_PRICE("&amp;AH185&amp;",0,D,D)")</f>
        <v>96.72</v>
      </c>
      <c r="U185" s="9" cm="1">
        <f t="array" aca="1" ref="U185" ca="1">_xll.FDS($E$7,"P_PRICE("&amp;AI185&amp;",0,D,D)")</f>
        <v>98.16</v>
      </c>
      <c r="V185" s="9" cm="1">
        <f t="array" aca="1" ref="V185" ca="1">_xll.FDS($E$7,"P_PRICE("&amp;AJ185&amp;",0,D,D)")</f>
        <v>93.46</v>
      </c>
      <c r="W185" s="9" cm="1">
        <f t="array" aca="1" ref="W185" ca="1">_xll.FDS($E$7,"P_PRICE("&amp;AK185&amp;",0,D,D)")</f>
        <v>99.97</v>
      </c>
      <c r="X185" s="24">
        <f t="shared" ca="1" si="42"/>
        <v>-8.7383805294539707E-3</v>
      </c>
      <c r="Y185" s="24">
        <f t="shared" ca="1" si="43"/>
        <v>3.3975758296445058E-4</v>
      </c>
      <c r="Z185" s="24">
        <f t="shared" ca="1" si="44"/>
        <v>5.8933648394214666E-2</v>
      </c>
      <c r="AA185" s="24">
        <f t="shared" ca="1" si="45"/>
        <v>6.6379245502348194E-3</v>
      </c>
      <c r="AB185" s="9" cm="1">
        <f t="array" aca="1" ref="AB185" ca="1">_xll.FDS($E$9,"P_PRICE("&amp;AG185&amp;",0,D,D)")</f>
        <v>5888.55</v>
      </c>
      <c r="AC185" s="9" cm="1">
        <f t="array" aca="1" ref="AC185" ca="1">_xll.FDS($E$9,"P_PRICE("&amp;AH185&amp;",0,D,D)")</f>
        <v>5940.46</v>
      </c>
      <c r="AD185" s="9" cm="1">
        <f t="array" aca="1" ref="AD185" ca="1">_xll.FDS($E$9,"P_PRICE("&amp;AI185&amp;",0,D,D)")</f>
        <v>5886.55</v>
      </c>
      <c r="AE185" s="9" cm="1">
        <f t="array" aca="1" ref="AE185" ca="1">_xll.FDS($E$9,"P_PRICE("&amp;AJ185&amp;",0,D,D)")</f>
        <v>5560.83</v>
      </c>
      <c r="AF185" s="9" cm="1">
        <f t="array" aca="1" ref="AF185" ca="1">_xll.FDS($E$9,"P_PRICE("&amp;AK185&amp;",0,D,D)")</f>
        <v>5849.72</v>
      </c>
      <c r="AG185" s="20">
        <f t="shared" ca="1" si="51"/>
        <v>45805</v>
      </c>
      <c r="AH185" s="22">
        <f t="shared" ca="1" si="46"/>
        <v>45797</v>
      </c>
      <c r="AI185" s="22">
        <f t="shared" ca="1" si="47"/>
        <v>45790</v>
      </c>
      <c r="AJ185" s="22">
        <f t="shared" ca="1" si="48"/>
        <v>45776</v>
      </c>
      <c r="AK185" s="22">
        <f t="shared" ca="1" si="49"/>
        <v>45719</v>
      </c>
      <c r="AL185" s="22">
        <f t="shared" ca="1" si="50"/>
        <v>45628</v>
      </c>
    </row>
    <row r="186" spans="4:38" x14ac:dyDescent="0.25">
      <c r="D186" s="6">
        <f ca="1"/>
        <v>45804</v>
      </c>
      <c r="E186" s="28" cm="1">
        <f t="array" aca="1" ref="E186" ca="1">_xll.FDS($E$7,"P_PRICE("&amp;D186&amp;",0,D,D)")</f>
        <v>95.21</v>
      </c>
      <c r="F186" s="29" cm="1">
        <f t="array" aca="1" ref="F186" ca="1">_xll.FDS($E$7,"P_BETA_LOCIDX("&amp;$AG186&amp;","&amp;$AL186&amp;",,"""&amp;$E$9&amp;""")")</f>
        <v>1.2610774</v>
      </c>
      <c r="G186" s="30">
        <f t="shared" ca="1" si="36"/>
        <v>-2.5976645019401508E-2</v>
      </c>
      <c r="H186" s="30">
        <f t="shared" ca="1" si="36"/>
        <v>-5.2343612757830588E-2</v>
      </c>
      <c r="I186" s="30">
        <f t="shared" ca="1" si="36"/>
        <v>-6.6269932098191153E-2</v>
      </c>
      <c r="J186" s="30">
        <f t="shared" ca="1" si="34"/>
        <v>-6.4322706734972535E-2</v>
      </c>
      <c r="K186" s="30">
        <f t="shared" ca="1" si="37"/>
        <v>-8.8941101757328781E-3</v>
      </c>
      <c r="L186" s="30">
        <f t="shared" ca="1" si="37"/>
        <v>1.6690822319260636E-2</v>
      </c>
      <c r="M186" s="30">
        <f t="shared" ca="1" si="37"/>
        <v>8.9593233903866032E-2</v>
      </c>
      <c r="N186" s="30">
        <f t="shared" ca="1" si="35"/>
        <v>-6.9804536239818013E-3</v>
      </c>
      <c r="O186" s="30">
        <f t="shared" ca="1" si="38"/>
        <v>-3.4870755195134384E-2</v>
      </c>
      <c r="P186" s="30">
        <f t="shared" ca="1" si="39"/>
        <v>-3.5652790438569948E-2</v>
      </c>
      <c r="Q186" s="30">
        <f t="shared" ca="1" si="40"/>
        <v>2.3323301805674879E-2</v>
      </c>
      <c r="R186" s="30">
        <f t="shared" ca="1" si="41"/>
        <v>-7.1303160358954343E-2</v>
      </c>
      <c r="S186" s="9" cm="1">
        <f t="array" aca="1" ref="S186" ca="1">_xll.FDS($E$7,"P_PRICE("&amp;AG186&amp;",0,D,D)")</f>
        <v>95.21</v>
      </c>
      <c r="T186" s="9" cm="1">
        <f t="array" aca="1" ref="T186" ca="1">_xll.FDS($E$7,"P_PRICE("&amp;AH186&amp;",0,D,D)")</f>
        <v>98.65</v>
      </c>
      <c r="U186" s="9" cm="1">
        <f t="array" aca="1" ref="U186" ca="1">_xll.FDS($E$7,"P_PRICE("&amp;AI186&amp;",0,D,D)")</f>
        <v>98.73</v>
      </c>
      <c r="V186" s="9" cm="1">
        <f t="array" aca="1" ref="V186" ca="1">_xll.FDS($E$7,"P_PRICE("&amp;AJ186&amp;",0,D,D)")</f>
        <v>93.04</v>
      </c>
      <c r="W186" s="9" cm="1">
        <f t="array" aca="1" ref="W186" ca="1">_xll.FDS($E$7,"P_PRICE("&amp;AK186&amp;",0,D,D)")</f>
        <v>102.52</v>
      </c>
      <c r="X186" s="24">
        <f t="shared" ca="1" si="42"/>
        <v>-7.0527869072373184E-3</v>
      </c>
      <c r="Y186" s="24">
        <f t="shared" ca="1" si="43"/>
        <v>1.3235367091076755E-2</v>
      </c>
      <c r="Z186" s="24">
        <f t="shared" ca="1" si="44"/>
        <v>7.1044992086818803E-2</v>
      </c>
      <c r="AA186" s="24">
        <f t="shared" ca="1" si="45"/>
        <v>-5.5353094298429273E-3</v>
      </c>
      <c r="AB186" s="9" cm="1">
        <f t="array" aca="1" ref="AB186" ca="1">_xll.FDS($E$9,"P_PRICE("&amp;AG186&amp;",0,D,D)")</f>
        <v>5921.54</v>
      </c>
      <c r="AC186" s="9" cm="1">
        <f t="array" aca="1" ref="AC186" ca="1">_xll.FDS($E$9,"P_PRICE("&amp;AH186&amp;",0,D,D)")</f>
        <v>5963.6</v>
      </c>
      <c r="AD186" s="9" cm="1">
        <f t="array" aca="1" ref="AD186" ca="1">_xll.FDS($E$9,"P_PRICE("&amp;AI186&amp;",0,D,D)")</f>
        <v>5844.19</v>
      </c>
      <c r="AE186" s="9" cm="1">
        <f t="array" aca="1" ref="AE186" ca="1">_xll.FDS($E$9,"P_PRICE("&amp;AJ186&amp;",0,D,D)")</f>
        <v>5528.75</v>
      </c>
      <c r="AF186" s="9" cm="1">
        <f t="array" aca="1" ref="AF186" ca="1">_xll.FDS($E$9,"P_PRICE("&amp;AK186&amp;",0,D,D)")</f>
        <v>5954.5</v>
      </c>
      <c r="AG186" s="20">
        <f t="shared" ca="1" si="51"/>
        <v>45804</v>
      </c>
      <c r="AH186" s="22">
        <f t="shared" ca="1" si="46"/>
        <v>45796</v>
      </c>
      <c r="AI186" s="22">
        <f t="shared" ca="1" si="47"/>
        <v>45789</v>
      </c>
      <c r="AJ186" s="22">
        <f t="shared" ca="1" si="48"/>
        <v>45775</v>
      </c>
      <c r="AK186" s="22">
        <f t="shared" ca="1" si="49"/>
        <v>45716</v>
      </c>
      <c r="AL186" s="22">
        <f t="shared" ca="1" si="50"/>
        <v>45625</v>
      </c>
    </row>
    <row r="187" spans="4:38" x14ac:dyDescent="0.25">
      <c r="D187" s="6">
        <f ca="1"/>
        <v>45800</v>
      </c>
      <c r="E187" s="28" cm="1">
        <f t="array" aca="1" ref="E187" ca="1">_xll.FDS($E$7,"P_PRICE("&amp;D187&amp;",0,D,D)")</f>
        <v>94.09</v>
      </c>
      <c r="F187" s="29" cm="1">
        <f t="array" aca="1" ref="F187" ca="1">_xll.FDS($E$7,"P_BETA_LOCIDX("&amp;$AG187&amp;","&amp;$AL187&amp;",,"""&amp;$E$9&amp;""")")</f>
        <v>1.2711664</v>
      </c>
      <c r="G187" s="30">
        <f t="shared" ca="1" si="36"/>
        <v>-1.5832290957674938E-2</v>
      </c>
      <c r="H187" s="30">
        <f t="shared" ca="1" si="36"/>
        <v>-3.7382310060177747E-2</v>
      </c>
      <c r="I187" s="30">
        <f t="shared" ca="1" si="36"/>
        <v>-4.6019379068956839E-2</v>
      </c>
      <c r="J187" s="30">
        <f t="shared" ca="1" si="34"/>
        <v>-6.0264137207107285E-2</v>
      </c>
      <c r="K187" s="30">
        <f t="shared" ca="1" si="37"/>
        <v>-3.3187316885462254E-2</v>
      </c>
      <c r="L187" s="30">
        <f t="shared" ca="1" si="37"/>
        <v>3.2096339027298991E-2</v>
      </c>
      <c r="M187" s="30">
        <f t="shared" ca="1" si="37"/>
        <v>6.3868794906256771E-2</v>
      </c>
      <c r="N187" s="30">
        <f t="shared" ca="1" si="35"/>
        <v>-1.2740788901267106E-2</v>
      </c>
      <c r="O187" s="30">
        <f t="shared" ca="1" si="38"/>
        <v>-4.9019607843137192E-2</v>
      </c>
      <c r="P187" s="30">
        <f t="shared" ca="1" si="39"/>
        <v>-5.2859710328787557E-3</v>
      </c>
      <c r="Q187" s="30">
        <f t="shared" ca="1" si="40"/>
        <v>1.7849415837299931E-2</v>
      </c>
      <c r="R187" s="30">
        <f t="shared" ca="1" si="41"/>
        <v>-7.3004926108374391E-2</v>
      </c>
      <c r="S187" s="9" cm="1">
        <f t="array" aca="1" ref="S187" ca="1">_xll.FDS($E$7,"P_PRICE("&amp;AG187&amp;",0,D,D)")</f>
        <v>94.09</v>
      </c>
      <c r="T187" s="9" cm="1">
        <f t="array" aca="1" ref="T187" ca="1">_xll.FDS($E$7,"P_PRICE("&amp;AH187&amp;",0,D,D)")</f>
        <v>98.94</v>
      </c>
      <c r="U187" s="9" cm="1">
        <f t="array" aca="1" ref="U187" ca="1">_xll.FDS($E$7,"P_PRICE("&amp;AI187&amp;",0,D,D)")</f>
        <v>94.59</v>
      </c>
      <c r="V187" s="9" cm="1">
        <f t="array" aca="1" ref="V187" ca="1">_xll.FDS($E$7,"P_PRICE("&amp;AJ187&amp;",0,D,D)")</f>
        <v>92.44</v>
      </c>
      <c r="W187" s="9" cm="1">
        <f t="array" aca="1" ref="W187" ca="1">_xll.FDS($E$7,"P_PRICE("&amp;AK187&amp;",0,D,D)")</f>
        <v>101.5</v>
      </c>
      <c r="X187" s="24">
        <f t="shared" ca="1" si="42"/>
        <v>-2.610776754755495E-2</v>
      </c>
      <c r="Y187" s="24">
        <f t="shared" ca="1" si="43"/>
        <v>2.5249518101877921E-2</v>
      </c>
      <c r="Z187" s="24">
        <f t="shared" ca="1" si="44"/>
        <v>5.0244244110178471E-2</v>
      </c>
      <c r="AA187" s="24">
        <f t="shared" ca="1" si="45"/>
        <v>-1.0022911950211322E-2</v>
      </c>
      <c r="AB187" s="9" cm="1">
        <f t="array" aca="1" ref="AB187" ca="1">_xll.FDS($E$9,"P_PRICE("&amp;AG187&amp;",0,D,D)")</f>
        <v>5802.82</v>
      </c>
      <c r="AC187" s="9" cm="1">
        <f t="array" aca="1" ref="AC187" ca="1">_xll.FDS($E$9,"P_PRICE("&amp;AH187&amp;",0,D,D)")</f>
        <v>5958.38</v>
      </c>
      <c r="AD187" s="9" cm="1">
        <f t="array" aca="1" ref="AD187" ca="1">_xll.FDS($E$9,"P_PRICE("&amp;AI187&amp;",0,D,D)")</f>
        <v>5659.91</v>
      </c>
      <c r="AE187" s="9" cm="1">
        <f t="array" aca="1" ref="AE187" ca="1">_xll.FDS($E$9,"P_PRICE("&amp;AJ187&amp;",0,D,D)")</f>
        <v>5525.21</v>
      </c>
      <c r="AF187" s="9" cm="1">
        <f t="array" aca="1" ref="AF187" ca="1">_xll.FDS($E$9,"P_PRICE("&amp;AK187&amp;",0,D,D)")</f>
        <v>5861.57</v>
      </c>
      <c r="AG187" s="20">
        <f t="shared" ca="1" si="51"/>
        <v>45800</v>
      </c>
      <c r="AH187" s="22">
        <f t="shared" ca="1" si="46"/>
        <v>45793</v>
      </c>
      <c r="AI187" s="22">
        <f t="shared" ca="1" si="47"/>
        <v>45786</v>
      </c>
      <c r="AJ187" s="22">
        <f t="shared" ca="1" si="48"/>
        <v>45772</v>
      </c>
      <c r="AK187" s="22">
        <f t="shared" ca="1" si="49"/>
        <v>45715</v>
      </c>
      <c r="AL187" s="22">
        <f t="shared" ca="1" si="50"/>
        <v>45623</v>
      </c>
    </row>
    <row r="188" spans="4:38" x14ac:dyDescent="0.25">
      <c r="D188" s="6">
        <f ca="1"/>
        <v>45799</v>
      </c>
      <c r="E188" s="28" cm="1">
        <f t="array" aca="1" ref="E188" ca="1">_xll.FDS($E$7,"P_PRICE("&amp;D188&amp;",0,D,D)")</f>
        <v>95.16</v>
      </c>
      <c r="F188" s="29" cm="1">
        <f t="array" aca="1" ref="F188" ca="1">_xll.FDS($E$7,"P_BETA_LOCIDX("&amp;$AG188&amp;","&amp;$AL188&amp;",,"""&amp;$E$9&amp;""")")</f>
        <v>1.2693323999999999</v>
      </c>
      <c r="G188" s="30">
        <f t="shared" ca="1" si="36"/>
        <v>-1.1219990762213815E-2</v>
      </c>
      <c r="H188" s="30">
        <f t="shared" ca="1" si="36"/>
        <v>-2.6919839922446023E-2</v>
      </c>
      <c r="I188" s="30">
        <f t="shared" ca="1" si="36"/>
        <v>-4.0967819704520236E-2</v>
      </c>
      <c r="J188" s="30">
        <f t="shared" ca="1" si="34"/>
        <v>-4.5761535376192208E-2</v>
      </c>
      <c r="K188" s="30">
        <f t="shared" ca="1" si="37"/>
        <v>-1.6072250881453799E-2</v>
      </c>
      <c r="L188" s="30">
        <f t="shared" ca="1" si="37"/>
        <v>3.9906852909458904E-2</v>
      </c>
      <c r="M188" s="30">
        <f t="shared" ca="1" si="37"/>
        <v>8.2675537274306876E-2</v>
      </c>
      <c r="N188" s="30">
        <f t="shared" ca="1" si="35"/>
        <v>-2.4305893530286896E-2</v>
      </c>
      <c r="O188" s="30">
        <f t="shared" ca="1" si="38"/>
        <v>-2.7292241643667614E-2</v>
      </c>
      <c r="P188" s="30">
        <f t="shared" ca="1" si="39"/>
        <v>1.298701298701288E-2</v>
      </c>
      <c r="Q188" s="30">
        <f t="shared" ca="1" si="40"/>
        <v>4.170771756978664E-2</v>
      </c>
      <c r="R188" s="30">
        <f t="shared" ca="1" si="41"/>
        <v>-7.0067428906479101E-2</v>
      </c>
      <c r="S188" s="9" cm="1">
        <f t="array" aca="1" ref="S188" ca="1">_xll.FDS($E$7,"P_PRICE("&amp;AG188&amp;",0,D,D)")</f>
        <v>95.16</v>
      </c>
      <c r="T188" s="9" cm="1">
        <f t="array" aca="1" ref="T188" ca="1">_xll.FDS($E$7,"P_PRICE("&amp;AH188&amp;",0,D,D)")</f>
        <v>97.83</v>
      </c>
      <c r="U188" s="9" cm="1">
        <f t="array" aca="1" ref="U188" ca="1">_xll.FDS($E$7,"P_PRICE("&amp;AI188&amp;",0,D,D)")</f>
        <v>93.94</v>
      </c>
      <c r="V188" s="9" cm="1">
        <f t="array" aca="1" ref="V188" ca="1">_xll.FDS($E$7,"P_PRICE("&amp;AJ188&amp;",0,D,D)")</f>
        <v>91.35</v>
      </c>
      <c r="W188" s="9" cm="1">
        <f t="array" aca="1" ref="W188" ca="1">_xll.FDS($E$7,"P_PRICE("&amp;AK188&amp;",0,D,D)")</f>
        <v>102.33</v>
      </c>
      <c r="X188" s="24">
        <f t="shared" ca="1" si="42"/>
        <v>-1.2661971664359783E-2</v>
      </c>
      <c r="Y188" s="24">
        <f t="shared" ca="1" si="43"/>
        <v>3.1439245472233202E-2</v>
      </c>
      <c r="Z188" s="24">
        <f t="shared" ca="1" si="44"/>
        <v>6.5133086711019805E-2</v>
      </c>
      <c r="AA188" s="24">
        <f t="shared" ca="1" si="45"/>
        <v>-1.9148564655158018E-2</v>
      </c>
      <c r="AB188" s="9" cm="1">
        <f t="array" aca="1" ref="AB188" ca="1">_xll.FDS($E$9,"P_PRICE("&amp;AG188&amp;",0,D,D)")</f>
        <v>5842.01</v>
      </c>
      <c r="AC188" s="9" cm="1">
        <f t="array" aca="1" ref="AC188" ca="1">_xll.FDS($E$9,"P_PRICE("&amp;AH188&amp;",0,D,D)")</f>
        <v>5916.93</v>
      </c>
      <c r="AD188" s="9" cm="1">
        <f t="array" aca="1" ref="AD188" ca="1">_xll.FDS($E$9,"P_PRICE("&amp;AI188&amp;",0,D,D)")</f>
        <v>5663.94</v>
      </c>
      <c r="AE188" s="9" cm="1">
        <f t="array" aca="1" ref="AE188" ca="1">_xll.FDS($E$9,"P_PRICE("&amp;AJ188&amp;",0,D,D)")</f>
        <v>5484.77</v>
      </c>
      <c r="AF188" s="9" cm="1">
        <f t="array" aca="1" ref="AF188" ca="1">_xll.FDS($E$9,"P_PRICE("&amp;AK188&amp;",0,D,D)")</f>
        <v>5956.06</v>
      </c>
      <c r="AG188" s="20">
        <f t="shared" ca="1" si="51"/>
        <v>45799</v>
      </c>
      <c r="AH188" s="22">
        <f t="shared" ca="1" si="46"/>
        <v>45792</v>
      </c>
      <c r="AI188" s="22">
        <f t="shared" ca="1" si="47"/>
        <v>45785</v>
      </c>
      <c r="AJ188" s="22">
        <f t="shared" ca="1" si="48"/>
        <v>45771</v>
      </c>
      <c r="AK188" s="22">
        <f t="shared" ca="1" si="49"/>
        <v>45714</v>
      </c>
      <c r="AL188" s="22">
        <f t="shared" ca="1" si="50"/>
        <v>45622</v>
      </c>
    </row>
    <row r="189" spans="4:38" x14ac:dyDescent="0.25">
      <c r="D189" s="6">
        <f ca="1"/>
        <v>45798</v>
      </c>
      <c r="E189" s="28" cm="1">
        <f t="array" aca="1" ref="E189" ca="1">_xll.FDS($E$7,"P_PRICE("&amp;D189&amp;",0,D,D)")</f>
        <v>95.08</v>
      </c>
      <c r="F189" s="29" cm="1">
        <f t="array" aca="1" ref="F189" ca="1">_xll.FDS($E$7,"P_BETA_LOCIDX("&amp;$AG189&amp;","&amp;$AL189&amp;",,"""&amp;$E$9&amp;""")")</f>
        <v>1.2704287000000001</v>
      </c>
      <c r="G189" s="30">
        <f t="shared" ca="1" si="36"/>
        <v>-1.4178127249927428E-2</v>
      </c>
      <c r="H189" s="30">
        <f t="shared" ca="1" si="36"/>
        <v>-1.2623452579776651E-2</v>
      </c>
      <c r="I189" s="30">
        <f t="shared" ca="1" si="36"/>
        <v>-2.7983083839171335E-2</v>
      </c>
      <c r="J189" s="30">
        <f t="shared" ca="1" si="34"/>
        <v>-2.8346604545995122E-2</v>
      </c>
      <c r="K189" s="30">
        <f t="shared" ca="1" si="37"/>
        <v>-1.0342237990659444E-2</v>
      </c>
      <c r="L189" s="30">
        <f t="shared" ca="1" si="37"/>
        <v>4.8127700020421493E-2</v>
      </c>
      <c r="M189" s="30">
        <f t="shared" ca="1" si="37"/>
        <v>0.1107754765051546</v>
      </c>
      <c r="N189" s="30">
        <f t="shared" ca="1" si="35"/>
        <v>-2.3602742348012309E-2</v>
      </c>
      <c r="O189" s="30">
        <f t="shared" ca="1" si="38"/>
        <v>-2.4520365240586872E-2</v>
      </c>
      <c r="P189" s="30">
        <f t="shared" ca="1" si="39"/>
        <v>3.5504247440644843E-2</v>
      </c>
      <c r="Q189" s="30">
        <f t="shared" ca="1" si="40"/>
        <v>8.2792392665983261E-2</v>
      </c>
      <c r="R189" s="30">
        <f t="shared" ca="1" si="41"/>
        <v>-5.1949346894007431E-2</v>
      </c>
      <c r="S189" s="9" cm="1">
        <f t="array" aca="1" ref="S189" ca="1">_xll.FDS($E$7,"P_PRICE("&amp;AG189&amp;",0,D,D)")</f>
        <v>95.08</v>
      </c>
      <c r="T189" s="9" cm="1">
        <f t="array" aca="1" ref="T189" ca="1">_xll.FDS($E$7,"P_PRICE("&amp;AH189&amp;",0,D,D)")</f>
        <v>97.47</v>
      </c>
      <c r="U189" s="9" cm="1">
        <f t="array" aca="1" ref="U189" ca="1">_xll.FDS($E$7,"P_PRICE("&amp;AI189&amp;",0,D,D)")</f>
        <v>91.82</v>
      </c>
      <c r="V189" s="9" cm="1">
        <f t="array" aca="1" ref="V189" ca="1">_xll.FDS($E$7,"P_PRICE("&amp;AJ189&amp;",0,D,D)")</f>
        <v>87.81</v>
      </c>
      <c r="W189" s="9" cm="1">
        <f t="array" aca="1" ref="W189" ca="1">_xll.FDS($E$7,"P_PRICE("&amp;AK189&amp;",0,D,D)")</f>
        <v>100.29</v>
      </c>
      <c r="X189" s="24">
        <f t="shared" ca="1" si="42"/>
        <v>-8.1407464981383404E-3</v>
      </c>
      <c r="Y189" s="24">
        <f t="shared" ca="1" si="43"/>
        <v>3.788303902487522E-2</v>
      </c>
      <c r="Z189" s="24">
        <f t="shared" ca="1" si="44"/>
        <v>8.7195351069410343E-2</v>
      </c>
      <c r="AA189" s="24">
        <f t="shared" ca="1" si="45"/>
        <v>-1.8578565131606606E-2</v>
      </c>
      <c r="AB189" s="9" cm="1">
        <f t="array" aca="1" ref="AB189" ca="1">_xll.FDS($E$9,"P_PRICE("&amp;AG189&amp;",0,D,D)")</f>
        <v>5844.61</v>
      </c>
      <c r="AC189" s="9" cm="1">
        <f t="array" aca="1" ref="AC189" ca="1">_xll.FDS($E$9,"P_PRICE("&amp;AH189&amp;",0,D,D)")</f>
        <v>5892.58</v>
      </c>
      <c r="AD189" s="9" cm="1">
        <f t="array" aca="1" ref="AD189" ca="1">_xll.FDS($E$9,"P_PRICE("&amp;AI189&amp;",0,D,D)")</f>
        <v>5631.28</v>
      </c>
      <c r="AE189" s="9" cm="1">
        <f t="array" aca="1" ref="AE189" ca="1">_xll.FDS($E$9,"P_PRICE("&amp;AJ189&amp;",0,D,D)")</f>
        <v>5375.86</v>
      </c>
      <c r="AF189" s="9" cm="1">
        <f t="array" aca="1" ref="AF189" ca="1">_xll.FDS($E$9,"P_PRICE("&amp;AK189&amp;",0,D,D)")</f>
        <v>5955.25</v>
      </c>
      <c r="AG189" s="20">
        <f t="shared" ca="1" si="51"/>
        <v>45798</v>
      </c>
      <c r="AH189" s="22">
        <f t="shared" ca="1" si="46"/>
        <v>45791</v>
      </c>
      <c r="AI189" s="22">
        <f t="shared" ca="1" si="47"/>
        <v>45784</v>
      </c>
      <c r="AJ189" s="22">
        <f t="shared" ca="1" si="48"/>
        <v>45770</v>
      </c>
      <c r="AK189" s="22">
        <f t="shared" ca="1" si="49"/>
        <v>45713</v>
      </c>
      <c r="AL189" s="22">
        <f t="shared" ca="1" si="50"/>
        <v>45621</v>
      </c>
    </row>
    <row r="190" spans="4:38" x14ac:dyDescent="0.25">
      <c r="D190" s="6">
        <f ca="1"/>
        <v>45797</v>
      </c>
      <c r="E190" s="28" cm="1">
        <f t="array" aca="1" ref="E190" ca="1">_xll.FDS($E$7,"P_PRICE("&amp;D190&amp;",0,D,D)")</f>
        <v>96.72</v>
      </c>
      <c r="F190" s="29" cm="1">
        <f t="array" aca="1" ref="F190" ca="1">_xll.FDS($E$7,"P_BETA_LOCIDX("&amp;$AG190&amp;","&amp;$AL190&amp;",,"""&amp;$E$9&amp;""")")</f>
        <v>1.2730572</v>
      </c>
      <c r="G190" s="30">
        <f t="shared" ca="1" si="36"/>
        <v>-2.6328795368376384E-2</v>
      </c>
      <c r="H190" s="30">
        <f t="shared" ca="1" si="36"/>
        <v>-4.624925237572354E-2</v>
      </c>
      <c r="I190" s="30">
        <f t="shared" ca="1" si="36"/>
        <v>-2.8816323827480311E-2</v>
      </c>
      <c r="J190" s="30">
        <f t="shared" ca="1" si="34"/>
        <v>-2.7164993902897755E-2</v>
      </c>
      <c r="K190" s="30">
        <f t="shared" ca="1" si="37"/>
        <v>1.1658868718009679E-2</v>
      </c>
      <c r="L190" s="30">
        <f t="shared" ca="1" si="37"/>
        <v>7.5733020337405269E-2</v>
      </c>
      <c r="M190" s="30">
        <f t="shared" ca="1" si="37"/>
        <v>0.15714110217559038</v>
      </c>
      <c r="N190" s="30">
        <f t="shared" ca="1" si="35"/>
        <v>-9.1044361489157361E-3</v>
      </c>
      <c r="O190" s="30">
        <f t="shared" ca="1" si="38"/>
        <v>-1.4669926650366705E-2</v>
      </c>
      <c r="P190" s="30">
        <f t="shared" ca="1" si="39"/>
        <v>2.9483767961681728E-2</v>
      </c>
      <c r="Q190" s="30">
        <f t="shared" ca="1" si="40"/>
        <v>0.12832477834811007</v>
      </c>
      <c r="R190" s="30">
        <f t="shared" ca="1" si="41"/>
        <v>-3.6269430051813489E-2</v>
      </c>
      <c r="S190" s="9" cm="1">
        <f t="array" aca="1" ref="S190" ca="1">_xll.FDS($E$7,"P_PRICE("&amp;AG190&amp;",0,D,D)")</f>
        <v>96.72</v>
      </c>
      <c r="T190" s="9" cm="1">
        <f t="array" aca="1" ref="T190" ca="1">_xll.FDS($E$7,"P_PRICE("&amp;AH190&amp;",0,D,D)")</f>
        <v>98.16</v>
      </c>
      <c r="U190" s="9" cm="1">
        <f t="array" aca="1" ref="U190" ca="1">_xll.FDS($E$7,"P_PRICE("&amp;AI190&amp;",0,D,D)")</f>
        <v>93.95</v>
      </c>
      <c r="V190" s="9" cm="1">
        <f t="array" aca="1" ref="V190" ca="1">_xll.FDS($E$7,"P_PRICE("&amp;AJ190&amp;",0,D,D)")</f>
        <v>85.72</v>
      </c>
      <c r="W190" s="9" cm="1">
        <f t="array" aca="1" ref="W190" ca="1">_xll.FDS($E$7,"P_PRICE("&amp;AK190&amp;",0,D,D)")</f>
        <v>100.36</v>
      </c>
      <c r="X190" s="24">
        <f t="shared" ca="1" si="42"/>
        <v>9.1581656488095575E-3</v>
      </c>
      <c r="Y190" s="24">
        <f t="shared" ca="1" si="43"/>
        <v>5.9489094706353551E-2</v>
      </c>
      <c r="Z190" s="24">
        <f t="shared" ca="1" si="44"/>
        <v>0.12343601071152999</v>
      </c>
      <c r="AA190" s="24">
        <f t="shared" ca="1" si="45"/>
        <v>-7.1516316383236633E-3</v>
      </c>
      <c r="AB190" s="9" cm="1">
        <f t="array" aca="1" ref="AB190" ca="1">_xll.FDS($E$9,"P_PRICE("&amp;AG190&amp;",0,D,D)")</f>
        <v>5940.46</v>
      </c>
      <c r="AC190" s="9" cm="1">
        <f t="array" aca="1" ref="AC190" ca="1">_xll.FDS($E$9,"P_PRICE("&amp;AH190&amp;",0,D,D)")</f>
        <v>5886.55</v>
      </c>
      <c r="AD190" s="9" cm="1">
        <f t="array" aca="1" ref="AD190" ca="1">_xll.FDS($E$9,"P_PRICE("&amp;AI190&amp;",0,D,D)")</f>
        <v>5606.91</v>
      </c>
      <c r="AE190" s="9" cm="1">
        <f t="array" aca="1" ref="AE190" ca="1">_xll.FDS($E$9,"P_PRICE("&amp;AJ190&amp;",0,D,D)")</f>
        <v>5287.76</v>
      </c>
      <c r="AF190" s="9" cm="1">
        <f t="array" aca="1" ref="AF190" ca="1">_xll.FDS($E$9,"P_PRICE("&amp;AK190&amp;",0,D,D)")</f>
        <v>5983.25</v>
      </c>
      <c r="AG190" s="20">
        <f t="shared" ca="1" si="51"/>
        <v>45797</v>
      </c>
      <c r="AH190" s="22">
        <f t="shared" ca="1" si="46"/>
        <v>45790</v>
      </c>
      <c r="AI190" s="22">
        <f t="shared" ca="1" si="47"/>
        <v>45783</v>
      </c>
      <c r="AJ190" s="22">
        <f t="shared" ca="1" si="48"/>
        <v>45769</v>
      </c>
      <c r="AK190" s="22">
        <f t="shared" ca="1" si="49"/>
        <v>45712</v>
      </c>
      <c r="AL190" s="22">
        <f t="shared" ca="1" si="50"/>
        <v>45618</v>
      </c>
    </row>
    <row r="191" spans="4:38" x14ac:dyDescent="0.25">
      <c r="D191" s="6">
        <f ca="1"/>
        <v>45796</v>
      </c>
      <c r="E191" s="28" cm="1">
        <f t="array" aca="1" ref="E191" ca="1">_xll.FDS($E$7,"P_PRICE("&amp;D191&amp;",0,D,D)")</f>
        <v>98.65</v>
      </c>
      <c r="F191" s="29" cm="1">
        <f t="array" aca="1" ref="F191" ca="1">_xll.FDS($E$7,"P_BETA_LOCIDX("&amp;$AG191&amp;","&amp;$AL191&amp;",,"""&amp;$E$9&amp;""")")</f>
        <v>1.2703854000000001</v>
      </c>
      <c r="G191" s="30">
        <f t="shared" ca="1" si="36"/>
        <v>-2.6767133404634037E-2</v>
      </c>
      <c r="H191" s="30">
        <f t="shared" ca="1" si="36"/>
        <v>-6.635058586943661E-2</v>
      </c>
      <c r="I191" s="30">
        <f t="shared" ca="1" si="36"/>
        <v>-5.6360871160965054E-3</v>
      </c>
      <c r="J191" s="30">
        <f t="shared" ca="1" si="34"/>
        <v>-6.3786022348954006E-3</v>
      </c>
      <c r="K191" s="30">
        <f t="shared" ca="1" si="37"/>
        <v>2.5956842712848417E-2</v>
      </c>
      <c r="L191" s="30">
        <f t="shared" ca="1" si="37"/>
        <v>7.0421832688775068E-2</v>
      </c>
      <c r="M191" s="30">
        <f t="shared" ca="1" si="37"/>
        <v>0.19835764436431333</v>
      </c>
      <c r="N191" s="30">
        <f t="shared" ca="1" si="35"/>
        <v>-1.046413246711774E-2</v>
      </c>
      <c r="O191" s="30">
        <f t="shared" ca="1" si="38"/>
        <v>-8.1029069178562008E-4</v>
      </c>
      <c r="P191" s="30">
        <f t="shared" ca="1" si="39"/>
        <v>4.0712468193384588E-3</v>
      </c>
      <c r="Q191" s="30">
        <f t="shared" ca="1" si="40"/>
        <v>0.19272155724821682</v>
      </c>
      <c r="R191" s="30">
        <f t="shared" ca="1" si="41"/>
        <v>-1.684273470201314E-2</v>
      </c>
      <c r="S191" s="9" cm="1">
        <f t="array" aca="1" ref="S191" ca="1">_xll.FDS($E$7,"P_PRICE("&amp;AG191&amp;",0,D,D)")</f>
        <v>98.65</v>
      </c>
      <c r="T191" s="9" cm="1">
        <f t="array" aca="1" ref="T191" ca="1">_xll.FDS($E$7,"P_PRICE("&amp;AH191&amp;",0,D,D)")</f>
        <v>98.73</v>
      </c>
      <c r="U191" s="9" cm="1">
        <f t="array" aca="1" ref="U191" ca="1">_xll.FDS($E$7,"P_PRICE("&amp;AI191&amp;",0,D,D)")</f>
        <v>98.25</v>
      </c>
      <c r="V191" s="9" cm="1">
        <f t="array" aca="1" ref="V191" ca="1">_xll.FDS($E$7,"P_PRICE("&amp;AJ191&amp;",0,D,D)")</f>
        <v>82.71</v>
      </c>
      <c r="W191" s="9" cm="1">
        <f t="array" aca="1" ref="W191" ca="1">_xll.FDS($E$7,"P_PRICE("&amp;AK191&amp;",0,D,D)")</f>
        <v>100.34</v>
      </c>
      <c r="X191" s="24">
        <f t="shared" ca="1" si="42"/>
        <v>2.0432258362579114E-2</v>
      </c>
      <c r="Y191" s="24">
        <f t="shared" ca="1" si="43"/>
        <v>5.5433439874840396E-2</v>
      </c>
      <c r="Z191" s="24">
        <f t="shared" ca="1" si="44"/>
        <v>0.15613973866852793</v>
      </c>
      <c r="AA191" s="24">
        <f t="shared" ca="1" si="45"/>
        <v>-8.2369747535808724E-3</v>
      </c>
      <c r="AB191" s="9" cm="1">
        <f t="array" aca="1" ref="AB191" ca="1">_xll.FDS($E$9,"P_PRICE("&amp;AG191&amp;",0,D,D)")</f>
        <v>5963.6</v>
      </c>
      <c r="AC191" s="9" cm="1">
        <f t="array" aca="1" ref="AC191" ca="1">_xll.FDS($E$9,"P_PRICE("&amp;AH191&amp;",0,D,D)")</f>
        <v>5844.19</v>
      </c>
      <c r="AD191" s="9" cm="1">
        <f t="array" aca="1" ref="AD191" ca="1">_xll.FDS($E$9,"P_PRICE("&amp;AI191&amp;",0,D,D)")</f>
        <v>5650.38</v>
      </c>
      <c r="AE191" s="9" cm="1">
        <f t="array" aca="1" ref="AE191" ca="1">_xll.FDS($E$9,"P_PRICE("&amp;AJ191&amp;",0,D,D)")</f>
        <v>5158.2</v>
      </c>
      <c r="AF191" s="9" cm="1">
        <f t="array" aca="1" ref="AF191" ca="1">_xll.FDS($E$9,"P_PRICE("&amp;AK191&amp;",0,D,D)")</f>
        <v>6013.13</v>
      </c>
      <c r="AG191" s="20">
        <f t="shared" ca="1" si="51"/>
        <v>45796</v>
      </c>
      <c r="AH191" s="22">
        <f t="shared" ca="1" si="46"/>
        <v>45789</v>
      </c>
      <c r="AI191" s="22">
        <f t="shared" ca="1" si="47"/>
        <v>45782</v>
      </c>
      <c r="AJ191" s="22">
        <f t="shared" ca="1" si="48"/>
        <v>45768</v>
      </c>
      <c r="AK191" s="22">
        <f t="shared" ca="1" si="49"/>
        <v>45709</v>
      </c>
      <c r="AL191" s="22">
        <f t="shared" ca="1" si="50"/>
        <v>45617</v>
      </c>
    </row>
    <row r="192" spans="4:38" x14ac:dyDescent="0.25">
      <c r="D192" s="6">
        <f ca="1"/>
        <v>45793</v>
      </c>
      <c r="E192" s="28" cm="1">
        <f t="array" aca="1" ref="E192" ca="1">_xll.FDS($E$7,"P_PRICE("&amp;D192&amp;",0,D,D)")</f>
        <v>98.94</v>
      </c>
      <c r="F192" s="29" cm="1">
        <f t="array" aca="1" ref="F192" ca="1">_xll.FDS($E$7,"P_BETA_LOCIDX("&amp;$AG192&amp;","&amp;$AL192&amp;",,"""&amp;$E$9&amp;""")")</f>
        <v>1.2704588999999999</v>
      </c>
      <c r="G192" s="30">
        <f t="shared" ca="1" si="36"/>
        <v>-2.1008500346702513E-2</v>
      </c>
      <c r="H192" s="30">
        <f t="shared" ca="1" si="36"/>
        <v>-5.6337689881900285E-2</v>
      </c>
      <c r="I192" s="30">
        <f t="shared" ca="1" si="36"/>
        <v>4.9364830042561147E-3</v>
      </c>
      <c r="J192" s="30">
        <f t="shared" ca="1" si="34"/>
        <v>-2.4350240779979007E-3</v>
      </c>
      <c r="K192" s="30">
        <f t="shared" ca="1" si="37"/>
        <v>6.699644833274751E-2</v>
      </c>
      <c r="L192" s="30">
        <f t="shared" ca="1" si="37"/>
        <v>6.0702728964226946E-2</v>
      </c>
      <c r="M192" s="30">
        <f t="shared" ca="1" si="37"/>
        <v>0.16249714531432788</v>
      </c>
      <c r="N192" s="30">
        <f t="shared" ca="1" si="35"/>
        <v>-3.304947582451722E-2</v>
      </c>
      <c r="O192" s="30">
        <f t="shared" ca="1" si="38"/>
        <v>4.5987947986044997E-2</v>
      </c>
      <c r="P192" s="30">
        <f t="shared" ca="1" si="39"/>
        <v>4.3650390823266605E-3</v>
      </c>
      <c r="Q192" s="30">
        <f t="shared" ca="1" si="40"/>
        <v>0.16743362831858399</v>
      </c>
      <c r="R192" s="30">
        <f t="shared" ca="1" si="41"/>
        <v>-3.5484499902515121E-2</v>
      </c>
      <c r="S192" s="9" cm="1">
        <f t="array" aca="1" ref="S192" ca="1">_xll.FDS($E$7,"P_PRICE("&amp;AG192&amp;",0,D,D)")</f>
        <v>98.94</v>
      </c>
      <c r="T192" s="9" cm="1">
        <f t="array" aca="1" ref="T192" ca="1">_xll.FDS($E$7,"P_PRICE("&amp;AH192&amp;",0,D,D)")</f>
        <v>94.59</v>
      </c>
      <c r="U192" s="9" cm="1">
        <f t="array" aca="1" ref="U192" ca="1">_xll.FDS($E$7,"P_PRICE("&amp;AI192&amp;",0,D,D)")</f>
        <v>98.51</v>
      </c>
      <c r="V192" s="9" cm="1">
        <f t="array" aca="1" ref="V192" ca="1">_xll.FDS($E$7,"P_PRICE("&amp;AJ192&amp;",0,D,D)")</f>
        <v>84.75</v>
      </c>
      <c r="W192" s="9" cm="1">
        <f t="array" aca="1" ref="W192" ca="1">_xll.FDS($E$7,"P_PRICE("&amp;AK192&amp;",0,D,D)")</f>
        <v>102.58</v>
      </c>
      <c r="X192" s="24">
        <f t="shared" ca="1" si="42"/>
        <v>5.2734054075064929E-2</v>
      </c>
      <c r="Y192" s="24">
        <f t="shared" ca="1" si="43"/>
        <v>4.7780159566143343E-2</v>
      </c>
      <c r="Z192" s="24">
        <f t="shared" ca="1" si="44"/>
        <v>0.12790429136615744</v>
      </c>
      <c r="AA192" s="24">
        <f t="shared" ca="1" si="45"/>
        <v>-2.6013809517582365E-2</v>
      </c>
      <c r="AB192" s="9" cm="1">
        <f t="array" aca="1" ref="AB192" ca="1">_xll.FDS($E$9,"P_PRICE("&amp;AG192&amp;",0,D,D)")</f>
        <v>5958.38</v>
      </c>
      <c r="AC192" s="9" cm="1">
        <f t="array" aca="1" ref="AC192" ca="1">_xll.FDS($E$9,"P_PRICE("&amp;AH192&amp;",0,D,D)")</f>
        <v>5659.91</v>
      </c>
      <c r="AD192" s="9" cm="1">
        <f t="array" aca="1" ref="AD192" ca="1">_xll.FDS($E$9,"P_PRICE("&amp;AI192&amp;",0,D,D)")</f>
        <v>5686.67</v>
      </c>
      <c r="AE192" s="9" cm="1">
        <f t="array" aca="1" ref="AE192" ca="1">_xll.FDS($E$9,"P_PRICE("&amp;AJ192&amp;",0,D,D)")</f>
        <v>5282.7</v>
      </c>
      <c r="AF192" s="9" cm="1">
        <f t="array" aca="1" ref="AF192" ca="1">_xll.FDS($E$9,"P_PRICE("&amp;AK192&amp;",0,D,D)")</f>
        <v>6117.52</v>
      </c>
      <c r="AG192" s="20">
        <f t="shared" ca="1" si="51"/>
        <v>45793</v>
      </c>
      <c r="AH192" s="22">
        <f t="shared" ca="1" si="46"/>
        <v>45786</v>
      </c>
      <c r="AI192" s="22">
        <f t="shared" ca="1" si="47"/>
        <v>45779</v>
      </c>
      <c r="AJ192" s="22">
        <f t="shared" ca="1" si="48"/>
        <v>45764</v>
      </c>
      <c r="AK192" s="22">
        <f t="shared" ca="1" si="49"/>
        <v>45708</v>
      </c>
      <c r="AL192" s="22">
        <f t="shared" ca="1" si="50"/>
        <v>45616</v>
      </c>
    </row>
    <row r="193" spans="4:38" x14ac:dyDescent="0.25">
      <c r="D193" s="6">
        <f ca="1"/>
        <v>45792</v>
      </c>
      <c r="E193" s="28" cm="1">
        <f t="array" aca="1" ref="E193" ca="1">_xll.FDS($E$7,"P_PRICE("&amp;D193&amp;",0,D,D)")</f>
        <v>97.83</v>
      </c>
      <c r="F193" s="29" cm="1">
        <f t="array" aca="1" ref="F193" ca="1">_xll.FDS($E$7,"P_BETA_LOCIDX("&amp;$AG193&amp;","&amp;$AL193&amp;",,"""&amp;$E$9&amp;""")")</f>
        <v>1.2694018</v>
      </c>
      <c r="G193" s="30">
        <f t="shared" ca="1" si="36"/>
        <v>-1.5290689206345374E-2</v>
      </c>
      <c r="H193" s="30">
        <f t="shared" ca="1" si="36"/>
        <v>-5.4751633853614035E-2</v>
      </c>
      <c r="I193" s="30">
        <f t="shared" ca="1" si="36"/>
        <v>-3.617818695913072E-3</v>
      </c>
      <c r="J193" s="30">
        <f t="shared" ca="1" si="34"/>
        <v>-3.1000927797206639E-2</v>
      </c>
      <c r="K193" s="30">
        <f t="shared" ca="1" si="37"/>
        <v>5.6700099468214769E-2</v>
      </c>
      <c r="L193" s="30">
        <f t="shared" ca="1" si="37"/>
        <v>7.0850512125321563E-2</v>
      </c>
      <c r="M193" s="30">
        <f t="shared" ca="1" si="37"/>
        <v>0.15428824918285725</v>
      </c>
      <c r="N193" s="30">
        <f t="shared" ca="1" si="35"/>
        <v>-4.6944406792802769E-2</v>
      </c>
      <c r="O193" s="30">
        <f t="shared" ca="1" si="38"/>
        <v>4.1409410261869395E-2</v>
      </c>
      <c r="P193" s="30">
        <f t="shared" ca="1" si="39"/>
        <v>1.6098878271707528E-2</v>
      </c>
      <c r="Q193" s="30">
        <f t="shared" ca="1" si="40"/>
        <v>0.15067043048694417</v>
      </c>
      <c r="R193" s="30">
        <f t="shared" ca="1" si="41"/>
        <v>-7.7945334590009407E-2</v>
      </c>
      <c r="S193" s="9" cm="1">
        <f t="array" aca="1" ref="S193" ca="1">_xll.FDS($E$7,"P_PRICE("&amp;AG193&amp;",0,D,D)")</f>
        <v>97.83</v>
      </c>
      <c r="T193" s="9" cm="1">
        <f t="array" aca="1" ref="T193" ca="1">_xll.FDS($E$7,"P_PRICE("&amp;AH193&amp;",0,D,D)")</f>
        <v>93.94</v>
      </c>
      <c r="U193" s="9" cm="1">
        <f t="array" aca="1" ref="U193" ca="1">_xll.FDS($E$7,"P_PRICE("&amp;AI193&amp;",0,D,D)")</f>
        <v>96.28</v>
      </c>
      <c r="V193" s="9" cm="1">
        <f t="array" aca="1" ref="V193" ca="1">_xll.FDS($E$7,"P_PRICE("&amp;AJ193&amp;",0,D,D)")</f>
        <v>85.02</v>
      </c>
      <c r="W193" s="9" cm="1">
        <f t="array" aca="1" ref="W193" ca="1">_xll.FDS($E$7,"P_PRICE("&amp;AK193&amp;",0,D,D)")</f>
        <v>106.1</v>
      </c>
      <c r="X193" s="24">
        <f t="shared" ca="1" si="42"/>
        <v>4.4666786724435692E-2</v>
      </c>
      <c r="Y193" s="24">
        <f t="shared" ca="1" si="43"/>
        <v>5.5814094580078244E-2</v>
      </c>
      <c r="Z193" s="24">
        <f t="shared" ca="1" si="44"/>
        <v>0.12154406050381938</v>
      </c>
      <c r="AA193" s="24">
        <f t="shared" ca="1" si="45"/>
        <v>-3.6981519005883534E-2</v>
      </c>
      <c r="AB193" s="9" cm="1">
        <f t="array" aca="1" ref="AB193" ca="1">_xll.FDS($E$9,"P_PRICE("&amp;AG193&amp;",0,D,D)")</f>
        <v>5916.93</v>
      </c>
      <c r="AC193" s="9" cm="1">
        <f t="array" aca="1" ref="AC193" ca="1">_xll.FDS($E$9,"P_PRICE("&amp;AH193&amp;",0,D,D)")</f>
        <v>5663.94</v>
      </c>
      <c r="AD193" s="9" cm="1">
        <f t="array" aca="1" ref="AD193" ca="1">_xll.FDS($E$9,"P_PRICE("&amp;AI193&amp;",0,D,D)")</f>
        <v>5604.14</v>
      </c>
      <c r="AE193" s="9" cm="1">
        <f t="array" aca="1" ref="AE193" ca="1">_xll.FDS($E$9,"P_PRICE("&amp;AJ193&amp;",0,D,D)")</f>
        <v>5275.7</v>
      </c>
      <c r="AF193" s="9" cm="1">
        <f t="array" aca="1" ref="AF193" ca="1">_xll.FDS($E$9,"P_PRICE("&amp;AK193&amp;",0,D,D)")</f>
        <v>6144.15</v>
      </c>
      <c r="AG193" s="20">
        <f t="shared" ca="1" si="51"/>
        <v>45792</v>
      </c>
      <c r="AH193" s="22">
        <f t="shared" ca="1" si="46"/>
        <v>45785</v>
      </c>
      <c r="AI193" s="22">
        <f t="shared" ca="1" si="47"/>
        <v>45778</v>
      </c>
      <c r="AJ193" s="22">
        <f t="shared" ca="1" si="48"/>
        <v>45763</v>
      </c>
      <c r="AK193" s="22">
        <f t="shared" ca="1" si="49"/>
        <v>45707</v>
      </c>
      <c r="AL193" s="22">
        <f t="shared" ca="1" si="50"/>
        <v>45615</v>
      </c>
    </row>
    <row r="194" spans="4:38" x14ac:dyDescent="0.25">
      <c r="D194" s="6">
        <f ca="1"/>
        <v>45791</v>
      </c>
      <c r="E194" s="28" cm="1">
        <f t="array" aca="1" ref="E194" ca="1">_xll.FDS($E$7,"P_PRICE("&amp;D194&amp;",0,D,D)")</f>
        <v>97.47</v>
      </c>
      <c r="F194" s="29" cm="1">
        <f t="array" aca="1" ref="F194" ca="1">_xll.FDS($E$7,"P_BETA_LOCIDX("&amp;$AG194&amp;","&amp;$AL194&amp;",,"""&amp;$E$9&amp;""")")</f>
        <v>1.2707672000000001</v>
      </c>
      <c r="G194" s="30">
        <f t="shared" ca="1" si="36"/>
        <v>2.5678944010135013E-3</v>
      </c>
      <c r="H194" s="30">
        <f t="shared" ca="1" si="36"/>
        <v>-5.2337936911577565E-2</v>
      </c>
      <c r="I194" s="30">
        <f t="shared" ca="1" si="36"/>
        <v>1.7247977868406636E-2</v>
      </c>
      <c r="J194" s="30">
        <f t="shared" ca="1" si="34"/>
        <v>-6.8864201081856299E-2</v>
      </c>
      <c r="K194" s="30">
        <f t="shared" ca="1" si="37"/>
        <v>5.8965540580472056E-2</v>
      </c>
      <c r="L194" s="30">
        <f t="shared" ca="1" si="37"/>
        <v>7.3821902537232476E-2</v>
      </c>
      <c r="M194" s="30">
        <f t="shared" ca="1" si="37"/>
        <v>0.11678343574415868</v>
      </c>
      <c r="N194" s="30">
        <f t="shared" ca="1" si="35"/>
        <v>-4.9134170106271538E-2</v>
      </c>
      <c r="O194" s="30">
        <f t="shared" ca="1" si="38"/>
        <v>6.1533434981485557E-2</v>
      </c>
      <c r="P194" s="30">
        <f t="shared" ca="1" si="39"/>
        <v>2.1483965625654911E-2</v>
      </c>
      <c r="Q194" s="30">
        <f t="shared" ca="1" si="40"/>
        <v>0.13403141361256532</v>
      </c>
      <c r="R194" s="30">
        <f t="shared" ca="1" si="41"/>
        <v>-0.11799837118812784</v>
      </c>
      <c r="S194" s="9" cm="1">
        <f t="array" aca="1" ref="S194" ca="1">_xll.FDS($E$7,"P_PRICE("&amp;AG194&amp;",0,D,D)")</f>
        <v>97.47</v>
      </c>
      <c r="T194" s="9" cm="1">
        <f t="array" aca="1" ref="T194" ca="1">_xll.FDS($E$7,"P_PRICE("&amp;AH194&amp;",0,D,D)")</f>
        <v>91.82</v>
      </c>
      <c r="U194" s="9" cm="1">
        <f t="array" aca="1" ref="U194" ca="1">_xll.FDS($E$7,"P_PRICE("&amp;AI194&amp;",0,D,D)")</f>
        <v>95.42</v>
      </c>
      <c r="V194" s="9" cm="1">
        <f t="array" aca="1" ref="V194" ca="1">_xll.FDS($E$7,"P_PRICE("&amp;AJ194&amp;",0,D,D)")</f>
        <v>85.95</v>
      </c>
      <c r="W194" s="9" cm="1">
        <f t="array" aca="1" ref="W194" ca="1">_xll.FDS($E$7,"P_PRICE("&amp;AK194&amp;",0,D,D)")</f>
        <v>110.51</v>
      </c>
      <c r="X194" s="24">
        <f t="shared" ca="1" si="42"/>
        <v>4.640152860450919E-2</v>
      </c>
      <c r="Y194" s="24">
        <f t="shared" ca="1" si="43"/>
        <v>5.8092389020768298E-2</v>
      </c>
      <c r="Z194" s="24">
        <f t="shared" ca="1" si="44"/>
        <v>9.1899944965654345E-2</v>
      </c>
      <c r="AA194" s="24">
        <f t="shared" ca="1" si="45"/>
        <v>-3.866496562570354E-2</v>
      </c>
      <c r="AB194" s="9" cm="1">
        <f t="array" aca="1" ref="AB194" ca="1">_xll.FDS($E$9,"P_PRICE("&amp;AG194&amp;",0,D,D)")</f>
        <v>5892.58</v>
      </c>
      <c r="AC194" s="9" cm="1">
        <f t="array" aca="1" ref="AC194" ca="1">_xll.FDS($E$9,"P_PRICE("&amp;AH194&amp;",0,D,D)")</f>
        <v>5631.28</v>
      </c>
      <c r="AD194" s="9" cm="1">
        <f t="array" aca="1" ref="AD194" ca="1">_xll.FDS($E$9,"P_PRICE("&amp;AI194&amp;",0,D,D)")</f>
        <v>5569.06</v>
      </c>
      <c r="AE194" s="9" cm="1">
        <f t="array" aca="1" ref="AE194" ca="1">_xll.FDS($E$9,"P_PRICE("&amp;AJ194&amp;",0,D,D)")</f>
        <v>5396.63</v>
      </c>
      <c r="AF194" s="9" cm="1">
        <f t="array" aca="1" ref="AF194" ca="1">_xll.FDS($E$9,"P_PRICE("&amp;AK194&amp;",0,D,D)")</f>
        <v>6129.58</v>
      </c>
      <c r="AG194" s="20">
        <f t="shared" ca="1" si="51"/>
        <v>45791</v>
      </c>
      <c r="AH194" s="22">
        <f t="shared" ca="1" si="46"/>
        <v>45784</v>
      </c>
      <c r="AI194" s="22">
        <f t="shared" ca="1" si="47"/>
        <v>45777</v>
      </c>
      <c r="AJ194" s="22">
        <f t="shared" ca="1" si="48"/>
        <v>45762</v>
      </c>
      <c r="AK194" s="22">
        <f t="shared" ca="1" si="49"/>
        <v>45706</v>
      </c>
      <c r="AL194" s="22">
        <f t="shared" ca="1" si="50"/>
        <v>45614</v>
      </c>
    </row>
    <row r="195" spans="4:38" x14ac:dyDescent="0.25">
      <c r="D195" s="6">
        <f ca="1"/>
        <v>45790</v>
      </c>
      <c r="E195" s="28" cm="1">
        <f t="array" aca="1" ref="E195" ca="1">_xll.FDS($E$7,"P_PRICE("&amp;D195&amp;",0,D,D)")</f>
        <v>98.16</v>
      </c>
      <c r="F195" s="29" cm="1">
        <f t="array" aca="1" ref="F195" ca="1">_xll.FDS($E$7,"P_BETA_LOCIDX("&amp;$AG195&amp;","&amp;$AL195&amp;",,"""&amp;$E$9&amp;""")")</f>
        <v>1.270629</v>
      </c>
      <c r="G195" s="30">
        <f t="shared" ca="1" si="36"/>
        <v>-1.856050099748599E-2</v>
      </c>
      <c r="H195" s="30">
        <f t="shared" ca="1" si="36"/>
        <v>-2.4136916509900005E-2</v>
      </c>
      <c r="I195" s="30">
        <f t="shared" ca="1" si="36"/>
        <v>3.1366290544577805E-2</v>
      </c>
      <c r="J195" s="30">
        <f t="shared" ca="1" si="34"/>
        <v>-4.6233453410215584E-2</v>
      </c>
      <c r="K195" s="30">
        <f t="shared" ca="1" si="37"/>
        <v>6.3371570715420905E-2</v>
      </c>
      <c r="L195" s="30">
        <f t="shared" ca="1" si="37"/>
        <v>7.4425810154239755E-2</v>
      </c>
      <c r="M195" s="30">
        <f t="shared" ca="1" si="37"/>
        <v>0.11295639539620088</v>
      </c>
      <c r="N195" s="30">
        <f t="shared" ca="1" si="35"/>
        <v>-4.739535545405036E-2</v>
      </c>
      <c r="O195" s="30">
        <f t="shared" ca="1" si="38"/>
        <v>4.4811069717934915E-2</v>
      </c>
      <c r="P195" s="30">
        <f t="shared" ca="1" si="39"/>
        <v>5.0288893644339749E-2</v>
      </c>
      <c r="Q195" s="30">
        <f t="shared" ca="1" si="40"/>
        <v>0.14432268594077868</v>
      </c>
      <c r="R195" s="30">
        <f t="shared" ca="1" si="41"/>
        <v>-9.3628808864265944E-2</v>
      </c>
      <c r="S195" s="9" cm="1">
        <f t="array" aca="1" ref="S195" ca="1">_xll.FDS($E$7,"P_PRICE("&amp;AG195&amp;",0,D,D)")</f>
        <v>98.16</v>
      </c>
      <c r="T195" s="9" cm="1">
        <f t="array" aca="1" ref="T195" ca="1">_xll.FDS($E$7,"P_PRICE("&amp;AH195&amp;",0,D,D)")</f>
        <v>93.95</v>
      </c>
      <c r="U195" s="9" cm="1">
        <f t="array" aca="1" ref="U195" ca="1">_xll.FDS($E$7,"P_PRICE("&amp;AI195&amp;",0,D,D)")</f>
        <v>93.46</v>
      </c>
      <c r="V195" s="9" cm="1">
        <f t="array" aca="1" ref="V195" ca="1">_xll.FDS($E$7,"P_PRICE("&amp;AJ195&amp;",0,D,D)")</f>
        <v>85.78</v>
      </c>
      <c r="W195" s="9" cm="1">
        <f t="array" aca="1" ref="W195" ca="1">_xll.FDS($E$7,"P_PRICE("&amp;AK195&amp;",0,D,D)")</f>
        <v>108.3</v>
      </c>
      <c r="X195" s="24">
        <f t="shared" ca="1" si="42"/>
        <v>4.9874173118527043E-2</v>
      </c>
      <c r="Y195" s="24">
        <f t="shared" ca="1" si="43"/>
        <v>5.8573989854032726E-2</v>
      </c>
      <c r="Z195" s="24">
        <f t="shared" ca="1" si="44"/>
        <v>8.8898014602374786E-2</v>
      </c>
      <c r="AA195" s="24">
        <f t="shared" ca="1" si="45"/>
        <v>-3.7300703394972379E-2</v>
      </c>
      <c r="AB195" s="9" cm="1">
        <f t="array" aca="1" ref="AB195" ca="1">_xll.FDS($E$9,"P_PRICE("&amp;AG195&amp;",0,D,D)")</f>
        <v>5886.55</v>
      </c>
      <c r="AC195" s="9" cm="1">
        <f t="array" aca="1" ref="AC195" ca="1">_xll.FDS($E$9,"P_PRICE("&amp;AH195&amp;",0,D,D)")</f>
        <v>5606.91</v>
      </c>
      <c r="AD195" s="9" cm="1">
        <f t="array" aca="1" ref="AD195" ca="1">_xll.FDS($E$9,"P_PRICE("&amp;AI195&amp;",0,D,D)")</f>
        <v>5560.83</v>
      </c>
      <c r="AE195" s="9" cm="1">
        <f t="array" aca="1" ref="AE195" ca="1">_xll.FDS($E$9,"P_PRICE("&amp;AJ195&amp;",0,D,D)")</f>
        <v>5405.97</v>
      </c>
      <c r="AF195" s="9" cm="1">
        <f t="array" aca="1" ref="AF195" ca="1">_xll.FDS($E$9,"P_PRICE("&amp;AK195&amp;",0,D,D)")</f>
        <v>6114.63</v>
      </c>
      <c r="AG195" s="20">
        <f t="shared" ca="1" si="51"/>
        <v>45790</v>
      </c>
      <c r="AH195" s="22">
        <f t="shared" ca="1" si="46"/>
        <v>45783</v>
      </c>
      <c r="AI195" s="22">
        <f t="shared" ca="1" si="47"/>
        <v>45776</v>
      </c>
      <c r="AJ195" s="22">
        <f t="shared" ca="1" si="48"/>
        <v>45761</v>
      </c>
      <c r="AK195" s="22">
        <f t="shared" ca="1" si="49"/>
        <v>45702</v>
      </c>
      <c r="AL195" s="22">
        <f t="shared" ca="1" si="50"/>
        <v>45611</v>
      </c>
    </row>
    <row r="196" spans="4:38" x14ac:dyDescent="0.25">
      <c r="D196" s="6">
        <f ca="1"/>
        <v>45789</v>
      </c>
      <c r="E196" s="28" cm="1">
        <f t="array" aca="1" ref="E196" ca="1">_xll.FDS($E$7,"P_PRICE("&amp;D196&amp;",0,D,D)")</f>
        <v>98.73</v>
      </c>
      <c r="F196" s="29" cm="1">
        <f t="array" aca="1" ref="F196" ca="1">_xll.FDS($E$7,"P_BETA_LOCIDX("&amp;$AG196&amp;","&amp;$AL196&amp;",,"""&amp;$E$9&amp;""")")</f>
        <v>1.2714424</v>
      </c>
      <c r="G196" s="30">
        <f t="shared" ca="1" si="36"/>
        <v>-3.8725420523988655E-2</v>
      </c>
      <c r="H196" s="30">
        <f t="shared" ca="1" si="36"/>
        <v>-1.1385003200137314E-2</v>
      </c>
      <c r="I196" s="30">
        <f t="shared" ca="1" si="36"/>
        <v>5.1107282977021232E-2</v>
      </c>
      <c r="J196" s="30">
        <f t="shared" ca="1" si="34"/>
        <v>-1.6636507750289527E-2</v>
      </c>
      <c r="K196" s="30">
        <f t="shared" ca="1" si="37"/>
        <v>4.3610916707194761E-2</v>
      </c>
      <c r="L196" s="30">
        <f t="shared" ca="1" si="37"/>
        <v>7.254149503160752E-2</v>
      </c>
      <c r="M196" s="30">
        <f t="shared" ca="1" si="37"/>
        <v>0.11398594336236993</v>
      </c>
      <c r="N196" s="30">
        <f t="shared" ca="1" si="35"/>
        <v>-5.6321238728583682E-2</v>
      </c>
      <c r="O196" s="30">
        <f t="shared" ca="1" si="38"/>
        <v>4.8854961832061061E-3</v>
      </c>
      <c r="P196" s="30">
        <f t="shared" ca="1" si="39"/>
        <v>6.1156491831470206E-2</v>
      </c>
      <c r="Q196" s="30">
        <f t="shared" ca="1" si="40"/>
        <v>0.16509322633939116</v>
      </c>
      <c r="R196" s="30">
        <f t="shared" ca="1" si="41"/>
        <v>-7.2957746478873209E-2</v>
      </c>
      <c r="S196" s="9" cm="1">
        <f t="array" aca="1" ref="S196" ca="1">_xll.FDS($E$7,"P_PRICE("&amp;AG196&amp;",0,D,D)")</f>
        <v>98.73</v>
      </c>
      <c r="T196" s="9" cm="1">
        <f t="array" aca="1" ref="T196" ca="1">_xll.FDS($E$7,"P_PRICE("&amp;AH196&amp;",0,D,D)")</f>
        <v>98.25</v>
      </c>
      <c r="U196" s="9" cm="1">
        <f t="array" aca="1" ref="U196" ca="1">_xll.FDS($E$7,"P_PRICE("&amp;AI196&amp;",0,D,D)")</f>
        <v>93.04</v>
      </c>
      <c r="V196" s="9" cm="1">
        <f t="array" aca="1" ref="V196" ca="1">_xll.FDS($E$7,"P_PRICE("&amp;AJ196&amp;",0,D,D)")</f>
        <v>84.74</v>
      </c>
      <c r="W196" s="9" cm="1">
        <f t="array" aca="1" ref="W196" ca="1">_xll.FDS($E$7,"P_PRICE("&amp;AK196&amp;",0,D,D)")</f>
        <v>106.5</v>
      </c>
      <c r="X196" s="24">
        <f t="shared" ca="1" si="42"/>
        <v>3.4300347941200293E-2</v>
      </c>
      <c r="Y196" s="24">
        <f t="shared" ca="1" si="43"/>
        <v>5.7054487904137474E-2</v>
      </c>
      <c r="Z196" s="24">
        <f t="shared" ca="1" si="44"/>
        <v>8.9650890486560719E-2</v>
      </c>
      <c r="AA196" s="24">
        <f t="shared" ca="1" si="45"/>
        <v>-4.4297121700978104E-2</v>
      </c>
      <c r="AB196" s="9" cm="1">
        <f t="array" aca="1" ref="AB196" ca="1">_xll.FDS($E$9,"P_PRICE("&amp;AG196&amp;",0,D,D)")</f>
        <v>5844.19</v>
      </c>
      <c r="AC196" s="9" cm="1">
        <f t="array" aca="1" ref="AC196" ca="1">_xll.FDS($E$9,"P_PRICE("&amp;AH196&amp;",0,D,D)")</f>
        <v>5650.38</v>
      </c>
      <c r="AD196" s="9" cm="1">
        <f t="array" aca="1" ref="AD196" ca="1">_xll.FDS($E$9,"P_PRICE("&amp;AI196&amp;",0,D,D)")</f>
        <v>5528.75</v>
      </c>
      <c r="AE196" s="9" cm="1">
        <f t="array" aca="1" ref="AE196" ca="1">_xll.FDS($E$9,"P_PRICE("&amp;AJ196&amp;",0,D,D)")</f>
        <v>5363.36</v>
      </c>
      <c r="AF196" s="9" cm="1">
        <f t="array" aca="1" ref="AF196" ca="1">_xll.FDS($E$9,"P_PRICE("&amp;AK196&amp;",0,D,D)")</f>
        <v>6115.07</v>
      </c>
      <c r="AG196" s="20">
        <f t="shared" ca="1" si="51"/>
        <v>45789</v>
      </c>
      <c r="AH196" s="22">
        <f t="shared" ca="1" si="46"/>
        <v>45782</v>
      </c>
      <c r="AI196" s="22">
        <f t="shared" ca="1" si="47"/>
        <v>45775</v>
      </c>
      <c r="AJ196" s="22">
        <f t="shared" ca="1" si="48"/>
        <v>45758</v>
      </c>
      <c r="AK196" s="22">
        <f t="shared" ca="1" si="49"/>
        <v>45701</v>
      </c>
      <c r="AL196" s="22">
        <f t="shared" ca="1" si="50"/>
        <v>45610</v>
      </c>
    </row>
    <row r="197" spans="4:38" x14ac:dyDescent="0.25">
      <c r="D197" s="6">
        <f ca="1"/>
        <v>45786</v>
      </c>
      <c r="E197" s="28" cm="1">
        <f t="array" aca="1" ref="E197" ca="1">_xll.FDS($E$7,"P_PRICE("&amp;D197&amp;",0,D,D)")</f>
        <v>94.59</v>
      </c>
      <c r="F197" s="29" cm="1">
        <f t="array" aca="1" ref="F197" ca="1">_xll.FDS($E$7,"P_BETA_LOCIDX("&amp;$AG197&amp;","&amp;$AL197&amp;",,"""&amp;$E$9&amp;""")")</f>
        <v>1.2688585999999999</v>
      </c>
      <c r="G197" s="30">
        <f t="shared" ca="1" si="36"/>
        <v>-3.3821993633677494E-2</v>
      </c>
      <c r="H197" s="30">
        <f t="shared" ca="1" si="36"/>
        <v>-7.675382008452785E-3</v>
      </c>
      <c r="I197" s="30">
        <f t="shared" ca="1" si="36"/>
        <v>4.1696642389609795E-2</v>
      </c>
      <c r="J197" s="30">
        <f t="shared" ca="1" si="34"/>
        <v>-1.0201224768959724E-2</v>
      </c>
      <c r="K197" s="30">
        <f t="shared" ca="1" si="37"/>
        <v>-5.970920791254E-3</v>
      </c>
      <c r="L197" s="30">
        <f t="shared" ca="1" si="37"/>
        <v>3.093371173584351E-2</v>
      </c>
      <c r="M197" s="30">
        <f t="shared" ca="1" si="37"/>
        <v>9.4383107790548704E-2</v>
      </c>
      <c r="N197" s="30">
        <f t="shared" ca="1" si="35"/>
        <v>-8.2199466077326935E-2</v>
      </c>
      <c r="O197" s="30">
        <f t="shared" ca="1" si="38"/>
        <v>-3.9792914424931491E-2</v>
      </c>
      <c r="P197" s="30">
        <f t="shared" ca="1" si="39"/>
        <v>2.3258329727390725E-2</v>
      </c>
      <c r="Q197" s="30">
        <f t="shared" ca="1" si="40"/>
        <v>0.1360797501801585</v>
      </c>
      <c r="R197" s="30">
        <f t="shared" ca="1" si="41"/>
        <v>-9.2400690846286659E-2</v>
      </c>
      <c r="S197" s="9" cm="1">
        <f t="array" aca="1" ref="S197" ca="1">_xll.FDS($E$7,"P_PRICE("&amp;AG197&amp;",0,D,D)")</f>
        <v>94.59</v>
      </c>
      <c r="T197" s="9" cm="1">
        <f t="array" aca="1" ref="T197" ca="1">_xll.FDS($E$7,"P_PRICE("&amp;AH197&amp;",0,D,D)")</f>
        <v>98.51</v>
      </c>
      <c r="U197" s="9" cm="1">
        <f t="array" aca="1" ref="U197" ca="1">_xll.FDS($E$7,"P_PRICE("&amp;AI197&amp;",0,D,D)")</f>
        <v>92.44</v>
      </c>
      <c r="V197" s="9" cm="1">
        <f t="array" aca="1" ref="V197" ca="1">_xll.FDS($E$7,"P_PRICE("&amp;AJ197&amp;",0,D,D)")</f>
        <v>83.26</v>
      </c>
      <c r="W197" s="9" cm="1">
        <f t="array" aca="1" ref="W197" ca="1">_xll.FDS($E$7,"P_PRICE("&amp;AK197&amp;",0,D,D)")</f>
        <v>104.22</v>
      </c>
      <c r="X197" s="24">
        <f t="shared" ca="1" si="42"/>
        <v>-4.7057416730705848E-3</v>
      </c>
      <c r="Y197" s="24">
        <f t="shared" ca="1" si="43"/>
        <v>2.4379163868884612E-2</v>
      </c>
      <c r="Z197" s="24">
        <f t="shared" ca="1" si="44"/>
        <v>7.4384259830487576E-2</v>
      </c>
      <c r="AA197" s="24">
        <f t="shared" ca="1" si="45"/>
        <v>-6.4782211412151791E-2</v>
      </c>
      <c r="AB197" s="9" cm="1">
        <f t="array" aca="1" ref="AB197" ca="1">_xll.FDS($E$9,"P_PRICE("&amp;AG197&amp;",0,D,D)")</f>
        <v>5659.91</v>
      </c>
      <c r="AC197" s="9" cm="1">
        <f t="array" aca="1" ref="AC197" ca="1">_xll.FDS($E$9,"P_PRICE("&amp;AH197&amp;",0,D,D)")</f>
        <v>5686.67</v>
      </c>
      <c r="AD197" s="9" cm="1">
        <f t="array" aca="1" ref="AD197" ca="1">_xll.FDS($E$9,"P_PRICE("&amp;AI197&amp;",0,D,D)")</f>
        <v>5525.21</v>
      </c>
      <c r="AE197" s="9" cm="1">
        <f t="array" aca="1" ref="AE197" ca="1">_xll.FDS($E$9,"P_PRICE("&amp;AJ197&amp;",0,D,D)")</f>
        <v>5268.05</v>
      </c>
      <c r="AF197" s="9" cm="1">
        <f t="array" aca="1" ref="AF197" ca="1">_xll.FDS($E$9,"P_PRICE("&amp;AK197&amp;",0,D,D)")</f>
        <v>6051.97</v>
      </c>
      <c r="AG197" s="20">
        <f t="shared" ca="1" si="51"/>
        <v>45786</v>
      </c>
      <c r="AH197" s="22">
        <f t="shared" ca="1" si="46"/>
        <v>45779</v>
      </c>
      <c r="AI197" s="22">
        <f t="shared" ca="1" si="47"/>
        <v>45772</v>
      </c>
      <c r="AJ197" s="22">
        <f t="shared" ca="1" si="48"/>
        <v>45757</v>
      </c>
      <c r="AK197" s="22">
        <f t="shared" ca="1" si="49"/>
        <v>45700</v>
      </c>
      <c r="AL197" s="22">
        <f t="shared" ca="1" si="50"/>
        <v>45609</v>
      </c>
    </row>
    <row r="198" spans="4:38" x14ac:dyDescent="0.25">
      <c r="D198" s="6">
        <f ca="1"/>
        <v>45785</v>
      </c>
      <c r="E198" s="28" cm="1">
        <f t="array" aca="1" ref="E198" ca="1">_xll.FDS($E$7,"P_PRICE("&amp;D198&amp;",0,D,D)")</f>
        <v>93.94</v>
      </c>
      <c r="F198" s="29" cm="1">
        <f t="array" aca="1" ref="F198" ca="1">_xll.FDS($E$7,"P_BETA_LOCIDX("&amp;$AG198&amp;","&amp;$AL198&amp;",,"""&amp;$E$9&amp;""")")</f>
        <v>1.2705206</v>
      </c>
      <c r="G198" s="30">
        <f t="shared" ca="1" si="36"/>
        <v>-3.7861435247651523E-2</v>
      </c>
      <c r="H198" s="30">
        <f t="shared" ca="1" si="36"/>
        <v>-1.3151378638139789E-2</v>
      </c>
      <c r="I198" s="30">
        <f t="shared" ca="1" si="36"/>
        <v>6.9451839246273128E-3</v>
      </c>
      <c r="J198" s="30">
        <f t="shared" ca="1" si="34"/>
        <v>-3.0840581564504366E-3</v>
      </c>
      <c r="K198" s="30">
        <f t="shared" ca="1" si="37"/>
        <v>1.3557322243912383E-2</v>
      </c>
      <c r="L198" s="30">
        <f t="shared" ca="1" si="37"/>
        <v>4.1503869059595834E-2</v>
      </c>
      <c r="M198" s="30">
        <f t="shared" ca="1" si="37"/>
        <v>4.8204765530612564E-2</v>
      </c>
      <c r="N198" s="30">
        <f t="shared" ca="1" si="35"/>
        <v>-8.4699977578643865E-2</v>
      </c>
      <c r="O198" s="30">
        <f t="shared" ca="1" si="38"/>
        <v>-2.4304113003739136E-2</v>
      </c>
      <c r="P198" s="30">
        <f t="shared" ca="1" si="39"/>
        <v>2.8352490421456045E-2</v>
      </c>
      <c r="Q198" s="30">
        <f t="shared" ca="1" si="40"/>
        <v>5.5149949455239877E-2</v>
      </c>
      <c r="R198" s="30">
        <f t="shared" ca="1" si="41"/>
        <v>-8.7784035735094301E-2</v>
      </c>
      <c r="S198" s="9" cm="1">
        <f t="array" aca="1" ref="S198" ca="1">_xll.FDS($E$7,"P_PRICE("&amp;AG198&amp;",0,D,D)")</f>
        <v>93.94</v>
      </c>
      <c r="T198" s="9" cm="1">
        <f t="array" aca="1" ref="T198" ca="1">_xll.FDS($E$7,"P_PRICE("&amp;AH198&amp;",0,D,D)")</f>
        <v>96.28</v>
      </c>
      <c r="U198" s="9" cm="1">
        <f t="array" aca="1" ref="U198" ca="1">_xll.FDS($E$7,"P_PRICE("&amp;AI198&amp;",0,D,D)")</f>
        <v>91.35</v>
      </c>
      <c r="V198" s="9" cm="1">
        <f t="array" aca="1" ref="V198" ca="1">_xll.FDS($E$7,"P_PRICE("&amp;AJ198&amp;",0,D,D)")</f>
        <v>89.03</v>
      </c>
      <c r="W198" s="9" cm="1">
        <f t="array" aca="1" ref="W198" ca="1">_xll.FDS($E$7,"P_PRICE("&amp;AK198&amp;",0,D,D)")</f>
        <v>102.98</v>
      </c>
      <c r="X198" s="24">
        <f t="shared" ca="1" si="42"/>
        <v>1.0670682745256066E-2</v>
      </c>
      <c r="Y198" s="24">
        <f t="shared" ca="1" si="43"/>
        <v>3.2666821033516369E-2</v>
      </c>
      <c r="Z198" s="24">
        <f t="shared" ca="1" si="44"/>
        <v>3.7940955487547834E-2</v>
      </c>
      <c r="AA198" s="24">
        <f t="shared" ca="1" si="45"/>
        <v>-6.6665568097552974E-2</v>
      </c>
      <c r="AB198" s="9" cm="1">
        <f t="array" aca="1" ref="AB198" ca="1">_xll.FDS($E$9,"P_PRICE("&amp;AG198&amp;",0,D,D)")</f>
        <v>5663.94</v>
      </c>
      <c r="AC198" s="9" cm="1">
        <f t="array" aca="1" ref="AC198" ca="1">_xll.FDS($E$9,"P_PRICE("&amp;AH198&amp;",0,D,D)")</f>
        <v>5604.14</v>
      </c>
      <c r="AD198" s="9" cm="1">
        <f t="array" aca="1" ref="AD198" ca="1">_xll.FDS($E$9,"P_PRICE("&amp;AI198&amp;",0,D,D)")</f>
        <v>5484.77</v>
      </c>
      <c r="AE198" s="9" cm="1">
        <f t="array" aca="1" ref="AE198" ca="1">_xll.FDS($E$9,"P_PRICE("&amp;AJ198&amp;",0,D,D)")</f>
        <v>5456.9</v>
      </c>
      <c r="AF198" s="9" cm="1">
        <f t="array" aca="1" ref="AF198" ca="1">_xll.FDS($E$9,"P_PRICE("&amp;AK198&amp;",0,D,D)")</f>
        <v>6068.5</v>
      </c>
      <c r="AG198" s="20">
        <f t="shared" ca="1" si="51"/>
        <v>45785</v>
      </c>
      <c r="AH198" s="22">
        <f t="shared" ca="1" si="46"/>
        <v>45778</v>
      </c>
      <c r="AI198" s="22">
        <f t="shared" ca="1" si="47"/>
        <v>45771</v>
      </c>
      <c r="AJ198" s="22">
        <f t="shared" ca="1" si="48"/>
        <v>45756</v>
      </c>
      <c r="AK198" s="22">
        <f t="shared" ca="1" si="49"/>
        <v>45699</v>
      </c>
      <c r="AL198" s="22">
        <f t="shared" ca="1" si="50"/>
        <v>45608</v>
      </c>
    </row>
    <row r="199" spans="4:38" x14ac:dyDescent="0.25">
      <c r="D199" s="6">
        <f ca="1"/>
        <v>45784</v>
      </c>
      <c r="E199" s="28" cm="1">
        <f t="array" aca="1" ref="E199" ca="1">_xll.FDS($E$7,"P_PRICE("&amp;D199&amp;",0,D,D)")</f>
        <v>91.82</v>
      </c>
      <c r="F199" s="29" cm="1">
        <f t="array" aca="1" ref="F199" ca="1">_xll.FDS($E$7,"P_BETA_LOCIDX("&amp;$AG199&amp;","&amp;$AL199&amp;",,"""&amp;$E$9&amp;""")")</f>
        <v>1.2677716999999999</v>
      </c>
      <c r="G199" s="30">
        <f t="shared" ca="1" si="36"/>
        <v>-5.1892045458182254E-2</v>
      </c>
      <c r="H199" s="30">
        <f t="shared" ca="1" si="36"/>
        <v>-1.4568093055311031E-2</v>
      </c>
      <c r="I199" s="30">
        <f t="shared" ca="1" si="36"/>
        <v>-2.2250652180939717E-2</v>
      </c>
      <c r="J199" s="30">
        <f t="shared" ca="1" si="34"/>
        <v>-9.4810356524202832E-3</v>
      </c>
      <c r="K199" s="30">
        <f t="shared" ca="1" si="37"/>
        <v>1.4164105822885621E-2</v>
      </c>
      <c r="L199" s="30">
        <f t="shared" ca="1" si="37"/>
        <v>6.0234873604223409E-2</v>
      </c>
      <c r="M199" s="30">
        <f t="shared" ca="1" si="37"/>
        <v>0.16500111888909155</v>
      </c>
      <c r="N199" s="30">
        <f t="shared" ca="1" si="35"/>
        <v>-9.0940243861638709E-2</v>
      </c>
      <c r="O199" s="30">
        <f t="shared" ca="1" si="38"/>
        <v>-3.7727939635296637E-2</v>
      </c>
      <c r="P199" s="30">
        <f t="shared" ca="1" si="39"/>
        <v>4.5666780548912378E-2</v>
      </c>
      <c r="Q199" s="30">
        <f t="shared" ca="1" si="40"/>
        <v>0.14275046670815184</v>
      </c>
      <c r="R199" s="30">
        <f t="shared" ca="1" si="41"/>
        <v>-0.10042127951405899</v>
      </c>
      <c r="S199" s="9" cm="1">
        <f t="array" aca="1" ref="S199" ca="1">_xll.FDS($E$7,"P_PRICE("&amp;AG199&amp;",0,D,D)")</f>
        <v>91.82</v>
      </c>
      <c r="T199" s="9" cm="1">
        <f t="array" aca="1" ref="T199" ca="1">_xll.FDS($E$7,"P_PRICE("&amp;AH199&amp;",0,D,D)")</f>
        <v>95.42</v>
      </c>
      <c r="U199" s="9" cm="1">
        <f t="array" aca="1" ref="U199" ca="1">_xll.FDS($E$7,"P_PRICE("&amp;AI199&amp;",0,D,D)")</f>
        <v>87.81</v>
      </c>
      <c r="V199" s="9" cm="1">
        <f t="array" aca="1" ref="V199" ca="1">_xll.FDS($E$7,"P_PRICE("&amp;AJ199&amp;",0,D,D)")</f>
        <v>80.349999999999994</v>
      </c>
      <c r="W199" s="9" cm="1">
        <f t="array" aca="1" ref="W199" ca="1">_xll.FDS($E$7,"P_PRICE("&amp;AK199&amp;",0,D,D)")</f>
        <v>102.07</v>
      </c>
      <c r="X199" s="24">
        <f t="shared" ca="1" si="42"/>
        <v>1.117244202791845E-2</v>
      </c>
      <c r="Y199" s="24">
        <f t="shared" ca="1" si="43"/>
        <v>4.7512398016317459E-2</v>
      </c>
      <c r="Z199" s="24">
        <f t="shared" ca="1" si="44"/>
        <v>0.13015049861823824</v>
      </c>
      <c r="AA199" s="24">
        <f t="shared" ca="1" si="45"/>
        <v>-7.1732350439466908E-2</v>
      </c>
      <c r="AB199" s="9" cm="1">
        <f t="array" aca="1" ref="AB199" ca="1">_xll.FDS($E$9,"P_PRICE("&amp;AG199&amp;",0,D,D)")</f>
        <v>5631.28</v>
      </c>
      <c r="AC199" s="9" cm="1">
        <f t="array" aca="1" ref="AC199" ca="1">_xll.FDS($E$9,"P_PRICE("&amp;AH199&amp;",0,D,D)")</f>
        <v>5569.06</v>
      </c>
      <c r="AD199" s="9" cm="1">
        <f t="array" aca="1" ref="AD199" ca="1">_xll.FDS($E$9,"P_PRICE("&amp;AI199&amp;",0,D,D)")</f>
        <v>5375.86</v>
      </c>
      <c r="AE199" s="9" cm="1">
        <f t="array" aca="1" ref="AE199" ca="1">_xll.FDS($E$9,"P_PRICE("&amp;AJ199&amp;",0,D,D)")</f>
        <v>4982.7700000000004</v>
      </c>
      <c r="AF199" s="9" cm="1">
        <f t="array" aca="1" ref="AF199" ca="1">_xll.FDS($E$9,"P_PRICE("&amp;AK199&amp;",0,D,D)")</f>
        <v>6066.44</v>
      </c>
      <c r="AG199" s="20">
        <f t="shared" ca="1" si="51"/>
        <v>45784</v>
      </c>
      <c r="AH199" s="22">
        <f t="shared" ca="1" si="46"/>
        <v>45777</v>
      </c>
      <c r="AI199" s="22">
        <f t="shared" ca="1" si="47"/>
        <v>45770</v>
      </c>
      <c r="AJ199" s="22">
        <f t="shared" ca="1" si="48"/>
        <v>45755</v>
      </c>
      <c r="AK199" s="22">
        <f t="shared" ca="1" si="49"/>
        <v>45698</v>
      </c>
      <c r="AL199" s="22">
        <f t="shared" ca="1" si="50"/>
        <v>45607</v>
      </c>
    </row>
    <row r="200" spans="4:38" x14ac:dyDescent="0.25">
      <c r="D200" s="6">
        <f ca="1"/>
        <v>45783</v>
      </c>
      <c r="E200" s="28" cm="1">
        <f t="array" aca="1" ref="E200" ca="1">_xll.FDS($E$7,"P_PRICE("&amp;D200&amp;",0,D,D)")</f>
        <v>93.95</v>
      </c>
      <c r="F200" s="29" cm="1">
        <f t="array" aca="1" ref="F200" ca="1">_xll.FDS($E$7,"P_BETA_LOCIDX("&amp;$AG200&amp;","&amp;$AL200&amp;",,"""&amp;$E$9&amp;""")")</f>
        <v>1.2718598000000001</v>
      </c>
      <c r="G200" s="30">
        <f t="shared" ca="1" si="36"/>
        <v>-5.2964232496563214E-3</v>
      </c>
      <c r="H200" s="30">
        <f t="shared" ca="1" si="36"/>
        <v>1.9245425072317496E-2</v>
      </c>
      <c r="I200" s="30">
        <f t="shared" ca="1" si="36"/>
        <v>1.9892252300973357E-2</v>
      </c>
      <c r="J200" s="30">
        <f t="shared" ca="1" si="34"/>
        <v>-2.4130826585747195E-3</v>
      </c>
      <c r="K200" s="30">
        <f t="shared" ca="1" si="37"/>
        <v>1.0539307906193871E-2</v>
      </c>
      <c r="L200" s="30">
        <f t="shared" ca="1" si="37"/>
        <v>7.6764840909950421E-2</v>
      </c>
      <c r="M200" s="30">
        <f t="shared" ca="1" si="37"/>
        <v>0.13684254208464608</v>
      </c>
      <c r="N200" s="30">
        <f t="shared" ca="1" si="35"/>
        <v>-8.8452022818491224E-2</v>
      </c>
      <c r="O200" s="30">
        <f t="shared" ca="1" si="38"/>
        <v>5.2428846565375498E-3</v>
      </c>
      <c r="P200" s="30">
        <f t="shared" ca="1" si="39"/>
        <v>9.6010265982267917E-2</v>
      </c>
      <c r="Q200" s="30">
        <f t="shared" ca="1" si="40"/>
        <v>0.15673479438561944</v>
      </c>
      <c r="R200" s="30">
        <f t="shared" ca="1" si="41"/>
        <v>-9.0865105477065944E-2</v>
      </c>
      <c r="S200" s="9" cm="1">
        <f t="array" aca="1" ref="S200" ca="1">_xll.FDS($E$7,"P_PRICE("&amp;AG200&amp;",0,D,D)")</f>
        <v>93.95</v>
      </c>
      <c r="T200" s="9" cm="1">
        <f t="array" aca="1" ref="T200" ca="1">_xll.FDS($E$7,"P_PRICE("&amp;AH200&amp;",0,D,D)")</f>
        <v>93.46</v>
      </c>
      <c r="U200" s="9" cm="1">
        <f t="array" aca="1" ref="U200" ca="1">_xll.FDS($E$7,"P_PRICE("&amp;AI200&amp;",0,D,D)")</f>
        <v>85.72</v>
      </c>
      <c r="V200" s="9" cm="1">
        <f t="array" aca="1" ref="V200" ca="1">_xll.FDS($E$7,"P_PRICE("&amp;AJ200&amp;",0,D,D)")</f>
        <v>81.22</v>
      </c>
      <c r="W200" s="9" cm="1">
        <f t="array" aca="1" ref="W200" ca="1">_xll.FDS($E$7,"P_PRICE("&amp;AK200&amp;",0,D,D)")</f>
        <v>103.34</v>
      </c>
      <c r="X200" s="24">
        <f t="shared" ca="1" si="42"/>
        <v>8.286532765792165E-3</v>
      </c>
      <c r="Y200" s="24">
        <f t="shared" ca="1" si="43"/>
        <v>6.0356370183215491E-2</v>
      </c>
      <c r="Z200" s="24">
        <f t="shared" ca="1" si="44"/>
        <v>0.10759247370240499</v>
      </c>
      <c r="AA200" s="24">
        <f t="shared" ca="1" si="45"/>
        <v>-6.9545419092962302E-2</v>
      </c>
      <c r="AB200" s="9" cm="1">
        <f t="array" aca="1" ref="AB200" ca="1">_xll.FDS($E$9,"P_PRICE("&amp;AG200&amp;",0,D,D)")</f>
        <v>5606.91</v>
      </c>
      <c r="AC200" s="9" cm="1">
        <f t="array" aca="1" ref="AC200" ca="1">_xll.FDS($E$9,"P_PRICE("&amp;AH200&amp;",0,D,D)")</f>
        <v>5560.83</v>
      </c>
      <c r="AD200" s="9" cm="1">
        <f t="array" aca="1" ref="AD200" ca="1">_xll.FDS($E$9,"P_PRICE("&amp;AI200&amp;",0,D,D)")</f>
        <v>5287.76</v>
      </c>
      <c r="AE200" s="9" cm="1">
        <f t="array" aca="1" ref="AE200" ca="1">_xll.FDS($E$9,"P_PRICE("&amp;AJ200&amp;",0,D,D)")</f>
        <v>5062.25</v>
      </c>
      <c r="AF200" s="9" cm="1">
        <f t="array" aca="1" ref="AF200" ca="1">_xll.FDS($E$9,"P_PRICE("&amp;AK200&amp;",0,D,D)")</f>
        <v>6025.99</v>
      </c>
      <c r="AG200" s="20">
        <f t="shared" ca="1" si="51"/>
        <v>45783</v>
      </c>
      <c r="AH200" s="22">
        <f t="shared" ca="1" si="46"/>
        <v>45776</v>
      </c>
      <c r="AI200" s="22">
        <f t="shared" ca="1" si="47"/>
        <v>45769</v>
      </c>
      <c r="AJ200" s="22">
        <f t="shared" ca="1" si="48"/>
        <v>45754</v>
      </c>
      <c r="AK200" s="22">
        <f t="shared" ca="1" si="49"/>
        <v>45695</v>
      </c>
      <c r="AL200" s="22">
        <f t="shared" ca="1" si="50"/>
        <v>45604</v>
      </c>
    </row>
    <row r="201" spans="4:38" x14ac:dyDescent="0.25">
      <c r="D201" s="6">
        <f ca="1"/>
        <v>45782</v>
      </c>
      <c r="E201" s="28" cm="1">
        <f t="array" aca="1" ref="E201" ca="1">_xll.FDS($E$7,"P_PRICE("&amp;D201&amp;",0,D,D)")</f>
        <v>98.25</v>
      </c>
      <c r="F201" s="29" cm="1">
        <f t="array" aca="1" ref="F201" ca="1">_xll.FDS($E$7,"P_BETA_LOCIDX("&amp;$AG201&amp;","&amp;$AL201&amp;",,"""&amp;$E$9&amp;""")")</f>
        <v>1.2620817</v>
      </c>
      <c r="G201" s="30">
        <f t="shared" ca="1" si="36"/>
        <v>2.8232193754662297E-2</v>
      </c>
      <c r="H201" s="30">
        <f t="shared" ca="1" si="36"/>
        <v>6.7461325606364267E-2</v>
      </c>
      <c r="I201" s="30">
        <f t="shared" ca="1" si="36"/>
        <v>7.1569067391169944E-2</v>
      </c>
      <c r="J201" s="30">
        <f t="shared" ca="1" si="34"/>
        <v>2.3892623946408634E-2</v>
      </c>
      <c r="K201" s="30">
        <f t="shared" ca="1" si="37"/>
        <v>2.776522670965403E-2</v>
      </c>
      <c r="L201" s="30">
        <f t="shared" ca="1" si="37"/>
        <v>0.12042405705594987</v>
      </c>
      <c r="M201" s="30">
        <f t="shared" ca="1" si="37"/>
        <v>0.14334375565816851</v>
      </c>
      <c r="N201" s="30">
        <f t="shared" ca="1" si="35"/>
        <v>-8.9868477164395125E-2</v>
      </c>
      <c r="O201" s="30">
        <f t="shared" ca="1" si="38"/>
        <v>5.5997420464316328E-2</v>
      </c>
      <c r="P201" s="30">
        <f t="shared" ca="1" si="39"/>
        <v>0.18788538266231414</v>
      </c>
      <c r="Q201" s="30">
        <f t="shared" ca="1" si="40"/>
        <v>0.21491282304933845</v>
      </c>
      <c r="R201" s="30">
        <f t="shared" ca="1" si="41"/>
        <v>-6.5975853217986491E-2</v>
      </c>
      <c r="S201" s="9" cm="1">
        <f t="array" aca="1" ref="S201" ca="1">_xll.FDS($E$7,"P_PRICE("&amp;AG201&amp;",0,D,D)")</f>
        <v>98.25</v>
      </c>
      <c r="T201" s="9" cm="1">
        <f t="array" aca="1" ref="T201" ca="1">_xll.FDS($E$7,"P_PRICE("&amp;AH201&amp;",0,D,D)")</f>
        <v>93.04</v>
      </c>
      <c r="U201" s="9" cm="1">
        <f t="array" aca="1" ref="U201" ca="1">_xll.FDS($E$7,"P_PRICE("&amp;AI201&amp;",0,D,D)")</f>
        <v>82.71</v>
      </c>
      <c r="V201" s="9" cm="1">
        <f t="array" aca="1" ref="V201" ca="1">_xll.FDS($E$7,"P_PRICE("&amp;AJ201&amp;",0,D,D)")</f>
        <v>80.87</v>
      </c>
      <c r="W201" s="9" cm="1">
        <f t="array" aca="1" ref="W201" ca="1">_xll.FDS($E$7,"P_PRICE("&amp;AK201&amp;",0,D,D)")</f>
        <v>105.19</v>
      </c>
      <c r="X201" s="24">
        <f t="shared" ca="1" si="42"/>
        <v>2.1999547818222887E-2</v>
      </c>
      <c r="Y201" s="24">
        <f t="shared" ca="1" si="43"/>
        <v>9.5417005932302068E-2</v>
      </c>
      <c r="Z201" s="24">
        <f t="shared" ca="1" si="44"/>
        <v>0.11357723961782229</v>
      </c>
      <c r="AA201" s="24">
        <f t="shared" ca="1" si="45"/>
        <v>-7.1206544841269093E-2</v>
      </c>
      <c r="AB201" s="9" cm="1">
        <f t="array" aca="1" ref="AB201" ca="1">_xll.FDS($E$9,"P_PRICE("&amp;AG201&amp;",0,D,D)")</f>
        <v>5650.38</v>
      </c>
      <c r="AC201" s="9" cm="1">
        <f t="array" aca="1" ref="AC201" ca="1">_xll.FDS($E$9,"P_PRICE("&amp;AH201&amp;",0,D,D)")</f>
        <v>5528.75</v>
      </c>
      <c r="AD201" s="9" cm="1">
        <f t="array" aca="1" ref="AD201" ca="1">_xll.FDS($E$9,"P_PRICE("&amp;AI201&amp;",0,D,D)")</f>
        <v>5158.2</v>
      </c>
      <c r="AE201" s="9" cm="1">
        <f t="array" aca="1" ref="AE201" ca="1">_xll.FDS($E$9,"P_PRICE("&amp;AJ201&amp;",0,D,D)")</f>
        <v>5074.08</v>
      </c>
      <c r="AF201" s="9" cm="1">
        <f t="array" aca="1" ref="AF201" ca="1">_xll.FDS($E$9,"P_PRICE("&amp;AK201&amp;",0,D,D)")</f>
        <v>6083.57</v>
      </c>
      <c r="AG201" s="20">
        <f t="shared" ca="1" si="51"/>
        <v>45782</v>
      </c>
      <c r="AH201" s="22">
        <f t="shared" ca="1" si="46"/>
        <v>45775</v>
      </c>
      <c r="AI201" s="22">
        <f t="shared" ca="1" si="47"/>
        <v>45768</v>
      </c>
      <c r="AJ201" s="22">
        <f t="shared" ca="1" si="48"/>
        <v>45751</v>
      </c>
      <c r="AK201" s="22">
        <f t="shared" ca="1" si="49"/>
        <v>45694</v>
      </c>
      <c r="AL201" s="22">
        <f t="shared" ca="1" si="50"/>
        <v>45603</v>
      </c>
    </row>
    <row r="202" spans="4:38" x14ac:dyDescent="0.25">
      <c r="D202" s="6">
        <f ca="1"/>
        <v>45779</v>
      </c>
      <c r="E202" s="28" cm="1">
        <f t="array" aca="1" ref="E202" ca="1">_xll.FDS($E$7,"P_PRICE("&amp;D202&amp;",0,D,D)")</f>
        <v>98.51</v>
      </c>
      <c r="F202" s="29" cm="1">
        <f t="array" aca="1" ref="F202" ca="1">_xll.FDS($E$7,"P_BETA_LOCIDX("&amp;$AG202&amp;","&amp;$AL202&amp;",,"""&amp;$E$9&amp;""")")</f>
        <v>1.2623476</v>
      </c>
      <c r="G202" s="30">
        <f t="shared" ca="1" si="36"/>
        <v>2.8775364519372369E-2</v>
      </c>
      <c r="H202" s="30">
        <f t="shared" ca="1" si="36"/>
        <v>6.5827699604476334E-2</v>
      </c>
      <c r="I202" s="30">
        <f t="shared" ca="1" si="36"/>
        <v>7.2950688956317206E-2</v>
      </c>
      <c r="J202" s="30">
        <f t="shared" ca="1" si="34"/>
        <v>5.1860802393243671E-2</v>
      </c>
      <c r="K202" s="30">
        <f t="shared" ca="1" si="37"/>
        <v>3.6888850106330785E-2</v>
      </c>
      <c r="L202" s="30">
        <f t="shared" ca="1" si="37"/>
        <v>9.6532182401423458E-2</v>
      </c>
      <c r="M202" s="30">
        <f t="shared" ca="1" si="37"/>
        <v>6.7871546133434019E-2</v>
      </c>
      <c r="N202" s="30">
        <f t="shared" ca="1" si="35"/>
        <v>-7.805692734381689E-2</v>
      </c>
      <c r="O202" s="30">
        <f t="shared" ca="1" si="38"/>
        <v>6.5664214625703154E-2</v>
      </c>
      <c r="P202" s="30">
        <f t="shared" ca="1" si="39"/>
        <v>0.16235988200589979</v>
      </c>
      <c r="Q202" s="30">
        <f t="shared" ca="1" si="40"/>
        <v>0.14082223508975122</v>
      </c>
      <c r="R202" s="30">
        <f t="shared" ca="1" si="41"/>
        <v>-2.6196124950573219E-2</v>
      </c>
      <c r="S202" s="9" cm="1">
        <f t="array" aca="1" ref="S202" ca="1">_xll.FDS($E$7,"P_PRICE("&amp;AG202&amp;",0,D,D)")</f>
        <v>98.51</v>
      </c>
      <c r="T202" s="9" cm="1">
        <f t="array" aca="1" ref="T202" ca="1">_xll.FDS($E$7,"P_PRICE("&amp;AH202&amp;",0,D,D)")</f>
        <v>92.44</v>
      </c>
      <c r="U202" s="9" cm="1">
        <f t="array" aca="1" ref="U202" ca="1">_xll.FDS($E$7,"P_PRICE("&amp;AI202&amp;",0,D,D)")</f>
        <v>84.75</v>
      </c>
      <c r="V202" s="9" cm="1">
        <f t="array" aca="1" ref="V202" ca="1">_xll.FDS($E$7,"P_PRICE("&amp;AJ202&amp;",0,D,D)")</f>
        <v>86.35</v>
      </c>
      <c r="W202" s="9" cm="1">
        <f t="array" aca="1" ref="W202" ca="1">_xll.FDS($E$7,"P_PRICE("&amp;AK202&amp;",0,D,D)")</f>
        <v>101.16</v>
      </c>
      <c r="X202" s="24">
        <f t="shared" ca="1" si="42"/>
        <v>2.9222418695397989E-2</v>
      </c>
      <c r="Y202" s="24">
        <f t="shared" ca="1" si="43"/>
        <v>7.6470365532776752E-2</v>
      </c>
      <c r="Z202" s="24">
        <f t="shared" ca="1" si="44"/>
        <v>5.3766130765752651E-2</v>
      </c>
      <c r="AA202" s="24">
        <f t="shared" ca="1" si="45"/>
        <v>-6.1834733431439082E-2</v>
      </c>
      <c r="AB202" s="9" cm="1">
        <f t="array" aca="1" ref="AB202" ca="1">_xll.FDS($E$9,"P_PRICE("&amp;AG202&amp;",0,D,D)")</f>
        <v>5686.67</v>
      </c>
      <c r="AC202" s="9" cm="1">
        <f t="array" aca="1" ref="AC202" ca="1">_xll.FDS($E$9,"P_PRICE("&amp;AH202&amp;",0,D,D)")</f>
        <v>5525.21</v>
      </c>
      <c r="AD202" s="9" cm="1">
        <f t="array" aca="1" ref="AD202" ca="1">_xll.FDS($E$9,"P_PRICE("&amp;AI202&amp;",0,D,D)")</f>
        <v>5282.7</v>
      </c>
      <c r="AE202" s="9" cm="1">
        <f t="array" aca="1" ref="AE202" ca="1">_xll.FDS($E$9,"P_PRICE("&amp;AJ202&amp;",0,D,D)")</f>
        <v>5396.52</v>
      </c>
      <c r="AF202" s="9" cm="1">
        <f t="array" aca="1" ref="AF202" ca="1">_xll.FDS($E$9,"P_PRICE("&amp;AK202&amp;",0,D,D)")</f>
        <v>6061.48</v>
      </c>
      <c r="AG202" s="20">
        <f t="shared" ca="1" si="51"/>
        <v>45779</v>
      </c>
      <c r="AH202" s="22">
        <f t="shared" ca="1" si="46"/>
        <v>45772</v>
      </c>
      <c r="AI202" s="22">
        <f t="shared" ca="1" si="47"/>
        <v>45764</v>
      </c>
      <c r="AJ202" s="22">
        <f t="shared" ca="1" si="48"/>
        <v>45750</v>
      </c>
      <c r="AK202" s="22">
        <f t="shared" ca="1" si="49"/>
        <v>45693</v>
      </c>
      <c r="AL202" s="22">
        <f t="shared" ca="1" si="50"/>
        <v>45602</v>
      </c>
    </row>
    <row r="203" spans="4:38" x14ac:dyDescent="0.25">
      <c r="D203" s="6">
        <f ca="1"/>
        <v>45778</v>
      </c>
      <c r="E203" s="28" cm="1">
        <f t="array" aca="1" ref="E203" ca="1">_xll.FDS($E$7,"P_PRICE("&amp;D203&amp;",0,D,D)")</f>
        <v>96.28</v>
      </c>
      <c r="F203" s="29" cm="1">
        <f t="array" aca="1" ref="F203" ca="1">_xll.FDS($E$7,"P_BETA_LOCIDX("&amp;$AG203&amp;","&amp;$AL203&amp;",,"""&amp;$E$9&amp;""")")</f>
        <v>1.2645713000000001</v>
      </c>
      <c r="G203" s="30">
        <f t="shared" ca="1" si="36"/>
        <v>2.6446247378916543E-2</v>
      </c>
      <c r="H203" s="30">
        <f t="shared" ca="1" si="36"/>
        <v>5.3713228968295779E-2</v>
      </c>
      <c r="I203" s="30">
        <f t="shared" ca="1" si="36"/>
        <v>7.724382979159912E-2</v>
      </c>
      <c r="J203" s="30">
        <f t="shared" ca="1" si="34"/>
        <v>6.7213906045645672E-2</v>
      </c>
      <c r="K203" s="30">
        <f t="shared" ca="1" si="37"/>
        <v>2.7522006589337455E-2</v>
      </c>
      <c r="L203" s="30">
        <f t="shared" ca="1" si="37"/>
        <v>7.872619704911199E-2</v>
      </c>
      <c r="M203" s="30">
        <f t="shared" ca="1" si="37"/>
        <v>-1.4902441730250753E-2</v>
      </c>
      <c r="N203" s="30">
        <f t="shared" ca="1" si="35"/>
        <v>-9.0842341295620271E-2</v>
      </c>
      <c r="O203" s="30">
        <f t="shared" ca="1" si="38"/>
        <v>5.3968253968253999E-2</v>
      </c>
      <c r="P203" s="30">
        <f t="shared" ca="1" si="39"/>
        <v>0.13243942601740777</v>
      </c>
      <c r="Q203" s="30">
        <f t="shared" ca="1" si="40"/>
        <v>6.2341388061348368E-2</v>
      </c>
      <c r="R203" s="30">
        <f t="shared" ca="1" si="41"/>
        <v>-2.36284352499746E-2</v>
      </c>
      <c r="S203" s="9" cm="1">
        <f t="array" aca="1" ref="S203" ca="1">_xll.FDS($E$7,"P_PRICE("&amp;AG203&amp;",0,D,D)")</f>
        <v>96.28</v>
      </c>
      <c r="T203" s="9" cm="1">
        <f t="array" aca="1" ref="T203" ca="1">_xll.FDS($E$7,"P_PRICE("&amp;AH203&amp;",0,D,D)")</f>
        <v>91.35</v>
      </c>
      <c r="U203" s="9" cm="1">
        <f t="array" aca="1" ref="U203" ca="1">_xll.FDS($E$7,"P_PRICE("&amp;AI203&amp;",0,D,D)")</f>
        <v>85.02</v>
      </c>
      <c r="V203" s="9" cm="1">
        <f t="array" aca="1" ref="V203" ca="1">_xll.FDS($E$7,"P_PRICE("&amp;AJ203&amp;",0,D,D)")</f>
        <v>90.63</v>
      </c>
      <c r="W203" s="9" cm="1">
        <f t="array" aca="1" ref="W203" ca="1">_xll.FDS($E$7,"P_PRICE("&amp;AK203&amp;",0,D,D)")</f>
        <v>98.61</v>
      </c>
      <c r="X203" s="24">
        <f t="shared" ca="1" si="42"/>
        <v>2.1763902588440409E-2</v>
      </c>
      <c r="Y203" s="24">
        <f t="shared" ca="1" si="43"/>
        <v>6.225524574937924E-2</v>
      </c>
      <c r="Z203" s="24">
        <f t="shared" ca="1" si="44"/>
        <v>-1.1784580063022743E-2</v>
      </c>
      <c r="AA203" s="24">
        <f t="shared" ca="1" si="45"/>
        <v>-7.1836472404221308E-2</v>
      </c>
      <c r="AB203" s="9" cm="1">
        <f t="array" aca="1" ref="AB203" ca="1">_xll.FDS($E$9,"P_PRICE("&amp;AG203&amp;",0,D,D)")</f>
        <v>5604.14</v>
      </c>
      <c r="AC203" s="9" cm="1">
        <f t="array" aca="1" ref="AC203" ca="1">_xll.FDS($E$9,"P_PRICE("&amp;AH203&amp;",0,D,D)")</f>
        <v>5484.77</v>
      </c>
      <c r="AD203" s="9" cm="1">
        <f t="array" aca="1" ref="AD203" ca="1">_xll.FDS($E$9,"P_PRICE("&amp;AI203&amp;",0,D,D)")</f>
        <v>5275.7</v>
      </c>
      <c r="AE203" s="9" cm="1">
        <f t="array" aca="1" ref="AE203" ca="1">_xll.FDS($E$9,"P_PRICE("&amp;AJ203&amp;",0,D,D)")</f>
        <v>5670.97</v>
      </c>
      <c r="AF203" s="9" cm="1">
        <f t="array" aca="1" ref="AF203" ca="1">_xll.FDS($E$9,"P_PRICE("&amp;AK203&amp;",0,D,D)")</f>
        <v>6037.88</v>
      </c>
      <c r="AG203" s="20">
        <f t="shared" ca="1" si="51"/>
        <v>45778</v>
      </c>
      <c r="AH203" s="22">
        <f t="shared" ca="1" si="46"/>
        <v>45771</v>
      </c>
      <c r="AI203" s="22">
        <f t="shared" ca="1" si="47"/>
        <v>45763</v>
      </c>
      <c r="AJ203" s="22">
        <f t="shared" ca="1" si="48"/>
        <v>45749</v>
      </c>
      <c r="AK203" s="22">
        <f t="shared" ca="1" si="49"/>
        <v>45692</v>
      </c>
      <c r="AL203" s="22">
        <f t="shared" ca="1" si="50"/>
        <v>45601</v>
      </c>
    </row>
    <row r="204" spans="4:38" x14ac:dyDescent="0.25">
      <c r="D204" s="6">
        <f ca="1"/>
        <v>45777</v>
      </c>
      <c r="E204" s="28" cm="1">
        <f t="array" aca="1" ref="E204" ca="1">_xll.FDS($E$7,"P_PRICE("&amp;D204&amp;",0,D,D)")</f>
        <v>95.42</v>
      </c>
      <c r="F204" s="29" cm="1">
        <f t="array" aca="1" ref="F204" ca="1">_xll.FDS($E$7,"P_BETA_LOCIDX("&amp;$AG204&amp;","&amp;$AL204&amp;",,"""&amp;$E$9&amp;""")")</f>
        <v>1.2654859000000001</v>
      </c>
      <c r="G204" s="30">
        <f t="shared" ca="1" si="36"/>
        <v>4.1184805126337459E-2</v>
      </c>
      <c r="H204" s="30">
        <f t="shared" ca="1" si="36"/>
        <v>6.974626396760028E-2</v>
      </c>
      <c r="I204" s="30">
        <f t="shared" ca="1" si="36"/>
        <v>8.8324887416982564E-2</v>
      </c>
      <c r="J204" s="30">
        <f t="shared" ca="1" si="34"/>
        <v>7.0102768330279036E-2</v>
      </c>
      <c r="K204" s="30">
        <f t="shared" ca="1" si="37"/>
        <v>4.5479583895414094E-2</v>
      </c>
      <c r="L204" s="30">
        <f t="shared" ca="1" si="37"/>
        <v>4.0434073437867903E-2</v>
      </c>
      <c r="M204" s="30">
        <f t="shared" ca="1" si="37"/>
        <v>-1.4380036544725906E-2</v>
      </c>
      <c r="N204" s="30">
        <f t="shared" ca="1" si="35"/>
        <v>-8.9827444722306943E-2</v>
      </c>
      <c r="O204" s="30">
        <f t="shared" ca="1" si="38"/>
        <v>8.6664389021751553E-2</v>
      </c>
      <c r="P204" s="30">
        <f t="shared" ca="1" si="39"/>
        <v>0.11018033740546818</v>
      </c>
      <c r="Q204" s="30">
        <f t="shared" ca="1" si="40"/>
        <v>7.3944850872256662E-2</v>
      </c>
      <c r="R204" s="30">
        <f t="shared" ca="1" si="41"/>
        <v>-1.9724676392027907E-2</v>
      </c>
      <c r="S204" s="9" cm="1">
        <f t="array" aca="1" ref="S204" ca="1">_xll.FDS($E$7,"P_PRICE("&amp;AG204&amp;",0,D,D)")</f>
        <v>95.42</v>
      </c>
      <c r="T204" s="9" cm="1">
        <f t="array" aca="1" ref="T204" ca="1">_xll.FDS($E$7,"P_PRICE("&amp;AH204&amp;",0,D,D)")</f>
        <v>87.81</v>
      </c>
      <c r="U204" s="9" cm="1">
        <f t="array" aca="1" ref="U204" ca="1">_xll.FDS($E$7,"P_PRICE("&amp;AI204&amp;",0,D,D)")</f>
        <v>85.95</v>
      </c>
      <c r="V204" s="9" cm="1">
        <f t="array" aca="1" ref="V204" ca="1">_xll.FDS($E$7,"P_PRICE("&amp;AJ204&amp;",0,D,D)")</f>
        <v>88.85</v>
      </c>
      <c r="W204" s="9" cm="1">
        <f t="array" aca="1" ref="W204" ca="1">_xll.FDS($E$7,"P_PRICE("&amp;AK204&amp;",0,D,D)")</f>
        <v>97.34</v>
      </c>
      <c r="X204" s="24">
        <f t="shared" ca="1" si="42"/>
        <v>3.5938435896768262E-2</v>
      </c>
      <c r="Y204" s="24">
        <f t="shared" ca="1" si="43"/>
        <v>3.1951421535291624E-2</v>
      </c>
      <c r="Z204" s="24">
        <f t="shared" ca="1" si="44"/>
        <v>-1.1363253075143631E-2</v>
      </c>
      <c r="AA204" s="24">
        <f t="shared" ca="1" si="45"/>
        <v>-7.0982572561501422E-2</v>
      </c>
      <c r="AB204" s="9" cm="1">
        <f t="array" aca="1" ref="AB204" ca="1">_xll.FDS($E$9,"P_PRICE("&amp;AG204&amp;",0,D,D)")</f>
        <v>5569.06</v>
      </c>
      <c r="AC204" s="9" cm="1">
        <f t="array" aca="1" ref="AC204" ca="1">_xll.FDS($E$9,"P_PRICE("&amp;AH204&amp;",0,D,D)")</f>
        <v>5375.86</v>
      </c>
      <c r="AD204" s="9" cm="1">
        <f t="array" aca="1" ref="AD204" ca="1">_xll.FDS($E$9,"P_PRICE("&amp;AI204&amp;",0,D,D)")</f>
        <v>5396.63</v>
      </c>
      <c r="AE204" s="9" cm="1">
        <f t="array" aca="1" ref="AE204" ca="1">_xll.FDS($E$9,"P_PRICE("&amp;AJ204&amp;",0,D,D)")</f>
        <v>5633.07</v>
      </c>
      <c r="AF204" s="9" cm="1">
        <f t="array" aca="1" ref="AF204" ca="1">_xll.FDS($E$9,"P_PRICE("&amp;AK204&amp;",0,D,D)")</f>
        <v>5994.57</v>
      </c>
      <c r="AG204" s="20">
        <f t="shared" ca="1" si="51"/>
        <v>45777</v>
      </c>
      <c r="AH204" s="22">
        <f t="shared" ca="1" si="46"/>
        <v>45770</v>
      </c>
      <c r="AI204" s="22">
        <f t="shared" ca="1" si="47"/>
        <v>45762</v>
      </c>
      <c r="AJ204" s="22">
        <f t="shared" ca="1" si="48"/>
        <v>45748</v>
      </c>
      <c r="AK204" s="22">
        <f t="shared" ca="1" si="49"/>
        <v>45691</v>
      </c>
      <c r="AL204" s="22">
        <f t="shared" ca="1" si="50"/>
        <v>45600</v>
      </c>
    </row>
    <row r="205" spans="4:38" x14ac:dyDescent="0.25">
      <c r="D205" s="6">
        <f ca="1"/>
        <v>45776</v>
      </c>
      <c r="E205" s="28" cm="1">
        <f t="array" aca="1" ref="E205" ca="1">_xll.FDS($E$7,"P_PRICE("&amp;D205&amp;",0,D,D)")</f>
        <v>93.46</v>
      </c>
      <c r="F205" s="29" cm="1">
        <f t="array" aca="1" ref="F205" ca="1">_xll.FDS($E$7,"P_BETA_LOCIDX("&amp;$AG205&amp;","&amp;$AL205&amp;",,"""&amp;$E$9&amp;""")")</f>
        <v>1.2642058</v>
      </c>
      <c r="G205" s="30">
        <f t="shared" ca="1" si="36"/>
        <v>2.5007984477512707E-2</v>
      </c>
      <c r="H205" s="30">
        <f t="shared" ca="1" si="36"/>
        <v>5.3316783518869405E-2</v>
      </c>
      <c r="I205" s="30">
        <f t="shared" ca="1" si="36"/>
        <v>7.3901135749818006E-2</v>
      </c>
      <c r="J205" s="30">
        <f t="shared" ca="1" si="34"/>
        <v>4.4149502764599002E-2</v>
      </c>
      <c r="K205" s="30">
        <f t="shared" ca="1" si="37"/>
        <v>6.5285995923793833E-2</v>
      </c>
      <c r="L205" s="30">
        <f t="shared" ca="1" si="37"/>
        <v>3.6214575772340517E-2</v>
      </c>
      <c r="M205" s="30">
        <f t="shared" ca="1" si="37"/>
        <v>-1.149349678198815E-2</v>
      </c>
      <c r="N205" s="30">
        <f t="shared" ca="1" si="35"/>
        <v>-0.10039508491142329</v>
      </c>
      <c r="O205" s="30">
        <f t="shared" ca="1" si="38"/>
        <v>9.0293980401306539E-2</v>
      </c>
      <c r="P205" s="30">
        <f t="shared" ca="1" si="39"/>
        <v>8.9531359291209922E-2</v>
      </c>
      <c r="Q205" s="30">
        <f t="shared" ca="1" si="40"/>
        <v>6.2407638967829859E-2</v>
      </c>
      <c r="R205" s="30">
        <f t="shared" ca="1" si="41"/>
        <v>-5.6245582146824291E-2</v>
      </c>
      <c r="S205" s="9" cm="1">
        <f t="array" aca="1" ref="S205" ca="1">_xll.FDS($E$7,"P_PRICE("&amp;AG205&amp;",0,D,D)")</f>
        <v>93.46</v>
      </c>
      <c r="T205" s="9" cm="1">
        <f t="array" aca="1" ref="T205" ca="1">_xll.FDS($E$7,"P_PRICE("&amp;AH205&amp;",0,D,D)")</f>
        <v>85.72</v>
      </c>
      <c r="U205" s="9" cm="1">
        <f t="array" aca="1" ref="U205" ca="1">_xll.FDS($E$7,"P_PRICE("&amp;AI205&amp;",0,D,D)")</f>
        <v>85.78</v>
      </c>
      <c r="V205" s="9" cm="1">
        <f t="array" aca="1" ref="V205" ca="1">_xll.FDS($E$7,"P_PRICE("&amp;AJ205&amp;",0,D,D)")</f>
        <v>87.97</v>
      </c>
      <c r="W205" s="9" cm="1">
        <f t="array" aca="1" ref="W205" ca="1">_xll.FDS($E$7,"P_PRICE("&amp;AK205&amp;",0,D,D)")</f>
        <v>99.03</v>
      </c>
      <c r="X205" s="24">
        <f t="shared" ca="1" si="42"/>
        <v>5.1641905078899208E-2</v>
      </c>
      <c r="Y205" s="24">
        <f t="shared" ca="1" si="43"/>
        <v>2.8646107914028329E-2</v>
      </c>
      <c r="Z205" s="24">
        <f t="shared" ca="1" si="44"/>
        <v>-9.0914760729527977E-3</v>
      </c>
      <c r="AA205" s="24">
        <f t="shared" ca="1" si="45"/>
        <v>-7.9413561392791654E-2</v>
      </c>
      <c r="AB205" s="9" cm="1">
        <f t="array" aca="1" ref="AB205" ca="1">_xll.FDS($E$9,"P_PRICE("&amp;AG205&amp;",0,D,D)")</f>
        <v>5560.83</v>
      </c>
      <c r="AC205" s="9" cm="1">
        <f t="array" aca="1" ref="AC205" ca="1">_xll.FDS($E$9,"P_PRICE("&amp;AH205&amp;",0,D,D)")</f>
        <v>5287.76</v>
      </c>
      <c r="AD205" s="9" cm="1">
        <f t="array" aca="1" ref="AD205" ca="1">_xll.FDS($E$9,"P_PRICE("&amp;AI205&amp;",0,D,D)")</f>
        <v>5405.97</v>
      </c>
      <c r="AE205" s="9" cm="1">
        <f t="array" aca="1" ref="AE205" ca="1">_xll.FDS($E$9,"P_PRICE("&amp;AJ205&amp;",0,D,D)")</f>
        <v>5611.85</v>
      </c>
      <c r="AF205" s="9" cm="1">
        <f t="array" aca="1" ref="AF205" ca="1">_xll.FDS($E$9,"P_PRICE("&amp;AK205&amp;",0,D,D)")</f>
        <v>6040.53</v>
      </c>
      <c r="AG205" s="20">
        <f t="shared" ca="1" si="51"/>
        <v>45776</v>
      </c>
      <c r="AH205" s="22">
        <f t="shared" ca="1" si="46"/>
        <v>45769</v>
      </c>
      <c r="AI205" s="22">
        <f t="shared" ca="1" si="47"/>
        <v>45761</v>
      </c>
      <c r="AJ205" s="22">
        <f t="shared" ca="1" si="48"/>
        <v>45747</v>
      </c>
      <c r="AK205" s="22">
        <f t="shared" ca="1" si="49"/>
        <v>45688</v>
      </c>
      <c r="AL205" s="22">
        <f t="shared" ca="1" si="50"/>
        <v>45597</v>
      </c>
    </row>
    <row r="206" spans="4:38" x14ac:dyDescent="0.25">
      <c r="D206" s="6">
        <f ca="1"/>
        <v>45775</v>
      </c>
      <c r="E206" s="28" cm="1">
        <f t="array" aca="1" ref="E206" ca="1">_xll.FDS($E$7,"P_PRICE("&amp;D206&amp;",0,D,D)")</f>
        <v>93.04</v>
      </c>
      <c r="F206" s="29" cm="1">
        <f t="array" aca="1" ref="F206" ca="1">_xll.FDS($E$7,"P_BETA_LOCIDX("&amp;$AG206&amp;","&amp;$AL206&amp;",,"""&amp;$E$9&amp;""")")</f>
        <v>1.2535596</v>
      </c>
      <c r="G206" s="30">
        <f t="shared" ca="1" si="36"/>
        <v>3.4842153743164531E-2</v>
      </c>
      <c r="H206" s="30">
        <f t="shared" ca="1" si="36"/>
        <v>5.9290627169092829E-2</v>
      </c>
      <c r="I206" s="30">
        <f t="shared" ca="1" si="36"/>
        <v>6.7316000746445837E-2</v>
      </c>
      <c r="J206" s="30">
        <f t="shared" ca="1" si="34"/>
        <v>4.4355441182801408E-2</v>
      </c>
      <c r="K206" s="30">
        <f t="shared" ca="1" si="37"/>
        <v>9.0052054937768952E-2</v>
      </c>
      <c r="L206" s="30">
        <f t="shared" ca="1" si="37"/>
        <v>3.865603320381273E-2</v>
      </c>
      <c r="M206" s="30">
        <f t="shared" ca="1" si="37"/>
        <v>-1.1722626569000801E-2</v>
      </c>
      <c r="N206" s="30">
        <f t="shared" ca="1" si="35"/>
        <v>-0.11199748948423446</v>
      </c>
      <c r="O206" s="30">
        <f t="shared" ca="1" si="38"/>
        <v>0.12489420868093348</v>
      </c>
      <c r="P206" s="30">
        <f t="shared" ca="1" si="39"/>
        <v>9.7946660372905558E-2</v>
      </c>
      <c r="Q206" s="30">
        <f t="shared" ca="1" si="40"/>
        <v>5.5593374177445032E-2</v>
      </c>
      <c r="R206" s="30">
        <f t="shared" ca="1" si="41"/>
        <v>-6.7642048301433055E-2</v>
      </c>
      <c r="S206" s="9" cm="1">
        <f t="array" aca="1" ref="S206" ca="1">_xll.FDS($E$7,"P_PRICE("&amp;AG206&amp;",0,D,D)")</f>
        <v>93.04</v>
      </c>
      <c r="T206" s="9" cm="1">
        <f t="array" aca="1" ref="T206" ca="1">_xll.FDS($E$7,"P_PRICE("&amp;AH206&amp;",0,D,D)")</f>
        <v>82.71</v>
      </c>
      <c r="U206" s="9" cm="1">
        <f t="array" aca="1" ref="U206" ca="1">_xll.FDS($E$7,"P_PRICE("&amp;AI206&amp;",0,D,D)")</f>
        <v>84.74</v>
      </c>
      <c r="V206" s="9" cm="1">
        <f t="array" aca="1" ref="V206" ca="1">_xll.FDS($E$7,"P_PRICE("&amp;AJ206&amp;",0,D,D)")</f>
        <v>88.14</v>
      </c>
      <c r="W206" s="9" cm="1">
        <f t="array" aca="1" ref="W206" ca="1">_xll.FDS($E$7,"P_PRICE("&amp;AK206&amp;",0,D,D)")</f>
        <v>99.79</v>
      </c>
      <c r="X206" s="24">
        <f t="shared" ca="1" si="42"/>
        <v>7.1837074948625457E-2</v>
      </c>
      <c r="Y206" s="24">
        <f t="shared" ca="1" si="43"/>
        <v>3.0837012618955439E-2</v>
      </c>
      <c r="Z206" s="24">
        <f t="shared" ca="1" si="44"/>
        <v>-9.3514712575299974E-3</v>
      </c>
      <c r="AA206" s="24">
        <f t="shared" ca="1" si="45"/>
        <v>-8.9343569690850333E-2</v>
      </c>
      <c r="AB206" s="9" cm="1">
        <f t="array" aca="1" ref="AB206" ca="1">_xll.FDS($E$9,"P_PRICE("&amp;AG206&amp;",0,D,D)")</f>
        <v>5528.75</v>
      </c>
      <c r="AC206" s="9" cm="1">
        <f t="array" aca="1" ref="AC206" ca="1">_xll.FDS($E$9,"P_PRICE("&amp;AH206&amp;",0,D,D)")</f>
        <v>5158.2</v>
      </c>
      <c r="AD206" s="9" cm="1">
        <f t="array" aca="1" ref="AD206" ca="1">_xll.FDS($E$9,"P_PRICE("&amp;AI206&amp;",0,D,D)")</f>
        <v>5363.36</v>
      </c>
      <c r="AE206" s="9" cm="1">
        <f t="array" aca="1" ref="AE206" ca="1">_xll.FDS($E$9,"P_PRICE("&amp;AJ206&amp;",0,D,D)")</f>
        <v>5580.94</v>
      </c>
      <c r="AF206" s="9" cm="1">
        <f t="array" aca="1" ref="AF206" ca="1">_xll.FDS($E$9,"P_PRICE("&amp;AK206&amp;",0,D,D)")</f>
        <v>6071.17</v>
      </c>
      <c r="AG206" s="20">
        <f t="shared" ca="1" si="51"/>
        <v>45775</v>
      </c>
      <c r="AH206" s="22">
        <f t="shared" ca="1" si="46"/>
        <v>45768</v>
      </c>
      <c r="AI206" s="22">
        <f t="shared" ca="1" si="47"/>
        <v>45758</v>
      </c>
      <c r="AJ206" s="22">
        <f t="shared" ca="1" si="48"/>
        <v>45744</v>
      </c>
      <c r="AK206" s="22">
        <f t="shared" ca="1" si="49"/>
        <v>45687</v>
      </c>
      <c r="AL206" s="22">
        <f t="shared" ca="1" si="50"/>
        <v>45596</v>
      </c>
    </row>
    <row r="207" spans="4:38" x14ac:dyDescent="0.25">
      <c r="D207" s="6">
        <f ca="1"/>
        <v>45772</v>
      </c>
      <c r="E207" s="28" cm="1">
        <f t="array" aca="1" ref="E207" ca="1">_xll.FDS($E$7,"P_PRICE("&amp;D207&amp;",0,D,D)")</f>
        <v>92.44</v>
      </c>
      <c r="F207" s="29" cm="1">
        <f t="array" aca="1" ref="F207" ca="1">_xll.FDS($E$7,"P_BETA_LOCIDX("&amp;$AG207&amp;","&amp;$AL207&amp;",,"""&amp;$E$9&amp;""")")</f>
        <v>1.2515498</v>
      </c>
      <c r="G207" s="30">
        <f t="shared" ca="1" si="36"/>
        <v>3.3283255619697513E-2</v>
      </c>
      <c r="H207" s="30">
        <f t="shared" ca="1" si="36"/>
        <v>4.9162589613911935E-2</v>
      </c>
      <c r="I207" s="30">
        <f t="shared" ca="1" si="36"/>
        <v>4.02090267890126E-2</v>
      </c>
      <c r="J207" s="30">
        <f t="shared" ca="1" si="34"/>
        <v>3.9428243564997911E-2</v>
      </c>
      <c r="K207" s="30">
        <f t="shared" ca="1" si="37"/>
        <v>5.7454207507146096E-2</v>
      </c>
      <c r="L207" s="30">
        <f t="shared" ca="1" si="37"/>
        <v>6.1094436569128961E-2</v>
      </c>
      <c r="M207" s="30">
        <f t="shared" ca="1" si="37"/>
        <v>-3.6953111876922282E-2</v>
      </c>
      <c r="N207" s="30">
        <f t="shared" ca="1" si="35"/>
        <v>-0.1065389510026809</v>
      </c>
      <c r="O207" s="30">
        <f t="shared" ca="1" si="38"/>
        <v>9.0737463126843609E-2</v>
      </c>
      <c r="P207" s="30">
        <f t="shared" ca="1" si="39"/>
        <v>0.1102570261830409</v>
      </c>
      <c r="Q207" s="30">
        <f t="shared" ca="1" si="40"/>
        <v>3.2559149120903186E-3</v>
      </c>
      <c r="R207" s="30">
        <f t="shared" ca="1" si="41"/>
        <v>-6.7110707437682993E-2</v>
      </c>
      <c r="S207" s="9" cm="1">
        <f t="array" aca="1" ref="S207" ca="1">_xll.FDS($E$7,"P_PRICE("&amp;AG207&amp;",0,D,D)")</f>
        <v>92.44</v>
      </c>
      <c r="T207" s="9" cm="1">
        <f t="array" aca="1" ref="T207" ca="1">_xll.FDS($E$7,"P_PRICE("&amp;AH207&amp;",0,D,D)")</f>
        <v>84.75</v>
      </c>
      <c r="U207" s="9" cm="1">
        <f t="array" aca="1" ref="U207" ca="1">_xll.FDS($E$7,"P_PRICE("&amp;AI207&amp;",0,D,D)")</f>
        <v>83.26</v>
      </c>
      <c r="V207" s="9" cm="1">
        <f t="array" aca="1" ref="V207" ca="1">_xll.FDS($E$7,"P_PRICE("&amp;AJ207&amp;",0,D,D)")</f>
        <v>92.14</v>
      </c>
      <c r="W207" s="9" cm="1">
        <f t="array" aca="1" ref="W207" ca="1">_xll.FDS($E$7,"P_PRICE("&amp;AK207&amp;",0,D,D)")</f>
        <v>99.09</v>
      </c>
      <c r="X207" s="24">
        <f t="shared" ca="1" si="42"/>
        <v>4.5906449353550371E-2</v>
      </c>
      <c r="Y207" s="24">
        <f t="shared" ca="1" si="43"/>
        <v>4.8815026432930564E-2</v>
      </c>
      <c r="Z207" s="24">
        <f t="shared" ca="1" si="44"/>
        <v>-2.952588213183549E-2</v>
      </c>
      <c r="AA207" s="24">
        <f t="shared" ca="1" si="45"/>
        <v>-8.5125618655111368E-2</v>
      </c>
      <c r="AB207" s="9" cm="1">
        <f t="array" aca="1" ref="AB207" ca="1">_xll.FDS($E$9,"P_PRICE("&amp;AG207&amp;",0,D,D)")</f>
        <v>5525.21</v>
      </c>
      <c r="AC207" s="9" cm="1">
        <f t="array" aca="1" ref="AC207" ca="1">_xll.FDS($E$9,"P_PRICE("&amp;AH207&amp;",0,D,D)")</f>
        <v>5282.7</v>
      </c>
      <c r="AD207" s="9" cm="1">
        <f t="array" aca="1" ref="AD207" ca="1">_xll.FDS($E$9,"P_PRICE("&amp;AI207&amp;",0,D,D)")</f>
        <v>5268.05</v>
      </c>
      <c r="AE207" s="9" cm="1">
        <f t="array" aca="1" ref="AE207" ca="1">_xll.FDS($E$9,"P_PRICE("&amp;AJ207&amp;",0,D,D)")</f>
        <v>5693.31</v>
      </c>
      <c r="AF207" s="9" cm="1">
        <f t="array" aca="1" ref="AF207" ca="1">_xll.FDS($E$9,"P_PRICE("&amp;AK207&amp;",0,D,D)")</f>
        <v>6039.31</v>
      </c>
      <c r="AG207" s="20">
        <f t="shared" ca="1" si="51"/>
        <v>45772</v>
      </c>
      <c r="AH207" s="22">
        <f t="shared" ca="1" si="46"/>
        <v>45764</v>
      </c>
      <c r="AI207" s="22">
        <f t="shared" ca="1" si="47"/>
        <v>45757</v>
      </c>
      <c r="AJ207" s="22">
        <f t="shared" ca="1" si="48"/>
        <v>45743</v>
      </c>
      <c r="AK207" s="22">
        <f t="shared" ca="1" si="49"/>
        <v>45686</v>
      </c>
      <c r="AL207" s="22">
        <f t="shared" ca="1" si="50"/>
        <v>45595</v>
      </c>
    </row>
    <row r="208" spans="4:38" x14ac:dyDescent="0.25">
      <c r="D208" s="6">
        <f ca="1"/>
        <v>45771</v>
      </c>
      <c r="E208" s="28" cm="1">
        <f t="array" aca="1" ref="E208" ca="1">_xll.FDS($E$7,"P_PRICE("&amp;D208&amp;",0,D,D)")</f>
        <v>91.35</v>
      </c>
      <c r="F208" s="29" cm="1">
        <f t="array" aca="1" ref="F208" ca="1">_xll.FDS($E$7,"P_BETA_LOCIDX("&amp;$AG208&amp;","&amp;$AL208&amp;",,"""&amp;$E$9&amp;""")")</f>
        <v>1.2509498999999999</v>
      </c>
      <c r="G208" s="30">
        <f t="shared" ca="1" si="36"/>
        <v>2.4879345887484382E-2</v>
      </c>
      <c r="H208" s="30">
        <f t="shared" ca="1" si="36"/>
        <v>1.9669661313419823E-2</v>
      </c>
      <c r="I208" s="30">
        <f t="shared" ca="1" si="36"/>
        <v>1.5655314761699894E-2</v>
      </c>
      <c r="J208" s="30">
        <f t="shared" ca="1" si="34"/>
        <v>4.7402905365367468E-2</v>
      </c>
      <c r="K208" s="30">
        <f t="shared" ca="1" si="37"/>
        <v>4.9573723978429442E-2</v>
      </c>
      <c r="L208" s="30">
        <f t="shared" ca="1" si="37"/>
        <v>6.388970608404293E-3</v>
      </c>
      <c r="M208" s="30">
        <f t="shared" ca="1" si="37"/>
        <v>-4.9806298056265345E-2</v>
      </c>
      <c r="N208" s="30">
        <f t="shared" ca="1" si="35"/>
        <v>-0.12018000646159162</v>
      </c>
      <c r="O208" s="30">
        <f t="shared" ca="1" si="38"/>
        <v>7.4453069865913823E-2</v>
      </c>
      <c r="P208" s="30">
        <f t="shared" ca="1" si="39"/>
        <v>2.6058631921824116E-2</v>
      </c>
      <c r="Q208" s="30">
        <f t="shared" ca="1" si="40"/>
        <v>-3.4150983294565451E-2</v>
      </c>
      <c r="R208" s="30">
        <f t="shared" ca="1" si="41"/>
        <v>-7.277710109622415E-2</v>
      </c>
      <c r="S208" s="9" cm="1">
        <f t="array" aca="1" ref="S208" ca="1">_xll.FDS($E$7,"P_PRICE("&amp;AG208&amp;",0,D,D)")</f>
        <v>91.35</v>
      </c>
      <c r="T208" s="9" cm="1">
        <f t="array" aca="1" ref="T208" ca="1">_xll.FDS($E$7,"P_PRICE("&amp;AH208&amp;",0,D,D)")</f>
        <v>85.02</v>
      </c>
      <c r="U208" s="9" cm="1">
        <f t="array" aca="1" ref="U208" ca="1">_xll.FDS($E$7,"P_PRICE("&amp;AI208&amp;",0,D,D)")</f>
        <v>89.03</v>
      </c>
      <c r="V208" s="9" cm="1">
        <f t="array" aca="1" ref="V208" ca="1">_xll.FDS($E$7,"P_PRICE("&amp;AJ208&amp;",0,D,D)")</f>
        <v>94.58</v>
      </c>
      <c r="W208" s="9" cm="1">
        <f t="array" aca="1" ref="W208" ca="1">_xll.FDS($E$7,"P_PRICE("&amp;AK208&amp;",0,D,D)")</f>
        <v>98.52</v>
      </c>
      <c r="X208" s="24">
        <f t="shared" ca="1" si="42"/>
        <v>3.9628864416096476E-2</v>
      </c>
      <c r="Y208" s="24">
        <f t="shared" ca="1" si="43"/>
        <v>5.107295350840424E-3</v>
      </c>
      <c r="Z208" s="24">
        <f t="shared" ca="1" si="44"/>
        <v>-3.9814782395574233E-2</v>
      </c>
      <c r="AA208" s="24">
        <f t="shared" ca="1" si="45"/>
        <v>-9.6070998895792403E-2</v>
      </c>
      <c r="AB208" s="9" cm="1">
        <f t="array" aca="1" ref="AB208" ca="1">_xll.FDS($E$9,"P_PRICE("&amp;AG208&amp;",0,D,D)")</f>
        <v>5484.77</v>
      </c>
      <c r="AC208" s="9" cm="1">
        <f t="array" aca="1" ref="AC208" ca="1">_xll.FDS($E$9,"P_PRICE("&amp;AH208&amp;",0,D,D)")</f>
        <v>5275.7</v>
      </c>
      <c r="AD208" s="9" cm="1">
        <f t="array" aca="1" ref="AD208" ca="1">_xll.FDS($E$9,"P_PRICE("&amp;AI208&amp;",0,D,D)")</f>
        <v>5456.9</v>
      </c>
      <c r="AE208" s="9" cm="1">
        <f t="array" aca="1" ref="AE208" ca="1">_xll.FDS($E$9,"P_PRICE("&amp;AJ208&amp;",0,D,D)")</f>
        <v>5712.2</v>
      </c>
      <c r="AF208" s="9" cm="1">
        <f t="array" aca="1" ref="AF208" ca="1">_xll.FDS($E$9,"P_PRICE("&amp;AK208&amp;",0,D,D)")</f>
        <v>6067.7</v>
      </c>
      <c r="AG208" s="20">
        <f t="shared" ca="1" si="51"/>
        <v>45771</v>
      </c>
      <c r="AH208" s="22">
        <f t="shared" ca="1" si="46"/>
        <v>45763</v>
      </c>
      <c r="AI208" s="22">
        <f t="shared" ca="1" si="47"/>
        <v>45756</v>
      </c>
      <c r="AJ208" s="22">
        <f t="shared" ca="1" si="48"/>
        <v>45742</v>
      </c>
      <c r="AK208" s="22">
        <f t="shared" ca="1" si="49"/>
        <v>45685</v>
      </c>
      <c r="AL208" s="22">
        <f t="shared" ca="1" si="50"/>
        <v>45594</v>
      </c>
    </row>
    <row r="209" spans="4:38" x14ac:dyDescent="0.25">
      <c r="D209" s="6">
        <f ca="1"/>
        <v>45770</v>
      </c>
      <c r="E209" s="28" cm="1">
        <f t="array" aca="1" ref="E209" ca="1">_xll.FDS($E$7,"P_PRICE("&amp;D209&amp;",0,D,D)")</f>
        <v>87.81</v>
      </c>
      <c r="F209" s="29" cm="1">
        <f t="array" aca="1" ref="F209" ca="1">_xll.FDS($E$7,"P_BETA_LOCIDX("&amp;$AG209&amp;","&amp;$AL209&amp;",,"""&amp;$E$9&amp;""")")</f>
        <v>1.2423481000000001</v>
      </c>
      <c r="G209" s="30">
        <f t="shared" ca="1" si="36"/>
        <v>2.6421911513979008E-2</v>
      </c>
      <c r="H209" s="30">
        <f t="shared" ca="1" si="36"/>
        <v>-5.164852432296918E-3</v>
      </c>
      <c r="I209" s="30">
        <f t="shared" ca="1" si="36"/>
        <v>-2.3326954308274486E-2</v>
      </c>
      <c r="J209" s="30">
        <f t="shared" ca="1" si="34"/>
        <v>1.82077122590181E-2</v>
      </c>
      <c r="K209" s="30">
        <f t="shared" ca="1" si="37"/>
        <v>-4.781422857783618E-3</v>
      </c>
      <c r="L209" s="30">
        <f t="shared" ca="1" si="37"/>
        <v>9.8008660770815936E-2</v>
      </c>
      <c r="M209" s="30">
        <f t="shared" ca="1" si="37"/>
        <v>-8.6195406507058578E-2</v>
      </c>
      <c r="N209" s="30">
        <f t="shared" ca="1" si="35"/>
        <v>-0.13150671256195659</v>
      </c>
      <c r="O209" s="30">
        <f t="shared" ca="1" si="38"/>
        <v>2.1640488656195389E-2</v>
      </c>
      <c r="P209" s="30">
        <f t="shared" ca="1" si="39"/>
        <v>9.2843808338519018E-2</v>
      </c>
      <c r="Q209" s="30">
        <f t="shared" ca="1" si="40"/>
        <v>-0.10952236081533306</v>
      </c>
      <c r="R209" s="30">
        <f t="shared" ca="1" si="41"/>
        <v>-0.11329900030293849</v>
      </c>
      <c r="S209" s="9" cm="1">
        <f t="array" aca="1" ref="S209" ca="1">_xll.FDS($E$7,"P_PRICE("&amp;AG209&amp;",0,D,D)")</f>
        <v>87.81</v>
      </c>
      <c r="T209" s="9" cm="1">
        <f t="array" aca="1" ref="T209" ca="1">_xll.FDS($E$7,"P_PRICE("&amp;AH209&amp;",0,D,D)")</f>
        <v>85.95</v>
      </c>
      <c r="U209" s="9" cm="1">
        <f t="array" aca="1" ref="U209" ca="1">_xll.FDS($E$7,"P_PRICE("&amp;AI209&amp;",0,D,D)")</f>
        <v>80.349999999999994</v>
      </c>
      <c r="V209" s="9" cm="1">
        <f t="array" aca="1" ref="V209" ca="1">_xll.FDS($E$7,"P_PRICE("&amp;AJ209&amp;",0,D,D)")</f>
        <v>98.61</v>
      </c>
      <c r="W209" s="9" cm="1">
        <f t="array" aca="1" ref="W209" ca="1">_xll.FDS($E$7,"P_PRICE("&amp;AK209&amp;",0,D,D)")</f>
        <v>99.03</v>
      </c>
      <c r="X209" s="24">
        <f t="shared" ca="1" si="42"/>
        <v>-3.8486981690426525E-3</v>
      </c>
      <c r="Y209" s="24">
        <f t="shared" ca="1" si="43"/>
        <v>7.8889854438394469E-2</v>
      </c>
      <c r="Z209" s="24">
        <f t="shared" ca="1" si="44"/>
        <v>-6.938104264582412E-2</v>
      </c>
      <c r="AA209" s="24">
        <f t="shared" ca="1" si="45"/>
        <v>-0.10585335346989833</v>
      </c>
      <c r="AB209" s="9" cm="1">
        <f t="array" aca="1" ref="AB209" ca="1">_xll.FDS($E$9,"P_PRICE("&amp;AG209&amp;",0,D,D)")</f>
        <v>5375.86</v>
      </c>
      <c r="AC209" s="9" cm="1">
        <f t="array" aca="1" ref="AC209" ca="1">_xll.FDS($E$9,"P_PRICE("&amp;AH209&amp;",0,D,D)")</f>
        <v>5396.63</v>
      </c>
      <c r="AD209" s="9" cm="1">
        <f t="array" aca="1" ref="AD209" ca="1">_xll.FDS($E$9,"P_PRICE("&amp;AI209&amp;",0,D,D)")</f>
        <v>4982.7700000000004</v>
      </c>
      <c r="AE209" s="9" cm="1">
        <f t="array" aca="1" ref="AE209" ca="1">_xll.FDS($E$9,"P_PRICE("&amp;AJ209&amp;",0,D,D)")</f>
        <v>5776.65</v>
      </c>
      <c r="AF209" s="9" cm="1">
        <f t="array" aca="1" ref="AF209" ca="1">_xll.FDS($E$9,"P_PRICE("&amp;AK209&amp;",0,D,D)")</f>
        <v>6012.28</v>
      </c>
      <c r="AG209" s="20">
        <f t="shared" ca="1" si="51"/>
        <v>45770</v>
      </c>
      <c r="AH209" s="22">
        <f t="shared" ca="1" si="46"/>
        <v>45762</v>
      </c>
      <c r="AI209" s="22">
        <f t="shared" ca="1" si="47"/>
        <v>45755</v>
      </c>
      <c r="AJ209" s="22">
        <f t="shared" ca="1" si="48"/>
        <v>45741</v>
      </c>
      <c r="AK209" s="22">
        <f t="shared" ca="1" si="49"/>
        <v>45684</v>
      </c>
      <c r="AL209" s="22">
        <f t="shared" ca="1" si="50"/>
        <v>45593</v>
      </c>
    </row>
    <row r="210" spans="4:38" x14ac:dyDescent="0.25">
      <c r="D210" s="6">
        <f ca="1"/>
        <v>45769</v>
      </c>
      <c r="E210" s="28" cm="1">
        <f t="array" aca="1" ref="E210" ca="1">_xll.FDS($E$7,"P_PRICE("&amp;D210&amp;",0,D,D)")</f>
        <v>85.72</v>
      </c>
      <c r="F210" s="29" cm="1">
        <f t="array" aca="1" ref="F210" ca="1">_xll.FDS($E$7,"P_BETA_LOCIDX("&amp;$AG210&amp;","&amp;$AL210&amp;",,"""&amp;$E$9&amp;""")")</f>
        <v>1.2404945000000001</v>
      </c>
      <c r="G210" s="30">
        <f t="shared" ca="1" si="36"/>
        <v>2.6425891158542752E-2</v>
      </c>
      <c r="H210" s="30">
        <f t="shared" ca="1" si="36"/>
        <v>1.442864907913663E-4</v>
      </c>
      <c r="I210" s="30">
        <f t="shared" ca="1" si="36"/>
        <v>-2.3266897464349831E-2</v>
      </c>
      <c r="J210" s="30">
        <f t="shared" ca="1" si="34"/>
        <v>1.1929147075774305E-2</v>
      </c>
      <c r="K210" s="30">
        <f t="shared" ca="1" si="37"/>
        <v>-2.7125354903005366E-2</v>
      </c>
      <c r="L210" s="30">
        <f t="shared" ca="1" si="37"/>
        <v>5.5260786151415033E-2</v>
      </c>
      <c r="M210" s="30">
        <f t="shared" ca="1" si="37"/>
        <v>-0.10319799604426118</v>
      </c>
      <c r="N210" s="30">
        <f t="shared" ca="1" si="35"/>
        <v>-0.16539547138942234</v>
      </c>
      <c r="O210" s="30">
        <f t="shared" ca="1" si="38"/>
        <v>-6.9946374446261395E-4</v>
      </c>
      <c r="P210" s="30">
        <f t="shared" ca="1" si="39"/>
        <v>5.5405072642206399E-2</v>
      </c>
      <c r="Q210" s="30">
        <f t="shared" ca="1" si="40"/>
        <v>-0.12646489350861101</v>
      </c>
      <c r="R210" s="30">
        <f t="shared" ca="1" si="41"/>
        <v>-0.15346632431364804</v>
      </c>
      <c r="S210" s="9" cm="1">
        <f t="array" aca="1" ref="S210" ca="1">_xll.FDS($E$7,"P_PRICE("&amp;AG210&amp;",0,D,D)")</f>
        <v>85.72</v>
      </c>
      <c r="T210" s="9" cm="1">
        <f t="array" aca="1" ref="T210" ca="1">_xll.FDS($E$7,"P_PRICE("&amp;AH210&amp;",0,D,D)")</f>
        <v>85.78</v>
      </c>
      <c r="U210" s="9" cm="1">
        <f t="array" aca="1" ref="U210" ca="1">_xll.FDS($E$7,"P_PRICE("&amp;AI210&amp;",0,D,D)")</f>
        <v>81.22</v>
      </c>
      <c r="V210" s="9" cm="1">
        <f t="array" aca="1" ref="V210" ca="1">_xll.FDS($E$7,"P_PRICE("&amp;AJ210&amp;",0,D,D)")</f>
        <v>98.13</v>
      </c>
      <c r="W210" s="9" cm="1">
        <f t="array" aca="1" ref="W210" ca="1">_xll.FDS($E$7,"P_PRICE("&amp;AK210&amp;",0,D,D)")</f>
        <v>101.26</v>
      </c>
      <c r="X210" s="24">
        <f t="shared" ca="1" si="42"/>
        <v>-2.1866566037177404E-2</v>
      </c>
      <c r="Y210" s="24">
        <f t="shared" ca="1" si="43"/>
        <v>4.4547385056052269E-2</v>
      </c>
      <c r="Z210" s="24">
        <f t="shared" ca="1" si="44"/>
        <v>-8.3191014586732281E-2</v>
      </c>
      <c r="AA210" s="24">
        <f t="shared" ca="1" si="45"/>
        <v>-0.13333027384597218</v>
      </c>
      <c r="AB210" s="9" cm="1">
        <f t="array" aca="1" ref="AB210" ca="1">_xll.FDS($E$9,"P_PRICE("&amp;AG210&amp;",0,D,D)")</f>
        <v>5287.76</v>
      </c>
      <c r="AC210" s="9" cm="1">
        <f t="array" aca="1" ref="AC210" ca="1">_xll.FDS($E$9,"P_PRICE("&amp;AH210&amp;",0,D,D)")</f>
        <v>5405.97</v>
      </c>
      <c r="AD210" s="9" cm="1">
        <f t="array" aca="1" ref="AD210" ca="1">_xll.FDS($E$9,"P_PRICE("&amp;AI210&amp;",0,D,D)")</f>
        <v>5062.25</v>
      </c>
      <c r="AE210" s="9" cm="1">
        <f t="array" aca="1" ref="AE210" ca="1">_xll.FDS($E$9,"P_PRICE("&amp;AJ210&amp;",0,D,D)")</f>
        <v>5767.57</v>
      </c>
      <c r="AF210" s="9" cm="1">
        <f t="array" aca="1" ref="AF210" ca="1">_xll.FDS($E$9,"P_PRICE("&amp;AK210&amp;",0,D,D)")</f>
        <v>6101.24</v>
      </c>
      <c r="AG210" s="20">
        <f t="shared" ca="1" si="51"/>
        <v>45769</v>
      </c>
      <c r="AH210" s="22">
        <f t="shared" ca="1" si="46"/>
        <v>45761</v>
      </c>
      <c r="AI210" s="22">
        <f t="shared" ca="1" si="47"/>
        <v>45754</v>
      </c>
      <c r="AJ210" s="22">
        <f t="shared" ca="1" si="48"/>
        <v>45740</v>
      </c>
      <c r="AK210" s="22">
        <f t="shared" ca="1" si="49"/>
        <v>45681</v>
      </c>
      <c r="AL210" s="22">
        <f t="shared" ca="1" si="50"/>
        <v>45590</v>
      </c>
    </row>
    <row r="211" spans="4:38" x14ac:dyDescent="0.25">
      <c r="D211" s="6">
        <f ca="1"/>
        <v>45768</v>
      </c>
      <c r="E211" s="28" cm="1">
        <f t="array" aca="1" ref="E211" ca="1">_xll.FDS($E$7,"P_PRICE("&amp;D211&amp;",0,D,D)")</f>
        <v>82.71</v>
      </c>
      <c r="F211" s="29" cm="1">
        <f t="array" aca="1" ref="F211" ca="1">_xll.FDS($E$7,"P_BETA_LOCIDX("&amp;$AG211&amp;","&amp;$AL211&amp;",,"""&amp;$E$9&amp;""")")</f>
        <v>1.2366406000000001</v>
      </c>
      <c r="G211" s="30">
        <f t="shared" ca="1" si="36"/>
        <v>2.3348520933699463E-2</v>
      </c>
      <c r="H211" s="30">
        <f t="shared" ca="1" si="36"/>
        <v>2.2510744879866672E-3</v>
      </c>
      <c r="I211" s="30">
        <f t="shared" ca="1" si="36"/>
        <v>-1.5008504500784989E-2</v>
      </c>
      <c r="J211" s="30">
        <f t="shared" ca="1" si="34"/>
        <v>1.694814057449287E-2</v>
      </c>
      <c r="K211" s="30">
        <f t="shared" ca="1" si="37"/>
        <v>-4.7304149916470278E-2</v>
      </c>
      <c r="L211" s="30">
        <f t="shared" ca="1" si="37"/>
        <v>2.050149135843338E-2</v>
      </c>
      <c r="M211" s="30">
        <f t="shared" ca="1" si="37"/>
        <v>-0.11114046538828011</v>
      </c>
      <c r="N211" s="30">
        <f t="shared" ca="1" si="35"/>
        <v>-0.19412681148575436</v>
      </c>
      <c r="O211" s="30">
        <f t="shared" ca="1" si="38"/>
        <v>-2.3955628982770816E-2</v>
      </c>
      <c r="P211" s="30">
        <f t="shared" ca="1" si="39"/>
        <v>2.2752565846420048E-2</v>
      </c>
      <c r="Q211" s="30">
        <f t="shared" ca="1" si="40"/>
        <v>-0.1261489698890651</v>
      </c>
      <c r="R211" s="30">
        <f t="shared" ca="1" si="41"/>
        <v>-0.17717867091126149</v>
      </c>
      <c r="S211" s="9" cm="1">
        <f t="array" aca="1" ref="S211" ca="1">_xll.FDS($E$7,"P_PRICE("&amp;AG211&amp;",0,D,D)")</f>
        <v>82.71</v>
      </c>
      <c r="T211" s="9" cm="1">
        <f t="array" aca="1" ref="T211" ca="1">_xll.FDS($E$7,"P_PRICE("&amp;AH211&amp;",0,D,D)")</f>
        <v>84.74</v>
      </c>
      <c r="U211" s="9" cm="1">
        <f t="array" aca="1" ref="U211" ca="1">_xll.FDS($E$7,"P_PRICE("&amp;AI211&amp;",0,D,D)")</f>
        <v>80.87</v>
      </c>
      <c r="V211" s="9" cm="1">
        <f t="array" aca="1" ref="V211" ca="1">_xll.FDS($E$7,"P_PRICE("&amp;AJ211&amp;",0,D,D)")</f>
        <v>94.65</v>
      </c>
      <c r="W211" s="9" cm="1">
        <f t="array" aca="1" ref="W211" ca="1">_xll.FDS($E$7,"P_PRICE("&amp;AK211&amp;",0,D,D)")</f>
        <v>100.52</v>
      </c>
      <c r="X211" s="24">
        <f t="shared" ca="1" si="42"/>
        <v>-3.8252140449270611E-2</v>
      </c>
      <c r="Y211" s="24">
        <f t="shared" ca="1" si="43"/>
        <v>1.6578374798978279E-2</v>
      </c>
      <c r="Z211" s="24">
        <f t="shared" ca="1" si="44"/>
        <v>-8.9872890626654267E-2</v>
      </c>
      <c r="AA211" s="24">
        <f t="shared" ca="1" si="45"/>
        <v>-0.15697916717739524</v>
      </c>
      <c r="AB211" s="9" cm="1">
        <f t="array" aca="1" ref="AB211" ca="1">_xll.FDS($E$9,"P_PRICE("&amp;AG211&amp;",0,D,D)")</f>
        <v>5158.2</v>
      </c>
      <c r="AC211" s="9" cm="1">
        <f t="array" aca="1" ref="AC211" ca="1">_xll.FDS($E$9,"P_PRICE("&amp;AH211&amp;",0,D,D)")</f>
        <v>5363.36</v>
      </c>
      <c r="AD211" s="9" cm="1">
        <f t="array" aca="1" ref="AD211" ca="1">_xll.FDS($E$9,"P_PRICE("&amp;AI211&amp;",0,D,D)")</f>
        <v>5074.08</v>
      </c>
      <c r="AE211" s="9" cm="1">
        <f t="array" aca="1" ref="AE211" ca="1">_xll.FDS($E$9,"P_PRICE("&amp;AJ211&amp;",0,D,D)")</f>
        <v>5667.56</v>
      </c>
      <c r="AF211" s="9" cm="1">
        <f t="array" aca="1" ref="AF211" ca="1">_xll.FDS($E$9,"P_PRICE("&amp;AK211&amp;",0,D,D)")</f>
        <v>6118.71</v>
      </c>
      <c r="AG211" s="20">
        <f t="shared" ca="1" si="51"/>
        <v>45768</v>
      </c>
      <c r="AH211" s="22">
        <f t="shared" ca="1" si="46"/>
        <v>45758</v>
      </c>
      <c r="AI211" s="22">
        <f t="shared" ca="1" si="47"/>
        <v>45751</v>
      </c>
      <c r="AJ211" s="22">
        <f t="shared" ca="1" si="48"/>
        <v>45737</v>
      </c>
      <c r="AK211" s="22">
        <f t="shared" ca="1" si="49"/>
        <v>45680</v>
      </c>
      <c r="AL211" s="22">
        <f t="shared" ca="1" si="50"/>
        <v>45589</v>
      </c>
    </row>
    <row r="212" spans="4:38" x14ac:dyDescent="0.25">
      <c r="D212" s="6">
        <f ca="1"/>
        <v>45764</v>
      </c>
      <c r="E212" s="28" cm="1">
        <f t="array" aca="1" ref="E212" ca="1">_xll.FDS($E$7,"P_PRICE("&amp;D212&amp;",0,D,D)")</f>
        <v>84.75</v>
      </c>
      <c r="F212" s="29" cm="1">
        <f t="array" aca="1" ref="F212" ca="1">_xll.FDS($E$7,"P_BETA_LOCIDX("&amp;$AG212&amp;","&amp;$AL212&amp;",,"""&amp;$E$9&amp;""")")</f>
        <v>1.2405284999999999</v>
      </c>
      <c r="G212" s="30">
        <f t="shared" ca="1" si="36"/>
        <v>1.4445943771987723E-2</v>
      </c>
      <c r="H212" s="30">
        <f t="shared" ca="1" si="36"/>
        <v>7.6352041224194318E-3</v>
      </c>
      <c r="I212" s="30">
        <f t="shared" ca="1" si="36"/>
        <v>-4.8285374389221328E-2</v>
      </c>
      <c r="J212" s="30">
        <f t="shared" ca="1" si="34"/>
        <v>8.5170713117194152E-3</v>
      </c>
      <c r="K212" s="30">
        <f t="shared" ca="1" si="37"/>
        <v>3.4498044864796793E-3</v>
      </c>
      <c r="L212" s="30">
        <f t="shared" ca="1" si="37"/>
        <v>-2.6164445581597102E-2</v>
      </c>
      <c r="M212" s="30">
        <f t="shared" ca="1" si="37"/>
        <v>-8.3285483280621894E-2</v>
      </c>
      <c r="N212" s="30">
        <f t="shared" ca="1" si="35"/>
        <v>-0.16380462239315063</v>
      </c>
      <c r="O212" s="30">
        <f t="shared" ca="1" si="38"/>
        <v>1.7895748258467403E-2</v>
      </c>
      <c r="P212" s="30">
        <f t="shared" ca="1" si="39"/>
        <v>-1.852924145917767E-2</v>
      </c>
      <c r="Q212" s="30">
        <f t="shared" ca="1" si="40"/>
        <v>-0.13157085766984322</v>
      </c>
      <c r="R212" s="30">
        <f t="shared" ca="1" si="41"/>
        <v>-0.15528755108143122</v>
      </c>
      <c r="S212" s="9" cm="1">
        <f t="array" aca="1" ref="S212" ca="1">_xll.FDS($E$7,"P_PRICE("&amp;AG212&amp;",0,D,D)")</f>
        <v>84.75</v>
      </c>
      <c r="T212" s="9" cm="1">
        <f t="array" aca="1" ref="T212" ca="1">_xll.FDS($E$7,"P_PRICE("&amp;AH212&amp;",0,D,D)")</f>
        <v>83.26</v>
      </c>
      <c r="U212" s="9" cm="1">
        <f t="array" aca="1" ref="U212" ca="1">_xll.FDS($E$7,"P_PRICE("&amp;AI212&amp;",0,D,D)")</f>
        <v>86.35</v>
      </c>
      <c r="V212" s="9" cm="1">
        <f t="array" aca="1" ref="V212" ca="1">_xll.FDS($E$7,"P_PRICE("&amp;AJ212&amp;",0,D,D)")</f>
        <v>97.59</v>
      </c>
      <c r="W212" s="9" cm="1">
        <f t="array" aca="1" ref="W212" ca="1">_xll.FDS($E$7,"P_PRICE("&amp;AK212&amp;",0,D,D)")</f>
        <v>100.33</v>
      </c>
      <c r="X212" s="24">
        <f t="shared" ca="1" si="42"/>
        <v>2.7809151393778375E-3</v>
      </c>
      <c r="Y212" s="24">
        <f t="shared" ca="1" si="43"/>
        <v>-2.109136999399619E-2</v>
      </c>
      <c r="Z212" s="24">
        <f t="shared" ca="1" si="44"/>
        <v>-6.7137097842267957E-2</v>
      </c>
      <c r="AA212" s="24">
        <f t="shared" ca="1" si="45"/>
        <v>-0.13204422340409805</v>
      </c>
      <c r="AB212" s="9" cm="1">
        <f t="array" aca="1" ref="AB212" ca="1">_xll.FDS($E$9,"P_PRICE("&amp;AG212&amp;",0,D,D)")</f>
        <v>5282.7</v>
      </c>
      <c r="AC212" s="9" cm="1">
        <f t="array" aca="1" ref="AC212" ca="1">_xll.FDS($E$9,"P_PRICE("&amp;AH212&amp;",0,D,D)")</f>
        <v>5268.05</v>
      </c>
      <c r="AD212" s="9" cm="1">
        <f t="array" aca="1" ref="AD212" ca="1">_xll.FDS($E$9,"P_PRICE("&amp;AI212&amp;",0,D,D)")</f>
        <v>5396.52</v>
      </c>
      <c r="AE212" s="9" cm="1">
        <f t="array" aca="1" ref="AE212" ca="1">_xll.FDS($E$9,"P_PRICE("&amp;AJ212&amp;",0,D,D)")</f>
        <v>5662.89</v>
      </c>
      <c r="AF212" s="9" cm="1">
        <f t="array" aca="1" ref="AF212" ca="1">_xll.FDS($E$9,"P_PRICE("&amp;AK212&amp;",0,D,D)")</f>
        <v>6086.37</v>
      </c>
      <c r="AG212" s="20">
        <f t="shared" ca="1" si="51"/>
        <v>45764</v>
      </c>
      <c r="AH212" s="22">
        <f t="shared" ca="1" si="46"/>
        <v>45757</v>
      </c>
      <c r="AI212" s="22">
        <f t="shared" ca="1" si="47"/>
        <v>45750</v>
      </c>
      <c r="AJ212" s="22">
        <f t="shared" ca="1" si="48"/>
        <v>45736</v>
      </c>
      <c r="AK212" s="22">
        <f t="shared" ca="1" si="49"/>
        <v>45679</v>
      </c>
      <c r="AL212" s="22">
        <f t="shared" ca="1" si="50"/>
        <v>45588</v>
      </c>
    </row>
    <row r="213" spans="4:38" x14ac:dyDescent="0.25">
      <c r="D213" s="6">
        <f ca="1"/>
        <v>45763</v>
      </c>
      <c r="E213" s="28" cm="1">
        <f t="array" aca="1" ref="E213" ca="1">_xll.FDS($E$7,"P_PRICE("&amp;D213&amp;",0,D,D)")</f>
        <v>85.02</v>
      </c>
      <c r="F213" s="29" cm="1">
        <f t="array" aca="1" ref="F213" ca="1">_xll.FDS($E$7,"P_BETA_LOCIDX("&amp;$AG213&amp;","&amp;$AL213&amp;",,"""&amp;$E$9&amp;""")")</f>
        <v>1.2408952</v>
      </c>
      <c r="G213" s="30">
        <f t="shared" ca="1" si="36"/>
        <v>-3.8362455904727699E-3</v>
      </c>
      <c r="H213" s="30">
        <f t="shared" ca="1" si="36"/>
        <v>2.4591104341178935E-2</v>
      </c>
      <c r="I213" s="30">
        <f t="shared" ca="1" si="36"/>
        <v>-5.1755288322548748E-2</v>
      </c>
      <c r="J213" s="30">
        <f t="shared" ca="1" si="36"/>
        <v>1.4957712059589012E-2</v>
      </c>
      <c r="K213" s="30">
        <f t="shared" ca="1" si="37"/>
        <v>-4.12047518261284E-2</v>
      </c>
      <c r="L213" s="30">
        <f t="shared" ca="1" si="37"/>
        <v>-8.6491137442800889E-2</v>
      </c>
      <c r="M213" s="30">
        <f t="shared" ca="1" si="37"/>
        <v>-8.7369863560804867E-2</v>
      </c>
      <c r="N213" s="30">
        <f t="shared" ca="1" si="37"/>
        <v>-0.15867812700570655</v>
      </c>
      <c r="O213" s="30">
        <f t="shared" ca="1" si="38"/>
        <v>-4.504099741660117E-2</v>
      </c>
      <c r="P213" s="30">
        <f t="shared" ca="1" si="39"/>
        <v>-6.1900033101621954E-2</v>
      </c>
      <c r="Q213" s="30">
        <f t="shared" ca="1" si="40"/>
        <v>-0.13912515188335361</v>
      </c>
      <c r="R213" s="30">
        <f t="shared" ca="1" si="41"/>
        <v>-0.14372041494611754</v>
      </c>
      <c r="S213" s="9" cm="1">
        <f t="array" aca="1" ref="S213" ca="1">_xll.FDS($E$7,"P_PRICE("&amp;AG213&amp;",0,D,D)")</f>
        <v>85.02</v>
      </c>
      <c r="T213" s="9" cm="1">
        <f t="array" aca="1" ref="T213" ca="1">_xll.FDS($E$7,"P_PRICE("&amp;AH213&amp;",0,D,D)")</f>
        <v>89.03</v>
      </c>
      <c r="U213" s="9" cm="1">
        <f t="array" aca="1" ref="U213" ca="1">_xll.FDS($E$7,"P_PRICE("&amp;AI213&amp;",0,D,D)")</f>
        <v>90.63</v>
      </c>
      <c r="V213" s="9" cm="1">
        <f t="array" aca="1" ref="V213" ca="1">_xll.FDS($E$7,"P_PRICE("&amp;AJ213&amp;",0,D,D)")</f>
        <v>98.76</v>
      </c>
      <c r="W213" s="9" cm="1">
        <f t="array" aca="1" ref="W213" ca="1">_xll.FDS($E$7,"P_PRICE("&amp;AK213&amp;",0,D,D)")</f>
        <v>99.29</v>
      </c>
      <c r="X213" s="24">
        <f t="shared" ca="1" si="42"/>
        <v>-3.3205666220748054E-2</v>
      </c>
      <c r="Y213" s="24">
        <f t="shared" ca="1" si="43"/>
        <v>-6.9700597957668697E-2</v>
      </c>
      <c r="Z213" s="24">
        <f t="shared" ca="1" si="44"/>
        <v>-7.0408736822259343E-2</v>
      </c>
      <c r="AA213" s="24">
        <f t="shared" ca="1" si="45"/>
        <v>-0.12787391473970289</v>
      </c>
      <c r="AB213" s="9" cm="1">
        <f t="array" aca="1" ref="AB213" ca="1">_xll.FDS($E$9,"P_PRICE("&amp;AG213&amp;",0,D,D)")</f>
        <v>5275.7</v>
      </c>
      <c r="AC213" s="9" cm="1">
        <f t="array" aca="1" ref="AC213" ca="1">_xll.FDS($E$9,"P_PRICE("&amp;AH213&amp;",0,D,D)")</f>
        <v>5456.9</v>
      </c>
      <c r="AD213" s="9" cm="1">
        <f t="array" aca="1" ref="AD213" ca="1">_xll.FDS($E$9,"P_PRICE("&amp;AI213&amp;",0,D,D)")</f>
        <v>5670.97</v>
      </c>
      <c r="AE213" s="9" cm="1">
        <f t="array" aca="1" ref="AE213" ca="1">_xll.FDS($E$9,"P_PRICE("&amp;AJ213&amp;",0,D,D)")</f>
        <v>5675.29</v>
      </c>
      <c r="AF213" s="9" cm="1">
        <f t="array" aca="1" ref="AF213" ca="1">_xll.FDS($E$9,"P_PRICE("&amp;AK213&amp;",0,D,D)")</f>
        <v>6049.24</v>
      </c>
      <c r="AG213" s="20">
        <f t="shared" ca="1" si="51"/>
        <v>45763</v>
      </c>
      <c r="AH213" s="22">
        <f t="shared" ca="1" si="46"/>
        <v>45756</v>
      </c>
      <c r="AI213" s="22">
        <f t="shared" ca="1" si="47"/>
        <v>45749</v>
      </c>
      <c r="AJ213" s="22">
        <f t="shared" ca="1" si="48"/>
        <v>45735</v>
      </c>
      <c r="AK213" s="22">
        <f t="shared" ca="1" si="49"/>
        <v>45678</v>
      </c>
      <c r="AL213" s="22">
        <f t="shared" ca="1" si="50"/>
        <v>45587</v>
      </c>
    </row>
    <row r="214" spans="4:38" x14ac:dyDescent="0.25">
      <c r="D214" s="6">
        <f ca="1"/>
        <v>45762</v>
      </c>
      <c r="E214" s="28" cm="1">
        <f t="array" aca="1" ref="E214" ca="1">_xll.FDS($E$7,"P_PRICE("&amp;D214&amp;",0,D,D)")</f>
        <v>85.95</v>
      </c>
      <c r="F214" s="29" cm="1">
        <f t="array" aca="1" ref="F214" ca="1">_xll.FDS($E$7,"P_BETA_LOCIDX("&amp;$AG214&amp;","&amp;$AL214&amp;",,"""&amp;$E$9&amp;""")")</f>
        <v>1.2550011999999999</v>
      </c>
      <c r="G214" s="30">
        <f t="shared" ref="G214:J277" ca="1" si="52">+O214-K214</f>
        <v>-3.4543080032213055E-2</v>
      </c>
      <c r="H214" s="30">
        <f t="shared" ca="1" si="52"/>
        <v>2.0037588120437676E-2</v>
      </c>
      <c r="I214" s="30">
        <f t="shared" ca="1" si="52"/>
        <v>-5.7256715745934897E-2</v>
      </c>
      <c r="J214" s="30">
        <f t="shared" ca="1" si="52"/>
        <v>4.8601866138885397E-3</v>
      </c>
      <c r="K214" s="30">
        <f t="shared" ref="K214:N277" ca="1" si="53">+X214*$F214</f>
        <v>0.10423816403968054</v>
      </c>
      <c r="L214" s="30">
        <f t="shared" ca="1" si="53"/>
        <v>-5.2676867805299697E-2</v>
      </c>
      <c r="M214" s="30">
        <f t="shared" ca="1" si="53"/>
        <v>-4.8734546995899894E-2</v>
      </c>
      <c r="N214" s="30">
        <f t="shared" ca="1" si="53"/>
        <v>-0.12557629914585777</v>
      </c>
      <c r="O214" s="30">
        <f t="shared" ref="O214:O277" ca="1" si="54">+S214/T214-1</f>
        <v>6.9695084007467489E-2</v>
      </c>
      <c r="P214" s="30">
        <f t="shared" ref="P214:P277" ca="1" si="55">+S214/U214-1</f>
        <v>-3.2639279684862021E-2</v>
      </c>
      <c r="Q214" s="30">
        <f t="shared" ref="Q214:Q277" ca="1" si="56">+S214/V214-1</f>
        <v>-0.10599126274183479</v>
      </c>
      <c r="R214" s="30">
        <f t="shared" ref="R214:R277" ca="1" si="57">+S214/W214-1</f>
        <v>-0.12071611253196923</v>
      </c>
      <c r="S214" s="9" cm="1">
        <f t="array" aca="1" ref="S214" ca="1">_xll.FDS($E$7,"P_PRICE("&amp;AG214&amp;",0,D,D)")</f>
        <v>85.95</v>
      </c>
      <c r="T214" s="9" cm="1">
        <f t="array" aca="1" ref="T214" ca="1">_xll.FDS($E$7,"P_PRICE("&amp;AH214&amp;",0,D,D)")</f>
        <v>80.349999999999994</v>
      </c>
      <c r="U214" s="9" cm="1">
        <f t="array" aca="1" ref="U214" ca="1">_xll.FDS($E$7,"P_PRICE("&amp;AI214&amp;",0,D,D)")</f>
        <v>88.85</v>
      </c>
      <c r="V214" s="9" cm="1">
        <f t="array" aca="1" ref="V214" ca="1">_xll.FDS($E$7,"P_PRICE("&amp;AJ214&amp;",0,D,D)")</f>
        <v>96.14</v>
      </c>
      <c r="W214" s="9" cm="1">
        <f t="array" aca="1" ref="W214" ca="1">_xll.FDS($E$7,"P_PRICE("&amp;AK214&amp;",0,D,D)")</f>
        <v>97.75</v>
      </c>
      <c r="X214" s="24">
        <f t="shared" ref="X214:X277" ca="1" si="58">+AB214/AC214-1</f>
        <v>8.3058218621369084E-2</v>
      </c>
      <c r="Y214" s="24">
        <f t="shared" ref="Y214:Y277" ca="1" si="59">+AB214/AD214-1</f>
        <v>-4.1973559710779318E-2</v>
      </c>
      <c r="Z214" s="24">
        <f t="shared" ref="Z214:Z277" ca="1" si="60">+AB214/AE214-1</f>
        <v>-3.8832271232808302E-2</v>
      </c>
      <c r="AA214" s="24">
        <f t="shared" ref="AA214:AA277" ca="1" si="61">+AB214/AF214-1</f>
        <v>-0.10006070045658744</v>
      </c>
      <c r="AB214" s="9" cm="1">
        <f t="array" aca="1" ref="AB214" ca="1">_xll.FDS($E$9,"P_PRICE("&amp;AG214&amp;",0,D,D)")</f>
        <v>5396.63</v>
      </c>
      <c r="AC214" s="9" cm="1">
        <f t="array" aca="1" ref="AC214" ca="1">_xll.FDS($E$9,"P_PRICE("&amp;AH214&amp;",0,D,D)")</f>
        <v>4982.7700000000004</v>
      </c>
      <c r="AD214" s="9" cm="1">
        <f t="array" aca="1" ref="AD214" ca="1">_xll.FDS($E$9,"P_PRICE("&amp;AI214&amp;",0,D,D)")</f>
        <v>5633.07</v>
      </c>
      <c r="AE214" s="9" cm="1">
        <f t="array" aca="1" ref="AE214" ca="1">_xll.FDS($E$9,"P_PRICE("&amp;AJ214&amp;",0,D,D)")</f>
        <v>5614.66</v>
      </c>
      <c r="AF214" s="9" cm="1">
        <f t="array" aca="1" ref="AF214" ca="1">_xll.FDS($E$9,"P_PRICE("&amp;AK214&amp;",0,D,D)")</f>
        <v>5996.66</v>
      </c>
      <c r="AG214" s="20">
        <f t="shared" ca="1" si="51"/>
        <v>45762</v>
      </c>
      <c r="AH214" s="22">
        <f t="shared" ref="AH214:AH277" ca="1" si="62">+WORKDAY($AG214, -5, $AN$2:$AN$100)</f>
        <v>45755</v>
      </c>
      <c r="AI214" s="22">
        <f t="shared" ref="AI214:AI277" ca="1" si="63">+WORKDAY($AG214, -10, $AN$2:$AN$100)</f>
        <v>45748</v>
      </c>
      <c r="AJ214" s="22">
        <f t="shared" ref="AJ214:AJ277" ca="1" si="64">+WORKDAY($AG214, -20, $AN$2:$AN$100)</f>
        <v>45734</v>
      </c>
      <c r="AK214" s="22">
        <f t="shared" ref="AK214:AK277" ca="1" si="65">+WORKDAY($AG214, -60, $AN$2:$AN$100)</f>
        <v>45674</v>
      </c>
      <c r="AL214" s="22">
        <f t="shared" ref="AL214:AL277" ca="1" si="66">+WORKDAY($AG214, -120, $AN$2:$AN$100)</f>
        <v>45586</v>
      </c>
    </row>
    <row r="215" spans="4:38" x14ac:dyDescent="0.25">
      <c r="D215" s="6">
        <f ca="1"/>
        <v>45761</v>
      </c>
      <c r="E215" s="28" cm="1">
        <f t="array" aca="1" ref="E215" ca="1">_xll.FDS($E$7,"P_PRICE("&amp;D215&amp;",0,D,D)")</f>
        <v>85.78</v>
      </c>
      <c r="F215" s="29" cm="1">
        <f t="array" aca="1" ref="F215" ca="1">_xll.FDS($E$7,"P_BETA_LOCIDX("&amp;$AG215&amp;","&amp;$AL215&amp;",,"""&amp;$E$9&amp;""")")</f>
        <v>1.2539715</v>
      </c>
      <c r="G215" s="30">
        <f t="shared" ca="1" si="52"/>
        <v>-2.8999179668569727E-2</v>
      </c>
      <c r="H215" s="30">
        <f t="shared" ca="1" si="52"/>
        <v>2.1109168196749566E-2</v>
      </c>
      <c r="I215" s="30">
        <f t="shared" ca="1" si="52"/>
        <v>-5.9197206549383402E-2</v>
      </c>
      <c r="J215" s="30">
        <f t="shared" ca="1" si="52"/>
        <v>9.6000199368722616E-3</v>
      </c>
      <c r="K215" s="30">
        <f t="shared" ca="1" si="53"/>
        <v>8.5142986612672208E-2</v>
      </c>
      <c r="L215" s="30">
        <f t="shared" ca="1" si="53"/>
        <v>-4.6004018713971299E-2</v>
      </c>
      <c r="M215" s="30">
        <f t="shared" ca="1" si="53"/>
        <v>-5.9471241000190217E-2</v>
      </c>
      <c r="N215" s="30">
        <f t="shared" ca="1" si="53"/>
        <v>-0.11222581761445366</v>
      </c>
      <c r="O215" s="30">
        <f t="shared" ca="1" si="54"/>
        <v>5.6143806944102481E-2</v>
      </c>
      <c r="P215" s="30">
        <f t="shared" ca="1" si="55"/>
        <v>-2.4894850517221734E-2</v>
      </c>
      <c r="Q215" s="30">
        <f t="shared" ca="1" si="56"/>
        <v>-0.11866844754957362</v>
      </c>
      <c r="R215" s="30">
        <f t="shared" ca="1" si="57"/>
        <v>-0.1026257976775814</v>
      </c>
      <c r="S215" s="9" cm="1">
        <f t="array" aca="1" ref="S215" ca="1">_xll.FDS($E$7,"P_PRICE("&amp;AG215&amp;",0,D,D)")</f>
        <v>85.78</v>
      </c>
      <c r="T215" s="9" cm="1">
        <f t="array" aca="1" ref="T215" ca="1">_xll.FDS($E$7,"P_PRICE("&amp;AH215&amp;",0,D,D)")</f>
        <v>81.22</v>
      </c>
      <c r="U215" s="9" cm="1">
        <f t="array" aca="1" ref="U215" ca="1">_xll.FDS($E$7,"P_PRICE("&amp;AI215&amp;",0,D,D)")</f>
        <v>87.97</v>
      </c>
      <c r="V215" s="9" cm="1">
        <f t="array" aca="1" ref="V215" ca="1">_xll.FDS($E$7,"P_PRICE("&amp;AJ215&amp;",0,D,D)")</f>
        <v>97.33</v>
      </c>
      <c r="W215" s="9" cm="1">
        <f t="array" aca="1" ref="W215" ca="1">_xll.FDS($E$7,"P_PRICE("&amp;AK215&amp;",0,D,D)")</f>
        <v>95.59</v>
      </c>
      <c r="X215" s="24">
        <f t="shared" ca="1" si="58"/>
        <v>6.7898661662304294E-2</v>
      </c>
      <c r="Y215" s="24">
        <f t="shared" ca="1" si="59"/>
        <v>-3.6686654133663565E-2</v>
      </c>
      <c r="Z215" s="24">
        <f t="shared" ca="1" si="60"/>
        <v>-4.7426309928248145E-2</v>
      </c>
      <c r="AA215" s="24">
        <f t="shared" ca="1" si="61"/>
        <v>-8.9496306426783745E-2</v>
      </c>
      <c r="AB215" s="9" cm="1">
        <f t="array" aca="1" ref="AB215" ca="1">_xll.FDS($E$9,"P_PRICE("&amp;AG215&amp;",0,D,D)")</f>
        <v>5405.97</v>
      </c>
      <c r="AC215" s="9" cm="1">
        <f t="array" aca="1" ref="AC215" ca="1">_xll.FDS($E$9,"P_PRICE("&amp;AH215&amp;",0,D,D)")</f>
        <v>5062.25</v>
      </c>
      <c r="AD215" s="9" cm="1">
        <f t="array" aca="1" ref="AD215" ca="1">_xll.FDS($E$9,"P_PRICE("&amp;AI215&amp;",0,D,D)")</f>
        <v>5611.85</v>
      </c>
      <c r="AE215" s="9" cm="1">
        <f t="array" aca="1" ref="AE215" ca="1">_xll.FDS($E$9,"P_PRICE("&amp;AJ215&amp;",0,D,D)")</f>
        <v>5675.12</v>
      </c>
      <c r="AF215" s="9" cm="1">
        <f t="array" aca="1" ref="AF215" ca="1">_xll.FDS($E$9,"P_PRICE("&amp;AK215&amp;",0,D,D)")</f>
        <v>5937.34</v>
      </c>
      <c r="AG215" s="20">
        <f t="shared" ref="AG215:AG278" ca="1" si="67">+WORKDAY(D215, 0, $AN$2:$AN$59)</f>
        <v>45761</v>
      </c>
      <c r="AH215" s="22">
        <f t="shared" ca="1" si="62"/>
        <v>45754</v>
      </c>
      <c r="AI215" s="22">
        <f t="shared" ca="1" si="63"/>
        <v>45747</v>
      </c>
      <c r="AJ215" s="22">
        <f t="shared" ca="1" si="64"/>
        <v>45733</v>
      </c>
      <c r="AK215" s="22">
        <f t="shared" ca="1" si="65"/>
        <v>45673</v>
      </c>
      <c r="AL215" s="22">
        <f t="shared" ca="1" si="66"/>
        <v>45583</v>
      </c>
    </row>
    <row r="216" spans="4:38" x14ac:dyDescent="0.25">
      <c r="D216" s="6">
        <f ca="1"/>
        <v>45758</v>
      </c>
      <c r="E216" s="28" cm="1">
        <f t="array" aca="1" ref="E216" ca="1">_xll.FDS($E$7,"P_PRICE("&amp;D216&amp;",0,D,D)")</f>
        <v>84.74</v>
      </c>
      <c r="F216" s="29" cm="1">
        <f t="array" aca="1" ref="F216" ca="1">_xll.FDS($E$7,"P_BETA_LOCIDX("&amp;$AG216&amp;","&amp;$AL216&amp;",,"""&amp;$E$9&amp;""")")</f>
        <v>1.2534299</v>
      </c>
      <c r="G216" s="30">
        <f t="shared" ca="1" si="52"/>
        <v>-2.3605112048879925E-2</v>
      </c>
      <c r="H216" s="30">
        <f t="shared" ca="1" si="52"/>
        <v>1.0291554612935953E-2</v>
      </c>
      <c r="I216" s="30">
        <f t="shared" ca="1" si="52"/>
        <v>-6.531560974993568E-2</v>
      </c>
      <c r="J216" s="30">
        <f t="shared" ca="1" si="52"/>
        <v>8.5778327588608566E-3</v>
      </c>
      <c r="K216" s="30">
        <f t="shared" ca="1" si="53"/>
        <v>7.1459693475861438E-2</v>
      </c>
      <c r="L216" s="30">
        <f t="shared" ca="1" si="53"/>
        <v>-4.8866548940142744E-2</v>
      </c>
      <c r="M216" s="30">
        <f t="shared" ca="1" si="53"/>
        <v>-6.1256231107619449E-2</v>
      </c>
      <c r="N216" s="30">
        <f t="shared" ca="1" si="53"/>
        <v>-0.12356477792857372</v>
      </c>
      <c r="O216" s="30">
        <f t="shared" ca="1" si="54"/>
        <v>4.7854581426981513E-2</v>
      </c>
      <c r="P216" s="30">
        <f t="shared" ca="1" si="55"/>
        <v>-3.8574994327206791E-2</v>
      </c>
      <c r="Q216" s="30">
        <f t="shared" ca="1" si="56"/>
        <v>-0.12657184085755513</v>
      </c>
      <c r="R216" s="30">
        <f t="shared" ca="1" si="57"/>
        <v>-0.11498694516971286</v>
      </c>
      <c r="S216" s="9" cm="1">
        <f t="array" aca="1" ref="S216" ca="1">_xll.FDS($E$7,"P_PRICE("&amp;AG216&amp;",0,D,D)")</f>
        <v>84.74</v>
      </c>
      <c r="T216" s="9" cm="1">
        <f t="array" aca="1" ref="T216" ca="1">_xll.FDS($E$7,"P_PRICE("&amp;AH216&amp;",0,D,D)")</f>
        <v>80.87</v>
      </c>
      <c r="U216" s="9" cm="1">
        <f t="array" aca="1" ref="U216" ca="1">_xll.FDS($E$7,"P_PRICE("&amp;AI216&amp;",0,D,D)")</f>
        <v>88.14</v>
      </c>
      <c r="V216" s="9" cm="1">
        <f t="array" aca="1" ref="V216" ca="1">_xll.FDS($E$7,"P_PRICE("&amp;AJ216&amp;",0,D,D)")</f>
        <v>97.02</v>
      </c>
      <c r="W216" s="9" cm="1">
        <f t="array" aca="1" ref="W216" ca="1">_xll.FDS($E$7,"P_PRICE("&amp;AK216&amp;",0,D,D)")</f>
        <v>95.75</v>
      </c>
      <c r="X216" s="24">
        <f t="shared" ca="1" si="58"/>
        <v>5.7011320278749889E-2</v>
      </c>
      <c r="Y216" s="24">
        <f t="shared" ca="1" si="59"/>
        <v>-3.8986263962701662E-2</v>
      </c>
      <c r="Z216" s="24">
        <f t="shared" ca="1" si="60"/>
        <v>-4.8870887081614578E-2</v>
      </c>
      <c r="AA216" s="24">
        <f t="shared" ca="1" si="61"/>
        <v>-9.8581323078836491E-2</v>
      </c>
      <c r="AB216" s="9" cm="1">
        <f t="array" aca="1" ref="AB216" ca="1">_xll.FDS($E$9,"P_PRICE("&amp;AG216&amp;",0,D,D)")</f>
        <v>5363.36</v>
      </c>
      <c r="AC216" s="9" cm="1">
        <f t="array" aca="1" ref="AC216" ca="1">_xll.FDS($E$9,"P_PRICE("&amp;AH216&amp;",0,D,D)")</f>
        <v>5074.08</v>
      </c>
      <c r="AD216" s="9" cm="1">
        <f t="array" aca="1" ref="AD216" ca="1">_xll.FDS($E$9,"P_PRICE("&amp;AI216&amp;",0,D,D)")</f>
        <v>5580.94</v>
      </c>
      <c r="AE216" s="9" cm="1">
        <f t="array" aca="1" ref="AE216" ca="1">_xll.FDS($E$9,"P_PRICE("&amp;AJ216&amp;",0,D,D)")</f>
        <v>5638.94</v>
      </c>
      <c r="AF216" s="9" cm="1">
        <f t="array" aca="1" ref="AF216" ca="1">_xll.FDS($E$9,"P_PRICE("&amp;AK216&amp;",0,D,D)")</f>
        <v>5949.91</v>
      </c>
      <c r="AG216" s="20">
        <f t="shared" ca="1" si="67"/>
        <v>45758</v>
      </c>
      <c r="AH216" s="22">
        <f t="shared" ca="1" si="62"/>
        <v>45751</v>
      </c>
      <c r="AI216" s="22">
        <f t="shared" ca="1" si="63"/>
        <v>45744</v>
      </c>
      <c r="AJ216" s="22">
        <f t="shared" ca="1" si="64"/>
        <v>45730</v>
      </c>
      <c r="AK216" s="22">
        <f t="shared" ca="1" si="65"/>
        <v>45672</v>
      </c>
      <c r="AL216" s="22">
        <f t="shared" ca="1" si="66"/>
        <v>45582</v>
      </c>
    </row>
    <row r="217" spans="4:38" x14ac:dyDescent="0.25">
      <c r="D217" s="6">
        <f ca="1"/>
        <v>45757</v>
      </c>
      <c r="E217" s="28" cm="1">
        <f t="array" aca="1" ref="E217" ca="1">_xll.FDS($E$7,"P_PRICE("&amp;D217&amp;",0,D,D)")</f>
        <v>83.26</v>
      </c>
      <c r="F217" s="29" cm="1">
        <f t="array" aca="1" ref="F217" ca="1">_xll.FDS($E$7,"P_BETA_LOCIDX("&amp;$AG217&amp;","&amp;$AL217&amp;",,"""&amp;$E$9&amp;""")")</f>
        <v>1.2556114</v>
      </c>
      <c r="G217" s="30">
        <f t="shared" ca="1" si="52"/>
        <v>-5.8934090691524221E-3</v>
      </c>
      <c r="H217" s="30">
        <f t="shared" ca="1" si="52"/>
        <v>-2.5875827434870824E-3</v>
      </c>
      <c r="I217" s="30">
        <f t="shared" ca="1" si="52"/>
        <v>-6.2233257185280368E-2</v>
      </c>
      <c r="J217" s="30">
        <f t="shared" ca="1" si="52"/>
        <v>2.1797493751896838E-2</v>
      </c>
      <c r="K217" s="30">
        <f t="shared" ca="1" si="53"/>
        <v>-2.9891188498884558E-2</v>
      </c>
      <c r="L217" s="30">
        <f t="shared" ca="1" si="53"/>
        <v>-9.3787498654385681E-2</v>
      </c>
      <c r="M217" s="30">
        <f t="shared" ca="1" si="53"/>
        <v>-5.7639892920427725E-2</v>
      </c>
      <c r="N217" s="30">
        <f t="shared" ca="1" si="53"/>
        <v>-0.12353446645661144</v>
      </c>
      <c r="O217" s="30">
        <f t="shared" ca="1" si="54"/>
        <v>-3.578459756803698E-2</v>
      </c>
      <c r="P217" s="30">
        <f t="shared" ca="1" si="55"/>
        <v>-9.6375081397872764E-2</v>
      </c>
      <c r="Q217" s="30">
        <f t="shared" ca="1" si="56"/>
        <v>-0.11987315010570809</v>
      </c>
      <c r="R217" s="30">
        <f t="shared" ca="1" si="57"/>
        <v>-0.1017369727047146</v>
      </c>
      <c r="S217" s="9" cm="1">
        <f t="array" aca="1" ref="S217" ca="1">_xll.FDS($E$7,"P_PRICE("&amp;AG217&amp;",0,D,D)")</f>
        <v>83.26</v>
      </c>
      <c r="T217" s="9" cm="1">
        <f t="array" aca="1" ref="T217" ca="1">_xll.FDS($E$7,"P_PRICE("&amp;AH217&amp;",0,D,D)")</f>
        <v>86.35</v>
      </c>
      <c r="U217" s="9" cm="1">
        <f t="array" aca="1" ref="U217" ca="1">_xll.FDS($E$7,"P_PRICE("&amp;AI217&amp;",0,D,D)")</f>
        <v>92.14</v>
      </c>
      <c r="V217" s="9" cm="1">
        <f t="array" aca="1" ref="V217" ca="1">_xll.FDS($E$7,"P_PRICE("&amp;AJ217&amp;",0,D,D)")</f>
        <v>94.6</v>
      </c>
      <c r="W217" s="9" cm="1">
        <f t="array" aca="1" ref="W217" ca="1">_xll.FDS($E$7,"P_PRICE("&amp;AK217&amp;",0,D,D)")</f>
        <v>92.69</v>
      </c>
      <c r="X217" s="24">
        <f t="shared" ca="1" si="58"/>
        <v>-2.3806082438312171E-2</v>
      </c>
      <c r="Y217" s="24">
        <f t="shared" ca="1" si="59"/>
        <v>-7.4694685516861092E-2</v>
      </c>
      <c r="Z217" s="24">
        <f t="shared" ca="1" si="60"/>
        <v>-4.5905837523000925E-2</v>
      </c>
      <c r="AA217" s="24">
        <f t="shared" ca="1" si="61"/>
        <v>-9.8385907022356944E-2</v>
      </c>
      <c r="AB217" s="9" cm="1">
        <f t="array" aca="1" ref="AB217" ca="1">_xll.FDS($E$9,"P_PRICE("&amp;AG217&amp;",0,D,D)")</f>
        <v>5268.05</v>
      </c>
      <c r="AC217" s="9" cm="1">
        <f t="array" aca="1" ref="AC217" ca="1">_xll.FDS($E$9,"P_PRICE("&amp;AH217&amp;",0,D,D)")</f>
        <v>5396.52</v>
      </c>
      <c r="AD217" s="9" cm="1">
        <f t="array" aca="1" ref="AD217" ca="1">_xll.FDS($E$9,"P_PRICE("&amp;AI217&amp;",0,D,D)")</f>
        <v>5693.31</v>
      </c>
      <c r="AE217" s="9" cm="1">
        <f t="array" aca="1" ref="AE217" ca="1">_xll.FDS($E$9,"P_PRICE("&amp;AJ217&amp;",0,D,D)")</f>
        <v>5521.52</v>
      </c>
      <c r="AF217" s="9" cm="1">
        <f t="array" aca="1" ref="AF217" ca="1">_xll.FDS($E$9,"P_PRICE("&amp;AK217&amp;",0,D,D)")</f>
        <v>5842.91</v>
      </c>
      <c r="AG217" s="20">
        <f t="shared" ca="1" si="67"/>
        <v>45757</v>
      </c>
      <c r="AH217" s="22">
        <f t="shared" ca="1" si="62"/>
        <v>45750</v>
      </c>
      <c r="AI217" s="22">
        <f t="shared" ca="1" si="63"/>
        <v>45743</v>
      </c>
      <c r="AJ217" s="22">
        <f t="shared" ca="1" si="64"/>
        <v>45729</v>
      </c>
      <c r="AK217" s="22">
        <f t="shared" ca="1" si="65"/>
        <v>45671</v>
      </c>
      <c r="AL217" s="22">
        <f t="shared" ca="1" si="66"/>
        <v>45581</v>
      </c>
    </row>
    <row r="218" spans="4:38" x14ac:dyDescent="0.25">
      <c r="D218" s="6">
        <f ca="1"/>
        <v>45756</v>
      </c>
      <c r="E218" s="28" cm="1">
        <f t="array" aca="1" ref="E218" ca="1">_xll.FDS($E$7,"P_PRICE("&amp;D218&amp;",0,D,D)")</f>
        <v>89.03</v>
      </c>
      <c r="F218" s="29" cm="1">
        <f t="array" aca="1" ref="F218" ca="1">_xll.FDS($E$7,"P_BETA_LOCIDX("&amp;$AG218&amp;","&amp;$AL218&amp;",,"""&amp;$E$9&amp;""")")</f>
        <v>1.2213947999999999</v>
      </c>
      <c r="G218" s="30">
        <f t="shared" ca="1" si="52"/>
        <v>2.8451491613890594E-2</v>
      </c>
      <c r="H218" s="30">
        <f t="shared" ca="1" si="52"/>
        <v>-4.0916910457825459E-3</v>
      </c>
      <c r="I218" s="30">
        <f t="shared" ca="1" si="52"/>
        <v>-6.3977434513452724E-2</v>
      </c>
      <c r="J218" s="30">
        <f t="shared" ca="1" si="52"/>
        <v>5.1857541642646318E-2</v>
      </c>
      <c r="K218" s="30">
        <f t="shared" ca="1" si="53"/>
        <v>-4.6105690002944948E-2</v>
      </c>
      <c r="L218" s="30">
        <f t="shared" ca="1" si="53"/>
        <v>-5.4588791085746331E-2</v>
      </c>
      <c r="M218" s="30">
        <f t="shared" ca="1" si="53"/>
        <v>-3.1062207690247142E-2</v>
      </c>
      <c r="N218" s="30">
        <f t="shared" ca="1" si="53"/>
        <v>-7.9383483750783954E-2</v>
      </c>
      <c r="O218" s="30">
        <f t="shared" ca="1" si="54"/>
        <v>-1.7654198389054354E-2</v>
      </c>
      <c r="P218" s="30">
        <f t="shared" ca="1" si="55"/>
        <v>-5.8680482131528877E-2</v>
      </c>
      <c r="Q218" s="30">
        <f t="shared" ca="1" si="56"/>
        <v>-9.503964220369987E-2</v>
      </c>
      <c r="R218" s="30">
        <f t="shared" ca="1" si="57"/>
        <v>-2.7525942108137635E-2</v>
      </c>
      <c r="S218" s="9" cm="1">
        <f t="array" aca="1" ref="S218" ca="1">_xll.FDS($E$7,"P_PRICE("&amp;AG218&amp;",0,D,D)")</f>
        <v>89.03</v>
      </c>
      <c r="T218" s="9" cm="1">
        <f t="array" aca="1" ref="T218" ca="1">_xll.FDS($E$7,"P_PRICE("&amp;AH218&amp;",0,D,D)")</f>
        <v>90.63</v>
      </c>
      <c r="U218" s="9" cm="1">
        <f t="array" aca="1" ref="U218" ca="1">_xll.FDS($E$7,"P_PRICE("&amp;AI218&amp;",0,D,D)")</f>
        <v>94.58</v>
      </c>
      <c r="V218" s="9" cm="1">
        <f t="array" aca="1" ref="V218" ca="1">_xll.FDS($E$7,"P_PRICE("&amp;AJ218&amp;",0,D,D)")</f>
        <v>98.38</v>
      </c>
      <c r="W218" s="9" cm="1">
        <f t="array" aca="1" ref="W218" ca="1">_xll.FDS($E$7,"P_PRICE("&amp;AK218&amp;",0,D,D)")</f>
        <v>91.55</v>
      </c>
      <c r="X218" s="24">
        <f t="shared" ca="1" si="58"/>
        <v>-3.7748392250355867E-2</v>
      </c>
      <c r="Y218" s="24">
        <f t="shared" ca="1" si="59"/>
        <v>-4.4693813241833302E-2</v>
      </c>
      <c r="Z218" s="24">
        <f t="shared" ca="1" si="60"/>
        <v>-2.5431750397371222E-2</v>
      </c>
      <c r="AA218" s="24">
        <f t="shared" ca="1" si="61"/>
        <v>-6.499412290832085E-2</v>
      </c>
      <c r="AB218" s="9" cm="1">
        <f t="array" aca="1" ref="AB218" ca="1">_xll.FDS($E$9,"P_PRICE("&amp;AG218&amp;",0,D,D)")</f>
        <v>5456.9</v>
      </c>
      <c r="AC218" s="9" cm="1">
        <f t="array" aca="1" ref="AC218" ca="1">_xll.FDS($E$9,"P_PRICE("&amp;AH218&amp;",0,D,D)")</f>
        <v>5670.97</v>
      </c>
      <c r="AD218" s="9" cm="1">
        <f t="array" aca="1" ref="AD218" ca="1">_xll.FDS($E$9,"P_PRICE("&amp;AI218&amp;",0,D,D)")</f>
        <v>5712.2</v>
      </c>
      <c r="AE218" s="9" cm="1">
        <f t="array" aca="1" ref="AE218" ca="1">_xll.FDS($E$9,"P_PRICE("&amp;AJ218&amp;",0,D,D)")</f>
        <v>5599.3</v>
      </c>
      <c r="AF218" s="9" cm="1">
        <f t="array" aca="1" ref="AF218" ca="1">_xll.FDS($E$9,"P_PRICE("&amp;AK218&amp;",0,D,D)")</f>
        <v>5836.22</v>
      </c>
      <c r="AG218" s="20">
        <f t="shared" ca="1" si="67"/>
        <v>45756</v>
      </c>
      <c r="AH218" s="22">
        <f t="shared" ca="1" si="62"/>
        <v>45749</v>
      </c>
      <c r="AI218" s="22">
        <f t="shared" ca="1" si="63"/>
        <v>45742</v>
      </c>
      <c r="AJ218" s="22">
        <f t="shared" ca="1" si="64"/>
        <v>45728</v>
      </c>
      <c r="AK218" s="22">
        <f t="shared" ca="1" si="65"/>
        <v>45670</v>
      </c>
      <c r="AL218" s="22">
        <f t="shared" ca="1" si="66"/>
        <v>45580</v>
      </c>
    </row>
    <row r="219" spans="4:38" x14ac:dyDescent="0.25">
      <c r="D219" s="6">
        <f ca="1"/>
        <v>45755</v>
      </c>
      <c r="E219" s="28" cm="1">
        <f t="array" aca="1" ref="E219" ca="1">_xll.FDS($E$7,"P_PRICE("&amp;D219&amp;",0,D,D)")</f>
        <v>80.349999999999994</v>
      </c>
      <c r="F219" s="29" cm="1">
        <f t="array" aca="1" ref="F219" ca="1">_xll.FDS($E$7,"P_BETA_LOCIDX("&amp;$AG219&amp;","&amp;$AL219&amp;",,"""&amp;$E$9&amp;""")")</f>
        <v>1.2723222000000001</v>
      </c>
      <c r="G219" s="30">
        <f t="shared" ca="1" si="52"/>
        <v>5.1214176283462531E-2</v>
      </c>
      <c r="H219" s="30">
        <f t="shared" ca="1" si="52"/>
        <v>-1.0319780862006717E-2</v>
      </c>
      <c r="I219" s="30">
        <f t="shared" ca="1" si="52"/>
        <v>-1.6343207906478169E-2</v>
      </c>
      <c r="J219" s="30">
        <f t="shared" ca="1" si="52"/>
        <v>5.9807682006780355E-2</v>
      </c>
      <c r="K219" s="30">
        <f t="shared" ca="1" si="53"/>
        <v>-0.14688103053219631</v>
      </c>
      <c r="L219" s="30">
        <f t="shared" ca="1" si="53"/>
        <v>-0.17485413659058432</v>
      </c>
      <c r="M219" s="30">
        <f t="shared" ca="1" si="53"/>
        <v>-0.13456031106213648</v>
      </c>
      <c r="N219" s="30">
        <f t="shared" ca="1" si="53"/>
        <v>-0.18434461815844741</v>
      </c>
      <c r="O219" s="30">
        <f t="shared" ca="1" si="54"/>
        <v>-9.5666854248733779E-2</v>
      </c>
      <c r="P219" s="30">
        <f t="shared" ca="1" si="55"/>
        <v>-0.18517391745259104</v>
      </c>
      <c r="Q219" s="30">
        <f t="shared" ca="1" si="56"/>
        <v>-0.15090351896861465</v>
      </c>
      <c r="R219" s="30">
        <f t="shared" ca="1" si="57"/>
        <v>-0.12453693615166705</v>
      </c>
      <c r="S219" s="9" cm="1">
        <f t="array" aca="1" ref="S219" ca="1">_xll.FDS($E$7,"P_PRICE("&amp;AG219&amp;",0,D,D)")</f>
        <v>80.349999999999994</v>
      </c>
      <c r="T219" s="9" cm="1">
        <f t="array" aca="1" ref="T219" ca="1">_xll.FDS($E$7,"P_PRICE("&amp;AH219&amp;",0,D,D)")</f>
        <v>88.85</v>
      </c>
      <c r="U219" s="9" cm="1">
        <f t="array" aca="1" ref="U219" ca="1">_xll.FDS($E$7,"P_PRICE("&amp;AI219&amp;",0,D,D)")</f>
        <v>98.61</v>
      </c>
      <c r="V219" s="9" cm="1">
        <f t="array" aca="1" ref="V219" ca="1">_xll.FDS($E$7,"P_PRICE("&amp;AJ219&amp;",0,D,D)")</f>
        <v>94.63</v>
      </c>
      <c r="W219" s="9" cm="1">
        <f t="array" aca="1" ref="W219" ca="1">_xll.FDS($E$7,"P_PRICE("&amp;AK219&amp;",0,D,D)")</f>
        <v>91.78</v>
      </c>
      <c r="X219" s="24">
        <f t="shared" ca="1" si="58"/>
        <v>-0.11544326628286161</v>
      </c>
      <c r="Y219" s="24">
        <f t="shared" ca="1" si="59"/>
        <v>-0.13742913280188329</v>
      </c>
      <c r="Z219" s="24">
        <f t="shared" ca="1" si="60"/>
        <v>-0.10575961895668917</v>
      </c>
      <c r="AA219" s="24">
        <f t="shared" ca="1" si="61"/>
        <v>-0.1448883137922512</v>
      </c>
      <c r="AB219" s="9" cm="1">
        <f t="array" aca="1" ref="AB219" ca="1">_xll.FDS($E$9,"P_PRICE("&amp;AG219&amp;",0,D,D)")</f>
        <v>4982.7700000000004</v>
      </c>
      <c r="AC219" s="9" cm="1">
        <f t="array" aca="1" ref="AC219" ca="1">_xll.FDS($E$9,"P_PRICE("&amp;AH219&amp;",0,D,D)")</f>
        <v>5633.07</v>
      </c>
      <c r="AD219" s="9" cm="1">
        <f t="array" aca="1" ref="AD219" ca="1">_xll.FDS($E$9,"P_PRICE("&amp;AI219&amp;",0,D,D)")</f>
        <v>5776.65</v>
      </c>
      <c r="AE219" s="9" cm="1">
        <f t="array" aca="1" ref="AE219" ca="1">_xll.FDS($E$9,"P_PRICE("&amp;AJ219&amp;",0,D,D)")</f>
        <v>5572.07</v>
      </c>
      <c r="AF219" s="9" cm="1">
        <f t="array" aca="1" ref="AF219" ca="1">_xll.FDS($E$9,"P_PRICE("&amp;AK219&amp;",0,D,D)")</f>
        <v>5827.04</v>
      </c>
      <c r="AG219" s="20">
        <f t="shared" ca="1" si="67"/>
        <v>45755</v>
      </c>
      <c r="AH219" s="22">
        <f t="shared" ca="1" si="62"/>
        <v>45748</v>
      </c>
      <c r="AI219" s="22">
        <f t="shared" ca="1" si="63"/>
        <v>45741</v>
      </c>
      <c r="AJ219" s="22">
        <f t="shared" ca="1" si="64"/>
        <v>45727</v>
      </c>
      <c r="AK219" s="22">
        <f t="shared" ca="1" si="65"/>
        <v>45667</v>
      </c>
      <c r="AL219" s="22">
        <f t="shared" ca="1" si="66"/>
        <v>45579</v>
      </c>
    </row>
    <row r="220" spans="4:38" x14ac:dyDescent="0.25">
      <c r="D220" s="6">
        <f ca="1"/>
        <v>45754</v>
      </c>
      <c r="E220" s="28" cm="1">
        <f t="array" aca="1" ref="E220" ca="1">_xll.FDS($E$7,"P_PRICE("&amp;D220&amp;",0,D,D)")</f>
        <v>81.22</v>
      </c>
      <c r="F220" s="29" cm="1">
        <f t="array" aca="1" ref="F220" ca="1">_xll.FDS($E$7,"P_BETA_LOCIDX("&amp;$AG220&amp;","&amp;$AL220&amp;",,"""&amp;$E$9&amp;""")")</f>
        <v>1.2825808999999999</v>
      </c>
      <c r="G220" s="30">
        <f t="shared" ca="1" si="52"/>
        <v>4.8879649913579515E-2</v>
      </c>
      <c r="H220" s="30">
        <f t="shared" ca="1" si="52"/>
        <v>-1.5474751744944476E-2</v>
      </c>
      <c r="I220" s="30">
        <f t="shared" ca="1" si="52"/>
        <v>-7.6693218111135164E-3</v>
      </c>
      <c r="J220" s="30">
        <f t="shared" ca="1" si="52"/>
        <v>6.346824281780411E-2</v>
      </c>
      <c r="K220" s="30">
        <f t="shared" ca="1" si="53"/>
        <v>-0.12561035356255079</v>
      </c>
      <c r="L220" s="30">
        <f t="shared" ca="1" si="53"/>
        <v>-0.156847677685403</v>
      </c>
      <c r="M220" s="30">
        <f t="shared" ca="1" si="53"/>
        <v>-0.12616879272445219</v>
      </c>
      <c r="N220" s="30">
        <f t="shared" ca="1" si="53"/>
        <v>-0.18550910326532338</v>
      </c>
      <c r="O220" s="30">
        <f t="shared" ca="1" si="54"/>
        <v>-7.6730703648971277E-2</v>
      </c>
      <c r="P220" s="30">
        <f t="shared" ca="1" si="55"/>
        <v>-0.17232242943034748</v>
      </c>
      <c r="Q220" s="30">
        <f t="shared" ca="1" si="56"/>
        <v>-0.13383811453556571</v>
      </c>
      <c r="R220" s="30">
        <f t="shared" ca="1" si="57"/>
        <v>-0.12204086044751927</v>
      </c>
      <c r="S220" s="9" cm="1">
        <f t="array" aca="1" ref="S220" ca="1">_xll.FDS($E$7,"P_PRICE("&amp;AG220&amp;",0,D,D)")</f>
        <v>81.22</v>
      </c>
      <c r="T220" s="9" cm="1">
        <f t="array" aca="1" ref="T220" ca="1">_xll.FDS($E$7,"P_PRICE("&amp;AH220&amp;",0,D,D)")</f>
        <v>87.97</v>
      </c>
      <c r="U220" s="9" cm="1">
        <f t="array" aca="1" ref="U220" ca="1">_xll.FDS($E$7,"P_PRICE("&amp;AI220&amp;",0,D,D)")</f>
        <v>98.13</v>
      </c>
      <c r="V220" s="9" cm="1">
        <f t="array" aca="1" ref="V220" ca="1">_xll.FDS($E$7,"P_PRICE("&amp;AJ220&amp;",0,D,D)")</f>
        <v>93.77</v>
      </c>
      <c r="W220" s="9" cm="1">
        <f t="array" aca="1" ref="W220" ca="1">_xll.FDS($E$7,"P_PRICE("&amp;AK220&amp;",0,D,D)")</f>
        <v>92.51</v>
      </c>
      <c r="X220" s="24">
        <f t="shared" ca="1" si="58"/>
        <v>-9.7935618378966027E-2</v>
      </c>
      <c r="Y220" s="24">
        <f t="shared" ca="1" si="59"/>
        <v>-0.12229067007422534</v>
      </c>
      <c r="Z220" s="24">
        <f t="shared" ca="1" si="60"/>
        <v>-9.8371021059530994E-2</v>
      </c>
      <c r="AA220" s="24">
        <f t="shared" ca="1" si="61"/>
        <v>-0.14463735056815785</v>
      </c>
      <c r="AB220" s="9" cm="1">
        <f t="array" aca="1" ref="AB220" ca="1">_xll.FDS($E$9,"P_PRICE("&amp;AG220&amp;",0,D,D)")</f>
        <v>5062.25</v>
      </c>
      <c r="AC220" s="9" cm="1">
        <f t="array" aca="1" ref="AC220" ca="1">_xll.FDS($E$9,"P_PRICE("&amp;AH220&amp;",0,D,D)")</f>
        <v>5611.85</v>
      </c>
      <c r="AD220" s="9" cm="1">
        <f t="array" aca="1" ref="AD220" ca="1">_xll.FDS($E$9,"P_PRICE("&amp;AI220&amp;",0,D,D)")</f>
        <v>5767.57</v>
      </c>
      <c r="AE220" s="9" cm="1">
        <f t="array" aca="1" ref="AE220" ca="1">_xll.FDS($E$9,"P_PRICE("&amp;AJ220&amp;",0,D,D)")</f>
        <v>5614.56</v>
      </c>
      <c r="AF220" s="9" cm="1">
        <f t="array" aca="1" ref="AF220" ca="1">_xll.FDS($E$9,"P_PRICE("&amp;AK220&amp;",0,D,D)")</f>
        <v>5918.25</v>
      </c>
      <c r="AG220" s="20">
        <f t="shared" ca="1" si="67"/>
        <v>45754</v>
      </c>
      <c r="AH220" s="22">
        <f t="shared" ca="1" si="62"/>
        <v>45747</v>
      </c>
      <c r="AI220" s="22">
        <f t="shared" ca="1" si="63"/>
        <v>45740</v>
      </c>
      <c r="AJ220" s="22">
        <f t="shared" ca="1" si="64"/>
        <v>45726</v>
      </c>
      <c r="AK220" s="22">
        <f t="shared" ca="1" si="65"/>
        <v>45665</v>
      </c>
      <c r="AL220" s="22">
        <f t="shared" ca="1" si="66"/>
        <v>45576</v>
      </c>
    </row>
    <row r="221" spans="4:38" x14ac:dyDescent="0.25">
      <c r="D221" s="6">
        <f ca="1"/>
        <v>45751</v>
      </c>
      <c r="E221" s="28" cm="1">
        <f t="array" aca="1" ref="E221" ca="1">_xll.FDS($E$7,"P_PRICE("&amp;D221&amp;",0,D,D)")</f>
        <v>80.87</v>
      </c>
      <c r="F221" s="29" cm="1">
        <f t="array" aca="1" ref="F221" ca="1">_xll.FDS($E$7,"P_BETA_LOCIDX("&amp;$AG221&amp;","&amp;$AL221&amp;",,"""&amp;$E$9&amp;""")")</f>
        <v>1.28267</v>
      </c>
      <c r="G221" s="30">
        <f t="shared" ca="1" si="52"/>
        <v>3.4009451939769328E-2</v>
      </c>
      <c r="H221" s="30">
        <f t="shared" ca="1" si="52"/>
        <v>-1.1273893898080173E-2</v>
      </c>
      <c r="I221" s="30">
        <f t="shared" ca="1" si="52"/>
        <v>-1.5907172506890832E-2</v>
      </c>
      <c r="J221" s="30">
        <f t="shared" ca="1" si="52"/>
        <v>5.7217022536441703E-2</v>
      </c>
      <c r="K221" s="30">
        <f t="shared" ca="1" si="53"/>
        <v>-0.1164918662805907</v>
      </c>
      <c r="L221" s="30">
        <f t="shared" ca="1" si="53"/>
        <v>-0.13431511825194623</v>
      </c>
      <c r="M221" s="30">
        <f t="shared" ca="1" si="53"/>
        <v>-0.15474199168139752</v>
      </c>
      <c r="N221" s="30">
        <f t="shared" ca="1" si="53"/>
        <v>-0.18124215251911061</v>
      </c>
      <c r="O221" s="30">
        <f t="shared" ca="1" si="54"/>
        <v>-8.2482414340821375E-2</v>
      </c>
      <c r="P221" s="30">
        <f t="shared" ca="1" si="55"/>
        <v>-0.1455890121500264</v>
      </c>
      <c r="Q221" s="30">
        <f t="shared" ca="1" si="56"/>
        <v>-0.17064916418828835</v>
      </c>
      <c r="R221" s="30">
        <f t="shared" ca="1" si="57"/>
        <v>-0.1240251299826689</v>
      </c>
      <c r="S221" s="9" cm="1">
        <f t="array" aca="1" ref="S221" ca="1">_xll.FDS($E$7,"P_PRICE("&amp;AG221&amp;",0,D,D)")</f>
        <v>80.87</v>
      </c>
      <c r="T221" s="9" cm="1">
        <f t="array" aca="1" ref="T221" ca="1">_xll.FDS($E$7,"P_PRICE("&amp;AH221&amp;",0,D,D)")</f>
        <v>88.14</v>
      </c>
      <c r="U221" s="9" cm="1">
        <f t="array" aca="1" ref="U221" ca="1">_xll.FDS($E$7,"P_PRICE("&amp;AI221&amp;",0,D,D)")</f>
        <v>94.65</v>
      </c>
      <c r="V221" s="9" cm="1">
        <f t="array" aca="1" ref="V221" ca="1">_xll.FDS($E$7,"P_PRICE("&amp;AJ221&amp;",0,D,D)")</f>
        <v>97.51</v>
      </c>
      <c r="W221" s="9" cm="1">
        <f t="array" aca="1" ref="W221" ca="1">_xll.FDS($E$7,"P_PRICE("&amp;AK221&amp;",0,D,D)")</f>
        <v>92.32</v>
      </c>
      <c r="X221" s="24">
        <f t="shared" ca="1" si="58"/>
        <v>-9.0819826050808627E-2</v>
      </c>
      <c r="Y221" s="24">
        <f t="shared" ca="1" si="59"/>
        <v>-0.104715256653657</v>
      </c>
      <c r="Z221" s="24">
        <f t="shared" ca="1" si="60"/>
        <v>-0.12064053239055839</v>
      </c>
      <c r="AA221" s="24">
        <f t="shared" ca="1" si="61"/>
        <v>-0.14130068725323786</v>
      </c>
      <c r="AB221" s="9" cm="1">
        <f t="array" aca="1" ref="AB221" ca="1">_xll.FDS($E$9,"P_PRICE("&amp;AG221&amp;",0,D,D)")</f>
        <v>5074.08</v>
      </c>
      <c r="AC221" s="9" cm="1">
        <f t="array" aca="1" ref="AC221" ca="1">_xll.FDS($E$9,"P_PRICE("&amp;AH221&amp;",0,D,D)")</f>
        <v>5580.94</v>
      </c>
      <c r="AD221" s="9" cm="1">
        <f t="array" aca="1" ref="AD221" ca="1">_xll.FDS($E$9,"P_PRICE("&amp;AI221&amp;",0,D,D)")</f>
        <v>5667.56</v>
      </c>
      <c r="AE221" s="9" cm="1">
        <f t="array" aca="1" ref="AE221" ca="1">_xll.FDS($E$9,"P_PRICE("&amp;AJ221&amp;",0,D,D)")</f>
        <v>5770.2</v>
      </c>
      <c r="AF221" s="9" cm="1">
        <f t="array" aca="1" ref="AF221" ca="1">_xll.FDS($E$9,"P_PRICE("&amp;AK221&amp;",0,D,D)")</f>
        <v>5909.03</v>
      </c>
      <c r="AG221" s="20">
        <f t="shared" ca="1" si="67"/>
        <v>45751</v>
      </c>
      <c r="AH221" s="22">
        <f t="shared" ca="1" si="62"/>
        <v>45744</v>
      </c>
      <c r="AI221" s="22">
        <f t="shared" ca="1" si="63"/>
        <v>45737</v>
      </c>
      <c r="AJ221" s="22">
        <f t="shared" ca="1" si="64"/>
        <v>45723</v>
      </c>
      <c r="AK221" s="22">
        <f t="shared" ca="1" si="65"/>
        <v>45664</v>
      </c>
      <c r="AL221" s="22">
        <f t="shared" ca="1" si="66"/>
        <v>45575</v>
      </c>
    </row>
    <row r="222" spans="4:38" x14ac:dyDescent="0.25">
      <c r="D222" s="6">
        <f ca="1"/>
        <v>45750</v>
      </c>
      <c r="E222" s="28" cm="1">
        <f t="array" aca="1" ref="E222" ca="1">_xll.FDS($E$7,"P_PRICE("&amp;D222&amp;",0,D,D)")</f>
        <v>86.35</v>
      </c>
      <c r="F222" s="29" cm="1">
        <f t="array" aca="1" ref="F222" ca="1">_xll.FDS($E$7,"P_BETA_LOCIDX("&amp;$AG222&amp;","&amp;$AL222&amp;",,"""&amp;$E$9&amp;""")")</f>
        <v>1.3427842999999999</v>
      </c>
      <c r="G222" s="30">
        <f t="shared" ca="1" si="52"/>
        <v>7.1596570156288869E-3</v>
      </c>
      <c r="H222" s="30">
        <f t="shared" ca="1" si="52"/>
        <v>-5.2014089135059144E-2</v>
      </c>
      <c r="I222" s="30">
        <f t="shared" ca="1" si="52"/>
        <v>-4.5808940276725316E-2</v>
      </c>
      <c r="J222" s="30">
        <f t="shared" ca="1" si="52"/>
        <v>5.2525302823804687E-2</v>
      </c>
      <c r="K222" s="30">
        <f t="shared" ca="1" si="53"/>
        <v>-6.9998814818971702E-2</v>
      </c>
      <c r="L222" s="30">
        <f t="shared" ca="1" si="53"/>
        <v>-6.3161646083713413E-2</v>
      </c>
      <c r="M222" s="30">
        <f t="shared" ca="1" si="53"/>
        <v>-8.0026249032851618E-2</v>
      </c>
      <c r="N222" s="30">
        <f t="shared" ca="1" si="53"/>
        <v>-0.13008111951005624</v>
      </c>
      <c r="O222" s="30">
        <f t="shared" ca="1" si="54"/>
        <v>-6.2839157803342816E-2</v>
      </c>
      <c r="P222" s="30">
        <f t="shared" ca="1" si="55"/>
        <v>-0.11517573521877256</v>
      </c>
      <c r="Q222" s="30">
        <f t="shared" ca="1" si="56"/>
        <v>-0.12583518930957693</v>
      </c>
      <c r="R222" s="30">
        <f t="shared" ca="1" si="57"/>
        <v>-7.7555816686251555E-2</v>
      </c>
      <c r="S222" s="9" cm="1">
        <f t="array" aca="1" ref="S222" ca="1">_xll.FDS($E$7,"P_PRICE("&amp;AG222&amp;",0,D,D)")</f>
        <v>86.35</v>
      </c>
      <c r="T222" s="9" cm="1">
        <f t="array" aca="1" ref="T222" ca="1">_xll.FDS($E$7,"P_PRICE("&amp;AH222&amp;",0,D,D)")</f>
        <v>92.14</v>
      </c>
      <c r="U222" s="9" cm="1">
        <f t="array" aca="1" ref="U222" ca="1">_xll.FDS($E$7,"P_PRICE("&amp;AI222&amp;",0,D,D)")</f>
        <v>97.59</v>
      </c>
      <c r="V222" s="9" cm="1">
        <f t="array" aca="1" ref="V222" ca="1">_xll.FDS($E$7,"P_PRICE("&amp;AJ222&amp;",0,D,D)")</f>
        <v>98.78</v>
      </c>
      <c r="W222" s="9" cm="1">
        <f t="array" aca="1" ref="W222" ca="1">_xll.FDS($E$7,"P_PRICE("&amp;AK222&amp;",0,D,D)")</f>
        <v>93.61</v>
      </c>
      <c r="X222" s="24">
        <f t="shared" ca="1" si="58"/>
        <v>-5.2129604746623648E-2</v>
      </c>
      <c r="Y222" s="24">
        <f t="shared" ca="1" si="59"/>
        <v>-4.7037819911741163E-2</v>
      </c>
      <c r="Z222" s="24">
        <f t="shared" ca="1" si="60"/>
        <v>-5.9597248070931141E-2</v>
      </c>
      <c r="AA222" s="24">
        <f t="shared" ca="1" si="61"/>
        <v>-9.6874173692719112E-2</v>
      </c>
      <c r="AB222" s="9" cm="1">
        <f t="array" aca="1" ref="AB222" ca="1">_xll.FDS($E$9,"P_PRICE("&amp;AG222&amp;",0,D,D)")</f>
        <v>5396.52</v>
      </c>
      <c r="AC222" s="9" cm="1">
        <f t="array" aca="1" ref="AC222" ca="1">_xll.FDS($E$9,"P_PRICE("&amp;AH222&amp;",0,D,D)")</f>
        <v>5693.31</v>
      </c>
      <c r="AD222" s="9" cm="1">
        <f t="array" aca="1" ref="AD222" ca="1">_xll.FDS($E$9,"P_PRICE("&amp;AI222&amp;",0,D,D)")</f>
        <v>5662.89</v>
      </c>
      <c r="AE222" s="9" cm="1">
        <f t="array" aca="1" ref="AE222" ca="1">_xll.FDS($E$9,"P_PRICE("&amp;AJ222&amp;",0,D,D)")</f>
        <v>5738.52</v>
      </c>
      <c r="AF222" s="9" cm="1">
        <f t="array" aca="1" ref="AF222" ca="1">_xll.FDS($E$9,"P_PRICE("&amp;AK222&amp;",0,D,D)")</f>
        <v>5975.38</v>
      </c>
      <c r="AG222" s="20">
        <f t="shared" ca="1" si="67"/>
        <v>45750</v>
      </c>
      <c r="AH222" s="22">
        <f t="shared" ca="1" si="62"/>
        <v>45743</v>
      </c>
      <c r="AI222" s="22">
        <f t="shared" ca="1" si="63"/>
        <v>45736</v>
      </c>
      <c r="AJ222" s="22">
        <f t="shared" ca="1" si="64"/>
        <v>45722</v>
      </c>
      <c r="AK222" s="22">
        <f t="shared" ca="1" si="65"/>
        <v>45663</v>
      </c>
      <c r="AL222" s="22">
        <f t="shared" ca="1" si="66"/>
        <v>45574</v>
      </c>
    </row>
    <row r="223" spans="4:38" x14ac:dyDescent="0.25">
      <c r="D223" s="6">
        <f ca="1"/>
        <v>45749</v>
      </c>
      <c r="E223" s="28" cm="1">
        <f t="array" aca="1" ref="E223" ca="1">_xll.FDS($E$7,"P_PRICE("&amp;D223&amp;",0,D,D)")</f>
        <v>90.63</v>
      </c>
      <c r="F223" s="29" cm="1">
        <f t="array" aca="1" ref="F223" ca="1">_xll.FDS($E$7,"P_BETA_LOCIDX("&amp;$AG223&amp;","&amp;$AL223&amp;",,"""&amp;$E$9&amp;""")")</f>
        <v>1.4178002999999999</v>
      </c>
      <c r="G223" s="30">
        <f t="shared" ca="1" si="52"/>
        <v>-3.1530067532944225E-2</v>
      </c>
      <c r="H223" s="30">
        <f t="shared" ca="1" si="52"/>
        <v>-8.1241555735872453E-2</v>
      </c>
      <c r="I223" s="30">
        <f t="shared" ca="1" si="52"/>
        <v>-7.6214522779589983E-2</v>
      </c>
      <c r="J223" s="30">
        <f t="shared" ca="1" si="52"/>
        <v>3.6784284859532765E-2</v>
      </c>
      <c r="K223" s="30">
        <f t="shared" ca="1" si="53"/>
        <v>-1.0233518848954699E-2</v>
      </c>
      <c r="L223" s="30">
        <f t="shared" ca="1" si="53"/>
        <v>-1.0792219068980044E-3</v>
      </c>
      <c r="M223" s="30">
        <f t="shared" ca="1" si="53"/>
        <v>-4.165582956613708E-2</v>
      </c>
      <c r="N223" s="30">
        <f t="shared" ca="1" si="53"/>
        <v>-6.4776562851810757E-2</v>
      </c>
      <c r="O223" s="30">
        <f t="shared" ca="1" si="54"/>
        <v>-4.1763586381898921E-2</v>
      </c>
      <c r="P223" s="30">
        <f t="shared" ca="1" si="55"/>
        <v>-8.232077764277046E-2</v>
      </c>
      <c r="Q223" s="30">
        <f t="shared" ca="1" si="56"/>
        <v>-0.11787035234572707</v>
      </c>
      <c r="R223" s="30">
        <f t="shared" ca="1" si="57"/>
        <v>-2.7992277992277992E-2</v>
      </c>
      <c r="S223" s="9" cm="1">
        <f t="array" aca="1" ref="S223" ca="1">_xll.FDS($E$7,"P_PRICE("&amp;AG223&amp;",0,D,D)")</f>
        <v>90.63</v>
      </c>
      <c r="T223" s="9" cm="1">
        <f t="array" aca="1" ref="T223" ca="1">_xll.FDS($E$7,"P_PRICE("&amp;AH223&amp;",0,D,D)")</f>
        <v>94.58</v>
      </c>
      <c r="U223" s="9" cm="1">
        <f t="array" aca="1" ref="U223" ca="1">_xll.FDS($E$7,"P_PRICE("&amp;AI223&amp;",0,D,D)")</f>
        <v>98.76</v>
      </c>
      <c r="V223" s="9" cm="1">
        <f t="array" aca="1" ref="V223" ca="1">_xll.FDS($E$7,"P_PRICE("&amp;AJ223&amp;",0,D,D)")</f>
        <v>102.74</v>
      </c>
      <c r="W223" s="9" cm="1">
        <f t="array" aca="1" ref="W223" ca="1">_xll.FDS($E$7,"P_PRICE("&amp;AK223&amp;",0,D,D)")</f>
        <v>93.24</v>
      </c>
      <c r="X223" s="24">
        <f t="shared" ca="1" si="58"/>
        <v>-7.2178845278525472E-3</v>
      </c>
      <c r="Y223" s="24">
        <f t="shared" ca="1" si="59"/>
        <v>-7.6119458212697833E-4</v>
      </c>
      <c r="Z223" s="24">
        <f t="shared" ca="1" si="60"/>
        <v>-2.9380604282660316E-2</v>
      </c>
      <c r="AA223" s="24">
        <f t="shared" ca="1" si="61"/>
        <v>-4.5688072468182406E-2</v>
      </c>
      <c r="AB223" s="9" cm="1">
        <f t="array" aca="1" ref="AB223" ca="1">_xll.FDS($E$9,"P_PRICE("&amp;AG223&amp;",0,D,D)")</f>
        <v>5670.97</v>
      </c>
      <c r="AC223" s="9" cm="1">
        <f t="array" aca="1" ref="AC223" ca="1">_xll.FDS($E$9,"P_PRICE("&amp;AH223&amp;",0,D,D)")</f>
        <v>5712.2</v>
      </c>
      <c r="AD223" s="9" cm="1">
        <f t="array" aca="1" ref="AD223" ca="1">_xll.FDS($E$9,"P_PRICE("&amp;AI223&amp;",0,D,D)")</f>
        <v>5675.29</v>
      </c>
      <c r="AE223" s="9" cm="1">
        <f t="array" aca="1" ref="AE223" ca="1">_xll.FDS($E$9,"P_PRICE("&amp;AJ223&amp;",0,D,D)")</f>
        <v>5842.63</v>
      </c>
      <c r="AF223" s="9" cm="1">
        <f t="array" aca="1" ref="AF223" ca="1">_xll.FDS($E$9,"P_PRICE("&amp;AK223&amp;",0,D,D)")</f>
        <v>5942.47</v>
      </c>
      <c r="AG223" s="20">
        <f t="shared" ca="1" si="67"/>
        <v>45749</v>
      </c>
      <c r="AH223" s="22">
        <f t="shared" ca="1" si="62"/>
        <v>45742</v>
      </c>
      <c r="AI223" s="22">
        <f t="shared" ca="1" si="63"/>
        <v>45735</v>
      </c>
      <c r="AJ223" s="22">
        <f t="shared" ca="1" si="64"/>
        <v>45721</v>
      </c>
      <c r="AK223" s="22">
        <f t="shared" ca="1" si="65"/>
        <v>45660</v>
      </c>
      <c r="AL223" s="22">
        <f t="shared" ca="1" si="66"/>
        <v>45573</v>
      </c>
    </row>
    <row r="224" spans="4:38" x14ac:dyDescent="0.25">
      <c r="D224" s="6">
        <f ca="1"/>
        <v>45748</v>
      </c>
      <c r="E224" s="28" cm="1">
        <f t="array" aca="1" ref="E224" ca="1">_xll.FDS($E$7,"P_PRICE("&amp;D224&amp;",0,D,D)")</f>
        <v>88.85</v>
      </c>
      <c r="F224" s="29" cm="1">
        <f t="array" aca="1" ref="F224" ca="1">_xll.FDS($E$7,"P_BETA_LOCIDX("&amp;$AG224&amp;","&amp;$AL224&amp;",,"""&amp;$E$9&amp;""")")</f>
        <v>1.4025308000000001</v>
      </c>
      <c r="G224" s="30">
        <f t="shared" ca="1" si="52"/>
        <v>-6.4115528842694169E-2</v>
      </c>
      <c r="H224" s="30">
        <f t="shared" ca="1" si="52"/>
        <v>-8.0425700129518718E-2</v>
      </c>
      <c r="I224" s="30">
        <f t="shared" ca="1" si="52"/>
        <v>-4.2242928159092225E-2</v>
      </c>
      <c r="J224" s="30">
        <f t="shared" ca="1" si="52"/>
        <v>1.4642400820910506E-2</v>
      </c>
      <c r="K224" s="30">
        <f t="shared" ca="1" si="53"/>
        <v>-3.486023426449586E-2</v>
      </c>
      <c r="L224" s="30">
        <f t="shared" ca="1" si="53"/>
        <v>4.5987810531716265E-3</v>
      </c>
      <c r="M224" s="30">
        <f t="shared" ca="1" si="53"/>
        <v>-3.5215279711326347E-2</v>
      </c>
      <c r="N224" s="30">
        <f t="shared" ca="1" si="53"/>
        <v>-5.6277607378994898E-2</v>
      </c>
      <c r="O224" s="30">
        <f t="shared" ca="1" si="54"/>
        <v>-9.8975763107190029E-2</v>
      </c>
      <c r="P224" s="30">
        <f t="shared" ca="1" si="55"/>
        <v>-7.5826919076347088E-2</v>
      </c>
      <c r="Q224" s="30">
        <f t="shared" ca="1" si="56"/>
        <v>-7.7458207870418572E-2</v>
      </c>
      <c r="R224" s="30">
        <f t="shared" ca="1" si="57"/>
        <v>-4.1635206558084392E-2</v>
      </c>
      <c r="S224" s="9" cm="1">
        <f t="array" aca="1" ref="S224" ca="1">_xll.FDS($E$7,"P_PRICE("&amp;AG224&amp;",0,D,D)")</f>
        <v>88.85</v>
      </c>
      <c r="T224" s="9" cm="1">
        <f t="array" aca="1" ref="T224" ca="1">_xll.FDS($E$7,"P_PRICE("&amp;AH224&amp;",0,D,D)")</f>
        <v>98.61</v>
      </c>
      <c r="U224" s="9" cm="1">
        <f t="array" aca="1" ref="U224" ca="1">_xll.FDS($E$7,"P_PRICE("&amp;AI224&amp;",0,D,D)")</f>
        <v>96.14</v>
      </c>
      <c r="V224" s="9" cm="1">
        <f t="array" aca="1" ref="V224" ca="1">_xll.FDS($E$7,"P_PRICE("&amp;AJ224&amp;",0,D,D)")</f>
        <v>96.31</v>
      </c>
      <c r="W224" s="9" cm="1">
        <f t="array" aca="1" ref="W224" ca="1">_xll.FDS($E$7,"P_PRICE("&amp;AK224&amp;",0,D,D)")</f>
        <v>92.71</v>
      </c>
      <c r="X224" s="24">
        <f t="shared" ca="1" si="58"/>
        <v>-2.4855236166290151E-2</v>
      </c>
      <c r="Y224" s="24">
        <f t="shared" ca="1" si="59"/>
        <v>3.2789162656332582E-3</v>
      </c>
      <c r="Z224" s="24">
        <f t="shared" ca="1" si="60"/>
        <v>-2.5108382440746646E-2</v>
      </c>
      <c r="AA224" s="24">
        <f t="shared" ca="1" si="61"/>
        <v>-4.0125755084305381E-2</v>
      </c>
      <c r="AB224" s="9" cm="1">
        <f t="array" aca="1" ref="AB224" ca="1">_xll.FDS($E$9,"P_PRICE("&amp;AG224&amp;",0,D,D)")</f>
        <v>5633.07</v>
      </c>
      <c r="AC224" s="9" cm="1">
        <f t="array" aca="1" ref="AC224" ca="1">_xll.FDS($E$9,"P_PRICE("&amp;AH224&amp;",0,D,D)")</f>
        <v>5776.65</v>
      </c>
      <c r="AD224" s="9" cm="1">
        <f t="array" aca="1" ref="AD224" ca="1">_xll.FDS($E$9,"P_PRICE("&amp;AI224&amp;",0,D,D)")</f>
        <v>5614.66</v>
      </c>
      <c r="AE224" s="9" cm="1">
        <f t="array" aca="1" ref="AE224" ca="1">_xll.FDS($E$9,"P_PRICE("&amp;AJ224&amp;",0,D,D)")</f>
        <v>5778.15</v>
      </c>
      <c r="AF224" s="9" cm="1">
        <f t="array" aca="1" ref="AF224" ca="1">_xll.FDS($E$9,"P_PRICE("&amp;AK224&amp;",0,D,D)")</f>
        <v>5868.55</v>
      </c>
      <c r="AG224" s="20">
        <f t="shared" ca="1" si="67"/>
        <v>45748</v>
      </c>
      <c r="AH224" s="22">
        <f t="shared" ca="1" si="62"/>
        <v>45741</v>
      </c>
      <c r="AI224" s="22">
        <f t="shared" ca="1" si="63"/>
        <v>45734</v>
      </c>
      <c r="AJ224" s="22">
        <f t="shared" ca="1" si="64"/>
        <v>45720</v>
      </c>
      <c r="AK224" s="22">
        <f t="shared" ca="1" si="65"/>
        <v>45659</v>
      </c>
      <c r="AL224" s="22">
        <f t="shared" ca="1" si="66"/>
        <v>45572</v>
      </c>
    </row>
    <row r="225" spans="4:38" x14ac:dyDescent="0.25">
      <c r="D225" s="6">
        <f ca="1"/>
        <v>45747</v>
      </c>
      <c r="E225" s="28" cm="1">
        <f t="array" aca="1" ref="E225" ca="1">_xll.FDS($E$7,"P_PRICE("&amp;D225&amp;",0,D,D)")</f>
        <v>87.97</v>
      </c>
      <c r="F225" s="29" cm="1">
        <f t="array" aca="1" ref="F225" ca="1">_xll.FDS($E$7,"P_BETA_LOCIDX("&amp;$AG225&amp;","&amp;$AL225&amp;",,"""&amp;$E$9&amp;""")")</f>
        <v>1.3939159000000001</v>
      </c>
      <c r="G225" s="30">
        <f t="shared" ca="1" si="52"/>
        <v>-6.5901457230236493E-2</v>
      </c>
      <c r="H225" s="30">
        <f t="shared" ca="1" si="52"/>
        <v>-8.0627378445340001E-2</v>
      </c>
      <c r="I225" s="30">
        <f t="shared" ca="1" si="52"/>
        <v>-6.3354532863613214E-2</v>
      </c>
      <c r="J225" s="30">
        <f t="shared" ca="1" si="52"/>
        <v>1.4757909159011998E-2</v>
      </c>
      <c r="K225" s="30">
        <f t="shared" ca="1" si="53"/>
        <v>-3.7634668317506226E-2</v>
      </c>
      <c r="L225" s="30">
        <f t="shared" ca="1" si="53"/>
        <v>-1.5540298529898867E-2</v>
      </c>
      <c r="M225" s="30">
        <f t="shared" ca="1" si="53"/>
        <v>-5.6681477939627786E-2</v>
      </c>
      <c r="N225" s="30">
        <f t="shared" ca="1" si="53"/>
        <v>-6.3936465146906443E-2</v>
      </c>
      <c r="O225" s="30">
        <f t="shared" ca="1" si="54"/>
        <v>-0.10353612554774272</v>
      </c>
      <c r="P225" s="30">
        <f t="shared" ca="1" si="55"/>
        <v>-9.6167676975238869E-2</v>
      </c>
      <c r="Q225" s="30">
        <f t="shared" ca="1" si="56"/>
        <v>-0.120036010803241</v>
      </c>
      <c r="R225" s="30">
        <f t="shared" ca="1" si="57"/>
        <v>-4.9178555987894446E-2</v>
      </c>
      <c r="S225" s="9" cm="1">
        <f t="array" aca="1" ref="S225" ca="1">_xll.FDS($E$7,"P_PRICE("&amp;AG225&amp;",0,D,D)")</f>
        <v>87.97</v>
      </c>
      <c r="T225" s="9" cm="1">
        <f t="array" aca="1" ref="T225" ca="1">_xll.FDS($E$7,"P_PRICE("&amp;AH225&amp;",0,D,D)")</f>
        <v>98.13</v>
      </c>
      <c r="U225" s="9" cm="1">
        <f t="array" aca="1" ref="U225" ca="1">_xll.FDS($E$7,"P_PRICE("&amp;AI225&amp;",0,D,D)")</f>
        <v>97.33</v>
      </c>
      <c r="V225" s="9" cm="1">
        <f t="array" aca="1" ref="V225" ca="1">_xll.FDS($E$7,"P_PRICE("&amp;AJ225&amp;",0,D,D)")</f>
        <v>99.97</v>
      </c>
      <c r="W225" s="9" cm="1">
        <f t="array" aca="1" ref="W225" ca="1">_xll.FDS($E$7,"P_PRICE("&amp;AK225&amp;",0,D,D)")</f>
        <v>92.52</v>
      </c>
      <c r="X225" s="24">
        <f t="shared" ca="1" si="58"/>
        <v>-2.6999238847556173E-2</v>
      </c>
      <c r="Y225" s="24">
        <f t="shared" ca="1" si="59"/>
        <v>-1.1148662935761666E-2</v>
      </c>
      <c r="Z225" s="24">
        <f t="shared" ca="1" si="60"/>
        <v>-4.0663484747987866E-2</v>
      </c>
      <c r="AA225" s="24">
        <f t="shared" ca="1" si="61"/>
        <v>-4.586823720635258E-2</v>
      </c>
      <c r="AB225" s="9" cm="1">
        <f t="array" aca="1" ref="AB225" ca="1">_xll.FDS($E$9,"P_PRICE("&amp;AG225&amp;",0,D,D)")</f>
        <v>5611.85</v>
      </c>
      <c r="AC225" s="9" cm="1">
        <f t="array" aca="1" ref="AC225" ca="1">_xll.FDS($E$9,"P_PRICE("&amp;AH225&amp;",0,D,D)")</f>
        <v>5767.57</v>
      </c>
      <c r="AD225" s="9" cm="1">
        <f t="array" aca="1" ref="AD225" ca="1">_xll.FDS($E$9,"P_PRICE("&amp;AI225&amp;",0,D,D)")</f>
        <v>5675.12</v>
      </c>
      <c r="AE225" s="9" cm="1">
        <f t="array" aca="1" ref="AE225" ca="1">_xll.FDS($E$9,"P_PRICE("&amp;AJ225&amp;",0,D,D)")</f>
        <v>5849.72</v>
      </c>
      <c r="AF225" s="9" cm="1">
        <f t="array" aca="1" ref="AF225" ca="1">_xll.FDS($E$9,"P_PRICE("&amp;AK225&amp;",0,D,D)")</f>
        <v>5881.63</v>
      </c>
      <c r="AG225" s="20">
        <f t="shared" ca="1" si="67"/>
        <v>45747</v>
      </c>
      <c r="AH225" s="22">
        <f t="shared" ca="1" si="62"/>
        <v>45740</v>
      </c>
      <c r="AI225" s="22">
        <f t="shared" ca="1" si="63"/>
        <v>45733</v>
      </c>
      <c r="AJ225" s="22">
        <f t="shared" ca="1" si="64"/>
        <v>45719</v>
      </c>
      <c r="AK225" s="22">
        <f t="shared" ca="1" si="65"/>
        <v>45657</v>
      </c>
      <c r="AL225" s="22">
        <f t="shared" ca="1" si="66"/>
        <v>45569</v>
      </c>
    </row>
    <row r="226" spans="4:38" x14ac:dyDescent="0.25">
      <c r="D226" s="6">
        <f ca="1"/>
        <v>45744</v>
      </c>
      <c r="E226" s="28" cm="1">
        <f t="array" aca="1" ref="E226" ca="1">_xll.FDS($E$7,"P_PRICE("&amp;D226&amp;",0,D,D)")</f>
        <v>88.14</v>
      </c>
      <c r="F226" s="29" cm="1">
        <f t="array" aca="1" ref="F226" ca="1">_xll.FDS($E$7,"P_BETA_LOCIDX("&amp;$AG226&amp;","&amp;$AL226&amp;",,"""&amp;$E$9&amp;""")")</f>
        <v>1.4005665</v>
      </c>
      <c r="G226" s="30">
        <f t="shared" ca="1" si="52"/>
        <v>-4.7374194509346199E-2</v>
      </c>
      <c r="H226" s="30">
        <f t="shared" ca="1" si="52"/>
        <v>-7.7121823815604534E-2</v>
      </c>
      <c r="I226" s="30">
        <f t="shared" ca="1" si="52"/>
        <v>-5.2399729780748736E-2</v>
      </c>
      <c r="J226" s="30">
        <f t="shared" ca="1" si="52"/>
        <v>3.057340510071771E-2</v>
      </c>
      <c r="K226" s="30">
        <f t="shared" ca="1" si="53"/>
        <v>-2.1405520229164098E-2</v>
      </c>
      <c r="L226" s="30">
        <f t="shared" ca="1" si="53"/>
        <v>-1.4405696283344066E-2</v>
      </c>
      <c r="M226" s="30">
        <f t="shared" ca="1" si="53"/>
        <v>-8.7865584304307756E-2</v>
      </c>
      <c r="N226" s="30">
        <f t="shared" ca="1" si="53"/>
        <v>-7.7296312303832493E-2</v>
      </c>
      <c r="O226" s="30">
        <f t="shared" ca="1" si="54"/>
        <v>-6.87797147385103E-2</v>
      </c>
      <c r="P226" s="30">
        <f t="shared" ca="1" si="55"/>
        <v>-9.15275200989486E-2</v>
      </c>
      <c r="Q226" s="30">
        <f t="shared" ca="1" si="56"/>
        <v>-0.14026531408505649</v>
      </c>
      <c r="R226" s="30">
        <f t="shared" ca="1" si="57"/>
        <v>-4.6722907203114783E-2</v>
      </c>
      <c r="S226" s="9" cm="1">
        <f t="array" aca="1" ref="S226" ca="1">_xll.FDS($E$7,"P_PRICE("&amp;AG226&amp;",0,D,D)")</f>
        <v>88.14</v>
      </c>
      <c r="T226" s="9" cm="1">
        <f t="array" aca="1" ref="T226" ca="1">_xll.FDS($E$7,"P_PRICE("&amp;AH226&amp;",0,D,D)")</f>
        <v>94.65</v>
      </c>
      <c r="U226" s="9" cm="1">
        <f t="array" aca="1" ref="U226" ca="1">_xll.FDS($E$7,"P_PRICE("&amp;AI226&amp;",0,D,D)")</f>
        <v>97.02</v>
      </c>
      <c r="V226" s="9" cm="1">
        <f t="array" aca="1" ref="V226" ca="1">_xll.FDS($E$7,"P_PRICE("&amp;AJ226&amp;",0,D,D)")</f>
        <v>102.52</v>
      </c>
      <c r="W226" s="9" cm="1">
        <f t="array" aca="1" ref="W226" ca="1">_xll.FDS($E$7,"P_PRICE("&amp;AK226&amp;",0,D,D)")</f>
        <v>92.46</v>
      </c>
      <c r="X226" s="24">
        <f t="shared" ca="1" si="58"/>
        <v>-1.5283472958380839E-2</v>
      </c>
      <c r="Y226" s="24">
        <f t="shared" ca="1" si="59"/>
        <v>-1.0285621056439709E-2</v>
      </c>
      <c r="Z226" s="24">
        <f t="shared" ca="1" si="60"/>
        <v>-6.273574607439758E-2</v>
      </c>
      <c r="AA226" s="24">
        <f t="shared" ca="1" si="61"/>
        <v>-5.5189319681594906E-2</v>
      </c>
      <c r="AB226" s="9" cm="1">
        <f t="array" aca="1" ref="AB226" ca="1">_xll.FDS($E$9,"P_PRICE("&amp;AG226&amp;",0,D,D)")</f>
        <v>5580.94</v>
      </c>
      <c r="AC226" s="9" cm="1">
        <f t="array" aca="1" ref="AC226" ca="1">_xll.FDS($E$9,"P_PRICE("&amp;AH226&amp;",0,D,D)")</f>
        <v>5667.56</v>
      </c>
      <c r="AD226" s="9" cm="1">
        <f t="array" aca="1" ref="AD226" ca="1">_xll.FDS($E$9,"P_PRICE("&amp;AI226&amp;",0,D,D)")</f>
        <v>5638.94</v>
      </c>
      <c r="AE226" s="9" cm="1">
        <f t="array" aca="1" ref="AE226" ca="1">_xll.FDS($E$9,"P_PRICE("&amp;AJ226&amp;",0,D,D)")</f>
        <v>5954.5</v>
      </c>
      <c r="AF226" s="9" cm="1">
        <f t="array" aca="1" ref="AF226" ca="1">_xll.FDS($E$9,"P_PRICE("&amp;AK226&amp;",0,D,D)")</f>
        <v>5906.94</v>
      </c>
      <c r="AG226" s="20">
        <f t="shared" ca="1" si="67"/>
        <v>45744</v>
      </c>
      <c r="AH226" s="22">
        <f t="shared" ca="1" si="62"/>
        <v>45737</v>
      </c>
      <c r="AI226" s="22">
        <f t="shared" ca="1" si="63"/>
        <v>45730</v>
      </c>
      <c r="AJ226" s="22">
        <f t="shared" ca="1" si="64"/>
        <v>45716</v>
      </c>
      <c r="AK226" s="22">
        <f t="shared" ca="1" si="65"/>
        <v>45656</v>
      </c>
      <c r="AL226" s="22">
        <f t="shared" ca="1" si="66"/>
        <v>45568</v>
      </c>
    </row>
    <row r="227" spans="4:38" x14ac:dyDescent="0.25">
      <c r="D227" s="6">
        <f ca="1"/>
        <v>45743</v>
      </c>
      <c r="E227" s="28" cm="1">
        <f t="array" aca="1" ref="E227" ca="1">_xll.FDS($E$7,"P_PRICE("&amp;D227&amp;",0,D,D)")</f>
        <v>92.14</v>
      </c>
      <c r="F227" s="29" cm="1">
        <f t="array" aca="1" ref="F227" ca="1">_xll.FDS($E$7,"P_BETA_LOCIDX("&amp;$AG227&amp;","&amp;$AL227&amp;",,"""&amp;$E$9&amp;""")")</f>
        <v>1.3680357999999999</v>
      </c>
      <c r="G227" s="30">
        <f t="shared" ca="1" si="52"/>
        <v>-6.3194721697087092E-2</v>
      </c>
      <c r="H227" s="30">
        <f t="shared" ca="1" si="52"/>
        <v>-6.8567665586579396E-2</v>
      </c>
      <c r="I227" s="30">
        <f t="shared" ca="1" si="52"/>
        <v>-5.2946433186129092E-2</v>
      </c>
      <c r="J227" s="30">
        <f t="shared" ca="1" si="52"/>
        <v>4.8199627933107947E-2</v>
      </c>
      <c r="K227" s="30">
        <f t="shared" ca="1" si="53"/>
        <v>7.3488358481271004E-3</v>
      </c>
      <c r="L227" s="30">
        <f t="shared" ca="1" si="53"/>
        <v>4.2563437256769754E-2</v>
      </c>
      <c r="M227" s="30">
        <f t="shared" ca="1" si="53"/>
        <v>-3.9270315582343764E-2</v>
      </c>
      <c r="N227" s="30">
        <f t="shared" ca="1" si="53"/>
        <v>-6.3587531331269931E-2</v>
      </c>
      <c r="O227" s="30">
        <f t="shared" ca="1" si="54"/>
        <v>-5.5845885848959997E-2</v>
      </c>
      <c r="P227" s="30">
        <f t="shared" ca="1" si="55"/>
        <v>-2.6004228329809642E-2</v>
      </c>
      <c r="Q227" s="30">
        <f t="shared" ca="1" si="56"/>
        <v>-9.2216748768472856E-2</v>
      </c>
      <c r="R227" s="30">
        <f t="shared" ca="1" si="57"/>
        <v>-1.5387903398161984E-2</v>
      </c>
      <c r="S227" s="9" cm="1">
        <f t="array" aca="1" ref="S227" ca="1">_xll.FDS($E$7,"P_PRICE("&amp;AG227&amp;",0,D,D)")</f>
        <v>92.14</v>
      </c>
      <c r="T227" s="9" cm="1">
        <f t="array" aca="1" ref="T227" ca="1">_xll.FDS($E$7,"P_PRICE("&amp;AH227&amp;",0,D,D)")</f>
        <v>97.59</v>
      </c>
      <c r="U227" s="9" cm="1">
        <f t="array" aca="1" ref="U227" ca="1">_xll.FDS($E$7,"P_PRICE("&amp;AI227&amp;",0,D,D)")</f>
        <v>94.6</v>
      </c>
      <c r="V227" s="9" cm="1">
        <f t="array" aca="1" ref="V227" ca="1">_xll.FDS($E$7,"P_PRICE("&amp;AJ227&amp;",0,D,D)")</f>
        <v>101.5</v>
      </c>
      <c r="W227" s="9" cm="1">
        <f t="array" aca="1" ref="W227" ca="1">_xll.FDS($E$7,"P_PRICE("&amp;AK227&amp;",0,D,D)")</f>
        <v>93.58</v>
      </c>
      <c r="X227" s="24">
        <f t="shared" ca="1" si="58"/>
        <v>5.371815451121309E-3</v>
      </c>
      <c r="Y227" s="24">
        <f t="shared" ca="1" si="59"/>
        <v>3.1112809516220086E-2</v>
      </c>
      <c r="Z227" s="24">
        <f t="shared" ca="1" si="60"/>
        <v>-2.8705619825404982E-2</v>
      </c>
      <c r="AA227" s="24">
        <f t="shared" ca="1" si="61"/>
        <v>-4.6480897160198542E-2</v>
      </c>
      <c r="AB227" s="9" cm="1">
        <f t="array" aca="1" ref="AB227" ca="1">_xll.FDS($E$9,"P_PRICE("&amp;AG227&amp;",0,D,D)")</f>
        <v>5693.31</v>
      </c>
      <c r="AC227" s="9" cm="1">
        <f t="array" aca="1" ref="AC227" ca="1">_xll.FDS($E$9,"P_PRICE("&amp;AH227&amp;",0,D,D)")</f>
        <v>5662.89</v>
      </c>
      <c r="AD227" s="9" cm="1">
        <f t="array" aca="1" ref="AD227" ca="1">_xll.FDS($E$9,"P_PRICE("&amp;AI227&amp;",0,D,D)")</f>
        <v>5521.52</v>
      </c>
      <c r="AE227" s="9" cm="1">
        <f t="array" aca="1" ref="AE227" ca="1">_xll.FDS($E$9,"P_PRICE("&amp;AJ227&amp;",0,D,D)")</f>
        <v>5861.57</v>
      </c>
      <c r="AF227" s="9" cm="1">
        <f t="array" aca="1" ref="AF227" ca="1">_xll.FDS($E$9,"P_PRICE("&amp;AK227&amp;",0,D,D)")</f>
        <v>5970.84</v>
      </c>
      <c r="AG227" s="20">
        <f t="shared" ca="1" si="67"/>
        <v>45743</v>
      </c>
      <c r="AH227" s="22">
        <f t="shared" ca="1" si="62"/>
        <v>45736</v>
      </c>
      <c r="AI227" s="22">
        <f t="shared" ca="1" si="63"/>
        <v>45729</v>
      </c>
      <c r="AJ227" s="22">
        <f t="shared" ca="1" si="64"/>
        <v>45715</v>
      </c>
      <c r="AK227" s="22">
        <f t="shared" ca="1" si="65"/>
        <v>45653</v>
      </c>
      <c r="AL227" s="22">
        <f t="shared" ca="1" si="66"/>
        <v>45567</v>
      </c>
    </row>
    <row r="228" spans="4:38" x14ac:dyDescent="0.25">
      <c r="D228" s="6">
        <f ca="1"/>
        <v>45742</v>
      </c>
      <c r="E228" s="28" cm="1">
        <f t="array" aca="1" ref="E228" ca="1">_xll.FDS($E$7,"P_PRICE("&amp;D228&amp;",0,D,D)")</f>
        <v>94.58</v>
      </c>
      <c r="F228" s="29" cm="1">
        <f t="array" aca="1" ref="F228" ca="1">_xll.FDS($E$7,"P_BETA_LOCIDX("&amp;$AG228&amp;","&amp;$AL228&amp;",,"""&amp;$E$9&amp;""")")</f>
        <v>1.3684103000000001</v>
      </c>
      <c r="G228" s="30">
        <f t="shared" ca="1" si="52"/>
        <v>-5.1224465447576847E-2</v>
      </c>
      <c r="H228" s="30">
        <f t="shared" ca="1" si="52"/>
        <v>-6.6217314969584426E-2</v>
      </c>
      <c r="I228" s="30">
        <f t="shared" ca="1" si="52"/>
        <v>-1.9708305171229096E-2</v>
      </c>
      <c r="J228" s="30">
        <f t="shared" ca="1" si="52"/>
        <v>7.3009566109850405E-2</v>
      </c>
      <c r="K228" s="30">
        <f t="shared" ca="1" si="53"/>
        <v>8.8996375820441353E-3</v>
      </c>
      <c r="L228" s="30">
        <f t="shared" ca="1" si="53"/>
        <v>2.7591578031182326E-2</v>
      </c>
      <c r="M228" s="30">
        <f t="shared" ca="1" si="53"/>
        <v>-5.602706080160394E-2</v>
      </c>
      <c r="N228" s="30">
        <f t="shared" ca="1" si="53"/>
        <v>-7.3749132934995715E-2</v>
      </c>
      <c r="O228" s="30">
        <f t="shared" ca="1" si="54"/>
        <v>-4.232482786553271E-2</v>
      </c>
      <c r="P228" s="30">
        <f t="shared" ca="1" si="55"/>
        <v>-3.86257369384021E-2</v>
      </c>
      <c r="Q228" s="30">
        <f t="shared" ca="1" si="56"/>
        <v>-7.5735365972833035E-2</v>
      </c>
      <c r="R228" s="30">
        <f t="shared" ca="1" si="57"/>
        <v>-7.3956682514531025E-4</v>
      </c>
      <c r="S228" s="9" cm="1">
        <f t="array" aca="1" ref="S228" ca="1">_xll.FDS($E$7,"P_PRICE("&amp;AG228&amp;",0,D,D)")</f>
        <v>94.58</v>
      </c>
      <c r="T228" s="9" cm="1">
        <f t="array" aca="1" ref="T228" ca="1">_xll.FDS($E$7,"P_PRICE("&amp;AH228&amp;",0,D,D)")</f>
        <v>98.76</v>
      </c>
      <c r="U228" s="9" cm="1">
        <f t="array" aca="1" ref="U228" ca="1">_xll.FDS($E$7,"P_PRICE("&amp;AI228&amp;",0,D,D)")</f>
        <v>98.38</v>
      </c>
      <c r="V228" s="9" cm="1">
        <f t="array" aca="1" ref="V228" ca="1">_xll.FDS($E$7,"P_PRICE("&amp;AJ228&amp;",0,D,D)")</f>
        <v>102.33</v>
      </c>
      <c r="W228" s="9" cm="1">
        <f t="array" aca="1" ref="W228" ca="1">_xll.FDS($E$7,"P_PRICE("&amp;AK228&amp;",0,D,D)")</f>
        <v>94.65</v>
      </c>
      <c r="X228" s="24">
        <f t="shared" ca="1" si="58"/>
        <v>6.5036324134977175E-3</v>
      </c>
      <c r="Y228" s="24">
        <f t="shared" ca="1" si="59"/>
        <v>2.0163234690050436E-2</v>
      </c>
      <c r="Z228" s="24">
        <f t="shared" ca="1" si="60"/>
        <v>-4.0943173843111191E-2</v>
      </c>
      <c r="AA228" s="24">
        <f t="shared" ca="1" si="61"/>
        <v>-5.3894020627435868E-2</v>
      </c>
      <c r="AB228" s="9" cm="1">
        <f t="array" aca="1" ref="AB228" ca="1">_xll.FDS($E$9,"P_PRICE("&amp;AG228&amp;",0,D,D)")</f>
        <v>5712.2</v>
      </c>
      <c r="AC228" s="9" cm="1">
        <f t="array" aca="1" ref="AC228" ca="1">_xll.FDS($E$9,"P_PRICE("&amp;AH228&amp;",0,D,D)")</f>
        <v>5675.29</v>
      </c>
      <c r="AD228" s="9" cm="1">
        <f t="array" aca="1" ref="AD228" ca="1">_xll.FDS($E$9,"P_PRICE("&amp;AI228&amp;",0,D,D)")</f>
        <v>5599.3</v>
      </c>
      <c r="AE228" s="9" cm="1">
        <f t="array" aca="1" ref="AE228" ca="1">_xll.FDS($E$9,"P_PRICE("&amp;AJ228&amp;",0,D,D)")</f>
        <v>5956.06</v>
      </c>
      <c r="AF228" s="9" cm="1">
        <f t="array" aca="1" ref="AF228" ca="1">_xll.FDS($E$9,"P_PRICE("&amp;AK228&amp;",0,D,D)")</f>
        <v>6037.59</v>
      </c>
      <c r="AG228" s="20">
        <f t="shared" ca="1" si="67"/>
        <v>45742</v>
      </c>
      <c r="AH228" s="22">
        <f t="shared" ca="1" si="62"/>
        <v>45735</v>
      </c>
      <c r="AI228" s="22">
        <f t="shared" ca="1" si="63"/>
        <v>45728</v>
      </c>
      <c r="AJ228" s="22">
        <f t="shared" ca="1" si="64"/>
        <v>45714</v>
      </c>
      <c r="AK228" s="22">
        <f t="shared" ca="1" si="65"/>
        <v>45652</v>
      </c>
      <c r="AL228" s="22">
        <f t="shared" ca="1" si="66"/>
        <v>45566</v>
      </c>
    </row>
    <row r="229" spans="4:38" x14ac:dyDescent="0.25">
      <c r="D229" s="6">
        <f ca="1"/>
        <v>45741</v>
      </c>
      <c r="E229" s="28" cm="1">
        <f t="array" aca="1" ref="E229" ca="1">_xll.FDS($E$7,"P_PRICE("&amp;D229&amp;",0,D,D)")</f>
        <v>98.61</v>
      </c>
      <c r="F229" s="29" cm="1">
        <f t="array" aca="1" ref="F229" ca="1">_xll.FDS($E$7,"P_BETA_LOCIDX("&amp;$AG229&amp;","&amp;$AL229&amp;",,"""&amp;$E$9&amp;""")")</f>
        <v>1.3369215999999999</v>
      </c>
      <c r="G229" s="30">
        <f t="shared" ca="1" si="52"/>
        <v>-1.2880169392489038E-2</v>
      </c>
      <c r="H229" s="30">
        <f t="shared" ca="1" si="52"/>
        <v>-7.0268806321895291E-3</v>
      </c>
      <c r="I229" s="30">
        <f t="shared" ca="1" si="52"/>
        <v>2.3343318679762776E-2</v>
      </c>
      <c r="J229" s="30">
        <f t="shared" ca="1" si="52"/>
        <v>9.9038363803011092E-2</v>
      </c>
      <c r="K229" s="30">
        <f t="shared" ca="1" si="53"/>
        <v>3.8571868997232195E-2</v>
      </c>
      <c r="L229" s="30">
        <f t="shared" ca="1" si="53"/>
        <v>4.9085424434366524E-2</v>
      </c>
      <c r="M229" s="30">
        <f t="shared" ca="1" si="53"/>
        <v>-4.0094739559212472E-2</v>
      </c>
      <c r="N229" s="30">
        <f t="shared" ca="1" si="53"/>
        <v>-5.8299577523327789E-2</v>
      </c>
      <c r="O229" s="30">
        <f t="shared" ca="1" si="54"/>
        <v>2.5691699604743157E-2</v>
      </c>
      <c r="P229" s="30">
        <f t="shared" ca="1" si="55"/>
        <v>4.2058543802176995E-2</v>
      </c>
      <c r="Q229" s="30">
        <f t="shared" ca="1" si="56"/>
        <v>-1.6751420879449697E-2</v>
      </c>
      <c r="R229" s="30">
        <f t="shared" ca="1" si="57"/>
        <v>4.0738786279683303E-2</v>
      </c>
      <c r="S229" s="9" cm="1">
        <f t="array" aca="1" ref="S229" ca="1">_xll.FDS($E$7,"P_PRICE("&amp;AG229&amp;",0,D,D)")</f>
        <v>98.61</v>
      </c>
      <c r="T229" s="9" cm="1">
        <f t="array" aca="1" ref="T229" ca="1">_xll.FDS($E$7,"P_PRICE("&amp;AH229&amp;",0,D,D)")</f>
        <v>96.14</v>
      </c>
      <c r="U229" s="9" cm="1">
        <f t="array" aca="1" ref="U229" ca="1">_xll.FDS($E$7,"P_PRICE("&amp;AI229&amp;",0,D,D)")</f>
        <v>94.63</v>
      </c>
      <c r="V229" s="9" cm="1">
        <f t="array" aca="1" ref="V229" ca="1">_xll.FDS($E$7,"P_PRICE("&amp;AJ229&amp;",0,D,D)")</f>
        <v>100.29</v>
      </c>
      <c r="W229" s="9" cm="1">
        <f t="array" aca="1" ref="W229" ca="1">_xll.FDS($E$7,"P_PRICE("&amp;AK229&amp;",0,D,D)")</f>
        <v>94.75</v>
      </c>
      <c r="X229" s="24">
        <f t="shared" ca="1" si="58"/>
        <v>2.8851257244427941E-2</v>
      </c>
      <c r="Y229" s="24">
        <f t="shared" ca="1" si="59"/>
        <v>3.6715260217477619E-2</v>
      </c>
      <c r="Z229" s="24">
        <f t="shared" ca="1" si="60"/>
        <v>-2.9990344653876844E-2</v>
      </c>
      <c r="AA229" s="24">
        <f t="shared" ca="1" si="61"/>
        <v>-4.3607327103794113E-2</v>
      </c>
      <c r="AB229" s="9" cm="1">
        <f t="array" aca="1" ref="AB229" ca="1">_xll.FDS($E$9,"P_PRICE("&amp;AG229&amp;",0,D,D)")</f>
        <v>5776.65</v>
      </c>
      <c r="AC229" s="9" cm="1">
        <f t="array" aca="1" ref="AC229" ca="1">_xll.FDS($E$9,"P_PRICE("&amp;AH229&amp;",0,D,D)")</f>
        <v>5614.66</v>
      </c>
      <c r="AD229" s="9" cm="1">
        <f t="array" aca="1" ref="AD229" ca="1">_xll.FDS($E$9,"P_PRICE("&amp;AI229&amp;",0,D,D)")</f>
        <v>5572.07</v>
      </c>
      <c r="AE229" s="9" cm="1">
        <f t="array" aca="1" ref="AE229" ca="1">_xll.FDS($E$9,"P_PRICE("&amp;AJ229&amp;",0,D,D)")</f>
        <v>5955.25</v>
      </c>
      <c r="AF229" s="9" cm="1">
        <f t="array" aca="1" ref="AF229" ca="1">_xll.FDS($E$9,"P_PRICE("&amp;AK229&amp;",0,D,D)")</f>
        <v>6040.04</v>
      </c>
      <c r="AG229" s="20">
        <f t="shared" ca="1" si="67"/>
        <v>45741</v>
      </c>
      <c r="AH229" s="22">
        <f t="shared" ca="1" si="62"/>
        <v>45734</v>
      </c>
      <c r="AI229" s="22">
        <f t="shared" ca="1" si="63"/>
        <v>45727</v>
      </c>
      <c r="AJ229" s="22">
        <f t="shared" ca="1" si="64"/>
        <v>45713</v>
      </c>
      <c r="AK229" s="22">
        <f t="shared" ca="1" si="65"/>
        <v>45650</v>
      </c>
      <c r="AL229" s="22">
        <f t="shared" ca="1" si="66"/>
        <v>45565</v>
      </c>
    </row>
    <row r="230" spans="4:38" x14ac:dyDescent="0.25">
      <c r="D230" s="6">
        <f ca="1"/>
        <v>45740</v>
      </c>
      <c r="E230" s="28" cm="1">
        <f t="array" aca="1" ref="E230" ca="1">_xll.FDS($E$7,"P_PRICE("&amp;D230&amp;",0,D,D)")</f>
        <v>98.13</v>
      </c>
      <c r="F230" s="29" cm="1">
        <f t="array" aca="1" ref="F230" ca="1">_xll.FDS($E$7,"P_BETA_LOCIDX("&amp;$AG230&amp;","&amp;$AL230&amp;",,"""&amp;$E$9&amp;""")")</f>
        <v>1.3375041000000001</v>
      </c>
      <c r="G230" s="30">
        <f t="shared" ca="1" si="52"/>
        <v>-1.3569023147893863E-2</v>
      </c>
      <c r="H230" s="30">
        <f t="shared" ca="1" si="52"/>
        <v>1.0046606594234418E-2</v>
      </c>
      <c r="I230" s="30">
        <f t="shared" ca="1" si="52"/>
        <v>2.5993401845769364E-2</v>
      </c>
      <c r="J230" s="30">
        <f t="shared" ca="1" si="52"/>
        <v>8.7509822209734078E-2</v>
      </c>
      <c r="K230" s="30">
        <f t="shared" ca="1" si="53"/>
        <v>2.1788482718427024E-2</v>
      </c>
      <c r="L230" s="30">
        <f t="shared" ca="1" si="53"/>
        <v>3.6450140766328666E-2</v>
      </c>
      <c r="M230" s="30">
        <f t="shared" ca="1" si="53"/>
        <v>-4.8213409817072665E-2</v>
      </c>
      <c r="N230" s="30">
        <f t="shared" ca="1" si="53"/>
        <v>-4.6232233075608364E-2</v>
      </c>
      <c r="O230" s="30">
        <f t="shared" ca="1" si="54"/>
        <v>8.2194595705331608E-3</v>
      </c>
      <c r="P230" s="30">
        <f t="shared" ca="1" si="55"/>
        <v>4.6496747360563084E-2</v>
      </c>
      <c r="Q230" s="30">
        <f t="shared" ca="1" si="56"/>
        <v>-2.2220007971303302E-2</v>
      </c>
      <c r="R230" s="30">
        <f t="shared" ca="1" si="57"/>
        <v>4.1277589134125714E-2</v>
      </c>
      <c r="S230" s="9" cm="1">
        <f t="array" aca="1" ref="S230" ca="1">_xll.FDS($E$7,"P_PRICE("&amp;AG230&amp;",0,D,D)")</f>
        <v>98.13</v>
      </c>
      <c r="T230" s="9" cm="1">
        <f t="array" aca="1" ref="T230" ca="1">_xll.FDS($E$7,"P_PRICE("&amp;AH230&amp;",0,D,D)")</f>
        <v>97.33</v>
      </c>
      <c r="U230" s="9" cm="1">
        <f t="array" aca="1" ref="U230" ca="1">_xll.FDS($E$7,"P_PRICE("&amp;AI230&amp;",0,D,D)")</f>
        <v>93.77</v>
      </c>
      <c r="V230" s="9" cm="1">
        <f t="array" aca="1" ref="V230" ca="1">_xll.FDS($E$7,"P_PRICE("&amp;AJ230&amp;",0,D,D)")</f>
        <v>100.36</v>
      </c>
      <c r="W230" s="9" cm="1">
        <f t="array" aca="1" ref="W230" ca="1">_xll.FDS($E$7,"P_PRICE("&amp;AK230&amp;",0,D,D)")</f>
        <v>94.24</v>
      </c>
      <c r="X230" s="24">
        <f t="shared" ca="1" si="58"/>
        <v>1.6290404431976713E-2</v>
      </c>
      <c r="Y230" s="24">
        <f t="shared" ca="1" si="59"/>
        <v>2.7252358154512324E-2</v>
      </c>
      <c r="Z230" s="24">
        <f t="shared" ca="1" si="60"/>
        <v>-3.604729870889567E-2</v>
      </c>
      <c r="AA230" s="24">
        <f t="shared" ca="1" si="61"/>
        <v>-3.4566049611069127E-2</v>
      </c>
      <c r="AB230" s="9" cm="1">
        <f t="array" aca="1" ref="AB230" ca="1">_xll.FDS($E$9,"P_PRICE("&amp;AG230&amp;",0,D,D)")</f>
        <v>5767.57</v>
      </c>
      <c r="AC230" s="9" cm="1">
        <f t="array" aca="1" ref="AC230" ca="1">_xll.FDS($E$9,"P_PRICE("&amp;AH230&amp;",0,D,D)")</f>
        <v>5675.12</v>
      </c>
      <c r="AD230" s="9" cm="1">
        <f t="array" aca="1" ref="AD230" ca="1">_xll.FDS($E$9,"P_PRICE("&amp;AI230&amp;",0,D,D)")</f>
        <v>5614.56</v>
      </c>
      <c r="AE230" s="9" cm="1">
        <f t="array" aca="1" ref="AE230" ca="1">_xll.FDS($E$9,"P_PRICE("&amp;AJ230&amp;",0,D,D)")</f>
        <v>5983.25</v>
      </c>
      <c r="AF230" s="9" cm="1">
        <f t="array" aca="1" ref="AF230" ca="1">_xll.FDS($E$9,"P_PRICE("&amp;AK230&amp;",0,D,D)")</f>
        <v>5974.07</v>
      </c>
      <c r="AG230" s="20">
        <f t="shared" ca="1" si="67"/>
        <v>45740</v>
      </c>
      <c r="AH230" s="22">
        <f t="shared" ca="1" si="62"/>
        <v>45733</v>
      </c>
      <c r="AI230" s="22">
        <f t="shared" ca="1" si="63"/>
        <v>45726</v>
      </c>
      <c r="AJ230" s="22">
        <f t="shared" ca="1" si="64"/>
        <v>45712</v>
      </c>
      <c r="AK230" s="22">
        <f t="shared" ca="1" si="65"/>
        <v>45649</v>
      </c>
      <c r="AL230" s="22">
        <f t="shared" ca="1" si="66"/>
        <v>45562</v>
      </c>
    </row>
    <row r="231" spans="4:38" x14ac:dyDescent="0.25">
      <c r="D231" s="6">
        <f ca="1"/>
        <v>45737</v>
      </c>
      <c r="E231" s="28" cm="1">
        <f t="array" aca="1" ref="E231" ca="1">_xll.FDS($E$7,"P_PRICE("&amp;D231&amp;",0,D,D)")</f>
        <v>94.65</v>
      </c>
      <c r="F231" s="29" cm="1">
        <f t="array" aca="1" ref="F231" ca="1">_xll.FDS($E$7,"P_BETA_LOCIDX("&amp;$AG231&amp;","&amp;$AL231&amp;",,"""&amp;$E$9&amp;""")")</f>
        <v>1.3175231000000001</v>
      </c>
      <c r="G231" s="30">
        <f t="shared" ca="1" si="52"/>
        <v>-3.1114938695629455E-2</v>
      </c>
      <c r="H231" s="30">
        <f t="shared" ca="1" si="52"/>
        <v>-5.8942967104042045E-3</v>
      </c>
      <c r="I231" s="30">
        <f t="shared" ca="1" si="52"/>
        <v>1.9009853267522955E-2</v>
      </c>
      <c r="J231" s="30">
        <f t="shared" ca="1" si="52"/>
        <v>6.9275186394667967E-2</v>
      </c>
      <c r="K231" s="30">
        <f t="shared" ca="1" si="53"/>
        <v>6.6869856962479589E-3</v>
      </c>
      <c r="L231" s="30">
        <f t="shared" ca="1" si="53"/>
        <v>-2.3436028384457904E-2</v>
      </c>
      <c r="M231" s="30">
        <f t="shared" ca="1" si="53"/>
        <v>-7.5717048802703288E-2</v>
      </c>
      <c r="N231" s="30">
        <f t="shared" ca="1" si="53"/>
        <v>-5.8489197501032722E-2</v>
      </c>
      <c r="O231" s="30">
        <f t="shared" ca="1" si="54"/>
        <v>-2.4427952999381497E-2</v>
      </c>
      <c r="P231" s="30">
        <f t="shared" ca="1" si="55"/>
        <v>-2.9330325094862109E-2</v>
      </c>
      <c r="Q231" s="30">
        <f t="shared" ca="1" si="56"/>
        <v>-5.6707195535180333E-2</v>
      </c>
      <c r="R231" s="30">
        <f t="shared" ca="1" si="57"/>
        <v>1.0785988893635245E-2</v>
      </c>
      <c r="S231" s="9" cm="1">
        <f t="array" aca="1" ref="S231" ca="1">_xll.FDS($E$7,"P_PRICE("&amp;AG231&amp;",0,D,D)")</f>
        <v>94.65</v>
      </c>
      <c r="T231" s="9" cm="1">
        <f t="array" aca="1" ref="T231" ca="1">_xll.FDS($E$7,"P_PRICE("&amp;AH231&amp;",0,D,D)")</f>
        <v>97.02</v>
      </c>
      <c r="U231" s="9" cm="1">
        <f t="array" aca="1" ref="U231" ca="1">_xll.FDS($E$7,"P_PRICE("&amp;AI231&amp;",0,D,D)")</f>
        <v>97.51</v>
      </c>
      <c r="V231" s="9" cm="1">
        <f t="array" aca="1" ref="V231" ca="1">_xll.FDS($E$7,"P_PRICE("&amp;AJ231&amp;",0,D,D)")</f>
        <v>100.34</v>
      </c>
      <c r="W231" s="9" cm="1">
        <f t="array" aca="1" ref="W231" ca="1">_xll.FDS($E$7,"P_PRICE("&amp;AK231&amp;",0,D,D)")</f>
        <v>93.64</v>
      </c>
      <c r="X231" s="24">
        <f t="shared" ca="1" si="58"/>
        <v>5.0754219764708175E-3</v>
      </c>
      <c r="Y231" s="24">
        <f t="shared" ca="1" si="59"/>
        <v>-1.778794495858016E-2</v>
      </c>
      <c r="Z231" s="24">
        <f t="shared" ca="1" si="60"/>
        <v>-5.7469238150513857E-2</v>
      </c>
      <c r="AA231" s="24">
        <f t="shared" ca="1" si="61"/>
        <v>-4.4393299442744283E-2</v>
      </c>
      <c r="AB231" s="9" cm="1">
        <f t="array" aca="1" ref="AB231" ca="1">_xll.FDS($E$9,"P_PRICE("&amp;AG231&amp;",0,D,D)")</f>
        <v>5667.56</v>
      </c>
      <c r="AC231" s="9" cm="1">
        <f t="array" aca="1" ref="AC231" ca="1">_xll.FDS($E$9,"P_PRICE("&amp;AH231&amp;",0,D,D)")</f>
        <v>5638.94</v>
      </c>
      <c r="AD231" s="9" cm="1">
        <f t="array" aca="1" ref="AD231" ca="1">_xll.FDS($E$9,"P_PRICE("&amp;AI231&amp;",0,D,D)")</f>
        <v>5770.2</v>
      </c>
      <c r="AE231" s="9" cm="1">
        <f t="array" aca="1" ref="AE231" ca="1">_xll.FDS($E$9,"P_PRICE("&amp;AJ231&amp;",0,D,D)")</f>
        <v>6013.13</v>
      </c>
      <c r="AF231" s="9" cm="1">
        <f t="array" aca="1" ref="AF231" ca="1">_xll.FDS($E$9,"P_PRICE("&amp;AK231&amp;",0,D,D)")</f>
        <v>5930.85</v>
      </c>
      <c r="AG231" s="20">
        <f t="shared" ca="1" si="67"/>
        <v>45737</v>
      </c>
      <c r="AH231" s="22">
        <f t="shared" ca="1" si="62"/>
        <v>45730</v>
      </c>
      <c r="AI231" s="22">
        <f t="shared" ca="1" si="63"/>
        <v>45723</v>
      </c>
      <c r="AJ231" s="22">
        <f t="shared" ca="1" si="64"/>
        <v>45709</v>
      </c>
      <c r="AK231" s="22">
        <f t="shared" ca="1" si="65"/>
        <v>45646</v>
      </c>
      <c r="AL231" s="22">
        <f t="shared" ca="1" si="66"/>
        <v>45561</v>
      </c>
    </row>
    <row r="232" spans="4:38" x14ac:dyDescent="0.25">
      <c r="D232" s="6">
        <f ca="1"/>
        <v>45736</v>
      </c>
      <c r="E232" s="28" cm="1">
        <f t="array" aca="1" ref="E232" ca="1">_xll.FDS($E$7,"P_PRICE("&amp;D232&amp;",0,D,D)")</f>
        <v>97.59</v>
      </c>
      <c r="F232" s="29" cm="1">
        <f t="array" aca="1" ref="F232" ca="1">_xll.FDS($E$7,"P_BETA_LOCIDX("&amp;$AG232&amp;","&amp;$AL232&amp;",,"""&amp;$E$9&amp;""")")</f>
        <v>1.3192585999999999</v>
      </c>
      <c r="G232" s="30">
        <f t="shared" ca="1" si="52"/>
        <v>-2.170815534458255E-3</v>
      </c>
      <c r="H232" s="30">
        <f t="shared" ca="1" si="52"/>
        <v>5.3400061353619417E-3</v>
      </c>
      <c r="I232" s="30">
        <f t="shared" ca="1" si="52"/>
        <v>4.9397144827963466E-2</v>
      </c>
      <c r="J232" s="30">
        <f t="shared" ca="1" si="52"/>
        <v>9.459198274166275E-2</v>
      </c>
      <c r="K232" s="30">
        <f t="shared" ca="1" si="53"/>
        <v>3.377758086215394E-2</v>
      </c>
      <c r="L232" s="30">
        <f t="shared" ca="1" si="53"/>
        <v>-1.7386979206833898E-2</v>
      </c>
      <c r="M232" s="30">
        <f t="shared" ca="1" si="53"/>
        <v>-9.8042104859158583E-2</v>
      </c>
      <c r="N232" s="30">
        <f t="shared" ca="1" si="53"/>
        <v>-4.5913710659135347E-2</v>
      </c>
      <c r="O232" s="30">
        <f t="shared" ca="1" si="54"/>
        <v>3.1606765327695685E-2</v>
      </c>
      <c r="P232" s="30">
        <f t="shared" ca="1" si="55"/>
        <v>-1.2046973071471956E-2</v>
      </c>
      <c r="Q232" s="30">
        <f t="shared" ca="1" si="56"/>
        <v>-4.8644960031195117E-2</v>
      </c>
      <c r="R232" s="30">
        <f t="shared" ca="1" si="57"/>
        <v>4.8678272082527396E-2</v>
      </c>
      <c r="S232" s="9" cm="1">
        <f t="array" aca="1" ref="S232" ca="1">_xll.FDS($E$7,"P_PRICE("&amp;AG232&amp;",0,D,D)")</f>
        <v>97.59</v>
      </c>
      <c r="T232" s="9" cm="1">
        <f t="array" aca="1" ref="T232" ca="1">_xll.FDS($E$7,"P_PRICE("&amp;AH232&amp;",0,D,D)")</f>
        <v>94.6</v>
      </c>
      <c r="U232" s="9" cm="1">
        <f t="array" aca="1" ref="U232" ca="1">_xll.FDS($E$7,"P_PRICE("&amp;AI232&amp;",0,D,D)")</f>
        <v>98.78</v>
      </c>
      <c r="V232" s="9" cm="1">
        <f t="array" aca="1" ref="V232" ca="1">_xll.FDS($E$7,"P_PRICE("&amp;AJ232&amp;",0,D,D)")</f>
        <v>102.58</v>
      </c>
      <c r="W232" s="9" cm="1">
        <f t="array" aca="1" ref="W232" ca="1">_xll.FDS($E$7,"P_PRICE("&amp;AK232&amp;",0,D,D)")</f>
        <v>93.06</v>
      </c>
      <c r="X232" s="24">
        <f t="shared" ca="1" si="58"/>
        <v>2.5603457019081732E-2</v>
      </c>
      <c r="Y232" s="24">
        <f t="shared" ca="1" si="59"/>
        <v>-1.3179356349720894E-2</v>
      </c>
      <c r="Z232" s="24">
        <f t="shared" ca="1" si="60"/>
        <v>-7.4316062718225662E-2</v>
      </c>
      <c r="AA232" s="24">
        <f t="shared" ca="1" si="61"/>
        <v>-3.4802661630657816E-2</v>
      </c>
      <c r="AB232" s="9" cm="1">
        <f t="array" aca="1" ref="AB232" ca="1">_xll.FDS($E$9,"P_PRICE("&amp;AG232&amp;",0,D,D)")</f>
        <v>5662.89</v>
      </c>
      <c r="AC232" s="9" cm="1">
        <f t="array" aca="1" ref="AC232" ca="1">_xll.FDS($E$9,"P_PRICE("&amp;AH232&amp;",0,D,D)")</f>
        <v>5521.52</v>
      </c>
      <c r="AD232" s="9" cm="1">
        <f t="array" aca="1" ref="AD232" ca="1">_xll.FDS($E$9,"P_PRICE("&amp;AI232&amp;",0,D,D)")</f>
        <v>5738.52</v>
      </c>
      <c r="AE232" s="9" cm="1">
        <f t="array" aca="1" ref="AE232" ca="1">_xll.FDS($E$9,"P_PRICE("&amp;AJ232&amp;",0,D,D)")</f>
        <v>6117.52</v>
      </c>
      <c r="AF232" s="9" cm="1">
        <f t="array" aca="1" ref="AF232" ca="1">_xll.FDS($E$9,"P_PRICE("&amp;AK232&amp;",0,D,D)")</f>
        <v>5867.08</v>
      </c>
      <c r="AG232" s="20">
        <f t="shared" ca="1" si="67"/>
        <v>45736</v>
      </c>
      <c r="AH232" s="22">
        <f t="shared" ca="1" si="62"/>
        <v>45729</v>
      </c>
      <c r="AI232" s="22">
        <f t="shared" ca="1" si="63"/>
        <v>45722</v>
      </c>
      <c r="AJ232" s="22">
        <f t="shared" ca="1" si="64"/>
        <v>45708</v>
      </c>
      <c r="AK232" s="22">
        <f t="shared" ca="1" si="65"/>
        <v>45645</v>
      </c>
      <c r="AL232" s="22">
        <f t="shared" ca="1" si="66"/>
        <v>45560</v>
      </c>
    </row>
    <row r="233" spans="4:38" x14ac:dyDescent="0.25">
      <c r="D233" s="6">
        <f ca="1"/>
        <v>45735</v>
      </c>
      <c r="E233" s="28" cm="1">
        <f t="array" aca="1" ref="E233" ca="1">_xll.FDS($E$7,"P_PRICE("&amp;D233&amp;",0,D,D)")</f>
        <v>98.76</v>
      </c>
      <c r="F233" s="29" cm="1">
        <f t="array" aca="1" ref="F233" ca="1">_xll.FDS($E$7,"P_BETA_LOCIDX("&amp;$AG233&amp;","&amp;$AL233&amp;",,"""&amp;$E$9&amp;""")")</f>
        <v>1.3145458999999999</v>
      </c>
      <c r="G233" s="30">
        <f t="shared" ca="1" si="52"/>
        <v>-1.3977574707031364E-2</v>
      </c>
      <c r="H233" s="30">
        <f t="shared" ca="1" si="52"/>
        <v>-1.0883765633660641E-3</v>
      </c>
      <c r="I233" s="30">
        <f t="shared" ca="1" si="52"/>
        <v>3.1132960272113125E-2</v>
      </c>
      <c r="J233" s="30">
        <f t="shared" ca="1" si="52"/>
        <v>9.7961117336687845E-2</v>
      </c>
      <c r="K233" s="30">
        <f t="shared" ca="1" si="53"/>
        <v>1.7840148400871607E-2</v>
      </c>
      <c r="L233" s="30">
        <f t="shared" ca="1" si="53"/>
        <v>-3.7650186800464905E-2</v>
      </c>
      <c r="M233" s="30">
        <f t="shared" ca="1" si="53"/>
        <v>-0.10031297912225437</v>
      </c>
      <c r="N233" s="30">
        <f t="shared" ca="1" si="53"/>
        <v>-4.4071457748596735E-2</v>
      </c>
      <c r="O233" s="30">
        <f t="shared" ca="1" si="54"/>
        <v>3.8625736938402433E-3</v>
      </c>
      <c r="P233" s="30">
        <f t="shared" ca="1" si="55"/>
        <v>-3.8738563363830969E-2</v>
      </c>
      <c r="Q233" s="30">
        <f t="shared" ca="1" si="56"/>
        <v>-6.9180018850141245E-2</v>
      </c>
      <c r="R233" s="30">
        <f t="shared" ca="1" si="57"/>
        <v>5.388965958809111E-2</v>
      </c>
      <c r="S233" s="9" cm="1">
        <f t="array" aca="1" ref="S233" ca="1">_xll.FDS($E$7,"P_PRICE("&amp;AG233&amp;",0,D,D)")</f>
        <v>98.76</v>
      </c>
      <c r="T233" s="9" cm="1">
        <f t="array" aca="1" ref="T233" ca="1">_xll.FDS($E$7,"P_PRICE("&amp;AH233&amp;",0,D,D)")</f>
        <v>98.38</v>
      </c>
      <c r="U233" s="9" cm="1">
        <f t="array" aca="1" ref="U233" ca="1">_xll.FDS($E$7,"P_PRICE("&amp;AI233&amp;",0,D,D)")</f>
        <v>102.74</v>
      </c>
      <c r="V233" s="9" cm="1">
        <f t="array" aca="1" ref="V233" ca="1">_xll.FDS($E$7,"P_PRICE("&amp;AJ233&amp;",0,D,D)")</f>
        <v>106.1</v>
      </c>
      <c r="W233" s="9" cm="1">
        <f t="array" aca="1" ref="W233" ca="1">_xll.FDS($E$7,"P_PRICE("&amp;AK233&amp;",0,D,D)")</f>
        <v>93.71</v>
      </c>
      <c r="X233" s="24">
        <f t="shared" ca="1" si="58"/>
        <v>1.357133927455223E-2</v>
      </c>
      <c r="Y233" s="24">
        <f t="shared" ca="1" si="59"/>
        <v>-2.8641211235351238E-2</v>
      </c>
      <c r="Z233" s="24">
        <f t="shared" ca="1" si="60"/>
        <v>-7.6309985921567569E-2</v>
      </c>
      <c r="AA233" s="24">
        <f t="shared" ca="1" si="61"/>
        <v>-3.352599384212962E-2</v>
      </c>
      <c r="AB233" s="9" cm="1">
        <f t="array" aca="1" ref="AB233" ca="1">_xll.FDS($E$9,"P_PRICE("&amp;AG233&amp;",0,D,D)")</f>
        <v>5675.29</v>
      </c>
      <c r="AC233" s="9" cm="1">
        <f t="array" aca="1" ref="AC233" ca="1">_xll.FDS($E$9,"P_PRICE("&amp;AH233&amp;",0,D,D)")</f>
        <v>5599.3</v>
      </c>
      <c r="AD233" s="9" cm="1">
        <f t="array" aca="1" ref="AD233" ca="1">_xll.FDS($E$9,"P_PRICE("&amp;AI233&amp;",0,D,D)")</f>
        <v>5842.63</v>
      </c>
      <c r="AE233" s="9" cm="1">
        <f t="array" aca="1" ref="AE233" ca="1">_xll.FDS($E$9,"P_PRICE("&amp;AJ233&amp;",0,D,D)")</f>
        <v>6144.15</v>
      </c>
      <c r="AF233" s="9" cm="1">
        <f t="array" aca="1" ref="AF233" ca="1">_xll.FDS($E$9,"P_PRICE("&amp;AK233&amp;",0,D,D)")</f>
        <v>5872.16</v>
      </c>
      <c r="AG233" s="20">
        <f t="shared" ca="1" si="67"/>
        <v>45735</v>
      </c>
      <c r="AH233" s="22">
        <f t="shared" ca="1" si="62"/>
        <v>45728</v>
      </c>
      <c r="AI233" s="22">
        <f t="shared" ca="1" si="63"/>
        <v>45721</v>
      </c>
      <c r="AJ233" s="22">
        <f t="shared" ca="1" si="64"/>
        <v>45707</v>
      </c>
      <c r="AK233" s="22">
        <f t="shared" ca="1" si="65"/>
        <v>45644</v>
      </c>
      <c r="AL233" s="22">
        <f t="shared" ca="1" si="66"/>
        <v>45559</v>
      </c>
    </row>
    <row r="234" spans="4:38" x14ac:dyDescent="0.25">
      <c r="D234" s="6">
        <f ca="1"/>
        <v>45734</v>
      </c>
      <c r="E234" s="28" cm="1">
        <f t="array" aca="1" ref="E234" ca="1">_xll.FDS($E$7,"P_PRICE("&amp;D234&amp;",0,D,D)")</f>
        <v>96.14</v>
      </c>
      <c r="F234" s="29" cm="1">
        <f t="array" aca="1" ref="F234" ca="1">_xll.FDS($E$7,"P_BETA_LOCIDX("&amp;$AG234&amp;","&amp;$AL234&amp;",,"""&amp;$E$9&amp;""")")</f>
        <v>1.2957746000000001</v>
      </c>
      <c r="G234" s="30">
        <f t="shared" ca="1" si="52"/>
        <v>6.0526587723651586E-3</v>
      </c>
      <c r="H234" s="30">
        <f t="shared" ca="1" si="52"/>
        <v>3.489819123145655E-2</v>
      </c>
      <c r="I234" s="30">
        <f t="shared" ca="1" si="52"/>
        <v>-2.1180956648054194E-2</v>
      </c>
      <c r="J234" s="30">
        <f t="shared" ca="1" si="52"/>
        <v>8.21507883479283E-2</v>
      </c>
      <c r="K234" s="30">
        <f t="shared" ca="1" si="53"/>
        <v>9.9042259365010894E-3</v>
      </c>
      <c r="L234" s="30">
        <f t="shared" ca="1" si="53"/>
        <v>-3.666332465477707E-2</v>
      </c>
      <c r="M234" s="30">
        <f t="shared" ca="1" si="53"/>
        <v>-0.10885252448487504</v>
      </c>
      <c r="N234" s="30">
        <f t="shared" ca="1" si="53"/>
        <v>-9.3361320076818605E-2</v>
      </c>
      <c r="O234" s="30">
        <f t="shared" ca="1" si="54"/>
        <v>1.5956884708866248E-2</v>
      </c>
      <c r="P234" s="30">
        <f t="shared" ca="1" si="55"/>
        <v>-1.7651334233205196E-3</v>
      </c>
      <c r="Q234" s="30">
        <f t="shared" ca="1" si="56"/>
        <v>-0.13003348113292923</v>
      </c>
      <c r="R234" s="30">
        <f t="shared" ca="1" si="57"/>
        <v>-1.1210531728890305E-2</v>
      </c>
      <c r="S234" s="9" cm="1">
        <f t="array" aca="1" ref="S234" ca="1">_xll.FDS($E$7,"P_PRICE("&amp;AG234&amp;",0,D,D)")</f>
        <v>96.14</v>
      </c>
      <c r="T234" s="9" cm="1">
        <f t="array" aca="1" ref="T234" ca="1">_xll.FDS($E$7,"P_PRICE("&amp;AH234&amp;",0,D,D)")</f>
        <v>94.63</v>
      </c>
      <c r="U234" s="9" cm="1">
        <f t="array" aca="1" ref="U234" ca="1">_xll.FDS($E$7,"P_PRICE("&amp;AI234&amp;",0,D,D)")</f>
        <v>96.31</v>
      </c>
      <c r="V234" s="9" cm="1">
        <f t="array" aca="1" ref="V234" ca="1">_xll.FDS($E$7,"P_PRICE("&amp;AJ234&amp;",0,D,D)")</f>
        <v>110.51</v>
      </c>
      <c r="W234" s="9" cm="1">
        <f t="array" aca="1" ref="W234" ca="1">_xll.FDS($E$7,"P_PRICE("&amp;AK234&amp;",0,D,D)")</f>
        <v>97.23</v>
      </c>
      <c r="X234" s="24">
        <f t="shared" ca="1" si="58"/>
        <v>7.6434789943413683E-3</v>
      </c>
      <c r="Y234" s="24">
        <f t="shared" ca="1" si="59"/>
        <v>-2.8294523333592947E-2</v>
      </c>
      <c r="Z234" s="24">
        <f t="shared" ca="1" si="60"/>
        <v>-8.4005755696148876E-2</v>
      </c>
      <c r="AA234" s="24">
        <f t="shared" ca="1" si="61"/>
        <v>-7.2050586635066471E-2</v>
      </c>
      <c r="AB234" s="9" cm="1">
        <f t="array" aca="1" ref="AB234" ca="1">_xll.FDS($E$9,"P_PRICE("&amp;AG234&amp;",0,D,D)")</f>
        <v>5614.66</v>
      </c>
      <c r="AC234" s="9" cm="1">
        <f t="array" aca="1" ref="AC234" ca="1">_xll.FDS($E$9,"P_PRICE("&amp;AH234&amp;",0,D,D)")</f>
        <v>5572.07</v>
      </c>
      <c r="AD234" s="9" cm="1">
        <f t="array" aca="1" ref="AD234" ca="1">_xll.FDS($E$9,"P_PRICE("&amp;AI234&amp;",0,D,D)")</f>
        <v>5778.15</v>
      </c>
      <c r="AE234" s="9" cm="1">
        <f t="array" aca="1" ref="AE234" ca="1">_xll.FDS($E$9,"P_PRICE("&amp;AJ234&amp;",0,D,D)")</f>
        <v>6129.58</v>
      </c>
      <c r="AF234" s="9" cm="1">
        <f t="array" aca="1" ref="AF234" ca="1">_xll.FDS($E$9,"P_PRICE("&amp;AK234&amp;",0,D,D)")</f>
        <v>6050.61</v>
      </c>
      <c r="AG234" s="20">
        <f t="shared" ca="1" si="67"/>
        <v>45734</v>
      </c>
      <c r="AH234" s="22">
        <f t="shared" ca="1" si="62"/>
        <v>45727</v>
      </c>
      <c r="AI234" s="22">
        <f t="shared" ca="1" si="63"/>
        <v>45720</v>
      </c>
      <c r="AJ234" s="22">
        <f t="shared" ca="1" si="64"/>
        <v>45706</v>
      </c>
      <c r="AK234" s="22">
        <f t="shared" ca="1" si="65"/>
        <v>45643</v>
      </c>
      <c r="AL234" s="22">
        <f t="shared" ca="1" si="66"/>
        <v>45558</v>
      </c>
    </row>
    <row r="235" spans="4:38" x14ac:dyDescent="0.25">
      <c r="D235" s="6">
        <f ca="1"/>
        <v>45733</v>
      </c>
      <c r="E235" s="28" cm="1">
        <f t="array" aca="1" ref="E235" ca="1">_xll.FDS($E$7,"P_PRICE("&amp;D235&amp;",0,D,D)")</f>
        <v>97.33</v>
      </c>
      <c r="F235" s="29" cm="1">
        <f t="array" aca="1" ref="F235" ca="1">_xll.FDS($E$7,"P_BETA_LOCIDX("&amp;$AG235&amp;","&amp;$AL235&amp;",,"""&amp;$E$9&amp;""")")</f>
        <v>1.2961973</v>
      </c>
      <c r="G235" s="30">
        <f t="shared" ca="1" si="52"/>
        <v>2.3984136991548926E-2</v>
      </c>
      <c r="H235" s="30">
        <f t="shared" ca="1" si="52"/>
        <v>1.2280433404418589E-2</v>
      </c>
      <c r="I235" s="30">
        <f t="shared" ca="1" si="52"/>
        <v>-8.1240794928663096E-3</v>
      </c>
      <c r="J235" s="30">
        <f t="shared" ca="1" si="52"/>
        <v>7.6277846591600251E-2</v>
      </c>
      <c r="K235" s="30">
        <f t="shared" ca="1" si="53"/>
        <v>1.3981097091846657E-2</v>
      </c>
      <c r="L235" s="30">
        <f t="shared" ca="1" si="53"/>
        <v>-3.8688355781131556E-2</v>
      </c>
      <c r="M235" s="30">
        <f t="shared" ca="1" si="53"/>
        <v>-9.316862595496378E-2</v>
      </c>
      <c r="N235" s="30">
        <f t="shared" ca="1" si="53"/>
        <v>-8.5137317060032081E-2</v>
      </c>
      <c r="O235" s="30">
        <f t="shared" ca="1" si="54"/>
        <v>3.7965234083395583E-2</v>
      </c>
      <c r="P235" s="30">
        <f t="shared" ca="1" si="55"/>
        <v>-2.6407922376712967E-2</v>
      </c>
      <c r="Q235" s="30">
        <f t="shared" ca="1" si="56"/>
        <v>-0.10129270544783009</v>
      </c>
      <c r="R235" s="30">
        <f t="shared" ca="1" si="57"/>
        <v>-8.8594704684318293E-3</v>
      </c>
      <c r="S235" s="9" cm="1">
        <f t="array" aca="1" ref="S235" ca="1">_xll.FDS($E$7,"P_PRICE("&amp;AG235&amp;",0,D,D)")</f>
        <v>97.33</v>
      </c>
      <c r="T235" s="9" cm="1">
        <f t="array" aca="1" ref="T235" ca="1">_xll.FDS($E$7,"P_PRICE("&amp;AH235&amp;",0,D,D)")</f>
        <v>93.77</v>
      </c>
      <c r="U235" s="9" cm="1">
        <f t="array" aca="1" ref="U235" ca="1">_xll.FDS($E$7,"P_PRICE("&amp;AI235&amp;",0,D,D)")</f>
        <v>99.97</v>
      </c>
      <c r="V235" s="9" cm="1">
        <f t="array" aca="1" ref="V235" ca="1">_xll.FDS($E$7,"P_PRICE("&amp;AJ235&amp;",0,D,D)")</f>
        <v>108.3</v>
      </c>
      <c r="W235" s="9" cm="1">
        <f t="array" aca="1" ref="W235" ca="1">_xll.FDS($E$7,"P_PRICE("&amp;AK235&amp;",0,D,D)")</f>
        <v>98.2</v>
      </c>
      <c r="X235" s="24">
        <f t="shared" ca="1" si="58"/>
        <v>1.0786241486420822E-2</v>
      </c>
      <c r="Y235" s="24">
        <f t="shared" ca="1" si="59"/>
        <v>-2.9847582448390808E-2</v>
      </c>
      <c r="Z235" s="24">
        <f t="shared" ca="1" si="60"/>
        <v>-7.1878429275360922E-2</v>
      </c>
      <c r="AA235" s="24">
        <f t="shared" ca="1" si="61"/>
        <v>-6.5682374944024402E-2</v>
      </c>
      <c r="AB235" s="9" cm="1">
        <f t="array" aca="1" ref="AB235" ca="1">_xll.FDS($E$9,"P_PRICE("&amp;AG235&amp;",0,D,D)")</f>
        <v>5675.12</v>
      </c>
      <c r="AC235" s="9" cm="1">
        <f t="array" aca="1" ref="AC235" ca="1">_xll.FDS($E$9,"P_PRICE("&amp;AH235&amp;",0,D,D)")</f>
        <v>5614.56</v>
      </c>
      <c r="AD235" s="9" cm="1">
        <f t="array" aca="1" ref="AD235" ca="1">_xll.FDS($E$9,"P_PRICE("&amp;AI235&amp;",0,D,D)")</f>
        <v>5849.72</v>
      </c>
      <c r="AE235" s="9" cm="1">
        <f t="array" aca="1" ref="AE235" ca="1">_xll.FDS($E$9,"P_PRICE("&amp;AJ235&amp;",0,D,D)")</f>
        <v>6114.63</v>
      </c>
      <c r="AF235" s="9" cm="1">
        <f t="array" aca="1" ref="AF235" ca="1">_xll.FDS($E$9,"P_PRICE("&amp;AK235&amp;",0,D,D)")</f>
        <v>6074.08</v>
      </c>
      <c r="AG235" s="20">
        <f t="shared" ca="1" si="67"/>
        <v>45733</v>
      </c>
      <c r="AH235" s="22">
        <f t="shared" ca="1" si="62"/>
        <v>45726</v>
      </c>
      <c r="AI235" s="22">
        <f t="shared" ca="1" si="63"/>
        <v>45719</v>
      </c>
      <c r="AJ235" s="22">
        <f t="shared" ca="1" si="64"/>
        <v>45702</v>
      </c>
      <c r="AK235" s="22">
        <f t="shared" ca="1" si="65"/>
        <v>45642</v>
      </c>
      <c r="AL235" s="22">
        <f t="shared" ca="1" si="66"/>
        <v>45555</v>
      </c>
    </row>
    <row r="236" spans="4:38" x14ac:dyDescent="0.25">
      <c r="D236" s="6">
        <f ca="1"/>
        <v>45730</v>
      </c>
      <c r="E236" s="28" cm="1">
        <f t="array" aca="1" ref="E236" ca="1">_xll.FDS($E$7,"P_PRICE("&amp;D236&amp;",0,D,D)")</f>
        <v>97.02</v>
      </c>
      <c r="F236" s="29" cm="1">
        <f t="array" aca="1" ref="F236" ca="1">_xll.FDS($E$7,"P_BETA_LOCIDX("&amp;$AG236&amp;","&amp;$AL236&amp;",,"""&amp;$E$9&amp;""")")</f>
        <v>1.3130234000000001</v>
      </c>
      <c r="G236" s="30">
        <f t="shared" ca="1" si="52"/>
        <v>2.4843414714308378E-2</v>
      </c>
      <c r="H236" s="30">
        <f t="shared" ca="1" si="52"/>
        <v>1.5935887011721689E-2</v>
      </c>
      <c r="I236" s="30">
        <f t="shared" ca="1" si="52"/>
        <v>1.3220204134297975E-2</v>
      </c>
      <c r="J236" s="30">
        <f t="shared" ca="1" si="52"/>
        <v>8.0241073638069885E-2</v>
      </c>
      <c r="K236" s="30">
        <f t="shared" ca="1" si="53"/>
        <v>-2.9868540342449214E-2</v>
      </c>
      <c r="L236" s="30">
        <f t="shared" ca="1" si="53"/>
        <v>-6.958395568124956E-2</v>
      </c>
      <c r="M236" s="30">
        <f t="shared" ca="1" si="53"/>
        <v>-0.10223428864134027</v>
      </c>
      <c r="N236" s="30">
        <f t="shared" ca="1" si="53"/>
        <v>-8.9432250108658198E-2</v>
      </c>
      <c r="O236" s="30">
        <f t="shared" ca="1" si="54"/>
        <v>-5.0251256281408363E-3</v>
      </c>
      <c r="P236" s="30">
        <f t="shared" ca="1" si="55"/>
        <v>-5.3648068669527871E-2</v>
      </c>
      <c r="Q236" s="30">
        <f t="shared" ca="1" si="56"/>
        <v>-8.901408450704229E-2</v>
      </c>
      <c r="R236" s="30">
        <f t="shared" ca="1" si="57"/>
        <v>-9.1911764705883137E-3</v>
      </c>
      <c r="S236" s="9" cm="1">
        <f t="array" aca="1" ref="S236" ca="1">_xll.FDS($E$7,"P_PRICE("&amp;AG236&amp;",0,D,D)")</f>
        <v>97.02</v>
      </c>
      <c r="T236" s="9" cm="1">
        <f t="array" aca="1" ref="T236" ca="1">_xll.FDS($E$7,"P_PRICE("&amp;AH236&amp;",0,D,D)")</f>
        <v>97.51</v>
      </c>
      <c r="U236" s="9" cm="1">
        <f t="array" aca="1" ref="U236" ca="1">_xll.FDS($E$7,"P_PRICE("&amp;AI236&amp;",0,D,D)")</f>
        <v>102.52</v>
      </c>
      <c r="V236" s="9" cm="1">
        <f t="array" aca="1" ref="V236" ca="1">_xll.FDS($E$7,"P_PRICE("&amp;AJ236&amp;",0,D,D)")</f>
        <v>106.5</v>
      </c>
      <c r="W236" s="9" cm="1">
        <f t="array" aca="1" ref="W236" ca="1">_xll.FDS($E$7,"P_PRICE("&amp;AK236&amp;",0,D,D)")</f>
        <v>97.92</v>
      </c>
      <c r="X236" s="24">
        <f t="shared" ca="1" si="58"/>
        <v>-2.2747911684170452E-2</v>
      </c>
      <c r="Y236" s="24">
        <f t="shared" ca="1" si="59"/>
        <v>-5.2995213703921462E-2</v>
      </c>
      <c r="Z236" s="24">
        <f t="shared" ca="1" si="60"/>
        <v>-7.7861741566327192E-2</v>
      </c>
      <c r="AA236" s="24">
        <f t="shared" ca="1" si="61"/>
        <v>-6.8111695578813136E-2</v>
      </c>
      <c r="AB236" s="9" cm="1">
        <f t="array" aca="1" ref="AB236" ca="1">_xll.FDS($E$9,"P_PRICE("&amp;AG236&amp;",0,D,D)")</f>
        <v>5638.94</v>
      </c>
      <c r="AC236" s="9" cm="1">
        <f t="array" aca="1" ref="AC236" ca="1">_xll.FDS($E$9,"P_PRICE("&amp;AH236&amp;",0,D,D)")</f>
        <v>5770.2</v>
      </c>
      <c r="AD236" s="9" cm="1">
        <f t="array" aca="1" ref="AD236" ca="1">_xll.FDS($E$9,"P_PRICE("&amp;AI236&amp;",0,D,D)")</f>
        <v>5954.5</v>
      </c>
      <c r="AE236" s="9" cm="1">
        <f t="array" aca="1" ref="AE236" ca="1">_xll.FDS($E$9,"P_PRICE("&amp;AJ236&amp;",0,D,D)")</f>
        <v>6115.07</v>
      </c>
      <c r="AF236" s="9" cm="1">
        <f t="array" aca="1" ref="AF236" ca="1">_xll.FDS($E$9,"P_PRICE("&amp;AK236&amp;",0,D,D)")</f>
        <v>6051.09</v>
      </c>
      <c r="AG236" s="20">
        <f t="shared" ca="1" si="67"/>
        <v>45730</v>
      </c>
      <c r="AH236" s="22">
        <f t="shared" ca="1" si="62"/>
        <v>45723</v>
      </c>
      <c r="AI236" s="22">
        <f t="shared" ca="1" si="63"/>
        <v>45716</v>
      </c>
      <c r="AJ236" s="22">
        <f t="shared" ca="1" si="64"/>
        <v>45701</v>
      </c>
      <c r="AK236" s="22">
        <f t="shared" ca="1" si="65"/>
        <v>45639</v>
      </c>
      <c r="AL236" s="22">
        <f t="shared" ca="1" si="66"/>
        <v>45554</v>
      </c>
    </row>
    <row r="237" spans="4:38" x14ac:dyDescent="0.25">
      <c r="D237" s="6">
        <f ca="1"/>
        <v>45729</v>
      </c>
      <c r="E237" s="28" cm="1">
        <f t="array" aca="1" ref="E237" ca="1">_xll.FDS($E$7,"P_PRICE("&amp;D237&amp;",0,D,D)")</f>
        <v>94.6</v>
      </c>
      <c r="F237" s="29" cm="1">
        <f t="array" aca="1" ref="F237" ca="1">_xll.FDS($E$7,"P_BETA_LOCIDX("&amp;$AG237&amp;","&amp;$AL237&amp;",,"""&amp;$E$9&amp;""")")</f>
        <v>1.3165526000000001</v>
      </c>
      <c r="G237" s="30">
        <f t="shared" ca="1" si="52"/>
        <v>7.468688672775288E-3</v>
      </c>
      <c r="H237" s="30">
        <f t="shared" ca="1" si="52"/>
        <v>8.397485749765829E-3</v>
      </c>
      <c r="I237" s="30">
        <f t="shared" ca="1" si="52"/>
        <v>2.3089970620276234E-2</v>
      </c>
      <c r="J237" s="30">
        <f t="shared" ca="1" si="52"/>
        <v>7.5170615338718438E-2</v>
      </c>
      <c r="K237" s="30">
        <f t="shared" ca="1" si="53"/>
        <v>-4.9784947024668409E-2</v>
      </c>
      <c r="L237" s="30">
        <f t="shared" ca="1" si="53"/>
        <v>-7.6377781316268364E-2</v>
      </c>
      <c r="M237" s="30">
        <f t="shared" ca="1" si="53"/>
        <v>-0.11539471059341005</v>
      </c>
      <c r="N237" s="30">
        <f t="shared" ca="1" si="53"/>
        <v>-0.11525179240619693</v>
      </c>
      <c r="O237" s="30">
        <f t="shared" ca="1" si="54"/>
        <v>-4.2316258351893121E-2</v>
      </c>
      <c r="P237" s="30">
        <f t="shared" ca="1" si="55"/>
        <v>-6.7980295566502535E-2</v>
      </c>
      <c r="Q237" s="30">
        <f t="shared" ca="1" si="56"/>
        <v>-9.230473997313382E-2</v>
      </c>
      <c r="R237" s="30">
        <f t="shared" ca="1" si="57"/>
        <v>-4.0081177067478491E-2</v>
      </c>
      <c r="S237" s="9" cm="1">
        <f t="array" aca="1" ref="S237" ca="1">_xll.FDS($E$7,"P_PRICE("&amp;AG237&amp;",0,D,D)")</f>
        <v>94.6</v>
      </c>
      <c r="T237" s="9" cm="1">
        <f t="array" aca="1" ref="T237" ca="1">_xll.FDS($E$7,"P_PRICE("&amp;AH237&amp;",0,D,D)")</f>
        <v>98.78</v>
      </c>
      <c r="U237" s="9" cm="1">
        <f t="array" aca="1" ref="U237" ca="1">_xll.FDS($E$7,"P_PRICE("&amp;AI237&amp;",0,D,D)")</f>
        <v>101.5</v>
      </c>
      <c r="V237" s="9" cm="1">
        <f t="array" aca="1" ref="V237" ca="1">_xll.FDS($E$7,"P_PRICE("&amp;AJ237&amp;",0,D,D)")</f>
        <v>104.22</v>
      </c>
      <c r="W237" s="9" cm="1">
        <f t="array" aca="1" ref="W237" ca="1">_xll.FDS($E$7,"P_PRICE("&amp;AK237&amp;",0,D,D)")</f>
        <v>98.55</v>
      </c>
      <c r="X237" s="24">
        <f t="shared" ca="1" si="58"/>
        <v>-3.7814628161965125E-2</v>
      </c>
      <c r="Y237" s="24">
        <f t="shared" ca="1" si="59"/>
        <v>-5.8013467381605843E-2</v>
      </c>
      <c r="Z237" s="24">
        <f t="shared" ca="1" si="60"/>
        <v>-8.7649145650094074E-2</v>
      </c>
      <c r="AA237" s="24">
        <f t="shared" ca="1" si="61"/>
        <v>-8.7540590787027361E-2</v>
      </c>
      <c r="AB237" s="9" cm="1">
        <f t="array" aca="1" ref="AB237" ca="1">_xll.FDS($E$9,"P_PRICE("&amp;AG237&amp;",0,D,D)")</f>
        <v>5521.52</v>
      </c>
      <c r="AC237" s="9" cm="1">
        <f t="array" aca="1" ref="AC237" ca="1">_xll.FDS($E$9,"P_PRICE("&amp;AH237&amp;",0,D,D)")</f>
        <v>5738.52</v>
      </c>
      <c r="AD237" s="9" cm="1">
        <f t="array" aca="1" ref="AD237" ca="1">_xll.FDS($E$9,"P_PRICE("&amp;AI237&amp;",0,D,D)")</f>
        <v>5861.57</v>
      </c>
      <c r="AE237" s="9" cm="1">
        <f t="array" aca="1" ref="AE237" ca="1">_xll.FDS($E$9,"P_PRICE("&amp;AJ237&amp;",0,D,D)")</f>
        <v>6051.97</v>
      </c>
      <c r="AF237" s="9" cm="1">
        <f t="array" aca="1" ref="AF237" ca="1">_xll.FDS($E$9,"P_PRICE("&amp;AK237&amp;",0,D,D)")</f>
        <v>6051.25</v>
      </c>
      <c r="AG237" s="20">
        <f t="shared" ca="1" si="67"/>
        <v>45729</v>
      </c>
      <c r="AH237" s="22">
        <f t="shared" ca="1" si="62"/>
        <v>45722</v>
      </c>
      <c r="AI237" s="22">
        <f t="shared" ca="1" si="63"/>
        <v>45715</v>
      </c>
      <c r="AJ237" s="22">
        <f t="shared" ca="1" si="64"/>
        <v>45700</v>
      </c>
      <c r="AK237" s="22">
        <f t="shared" ca="1" si="65"/>
        <v>45638</v>
      </c>
      <c r="AL237" s="22">
        <f t="shared" ca="1" si="66"/>
        <v>45553</v>
      </c>
    </row>
    <row r="238" spans="4:38" x14ac:dyDescent="0.25">
      <c r="D238" s="6">
        <f ca="1"/>
        <v>45728</v>
      </c>
      <c r="E238" s="28" cm="1">
        <f t="array" aca="1" ref="E238" ca="1">_xll.FDS($E$7,"P_PRICE("&amp;D238&amp;",0,D,D)")</f>
        <v>98.38</v>
      </c>
      <c r="F238" s="29" cm="1">
        <f t="array" aca="1" ref="F238" ca="1">_xll.FDS($E$7,"P_BETA_LOCIDX("&amp;$AG238&amp;","&amp;$AL238&amp;",,"""&amp;$E$9&amp;""")")</f>
        <v>1.2837346000000001</v>
      </c>
      <c r="G238" s="30">
        <f t="shared" ca="1" si="52"/>
        <v>1.1026911605093628E-2</v>
      </c>
      <c r="H238" s="30">
        <f t="shared" ca="1" si="52"/>
        <v>3.8293373676713982E-2</v>
      </c>
      <c r="I238" s="30">
        <f t="shared" ca="1" si="52"/>
        <v>5.4586018032770092E-2</v>
      </c>
      <c r="J238" s="30">
        <f t="shared" ca="1" si="52"/>
        <v>9.9875856292030787E-2</v>
      </c>
      <c r="K238" s="30">
        <f t="shared" ca="1" si="53"/>
        <v>-5.3464131772506543E-2</v>
      </c>
      <c r="L238" s="30">
        <f t="shared" ca="1" si="53"/>
        <v>-7.6893979559641779E-2</v>
      </c>
      <c r="M238" s="30">
        <f t="shared" ca="1" si="53"/>
        <v>-9.9254885774079163E-2</v>
      </c>
      <c r="N238" s="30">
        <f t="shared" ca="1" si="53"/>
        <v>-0.10230943974366337</v>
      </c>
      <c r="O238" s="30">
        <f t="shared" ca="1" si="54"/>
        <v>-4.2437220167412915E-2</v>
      </c>
      <c r="P238" s="30">
        <f t="shared" ca="1" si="55"/>
        <v>-3.8600605882927796E-2</v>
      </c>
      <c r="Q238" s="30">
        <f t="shared" ca="1" si="56"/>
        <v>-4.4668867741309071E-2</v>
      </c>
      <c r="R238" s="30">
        <f t="shared" ca="1" si="57"/>
        <v>-2.4335834516325816E-3</v>
      </c>
      <c r="S238" s="9" cm="1">
        <f t="array" aca="1" ref="S238" ca="1">_xll.FDS($E$7,"P_PRICE("&amp;AG238&amp;",0,D,D)")</f>
        <v>98.38</v>
      </c>
      <c r="T238" s="9" cm="1">
        <f t="array" aca="1" ref="T238" ca="1">_xll.FDS($E$7,"P_PRICE("&amp;AH238&amp;",0,D,D)")</f>
        <v>102.74</v>
      </c>
      <c r="U238" s="9" cm="1">
        <f t="array" aca="1" ref="U238" ca="1">_xll.FDS($E$7,"P_PRICE("&amp;AI238&amp;",0,D,D)")</f>
        <v>102.33</v>
      </c>
      <c r="V238" s="9" cm="1">
        <f t="array" aca="1" ref="V238" ca="1">_xll.FDS($E$7,"P_PRICE("&amp;AJ238&amp;",0,D,D)")</f>
        <v>102.98</v>
      </c>
      <c r="W238" s="9" cm="1">
        <f t="array" aca="1" ref="W238" ca="1">_xll.FDS($E$7,"P_PRICE("&amp;AK238&amp;",0,D,D)")</f>
        <v>98.62</v>
      </c>
      <c r="X238" s="24">
        <f t="shared" ca="1" si="58"/>
        <v>-4.1647340324477145E-2</v>
      </c>
      <c r="Y238" s="24">
        <f t="shared" ca="1" si="59"/>
        <v>-5.9898657837563762E-2</v>
      </c>
      <c r="Z238" s="24">
        <f t="shared" ca="1" si="60"/>
        <v>-7.7317294224272803E-2</v>
      </c>
      <c r="AA238" s="24">
        <f t="shared" ca="1" si="61"/>
        <v>-7.9696722160221722E-2</v>
      </c>
      <c r="AB238" s="9" cm="1">
        <f t="array" aca="1" ref="AB238" ca="1">_xll.FDS($E$9,"P_PRICE("&amp;AG238&amp;",0,D,D)")</f>
        <v>5599.3</v>
      </c>
      <c r="AC238" s="9" cm="1">
        <f t="array" aca="1" ref="AC238" ca="1">_xll.FDS($E$9,"P_PRICE("&amp;AH238&amp;",0,D,D)")</f>
        <v>5842.63</v>
      </c>
      <c r="AD238" s="9" cm="1">
        <f t="array" aca="1" ref="AD238" ca="1">_xll.FDS($E$9,"P_PRICE("&amp;AI238&amp;",0,D,D)")</f>
        <v>5956.06</v>
      </c>
      <c r="AE238" s="9" cm="1">
        <f t="array" aca="1" ref="AE238" ca="1">_xll.FDS($E$9,"P_PRICE("&amp;AJ238&amp;",0,D,D)")</f>
        <v>6068.5</v>
      </c>
      <c r="AF238" s="9" cm="1">
        <f t="array" aca="1" ref="AF238" ca="1">_xll.FDS($E$9,"P_PRICE("&amp;AK238&amp;",0,D,D)")</f>
        <v>6084.19</v>
      </c>
      <c r="AG238" s="20">
        <f t="shared" ca="1" si="67"/>
        <v>45728</v>
      </c>
      <c r="AH238" s="22">
        <f t="shared" ca="1" si="62"/>
        <v>45721</v>
      </c>
      <c r="AI238" s="22">
        <f t="shared" ca="1" si="63"/>
        <v>45714</v>
      </c>
      <c r="AJ238" s="22">
        <f t="shared" ca="1" si="64"/>
        <v>45699</v>
      </c>
      <c r="AK238" s="22">
        <f t="shared" ca="1" si="65"/>
        <v>45637</v>
      </c>
      <c r="AL238" s="22">
        <f t="shared" ca="1" si="66"/>
        <v>45552</v>
      </c>
    </row>
    <row r="239" spans="4:38" x14ac:dyDescent="0.25">
      <c r="D239" s="6">
        <f ca="1"/>
        <v>45727</v>
      </c>
      <c r="E239" s="28" cm="1">
        <f t="array" aca="1" ref="E239" ca="1">_xll.FDS($E$7,"P_PRICE("&amp;D239&amp;",0,D,D)")</f>
        <v>94.63</v>
      </c>
      <c r="F239" s="29" cm="1">
        <f t="array" aca="1" ref="F239" ca="1">_xll.FDS($E$7,"P_BETA_LOCIDX("&amp;$AG239&amp;","&amp;$AL239&amp;",,"""&amp;$E$9&amp;""")")</f>
        <v>1.2680929999999999</v>
      </c>
      <c r="G239" s="30">
        <f t="shared" ca="1" si="52"/>
        <v>2.778336579911643E-2</v>
      </c>
      <c r="H239" s="30">
        <f t="shared" ca="1" si="52"/>
        <v>2.5156860574657353E-2</v>
      </c>
      <c r="I239" s="30">
        <f t="shared" ca="1" si="52"/>
        <v>3.0449049098779518E-2</v>
      </c>
      <c r="J239" s="30">
        <f t="shared" ca="1" si="52"/>
        <v>5.4660741522477699E-2</v>
      </c>
      <c r="K239" s="30">
        <f t="shared" ca="1" si="53"/>
        <v>-4.5227037276637003E-2</v>
      </c>
      <c r="L239" s="30">
        <f t="shared" ca="1" si="53"/>
        <v>-8.1593195204231667E-2</v>
      </c>
      <c r="M239" s="30">
        <f t="shared" ca="1" si="53"/>
        <v>-0.1033402022289843</v>
      </c>
      <c r="N239" s="30">
        <f t="shared" ca="1" si="53"/>
        <v>-9.7254832983424758E-2</v>
      </c>
      <c r="O239" s="30">
        <f t="shared" ca="1" si="54"/>
        <v>-1.7443671477520573E-2</v>
      </c>
      <c r="P239" s="30">
        <f t="shared" ca="1" si="55"/>
        <v>-5.6436334629574314E-2</v>
      </c>
      <c r="Q239" s="30">
        <f t="shared" ca="1" si="56"/>
        <v>-7.2891153130204778E-2</v>
      </c>
      <c r="R239" s="30">
        <f t="shared" ca="1" si="57"/>
        <v>-4.2594091460947059E-2</v>
      </c>
      <c r="S239" s="9" cm="1">
        <f t="array" aca="1" ref="S239" ca="1">_xll.FDS($E$7,"P_PRICE("&amp;AG239&amp;",0,D,D)")</f>
        <v>94.63</v>
      </c>
      <c r="T239" s="9" cm="1">
        <f t="array" aca="1" ref="T239" ca="1">_xll.FDS($E$7,"P_PRICE("&amp;AH239&amp;",0,D,D)")</f>
        <v>96.31</v>
      </c>
      <c r="U239" s="9" cm="1">
        <f t="array" aca="1" ref="U239" ca="1">_xll.FDS($E$7,"P_PRICE("&amp;AI239&amp;",0,D,D)")</f>
        <v>100.29</v>
      </c>
      <c r="V239" s="9" cm="1">
        <f t="array" aca="1" ref="V239" ca="1">_xll.FDS($E$7,"P_PRICE("&amp;AJ239&amp;",0,D,D)")</f>
        <v>102.07</v>
      </c>
      <c r="W239" s="9" cm="1">
        <f t="array" aca="1" ref="W239" ca="1">_xll.FDS($E$7,"P_PRICE("&amp;AK239&amp;",0,D,D)")</f>
        <v>98.84</v>
      </c>
      <c r="X239" s="24">
        <f t="shared" ca="1" si="58"/>
        <v>-3.5665394633230374E-2</v>
      </c>
      <c r="Y239" s="24">
        <f t="shared" ca="1" si="59"/>
        <v>-6.4343226564795852E-2</v>
      </c>
      <c r="Z239" s="24">
        <f t="shared" ca="1" si="60"/>
        <v>-8.1492605218216885E-2</v>
      </c>
      <c r="AA239" s="24">
        <f t="shared" ca="1" si="61"/>
        <v>-7.669377008107825E-2</v>
      </c>
      <c r="AB239" s="9" cm="1">
        <f t="array" aca="1" ref="AB239" ca="1">_xll.FDS($E$9,"P_PRICE("&amp;AG239&amp;",0,D,D)")</f>
        <v>5572.07</v>
      </c>
      <c r="AC239" s="9" cm="1">
        <f t="array" aca="1" ref="AC239" ca="1">_xll.FDS($E$9,"P_PRICE("&amp;AH239&amp;",0,D,D)")</f>
        <v>5778.15</v>
      </c>
      <c r="AD239" s="9" cm="1">
        <f t="array" aca="1" ref="AD239" ca="1">_xll.FDS($E$9,"P_PRICE("&amp;AI239&amp;",0,D,D)")</f>
        <v>5955.25</v>
      </c>
      <c r="AE239" s="9" cm="1">
        <f t="array" aca="1" ref="AE239" ca="1">_xll.FDS($E$9,"P_PRICE("&amp;AJ239&amp;",0,D,D)")</f>
        <v>6066.44</v>
      </c>
      <c r="AF239" s="9" cm="1">
        <f t="array" aca="1" ref="AF239" ca="1">_xll.FDS($E$9,"P_PRICE("&amp;AK239&amp;",0,D,D)")</f>
        <v>6034.91</v>
      </c>
      <c r="AG239" s="20">
        <f t="shared" ca="1" si="67"/>
        <v>45727</v>
      </c>
      <c r="AH239" s="22">
        <f t="shared" ca="1" si="62"/>
        <v>45720</v>
      </c>
      <c r="AI239" s="22">
        <f t="shared" ca="1" si="63"/>
        <v>45713</v>
      </c>
      <c r="AJ239" s="22">
        <f t="shared" ca="1" si="64"/>
        <v>45698</v>
      </c>
      <c r="AK239" s="22">
        <f t="shared" ca="1" si="65"/>
        <v>45636</v>
      </c>
      <c r="AL239" s="22">
        <f t="shared" ca="1" si="66"/>
        <v>45551</v>
      </c>
    </row>
    <row r="240" spans="4:38" x14ac:dyDescent="0.25">
      <c r="D240" s="6">
        <f ca="1"/>
        <v>45726</v>
      </c>
      <c r="E240" s="28" cm="1">
        <f t="array" aca="1" ref="E240" ca="1">_xll.FDS($E$7,"P_PRICE("&amp;D240&amp;",0,D,D)")</f>
        <v>93.77</v>
      </c>
      <c r="F240" s="29" cm="1">
        <f t="array" aca="1" ref="F240" ca="1">_xll.FDS($E$7,"P_BETA_LOCIDX("&amp;$AG240&amp;","&amp;$AL240&amp;",,"""&amp;$E$9&amp;""")")</f>
        <v>1.284794</v>
      </c>
      <c r="G240" s="30">
        <f t="shared" ca="1" si="52"/>
        <v>-1.0369610922101077E-2</v>
      </c>
      <c r="H240" s="30">
        <f t="shared" ca="1" si="52"/>
        <v>1.3505853731979101E-2</v>
      </c>
      <c r="I240" s="30">
        <f t="shared" ca="1" si="52"/>
        <v>-4.8864386043534352E-3</v>
      </c>
      <c r="J240" s="30">
        <f t="shared" ca="1" si="52"/>
        <v>2.9889427094529575E-2</v>
      </c>
      <c r="K240" s="30">
        <f t="shared" ca="1" si="53"/>
        <v>-5.1648994659573413E-2</v>
      </c>
      <c r="L240" s="30">
        <f t="shared" ca="1" si="53"/>
        <v>-7.9169464732377737E-2</v>
      </c>
      <c r="M240" s="30">
        <f t="shared" ca="1" si="53"/>
        <v>-8.7720489980899222E-2</v>
      </c>
      <c r="N240" s="30">
        <f t="shared" ca="1" si="53"/>
        <v>-9.3032598240498254E-2</v>
      </c>
      <c r="O240" s="30">
        <f t="shared" ca="1" si="54"/>
        <v>-6.2018605581674491E-2</v>
      </c>
      <c r="P240" s="30">
        <f t="shared" ca="1" si="55"/>
        <v>-6.5663611000398636E-2</v>
      </c>
      <c r="Q240" s="30">
        <f t="shared" ca="1" si="56"/>
        <v>-9.2606928585252657E-2</v>
      </c>
      <c r="R240" s="30">
        <f t="shared" ca="1" si="57"/>
        <v>-6.314317114596868E-2</v>
      </c>
      <c r="S240" s="9" cm="1">
        <f t="array" aca="1" ref="S240" ca="1">_xll.FDS($E$7,"P_PRICE("&amp;AG240&amp;",0,D,D)")</f>
        <v>93.77</v>
      </c>
      <c r="T240" s="9" cm="1">
        <f t="array" aca="1" ref="T240" ca="1">_xll.FDS($E$7,"P_PRICE("&amp;AH240&amp;",0,D,D)")</f>
        <v>99.97</v>
      </c>
      <c r="U240" s="9" cm="1">
        <f t="array" aca="1" ref="U240" ca="1">_xll.FDS($E$7,"P_PRICE("&amp;AI240&amp;",0,D,D)")</f>
        <v>100.36</v>
      </c>
      <c r="V240" s="9" cm="1">
        <f t="array" aca="1" ref="V240" ca="1">_xll.FDS($E$7,"P_PRICE("&amp;AJ240&amp;",0,D,D)")</f>
        <v>103.34</v>
      </c>
      <c r="W240" s="9" cm="1">
        <f t="array" aca="1" ref="W240" ca="1">_xll.FDS($E$7,"P_PRICE("&amp;AK240&amp;",0,D,D)")</f>
        <v>100.09</v>
      </c>
      <c r="X240" s="24">
        <f t="shared" ca="1" si="58"/>
        <v>-4.0200214711131443E-2</v>
      </c>
      <c r="Y240" s="24">
        <f t="shared" ca="1" si="59"/>
        <v>-6.1620356829482192E-2</v>
      </c>
      <c r="Z240" s="24">
        <f t="shared" ca="1" si="60"/>
        <v>-6.8275918147889247E-2</v>
      </c>
      <c r="AA240" s="24">
        <f t="shared" ca="1" si="61"/>
        <v>-7.241051735959092E-2</v>
      </c>
      <c r="AB240" s="9" cm="1">
        <f t="array" aca="1" ref="AB240" ca="1">_xll.FDS($E$9,"P_PRICE("&amp;AG240&amp;",0,D,D)")</f>
        <v>5614.56</v>
      </c>
      <c r="AC240" s="9" cm="1">
        <f t="array" aca="1" ref="AC240" ca="1">_xll.FDS($E$9,"P_PRICE("&amp;AH240&amp;",0,D,D)")</f>
        <v>5849.72</v>
      </c>
      <c r="AD240" s="9" cm="1">
        <f t="array" aca="1" ref="AD240" ca="1">_xll.FDS($E$9,"P_PRICE("&amp;AI240&amp;",0,D,D)")</f>
        <v>5983.25</v>
      </c>
      <c r="AE240" s="9" cm="1">
        <f t="array" aca="1" ref="AE240" ca="1">_xll.FDS($E$9,"P_PRICE("&amp;AJ240&amp;",0,D,D)")</f>
        <v>6025.99</v>
      </c>
      <c r="AF240" s="9" cm="1">
        <f t="array" aca="1" ref="AF240" ca="1">_xll.FDS($E$9,"P_PRICE("&amp;AK240&amp;",0,D,D)")</f>
        <v>6052.85</v>
      </c>
      <c r="AG240" s="20">
        <f t="shared" ca="1" si="67"/>
        <v>45726</v>
      </c>
      <c r="AH240" s="22">
        <f t="shared" ca="1" si="62"/>
        <v>45719</v>
      </c>
      <c r="AI240" s="22">
        <f t="shared" ca="1" si="63"/>
        <v>45712</v>
      </c>
      <c r="AJ240" s="22">
        <f t="shared" ca="1" si="64"/>
        <v>45695</v>
      </c>
      <c r="AK240" s="22">
        <f t="shared" ca="1" si="65"/>
        <v>45635</v>
      </c>
      <c r="AL240" s="22">
        <f t="shared" ca="1" si="66"/>
        <v>45548</v>
      </c>
    </row>
    <row r="241" spans="4:38" x14ac:dyDescent="0.25">
      <c r="D241" s="6">
        <f ca="1"/>
        <v>45723</v>
      </c>
      <c r="E241" s="28" cm="1">
        <f t="array" aca="1" ref="E241" ca="1">_xll.FDS($E$7,"P_PRICE("&amp;D241&amp;",0,D,D)")</f>
        <v>97.51</v>
      </c>
      <c r="F241" s="29" cm="1">
        <f t="array" aca="1" ref="F241" ca="1">_xll.FDS($E$7,"P_BETA_LOCIDX("&amp;$AG241&amp;","&amp;$AL241&amp;",,"""&amp;$E$9&amp;""")")</f>
        <v>1.2751284000000001</v>
      </c>
      <c r="G241" s="30">
        <f t="shared" ca="1" si="52"/>
        <v>-9.401528135403861E-3</v>
      </c>
      <c r="H241" s="30">
        <f t="shared" ca="1" si="52"/>
        <v>2.3310985470613048E-2</v>
      </c>
      <c r="I241" s="30">
        <f t="shared" ca="1" si="52"/>
        <v>-7.3277657421493142E-3</v>
      </c>
      <c r="J241" s="30">
        <f t="shared" ca="1" si="52"/>
        <v>1.3712535421993771E-2</v>
      </c>
      <c r="K241" s="30">
        <f t="shared" ca="1" si="53"/>
        <v>-3.946698532538416E-2</v>
      </c>
      <c r="L241" s="30">
        <f t="shared" ca="1" si="53"/>
        <v>-5.1515091510078818E-2</v>
      </c>
      <c r="M241" s="30">
        <f t="shared" ca="1" si="53"/>
        <v>-6.5682976723864486E-2</v>
      </c>
      <c r="N241" s="30">
        <f t="shared" ca="1" si="53"/>
        <v>-6.7013506295780151E-2</v>
      </c>
      <c r="O241" s="30">
        <f t="shared" ca="1" si="54"/>
        <v>-4.8868513460788021E-2</v>
      </c>
      <c r="P241" s="30">
        <f t="shared" ca="1" si="55"/>
        <v>-2.8204106039465771E-2</v>
      </c>
      <c r="Q241" s="30">
        <f t="shared" ca="1" si="56"/>
        <v>-7.30107424660138E-2</v>
      </c>
      <c r="R241" s="30">
        <f t="shared" ca="1" si="57"/>
        <v>-5.330097087378638E-2</v>
      </c>
      <c r="S241" s="9" cm="1">
        <f t="array" aca="1" ref="S241" ca="1">_xll.FDS($E$7,"P_PRICE("&amp;AG241&amp;",0,D,D)")</f>
        <v>97.51</v>
      </c>
      <c r="T241" s="9" cm="1">
        <f t="array" aca="1" ref="T241" ca="1">_xll.FDS($E$7,"P_PRICE("&amp;AH241&amp;",0,D,D)")</f>
        <v>102.52</v>
      </c>
      <c r="U241" s="9" cm="1">
        <f t="array" aca="1" ref="U241" ca="1">_xll.FDS($E$7,"P_PRICE("&amp;AI241&amp;",0,D,D)")</f>
        <v>100.34</v>
      </c>
      <c r="V241" s="9" cm="1">
        <f t="array" aca="1" ref="V241" ca="1">_xll.FDS($E$7,"P_PRICE("&amp;AJ241&amp;",0,D,D)")</f>
        <v>105.19</v>
      </c>
      <c r="W241" s="9" cm="1">
        <f t="array" aca="1" ref="W241" ca="1">_xll.FDS($E$7,"P_PRICE("&amp;AK241&amp;",0,D,D)")</f>
        <v>103</v>
      </c>
      <c r="X241" s="24">
        <f t="shared" ca="1" si="58"/>
        <v>-3.0951381308254255E-2</v>
      </c>
      <c r="Y241" s="24">
        <f t="shared" ca="1" si="59"/>
        <v>-4.0399924831161171E-2</v>
      </c>
      <c r="Z241" s="24">
        <f t="shared" ca="1" si="60"/>
        <v>-5.151087272769117E-2</v>
      </c>
      <c r="AA241" s="24">
        <f t="shared" ca="1" si="61"/>
        <v>-5.2554320251811615E-2</v>
      </c>
      <c r="AB241" s="9" cm="1">
        <f t="array" aca="1" ref="AB241" ca="1">_xll.FDS($E$9,"P_PRICE("&amp;AG241&amp;",0,D,D)")</f>
        <v>5770.2</v>
      </c>
      <c r="AC241" s="9" cm="1">
        <f t="array" aca="1" ref="AC241" ca="1">_xll.FDS($E$9,"P_PRICE("&amp;AH241&amp;",0,D,D)")</f>
        <v>5954.5</v>
      </c>
      <c r="AD241" s="9" cm="1">
        <f t="array" aca="1" ref="AD241" ca="1">_xll.FDS($E$9,"P_PRICE("&amp;AI241&amp;",0,D,D)")</f>
        <v>6013.13</v>
      </c>
      <c r="AE241" s="9" cm="1">
        <f t="array" aca="1" ref="AE241" ca="1">_xll.FDS($E$9,"P_PRICE("&amp;AJ241&amp;",0,D,D)")</f>
        <v>6083.57</v>
      </c>
      <c r="AF241" s="9" cm="1">
        <f t="array" aca="1" ref="AF241" ca="1">_xll.FDS($E$9,"P_PRICE("&amp;AK241&amp;",0,D,D)")</f>
        <v>6090.27</v>
      </c>
      <c r="AG241" s="20">
        <f t="shared" ca="1" si="67"/>
        <v>45723</v>
      </c>
      <c r="AH241" s="22">
        <f t="shared" ca="1" si="62"/>
        <v>45716</v>
      </c>
      <c r="AI241" s="22">
        <f t="shared" ca="1" si="63"/>
        <v>45709</v>
      </c>
      <c r="AJ241" s="22">
        <f t="shared" ca="1" si="64"/>
        <v>45694</v>
      </c>
      <c r="AK241" s="22">
        <f t="shared" ca="1" si="65"/>
        <v>45632</v>
      </c>
      <c r="AL241" s="22">
        <f t="shared" ca="1" si="66"/>
        <v>45547</v>
      </c>
    </row>
    <row r="242" spans="4:38" x14ac:dyDescent="0.25">
      <c r="D242" s="6">
        <f ca="1"/>
        <v>45722</v>
      </c>
      <c r="E242" s="28" cm="1">
        <f t="array" aca="1" ref="E242" ca="1">_xll.FDS($E$7,"P_PRICE("&amp;D242&amp;",0,D,D)")</f>
        <v>98.78</v>
      </c>
      <c r="F242" s="29" cm="1">
        <f t="array" aca="1" ref="F242" ca="1">_xll.FDS($E$7,"P_BETA_LOCIDX("&amp;$AG242&amp;","&amp;$AL242&amp;",,"""&amp;$E$9&amp;""")")</f>
        <v>1.2652022999999999</v>
      </c>
      <c r="G242" s="30">
        <f t="shared" ca="1" si="52"/>
        <v>-2.3805620224194579E-4</v>
      </c>
      <c r="H242" s="30">
        <f t="shared" ca="1" si="52"/>
        <v>4.1339085388108085E-2</v>
      </c>
      <c r="I242" s="30">
        <f t="shared" ca="1" si="52"/>
        <v>4.3883799788951378E-2</v>
      </c>
      <c r="J242" s="30">
        <f t="shared" ca="1" si="52"/>
        <v>3.0619425360483787E-2</v>
      </c>
      <c r="K242" s="30">
        <f t="shared" ca="1" si="53"/>
        <v>-2.6559973354408281E-2</v>
      </c>
      <c r="L242" s="30">
        <f t="shared" ca="1" si="53"/>
        <v>-7.8383343528096325E-2</v>
      </c>
      <c r="M242" s="30">
        <f t="shared" ca="1" si="53"/>
        <v>-6.7410885593617159E-2</v>
      </c>
      <c r="N242" s="30">
        <f t="shared" ca="1" si="53"/>
        <v>-7.0098227383043166E-2</v>
      </c>
      <c r="O242" s="30">
        <f t="shared" ca="1" si="54"/>
        <v>-2.6798029556650227E-2</v>
      </c>
      <c r="P242" s="30">
        <f t="shared" ca="1" si="55"/>
        <v>-3.704425813998824E-2</v>
      </c>
      <c r="Q242" s="30">
        <f t="shared" ca="1" si="56"/>
        <v>-2.3527085804665782E-2</v>
      </c>
      <c r="R242" s="30">
        <f t="shared" ca="1" si="57"/>
        <v>-3.9478802022559378E-2</v>
      </c>
      <c r="S242" s="9" cm="1">
        <f t="array" aca="1" ref="S242" ca="1">_xll.FDS($E$7,"P_PRICE("&amp;AG242&amp;",0,D,D)")</f>
        <v>98.78</v>
      </c>
      <c r="T242" s="9" cm="1">
        <f t="array" aca="1" ref="T242" ca="1">_xll.FDS($E$7,"P_PRICE("&amp;AH242&amp;",0,D,D)")</f>
        <v>101.5</v>
      </c>
      <c r="U242" s="9" cm="1">
        <f t="array" aca="1" ref="U242" ca="1">_xll.FDS($E$7,"P_PRICE("&amp;AI242&amp;",0,D,D)")</f>
        <v>102.58</v>
      </c>
      <c r="V242" s="9" cm="1">
        <f t="array" aca="1" ref="V242" ca="1">_xll.FDS($E$7,"P_PRICE("&amp;AJ242&amp;",0,D,D)")</f>
        <v>101.16</v>
      </c>
      <c r="W242" s="9" cm="1">
        <f t="array" aca="1" ref="W242" ca="1">_xll.FDS($E$7,"P_PRICE("&amp;AK242&amp;",0,D,D)")</f>
        <v>102.84</v>
      </c>
      <c r="X242" s="24">
        <f t="shared" ca="1" si="58"/>
        <v>-2.0992669199548786E-2</v>
      </c>
      <c r="Y242" s="24">
        <f t="shared" ca="1" si="59"/>
        <v>-6.1953209797434239E-2</v>
      </c>
      <c r="Z242" s="24">
        <f t="shared" ca="1" si="60"/>
        <v>-5.3280716920619864E-2</v>
      </c>
      <c r="AA242" s="24">
        <f t="shared" ca="1" si="61"/>
        <v>-5.540475810314538E-2</v>
      </c>
      <c r="AB242" s="9" cm="1">
        <f t="array" aca="1" ref="AB242" ca="1">_xll.FDS($E$9,"P_PRICE("&amp;AG242&amp;",0,D,D)")</f>
        <v>5738.52</v>
      </c>
      <c r="AC242" s="9" cm="1">
        <f t="array" aca="1" ref="AC242" ca="1">_xll.FDS($E$9,"P_PRICE("&amp;AH242&amp;",0,D,D)")</f>
        <v>5861.57</v>
      </c>
      <c r="AD242" s="9" cm="1">
        <f t="array" aca="1" ref="AD242" ca="1">_xll.FDS($E$9,"P_PRICE("&amp;AI242&amp;",0,D,D)")</f>
        <v>6117.52</v>
      </c>
      <c r="AE242" s="9" cm="1">
        <f t="array" aca="1" ref="AE242" ca="1">_xll.FDS($E$9,"P_PRICE("&amp;AJ242&amp;",0,D,D)")</f>
        <v>6061.48</v>
      </c>
      <c r="AF242" s="9" cm="1">
        <f t="array" aca="1" ref="AF242" ca="1">_xll.FDS($E$9,"P_PRICE("&amp;AK242&amp;",0,D,D)")</f>
        <v>6075.11</v>
      </c>
      <c r="AG242" s="20">
        <f t="shared" ca="1" si="67"/>
        <v>45722</v>
      </c>
      <c r="AH242" s="22">
        <f t="shared" ca="1" si="62"/>
        <v>45715</v>
      </c>
      <c r="AI242" s="22">
        <f t="shared" ca="1" si="63"/>
        <v>45708</v>
      </c>
      <c r="AJ242" s="22">
        <f t="shared" ca="1" si="64"/>
        <v>45693</v>
      </c>
      <c r="AK242" s="22">
        <f t="shared" ca="1" si="65"/>
        <v>45631</v>
      </c>
      <c r="AL242" s="22">
        <f t="shared" ca="1" si="66"/>
        <v>45546</v>
      </c>
    </row>
    <row r="243" spans="4:38" x14ac:dyDescent="0.25">
      <c r="D243" s="6">
        <f ca="1"/>
        <v>45721</v>
      </c>
      <c r="E243" s="28" cm="1">
        <f t="array" aca="1" ref="E243" ca="1">_xll.FDS($E$7,"P_PRICE("&amp;D243&amp;",0,D,D)")</f>
        <v>102.74</v>
      </c>
      <c r="F243" s="29" cm="1">
        <f t="array" aca="1" ref="F243" ca="1">_xll.FDS($E$7,"P_BETA_LOCIDX("&amp;$AG243&amp;","&amp;$AL243&amp;",,"""&amp;$E$9&amp;""")")</f>
        <v>1.2304136000000001</v>
      </c>
      <c r="G243" s="30">
        <f t="shared" ca="1" si="52"/>
        <v>2.7439218823334024E-2</v>
      </c>
      <c r="H243" s="30">
        <f t="shared" ca="1" si="52"/>
        <v>2.8713476585693357E-2</v>
      </c>
      <c r="I243" s="30">
        <f t="shared" ca="1" si="52"/>
        <v>8.1670673152452591E-2</v>
      </c>
      <c r="J243" s="30">
        <f t="shared" ca="1" si="52"/>
        <v>4.320287522086011E-2</v>
      </c>
      <c r="K243" s="30">
        <f t="shared" ca="1" si="53"/>
        <v>-2.3432573655738944E-2</v>
      </c>
      <c r="L243" s="30">
        <f t="shared" ca="1" si="53"/>
        <v>-6.038171409747474E-2</v>
      </c>
      <c r="M243" s="30">
        <f t="shared" ca="1" si="53"/>
        <v>-3.9788511099922555E-2</v>
      </c>
      <c r="N243" s="30">
        <f t="shared" ca="1" si="53"/>
        <v>-4.9297486810296248E-2</v>
      </c>
      <c r="O243" s="30">
        <f t="shared" ca="1" si="54"/>
        <v>4.0066451675950798E-3</v>
      </c>
      <c r="P243" s="30">
        <f t="shared" ca="1" si="55"/>
        <v>-3.1668237511781383E-2</v>
      </c>
      <c r="Q243" s="30">
        <f t="shared" ca="1" si="56"/>
        <v>4.1882162052530036E-2</v>
      </c>
      <c r="R243" s="30">
        <f t="shared" ca="1" si="57"/>
        <v>-6.0946115894361386E-3</v>
      </c>
      <c r="S243" s="9" cm="1">
        <f t="array" aca="1" ref="S243" ca="1">_xll.FDS($E$7,"P_PRICE("&amp;AG243&amp;",0,D,D)")</f>
        <v>102.74</v>
      </c>
      <c r="T243" s="9" cm="1">
        <f t="array" aca="1" ref="T243" ca="1">_xll.FDS($E$7,"P_PRICE("&amp;AH243&amp;",0,D,D)")</f>
        <v>102.33</v>
      </c>
      <c r="U243" s="9" cm="1">
        <f t="array" aca="1" ref="U243" ca="1">_xll.FDS($E$7,"P_PRICE("&amp;AI243&amp;",0,D,D)")</f>
        <v>106.1</v>
      </c>
      <c r="V243" s="9" cm="1">
        <f t="array" aca="1" ref="V243" ca="1">_xll.FDS($E$7,"P_PRICE("&amp;AJ243&amp;",0,D,D)")</f>
        <v>98.61</v>
      </c>
      <c r="W243" s="9" cm="1">
        <f t="array" aca="1" ref="W243" ca="1">_xll.FDS($E$7,"P_PRICE("&amp;AK243&amp;",0,D,D)")</f>
        <v>103.37</v>
      </c>
      <c r="X243" s="24">
        <f t="shared" ca="1" si="58"/>
        <v>-1.904446899460388E-2</v>
      </c>
      <c r="Y243" s="24">
        <f t="shared" ca="1" si="59"/>
        <v>-4.9074322729750985E-2</v>
      </c>
      <c r="Z243" s="24">
        <f t="shared" ca="1" si="60"/>
        <v>-3.2337509191968095E-2</v>
      </c>
      <c r="AA243" s="24">
        <f t="shared" ca="1" si="61"/>
        <v>-4.0065785041953572E-2</v>
      </c>
      <c r="AB243" s="9" cm="1">
        <f t="array" aca="1" ref="AB243" ca="1">_xll.FDS($E$9,"P_PRICE("&amp;AG243&amp;",0,D,D)")</f>
        <v>5842.63</v>
      </c>
      <c r="AC243" s="9" cm="1">
        <f t="array" aca="1" ref="AC243" ca="1">_xll.FDS($E$9,"P_PRICE("&amp;AH243&amp;",0,D,D)")</f>
        <v>5956.06</v>
      </c>
      <c r="AD243" s="9" cm="1">
        <f t="array" aca="1" ref="AD243" ca="1">_xll.FDS($E$9,"P_PRICE("&amp;AI243&amp;",0,D,D)")</f>
        <v>6144.15</v>
      </c>
      <c r="AE243" s="9" cm="1">
        <f t="array" aca="1" ref="AE243" ca="1">_xll.FDS($E$9,"P_PRICE("&amp;AJ243&amp;",0,D,D)")</f>
        <v>6037.88</v>
      </c>
      <c r="AF243" s="9" cm="1">
        <f t="array" aca="1" ref="AF243" ca="1">_xll.FDS($E$9,"P_PRICE("&amp;AK243&amp;",0,D,D)")</f>
        <v>6086.49</v>
      </c>
      <c r="AG243" s="20">
        <f t="shared" ca="1" si="67"/>
        <v>45721</v>
      </c>
      <c r="AH243" s="22">
        <f t="shared" ca="1" si="62"/>
        <v>45714</v>
      </c>
      <c r="AI243" s="22">
        <f t="shared" ca="1" si="63"/>
        <v>45707</v>
      </c>
      <c r="AJ243" s="22">
        <f t="shared" ca="1" si="64"/>
        <v>45692</v>
      </c>
      <c r="AK243" s="22">
        <f t="shared" ca="1" si="65"/>
        <v>45630</v>
      </c>
      <c r="AL243" s="22">
        <f t="shared" ca="1" si="66"/>
        <v>45545</v>
      </c>
    </row>
    <row r="244" spans="4:38" x14ac:dyDescent="0.25">
      <c r="D244" s="6">
        <f ca="1"/>
        <v>45720</v>
      </c>
      <c r="E244" s="28" cm="1">
        <f t="array" aca="1" ref="E244" ca="1">_xll.FDS($E$7,"P_PRICE("&amp;D244&amp;",0,D,D)")</f>
        <v>96.31</v>
      </c>
      <c r="F244" s="29" cm="1">
        <f t="array" aca="1" ref="F244" ca="1">_xll.FDS($E$7,"P_BETA_LOCIDX("&amp;$AG244&amp;","&amp;$AL244&amp;",,"""&amp;$E$9&amp;""")")</f>
        <v>1.1224482</v>
      </c>
      <c r="G244" s="30">
        <f t="shared" ca="1" si="52"/>
        <v>-6.3050260510355838E-3</v>
      </c>
      <c r="H244" s="30">
        <f t="shared" ca="1" si="52"/>
        <v>-6.4141325279617092E-2</v>
      </c>
      <c r="I244" s="30">
        <f t="shared" ca="1" si="52"/>
        <v>2.9941913210304288E-2</v>
      </c>
      <c r="J244" s="30">
        <f t="shared" ca="1" si="52"/>
        <v>-9.8838716394653789E-3</v>
      </c>
      <c r="K244" s="30">
        <f t="shared" ca="1" si="53"/>
        <v>-3.3379887699089145E-2</v>
      </c>
      <c r="L244" s="30">
        <f t="shared" ca="1" si="53"/>
        <v>-6.4353833529540425E-2</v>
      </c>
      <c r="M244" s="30">
        <f t="shared" ca="1" si="53"/>
        <v>-4.0523380233111E-2</v>
      </c>
      <c r="N244" s="30">
        <f t="shared" ca="1" si="53"/>
        <v>-5.0414694074262668E-2</v>
      </c>
      <c r="O244" s="30">
        <f t="shared" ca="1" si="54"/>
        <v>-3.9684913750124728E-2</v>
      </c>
      <c r="P244" s="30">
        <f t="shared" ca="1" si="55"/>
        <v>-0.12849515880915752</v>
      </c>
      <c r="Q244" s="30">
        <f t="shared" ca="1" si="56"/>
        <v>-1.0581467022806712E-2</v>
      </c>
      <c r="R244" s="30">
        <f t="shared" ca="1" si="57"/>
        <v>-6.0298565713728047E-2</v>
      </c>
      <c r="S244" s="9" cm="1">
        <f t="array" aca="1" ref="S244" ca="1">_xll.FDS($E$7,"P_PRICE("&amp;AG244&amp;",0,D,D)")</f>
        <v>96.31</v>
      </c>
      <c r="T244" s="9" cm="1">
        <f t="array" aca="1" ref="T244" ca="1">_xll.FDS($E$7,"P_PRICE("&amp;AH244&amp;",0,D,D)")</f>
        <v>100.29</v>
      </c>
      <c r="U244" s="9" cm="1">
        <f t="array" aca="1" ref="U244" ca="1">_xll.FDS($E$7,"P_PRICE("&amp;AI244&amp;",0,D,D)")</f>
        <v>110.51</v>
      </c>
      <c r="V244" s="9" cm="1">
        <f t="array" aca="1" ref="V244" ca="1">_xll.FDS($E$7,"P_PRICE("&amp;AJ244&amp;",0,D,D)")</f>
        <v>97.34</v>
      </c>
      <c r="W244" s="9" cm="1">
        <f t="array" aca="1" ref="W244" ca="1">_xll.FDS($E$7,"P_PRICE("&amp;AK244&amp;",0,D,D)")</f>
        <v>102.49</v>
      </c>
      <c r="X244" s="24">
        <f t="shared" ca="1" si="58"/>
        <v>-2.9738466059359481E-2</v>
      </c>
      <c r="Y244" s="24">
        <f t="shared" ca="1" si="59"/>
        <v>-5.7333455147008494E-2</v>
      </c>
      <c r="Z244" s="24">
        <f t="shared" ca="1" si="60"/>
        <v>-3.6102672918991718E-2</v>
      </c>
      <c r="AA244" s="24">
        <f t="shared" ca="1" si="61"/>
        <v>-4.4914940461629027E-2</v>
      </c>
      <c r="AB244" s="9" cm="1">
        <f t="array" aca="1" ref="AB244" ca="1">_xll.FDS($E$9,"P_PRICE("&amp;AG244&amp;",0,D,D)")</f>
        <v>5778.15</v>
      </c>
      <c r="AC244" s="9" cm="1">
        <f t="array" aca="1" ref="AC244" ca="1">_xll.FDS($E$9,"P_PRICE("&amp;AH244&amp;",0,D,D)")</f>
        <v>5955.25</v>
      </c>
      <c r="AD244" s="9" cm="1">
        <f t="array" aca="1" ref="AD244" ca="1">_xll.FDS($E$9,"P_PRICE("&amp;AI244&amp;",0,D,D)")</f>
        <v>6129.58</v>
      </c>
      <c r="AE244" s="9" cm="1">
        <f t="array" aca="1" ref="AE244" ca="1">_xll.FDS($E$9,"P_PRICE("&amp;AJ244&amp;",0,D,D)")</f>
        <v>5994.57</v>
      </c>
      <c r="AF244" s="9" cm="1">
        <f t="array" aca="1" ref="AF244" ca="1">_xll.FDS($E$9,"P_PRICE("&amp;AK244&amp;",0,D,D)")</f>
        <v>6049.88</v>
      </c>
      <c r="AG244" s="20">
        <f t="shared" ca="1" si="67"/>
        <v>45720</v>
      </c>
      <c r="AH244" s="22">
        <f t="shared" ca="1" si="62"/>
        <v>45713</v>
      </c>
      <c r="AI244" s="22">
        <f t="shared" ca="1" si="63"/>
        <v>45706</v>
      </c>
      <c r="AJ244" s="22">
        <f t="shared" ca="1" si="64"/>
        <v>45691</v>
      </c>
      <c r="AK244" s="22">
        <f t="shared" ca="1" si="65"/>
        <v>45629</v>
      </c>
      <c r="AL244" s="22">
        <f t="shared" ca="1" si="66"/>
        <v>45544</v>
      </c>
    </row>
    <row r="245" spans="4:38" x14ac:dyDescent="0.25">
      <c r="D245" s="6">
        <f ca="1"/>
        <v>45719</v>
      </c>
      <c r="E245" s="28" cm="1">
        <f t="array" aca="1" ref="E245" ca="1">_xll.FDS($E$7,"P_PRICE("&amp;D245&amp;",0,D,D)")</f>
        <v>99.97</v>
      </c>
      <c r="F245" s="29" cm="1">
        <f t="array" aca="1" ref="F245" ca="1">_xll.FDS($E$7,"P_BETA_LOCIDX("&amp;$AG245&amp;","&amp;$AL245&amp;",,"""&amp;$E$9&amp;""")")</f>
        <v>1.0209184</v>
      </c>
      <c r="G245" s="30">
        <f t="shared" ca="1" si="52"/>
        <v>1.8898134366675125E-2</v>
      </c>
      <c r="H245" s="30">
        <f t="shared" ca="1" si="52"/>
        <v>-3.2685743805870492E-2</v>
      </c>
      <c r="I245" s="30">
        <f t="shared" ca="1" si="52"/>
        <v>4.174113733100681E-2</v>
      </c>
      <c r="J245" s="30">
        <f t="shared" ca="1" si="52"/>
        <v>9.0292240736437254E-3</v>
      </c>
      <c r="K245" s="30">
        <f t="shared" ca="1" si="53"/>
        <v>-2.2784144729369439E-2</v>
      </c>
      <c r="L245" s="30">
        <f t="shared" ca="1" si="53"/>
        <v>-4.4230230340020528E-2</v>
      </c>
      <c r="M245" s="30">
        <f t="shared" ca="1" si="53"/>
        <v>-3.2249064221848027E-2</v>
      </c>
      <c r="N245" s="30">
        <f t="shared" ca="1" si="53"/>
        <v>-3.3331390772843326E-2</v>
      </c>
      <c r="O245" s="30">
        <f t="shared" ca="1" si="54"/>
        <v>-3.8860103626943143E-3</v>
      </c>
      <c r="P245" s="30">
        <f t="shared" ca="1" si="55"/>
        <v>-7.691597414589102E-2</v>
      </c>
      <c r="Q245" s="30">
        <f t="shared" ca="1" si="56"/>
        <v>9.4920731091587829E-3</v>
      </c>
      <c r="R245" s="30">
        <f t="shared" ca="1" si="57"/>
        <v>-2.4302166699199601E-2</v>
      </c>
      <c r="S245" s="9" cm="1">
        <f t="array" aca="1" ref="S245" ca="1">_xll.FDS($E$7,"P_PRICE("&amp;AG245&amp;",0,D,D)")</f>
        <v>99.97</v>
      </c>
      <c r="T245" s="9" cm="1">
        <f t="array" aca="1" ref="T245" ca="1">_xll.FDS($E$7,"P_PRICE("&amp;AH245&amp;",0,D,D)")</f>
        <v>100.36</v>
      </c>
      <c r="U245" s="9" cm="1">
        <f t="array" aca="1" ref="U245" ca="1">_xll.FDS($E$7,"P_PRICE("&amp;AI245&amp;",0,D,D)")</f>
        <v>108.3</v>
      </c>
      <c r="V245" s="9" cm="1">
        <f t="array" aca="1" ref="V245" ca="1">_xll.FDS($E$7,"P_PRICE("&amp;AJ245&amp;",0,D,D)")</f>
        <v>99.03</v>
      </c>
      <c r="W245" s="9" cm="1">
        <f t="array" aca="1" ref="W245" ca="1">_xll.FDS($E$7,"P_PRICE("&amp;AK245&amp;",0,D,D)")</f>
        <v>102.46</v>
      </c>
      <c r="X245" s="24">
        <f t="shared" ca="1" si="58"/>
        <v>-2.2317302469393674E-2</v>
      </c>
      <c r="Y245" s="24">
        <f t="shared" ca="1" si="59"/>
        <v>-4.3323962365670488E-2</v>
      </c>
      <c r="Z245" s="24">
        <f t="shared" ca="1" si="60"/>
        <v>-3.1588287782694513E-2</v>
      </c>
      <c r="AA245" s="24">
        <f t="shared" ca="1" si="61"/>
        <v>-3.2648437693789556E-2</v>
      </c>
      <c r="AB245" s="9" cm="1">
        <f t="array" aca="1" ref="AB245" ca="1">_xll.FDS($E$9,"P_PRICE("&amp;AG245&amp;",0,D,D)")</f>
        <v>5849.72</v>
      </c>
      <c r="AC245" s="9" cm="1">
        <f t="array" aca="1" ref="AC245" ca="1">_xll.FDS($E$9,"P_PRICE("&amp;AH245&amp;",0,D,D)")</f>
        <v>5983.25</v>
      </c>
      <c r="AD245" s="9" cm="1">
        <f t="array" aca="1" ref="AD245" ca="1">_xll.FDS($E$9,"P_PRICE("&amp;AI245&amp;",0,D,D)")</f>
        <v>6114.63</v>
      </c>
      <c r="AE245" s="9" cm="1">
        <f t="array" aca="1" ref="AE245" ca="1">_xll.FDS($E$9,"P_PRICE("&amp;AJ245&amp;",0,D,D)")</f>
        <v>6040.53</v>
      </c>
      <c r="AF245" s="9" cm="1">
        <f t="array" aca="1" ref="AF245" ca="1">_xll.FDS($E$9,"P_PRICE("&amp;AK245&amp;",0,D,D)")</f>
        <v>6047.15</v>
      </c>
      <c r="AG245" s="20">
        <f t="shared" ca="1" si="67"/>
        <v>45719</v>
      </c>
      <c r="AH245" s="22">
        <f t="shared" ca="1" si="62"/>
        <v>45712</v>
      </c>
      <c r="AI245" s="22">
        <f t="shared" ca="1" si="63"/>
        <v>45702</v>
      </c>
      <c r="AJ245" s="22">
        <f t="shared" ca="1" si="64"/>
        <v>45688</v>
      </c>
      <c r="AK245" s="22">
        <f t="shared" ca="1" si="65"/>
        <v>45628</v>
      </c>
      <c r="AL245" s="22">
        <f t="shared" ca="1" si="66"/>
        <v>45541</v>
      </c>
    </row>
    <row r="246" spans="4:38" x14ac:dyDescent="0.25">
      <c r="D246" s="6">
        <f ca="1"/>
        <v>45716</v>
      </c>
      <c r="E246" s="28" cm="1">
        <f t="array" aca="1" ref="E246" ca="1">_xll.FDS($E$7,"P_PRICE("&amp;D246&amp;",0,D,D)")</f>
        <v>102.52</v>
      </c>
      <c r="F246" s="29" cm="1">
        <f t="array" aca="1" ref="F246" ca="1">_xll.FDS($E$7,"P_BETA_LOCIDX("&amp;$AG246&amp;","&amp;$AL246&amp;",,"""&amp;$E$9&amp;""")")</f>
        <v>1.0053046000000001</v>
      </c>
      <c r="G246" s="30">
        <f t="shared" ca="1" si="52"/>
        <v>3.1528182448160774E-2</v>
      </c>
      <c r="H246" s="30">
        <f t="shared" ca="1" si="52"/>
        <v>-1.0973522958081922E-2</v>
      </c>
      <c r="I246" s="30">
        <f t="shared" ca="1" si="52"/>
        <v>4.6676443144014125E-2</v>
      </c>
      <c r="J246" s="30">
        <f t="shared" ca="1" si="52"/>
        <v>1.5423321020570821E-2</v>
      </c>
      <c r="K246" s="30">
        <f t="shared" ca="1" si="53"/>
        <v>-9.8020512940848181E-3</v>
      </c>
      <c r="L246" s="30">
        <f t="shared" ca="1" si="53"/>
        <v>-2.6397369060697489E-2</v>
      </c>
      <c r="M246" s="30">
        <f t="shared" ca="1" si="53"/>
        <v>-1.931899249765693E-2</v>
      </c>
      <c r="N246" s="30">
        <f t="shared" ca="1" si="53"/>
        <v>-1.2978811389202935E-2</v>
      </c>
      <c r="O246" s="30">
        <f t="shared" ca="1" si="54"/>
        <v>2.1726131154075956E-2</v>
      </c>
      <c r="P246" s="30">
        <f t="shared" ca="1" si="55"/>
        <v>-3.7370892018779411E-2</v>
      </c>
      <c r="Q246" s="30">
        <f t="shared" ca="1" si="56"/>
        <v>2.7357450646357195E-2</v>
      </c>
      <c r="R246" s="30">
        <f t="shared" ca="1" si="57"/>
        <v>2.444509631367886E-3</v>
      </c>
      <c r="S246" s="9" cm="1">
        <f t="array" aca="1" ref="S246" ca="1">_xll.FDS($E$7,"P_PRICE("&amp;AG246&amp;",0,D,D)")</f>
        <v>102.52</v>
      </c>
      <c r="T246" s="9" cm="1">
        <f t="array" aca="1" ref="T246" ca="1">_xll.FDS($E$7,"P_PRICE("&amp;AH246&amp;",0,D,D)")</f>
        <v>100.34</v>
      </c>
      <c r="U246" s="9" cm="1">
        <f t="array" aca="1" ref="U246" ca="1">_xll.FDS($E$7,"P_PRICE("&amp;AI246&amp;",0,D,D)")</f>
        <v>106.5</v>
      </c>
      <c r="V246" s="9" cm="1">
        <f t="array" aca="1" ref="V246" ca="1">_xll.FDS($E$7,"P_PRICE("&amp;AJ246&amp;",0,D,D)")</f>
        <v>99.79</v>
      </c>
      <c r="W246" s="9" cm="1">
        <f t="array" aca="1" ref="W246" ca="1">_xll.FDS($E$7,"P_PRICE("&amp;AK246&amp;",0,D,D)")</f>
        <v>102.27</v>
      </c>
      <c r="X246" s="24">
        <f t="shared" ca="1" si="58"/>
        <v>-9.7503296951837459E-3</v>
      </c>
      <c r="Y246" s="24">
        <f t="shared" ca="1" si="59"/>
        <v>-2.6258080447157495E-2</v>
      </c>
      <c r="Z246" s="24">
        <f t="shared" ca="1" si="60"/>
        <v>-1.9217053714522869E-2</v>
      </c>
      <c r="AA246" s="24">
        <f t="shared" ca="1" si="61"/>
        <v>-1.2910327267181443E-2</v>
      </c>
      <c r="AB246" s="9" cm="1">
        <f t="array" aca="1" ref="AB246" ca="1">_xll.FDS($E$9,"P_PRICE("&amp;AG246&amp;",0,D,D)")</f>
        <v>5954.5</v>
      </c>
      <c r="AC246" s="9" cm="1">
        <f t="array" aca="1" ref="AC246" ca="1">_xll.FDS($E$9,"P_PRICE("&amp;AH246&amp;",0,D,D)")</f>
        <v>6013.13</v>
      </c>
      <c r="AD246" s="9" cm="1">
        <f t="array" aca="1" ref="AD246" ca="1">_xll.FDS($E$9,"P_PRICE("&amp;AI246&amp;",0,D,D)")</f>
        <v>6115.07</v>
      </c>
      <c r="AE246" s="9" cm="1">
        <f t="array" aca="1" ref="AE246" ca="1">_xll.FDS($E$9,"P_PRICE("&amp;AJ246&amp;",0,D,D)")</f>
        <v>6071.17</v>
      </c>
      <c r="AF246" s="9" cm="1">
        <f t="array" aca="1" ref="AF246" ca="1">_xll.FDS($E$9,"P_PRICE("&amp;AK246&amp;",0,D,D)")</f>
        <v>6032.38</v>
      </c>
      <c r="AG246" s="20">
        <f t="shared" ca="1" si="67"/>
        <v>45716</v>
      </c>
      <c r="AH246" s="22">
        <f t="shared" ca="1" si="62"/>
        <v>45709</v>
      </c>
      <c r="AI246" s="22">
        <f t="shared" ca="1" si="63"/>
        <v>45701</v>
      </c>
      <c r="AJ246" s="22">
        <f t="shared" ca="1" si="64"/>
        <v>45687</v>
      </c>
      <c r="AK246" s="22">
        <f t="shared" ca="1" si="65"/>
        <v>45625</v>
      </c>
      <c r="AL246" s="22">
        <f t="shared" ca="1" si="66"/>
        <v>45540</v>
      </c>
    </row>
    <row r="247" spans="4:38" x14ac:dyDescent="0.25">
      <c r="D247" s="6">
        <f ca="1"/>
        <v>45715</v>
      </c>
      <c r="E247" s="28" cm="1">
        <f t="array" aca="1" ref="E247" ca="1">_xll.FDS($E$7,"P_PRICE("&amp;D247&amp;",0,D,D)")</f>
        <v>101.5</v>
      </c>
      <c r="F247" s="29" cm="1">
        <f t="array" aca="1" ref="F247" ca="1">_xll.FDS($E$7,"P_BETA_LOCIDX("&amp;$AG247&amp;","&amp;$AL247&amp;",,"""&amp;$E$9&amp;""")")</f>
        <v>1.0284317000000001</v>
      </c>
      <c r="G247" s="30">
        <f t="shared" ca="1" si="52"/>
        <v>3.2500031250879191E-2</v>
      </c>
      <c r="H247" s="30">
        <f t="shared" ca="1" si="52"/>
        <v>6.2566774956985469E-3</v>
      </c>
      <c r="I247" s="30">
        <f t="shared" ca="1" si="52"/>
        <v>5.4588598018552988E-2</v>
      </c>
      <c r="J247" s="30">
        <f t="shared" ca="1" si="52"/>
        <v>1.9200336731789863E-2</v>
      </c>
      <c r="K247" s="30">
        <f t="shared" ca="1" si="53"/>
        <v>-4.3028399353823188E-2</v>
      </c>
      <c r="L247" s="30">
        <f t="shared" ca="1" si="53"/>
        <v>-3.2355314993299765E-2</v>
      </c>
      <c r="M247" s="30">
        <f t="shared" ca="1" si="53"/>
        <v>-3.0267273969708526E-2</v>
      </c>
      <c r="N247" s="30">
        <f t="shared" ca="1" si="53"/>
        <v>-2.3516601201085535E-2</v>
      </c>
      <c r="O247" s="30">
        <f t="shared" ca="1" si="54"/>
        <v>-1.0528368102943997E-2</v>
      </c>
      <c r="P247" s="30">
        <f t="shared" ca="1" si="55"/>
        <v>-2.6098637497601218E-2</v>
      </c>
      <c r="Q247" s="30">
        <f t="shared" ca="1" si="56"/>
        <v>2.4321324048844462E-2</v>
      </c>
      <c r="R247" s="30">
        <f t="shared" ca="1" si="57"/>
        <v>-4.316264469295672E-3</v>
      </c>
      <c r="S247" s="9" cm="1">
        <f t="array" aca="1" ref="S247" ca="1">_xll.FDS($E$7,"P_PRICE("&amp;AG247&amp;",0,D,D)")</f>
        <v>101.5</v>
      </c>
      <c r="T247" s="9" cm="1">
        <f t="array" aca="1" ref="T247" ca="1">_xll.FDS($E$7,"P_PRICE("&amp;AH247&amp;",0,D,D)")</f>
        <v>102.58</v>
      </c>
      <c r="U247" s="9" cm="1">
        <f t="array" aca="1" ref="U247" ca="1">_xll.FDS($E$7,"P_PRICE("&amp;AI247&amp;",0,D,D)")</f>
        <v>104.22</v>
      </c>
      <c r="V247" s="9" cm="1">
        <f t="array" aca="1" ref="V247" ca="1">_xll.FDS($E$7,"P_PRICE("&amp;AJ247&amp;",0,D,D)")</f>
        <v>99.09</v>
      </c>
      <c r="W247" s="9" cm="1">
        <f t="array" aca="1" ref="W247" ca="1">_xll.FDS($E$7,"P_PRICE("&amp;AK247&amp;",0,D,D)")</f>
        <v>101.94</v>
      </c>
      <c r="X247" s="24">
        <f t="shared" ca="1" si="58"/>
        <v>-4.1838849729955996E-2</v>
      </c>
      <c r="Y247" s="24">
        <f t="shared" ca="1" si="59"/>
        <v>-3.1460830109865112E-2</v>
      </c>
      <c r="Z247" s="24">
        <f t="shared" ca="1" si="60"/>
        <v>-2.943051441307043E-2</v>
      </c>
      <c r="AA247" s="24">
        <f t="shared" ca="1" si="61"/>
        <v>-2.2866468625077907E-2</v>
      </c>
      <c r="AB247" s="9" cm="1">
        <f t="array" aca="1" ref="AB247" ca="1">_xll.FDS($E$9,"P_PRICE("&amp;AG247&amp;",0,D,D)")</f>
        <v>5861.57</v>
      </c>
      <c r="AC247" s="9" cm="1">
        <f t="array" aca="1" ref="AC247" ca="1">_xll.FDS($E$9,"P_PRICE("&amp;AH247&amp;",0,D,D)")</f>
        <v>6117.52</v>
      </c>
      <c r="AD247" s="9" cm="1">
        <f t="array" aca="1" ref="AD247" ca="1">_xll.FDS($E$9,"P_PRICE("&amp;AI247&amp;",0,D,D)")</f>
        <v>6051.97</v>
      </c>
      <c r="AE247" s="9" cm="1">
        <f t="array" aca="1" ref="AE247" ca="1">_xll.FDS($E$9,"P_PRICE("&amp;AJ247&amp;",0,D,D)")</f>
        <v>6039.31</v>
      </c>
      <c r="AF247" s="9" cm="1">
        <f t="array" aca="1" ref="AF247" ca="1">_xll.FDS($E$9,"P_PRICE("&amp;AK247&amp;",0,D,D)")</f>
        <v>5998.74</v>
      </c>
      <c r="AG247" s="20">
        <f t="shared" ca="1" si="67"/>
        <v>45715</v>
      </c>
      <c r="AH247" s="22">
        <f t="shared" ca="1" si="62"/>
        <v>45708</v>
      </c>
      <c r="AI247" s="22">
        <f t="shared" ca="1" si="63"/>
        <v>45700</v>
      </c>
      <c r="AJ247" s="22">
        <f t="shared" ca="1" si="64"/>
        <v>45686</v>
      </c>
      <c r="AK247" s="22">
        <f t="shared" ca="1" si="65"/>
        <v>45623</v>
      </c>
      <c r="AL247" s="22">
        <f t="shared" ca="1" si="66"/>
        <v>45539</v>
      </c>
    </row>
    <row r="248" spans="4:38" x14ac:dyDescent="0.25">
      <c r="D248" s="6">
        <f ca="1"/>
        <v>45714</v>
      </c>
      <c r="E248" s="28" cm="1">
        <f t="array" aca="1" ref="E248" ca="1">_xll.FDS($E$7,"P_PRICE("&amp;D248&amp;",0,D,D)")</f>
        <v>102.33</v>
      </c>
      <c r="F248" s="29" cm="1">
        <f t="array" aca="1" ref="F248" ca="1">_xll.FDS($E$7,"P_BETA_LOCIDX("&amp;$AG248&amp;","&amp;$AL248&amp;",,"""&amp;$E$9&amp;""")")</f>
        <v>1.0688381</v>
      </c>
      <c r="G248" s="30">
        <f t="shared" ca="1" si="52"/>
        <v>-2.8123260315640955E-3</v>
      </c>
      <c r="H248" s="30">
        <f t="shared" ca="1" si="52"/>
        <v>1.3492025889468778E-2</v>
      </c>
      <c r="I248" s="30">
        <f t="shared" ca="1" si="52"/>
        <v>5.8337971287786769E-2</v>
      </c>
      <c r="J248" s="30">
        <f t="shared" ca="1" si="52"/>
        <v>6.3893178288580744E-3</v>
      </c>
      <c r="K248" s="30">
        <f t="shared" ca="1" si="53"/>
        <v>-3.2720190462309583E-2</v>
      </c>
      <c r="L248" s="30">
        <f t="shared" ca="1" si="53"/>
        <v>-1.9803931113784239E-2</v>
      </c>
      <c r="M248" s="30">
        <f t="shared" ca="1" si="53"/>
        <v>-1.9665620496069274E-2</v>
      </c>
      <c r="N248" s="30">
        <f t="shared" ca="1" si="53"/>
        <v>-1.16386616608791E-2</v>
      </c>
      <c r="O248" s="30">
        <f t="shared" ca="1" si="54"/>
        <v>-3.5532516493873678E-2</v>
      </c>
      <c r="P248" s="30">
        <f t="shared" ca="1" si="55"/>
        <v>-6.3119052243154616E-3</v>
      </c>
      <c r="Q248" s="30">
        <f t="shared" ca="1" si="56"/>
        <v>3.8672350791717491E-2</v>
      </c>
      <c r="R248" s="30">
        <f t="shared" ca="1" si="57"/>
        <v>-5.2493438320210251E-3</v>
      </c>
      <c r="S248" s="9" cm="1">
        <f t="array" aca="1" ref="S248" ca="1">_xll.FDS($E$7,"P_PRICE("&amp;AG248&amp;",0,D,D)")</f>
        <v>102.33</v>
      </c>
      <c r="T248" s="9" cm="1">
        <f t="array" aca="1" ref="T248" ca="1">_xll.FDS($E$7,"P_PRICE("&amp;AH248&amp;",0,D,D)")</f>
        <v>106.1</v>
      </c>
      <c r="U248" s="9" cm="1">
        <f t="array" aca="1" ref="U248" ca="1">_xll.FDS($E$7,"P_PRICE("&amp;AI248&amp;",0,D,D)")</f>
        <v>102.98</v>
      </c>
      <c r="V248" s="9" cm="1">
        <f t="array" aca="1" ref="V248" ca="1">_xll.FDS($E$7,"P_PRICE("&amp;AJ248&amp;",0,D,D)")</f>
        <v>98.52</v>
      </c>
      <c r="W248" s="9" cm="1">
        <f t="array" aca="1" ref="W248" ca="1">_xll.FDS($E$7,"P_PRICE("&amp;AK248&amp;",0,D,D)")</f>
        <v>102.87</v>
      </c>
      <c r="X248" s="24">
        <f t="shared" ca="1" si="58"/>
        <v>-3.0612859386570879E-2</v>
      </c>
      <c r="Y248" s="24">
        <f t="shared" ca="1" si="59"/>
        <v>-1.852846667215946E-2</v>
      </c>
      <c r="Z248" s="24">
        <f t="shared" ca="1" si="60"/>
        <v>-1.8399063895709999E-2</v>
      </c>
      <c r="AA248" s="24">
        <f t="shared" ca="1" si="61"/>
        <v>-1.0889078206399172E-2</v>
      </c>
      <c r="AB248" s="9" cm="1">
        <f t="array" aca="1" ref="AB248" ca="1">_xll.FDS($E$9,"P_PRICE("&amp;AG248&amp;",0,D,D)")</f>
        <v>5956.06</v>
      </c>
      <c r="AC248" s="9" cm="1">
        <f t="array" aca="1" ref="AC248" ca="1">_xll.FDS($E$9,"P_PRICE("&amp;AH248&amp;",0,D,D)")</f>
        <v>6144.15</v>
      </c>
      <c r="AD248" s="9" cm="1">
        <f t="array" aca="1" ref="AD248" ca="1">_xll.FDS($E$9,"P_PRICE("&amp;AI248&amp;",0,D,D)")</f>
        <v>6068.5</v>
      </c>
      <c r="AE248" s="9" cm="1">
        <f t="array" aca="1" ref="AE248" ca="1">_xll.FDS($E$9,"P_PRICE("&amp;AJ248&amp;",0,D,D)")</f>
        <v>6067.7</v>
      </c>
      <c r="AF248" s="9" cm="1">
        <f t="array" aca="1" ref="AF248" ca="1">_xll.FDS($E$9,"P_PRICE("&amp;AK248&amp;",0,D,D)")</f>
        <v>6021.63</v>
      </c>
      <c r="AG248" s="20">
        <f t="shared" ca="1" si="67"/>
        <v>45714</v>
      </c>
      <c r="AH248" s="22">
        <f t="shared" ca="1" si="62"/>
        <v>45707</v>
      </c>
      <c r="AI248" s="22">
        <f t="shared" ca="1" si="63"/>
        <v>45699</v>
      </c>
      <c r="AJ248" s="22">
        <f t="shared" ca="1" si="64"/>
        <v>45685</v>
      </c>
      <c r="AK248" s="22">
        <f t="shared" ca="1" si="65"/>
        <v>45622</v>
      </c>
      <c r="AL248" s="22">
        <f t="shared" ca="1" si="66"/>
        <v>45538</v>
      </c>
    </row>
    <row r="249" spans="4:38" x14ac:dyDescent="0.25">
      <c r="D249" s="6">
        <f ca="1"/>
        <v>45713</v>
      </c>
      <c r="E249" s="28" cm="1">
        <f t="array" aca="1" ref="E249" ca="1">_xll.FDS($E$7,"P_PRICE("&amp;D249&amp;",0,D,D)")</f>
        <v>100.29</v>
      </c>
      <c r="F249" s="29" cm="1">
        <f t="array" aca="1" ref="F249" ca="1">_xll.FDS($E$7,"P_BETA_LOCIDX("&amp;$AG249&amp;","&amp;$AL249&amp;",,"""&amp;$E$9&amp;""")")</f>
        <v>1.0900859000000001</v>
      </c>
      <c r="G249" s="30">
        <f t="shared" ca="1" si="52"/>
        <v>-6.1477431710900449E-2</v>
      </c>
      <c r="H249" s="30">
        <f t="shared" ca="1" si="52"/>
        <v>2.5408523911348846E-3</v>
      </c>
      <c r="I249" s="30">
        <f t="shared" ca="1" si="52"/>
        <v>2.3063520880177345E-2</v>
      </c>
      <c r="J249" s="30">
        <f t="shared" ca="1" si="52"/>
        <v>-1.8568439391926414E-2</v>
      </c>
      <c r="K249" s="30">
        <f t="shared" ca="1" si="53"/>
        <v>-3.100288681231014E-2</v>
      </c>
      <c r="L249" s="30">
        <f t="shared" ca="1" si="53"/>
        <v>-1.9979864833576166E-2</v>
      </c>
      <c r="M249" s="30">
        <f t="shared" ca="1" si="53"/>
        <v>-1.0340103733858042E-2</v>
      </c>
      <c r="N249" s="30">
        <f t="shared" ca="1" si="53"/>
        <v>-5.8479030205248611E-3</v>
      </c>
      <c r="O249" s="30">
        <f t="shared" ca="1" si="54"/>
        <v>-9.2480318523210592E-2</v>
      </c>
      <c r="P249" s="30">
        <f t="shared" ca="1" si="55"/>
        <v>-1.7439012442441282E-2</v>
      </c>
      <c r="Q249" s="30">
        <f t="shared" ca="1" si="56"/>
        <v>1.2723417146319305E-2</v>
      </c>
      <c r="R249" s="30">
        <f t="shared" ca="1" si="57"/>
        <v>-2.4416342412451275E-2</v>
      </c>
      <c r="S249" s="9" cm="1">
        <f t="array" aca="1" ref="S249" ca="1">_xll.FDS($E$7,"P_PRICE("&amp;AG249&amp;",0,D,D)")</f>
        <v>100.29</v>
      </c>
      <c r="T249" s="9" cm="1">
        <f t="array" aca="1" ref="T249" ca="1">_xll.FDS($E$7,"P_PRICE("&amp;AH249&amp;",0,D,D)")</f>
        <v>110.51</v>
      </c>
      <c r="U249" s="9" cm="1">
        <f t="array" aca="1" ref="U249" ca="1">_xll.FDS($E$7,"P_PRICE("&amp;AI249&amp;",0,D,D)")</f>
        <v>102.07</v>
      </c>
      <c r="V249" s="9" cm="1">
        <f t="array" aca="1" ref="V249" ca="1">_xll.FDS($E$7,"P_PRICE("&amp;AJ249&amp;",0,D,D)")</f>
        <v>99.03</v>
      </c>
      <c r="W249" s="9" cm="1">
        <f t="array" aca="1" ref="W249" ca="1">_xll.FDS($E$7,"P_PRICE("&amp;AK249&amp;",0,D,D)")</f>
        <v>102.8</v>
      </c>
      <c r="X249" s="24">
        <f t="shared" ca="1" si="58"/>
        <v>-2.8440774082400422E-2</v>
      </c>
      <c r="Y249" s="24">
        <f t="shared" ca="1" si="59"/>
        <v>-1.8328706786846949E-2</v>
      </c>
      <c r="Z249" s="24">
        <f t="shared" ca="1" si="60"/>
        <v>-9.4855861669782549E-3</v>
      </c>
      <c r="AA249" s="24">
        <f t="shared" ca="1" si="61"/>
        <v>-5.3646258707913397E-3</v>
      </c>
      <c r="AB249" s="9" cm="1">
        <f t="array" aca="1" ref="AB249" ca="1">_xll.FDS($E$9,"P_PRICE("&amp;AG249&amp;",0,D,D)")</f>
        <v>5955.25</v>
      </c>
      <c r="AC249" s="9" cm="1">
        <f t="array" aca="1" ref="AC249" ca="1">_xll.FDS($E$9,"P_PRICE("&amp;AH249&amp;",0,D,D)")</f>
        <v>6129.58</v>
      </c>
      <c r="AD249" s="9" cm="1">
        <f t="array" aca="1" ref="AD249" ca="1">_xll.FDS($E$9,"P_PRICE("&amp;AI249&amp;",0,D,D)")</f>
        <v>6066.44</v>
      </c>
      <c r="AE249" s="9" cm="1">
        <f t="array" aca="1" ref="AE249" ca="1">_xll.FDS($E$9,"P_PRICE("&amp;AJ249&amp;",0,D,D)")</f>
        <v>6012.28</v>
      </c>
      <c r="AF249" s="9" cm="1">
        <f t="array" aca="1" ref="AF249" ca="1">_xll.FDS($E$9,"P_PRICE("&amp;AK249&amp;",0,D,D)")</f>
        <v>5987.37</v>
      </c>
      <c r="AG249" s="20">
        <f t="shared" ca="1" si="67"/>
        <v>45713</v>
      </c>
      <c r="AH249" s="22">
        <f t="shared" ca="1" si="62"/>
        <v>45706</v>
      </c>
      <c r="AI249" s="22">
        <f t="shared" ca="1" si="63"/>
        <v>45698</v>
      </c>
      <c r="AJ249" s="22">
        <f t="shared" ca="1" si="64"/>
        <v>45684</v>
      </c>
      <c r="AK249" s="22">
        <f t="shared" ca="1" si="65"/>
        <v>45621</v>
      </c>
      <c r="AL249" s="22">
        <f t="shared" ca="1" si="66"/>
        <v>45534</v>
      </c>
    </row>
    <row r="250" spans="4:38" x14ac:dyDescent="0.25">
      <c r="D250" s="6">
        <f ca="1"/>
        <v>45712</v>
      </c>
      <c r="E250" s="28" cm="1">
        <f t="array" aca="1" ref="E250" ca="1">_xll.FDS($E$7,"P_PRICE("&amp;D250&amp;",0,D,D)")</f>
        <v>100.36</v>
      </c>
      <c r="F250" s="29" cm="1">
        <f t="array" aca="1" ref="F250" ca="1">_xll.FDS($E$7,"P_BETA_LOCIDX("&amp;$AG250&amp;","&amp;$AL250&amp;",,"""&amp;$E$9&amp;""")")</f>
        <v>1.0921973</v>
      </c>
      <c r="G250" s="30">
        <f t="shared" ca="1" si="52"/>
        <v>-4.9847725619439412E-2</v>
      </c>
      <c r="H250" s="30">
        <f t="shared" ca="1" si="52"/>
        <v>-2.1090319187856449E-2</v>
      </c>
      <c r="I250" s="30">
        <f t="shared" ca="1" si="52"/>
        <v>1.223365591640466E-2</v>
      </c>
      <c r="J250" s="30">
        <f t="shared" ca="1" si="52"/>
        <v>-1.2801493036583551E-2</v>
      </c>
      <c r="K250" s="30">
        <f t="shared" ca="1" si="53"/>
        <v>-2.3467140493210623E-2</v>
      </c>
      <c r="L250" s="30">
        <f t="shared" ca="1" si="53"/>
        <v>-7.7465300476767512E-3</v>
      </c>
      <c r="M250" s="30">
        <f t="shared" ca="1" si="53"/>
        <v>-2.1121666977040741E-2</v>
      </c>
      <c r="N250" s="30">
        <f t="shared" ca="1" si="53"/>
        <v>2.5450827801732196E-3</v>
      </c>
      <c r="O250" s="30">
        <f t="shared" ca="1" si="54"/>
        <v>-7.3314866112650035E-2</v>
      </c>
      <c r="P250" s="30">
        <f t="shared" ca="1" si="55"/>
        <v>-2.8836849235533202E-2</v>
      </c>
      <c r="Q250" s="30">
        <f t="shared" ca="1" si="56"/>
        <v>-8.8880110606360807E-3</v>
      </c>
      <c r="R250" s="30">
        <f t="shared" ca="1" si="57"/>
        <v>-1.0256410256410331E-2</v>
      </c>
      <c r="S250" s="9" cm="1">
        <f t="array" aca="1" ref="S250" ca="1">_xll.FDS($E$7,"P_PRICE("&amp;AG250&amp;",0,D,D)")</f>
        <v>100.36</v>
      </c>
      <c r="T250" s="9" cm="1">
        <f t="array" aca="1" ref="T250" ca="1">_xll.FDS($E$7,"P_PRICE("&amp;AH250&amp;",0,D,D)")</f>
        <v>108.3</v>
      </c>
      <c r="U250" s="9" cm="1">
        <f t="array" aca="1" ref="U250" ca="1">_xll.FDS($E$7,"P_PRICE("&amp;AI250&amp;",0,D,D)")</f>
        <v>103.34</v>
      </c>
      <c r="V250" s="9" cm="1">
        <f t="array" aca="1" ref="V250" ca="1">_xll.FDS($E$7,"P_PRICE("&amp;AJ250&amp;",0,D,D)")</f>
        <v>101.26</v>
      </c>
      <c r="W250" s="9" cm="1">
        <f t="array" aca="1" ref="W250" ca="1">_xll.FDS($E$7,"P_PRICE("&amp;AK250&amp;",0,D,D)")</f>
        <v>101.4</v>
      </c>
      <c r="X250" s="24">
        <f t="shared" ca="1" si="58"/>
        <v>-2.1486173325287128E-2</v>
      </c>
      <c r="Y250" s="24">
        <f t="shared" ca="1" si="59"/>
        <v>-7.0926105088126024E-3</v>
      </c>
      <c r="Z250" s="24">
        <f t="shared" ca="1" si="60"/>
        <v>-1.933869180691139E-2</v>
      </c>
      <c r="AA250" s="24">
        <f t="shared" ca="1" si="61"/>
        <v>2.3302408641490135E-3</v>
      </c>
      <c r="AB250" s="9" cm="1">
        <f t="array" aca="1" ref="AB250" ca="1">_xll.FDS($E$9,"P_PRICE("&amp;AG250&amp;",0,D,D)")</f>
        <v>5983.25</v>
      </c>
      <c r="AC250" s="9" cm="1">
        <f t="array" aca="1" ref="AC250" ca="1">_xll.FDS($E$9,"P_PRICE("&amp;AH250&amp;",0,D,D)")</f>
        <v>6114.63</v>
      </c>
      <c r="AD250" s="9" cm="1">
        <f t="array" aca="1" ref="AD250" ca="1">_xll.FDS($E$9,"P_PRICE("&amp;AI250&amp;",0,D,D)")</f>
        <v>6025.99</v>
      </c>
      <c r="AE250" s="9" cm="1">
        <f t="array" aca="1" ref="AE250" ca="1">_xll.FDS($E$9,"P_PRICE("&amp;AJ250&amp;",0,D,D)")</f>
        <v>6101.24</v>
      </c>
      <c r="AF250" s="9" cm="1">
        <f t="array" aca="1" ref="AF250" ca="1">_xll.FDS($E$9,"P_PRICE("&amp;AK250&amp;",0,D,D)")</f>
        <v>5969.34</v>
      </c>
      <c r="AG250" s="20">
        <f t="shared" ca="1" si="67"/>
        <v>45712</v>
      </c>
      <c r="AH250" s="22">
        <f t="shared" ca="1" si="62"/>
        <v>45702</v>
      </c>
      <c r="AI250" s="22">
        <f t="shared" ca="1" si="63"/>
        <v>45695</v>
      </c>
      <c r="AJ250" s="22">
        <f t="shared" ca="1" si="64"/>
        <v>45681</v>
      </c>
      <c r="AK250" s="22">
        <f t="shared" ca="1" si="65"/>
        <v>45618</v>
      </c>
      <c r="AL250" s="22">
        <f t="shared" ca="1" si="66"/>
        <v>45533</v>
      </c>
    </row>
    <row r="251" spans="4:38" x14ac:dyDescent="0.25">
      <c r="D251" s="6">
        <f ca="1"/>
        <v>45709</v>
      </c>
      <c r="E251" s="28" cm="1">
        <f t="array" aca="1" ref="E251" ca="1">_xll.FDS($E$7,"P_PRICE("&amp;D251&amp;",0,D,D)")</f>
        <v>100.34</v>
      </c>
      <c r="F251" s="29" cm="1">
        <f t="array" aca="1" ref="F251" ca="1">_xll.FDS($E$7,"P_BETA_LOCIDX("&amp;$AG251&amp;","&amp;$AL251&amp;",,"""&amp;$E$9&amp;""")")</f>
        <v>1.0946146000000001</v>
      </c>
      <c r="G251" s="30">
        <f t="shared" ca="1" si="52"/>
        <v>-3.9592831024977029E-2</v>
      </c>
      <c r="H251" s="30">
        <f t="shared" ca="1" si="52"/>
        <v>-3.3432800091277408E-2</v>
      </c>
      <c r="I251" s="30">
        <f t="shared" ca="1" si="52"/>
        <v>1.7097183282807616E-2</v>
      </c>
      <c r="J251" s="30">
        <f t="shared" ca="1" si="52"/>
        <v>-1.3445882488233135E-2</v>
      </c>
      <c r="K251" s="30">
        <f t="shared" ca="1" si="53"/>
        <v>-1.8247544561877365E-2</v>
      </c>
      <c r="L251" s="30">
        <f t="shared" ca="1" si="53"/>
        <v>-1.2674244304577705E-2</v>
      </c>
      <c r="M251" s="30">
        <f t="shared" ca="1" si="53"/>
        <v>-1.8887871703022408E-2</v>
      </c>
      <c r="N251" s="30">
        <f t="shared" ca="1" si="53"/>
        <v>1.1853842687238153E-2</v>
      </c>
      <c r="O251" s="30">
        <f t="shared" ca="1" si="54"/>
        <v>-5.7840375586854398E-2</v>
      </c>
      <c r="P251" s="30">
        <f t="shared" ca="1" si="55"/>
        <v>-4.6107044395855112E-2</v>
      </c>
      <c r="Q251" s="30">
        <f t="shared" ca="1" si="56"/>
        <v>-1.7906884202147921E-3</v>
      </c>
      <c r="R251" s="30">
        <f t="shared" ca="1" si="57"/>
        <v>-1.5920398009949821E-3</v>
      </c>
      <c r="S251" s="9" cm="1">
        <f t="array" aca="1" ref="S251" ca="1">_xll.FDS($E$7,"P_PRICE("&amp;AG251&amp;",0,D,D)")</f>
        <v>100.34</v>
      </c>
      <c r="T251" s="9" cm="1">
        <f t="array" aca="1" ref="T251" ca="1">_xll.FDS($E$7,"P_PRICE("&amp;AH251&amp;",0,D,D)")</f>
        <v>106.5</v>
      </c>
      <c r="U251" s="9" cm="1">
        <f t="array" aca="1" ref="U251" ca="1">_xll.FDS($E$7,"P_PRICE("&amp;AI251&amp;",0,D,D)")</f>
        <v>105.19</v>
      </c>
      <c r="V251" s="9" cm="1">
        <f t="array" aca="1" ref="V251" ca="1">_xll.FDS($E$7,"P_PRICE("&amp;AJ251&amp;",0,D,D)")</f>
        <v>100.52</v>
      </c>
      <c r="W251" s="9" cm="1">
        <f t="array" aca="1" ref="W251" ca="1">_xll.FDS($E$7,"P_PRICE("&amp;AK251&amp;",0,D,D)")</f>
        <v>100.5</v>
      </c>
      <c r="X251" s="24">
        <f t="shared" ca="1" si="58"/>
        <v>-1.6670291591101893E-2</v>
      </c>
      <c r="Y251" s="24">
        <f t="shared" ca="1" si="59"/>
        <v>-1.1578727622103435E-2</v>
      </c>
      <c r="Z251" s="24">
        <f t="shared" ca="1" si="60"/>
        <v>-1.7255271127410876E-2</v>
      </c>
      <c r="AA251" s="24">
        <f t="shared" ca="1" si="61"/>
        <v>1.0829238608034419E-2</v>
      </c>
      <c r="AB251" s="9" cm="1">
        <f t="array" aca="1" ref="AB251" ca="1">_xll.FDS($E$9,"P_PRICE("&amp;AG251&amp;",0,D,D)")</f>
        <v>6013.13</v>
      </c>
      <c r="AC251" s="9" cm="1">
        <f t="array" aca="1" ref="AC251" ca="1">_xll.FDS($E$9,"P_PRICE("&amp;AH251&amp;",0,D,D)")</f>
        <v>6115.07</v>
      </c>
      <c r="AD251" s="9" cm="1">
        <f t="array" aca="1" ref="AD251" ca="1">_xll.FDS($E$9,"P_PRICE("&amp;AI251&amp;",0,D,D)")</f>
        <v>6083.57</v>
      </c>
      <c r="AE251" s="9" cm="1">
        <f t="array" aca="1" ref="AE251" ca="1">_xll.FDS($E$9,"P_PRICE("&amp;AJ251&amp;",0,D,D)")</f>
        <v>6118.71</v>
      </c>
      <c r="AF251" s="9" cm="1">
        <f t="array" aca="1" ref="AF251" ca="1">_xll.FDS($E$9,"P_PRICE("&amp;AK251&amp;",0,D,D)")</f>
        <v>5948.71</v>
      </c>
      <c r="AG251" s="20">
        <f t="shared" ca="1" si="67"/>
        <v>45709</v>
      </c>
      <c r="AH251" s="22">
        <f t="shared" ca="1" si="62"/>
        <v>45701</v>
      </c>
      <c r="AI251" s="22">
        <f t="shared" ca="1" si="63"/>
        <v>45694</v>
      </c>
      <c r="AJ251" s="22">
        <f t="shared" ca="1" si="64"/>
        <v>45680</v>
      </c>
      <c r="AK251" s="22">
        <f t="shared" ca="1" si="65"/>
        <v>45617</v>
      </c>
      <c r="AL251" s="22">
        <f t="shared" ca="1" si="66"/>
        <v>45532</v>
      </c>
    </row>
    <row r="252" spans="4:38" x14ac:dyDescent="0.25">
      <c r="D252" s="6">
        <f ca="1"/>
        <v>45708</v>
      </c>
      <c r="E252" s="28" cm="1">
        <f t="array" aca="1" ref="E252" ca="1">_xll.FDS($E$7,"P_PRICE("&amp;D252&amp;",0,D,D)")</f>
        <v>102.58</v>
      </c>
      <c r="F252" s="29" cm="1">
        <f t="array" aca="1" ref="F252" ca="1">_xll.FDS($E$7,"P_BETA_LOCIDX("&amp;$AG252&amp;","&amp;$AL252&amp;",,"""&amp;$E$9&amp;""")")</f>
        <v>1.0830515999999999</v>
      </c>
      <c r="G252" s="30">
        <f t="shared" ca="1" si="52"/>
        <v>-2.7466674244989865E-2</v>
      </c>
      <c r="H252" s="30">
        <f t="shared" ca="1" si="52"/>
        <v>4.0240678060484789E-3</v>
      </c>
      <c r="I252" s="30">
        <f t="shared" ca="1" si="52"/>
        <v>1.6882943543551094E-2</v>
      </c>
      <c r="J252" s="30">
        <f t="shared" ca="1" si="52"/>
        <v>-1.2930002215185935E-2</v>
      </c>
      <c r="K252" s="30">
        <f t="shared" ca="1" si="53"/>
        <v>1.173073104790682E-2</v>
      </c>
      <c r="L252" s="30">
        <f t="shared" ca="1" si="53"/>
        <v>1.0013101035390872E-2</v>
      </c>
      <c r="M252" s="30">
        <f t="shared" ca="1" si="53"/>
        <v>5.5430506755258903E-3</v>
      </c>
      <c r="N252" s="30">
        <f t="shared" ca="1" si="53"/>
        <v>3.6682497225165825E-2</v>
      </c>
      <c r="O252" s="30">
        <f t="shared" ca="1" si="54"/>
        <v>-1.5735943197083047E-2</v>
      </c>
      <c r="P252" s="30">
        <f t="shared" ca="1" si="55"/>
        <v>1.4037168841439351E-2</v>
      </c>
      <c r="Q252" s="30">
        <f t="shared" ca="1" si="56"/>
        <v>2.2425994219076983E-2</v>
      </c>
      <c r="R252" s="30">
        <f t="shared" ca="1" si="57"/>
        <v>2.375249500997989E-2</v>
      </c>
      <c r="S252" s="9" cm="1">
        <f t="array" aca="1" ref="S252" ca="1">_xll.FDS($E$7,"P_PRICE("&amp;AG252&amp;",0,D,D)")</f>
        <v>102.58</v>
      </c>
      <c r="T252" s="9" cm="1">
        <f t="array" aca="1" ref="T252" ca="1">_xll.FDS($E$7,"P_PRICE("&amp;AH252&amp;",0,D,D)")</f>
        <v>104.22</v>
      </c>
      <c r="U252" s="9" cm="1">
        <f t="array" aca="1" ref="U252" ca="1">_xll.FDS($E$7,"P_PRICE("&amp;AI252&amp;",0,D,D)")</f>
        <v>101.16</v>
      </c>
      <c r="V252" s="9" cm="1">
        <f t="array" aca="1" ref="V252" ca="1">_xll.FDS($E$7,"P_PRICE("&amp;AJ252&amp;",0,D,D)")</f>
        <v>100.33</v>
      </c>
      <c r="W252" s="9" cm="1">
        <f t="array" aca="1" ref="W252" ca="1">_xll.FDS($E$7,"P_PRICE("&amp;AK252&amp;",0,D,D)")</f>
        <v>100.2</v>
      </c>
      <c r="X252" s="24">
        <f t="shared" ca="1" si="58"/>
        <v>1.083118389549198E-2</v>
      </c>
      <c r="Y252" s="24">
        <f t="shared" ca="1" si="59"/>
        <v>9.2452668325229137E-3</v>
      </c>
      <c r="Z252" s="24">
        <f t="shared" ca="1" si="60"/>
        <v>5.1179931551976754E-3</v>
      </c>
      <c r="AA252" s="24">
        <f t="shared" ca="1" si="61"/>
        <v>3.3869574843124584E-2</v>
      </c>
      <c r="AB252" s="9" cm="1">
        <f t="array" aca="1" ref="AB252" ca="1">_xll.FDS($E$9,"P_PRICE("&amp;AG252&amp;",0,D,D)")</f>
        <v>6117.52</v>
      </c>
      <c r="AC252" s="9" cm="1">
        <f t="array" aca="1" ref="AC252" ca="1">_xll.FDS($E$9,"P_PRICE("&amp;AH252&amp;",0,D,D)")</f>
        <v>6051.97</v>
      </c>
      <c r="AD252" s="9" cm="1">
        <f t="array" aca="1" ref="AD252" ca="1">_xll.FDS($E$9,"P_PRICE("&amp;AI252&amp;",0,D,D)")</f>
        <v>6061.48</v>
      </c>
      <c r="AE252" s="9" cm="1">
        <f t="array" aca="1" ref="AE252" ca="1">_xll.FDS($E$9,"P_PRICE("&amp;AJ252&amp;",0,D,D)")</f>
        <v>6086.37</v>
      </c>
      <c r="AF252" s="9" cm="1">
        <f t="array" aca="1" ref="AF252" ca="1">_xll.FDS($E$9,"P_PRICE("&amp;AK252&amp;",0,D,D)")</f>
        <v>5917.11</v>
      </c>
      <c r="AG252" s="20">
        <f t="shared" ca="1" si="67"/>
        <v>45708</v>
      </c>
      <c r="AH252" s="22">
        <f t="shared" ca="1" si="62"/>
        <v>45700</v>
      </c>
      <c r="AI252" s="22">
        <f t="shared" ca="1" si="63"/>
        <v>45693</v>
      </c>
      <c r="AJ252" s="22">
        <f t="shared" ca="1" si="64"/>
        <v>45679</v>
      </c>
      <c r="AK252" s="22">
        <f t="shared" ca="1" si="65"/>
        <v>45616</v>
      </c>
      <c r="AL252" s="22">
        <f t="shared" ca="1" si="66"/>
        <v>45531</v>
      </c>
    </row>
    <row r="253" spans="4:38" x14ac:dyDescent="0.25">
      <c r="D253" s="6">
        <f ca="1"/>
        <v>45707</v>
      </c>
      <c r="E253" s="28" cm="1">
        <f t="array" aca="1" ref="E253" ca="1">_xll.FDS($E$7,"P_PRICE("&amp;D253&amp;",0,D,D)")</f>
        <v>106.1</v>
      </c>
      <c r="F253" s="29" cm="1">
        <f t="array" aca="1" ref="F253" ca="1">_xll.FDS($E$7,"P_BETA_LOCIDX("&amp;$AG253&amp;","&amp;$AL253&amp;",,"""&amp;$E$9&amp;""")")</f>
        <v>1.0625163</v>
      </c>
      <c r="G253" s="30">
        <f t="shared" ca="1" si="52"/>
        <v>1.7051803049029996E-2</v>
      </c>
      <c r="H253" s="30">
        <f t="shared" ca="1" si="52"/>
        <v>5.7254915707899388E-2</v>
      </c>
      <c r="I253" s="30">
        <f t="shared" ca="1" si="52"/>
        <v>5.1916539112244711E-2</v>
      </c>
      <c r="J253" s="30">
        <f t="shared" ca="1" si="52"/>
        <v>2.2439710652683818E-2</v>
      </c>
      <c r="K253" s="30">
        <f t="shared" ca="1" si="53"/>
        <v>1.3245342027683776E-2</v>
      </c>
      <c r="L253" s="30">
        <f t="shared" ca="1" si="53"/>
        <v>1.8700869709401137E-2</v>
      </c>
      <c r="M253" s="30">
        <f t="shared" ca="1" si="53"/>
        <v>1.6670428356785325E-2</v>
      </c>
      <c r="N253" s="30">
        <f t="shared" ca="1" si="53"/>
        <v>4.0793078203914847E-2</v>
      </c>
      <c r="O253" s="30">
        <f t="shared" ca="1" si="54"/>
        <v>3.0297145076713772E-2</v>
      </c>
      <c r="P253" s="30">
        <f t="shared" ca="1" si="55"/>
        <v>7.5955785417300525E-2</v>
      </c>
      <c r="Q253" s="30">
        <f t="shared" ca="1" si="56"/>
        <v>6.8586967469030036E-2</v>
      </c>
      <c r="R253" s="30">
        <f t="shared" ca="1" si="57"/>
        <v>6.3232788856598665E-2</v>
      </c>
      <c r="S253" s="9" cm="1">
        <f t="array" aca="1" ref="S253" ca="1">_xll.FDS($E$7,"P_PRICE("&amp;AG253&amp;",0,D,D)")</f>
        <v>106.1</v>
      </c>
      <c r="T253" s="9" cm="1">
        <f t="array" aca="1" ref="T253" ca="1">_xll.FDS($E$7,"P_PRICE("&amp;AH253&amp;",0,D,D)")</f>
        <v>102.98</v>
      </c>
      <c r="U253" s="9" cm="1">
        <f t="array" aca="1" ref="U253" ca="1">_xll.FDS($E$7,"P_PRICE("&amp;AI253&amp;",0,D,D)")</f>
        <v>98.61</v>
      </c>
      <c r="V253" s="9" cm="1">
        <f t="array" aca="1" ref="V253" ca="1">_xll.FDS($E$7,"P_PRICE("&amp;AJ253&amp;",0,D,D)")</f>
        <v>99.29</v>
      </c>
      <c r="W253" s="9" cm="1">
        <f t="array" aca="1" ref="W253" ca="1">_xll.FDS($E$7,"P_PRICE("&amp;AK253&amp;",0,D,D)")</f>
        <v>99.79</v>
      </c>
      <c r="X253" s="24">
        <f t="shared" ca="1" si="58"/>
        <v>1.2466013018043842E-2</v>
      </c>
      <c r="Y253" s="24">
        <f t="shared" ca="1" si="59"/>
        <v>1.7600548536903515E-2</v>
      </c>
      <c r="Z253" s="24">
        <f t="shared" ca="1" si="60"/>
        <v>1.5689574227506276E-2</v>
      </c>
      <c r="AA253" s="24">
        <f t="shared" ca="1" si="61"/>
        <v>3.8392896376191921E-2</v>
      </c>
      <c r="AB253" s="9" cm="1">
        <f t="array" aca="1" ref="AB253" ca="1">_xll.FDS($E$9,"P_PRICE("&amp;AG253&amp;",0,D,D)")</f>
        <v>6144.15</v>
      </c>
      <c r="AC253" s="9" cm="1">
        <f t="array" aca="1" ref="AC253" ca="1">_xll.FDS($E$9,"P_PRICE("&amp;AH253&amp;",0,D,D)")</f>
        <v>6068.5</v>
      </c>
      <c r="AD253" s="9" cm="1">
        <f t="array" aca="1" ref="AD253" ca="1">_xll.FDS($E$9,"P_PRICE("&amp;AI253&amp;",0,D,D)")</f>
        <v>6037.88</v>
      </c>
      <c r="AE253" s="9" cm="1">
        <f t="array" aca="1" ref="AE253" ca="1">_xll.FDS($E$9,"P_PRICE("&amp;AJ253&amp;",0,D,D)")</f>
        <v>6049.24</v>
      </c>
      <c r="AF253" s="9" cm="1">
        <f t="array" aca="1" ref="AF253" ca="1">_xll.FDS($E$9,"P_PRICE("&amp;AK253&amp;",0,D,D)")</f>
        <v>5916.98</v>
      </c>
      <c r="AG253" s="20">
        <f t="shared" ca="1" si="67"/>
        <v>45707</v>
      </c>
      <c r="AH253" s="22">
        <f t="shared" ca="1" si="62"/>
        <v>45699</v>
      </c>
      <c r="AI253" s="22">
        <f t="shared" ca="1" si="63"/>
        <v>45692</v>
      </c>
      <c r="AJ253" s="22">
        <f t="shared" ca="1" si="64"/>
        <v>45678</v>
      </c>
      <c r="AK253" s="22">
        <f t="shared" ca="1" si="65"/>
        <v>45615</v>
      </c>
      <c r="AL253" s="22">
        <f t="shared" ca="1" si="66"/>
        <v>45530</v>
      </c>
    </row>
    <row r="254" spans="4:38" x14ac:dyDescent="0.25">
      <c r="D254" s="6">
        <f ca="1"/>
        <v>45706</v>
      </c>
      <c r="E254" s="28" cm="1">
        <f t="array" aca="1" ref="E254" ca="1">_xll.FDS($E$7,"P_PRICE("&amp;D254&amp;",0,D,D)")</f>
        <v>110.51</v>
      </c>
      <c r="F254" s="29" cm="1">
        <f t="array" aca="1" ref="F254" ca="1">_xll.FDS($E$7,"P_BETA_LOCIDX("&amp;$AG254&amp;","&amp;$AL254&amp;",,"""&amp;$E$9&amp;""")")</f>
        <v>1.0859075</v>
      </c>
      <c r="G254" s="30">
        <f t="shared" ca="1" si="52"/>
        <v>7.1386137716459894E-2</v>
      </c>
      <c r="H254" s="30">
        <f t="shared" ca="1" si="52"/>
        <v>0.11084209007057257</v>
      </c>
      <c r="I254" s="30">
        <f t="shared" ca="1" si="52"/>
        <v>0.10646721468817144</v>
      </c>
      <c r="J254" s="30">
        <f t="shared" ca="1" si="52"/>
        <v>6.5505484129918967E-2</v>
      </c>
      <c r="K254" s="30">
        <f t="shared" ca="1" si="53"/>
        <v>1.1302213415116683E-2</v>
      </c>
      <c r="L254" s="30">
        <f t="shared" ca="1" si="53"/>
        <v>2.4456862055994056E-2</v>
      </c>
      <c r="M254" s="30">
        <f t="shared" ca="1" si="53"/>
        <v>2.4069869710805606E-2</v>
      </c>
      <c r="N254" s="30">
        <f t="shared" ca="1" si="53"/>
        <v>4.3475950892660098E-2</v>
      </c>
      <c r="O254" s="30">
        <f t="shared" ca="1" si="54"/>
        <v>8.2688351131576576E-2</v>
      </c>
      <c r="P254" s="30">
        <f t="shared" ca="1" si="55"/>
        <v>0.13529895212656662</v>
      </c>
      <c r="Q254" s="30">
        <f t="shared" ca="1" si="56"/>
        <v>0.13053708439897704</v>
      </c>
      <c r="R254" s="30">
        <f t="shared" ca="1" si="57"/>
        <v>0.10898143502257907</v>
      </c>
      <c r="S254" s="9" cm="1">
        <f t="array" aca="1" ref="S254" ca="1">_xll.FDS($E$7,"P_PRICE("&amp;AG254&amp;",0,D,D)")</f>
        <v>110.51</v>
      </c>
      <c r="T254" s="9" cm="1">
        <f t="array" aca="1" ref="T254" ca="1">_xll.FDS($E$7,"P_PRICE("&amp;AH254&amp;",0,D,D)")</f>
        <v>102.07</v>
      </c>
      <c r="U254" s="9" cm="1">
        <f t="array" aca="1" ref="U254" ca="1">_xll.FDS($E$7,"P_PRICE("&amp;AI254&amp;",0,D,D)")</f>
        <v>97.34</v>
      </c>
      <c r="V254" s="9" cm="1">
        <f t="array" aca="1" ref="V254" ca="1">_xll.FDS($E$7,"P_PRICE("&amp;AJ254&amp;",0,D,D)")</f>
        <v>97.75</v>
      </c>
      <c r="W254" s="9" cm="1">
        <f t="array" aca="1" ref="W254" ca="1">_xll.FDS($E$7,"P_PRICE("&amp;AK254&amp;",0,D,D)")</f>
        <v>99.65</v>
      </c>
      <c r="X254" s="24">
        <f t="shared" ca="1" si="58"/>
        <v>1.0408081181055184E-2</v>
      </c>
      <c r="Y254" s="24">
        <f t="shared" ca="1" si="59"/>
        <v>2.2522049121121324E-2</v>
      </c>
      <c r="Z254" s="24">
        <f t="shared" ca="1" si="60"/>
        <v>2.2165672224204735E-2</v>
      </c>
      <c r="AA254" s="24">
        <f t="shared" ca="1" si="61"/>
        <v>4.0036514060967532E-2</v>
      </c>
      <c r="AB254" s="9" cm="1">
        <f t="array" aca="1" ref="AB254" ca="1">_xll.FDS($E$9,"P_PRICE("&amp;AG254&amp;",0,D,D)")</f>
        <v>6129.58</v>
      </c>
      <c r="AC254" s="9" cm="1">
        <f t="array" aca="1" ref="AC254" ca="1">_xll.FDS($E$9,"P_PRICE("&amp;AH254&amp;",0,D,D)")</f>
        <v>6066.44</v>
      </c>
      <c r="AD254" s="9" cm="1">
        <f t="array" aca="1" ref="AD254" ca="1">_xll.FDS($E$9,"P_PRICE("&amp;AI254&amp;",0,D,D)")</f>
        <v>5994.57</v>
      </c>
      <c r="AE254" s="9" cm="1">
        <f t="array" aca="1" ref="AE254" ca="1">_xll.FDS($E$9,"P_PRICE("&amp;AJ254&amp;",0,D,D)")</f>
        <v>5996.66</v>
      </c>
      <c r="AF254" s="9" cm="1">
        <f t="array" aca="1" ref="AF254" ca="1">_xll.FDS($E$9,"P_PRICE("&amp;AK254&amp;",0,D,D)")</f>
        <v>5893.62</v>
      </c>
      <c r="AG254" s="20">
        <f t="shared" ca="1" si="67"/>
        <v>45706</v>
      </c>
      <c r="AH254" s="22">
        <f t="shared" ca="1" si="62"/>
        <v>45698</v>
      </c>
      <c r="AI254" s="22">
        <f t="shared" ca="1" si="63"/>
        <v>45691</v>
      </c>
      <c r="AJ254" s="22">
        <f t="shared" ca="1" si="64"/>
        <v>45674</v>
      </c>
      <c r="AK254" s="22">
        <f t="shared" ca="1" si="65"/>
        <v>45614</v>
      </c>
      <c r="AL254" s="22">
        <f t="shared" ca="1" si="66"/>
        <v>45527</v>
      </c>
    </row>
    <row r="255" spans="4:38" x14ac:dyDescent="0.25">
      <c r="D255" s="6">
        <f ca="1"/>
        <v>45702</v>
      </c>
      <c r="E255" s="28" cm="1">
        <f t="array" aca="1" ref="E255" ca="1">_xll.FDS($E$7,"P_PRICE("&amp;D255&amp;",0,D,D)")</f>
        <v>108.3</v>
      </c>
      <c r="F255" s="29" cm="1">
        <f t="array" aca="1" ref="F255" ca="1">_xll.FDS($E$7,"P_BETA_LOCIDX("&amp;$AG255&amp;","&amp;$AL255&amp;",,"""&amp;$E$9&amp;""")")</f>
        <v>1.0605674</v>
      </c>
      <c r="G255" s="30">
        <f t="shared" ca="1" si="52"/>
        <v>3.2396364039359873E-2</v>
      </c>
      <c r="H255" s="30">
        <f t="shared" ca="1" si="52"/>
        <v>8.0597873574127871E-2</v>
      </c>
      <c r="I255" s="30">
        <f t="shared" ca="1" si="52"/>
        <v>0.10129497301092028</v>
      </c>
      <c r="J255" s="30">
        <f t="shared" ca="1" si="52"/>
        <v>5.7759424666899511E-2</v>
      </c>
      <c r="K255" s="30">
        <f t="shared" ca="1" si="53"/>
        <v>1.5600539386225503E-2</v>
      </c>
      <c r="L255" s="30">
        <f t="shared" ca="1" si="53"/>
        <v>1.3010124002363987E-2</v>
      </c>
      <c r="M255" s="30">
        <f t="shared" ca="1" si="53"/>
        <v>3.1668726120787978E-2</v>
      </c>
      <c r="N255" s="30">
        <f t="shared" ca="1" si="53"/>
        <v>4.4082064803036253E-2</v>
      </c>
      <c r="O255" s="30">
        <f t="shared" ca="1" si="54"/>
        <v>4.799690342558538E-2</v>
      </c>
      <c r="P255" s="30">
        <f t="shared" ca="1" si="55"/>
        <v>9.3607997576491853E-2</v>
      </c>
      <c r="Q255" s="30">
        <f t="shared" ca="1" si="56"/>
        <v>0.13296369913170825</v>
      </c>
      <c r="R255" s="30">
        <f t="shared" ca="1" si="57"/>
        <v>0.10184148946993576</v>
      </c>
      <c r="S255" s="9" cm="1">
        <f t="array" aca="1" ref="S255" ca="1">_xll.FDS($E$7,"P_PRICE("&amp;AG255&amp;",0,D,D)")</f>
        <v>108.3</v>
      </c>
      <c r="T255" s="9" cm="1">
        <f t="array" aca="1" ref="T255" ca="1">_xll.FDS($E$7,"P_PRICE("&amp;AH255&amp;",0,D,D)")</f>
        <v>103.34</v>
      </c>
      <c r="U255" s="9" cm="1">
        <f t="array" aca="1" ref="U255" ca="1">_xll.FDS($E$7,"P_PRICE("&amp;AI255&amp;",0,D,D)")</f>
        <v>99.03</v>
      </c>
      <c r="V255" s="9" cm="1">
        <f t="array" aca="1" ref="V255" ca="1">_xll.FDS($E$7,"P_PRICE("&amp;AJ255&amp;",0,D,D)")</f>
        <v>95.59</v>
      </c>
      <c r="W255" s="9" cm="1">
        <f t="array" aca="1" ref="W255" ca="1">_xll.FDS($E$7,"P_PRICE("&amp;AK255&amp;",0,D,D)")</f>
        <v>98.29</v>
      </c>
      <c r="X255" s="24">
        <f t="shared" ca="1" si="58"/>
        <v>1.4709616179250373E-2</v>
      </c>
      <c r="Y255" s="24">
        <f t="shared" ca="1" si="59"/>
        <v>1.2267135499699489E-2</v>
      </c>
      <c r="Z255" s="24">
        <f t="shared" ca="1" si="60"/>
        <v>2.9860173074137464E-2</v>
      </c>
      <c r="AA255" s="24">
        <f t="shared" ca="1" si="61"/>
        <v>4.156460476065571E-2</v>
      </c>
      <c r="AB255" s="9" cm="1">
        <f t="array" aca="1" ref="AB255" ca="1">_xll.FDS($E$9,"P_PRICE("&amp;AG255&amp;",0,D,D)")</f>
        <v>6114.63</v>
      </c>
      <c r="AC255" s="9" cm="1">
        <f t="array" aca="1" ref="AC255" ca="1">_xll.FDS($E$9,"P_PRICE("&amp;AH255&amp;",0,D,D)")</f>
        <v>6025.99</v>
      </c>
      <c r="AD255" s="9" cm="1">
        <f t="array" aca="1" ref="AD255" ca="1">_xll.FDS($E$9,"P_PRICE("&amp;AI255&amp;",0,D,D)")</f>
        <v>6040.53</v>
      </c>
      <c r="AE255" s="9" cm="1">
        <f t="array" aca="1" ref="AE255" ca="1">_xll.FDS($E$9,"P_PRICE("&amp;AJ255&amp;",0,D,D)")</f>
        <v>5937.34</v>
      </c>
      <c r="AF255" s="9" cm="1">
        <f t="array" aca="1" ref="AF255" ca="1">_xll.FDS($E$9,"P_PRICE("&amp;AK255&amp;",0,D,D)")</f>
        <v>5870.62</v>
      </c>
      <c r="AG255" s="20">
        <f t="shared" ca="1" si="67"/>
        <v>45702</v>
      </c>
      <c r="AH255" s="22">
        <f t="shared" ca="1" si="62"/>
        <v>45695</v>
      </c>
      <c r="AI255" s="22">
        <f t="shared" ca="1" si="63"/>
        <v>45688</v>
      </c>
      <c r="AJ255" s="22">
        <f t="shared" ca="1" si="64"/>
        <v>45673</v>
      </c>
      <c r="AK255" s="22">
        <f t="shared" ca="1" si="65"/>
        <v>45611</v>
      </c>
      <c r="AL255" s="22">
        <f t="shared" ca="1" si="66"/>
        <v>45526</v>
      </c>
    </row>
    <row r="256" spans="4:38" x14ac:dyDescent="0.25">
      <c r="D256" s="6">
        <f ca="1"/>
        <v>45701</v>
      </c>
      <c r="E256" s="28" cm="1">
        <f t="array" aca="1" ref="E256" ca="1">_xll.FDS($E$7,"P_PRICE("&amp;D256&amp;",0,D,D)")</f>
        <v>106.5</v>
      </c>
      <c r="F256" s="29" cm="1">
        <f t="array" aca="1" ref="F256" ca="1">_xll.FDS($E$7,"P_BETA_LOCIDX("&amp;$AG256&amp;","&amp;$AL256&amp;",,"""&amp;$E$9&amp;""")")</f>
        <v>1.070991</v>
      </c>
      <c r="G256" s="30">
        <f t="shared" ca="1" si="52"/>
        <v>6.9081916070962207E-3</v>
      </c>
      <c r="H256" s="30">
        <f t="shared" ca="1" si="52"/>
        <v>5.9496981796149526E-2</v>
      </c>
      <c r="I256" s="30">
        <f t="shared" ca="1" si="52"/>
        <v>8.2542540609471929E-2</v>
      </c>
      <c r="J256" s="30">
        <f t="shared" ca="1" si="52"/>
        <v>3.6520386964339693E-2</v>
      </c>
      <c r="K256" s="30">
        <f t="shared" ca="1" si="53"/>
        <v>5.5454636833306365E-3</v>
      </c>
      <c r="L256" s="30">
        <f t="shared" ca="1" si="53"/>
        <v>7.7442247375711527E-3</v>
      </c>
      <c r="M256" s="30">
        <f t="shared" ca="1" si="53"/>
        <v>2.9728999860501967E-2</v>
      </c>
      <c r="N256" s="30">
        <f t="shared" ca="1" si="53"/>
        <v>2.9865915228510887E-2</v>
      </c>
      <c r="O256" s="30">
        <f t="shared" ca="1" si="54"/>
        <v>1.2453655290426857E-2</v>
      </c>
      <c r="P256" s="30">
        <f t="shared" ca="1" si="55"/>
        <v>6.7241206533720677E-2</v>
      </c>
      <c r="Q256" s="30">
        <f t="shared" ca="1" si="56"/>
        <v>0.1122715404699739</v>
      </c>
      <c r="R256" s="30">
        <f t="shared" ca="1" si="57"/>
        <v>6.6386302192850577E-2</v>
      </c>
      <c r="S256" s="9" cm="1">
        <f t="array" aca="1" ref="S256" ca="1">_xll.FDS($E$7,"P_PRICE("&amp;AG256&amp;",0,D,D)")</f>
        <v>106.5</v>
      </c>
      <c r="T256" s="9" cm="1">
        <f t="array" aca="1" ref="T256" ca="1">_xll.FDS($E$7,"P_PRICE("&amp;AH256&amp;",0,D,D)")</f>
        <v>105.19</v>
      </c>
      <c r="U256" s="9" cm="1">
        <f t="array" aca="1" ref="U256" ca="1">_xll.FDS($E$7,"P_PRICE("&amp;AI256&amp;",0,D,D)")</f>
        <v>99.79</v>
      </c>
      <c r="V256" s="9" cm="1">
        <f t="array" aca="1" ref="V256" ca="1">_xll.FDS($E$7,"P_PRICE("&amp;AJ256&amp;",0,D,D)")</f>
        <v>95.75</v>
      </c>
      <c r="W256" s="9" cm="1">
        <f t="array" aca="1" ref="W256" ca="1">_xll.FDS($E$7,"P_PRICE("&amp;AK256&amp;",0,D,D)")</f>
        <v>99.87</v>
      </c>
      <c r="X256" s="24">
        <f t="shared" ca="1" si="58"/>
        <v>5.1778807509406111E-3</v>
      </c>
      <c r="Y256" s="24">
        <f t="shared" ca="1" si="59"/>
        <v>7.2308961864022692E-3</v>
      </c>
      <c r="Z256" s="24">
        <f t="shared" ca="1" si="60"/>
        <v>2.775840306828159E-2</v>
      </c>
      <c r="AA256" s="24">
        <f t="shared" ca="1" si="61"/>
        <v>2.7886242954899609E-2</v>
      </c>
      <c r="AB256" s="9" cm="1">
        <f t="array" aca="1" ref="AB256" ca="1">_xll.FDS($E$9,"P_PRICE("&amp;AG256&amp;",0,D,D)")</f>
        <v>6115.07</v>
      </c>
      <c r="AC256" s="9" cm="1">
        <f t="array" aca="1" ref="AC256" ca="1">_xll.FDS($E$9,"P_PRICE("&amp;AH256&amp;",0,D,D)")</f>
        <v>6083.57</v>
      </c>
      <c r="AD256" s="9" cm="1">
        <f t="array" aca="1" ref="AD256" ca="1">_xll.FDS($E$9,"P_PRICE("&amp;AI256&amp;",0,D,D)")</f>
        <v>6071.17</v>
      </c>
      <c r="AE256" s="9" cm="1">
        <f t="array" aca="1" ref="AE256" ca="1">_xll.FDS($E$9,"P_PRICE("&amp;AJ256&amp;",0,D,D)")</f>
        <v>5949.91</v>
      </c>
      <c r="AF256" s="9" cm="1">
        <f t="array" aca="1" ref="AF256" ca="1">_xll.FDS($E$9,"P_PRICE("&amp;AK256&amp;",0,D,D)")</f>
        <v>5949.17</v>
      </c>
      <c r="AG256" s="20">
        <f t="shared" ca="1" si="67"/>
        <v>45701</v>
      </c>
      <c r="AH256" s="22">
        <f t="shared" ca="1" si="62"/>
        <v>45694</v>
      </c>
      <c r="AI256" s="22">
        <f t="shared" ca="1" si="63"/>
        <v>45687</v>
      </c>
      <c r="AJ256" s="22">
        <f t="shared" ca="1" si="64"/>
        <v>45672</v>
      </c>
      <c r="AK256" s="22">
        <f t="shared" ca="1" si="65"/>
        <v>45610</v>
      </c>
      <c r="AL256" s="22">
        <f t="shared" ca="1" si="66"/>
        <v>45525</v>
      </c>
    </row>
    <row r="257" spans="4:38" x14ac:dyDescent="0.25">
      <c r="D257" s="6">
        <f ca="1"/>
        <v>45700</v>
      </c>
      <c r="E257" s="28" cm="1">
        <f t="array" aca="1" ref="E257" ca="1">_xll.FDS($E$7,"P_PRICE("&amp;D257&amp;",0,D,D)")</f>
        <v>104.22</v>
      </c>
      <c r="F257" s="29" cm="1">
        <f t="array" aca="1" ref="F257" ca="1">_xll.FDS($E$7,"P_BETA_LOCIDX("&amp;$AG257&amp;","&amp;$AL257&amp;",,"""&amp;$E$9&amp;""")")</f>
        <v>1.0569854999999999</v>
      </c>
      <c r="G257" s="30">
        <f t="shared" ca="1" si="52"/>
        <v>3.1907439986471706E-2</v>
      </c>
      <c r="H257" s="30">
        <f t="shared" ca="1" si="52"/>
        <v>4.9555394437953863E-2</v>
      </c>
      <c r="I257" s="30">
        <f t="shared" ca="1" si="52"/>
        <v>8.6574074179845181E-2</v>
      </c>
      <c r="J257" s="30">
        <f t="shared" ca="1" si="52"/>
        <v>3.9057265693123656E-2</v>
      </c>
      <c r="K257" s="30">
        <f t="shared" ca="1" si="53"/>
        <v>-1.6583296661870474E-3</v>
      </c>
      <c r="L257" s="30">
        <f t="shared" ca="1" si="53"/>
        <v>2.2157227282586611E-3</v>
      </c>
      <c r="M257" s="30">
        <f t="shared" ca="1" si="53"/>
        <v>3.7819064238538661E-2</v>
      </c>
      <c r="N257" s="30">
        <f t="shared" ca="1" si="53"/>
        <v>1.1759431221576707E-2</v>
      </c>
      <c r="O257" s="30">
        <f t="shared" ca="1" si="54"/>
        <v>3.0249110320284656E-2</v>
      </c>
      <c r="P257" s="30">
        <f t="shared" ca="1" si="55"/>
        <v>5.1771117166212521E-2</v>
      </c>
      <c r="Q257" s="30">
        <f t="shared" ca="1" si="56"/>
        <v>0.12439313841838384</v>
      </c>
      <c r="R257" s="30">
        <f t="shared" ca="1" si="57"/>
        <v>5.0816696914700366E-2</v>
      </c>
      <c r="S257" s="9" cm="1">
        <f t="array" aca="1" ref="S257" ca="1">_xll.FDS($E$7,"P_PRICE("&amp;AG257&amp;",0,D,D)")</f>
        <v>104.22</v>
      </c>
      <c r="T257" s="9" cm="1">
        <f t="array" aca="1" ref="T257" ca="1">_xll.FDS($E$7,"P_PRICE("&amp;AH257&amp;",0,D,D)")</f>
        <v>101.16</v>
      </c>
      <c r="U257" s="9" cm="1">
        <f t="array" aca="1" ref="U257" ca="1">_xll.FDS($E$7,"P_PRICE("&amp;AI257&amp;",0,D,D)")</f>
        <v>99.09</v>
      </c>
      <c r="V257" s="9" cm="1">
        <f t="array" aca="1" ref="V257" ca="1">_xll.FDS($E$7,"P_PRICE("&amp;AJ257&amp;",0,D,D)")</f>
        <v>92.69</v>
      </c>
      <c r="W257" s="9" cm="1">
        <f t="array" aca="1" ref="W257" ca="1">_xll.FDS($E$7,"P_PRICE("&amp;AK257&amp;",0,D,D)")</f>
        <v>99.18</v>
      </c>
      <c r="X257" s="24">
        <f t="shared" ca="1" si="58"/>
        <v>-1.5689237611935525E-3</v>
      </c>
      <c r="Y257" s="24">
        <f t="shared" ca="1" si="59"/>
        <v>2.0962659641581283E-3</v>
      </c>
      <c r="Z257" s="24">
        <f t="shared" ca="1" si="60"/>
        <v>3.5780116414594776E-2</v>
      </c>
      <c r="AA257" s="24">
        <f t="shared" ca="1" si="61"/>
        <v>1.1125442327805546E-2</v>
      </c>
      <c r="AB257" s="9" cm="1">
        <f t="array" aca="1" ref="AB257" ca="1">_xll.FDS($E$9,"P_PRICE("&amp;AG257&amp;",0,D,D)")</f>
        <v>6051.97</v>
      </c>
      <c r="AC257" s="9" cm="1">
        <f t="array" aca="1" ref="AC257" ca="1">_xll.FDS($E$9,"P_PRICE("&amp;AH257&amp;",0,D,D)")</f>
        <v>6061.48</v>
      </c>
      <c r="AD257" s="9" cm="1">
        <f t="array" aca="1" ref="AD257" ca="1">_xll.FDS($E$9,"P_PRICE("&amp;AI257&amp;",0,D,D)")</f>
        <v>6039.31</v>
      </c>
      <c r="AE257" s="9" cm="1">
        <f t="array" aca="1" ref="AE257" ca="1">_xll.FDS($E$9,"P_PRICE("&amp;AJ257&amp;",0,D,D)")</f>
        <v>5842.91</v>
      </c>
      <c r="AF257" s="9" cm="1">
        <f t="array" aca="1" ref="AF257" ca="1">_xll.FDS($E$9,"P_PRICE("&amp;AK257&amp;",0,D,D)")</f>
        <v>5985.38</v>
      </c>
      <c r="AG257" s="20">
        <f t="shared" ca="1" si="67"/>
        <v>45700</v>
      </c>
      <c r="AH257" s="22">
        <f t="shared" ca="1" si="62"/>
        <v>45693</v>
      </c>
      <c r="AI257" s="22">
        <f t="shared" ca="1" si="63"/>
        <v>45686</v>
      </c>
      <c r="AJ257" s="22">
        <f t="shared" ca="1" si="64"/>
        <v>45671</v>
      </c>
      <c r="AK257" s="22">
        <f t="shared" ca="1" si="65"/>
        <v>45609</v>
      </c>
      <c r="AL257" s="22">
        <f t="shared" ca="1" si="66"/>
        <v>45524</v>
      </c>
    </row>
    <row r="258" spans="4:38" x14ac:dyDescent="0.25">
      <c r="D258" s="6">
        <f ca="1"/>
        <v>45699</v>
      </c>
      <c r="E258" s="28" cm="1">
        <f t="array" aca="1" ref="E258" ca="1">_xll.FDS($E$7,"P_PRICE("&amp;D258&amp;",0,D,D)")</f>
        <v>102.98</v>
      </c>
      <c r="F258" s="29" cm="1">
        <f t="array" aca="1" ref="F258" ca="1">_xll.FDS($E$7,"P_BETA_LOCIDX("&amp;$AG258&amp;","&amp;$AL258&amp;",,"""&amp;$E$9&amp;""")")</f>
        <v>1.0611273999999999</v>
      </c>
      <c r="G258" s="30">
        <f t="shared" ca="1" si="52"/>
        <v>3.8934679483076724E-2</v>
      </c>
      <c r="H258" s="30">
        <f t="shared" ca="1" si="52"/>
        <v>4.5130090881980924E-2</v>
      </c>
      <c r="I258" s="30">
        <f t="shared" ca="1" si="52"/>
        <v>8.2617221235779775E-2</v>
      </c>
      <c r="J258" s="30">
        <f t="shared" ca="1" si="52"/>
        <v>1.3271646595394329E-2</v>
      </c>
      <c r="K258" s="30">
        <f t="shared" ca="1" si="53"/>
        <v>5.3813128097941407E-3</v>
      </c>
      <c r="L258" s="30">
        <f t="shared" ca="1" si="53"/>
        <v>1.3990505792984133E-4</v>
      </c>
      <c r="M258" s="30">
        <f t="shared" ca="1" si="53"/>
        <v>4.2232587611844639E-2</v>
      </c>
      <c r="N258" s="30">
        <f t="shared" ca="1" si="53"/>
        <v>1.4985966984236307E-2</v>
      </c>
      <c r="O258" s="30">
        <f t="shared" ca="1" si="54"/>
        <v>4.4315992292870865E-2</v>
      </c>
      <c r="P258" s="30">
        <f t="shared" ca="1" si="55"/>
        <v>4.5269995939910768E-2</v>
      </c>
      <c r="Q258" s="30">
        <f t="shared" ca="1" si="56"/>
        <v>0.12484980884762442</v>
      </c>
      <c r="R258" s="30">
        <f t="shared" ca="1" si="57"/>
        <v>2.8257613579630636E-2</v>
      </c>
      <c r="S258" s="9" cm="1">
        <f t="array" aca="1" ref="S258" ca="1">_xll.FDS($E$7,"P_PRICE("&amp;AG258&amp;",0,D,D)")</f>
        <v>102.98</v>
      </c>
      <c r="T258" s="9" cm="1">
        <f t="array" aca="1" ref="T258" ca="1">_xll.FDS($E$7,"P_PRICE("&amp;AH258&amp;",0,D,D)")</f>
        <v>98.61</v>
      </c>
      <c r="U258" s="9" cm="1">
        <f t="array" aca="1" ref="U258" ca="1">_xll.FDS($E$7,"P_PRICE("&amp;AI258&amp;",0,D,D)")</f>
        <v>98.52</v>
      </c>
      <c r="V258" s="9" cm="1">
        <f t="array" aca="1" ref="V258" ca="1">_xll.FDS($E$7,"P_PRICE("&amp;AJ258&amp;",0,D,D)")</f>
        <v>91.55</v>
      </c>
      <c r="W258" s="9" cm="1">
        <f t="array" aca="1" ref="W258" ca="1">_xll.FDS($E$7,"P_PRICE("&amp;AK258&amp;",0,D,D)")</f>
        <v>100.15</v>
      </c>
      <c r="X258" s="24">
        <f t="shared" ca="1" si="58"/>
        <v>5.0713164223203933E-3</v>
      </c>
      <c r="Y258" s="24">
        <f t="shared" ca="1" si="59"/>
        <v>1.3184567463797592E-4</v>
      </c>
      <c r="Z258" s="24">
        <f t="shared" ca="1" si="60"/>
        <v>3.9799733389077163E-2</v>
      </c>
      <c r="AA258" s="24">
        <f t="shared" ca="1" si="61"/>
        <v>1.4122684028549548E-2</v>
      </c>
      <c r="AB258" s="9" cm="1">
        <f t="array" aca="1" ref="AB258" ca="1">_xll.FDS($E$9,"P_PRICE("&amp;AG258&amp;",0,D,D)")</f>
        <v>6068.5</v>
      </c>
      <c r="AC258" s="9" cm="1">
        <f t="array" aca="1" ref="AC258" ca="1">_xll.FDS($E$9,"P_PRICE("&amp;AH258&amp;",0,D,D)")</f>
        <v>6037.88</v>
      </c>
      <c r="AD258" s="9" cm="1">
        <f t="array" aca="1" ref="AD258" ca="1">_xll.FDS($E$9,"P_PRICE("&amp;AI258&amp;",0,D,D)")</f>
        <v>6067.7</v>
      </c>
      <c r="AE258" s="9" cm="1">
        <f t="array" aca="1" ref="AE258" ca="1">_xll.FDS($E$9,"P_PRICE("&amp;AJ258&amp;",0,D,D)")</f>
        <v>5836.22</v>
      </c>
      <c r="AF258" s="9" cm="1">
        <f t="array" aca="1" ref="AF258" ca="1">_xll.FDS($E$9,"P_PRICE("&amp;AK258&amp;",0,D,D)")</f>
        <v>5983.99</v>
      </c>
      <c r="AG258" s="20">
        <f t="shared" ca="1" si="67"/>
        <v>45699</v>
      </c>
      <c r="AH258" s="22">
        <f t="shared" ca="1" si="62"/>
        <v>45692</v>
      </c>
      <c r="AI258" s="22">
        <f t="shared" ca="1" si="63"/>
        <v>45685</v>
      </c>
      <c r="AJ258" s="22">
        <f t="shared" ca="1" si="64"/>
        <v>45670</v>
      </c>
      <c r="AK258" s="22">
        <f t="shared" ca="1" si="65"/>
        <v>45608</v>
      </c>
      <c r="AL258" s="22">
        <f t="shared" ca="1" si="66"/>
        <v>45523</v>
      </c>
    </row>
    <row r="259" spans="4:38" x14ac:dyDescent="0.25">
      <c r="D259" s="6">
        <f ca="1"/>
        <v>45698</v>
      </c>
      <c r="E259" s="28" cm="1">
        <f t="array" aca="1" ref="E259" ca="1">_xll.FDS($E$7,"P_PRICE("&amp;D259&amp;",0,D,D)")</f>
        <v>102.07</v>
      </c>
      <c r="F259" s="29" cm="1">
        <f t="array" aca="1" ref="F259" ca="1">_xll.FDS($E$7,"P_BETA_LOCIDX("&amp;$AG259&amp;","&amp;$AL259&amp;",,"""&amp;$E$9&amp;""")")</f>
        <v>1.0584093000000001</v>
      </c>
      <c r="G259" s="30">
        <f t="shared" ca="1" si="52"/>
        <v>3.5903098790433685E-2</v>
      </c>
      <c r="H259" s="30">
        <f t="shared" ca="1" si="52"/>
        <v>2.1163374131863592E-2</v>
      </c>
      <c r="I259" s="30">
        <f t="shared" ca="1" si="52"/>
        <v>6.8631898667230073E-2</v>
      </c>
      <c r="J259" s="30">
        <f t="shared" ca="1" si="52"/>
        <v>-1.3532581354745107E-2</v>
      </c>
      <c r="K259" s="30">
        <f t="shared" ca="1" si="53"/>
        <v>1.2689463362843326E-2</v>
      </c>
      <c r="L259" s="30">
        <f t="shared" ca="1" si="53"/>
        <v>9.534394221160699E-3</v>
      </c>
      <c r="M259" s="30">
        <f t="shared" ca="1" si="53"/>
        <v>4.3484030729152419E-2</v>
      </c>
      <c r="N259" s="30">
        <f t="shared" ca="1" si="53"/>
        <v>1.1479394025843966E-2</v>
      </c>
      <c r="O259" s="30">
        <f t="shared" ca="1" si="54"/>
        <v>4.8592562153277008E-2</v>
      </c>
      <c r="P259" s="30">
        <f t="shared" ca="1" si="55"/>
        <v>3.0697768353024291E-2</v>
      </c>
      <c r="Q259" s="30">
        <f t="shared" ca="1" si="56"/>
        <v>0.11211592939638249</v>
      </c>
      <c r="R259" s="30">
        <f t="shared" ca="1" si="57"/>
        <v>-2.0531873289011404E-3</v>
      </c>
      <c r="S259" s="9" cm="1">
        <f t="array" aca="1" ref="S259" ca="1">_xll.FDS($E$7,"P_PRICE("&amp;AG259&amp;",0,D,D)")</f>
        <v>102.07</v>
      </c>
      <c r="T259" s="9" cm="1">
        <f t="array" aca="1" ref="T259" ca="1">_xll.FDS($E$7,"P_PRICE("&amp;AH259&amp;",0,D,D)")</f>
        <v>97.34</v>
      </c>
      <c r="U259" s="9" cm="1">
        <f t="array" aca="1" ref="U259" ca="1">_xll.FDS($E$7,"P_PRICE("&amp;AI259&amp;",0,D,D)")</f>
        <v>99.03</v>
      </c>
      <c r="V259" s="9" cm="1">
        <f t="array" aca="1" ref="V259" ca="1">_xll.FDS($E$7,"P_PRICE("&amp;AJ259&amp;",0,D,D)")</f>
        <v>91.78</v>
      </c>
      <c r="W259" s="9" cm="1">
        <f t="array" aca="1" ref="W259" ca="1">_xll.FDS($E$7,"P_PRICE("&amp;AK259&amp;",0,D,D)")</f>
        <v>102.28</v>
      </c>
      <c r="X259" s="24">
        <f t="shared" ca="1" si="58"/>
        <v>1.1989183544441007E-2</v>
      </c>
      <c r="Y259" s="24">
        <f t="shared" ca="1" si="59"/>
        <v>9.0082298229623436E-3</v>
      </c>
      <c r="Z259" s="24">
        <f t="shared" ca="1" si="60"/>
        <v>4.1084324116532622E-2</v>
      </c>
      <c r="AA259" s="24">
        <f t="shared" ca="1" si="61"/>
        <v>1.084589300740646E-2</v>
      </c>
      <c r="AB259" s="9" cm="1">
        <f t="array" aca="1" ref="AB259" ca="1">_xll.FDS($E$9,"P_PRICE("&amp;AG259&amp;",0,D,D)")</f>
        <v>6066.44</v>
      </c>
      <c r="AC259" s="9" cm="1">
        <f t="array" aca="1" ref="AC259" ca="1">_xll.FDS($E$9,"P_PRICE("&amp;AH259&amp;",0,D,D)")</f>
        <v>5994.57</v>
      </c>
      <c r="AD259" s="9" cm="1">
        <f t="array" aca="1" ref="AD259" ca="1">_xll.FDS($E$9,"P_PRICE("&amp;AI259&amp;",0,D,D)")</f>
        <v>6012.28</v>
      </c>
      <c r="AE259" s="9" cm="1">
        <f t="array" aca="1" ref="AE259" ca="1">_xll.FDS($E$9,"P_PRICE("&amp;AJ259&amp;",0,D,D)")</f>
        <v>5827.04</v>
      </c>
      <c r="AF259" s="9" cm="1">
        <f t="array" aca="1" ref="AF259" ca="1">_xll.FDS($E$9,"P_PRICE("&amp;AK259&amp;",0,D,D)")</f>
        <v>6001.35</v>
      </c>
      <c r="AG259" s="20">
        <f t="shared" ca="1" si="67"/>
        <v>45698</v>
      </c>
      <c r="AH259" s="22">
        <f t="shared" ca="1" si="62"/>
        <v>45691</v>
      </c>
      <c r="AI259" s="22">
        <f t="shared" ca="1" si="63"/>
        <v>45684</v>
      </c>
      <c r="AJ259" s="22">
        <f t="shared" ca="1" si="64"/>
        <v>45667</v>
      </c>
      <c r="AK259" s="22">
        <f t="shared" ca="1" si="65"/>
        <v>45607</v>
      </c>
      <c r="AL259" s="22">
        <f t="shared" ca="1" si="66"/>
        <v>45520</v>
      </c>
    </row>
    <row r="260" spans="4:38" x14ac:dyDescent="0.25">
      <c r="D260" s="6">
        <f ca="1"/>
        <v>45695</v>
      </c>
      <c r="E260" s="28" cm="1">
        <f t="array" aca="1" ref="E260" ca="1">_xll.FDS($E$7,"P_PRICE("&amp;D260&amp;",0,D,D)")</f>
        <v>103.34</v>
      </c>
      <c r="F260" s="29" cm="1">
        <f t="array" aca="1" ref="F260" ca="1">_xll.FDS($E$7,"P_BETA_LOCIDX("&amp;$AG260&amp;","&amp;$AL260&amp;",,"""&amp;$E$9&amp;""")")</f>
        <v>1.0918163999999999</v>
      </c>
      <c r="G260" s="30">
        <f t="shared" ca="1" si="52"/>
        <v>4.6150247380031116E-2</v>
      </c>
      <c r="H260" s="30">
        <f t="shared" ca="1" si="52"/>
        <v>3.4007162475802238E-2</v>
      </c>
      <c r="I260" s="30">
        <f t="shared" ca="1" si="52"/>
        <v>9.7192228704121225E-2</v>
      </c>
      <c r="J260" s="30">
        <f t="shared" ca="1" si="52"/>
        <v>2.0977210505780199E-2</v>
      </c>
      <c r="K260" s="30">
        <f t="shared" ca="1" si="53"/>
        <v>-2.6280823795262406E-3</v>
      </c>
      <c r="L260" s="30">
        <f t="shared" ca="1" si="53"/>
        <v>-1.3465981357887871E-2</v>
      </c>
      <c r="M260" s="30">
        <f t="shared" ca="1" si="53"/>
        <v>1.9876196331010041E-2</v>
      </c>
      <c r="N260" s="30">
        <f t="shared" ca="1" si="53"/>
        <v>5.5450900802931002E-3</v>
      </c>
      <c r="O260" s="30">
        <f t="shared" ca="1" si="54"/>
        <v>4.3522165000504875E-2</v>
      </c>
      <c r="P260" s="30">
        <f t="shared" ca="1" si="55"/>
        <v>2.0541181117914364E-2</v>
      </c>
      <c r="Q260" s="30">
        <f t="shared" ca="1" si="56"/>
        <v>0.11706842503513126</v>
      </c>
      <c r="R260" s="30">
        <f t="shared" ca="1" si="57"/>
        <v>2.65223005860733E-2</v>
      </c>
      <c r="S260" s="9" cm="1">
        <f t="array" aca="1" ref="S260" ca="1">_xll.FDS($E$7,"P_PRICE("&amp;AG260&amp;",0,D,D)")</f>
        <v>103.34</v>
      </c>
      <c r="T260" s="9" cm="1">
        <f t="array" aca="1" ref="T260" ca="1">_xll.FDS($E$7,"P_PRICE("&amp;AH260&amp;",0,D,D)")</f>
        <v>99.03</v>
      </c>
      <c r="U260" s="9" cm="1">
        <f t="array" aca="1" ref="U260" ca="1">_xll.FDS($E$7,"P_PRICE("&amp;AI260&amp;",0,D,D)")</f>
        <v>101.26</v>
      </c>
      <c r="V260" s="9" cm="1">
        <f t="array" aca="1" ref="V260" ca="1">_xll.FDS($E$7,"P_PRICE("&amp;AJ260&amp;",0,D,D)")</f>
        <v>92.51</v>
      </c>
      <c r="W260" s="9" cm="1">
        <f t="array" aca="1" ref="W260" ca="1">_xll.FDS($E$7,"P_PRICE("&amp;AK260&amp;",0,D,D)")</f>
        <v>100.67</v>
      </c>
      <c r="X260" s="24">
        <f t="shared" ca="1" si="58"/>
        <v>-2.4070735514929442E-3</v>
      </c>
      <c r="Y260" s="24">
        <f t="shared" ca="1" si="59"/>
        <v>-1.233355842418915E-2</v>
      </c>
      <c r="Z260" s="24">
        <f t="shared" ca="1" si="60"/>
        <v>1.8204705782959518E-2</v>
      </c>
      <c r="AA260" s="24">
        <f t="shared" ca="1" si="61"/>
        <v>5.0787752229157768E-3</v>
      </c>
      <c r="AB260" s="9" cm="1">
        <f t="array" aca="1" ref="AB260" ca="1">_xll.FDS($E$9,"P_PRICE("&amp;AG260&amp;",0,D,D)")</f>
        <v>6025.99</v>
      </c>
      <c r="AC260" s="9" cm="1">
        <f t="array" aca="1" ref="AC260" ca="1">_xll.FDS($E$9,"P_PRICE("&amp;AH260&amp;",0,D,D)")</f>
        <v>6040.53</v>
      </c>
      <c r="AD260" s="9" cm="1">
        <f t="array" aca="1" ref="AD260" ca="1">_xll.FDS($E$9,"P_PRICE("&amp;AI260&amp;",0,D,D)")</f>
        <v>6101.24</v>
      </c>
      <c r="AE260" s="9" cm="1">
        <f t="array" aca="1" ref="AE260" ca="1">_xll.FDS($E$9,"P_PRICE("&amp;AJ260&amp;",0,D,D)")</f>
        <v>5918.25</v>
      </c>
      <c r="AF260" s="9" cm="1">
        <f t="array" aca="1" ref="AF260" ca="1">_xll.FDS($E$9,"P_PRICE("&amp;AK260&amp;",0,D,D)")</f>
        <v>5995.54</v>
      </c>
      <c r="AG260" s="20">
        <f t="shared" ca="1" si="67"/>
        <v>45695</v>
      </c>
      <c r="AH260" s="22">
        <f t="shared" ca="1" si="62"/>
        <v>45688</v>
      </c>
      <c r="AI260" s="22">
        <f t="shared" ca="1" si="63"/>
        <v>45681</v>
      </c>
      <c r="AJ260" s="22">
        <f t="shared" ca="1" si="64"/>
        <v>45665</v>
      </c>
      <c r="AK260" s="22">
        <f t="shared" ca="1" si="65"/>
        <v>45604</v>
      </c>
      <c r="AL260" s="22">
        <f t="shared" ca="1" si="66"/>
        <v>45519</v>
      </c>
    </row>
    <row r="261" spans="4:38" x14ac:dyDescent="0.25">
      <c r="D261" s="6">
        <f ca="1"/>
        <v>45694</v>
      </c>
      <c r="E261" s="28" cm="1">
        <f t="array" aca="1" ref="E261" ca="1">_xll.FDS($E$7,"P_PRICE("&amp;D261&amp;",0,D,D)")</f>
        <v>105.19</v>
      </c>
      <c r="F261" s="29" cm="1">
        <f t="array" aca="1" ref="F261" ca="1">_xll.FDS($E$7,"P_BETA_LOCIDX("&amp;$AG261&amp;","&amp;$AL261&amp;",,"""&amp;$E$9&amp;""")")</f>
        <v>1.0784501</v>
      </c>
      <c r="G261" s="30">
        <f t="shared" ca="1" si="52"/>
        <v>5.1910969099690625E-2</v>
      </c>
      <c r="H261" s="30">
        <f t="shared" ca="1" si="52"/>
        <v>5.2651998953827765E-2</v>
      </c>
      <c r="I261" s="30">
        <f t="shared" ca="1" si="52"/>
        <v>0.10755132281827354</v>
      </c>
      <c r="J261" s="30">
        <f t="shared" ca="1" si="52"/>
        <v>2.5057494309666199E-2</v>
      </c>
      <c r="K261" s="30">
        <f t="shared" ca="1" si="53"/>
        <v>2.202669541455639E-3</v>
      </c>
      <c r="L261" s="30">
        <f t="shared" ca="1" si="53"/>
        <v>-6.1935827182527563E-3</v>
      </c>
      <c r="M261" s="30">
        <f t="shared" ca="1" si="53"/>
        <v>3.1855089660062751E-2</v>
      </c>
      <c r="N261" s="30">
        <f t="shared" ca="1" si="53"/>
        <v>1.9945486020156885E-2</v>
      </c>
      <c r="O261" s="30">
        <f t="shared" ca="1" si="54"/>
        <v>5.4113638641146267E-2</v>
      </c>
      <c r="P261" s="30">
        <f t="shared" ca="1" si="55"/>
        <v>4.6458416235575006E-2</v>
      </c>
      <c r="Q261" s="30">
        <f t="shared" ca="1" si="56"/>
        <v>0.13940641247833629</v>
      </c>
      <c r="R261" s="30">
        <f t="shared" ca="1" si="57"/>
        <v>4.5002980329823083E-2</v>
      </c>
      <c r="S261" s="9" cm="1">
        <f t="array" aca="1" ref="S261" ca="1">_xll.FDS($E$7,"P_PRICE("&amp;AG261&amp;",0,D,D)")</f>
        <v>105.19</v>
      </c>
      <c r="T261" s="9" cm="1">
        <f t="array" aca="1" ref="T261" ca="1">_xll.FDS($E$7,"P_PRICE("&amp;AH261&amp;",0,D,D)")</f>
        <v>99.79</v>
      </c>
      <c r="U261" s="9" cm="1">
        <f t="array" aca="1" ref="U261" ca="1">_xll.FDS($E$7,"P_PRICE("&amp;AI261&amp;",0,D,D)")</f>
        <v>100.52</v>
      </c>
      <c r="V261" s="9" cm="1">
        <f t="array" aca="1" ref="V261" ca="1">_xll.FDS($E$7,"P_PRICE("&amp;AJ261&amp;",0,D,D)")</f>
        <v>92.32</v>
      </c>
      <c r="W261" s="9" cm="1">
        <f t="array" aca="1" ref="W261" ca="1">_xll.FDS($E$7,"P_PRICE("&amp;AK261&amp;",0,D,D)")</f>
        <v>100.66</v>
      </c>
      <c r="X261" s="24">
        <f t="shared" ca="1" si="58"/>
        <v>2.0424399250884573E-3</v>
      </c>
      <c r="Y261" s="24">
        <f t="shared" ca="1" si="59"/>
        <v>-5.74304060823283E-3</v>
      </c>
      <c r="Z261" s="24">
        <f t="shared" ca="1" si="60"/>
        <v>2.9537842928534896E-2</v>
      </c>
      <c r="AA261" s="24">
        <f t="shared" ca="1" si="61"/>
        <v>1.8494584051832241E-2</v>
      </c>
      <c r="AB261" s="9" cm="1">
        <f t="array" aca="1" ref="AB261" ca="1">_xll.FDS($E$9,"P_PRICE("&amp;AG261&amp;",0,D,D)")</f>
        <v>6083.57</v>
      </c>
      <c r="AC261" s="9" cm="1">
        <f t="array" aca="1" ref="AC261" ca="1">_xll.FDS($E$9,"P_PRICE("&amp;AH261&amp;",0,D,D)")</f>
        <v>6071.17</v>
      </c>
      <c r="AD261" s="9" cm="1">
        <f t="array" aca="1" ref="AD261" ca="1">_xll.FDS($E$9,"P_PRICE("&amp;AI261&amp;",0,D,D)")</f>
        <v>6118.71</v>
      </c>
      <c r="AE261" s="9" cm="1">
        <f t="array" aca="1" ref="AE261" ca="1">_xll.FDS($E$9,"P_PRICE("&amp;AJ261&amp;",0,D,D)")</f>
        <v>5909.03</v>
      </c>
      <c r="AF261" s="9" cm="1">
        <f t="array" aca="1" ref="AF261" ca="1">_xll.FDS($E$9,"P_PRICE("&amp;AK261&amp;",0,D,D)")</f>
        <v>5973.1</v>
      </c>
      <c r="AG261" s="20">
        <f t="shared" ca="1" si="67"/>
        <v>45694</v>
      </c>
      <c r="AH261" s="22">
        <f t="shared" ca="1" si="62"/>
        <v>45687</v>
      </c>
      <c r="AI261" s="22">
        <f t="shared" ca="1" si="63"/>
        <v>45680</v>
      </c>
      <c r="AJ261" s="22">
        <f t="shared" ca="1" si="64"/>
        <v>45664</v>
      </c>
      <c r="AK261" s="22">
        <f t="shared" ca="1" si="65"/>
        <v>45603</v>
      </c>
      <c r="AL261" s="22">
        <f t="shared" ca="1" si="66"/>
        <v>45518</v>
      </c>
    </row>
    <row r="262" spans="4:38" x14ac:dyDescent="0.25">
      <c r="D262" s="6">
        <f ca="1"/>
        <v>45693</v>
      </c>
      <c r="E262" s="28" cm="1">
        <f t="array" aca="1" ref="E262" ca="1">_xll.FDS($E$7,"P_PRICE("&amp;D262&amp;",0,D,D)")</f>
        <v>101.16</v>
      </c>
      <c r="F262" s="29" cm="1">
        <f t="array" aca="1" ref="F262" ca="1">_xll.FDS($E$7,"P_BETA_LOCIDX("&amp;$AG262&amp;","&amp;$AL262&amp;",,"""&amp;$E$9&amp;""")")</f>
        <v>1.0667880999999999</v>
      </c>
      <c r="G262" s="30">
        <f t="shared" ca="1" si="52"/>
        <v>1.6973975024542856E-2</v>
      </c>
      <c r="H262" s="30">
        <f t="shared" ca="1" si="52"/>
        <v>1.2635293196761387E-2</v>
      </c>
      <c r="I262" s="30">
        <f t="shared" ca="1" si="52"/>
        <v>6.528229275009273E-2</v>
      </c>
      <c r="J262" s="30">
        <f t="shared" ca="1" si="52"/>
        <v>-1.1824589677871433E-2</v>
      </c>
      <c r="K262" s="30">
        <f t="shared" ca="1" si="53"/>
        <v>3.9161248846305979E-3</v>
      </c>
      <c r="L262" s="30">
        <f t="shared" ca="1" si="53"/>
        <v>-4.3625931070573436E-3</v>
      </c>
      <c r="M262" s="30">
        <f t="shared" ca="1" si="53"/>
        <v>1.5371483555857544E-2</v>
      </c>
      <c r="N262" s="30">
        <f t="shared" ca="1" si="53"/>
        <v>2.3829391598639792E-2</v>
      </c>
      <c r="O262" s="30">
        <f t="shared" ca="1" si="54"/>
        <v>2.0890099909173454E-2</v>
      </c>
      <c r="P262" s="30">
        <f t="shared" ca="1" si="55"/>
        <v>8.2727000897040437E-3</v>
      </c>
      <c r="Q262" s="30">
        <f t="shared" ca="1" si="56"/>
        <v>8.0653776305950275E-2</v>
      </c>
      <c r="R262" s="30">
        <f t="shared" ca="1" si="57"/>
        <v>1.200480192076836E-2</v>
      </c>
      <c r="S262" s="9" cm="1">
        <f t="array" aca="1" ref="S262" ca="1">_xll.FDS($E$7,"P_PRICE("&amp;AG262&amp;",0,D,D)")</f>
        <v>101.16</v>
      </c>
      <c r="T262" s="9" cm="1">
        <f t="array" aca="1" ref="T262" ca="1">_xll.FDS($E$7,"P_PRICE("&amp;AH262&amp;",0,D,D)")</f>
        <v>99.09</v>
      </c>
      <c r="U262" s="9" cm="1">
        <f t="array" aca="1" ref="U262" ca="1">_xll.FDS($E$7,"P_PRICE("&amp;AI262&amp;",0,D,D)")</f>
        <v>100.33</v>
      </c>
      <c r="V262" s="9" cm="1">
        <f t="array" aca="1" ref="V262" ca="1">_xll.FDS($E$7,"P_PRICE("&amp;AJ262&amp;",0,D,D)")</f>
        <v>93.61</v>
      </c>
      <c r="W262" s="9" cm="1">
        <f t="array" aca="1" ref="W262" ca="1">_xll.FDS($E$7,"P_PRICE("&amp;AK262&amp;",0,D,D)")</f>
        <v>99.96</v>
      </c>
      <c r="X262" s="24">
        <f t="shared" ca="1" si="58"/>
        <v>3.6709491647222148E-3</v>
      </c>
      <c r="Y262" s="24">
        <f t="shared" ca="1" si="59"/>
        <v>-4.0894654777807737E-3</v>
      </c>
      <c r="Z262" s="24">
        <f t="shared" ca="1" si="60"/>
        <v>1.44091254447416E-2</v>
      </c>
      <c r="AA262" s="24">
        <f t="shared" ca="1" si="61"/>
        <v>2.2337511637634311E-2</v>
      </c>
      <c r="AB262" s="9" cm="1">
        <f t="array" aca="1" ref="AB262" ca="1">_xll.FDS($E$9,"P_PRICE("&amp;AG262&amp;",0,D,D)")</f>
        <v>6061.48</v>
      </c>
      <c r="AC262" s="9" cm="1">
        <f t="array" aca="1" ref="AC262" ca="1">_xll.FDS($E$9,"P_PRICE("&amp;AH262&amp;",0,D,D)")</f>
        <v>6039.31</v>
      </c>
      <c r="AD262" s="9" cm="1">
        <f t="array" aca="1" ref="AD262" ca="1">_xll.FDS($E$9,"P_PRICE("&amp;AI262&amp;",0,D,D)")</f>
        <v>6086.37</v>
      </c>
      <c r="AE262" s="9" cm="1">
        <f t="array" aca="1" ref="AE262" ca="1">_xll.FDS($E$9,"P_PRICE("&amp;AJ262&amp;",0,D,D)")</f>
        <v>5975.38</v>
      </c>
      <c r="AF262" s="9" cm="1">
        <f t="array" aca="1" ref="AF262" ca="1">_xll.FDS($E$9,"P_PRICE("&amp;AK262&amp;",0,D,D)")</f>
        <v>5929.04</v>
      </c>
      <c r="AG262" s="20">
        <f t="shared" ca="1" si="67"/>
        <v>45693</v>
      </c>
      <c r="AH262" s="22">
        <f t="shared" ca="1" si="62"/>
        <v>45686</v>
      </c>
      <c r="AI262" s="22">
        <f t="shared" ca="1" si="63"/>
        <v>45679</v>
      </c>
      <c r="AJ262" s="22">
        <f t="shared" ca="1" si="64"/>
        <v>45663</v>
      </c>
      <c r="AK262" s="22">
        <f t="shared" ca="1" si="65"/>
        <v>45602</v>
      </c>
      <c r="AL262" s="22">
        <f t="shared" ca="1" si="66"/>
        <v>45517</v>
      </c>
    </row>
    <row r="263" spans="4:38" x14ac:dyDescent="0.25">
      <c r="D263" s="6">
        <f ca="1"/>
        <v>45692</v>
      </c>
      <c r="E263" s="28" cm="1">
        <f t="array" aca="1" ref="E263" ca="1">_xll.FDS($E$7,"P_PRICE("&amp;D263&amp;",0,D,D)")</f>
        <v>98.61</v>
      </c>
      <c r="F263" s="29" cm="1">
        <f t="array" aca="1" ref="F263" ca="1">_xll.FDS($E$7,"P_BETA_LOCIDX("&amp;$AG263&amp;","&amp;$AL263&amp;",,"""&amp;$E$9&amp;""")")</f>
        <v>1.0600512</v>
      </c>
      <c r="G263" s="30">
        <f t="shared" ca="1" si="52"/>
        <v>6.1231920957280942E-3</v>
      </c>
      <c r="H263" s="30">
        <f t="shared" ca="1" si="52"/>
        <v>-4.8579319236744592E-3</v>
      </c>
      <c r="I263" s="30">
        <f t="shared" ca="1" si="52"/>
        <v>4.0573535513347622E-2</v>
      </c>
      <c r="J263" s="30">
        <f t="shared" ca="1" si="52"/>
        <v>-2.9224591889422911E-2</v>
      </c>
      <c r="K263" s="30">
        <f t="shared" ca="1" si="53"/>
        <v>-5.2096719982859278E-3</v>
      </c>
      <c r="L263" s="30">
        <f t="shared" ca="1" si="53"/>
        <v>-1.9906933155239212E-3</v>
      </c>
      <c r="M263" s="30">
        <f t="shared" ca="1" si="53"/>
        <v>1.7019772079960097E-2</v>
      </c>
      <c r="N263" s="30">
        <f t="shared" ca="1" si="53"/>
        <v>4.6766641213538095E-2</v>
      </c>
      <c r="O263" s="30">
        <f t="shared" ca="1" si="54"/>
        <v>9.1352009744216645E-4</v>
      </c>
      <c r="P263" s="30">
        <f t="shared" ca="1" si="55"/>
        <v>-6.8486252391983804E-3</v>
      </c>
      <c r="Q263" s="30">
        <f t="shared" ca="1" si="56"/>
        <v>5.7593307593307719E-2</v>
      </c>
      <c r="R263" s="30">
        <f t="shared" ca="1" si="57"/>
        <v>1.7542049324115183E-2</v>
      </c>
      <c r="S263" s="9" cm="1">
        <f t="array" aca="1" ref="S263" ca="1">_xll.FDS($E$7,"P_PRICE("&amp;AG263&amp;",0,D,D)")</f>
        <v>98.61</v>
      </c>
      <c r="T263" s="9" cm="1">
        <f t="array" aca="1" ref="T263" ca="1">_xll.FDS($E$7,"P_PRICE("&amp;AH263&amp;",0,D,D)")</f>
        <v>98.52</v>
      </c>
      <c r="U263" s="9" cm="1">
        <f t="array" aca="1" ref="U263" ca="1">_xll.FDS($E$7,"P_PRICE("&amp;AI263&amp;",0,D,D)")</f>
        <v>99.29</v>
      </c>
      <c r="V263" s="9" cm="1">
        <f t="array" aca="1" ref="V263" ca="1">_xll.FDS($E$7,"P_PRICE("&amp;AJ263&amp;",0,D,D)")</f>
        <v>93.24</v>
      </c>
      <c r="W263" s="9" cm="1">
        <f t="array" aca="1" ref="W263" ca="1">_xll.FDS($E$7,"P_PRICE("&amp;AK263&amp;",0,D,D)")</f>
        <v>96.91</v>
      </c>
      <c r="X263" s="24">
        <f t="shared" ca="1" si="58"/>
        <v>-4.9145475221252788E-3</v>
      </c>
      <c r="Y263" s="24">
        <f t="shared" ca="1" si="59"/>
        <v>-1.8779218546461918E-3</v>
      </c>
      <c r="Z263" s="24">
        <f t="shared" ca="1" si="60"/>
        <v>1.605561323826632E-2</v>
      </c>
      <c r="AA263" s="24">
        <f t="shared" ca="1" si="61"/>
        <v>4.4117341892106809E-2</v>
      </c>
      <c r="AB263" s="9" cm="1">
        <f t="array" aca="1" ref="AB263" ca="1">_xll.FDS($E$9,"P_PRICE("&amp;AG263&amp;",0,D,D)")</f>
        <v>6037.88</v>
      </c>
      <c r="AC263" s="9" cm="1">
        <f t="array" aca="1" ref="AC263" ca="1">_xll.FDS($E$9,"P_PRICE("&amp;AH263&amp;",0,D,D)")</f>
        <v>6067.7</v>
      </c>
      <c r="AD263" s="9" cm="1">
        <f t="array" aca="1" ref="AD263" ca="1">_xll.FDS($E$9,"P_PRICE("&amp;AI263&amp;",0,D,D)")</f>
        <v>6049.24</v>
      </c>
      <c r="AE263" s="9" cm="1">
        <f t="array" aca="1" ref="AE263" ca="1">_xll.FDS($E$9,"P_PRICE("&amp;AJ263&amp;",0,D,D)")</f>
        <v>5942.47</v>
      </c>
      <c r="AF263" s="9" cm="1">
        <f t="array" aca="1" ref="AF263" ca="1">_xll.FDS($E$9,"P_PRICE("&amp;AK263&amp;",0,D,D)")</f>
        <v>5782.76</v>
      </c>
      <c r="AG263" s="20">
        <f t="shared" ca="1" si="67"/>
        <v>45692</v>
      </c>
      <c r="AH263" s="22">
        <f t="shared" ca="1" si="62"/>
        <v>45685</v>
      </c>
      <c r="AI263" s="22">
        <f t="shared" ca="1" si="63"/>
        <v>45678</v>
      </c>
      <c r="AJ263" s="22">
        <f t="shared" ca="1" si="64"/>
        <v>45660</v>
      </c>
      <c r="AK263" s="22">
        <f t="shared" ca="1" si="65"/>
        <v>45601</v>
      </c>
      <c r="AL263" s="22">
        <f t="shared" ca="1" si="66"/>
        <v>45516</v>
      </c>
    </row>
    <row r="264" spans="4:38" x14ac:dyDescent="0.25">
      <c r="D264" s="6">
        <f ca="1"/>
        <v>45691</v>
      </c>
      <c r="E264" s="28" cm="1">
        <f t="array" aca="1" ref="E264" ca="1">_xll.FDS($E$7,"P_PRICE("&amp;D264&amp;",0,D,D)")</f>
        <v>97.34</v>
      </c>
      <c r="F264" s="29" cm="1">
        <f t="array" aca="1" ref="F264" ca="1">_xll.FDS($E$7,"P_BETA_LOCIDX("&amp;$AG264&amp;","&amp;$AL264&amp;",,"""&amp;$E$9&amp;""")")</f>
        <v>1.0583985</v>
      </c>
      <c r="G264" s="30">
        <f t="shared" ca="1" si="52"/>
        <v>-1.3947876932024466E-2</v>
      </c>
      <c r="H264" s="30">
        <f t="shared" ca="1" si="52"/>
        <v>-3.8254925803773176E-3</v>
      </c>
      <c r="I264" s="30">
        <f t="shared" ca="1" si="52"/>
        <v>2.7212849956927632E-2</v>
      </c>
      <c r="J264" s="30">
        <f t="shared" ca="1" si="52"/>
        <v>-2.1626123142891022E-2</v>
      </c>
      <c r="K264" s="30">
        <f t="shared" ca="1" si="53"/>
        <v>-3.1176587642292209E-3</v>
      </c>
      <c r="L264" s="30">
        <f t="shared" ca="1" si="53"/>
        <v>-3.6888082115718373E-4</v>
      </c>
      <c r="M264" s="30">
        <f t="shared" ca="1" si="53"/>
        <v>2.2727825266888657E-2</v>
      </c>
      <c r="N264" s="30">
        <f t="shared" ca="1" si="53"/>
        <v>5.2224323248767239E-2</v>
      </c>
      <c r="O264" s="30">
        <f t="shared" ca="1" si="54"/>
        <v>-1.7065535696253686E-2</v>
      </c>
      <c r="P264" s="30">
        <f t="shared" ca="1" si="55"/>
        <v>-4.1943734015345013E-3</v>
      </c>
      <c r="Q264" s="30">
        <f t="shared" ca="1" si="56"/>
        <v>4.9940675223816289E-2</v>
      </c>
      <c r="R264" s="30">
        <f t="shared" ca="1" si="57"/>
        <v>3.0598200105876217E-2</v>
      </c>
      <c r="S264" s="9" cm="1">
        <f t="array" aca="1" ref="S264" ca="1">_xll.FDS($E$7,"P_PRICE("&amp;AG264&amp;",0,D,D)")</f>
        <v>97.34</v>
      </c>
      <c r="T264" s="9" cm="1">
        <f t="array" aca="1" ref="T264" ca="1">_xll.FDS($E$7,"P_PRICE("&amp;AH264&amp;",0,D,D)")</f>
        <v>99.03</v>
      </c>
      <c r="U264" s="9" cm="1">
        <f t="array" aca="1" ref="U264" ca="1">_xll.FDS($E$7,"P_PRICE("&amp;AI264&amp;",0,D,D)")</f>
        <v>97.75</v>
      </c>
      <c r="V264" s="9" cm="1">
        <f t="array" aca="1" ref="V264" ca="1">_xll.FDS($E$7,"P_PRICE("&amp;AJ264&amp;",0,D,D)")</f>
        <v>92.71</v>
      </c>
      <c r="W264" s="9" cm="1">
        <f t="array" aca="1" ref="W264" ca="1">_xll.FDS($E$7,"P_PRICE("&amp;AK264&amp;",0,D,D)")</f>
        <v>94.45</v>
      </c>
      <c r="X264" s="24">
        <f t="shared" ca="1" si="58"/>
        <v>-2.945637927707967E-3</v>
      </c>
      <c r="Y264" s="24">
        <f t="shared" ca="1" si="59"/>
        <v>-3.4852734688983755E-4</v>
      </c>
      <c r="Z264" s="24">
        <f t="shared" ca="1" si="60"/>
        <v>2.1473788244114722E-2</v>
      </c>
      <c r="AA264" s="24">
        <f t="shared" ca="1" si="61"/>
        <v>4.9342778971027679E-2</v>
      </c>
      <c r="AB264" s="9" cm="1">
        <f t="array" aca="1" ref="AB264" ca="1">_xll.FDS($E$9,"P_PRICE("&amp;AG264&amp;",0,D,D)")</f>
        <v>5994.57</v>
      </c>
      <c r="AC264" s="9" cm="1">
        <f t="array" aca="1" ref="AC264" ca="1">_xll.FDS($E$9,"P_PRICE("&amp;AH264&amp;",0,D,D)")</f>
        <v>6012.28</v>
      </c>
      <c r="AD264" s="9" cm="1">
        <f t="array" aca="1" ref="AD264" ca="1">_xll.FDS($E$9,"P_PRICE("&amp;AI264&amp;",0,D,D)")</f>
        <v>5996.66</v>
      </c>
      <c r="AE264" s="9" cm="1">
        <f t="array" aca="1" ref="AE264" ca="1">_xll.FDS($E$9,"P_PRICE("&amp;AJ264&amp;",0,D,D)")</f>
        <v>5868.55</v>
      </c>
      <c r="AF264" s="9" cm="1">
        <f t="array" aca="1" ref="AF264" ca="1">_xll.FDS($E$9,"P_PRICE("&amp;AK264&amp;",0,D,D)")</f>
        <v>5712.69</v>
      </c>
      <c r="AG264" s="20">
        <f t="shared" ca="1" si="67"/>
        <v>45691</v>
      </c>
      <c r="AH264" s="22">
        <f t="shared" ca="1" si="62"/>
        <v>45684</v>
      </c>
      <c r="AI264" s="22">
        <f t="shared" ca="1" si="63"/>
        <v>45674</v>
      </c>
      <c r="AJ264" s="22">
        <f t="shared" ca="1" si="64"/>
        <v>45659</v>
      </c>
      <c r="AK264" s="22">
        <f t="shared" ca="1" si="65"/>
        <v>45600</v>
      </c>
      <c r="AL264" s="22">
        <f t="shared" ca="1" si="66"/>
        <v>45513</v>
      </c>
    </row>
    <row r="265" spans="4:38" x14ac:dyDescent="0.25">
      <c r="D265" s="6">
        <f ca="1"/>
        <v>45688</v>
      </c>
      <c r="E265" s="28" cm="1">
        <f t="array" aca="1" ref="E265" ca="1">_xll.FDS($E$7,"P_PRICE("&amp;D265&amp;",0,D,D)")</f>
        <v>99.03</v>
      </c>
      <c r="F265" s="29" cm="1">
        <f t="array" aca="1" ref="F265" ca="1">_xll.FDS($E$7,"P_BETA_LOCIDX("&amp;$AG265&amp;","&amp;$AL265&amp;",,"""&amp;$E$9&amp;""")")</f>
        <v>1.1701319999999999</v>
      </c>
      <c r="G265" s="30">
        <f t="shared" ca="1" si="52"/>
        <v>-1.0379192360535952E-2</v>
      </c>
      <c r="H265" s="30">
        <f t="shared" ca="1" si="52"/>
        <v>1.5650324781896638E-2</v>
      </c>
      <c r="I265" s="30">
        <f t="shared" ca="1" si="52"/>
        <v>3.8750503809115218E-2</v>
      </c>
      <c r="J265" s="30">
        <f t="shared" ca="1" si="52"/>
        <v>-2.9956115941035824E-2</v>
      </c>
      <c r="K265" s="30">
        <f t="shared" ca="1" si="53"/>
        <v>-1.1643323934151037E-2</v>
      </c>
      <c r="L265" s="30">
        <f t="shared" ca="1" si="53"/>
        <v>2.0336703149895344E-2</v>
      </c>
      <c r="M265" s="30">
        <f t="shared" ca="1" si="53"/>
        <v>3.1612660912026129E-2</v>
      </c>
      <c r="N265" s="30">
        <f t="shared" ca="1" si="53"/>
        <v>6.3672191097611977E-2</v>
      </c>
      <c r="O265" s="30">
        <f t="shared" ca="1" si="54"/>
        <v>-2.2022516294686989E-2</v>
      </c>
      <c r="P265" s="30">
        <f t="shared" ca="1" si="55"/>
        <v>3.5987027931791982E-2</v>
      </c>
      <c r="Q265" s="30">
        <f t="shared" ca="1" si="56"/>
        <v>7.0363164721141347E-2</v>
      </c>
      <c r="R265" s="30">
        <f t="shared" ca="1" si="57"/>
        <v>3.3716075156576153E-2</v>
      </c>
      <c r="S265" s="9" cm="1">
        <f t="array" aca="1" ref="S265" ca="1">_xll.FDS($E$7,"P_PRICE("&amp;AG265&amp;",0,D,D)")</f>
        <v>99.03</v>
      </c>
      <c r="T265" s="9" cm="1">
        <f t="array" aca="1" ref="T265" ca="1">_xll.FDS($E$7,"P_PRICE("&amp;AH265&amp;",0,D,D)")</f>
        <v>101.26</v>
      </c>
      <c r="U265" s="9" cm="1">
        <f t="array" aca="1" ref="U265" ca="1">_xll.FDS($E$7,"P_PRICE("&amp;AI265&amp;",0,D,D)")</f>
        <v>95.59</v>
      </c>
      <c r="V265" s="9" cm="1">
        <f t="array" aca="1" ref="V265" ca="1">_xll.FDS($E$7,"P_PRICE("&amp;AJ265&amp;",0,D,D)")</f>
        <v>92.52</v>
      </c>
      <c r="W265" s="9" cm="1">
        <f t="array" aca="1" ref="W265" ca="1">_xll.FDS($E$7,"P_PRICE("&amp;AK265&amp;",0,D,D)")</f>
        <v>95.8</v>
      </c>
      <c r="X265" s="24">
        <f t="shared" ca="1" si="58"/>
        <v>-9.9504363047511202E-3</v>
      </c>
      <c r="Y265" s="24">
        <f t="shared" ca="1" si="59"/>
        <v>1.73798367619169E-2</v>
      </c>
      <c r="Z265" s="24">
        <f t="shared" ca="1" si="60"/>
        <v>2.7016320305765618E-2</v>
      </c>
      <c r="AA265" s="24">
        <f t="shared" ca="1" si="61"/>
        <v>5.4414537075827329E-2</v>
      </c>
      <c r="AB265" s="9" cm="1">
        <f t="array" aca="1" ref="AB265" ca="1">_xll.FDS($E$9,"P_PRICE("&amp;AG265&amp;",0,D,D)")</f>
        <v>6040.53</v>
      </c>
      <c r="AC265" s="9" cm="1">
        <f t="array" aca="1" ref="AC265" ca="1">_xll.FDS($E$9,"P_PRICE("&amp;AH265&amp;",0,D,D)")</f>
        <v>6101.24</v>
      </c>
      <c r="AD265" s="9" cm="1">
        <f t="array" aca="1" ref="AD265" ca="1">_xll.FDS($E$9,"P_PRICE("&amp;AI265&amp;",0,D,D)")</f>
        <v>5937.34</v>
      </c>
      <c r="AE265" s="9" cm="1">
        <f t="array" aca="1" ref="AE265" ca="1">_xll.FDS($E$9,"P_PRICE("&amp;AJ265&amp;",0,D,D)")</f>
        <v>5881.63</v>
      </c>
      <c r="AF265" s="9" cm="1">
        <f t="array" aca="1" ref="AF265" ca="1">_xll.FDS($E$9,"P_PRICE("&amp;AK265&amp;",0,D,D)")</f>
        <v>5728.8</v>
      </c>
      <c r="AG265" s="20">
        <f t="shared" ca="1" si="67"/>
        <v>45688</v>
      </c>
      <c r="AH265" s="22">
        <f t="shared" ca="1" si="62"/>
        <v>45681</v>
      </c>
      <c r="AI265" s="22">
        <f t="shared" ca="1" si="63"/>
        <v>45673</v>
      </c>
      <c r="AJ265" s="22">
        <f t="shared" ca="1" si="64"/>
        <v>45657</v>
      </c>
      <c r="AK265" s="22">
        <f t="shared" ca="1" si="65"/>
        <v>45597</v>
      </c>
      <c r="AL265" s="22">
        <f t="shared" ca="1" si="66"/>
        <v>45512</v>
      </c>
    </row>
    <row r="266" spans="4:38" x14ac:dyDescent="0.25">
      <c r="D266" s="6">
        <f ca="1"/>
        <v>45687</v>
      </c>
      <c r="E266" s="28" cm="1">
        <f t="array" aca="1" ref="E266" ca="1">_xll.FDS($E$7,"P_PRICE("&amp;D266&amp;",0,D,D)")</f>
        <v>99.79</v>
      </c>
      <c r="F266" s="29" cm="1">
        <f t="array" aca="1" ref="F266" ca="1">_xll.FDS($E$7,"P_BETA_LOCIDX("&amp;$AG266&amp;","&amp;$AL266&amp;",,"""&amp;$E$9&amp;""")")</f>
        <v>1.1909468000000001</v>
      </c>
      <c r="G266" s="30">
        <f t="shared" ca="1" si="52"/>
        <v>1.9909576638188278E-3</v>
      </c>
      <c r="H266" s="30">
        <f t="shared" ca="1" si="52"/>
        <v>1.7921548728981843E-2</v>
      </c>
      <c r="I266" s="30">
        <f t="shared" ca="1" si="52"/>
        <v>4.6165763156410501E-2</v>
      </c>
      <c r="J266" s="30">
        <f t="shared" ca="1" si="52"/>
        <v>-3.0651887800374797E-2</v>
      </c>
      <c r="K266" s="30">
        <f t="shared" ca="1" si="53"/>
        <v>-9.25319403469025E-3</v>
      </c>
      <c r="L266" s="30">
        <f t="shared" ca="1" si="53"/>
        <v>2.4271662759268772E-2</v>
      </c>
      <c r="M266" s="30">
        <f t="shared" ca="1" si="53"/>
        <v>3.3111762259985932E-2</v>
      </c>
      <c r="N266" s="30">
        <f t="shared" ca="1" si="53"/>
        <v>7.6339826603686142E-2</v>
      </c>
      <c r="O266" s="30">
        <f t="shared" ca="1" si="54"/>
        <v>-7.2622363708714222E-3</v>
      </c>
      <c r="P266" s="30">
        <f t="shared" ca="1" si="55"/>
        <v>4.2193211488250615E-2</v>
      </c>
      <c r="Q266" s="30">
        <f t="shared" ca="1" si="56"/>
        <v>7.9277525416396433E-2</v>
      </c>
      <c r="R266" s="30">
        <f t="shared" ca="1" si="57"/>
        <v>4.5687938803311345E-2</v>
      </c>
      <c r="S266" s="9" cm="1">
        <f t="array" aca="1" ref="S266" ca="1">_xll.FDS($E$7,"P_PRICE("&amp;AG266&amp;",0,D,D)")</f>
        <v>99.79</v>
      </c>
      <c r="T266" s="9" cm="1">
        <f t="array" aca="1" ref="T266" ca="1">_xll.FDS($E$7,"P_PRICE("&amp;AH266&amp;",0,D,D)")</f>
        <v>100.52</v>
      </c>
      <c r="U266" s="9" cm="1">
        <f t="array" aca="1" ref="U266" ca="1">_xll.FDS($E$7,"P_PRICE("&amp;AI266&amp;",0,D,D)")</f>
        <v>95.75</v>
      </c>
      <c r="V266" s="9" cm="1">
        <f t="array" aca="1" ref="V266" ca="1">_xll.FDS($E$7,"P_PRICE("&amp;AJ266&amp;",0,D,D)")</f>
        <v>92.46</v>
      </c>
      <c r="W266" s="9" cm="1">
        <f t="array" aca="1" ref="W266" ca="1">_xll.FDS($E$7,"P_PRICE("&amp;AK266&amp;",0,D,D)")</f>
        <v>95.43</v>
      </c>
      <c r="X266" s="24">
        <f t="shared" ca="1" si="58"/>
        <v>-7.7696115684514622E-3</v>
      </c>
      <c r="Y266" s="24">
        <f t="shared" ca="1" si="59"/>
        <v>2.0380140203801522E-2</v>
      </c>
      <c r="Z266" s="24">
        <f t="shared" ca="1" si="60"/>
        <v>2.780288948254106E-2</v>
      </c>
      <c r="AA266" s="24">
        <f t="shared" ca="1" si="61"/>
        <v>6.4100114802513541E-2</v>
      </c>
      <c r="AB266" s="9" cm="1">
        <f t="array" aca="1" ref="AB266" ca="1">_xll.FDS($E$9,"P_PRICE("&amp;AG266&amp;",0,D,D)")</f>
        <v>6071.17</v>
      </c>
      <c r="AC266" s="9" cm="1">
        <f t="array" aca="1" ref="AC266" ca="1">_xll.FDS($E$9,"P_PRICE("&amp;AH266&amp;",0,D,D)")</f>
        <v>6118.71</v>
      </c>
      <c r="AD266" s="9" cm="1">
        <f t="array" aca="1" ref="AD266" ca="1">_xll.FDS($E$9,"P_PRICE("&amp;AI266&amp;",0,D,D)")</f>
        <v>5949.91</v>
      </c>
      <c r="AE266" s="9" cm="1">
        <f t="array" aca="1" ref="AE266" ca="1">_xll.FDS($E$9,"P_PRICE("&amp;AJ266&amp;",0,D,D)")</f>
        <v>5906.94</v>
      </c>
      <c r="AF266" s="9" cm="1">
        <f t="array" aca="1" ref="AF266" ca="1">_xll.FDS($E$9,"P_PRICE("&amp;AK266&amp;",0,D,D)")</f>
        <v>5705.45</v>
      </c>
      <c r="AG266" s="20">
        <f t="shared" ca="1" si="67"/>
        <v>45687</v>
      </c>
      <c r="AH266" s="22">
        <f t="shared" ca="1" si="62"/>
        <v>45680</v>
      </c>
      <c r="AI266" s="22">
        <f t="shared" ca="1" si="63"/>
        <v>45672</v>
      </c>
      <c r="AJ266" s="22">
        <f t="shared" ca="1" si="64"/>
        <v>45656</v>
      </c>
      <c r="AK266" s="22">
        <f t="shared" ca="1" si="65"/>
        <v>45596</v>
      </c>
      <c r="AL266" s="22">
        <f t="shared" ca="1" si="66"/>
        <v>45511</v>
      </c>
    </row>
    <row r="267" spans="4:38" x14ac:dyDescent="0.25">
      <c r="D267" s="6">
        <f ca="1"/>
        <v>45686</v>
      </c>
      <c r="E267" s="28" cm="1">
        <f t="array" aca="1" ref="E267" ca="1">_xll.FDS($E$7,"P_PRICE("&amp;D267&amp;",0,D,D)")</f>
        <v>99.09</v>
      </c>
      <c r="F267" s="29" cm="1">
        <f t="array" aca="1" ref="F267" ca="1">_xll.FDS($E$7,"P_BETA_LOCIDX("&amp;$AG267&amp;","&amp;$AL267&amp;",,"""&amp;$E$9&amp;""")")</f>
        <v>1.1943549</v>
      </c>
      <c r="G267" s="30">
        <f t="shared" ca="1" si="52"/>
        <v>-3.1244257778247457E-3</v>
      </c>
      <c r="H267" s="30">
        <f t="shared" ca="1" si="52"/>
        <v>2.8901047691284314E-2</v>
      </c>
      <c r="I267" s="30">
        <f t="shared" ca="1" si="52"/>
        <v>4.5183959329294934E-2</v>
      </c>
      <c r="J267" s="30">
        <f t="shared" ca="1" si="52"/>
        <v>-1.3737512101416438E-2</v>
      </c>
      <c r="K267" s="30">
        <f t="shared" ca="1" si="53"/>
        <v>-9.2347888140221109E-3</v>
      </c>
      <c r="L267" s="30">
        <f t="shared" ca="1" si="53"/>
        <v>4.0146314483707764E-2</v>
      </c>
      <c r="M267" s="30">
        <f t="shared" ca="1" si="53"/>
        <v>1.3696143256727675E-2</v>
      </c>
      <c r="N267" s="30">
        <f t="shared" ca="1" si="53"/>
        <v>4.6355269500332807E-2</v>
      </c>
      <c r="O267" s="30">
        <f t="shared" ca="1" si="54"/>
        <v>-1.2359214591846857E-2</v>
      </c>
      <c r="P267" s="30">
        <f t="shared" ca="1" si="55"/>
        <v>6.9047362174992077E-2</v>
      </c>
      <c r="Q267" s="30">
        <f t="shared" ca="1" si="56"/>
        <v>5.8880102586022609E-2</v>
      </c>
      <c r="R267" s="30">
        <f t="shared" ca="1" si="57"/>
        <v>3.2617757398916369E-2</v>
      </c>
      <c r="S267" s="9" cm="1">
        <f t="array" aca="1" ref="S267" ca="1">_xll.FDS($E$7,"P_PRICE("&amp;AG267&amp;",0,D,D)")</f>
        <v>99.09</v>
      </c>
      <c r="T267" s="9" cm="1">
        <f t="array" aca="1" ref="T267" ca="1">_xll.FDS($E$7,"P_PRICE("&amp;AH267&amp;",0,D,D)")</f>
        <v>100.33</v>
      </c>
      <c r="U267" s="9" cm="1">
        <f t="array" aca="1" ref="U267" ca="1">_xll.FDS($E$7,"P_PRICE("&amp;AI267&amp;",0,D,D)")</f>
        <v>92.69</v>
      </c>
      <c r="V267" s="9" cm="1">
        <f t="array" aca="1" ref="V267" ca="1">_xll.FDS($E$7,"P_PRICE("&amp;AJ267&amp;",0,D,D)")</f>
        <v>93.58</v>
      </c>
      <c r="W267" s="9" cm="1">
        <f t="array" aca="1" ref="W267" ca="1">_xll.FDS($E$7,"P_PRICE("&amp;AK267&amp;",0,D,D)")</f>
        <v>95.96</v>
      </c>
      <c r="X267" s="24">
        <f t="shared" ca="1" si="58"/>
        <v>-7.7320307506772989E-3</v>
      </c>
      <c r="Y267" s="24">
        <f t="shared" ca="1" si="59"/>
        <v>3.3613387849547705E-2</v>
      </c>
      <c r="Z267" s="24">
        <f t="shared" ca="1" si="60"/>
        <v>1.1467398222025693E-2</v>
      </c>
      <c r="AA267" s="24">
        <f t="shared" ca="1" si="61"/>
        <v>3.88119724717777E-2</v>
      </c>
      <c r="AB267" s="9" cm="1">
        <f t="array" aca="1" ref="AB267" ca="1">_xll.FDS($E$9,"P_PRICE("&amp;AG267&amp;",0,D,D)")</f>
        <v>6039.31</v>
      </c>
      <c r="AC267" s="9" cm="1">
        <f t="array" aca="1" ref="AC267" ca="1">_xll.FDS($E$9,"P_PRICE("&amp;AH267&amp;",0,D,D)")</f>
        <v>6086.37</v>
      </c>
      <c r="AD267" s="9" cm="1">
        <f t="array" aca="1" ref="AD267" ca="1">_xll.FDS($E$9,"P_PRICE("&amp;AI267&amp;",0,D,D)")</f>
        <v>5842.91</v>
      </c>
      <c r="AE267" s="9" cm="1">
        <f t="array" aca="1" ref="AE267" ca="1">_xll.FDS($E$9,"P_PRICE("&amp;AJ267&amp;",0,D,D)")</f>
        <v>5970.84</v>
      </c>
      <c r="AF267" s="9" cm="1">
        <f t="array" aca="1" ref="AF267" ca="1">_xll.FDS($E$9,"P_PRICE("&amp;AK267&amp;",0,D,D)")</f>
        <v>5813.67</v>
      </c>
      <c r="AG267" s="20">
        <f t="shared" ca="1" si="67"/>
        <v>45686</v>
      </c>
      <c r="AH267" s="22">
        <f t="shared" ca="1" si="62"/>
        <v>45679</v>
      </c>
      <c r="AI267" s="22">
        <f t="shared" ca="1" si="63"/>
        <v>45671</v>
      </c>
      <c r="AJ267" s="22">
        <f t="shared" ca="1" si="64"/>
        <v>45653</v>
      </c>
      <c r="AK267" s="22">
        <f t="shared" ca="1" si="65"/>
        <v>45595</v>
      </c>
      <c r="AL267" s="22">
        <f t="shared" ca="1" si="66"/>
        <v>45510</v>
      </c>
    </row>
    <row r="268" spans="4:38" x14ac:dyDescent="0.25">
      <c r="D268" s="6">
        <f ca="1"/>
        <v>45685</v>
      </c>
      <c r="E268" s="28" cm="1">
        <f t="array" aca="1" ref="E268" ca="1">_xll.FDS($E$7,"P_PRICE("&amp;D268&amp;",0,D,D)")</f>
        <v>98.52</v>
      </c>
      <c r="F268" s="29" cm="1">
        <f t="array" aca="1" ref="F268" ca="1">_xll.FDS($E$7,"P_BETA_LOCIDX("&amp;$AG268&amp;","&amp;$AL268&amp;",,"""&amp;$E$9&amp;""")")</f>
        <v>1.1654173000000001</v>
      </c>
      <c r="G268" s="30">
        <f t="shared" ca="1" si="52"/>
        <v>-1.1311475185982365E-2</v>
      </c>
      <c r="H268" s="30">
        <f t="shared" ca="1" si="52"/>
        <v>2.9909712291415189E-2</v>
      </c>
      <c r="I268" s="30">
        <f t="shared" ca="1" si="52"/>
        <v>3.5075440137272276E-2</v>
      </c>
      <c r="J268" s="30">
        <f t="shared" ca="1" si="52"/>
        <v>-5.8015681272659755E-3</v>
      </c>
      <c r="K268" s="30">
        <f t="shared" ca="1" si="53"/>
        <v>3.5564142533606822E-3</v>
      </c>
      <c r="L268" s="30">
        <f t="shared" ca="1" si="53"/>
        <v>4.6223548221965463E-2</v>
      </c>
      <c r="M268" s="30">
        <f t="shared" ca="1" si="53"/>
        <v>5.812040052901913E-3</v>
      </c>
      <c r="N268" s="30">
        <f t="shared" ca="1" si="53"/>
        <v>4.6909039330901202E-2</v>
      </c>
      <c r="O268" s="30">
        <f t="shared" ca="1" si="54"/>
        <v>-7.7550609326216824E-3</v>
      </c>
      <c r="P268" s="30">
        <f t="shared" ca="1" si="55"/>
        <v>7.6133260513380652E-2</v>
      </c>
      <c r="Q268" s="30">
        <f t="shared" ca="1" si="56"/>
        <v>4.0887480190174186E-2</v>
      </c>
      <c r="R268" s="30">
        <f t="shared" ca="1" si="57"/>
        <v>4.1107471203635226E-2</v>
      </c>
      <c r="S268" s="9" cm="1">
        <f t="array" aca="1" ref="S268" ca="1">_xll.FDS($E$7,"P_PRICE("&amp;AG268&amp;",0,D,D)")</f>
        <v>98.52</v>
      </c>
      <c r="T268" s="9" cm="1">
        <f t="array" aca="1" ref="T268" ca="1">_xll.FDS($E$7,"P_PRICE("&amp;AH268&amp;",0,D,D)")</f>
        <v>99.29</v>
      </c>
      <c r="U268" s="9" cm="1">
        <f t="array" aca="1" ref="U268" ca="1">_xll.FDS($E$7,"P_PRICE("&amp;AI268&amp;",0,D,D)")</f>
        <v>91.55</v>
      </c>
      <c r="V268" s="9" cm="1">
        <f t="array" aca="1" ref="V268" ca="1">_xll.FDS($E$7,"P_PRICE("&amp;AJ268&amp;",0,D,D)")</f>
        <v>94.65</v>
      </c>
      <c r="W268" s="9" cm="1">
        <f t="array" aca="1" ref="W268" ca="1">_xll.FDS($E$7,"P_PRICE("&amp;AK268&amp;",0,D,D)")</f>
        <v>94.63</v>
      </c>
      <c r="X268" s="24">
        <f t="shared" ca="1" si="58"/>
        <v>3.05162301380002E-3</v>
      </c>
      <c r="Y268" s="24">
        <f t="shared" ca="1" si="59"/>
        <v>3.9662658364489234E-2</v>
      </c>
      <c r="Z268" s="24">
        <f t="shared" ca="1" si="60"/>
        <v>4.9870892193739635E-3</v>
      </c>
      <c r="AA268" s="24">
        <f t="shared" ca="1" si="61"/>
        <v>4.0250852060374598E-2</v>
      </c>
      <c r="AB268" s="9" cm="1">
        <f t="array" aca="1" ref="AB268" ca="1">_xll.FDS($E$9,"P_PRICE("&amp;AG268&amp;",0,D,D)")</f>
        <v>6067.7</v>
      </c>
      <c r="AC268" s="9" cm="1">
        <f t="array" aca="1" ref="AC268" ca="1">_xll.FDS($E$9,"P_PRICE("&amp;AH268&amp;",0,D,D)")</f>
        <v>6049.24</v>
      </c>
      <c r="AD268" s="9" cm="1">
        <f t="array" aca="1" ref="AD268" ca="1">_xll.FDS($E$9,"P_PRICE("&amp;AI268&amp;",0,D,D)")</f>
        <v>5836.22</v>
      </c>
      <c r="AE268" s="9" cm="1">
        <f t="array" aca="1" ref="AE268" ca="1">_xll.FDS($E$9,"P_PRICE("&amp;AJ268&amp;",0,D,D)")</f>
        <v>6037.59</v>
      </c>
      <c r="AF268" s="9" cm="1">
        <f t="array" aca="1" ref="AF268" ca="1">_xll.FDS($E$9,"P_PRICE("&amp;AK268&amp;",0,D,D)")</f>
        <v>5832.92</v>
      </c>
      <c r="AG268" s="20">
        <f t="shared" ca="1" si="67"/>
        <v>45685</v>
      </c>
      <c r="AH268" s="22">
        <f t="shared" ca="1" si="62"/>
        <v>45678</v>
      </c>
      <c r="AI268" s="22">
        <f t="shared" ca="1" si="63"/>
        <v>45670</v>
      </c>
      <c r="AJ268" s="22">
        <f t="shared" ca="1" si="64"/>
        <v>45652</v>
      </c>
      <c r="AK268" s="22">
        <f t="shared" ca="1" si="65"/>
        <v>45594</v>
      </c>
      <c r="AL268" s="22">
        <f t="shared" ca="1" si="66"/>
        <v>45509</v>
      </c>
    </row>
    <row r="269" spans="4:38" x14ac:dyDescent="0.25">
      <c r="D269" s="6">
        <f ca="1"/>
        <v>45684</v>
      </c>
      <c r="E269" s="28" cm="1">
        <f t="array" aca="1" ref="E269" ca="1">_xll.FDS($E$7,"P_PRICE("&amp;D269&amp;",0,D,D)")</f>
        <v>99.03</v>
      </c>
      <c r="F269" s="29" cm="1">
        <f t="array" aca="1" ref="F269" ca="1">_xll.FDS($E$7,"P_BETA_LOCIDX("&amp;$AG269&amp;","&amp;$AL269&amp;",,"""&amp;$E$9&amp;""")")</f>
        <v>1.2053746999999999</v>
      </c>
      <c r="G269" s="30">
        <f t="shared" ca="1" si="52"/>
        <v>9.9548892317857969E-3</v>
      </c>
      <c r="H269" s="30">
        <f t="shared" ca="1" si="52"/>
        <v>4.0674714307732757E-2</v>
      </c>
      <c r="I269" s="30">
        <f t="shared" ca="1" si="52"/>
        <v>5.0711401321377247E-2</v>
      </c>
      <c r="J269" s="30">
        <f t="shared" ca="1" si="52"/>
        <v>9.9763350829460487E-3</v>
      </c>
      <c r="K269" s="30">
        <f t="shared" ca="1" si="53"/>
        <v>3.1397399242245423E-3</v>
      </c>
      <c r="L269" s="30">
        <f t="shared" ca="1" si="53"/>
        <v>3.8318530407891543E-2</v>
      </c>
      <c r="M269" s="30">
        <f t="shared" ca="1" si="53"/>
        <v>-5.5398973635936676E-3</v>
      </c>
      <c r="N269" s="30">
        <f t="shared" ca="1" si="53"/>
        <v>3.9070275086545474E-2</v>
      </c>
      <c r="O269" s="30">
        <f t="shared" ca="1" si="54"/>
        <v>1.309462915601034E-2</v>
      </c>
      <c r="P269" s="30">
        <f t="shared" ca="1" si="55"/>
        <v>7.89932447156243E-2</v>
      </c>
      <c r="Q269" s="30">
        <f t="shared" ca="1" si="56"/>
        <v>4.5171503957783576E-2</v>
      </c>
      <c r="R269" s="30">
        <f t="shared" ca="1" si="57"/>
        <v>4.9046610169491522E-2</v>
      </c>
      <c r="S269" s="9" cm="1">
        <f t="array" aca="1" ref="S269" ca="1">_xll.FDS($E$7,"P_PRICE("&amp;AG269&amp;",0,D,D)")</f>
        <v>99.03</v>
      </c>
      <c r="T269" s="9" cm="1">
        <f t="array" aca="1" ref="T269" ca="1">_xll.FDS($E$7,"P_PRICE("&amp;AH269&amp;",0,D,D)")</f>
        <v>97.75</v>
      </c>
      <c r="U269" s="9" cm="1">
        <f t="array" aca="1" ref="U269" ca="1">_xll.FDS($E$7,"P_PRICE("&amp;AI269&amp;",0,D,D)")</f>
        <v>91.78</v>
      </c>
      <c r="V269" s="9" cm="1">
        <f t="array" aca="1" ref="V269" ca="1">_xll.FDS($E$7,"P_PRICE("&amp;AJ269&amp;",0,D,D)")</f>
        <v>94.75</v>
      </c>
      <c r="W269" s="9" cm="1">
        <f t="array" aca="1" ref="W269" ca="1">_xll.FDS($E$7,"P_PRICE("&amp;AK269&amp;",0,D,D)")</f>
        <v>94.4</v>
      </c>
      <c r="X269" s="24">
        <f t="shared" ca="1" si="58"/>
        <v>2.6047833293867395E-3</v>
      </c>
      <c r="Y269" s="24">
        <f t="shared" ca="1" si="59"/>
        <v>3.1789725143469116E-2</v>
      </c>
      <c r="Z269" s="24">
        <f t="shared" ca="1" si="60"/>
        <v>-4.5959960530063126E-3</v>
      </c>
      <c r="AA269" s="24">
        <f t="shared" ca="1" si="61"/>
        <v>3.2413385718603083E-2</v>
      </c>
      <c r="AB269" s="9" cm="1">
        <f t="array" aca="1" ref="AB269" ca="1">_xll.FDS($E$9,"P_PRICE("&amp;AG269&amp;",0,D,D)")</f>
        <v>6012.28</v>
      </c>
      <c r="AC269" s="9" cm="1">
        <f t="array" aca="1" ref="AC269" ca="1">_xll.FDS($E$9,"P_PRICE("&amp;AH269&amp;",0,D,D)")</f>
        <v>5996.66</v>
      </c>
      <c r="AD269" s="9" cm="1">
        <f t="array" aca="1" ref="AD269" ca="1">_xll.FDS($E$9,"P_PRICE("&amp;AI269&amp;",0,D,D)")</f>
        <v>5827.04</v>
      </c>
      <c r="AE269" s="9" cm="1">
        <f t="array" aca="1" ref="AE269" ca="1">_xll.FDS($E$9,"P_PRICE("&amp;AJ269&amp;",0,D,D)")</f>
        <v>6040.04</v>
      </c>
      <c r="AF269" s="9" cm="1">
        <f t="array" aca="1" ref="AF269" ca="1">_xll.FDS($E$9,"P_PRICE("&amp;AK269&amp;",0,D,D)")</f>
        <v>5823.52</v>
      </c>
      <c r="AG269" s="20">
        <f t="shared" ca="1" si="67"/>
        <v>45684</v>
      </c>
      <c r="AH269" s="22">
        <f t="shared" ca="1" si="62"/>
        <v>45674</v>
      </c>
      <c r="AI269" s="22">
        <f t="shared" ca="1" si="63"/>
        <v>45667</v>
      </c>
      <c r="AJ269" s="22">
        <f t="shared" ca="1" si="64"/>
        <v>45650</v>
      </c>
      <c r="AK269" s="22">
        <f t="shared" ca="1" si="65"/>
        <v>45593</v>
      </c>
      <c r="AL269" s="22">
        <f t="shared" ca="1" si="66"/>
        <v>45506</v>
      </c>
    </row>
    <row r="270" spans="4:38" x14ac:dyDescent="0.25">
      <c r="D270" s="6">
        <f ca="1"/>
        <v>45681</v>
      </c>
      <c r="E270" s="28" cm="1">
        <f t="array" aca="1" ref="E270" ca="1">_xll.FDS($E$7,"P_PRICE("&amp;D270&amp;",0,D,D)")</f>
        <v>101.26</v>
      </c>
      <c r="F270" s="29" cm="1">
        <f t="array" aca="1" ref="F270" ca="1">_xll.FDS($E$7,"P_BETA_LOCIDX("&amp;$AG270&amp;","&amp;$AL270&amp;",,"""&amp;$E$9&amp;""")")</f>
        <v>1.241128</v>
      </c>
      <c r="G270" s="30">
        <f t="shared" ca="1" si="52"/>
        <v>2.5054546161993027E-2</v>
      </c>
      <c r="H270" s="30">
        <f t="shared" ca="1" si="52"/>
        <v>5.6209171737840576E-2</v>
      </c>
      <c r="I270" s="30">
        <f t="shared" ca="1" si="52"/>
        <v>4.8070776238986854E-2</v>
      </c>
      <c r="J270" s="30">
        <f t="shared" ca="1" si="52"/>
        <v>3.3369710883605894E-2</v>
      </c>
      <c r="K270" s="30">
        <f t="shared" ca="1" si="53"/>
        <v>3.4261281853489825E-2</v>
      </c>
      <c r="L270" s="30">
        <f t="shared" ca="1" si="53"/>
        <v>3.837519751953699E-2</v>
      </c>
      <c r="M270" s="30">
        <f t="shared" ca="1" si="53"/>
        <v>2.641988590023232E-2</v>
      </c>
      <c r="N270" s="30">
        <f t="shared" ca="1" si="53"/>
        <v>6.2636350378435582E-2</v>
      </c>
      <c r="O270" s="30">
        <f t="shared" ca="1" si="54"/>
        <v>5.9315828015482852E-2</v>
      </c>
      <c r="P270" s="30">
        <f t="shared" ca="1" si="55"/>
        <v>9.4584369257377565E-2</v>
      </c>
      <c r="Q270" s="30">
        <f t="shared" ca="1" si="56"/>
        <v>7.4490662139219177E-2</v>
      </c>
      <c r="R270" s="30">
        <f t="shared" ca="1" si="57"/>
        <v>9.6006061262041476E-2</v>
      </c>
      <c r="S270" s="9" cm="1">
        <f t="array" aca="1" ref="S270" ca="1">_xll.FDS($E$7,"P_PRICE("&amp;AG270&amp;",0,D,D)")</f>
        <v>101.26</v>
      </c>
      <c r="T270" s="9" cm="1">
        <f t="array" aca="1" ref="T270" ca="1">_xll.FDS($E$7,"P_PRICE("&amp;AH270&amp;",0,D,D)")</f>
        <v>95.59</v>
      </c>
      <c r="U270" s="9" cm="1">
        <f t="array" aca="1" ref="U270" ca="1">_xll.FDS($E$7,"P_PRICE("&amp;AI270&amp;",0,D,D)")</f>
        <v>92.51</v>
      </c>
      <c r="V270" s="9" cm="1">
        <f t="array" aca="1" ref="V270" ca="1">_xll.FDS($E$7,"P_PRICE("&amp;AJ270&amp;",0,D,D)")</f>
        <v>94.24</v>
      </c>
      <c r="W270" s="9" cm="1">
        <f t="array" aca="1" ref="W270" ca="1">_xll.FDS($E$7,"P_PRICE("&amp;AK270&amp;",0,D,D)")</f>
        <v>92.39</v>
      </c>
      <c r="X270" s="24">
        <f t="shared" ca="1" si="58"/>
        <v>2.760495440719235E-2</v>
      </c>
      <c r="Y270" s="24">
        <f t="shared" ca="1" si="59"/>
        <v>3.0919613061293427E-2</v>
      </c>
      <c r="Z270" s="24">
        <f t="shared" ca="1" si="60"/>
        <v>2.1286995298013034E-2</v>
      </c>
      <c r="AA270" s="24">
        <f t="shared" ca="1" si="61"/>
        <v>5.0467276846897002E-2</v>
      </c>
      <c r="AB270" s="9" cm="1">
        <f t="array" aca="1" ref="AB270" ca="1">_xll.FDS($E$9,"P_PRICE("&amp;AG270&amp;",0,D,D)")</f>
        <v>6101.24</v>
      </c>
      <c r="AC270" s="9" cm="1">
        <f t="array" aca="1" ref="AC270" ca="1">_xll.FDS($E$9,"P_PRICE("&amp;AH270&amp;",0,D,D)")</f>
        <v>5937.34</v>
      </c>
      <c r="AD270" s="9" cm="1">
        <f t="array" aca="1" ref="AD270" ca="1">_xll.FDS($E$9,"P_PRICE("&amp;AI270&amp;",0,D,D)")</f>
        <v>5918.25</v>
      </c>
      <c r="AE270" s="9" cm="1">
        <f t="array" aca="1" ref="AE270" ca="1">_xll.FDS($E$9,"P_PRICE("&amp;AJ270&amp;",0,D,D)")</f>
        <v>5974.07</v>
      </c>
      <c r="AF270" s="9" cm="1">
        <f t="array" aca="1" ref="AF270" ca="1">_xll.FDS($E$9,"P_PRICE("&amp;AK270&amp;",0,D,D)")</f>
        <v>5808.12</v>
      </c>
      <c r="AG270" s="20">
        <f t="shared" ca="1" si="67"/>
        <v>45681</v>
      </c>
      <c r="AH270" s="22">
        <f t="shared" ca="1" si="62"/>
        <v>45673</v>
      </c>
      <c r="AI270" s="22">
        <f t="shared" ca="1" si="63"/>
        <v>45665</v>
      </c>
      <c r="AJ270" s="22">
        <f t="shared" ca="1" si="64"/>
        <v>45649</v>
      </c>
      <c r="AK270" s="22">
        <f t="shared" ca="1" si="65"/>
        <v>45590</v>
      </c>
      <c r="AL270" s="22">
        <f t="shared" ca="1" si="66"/>
        <v>45505</v>
      </c>
    </row>
    <row r="271" spans="4:38" x14ac:dyDescent="0.25">
      <c r="D271" s="6">
        <f ca="1"/>
        <v>45680</v>
      </c>
      <c r="E271" s="28" cm="1">
        <f t="array" aca="1" ref="E271" ca="1">_xll.FDS($E$7,"P_PRICE("&amp;D271&amp;",0,D,D)")</f>
        <v>100.52</v>
      </c>
      <c r="F271" s="29" cm="1">
        <f t="array" aca="1" ref="F271" ca="1">_xll.FDS($E$7,"P_BETA_LOCIDX("&amp;$AG271&amp;","&amp;$AL271&amp;",,"""&amp;$E$9&amp;""")")</f>
        <v>1.2444514</v>
      </c>
      <c r="G271" s="30">
        <f t="shared" ca="1" si="52"/>
        <v>1.4511925855376175E-2</v>
      </c>
      <c r="H271" s="30">
        <f t="shared" ca="1" si="52"/>
        <v>4.4662538905329049E-2</v>
      </c>
      <c r="I271" s="30">
        <f t="shared" ca="1" si="52"/>
        <v>3.4054808288811751E-2</v>
      </c>
      <c r="J271" s="30">
        <f t="shared" ca="1" si="52"/>
        <v>3.1225338390020937E-2</v>
      </c>
      <c r="K271" s="30">
        <f t="shared" ca="1" si="53"/>
        <v>3.5305306520602951E-2</v>
      </c>
      <c r="L271" s="30">
        <f t="shared" ca="1" si="53"/>
        <v>4.4158951562608587E-2</v>
      </c>
      <c r="M271" s="30">
        <f t="shared" ca="1" si="53"/>
        <v>3.9418066551000157E-2</v>
      </c>
      <c r="N271" s="30">
        <f t="shared" ca="1" si="53"/>
        <v>6.6154574273734626E-2</v>
      </c>
      <c r="O271" s="30">
        <f t="shared" ca="1" si="54"/>
        <v>4.9817232375979126E-2</v>
      </c>
      <c r="P271" s="30">
        <f t="shared" ca="1" si="55"/>
        <v>8.8821490467937636E-2</v>
      </c>
      <c r="Q271" s="30">
        <f t="shared" ca="1" si="56"/>
        <v>7.3472874839811908E-2</v>
      </c>
      <c r="R271" s="30">
        <f t="shared" ca="1" si="57"/>
        <v>9.7379912663755563E-2</v>
      </c>
      <c r="S271" s="9" cm="1">
        <f t="array" aca="1" ref="S271" ca="1">_xll.FDS($E$7,"P_PRICE("&amp;AG271&amp;",0,D,D)")</f>
        <v>100.52</v>
      </c>
      <c r="T271" s="9" cm="1">
        <f t="array" aca="1" ref="T271" ca="1">_xll.FDS($E$7,"P_PRICE("&amp;AH271&amp;",0,D,D)")</f>
        <v>95.75</v>
      </c>
      <c r="U271" s="9" cm="1">
        <f t="array" aca="1" ref="U271" ca="1">_xll.FDS($E$7,"P_PRICE("&amp;AI271&amp;",0,D,D)")</f>
        <v>92.32</v>
      </c>
      <c r="V271" s="9" cm="1">
        <f t="array" aca="1" ref="V271" ca="1">_xll.FDS($E$7,"P_PRICE("&amp;AJ271&amp;",0,D,D)")</f>
        <v>93.64</v>
      </c>
      <c r="W271" s="9" cm="1">
        <f t="array" aca="1" ref="W271" ca="1">_xll.FDS($E$7,"P_PRICE("&amp;AK271&amp;",0,D,D)")</f>
        <v>91.6</v>
      </c>
      <c r="X271" s="24">
        <f t="shared" ca="1" si="58"/>
        <v>2.8370177027887911E-2</v>
      </c>
      <c r="Y271" s="24">
        <f t="shared" ca="1" si="59"/>
        <v>3.5484673457403471E-2</v>
      </c>
      <c r="Z271" s="24">
        <f t="shared" ca="1" si="60"/>
        <v>3.1675055008978381E-2</v>
      </c>
      <c r="AA271" s="24">
        <f t="shared" ca="1" si="61"/>
        <v>5.3159628631326727E-2</v>
      </c>
      <c r="AB271" s="9" cm="1">
        <f t="array" aca="1" ref="AB271" ca="1">_xll.FDS($E$9,"P_PRICE("&amp;AG271&amp;",0,D,D)")</f>
        <v>6118.71</v>
      </c>
      <c r="AC271" s="9" cm="1">
        <f t="array" aca="1" ref="AC271" ca="1">_xll.FDS($E$9,"P_PRICE("&amp;AH271&amp;",0,D,D)")</f>
        <v>5949.91</v>
      </c>
      <c r="AD271" s="9" cm="1">
        <f t="array" aca="1" ref="AD271" ca="1">_xll.FDS($E$9,"P_PRICE("&amp;AI271&amp;",0,D,D)")</f>
        <v>5909.03</v>
      </c>
      <c r="AE271" s="9" cm="1">
        <f t="array" aca="1" ref="AE271" ca="1">_xll.FDS($E$9,"P_PRICE("&amp;AJ271&amp;",0,D,D)")</f>
        <v>5930.85</v>
      </c>
      <c r="AF271" s="9" cm="1">
        <f t="array" aca="1" ref="AF271" ca="1">_xll.FDS($E$9,"P_PRICE("&amp;AK271&amp;",0,D,D)")</f>
        <v>5809.86</v>
      </c>
      <c r="AG271" s="20">
        <f t="shared" ca="1" si="67"/>
        <v>45680</v>
      </c>
      <c r="AH271" s="22">
        <f t="shared" ca="1" si="62"/>
        <v>45672</v>
      </c>
      <c r="AI271" s="22">
        <f t="shared" ca="1" si="63"/>
        <v>45664</v>
      </c>
      <c r="AJ271" s="22">
        <f t="shared" ca="1" si="64"/>
        <v>45646</v>
      </c>
      <c r="AK271" s="22">
        <f t="shared" ca="1" si="65"/>
        <v>45589</v>
      </c>
      <c r="AL271" s="22">
        <f t="shared" ca="1" si="66"/>
        <v>45504</v>
      </c>
    </row>
    <row r="272" spans="4:38" x14ac:dyDescent="0.25">
      <c r="D272" s="6">
        <f ca="1"/>
        <v>45679</v>
      </c>
      <c r="E272" s="28" cm="1">
        <f t="array" aca="1" ref="E272" ca="1">_xll.FDS($E$7,"P_PRICE("&amp;D272&amp;",0,D,D)")</f>
        <v>100.33</v>
      </c>
      <c r="F272" s="29" cm="1">
        <f t="array" aca="1" ref="F272" ca="1">_xll.FDS($E$7,"P_BETA_LOCIDX("&amp;$AG272&amp;","&amp;$AL272&amp;",,"""&amp;$E$9&amp;""")")</f>
        <v>1.2326950000000001</v>
      </c>
      <c r="G272" s="30">
        <f t="shared" ca="1" si="52"/>
        <v>3.1061854160473391E-2</v>
      </c>
      <c r="H272" s="30">
        <f t="shared" ca="1" si="52"/>
        <v>4.8890446191405992E-2</v>
      </c>
      <c r="I272" s="30">
        <f t="shared" ca="1" si="52"/>
        <v>3.2048009659045161E-2</v>
      </c>
      <c r="J272" s="30">
        <f t="shared" ca="1" si="52"/>
        <v>4.3273698941496248E-2</v>
      </c>
      <c r="K272" s="30">
        <f t="shared" ca="1" si="53"/>
        <v>5.1363434435923137E-2</v>
      </c>
      <c r="L272" s="30">
        <f t="shared" ca="1" si="53"/>
        <v>2.2896756030578762E-2</v>
      </c>
      <c r="M272" s="30">
        <f t="shared" ca="1" si="53"/>
        <v>4.6073632292384072E-2</v>
      </c>
      <c r="N272" s="30">
        <f t="shared" ca="1" si="53"/>
        <v>6.1438919424502518E-2</v>
      </c>
      <c r="O272" s="30">
        <f t="shared" ca="1" si="54"/>
        <v>8.2425288596396529E-2</v>
      </c>
      <c r="P272" s="30">
        <f t="shared" ca="1" si="55"/>
        <v>7.1787202221984758E-2</v>
      </c>
      <c r="Q272" s="30">
        <f t="shared" ca="1" si="56"/>
        <v>7.8121641951429233E-2</v>
      </c>
      <c r="R272" s="30">
        <f t="shared" ca="1" si="57"/>
        <v>0.10471261836599877</v>
      </c>
      <c r="S272" s="9" cm="1">
        <f t="array" aca="1" ref="S272" ca="1">_xll.FDS($E$7,"P_PRICE("&amp;AG272&amp;",0,D,D)")</f>
        <v>100.33</v>
      </c>
      <c r="T272" s="9" cm="1">
        <f t="array" aca="1" ref="T272" ca="1">_xll.FDS($E$7,"P_PRICE("&amp;AH272&amp;",0,D,D)")</f>
        <v>92.69</v>
      </c>
      <c r="U272" s="9" cm="1">
        <f t="array" aca="1" ref="U272" ca="1">_xll.FDS($E$7,"P_PRICE("&amp;AI272&amp;",0,D,D)")</f>
        <v>93.61</v>
      </c>
      <c r="V272" s="9" cm="1">
        <f t="array" aca="1" ref="V272" ca="1">_xll.FDS($E$7,"P_PRICE("&amp;AJ272&amp;",0,D,D)")</f>
        <v>93.06</v>
      </c>
      <c r="W272" s="9" cm="1">
        <f t="array" aca="1" ref="W272" ca="1">_xll.FDS($E$7,"P_PRICE("&amp;AK272&amp;",0,D,D)")</f>
        <v>90.82</v>
      </c>
      <c r="X272" s="24">
        <f t="shared" ca="1" si="58"/>
        <v>4.1667593716144813E-2</v>
      </c>
      <c r="Y272" s="24">
        <f t="shared" ca="1" si="59"/>
        <v>1.8574550907222598E-2</v>
      </c>
      <c r="Z272" s="24">
        <f t="shared" ca="1" si="60"/>
        <v>3.7376343939404366E-2</v>
      </c>
      <c r="AA272" s="24">
        <f t="shared" ca="1" si="61"/>
        <v>4.9841136229564098E-2</v>
      </c>
      <c r="AB272" s="9" cm="1">
        <f t="array" aca="1" ref="AB272" ca="1">_xll.FDS($E$9,"P_PRICE("&amp;AG272&amp;",0,D,D)")</f>
        <v>6086.37</v>
      </c>
      <c r="AC272" s="9" cm="1">
        <f t="array" aca="1" ref="AC272" ca="1">_xll.FDS($E$9,"P_PRICE("&amp;AH272&amp;",0,D,D)")</f>
        <v>5842.91</v>
      </c>
      <c r="AD272" s="9" cm="1">
        <f t="array" aca="1" ref="AD272" ca="1">_xll.FDS($E$9,"P_PRICE("&amp;AI272&amp;",0,D,D)")</f>
        <v>5975.38</v>
      </c>
      <c r="AE272" s="9" cm="1">
        <f t="array" aca="1" ref="AE272" ca="1">_xll.FDS($E$9,"P_PRICE("&amp;AJ272&amp;",0,D,D)")</f>
        <v>5867.08</v>
      </c>
      <c r="AF272" s="9" cm="1">
        <f t="array" aca="1" ref="AF272" ca="1">_xll.FDS($E$9,"P_PRICE("&amp;AK272&amp;",0,D,D)")</f>
        <v>5797.42</v>
      </c>
      <c r="AG272" s="20">
        <f t="shared" ca="1" si="67"/>
        <v>45679</v>
      </c>
      <c r="AH272" s="22">
        <f t="shared" ca="1" si="62"/>
        <v>45671</v>
      </c>
      <c r="AI272" s="22">
        <f t="shared" ca="1" si="63"/>
        <v>45663</v>
      </c>
      <c r="AJ272" s="22">
        <f t="shared" ca="1" si="64"/>
        <v>45645</v>
      </c>
      <c r="AK272" s="22">
        <f t="shared" ca="1" si="65"/>
        <v>45588</v>
      </c>
      <c r="AL272" s="22">
        <f t="shared" ca="1" si="66"/>
        <v>45503</v>
      </c>
    </row>
    <row r="273" spans="4:38" x14ac:dyDescent="0.25">
      <c r="D273" s="6">
        <f ca="1"/>
        <v>45678</v>
      </c>
      <c r="E273" s="28" cm="1">
        <f t="array" aca="1" ref="E273" ca="1">_xll.FDS($E$7,"P_PRICE("&amp;D273&amp;",0,D,D)")</f>
        <v>99.29</v>
      </c>
      <c r="F273" s="29" cm="1">
        <f t="array" aca="1" ref="F273" ca="1">_xll.FDS($E$7,"P_BETA_LOCIDX("&amp;$AG273&amp;","&amp;$AL273&amp;",,"""&amp;$E$9&amp;""")")</f>
        <v>1.2313723999999999</v>
      </c>
      <c r="G273" s="30">
        <f t="shared" ca="1" si="52"/>
        <v>3.9599300752068002E-2</v>
      </c>
      <c r="H273" s="30">
        <f t="shared" ca="1" si="52"/>
        <v>4.2761906829059351E-2</v>
      </c>
      <c r="I273" s="30">
        <f t="shared" ca="1" si="52"/>
        <v>2.2412319647169207E-2</v>
      </c>
      <c r="J273" s="30">
        <f t="shared" ca="1" si="52"/>
        <v>3.9559978310189481E-2</v>
      </c>
      <c r="K273" s="30">
        <f t="shared" ca="1" si="53"/>
        <v>4.4944664294354807E-2</v>
      </c>
      <c r="L273" s="30">
        <f t="shared" ca="1" si="53"/>
        <v>2.2124408057255674E-2</v>
      </c>
      <c r="M273" s="30">
        <f t="shared" ca="1" si="53"/>
        <v>3.7133086392741335E-2</v>
      </c>
      <c r="N273" s="30">
        <f t="shared" ca="1" si="53"/>
        <v>4.1677090185944843E-2</v>
      </c>
      <c r="O273" s="30">
        <f t="shared" ca="1" si="54"/>
        <v>8.4543965046422809E-2</v>
      </c>
      <c r="P273" s="30">
        <f t="shared" ca="1" si="55"/>
        <v>6.4886314886315022E-2</v>
      </c>
      <c r="Q273" s="30">
        <f t="shared" ca="1" si="56"/>
        <v>5.9545406039910542E-2</v>
      </c>
      <c r="R273" s="30">
        <f t="shared" ca="1" si="57"/>
        <v>8.1237068496134324E-2</v>
      </c>
      <c r="S273" s="9" cm="1">
        <f t="array" aca="1" ref="S273" ca="1">_xll.FDS($E$7,"P_PRICE("&amp;AG273&amp;",0,D,D)")</f>
        <v>99.29</v>
      </c>
      <c r="T273" s="9" cm="1">
        <f t="array" aca="1" ref="T273" ca="1">_xll.FDS($E$7,"P_PRICE("&amp;AH273&amp;",0,D,D)")</f>
        <v>91.55</v>
      </c>
      <c r="U273" s="9" cm="1">
        <f t="array" aca="1" ref="U273" ca="1">_xll.FDS($E$7,"P_PRICE("&amp;AI273&amp;",0,D,D)")</f>
        <v>93.24</v>
      </c>
      <c r="V273" s="9" cm="1">
        <f t="array" aca="1" ref="V273" ca="1">_xll.FDS($E$7,"P_PRICE("&amp;AJ273&amp;",0,D,D)")</f>
        <v>93.71</v>
      </c>
      <c r="W273" s="9" cm="1">
        <f t="array" aca="1" ref="W273" ca="1">_xll.FDS($E$7,"P_PRICE("&amp;AK273&amp;",0,D,D)")</f>
        <v>91.83</v>
      </c>
      <c r="X273" s="24">
        <f t="shared" ca="1" si="58"/>
        <v>3.649965217212503E-2</v>
      </c>
      <c r="Y273" s="24">
        <f t="shared" ca="1" si="59"/>
        <v>1.7967276233620044E-2</v>
      </c>
      <c r="Z273" s="24">
        <f t="shared" ca="1" si="60"/>
        <v>3.0155854063921961E-2</v>
      </c>
      <c r="AA273" s="24">
        <f t="shared" ca="1" si="61"/>
        <v>3.3846048673776385E-2</v>
      </c>
      <c r="AB273" s="9" cm="1">
        <f t="array" aca="1" ref="AB273" ca="1">_xll.FDS($E$9,"P_PRICE("&amp;AG273&amp;",0,D,D)")</f>
        <v>6049.24</v>
      </c>
      <c r="AC273" s="9" cm="1">
        <f t="array" aca="1" ref="AC273" ca="1">_xll.FDS($E$9,"P_PRICE("&amp;AH273&amp;",0,D,D)")</f>
        <v>5836.22</v>
      </c>
      <c r="AD273" s="9" cm="1">
        <f t="array" aca="1" ref="AD273" ca="1">_xll.FDS($E$9,"P_PRICE("&amp;AI273&amp;",0,D,D)")</f>
        <v>5942.47</v>
      </c>
      <c r="AE273" s="9" cm="1">
        <f t="array" aca="1" ref="AE273" ca="1">_xll.FDS($E$9,"P_PRICE("&amp;AJ273&amp;",0,D,D)")</f>
        <v>5872.16</v>
      </c>
      <c r="AF273" s="9" cm="1">
        <f t="array" aca="1" ref="AF273" ca="1">_xll.FDS($E$9,"P_PRICE("&amp;AK273&amp;",0,D,D)")</f>
        <v>5851.2</v>
      </c>
      <c r="AG273" s="20">
        <f t="shared" ca="1" si="67"/>
        <v>45678</v>
      </c>
      <c r="AH273" s="22">
        <f t="shared" ca="1" si="62"/>
        <v>45670</v>
      </c>
      <c r="AI273" s="22">
        <f t="shared" ca="1" si="63"/>
        <v>45660</v>
      </c>
      <c r="AJ273" s="22">
        <f t="shared" ca="1" si="64"/>
        <v>45644</v>
      </c>
      <c r="AK273" s="22">
        <f t="shared" ca="1" si="65"/>
        <v>45587</v>
      </c>
      <c r="AL273" s="22">
        <f t="shared" ca="1" si="66"/>
        <v>45502</v>
      </c>
    </row>
    <row r="274" spans="4:38" x14ac:dyDescent="0.25">
      <c r="D274" s="6">
        <f ca="1"/>
        <v>45674</v>
      </c>
      <c r="E274" s="28" cm="1">
        <f t="array" aca="1" ref="E274" ca="1">_xll.FDS($E$7,"P_PRICE("&amp;D274&amp;",0,D,D)")</f>
        <v>97.75</v>
      </c>
      <c r="F274" s="29" cm="1">
        <f t="array" aca="1" ref="F274" ca="1">_xll.FDS($E$7,"P_BETA_LOCIDX("&amp;$AG274&amp;","&amp;$AL274&amp;",,"""&amp;$E$9&amp;""")")</f>
        <v>1.2389473</v>
      </c>
      <c r="G274" s="30">
        <f t="shared" ca="1" si="52"/>
        <v>2.8982186940770129E-2</v>
      </c>
      <c r="H274" s="30">
        <f t="shared" ca="1" si="52"/>
        <v>2.7316942334729123E-2</v>
      </c>
      <c r="I274" s="30">
        <f t="shared" ca="1" si="52"/>
        <v>1.6395163106521088E-2</v>
      </c>
      <c r="J274" s="30">
        <f t="shared" ca="1" si="52"/>
        <v>2.9653311423011208E-2</v>
      </c>
      <c r="K274" s="30">
        <f t="shared" ca="1" si="53"/>
        <v>3.6064664225061181E-2</v>
      </c>
      <c r="L274" s="30">
        <f t="shared" ca="1" si="53"/>
        <v>2.7046125295515776E-2</v>
      </c>
      <c r="M274" s="30">
        <f t="shared" ca="1" si="53"/>
        <v>-1.1047019529435848E-2</v>
      </c>
      <c r="N274" s="30">
        <f t="shared" ca="1" si="53"/>
        <v>3.0197062641826745E-2</v>
      </c>
      <c r="O274" s="30">
        <f t="shared" ca="1" si="54"/>
        <v>6.504685116583131E-2</v>
      </c>
      <c r="P274" s="30">
        <f t="shared" ca="1" si="55"/>
        <v>5.4363067630244899E-2</v>
      </c>
      <c r="Q274" s="30">
        <f t="shared" ca="1" si="56"/>
        <v>5.3481435770852404E-3</v>
      </c>
      <c r="R274" s="30">
        <f t="shared" ca="1" si="57"/>
        <v>5.9850374064837952E-2</v>
      </c>
      <c r="S274" s="9" cm="1">
        <f t="array" aca="1" ref="S274" ca="1">_xll.FDS($E$7,"P_PRICE("&amp;AG274&amp;",0,D,D)")</f>
        <v>97.75</v>
      </c>
      <c r="T274" s="9" cm="1">
        <f t="array" aca="1" ref="T274" ca="1">_xll.FDS($E$7,"P_PRICE("&amp;AH274&amp;",0,D,D)")</f>
        <v>91.78</v>
      </c>
      <c r="U274" s="9" cm="1">
        <f t="array" aca="1" ref="U274" ca="1">_xll.FDS($E$7,"P_PRICE("&amp;AI274&amp;",0,D,D)")</f>
        <v>92.71</v>
      </c>
      <c r="V274" s="9" cm="1">
        <f t="array" aca="1" ref="V274" ca="1">_xll.FDS($E$7,"P_PRICE("&amp;AJ274&amp;",0,D,D)")</f>
        <v>97.23</v>
      </c>
      <c r="W274" s="9" cm="1">
        <f t="array" aca="1" ref="W274" ca="1">_xll.FDS($E$7,"P_PRICE("&amp;AK274&amp;",0,D,D)")</f>
        <v>92.23</v>
      </c>
      <c r="X274" s="24">
        <f t="shared" ca="1" si="58"/>
        <v>2.9109118866525785E-2</v>
      </c>
      <c r="Y274" s="24">
        <f t="shared" ca="1" si="59"/>
        <v>2.1829923916469873E-2</v>
      </c>
      <c r="Z274" s="24">
        <f t="shared" ca="1" si="60"/>
        <v>-8.916456357292879E-3</v>
      </c>
      <c r="AA274" s="24">
        <f t="shared" ca="1" si="61"/>
        <v>2.4373161507214025E-2</v>
      </c>
      <c r="AB274" s="9" cm="1">
        <f t="array" aca="1" ref="AB274" ca="1">_xll.FDS($E$9,"P_PRICE("&amp;AG274&amp;",0,D,D)")</f>
        <v>5996.66</v>
      </c>
      <c r="AC274" s="9" cm="1">
        <f t="array" aca="1" ref="AC274" ca="1">_xll.FDS($E$9,"P_PRICE("&amp;AH274&amp;",0,D,D)")</f>
        <v>5827.04</v>
      </c>
      <c r="AD274" s="9" cm="1">
        <f t="array" aca="1" ref="AD274" ca="1">_xll.FDS($E$9,"P_PRICE("&amp;AI274&amp;",0,D,D)")</f>
        <v>5868.55</v>
      </c>
      <c r="AE274" s="9" cm="1">
        <f t="array" aca="1" ref="AE274" ca="1">_xll.FDS($E$9,"P_PRICE("&amp;AJ274&amp;",0,D,D)")</f>
        <v>6050.61</v>
      </c>
      <c r="AF274" s="9" cm="1">
        <f t="array" aca="1" ref="AF274" ca="1">_xll.FDS($E$9,"P_PRICE("&amp;AK274&amp;",0,D,D)")</f>
        <v>5853.98</v>
      </c>
      <c r="AG274" s="20">
        <f t="shared" ca="1" si="67"/>
        <v>45674</v>
      </c>
      <c r="AH274" s="22">
        <f t="shared" ca="1" si="62"/>
        <v>45667</v>
      </c>
      <c r="AI274" s="22">
        <f t="shared" ca="1" si="63"/>
        <v>45659</v>
      </c>
      <c r="AJ274" s="22">
        <f t="shared" ca="1" si="64"/>
        <v>45643</v>
      </c>
      <c r="AK274" s="22">
        <f t="shared" ca="1" si="65"/>
        <v>45586</v>
      </c>
      <c r="AL274" s="22">
        <f t="shared" ca="1" si="66"/>
        <v>45499</v>
      </c>
    </row>
    <row r="275" spans="4:38" x14ac:dyDescent="0.25">
      <c r="D275" s="6">
        <f ca="1"/>
        <v>45673</v>
      </c>
      <c r="E275" s="28" cm="1">
        <f t="array" aca="1" ref="E275" ca="1">_xll.FDS($E$7,"P_PRICE("&amp;D275&amp;",0,D,D)")</f>
        <v>95.59</v>
      </c>
      <c r="F275" s="29" cm="1">
        <f t="array" aca="1" ref="F275" ca="1">_xll.FDS($E$7,"P_BETA_LOCIDX("&amp;$AG275&amp;","&amp;$AL275&amp;",,"""&amp;$E$9&amp;""")")</f>
        <v>1.2274996</v>
      </c>
      <c r="G275" s="30">
        <f t="shared" ca="1" si="52"/>
        <v>2.9334256021261468E-2</v>
      </c>
      <c r="H275" s="30">
        <f t="shared" ca="1" si="52"/>
        <v>2.155530531522111E-2</v>
      </c>
      <c r="I275" s="30">
        <f t="shared" ca="1" si="52"/>
        <v>1.0551224474033942E-3</v>
      </c>
      <c r="J275" s="30">
        <f t="shared" ca="1" si="52"/>
        <v>7.3615426034710808E-3</v>
      </c>
      <c r="K275" s="30">
        <f t="shared" ca="1" si="53"/>
        <v>3.9594419573354672E-3</v>
      </c>
      <c r="L275" s="30">
        <f t="shared" ca="1" si="53"/>
        <v>1.1626709384303423E-2</v>
      </c>
      <c r="M275" s="30">
        <f t="shared" ca="1" si="53"/>
        <v>-2.763353385269866E-2</v>
      </c>
      <c r="N275" s="30">
        <f t="shared" ca="1" si="53"/>
        <v>1.5210130481680875E-2</v>
      </c>
      <c r="O275" s="30">
        <f t="shared" ca="1" si="54"/>
        <v>3.3293697978596937E-2</v>
      </c>
      <c r="P275" s="30">
        <f t="shared" ca="1" si="55"/>
        <v>3.3182014699524531E-2</v>
      </c>
      <c r="Q275" s="30">
        <f t="shared" ca="1" si="56"/>
        <v>-2.6578411405295266E-2</v>
      </c>
      <c r="R275" s="30">
        <f t="shared" ca="1" si="57"/>
        <v>2.2571673085151955E-2</v>
      </c>
      <c r="S275" s="9" cm="1">
        <f t="array" aca="1" ref="S275" ca="1">_xll.FDS($E$7,"P_PRICE("&amp;AG275&amp;",0,D,D)")</f>
        <v>95.59</v>
      </c>
      <c r="T275" s="9" cm="1">
        <f t="array" aca="1" ref="T275" ca="1">_xll.FDS($E$7,"P_PRICE("&amp;AH275&amp;",0,D,D)")</f>
        <v>92.51</v>
      </c>
      <c r="U275" s="9" cm="1">
        <f t="array" aca="1" ref="U275" ca="1">_xll.FDS($E$7,"P_PRICE("&amp;AI275&amp;",0,D,D)")</f>
        <v>92.52</v>
      </c>
      <c r="V275" s="9" cm="1">
        <f t="array" aca="1" ref="V275" ca="1">_xll.FDS($E$7,"P_PRICE("&amp;AJ275&amp;",0,D,D)")</f>
        <v>98.2</v>
      </c>
      <c r="W275" s="9" cm="1">
        <f t="array" aca="1" ref="W275" ca="1">_xll.FDS($E$7,"P_PRICE("&amp;AK275&amp;",0,D,D)")</f>
        <v>93.48</v>
      </c>
      <c r="X275" s="24">
        <f t="shared" ca="1" si="58"/>
        <v>3.2256156803109892E-3</v>
      </c>
      <c r="Y275" s="24">
        <f t="shared" ca="1" si="59"/>
        <v>9.4718640920969932E-3</v>
      </c>
      <c r="Z275" s="24">
        <f t="shared" ca="1" si="60"/>
        <v>-2.2512051207754902E-2</v>
      </c>
      <c r="AA275" s="24">
        <f t="shared" ca="1" si="61"/>
        <v>1.239114903310834E-2</v>
      </c>
      <c r="AB275" s="9" cm="1">
        <f t="array" aca="1" ref="AB275" ca="1">_xll.FDS($E$9,"P_PRICE("&amp;AG275&amp;",0,D,D)")</f>
        <v>5937.34</v>
      </c>
      <c r="AC275" s="9" cm="1">
        <f t="array" aca="1" ref="AC275" ca="1">_xll.FDS($E$9,"P_PRICE("&amp;AH275&amp;",0,D,D)")</f>
        <v>5918.25</v>
      </c>
      <c r="AD275" s="9" cm="1">
        <f t="array" aca="1" ref="AD275" ca="1">_xll.FDS($E$9,"P_PRICE("&amp;AI275&amp;",0,D,D)")</f>
        <v>5881.63</v>
      </c>
      <c r="AE275" s="9" cm="1">
        <f t="array" aca="1" ref="AE275" ca="1">_xll.FDS($E$9,"P_PRICE("&amp;AJ275&amp;",0,D,D)")</f>
        <v>6074.08</v>
      </c>
      <c r="AF275" s="9" cm="1">
        <f t="array" aca="1" ref="AF275" ca="1">_xll.FDS($E$9,"P_PRICE("&amp;AK275&amp;",0,D,D)")</f>
        <v>5864.67</v>
      </c>
      <c r="AG275" s="20">
        <f t="shared" ca="1" si="67"/>
        <v>45673</v>
      </c>
      <c r="AH275" s="22">
        <f t="shared" ca="1" si="62"/>
        <v>45665</v>
      </c>
      <c r="AI275" s="22">
        <f t="shared" ca="1" si="63"/>
        <v>45657</v>
      </c>
      <c r="AJ275" s="22">
        <f t="shared" ca="1" si="64"/>
        <v>45642</v>
      </c>
      <c r="AK275" s="22">
        <f t="shared" ca="1" si="65"/>
        <v>45583</v>
      </c>
      <c r="AL275" s="22">
        <f t="shared" ca="1" si="66"/>
        <v>45498</v>
      </c>
    </row>
    <row r="276" spans="4:38" x14ac:dyDescent="0.25">
      <c r="D276" s="6">
        <f ca="1"/>
        <v>45672</v>
      </c>
      <c r="E276" s="28" cm="1">
        <f t="array" aca="1" ref="E276" ca="1">_xll.FDS($E$7,"P_PRICE("&amp;D276&amp;",0,D,D)")</f>
        <v>95.75</v>
      </c>
      <c r="F276" s="29" cm="1">
        <f t="array" aca="1" ref="F276" ca="1">_xll.FDS($E$7,"P_BETA_LOCIDX("&amp;$AG276&amp;","&amp;$AL276&amp;",,"""&amp;$E$9&amp;""")")</f>
        <v>1.2360846999999999</v>
      </c>
      <c r="G276" s="30">
        <f t="shared" ca="1" si="52"/>
        <v>2.8601867281559338E-2</v>
      </c>
      <c r="H276" s="30">
        <f t="shared" ca="1" si="52"/>
        <v>2.6591063971479582E-2</v>
      </c>
      <c r="I276" s="30">
        <f t="shared" ca="1" si="52"/>
        <v>-1.4924318010700079E-3</v>
      </c>
      <c r="J276" s="30">
        <f t="shared" ca="1" si="52"/>
        <v>-5.2253553337742314E-4</v>
      </c>
      <c r="K276" s="30">
        <f t="shared" ca="1" si="53"/>
        <v>8.5515122678341236E-3</v>
      </c>
      <c r="L276" s="30">
        <f t="shared" ca="1" si="53"/>
        <v>8.991890819781587E-3</v>
      </c>
      <c r="M276" s="30">
        <f t="shared" ca="1" si="53"/>
        <v>-2.066851591134827E-2</v>
      </c>
      <c r="N276" s="30">
        <f t="shared" ca="1" si="53"/>
        <v>2.2946454380147287E-2</v>
      </c>
      <c r="O276" s="30">
        <f t="shared" ca="1" si="54"/>
        <v>3.7153379549393462E-2</v>
      </c>
      <c r="P276" s="30">
        <f t="shared" ca="1" si="55"/>
        <v>3.5582954791261168E-2</v>
      </c>
      <c r="Q276" s="30">
        <f t="shared" ca="1" si="56"/>
        <v>-2.2160947712418277E-2</v>
      </c>
      <c r="R276" s="30">
        <f t="shared" ca="1" si="57"/>
        <v>2.2423918846769864E-2</v>
      </c>
      <c r="S276" s="9" cm="1">
        <f t="array" aca="1" ref="S276" ca="1">_xll.FDS($E$7,"P_PRICE("&amp;AG276&amp;",0,D,D)")</f>
        <v>95.75</v>
      </c>
      <c r="T276" s="9" cm="1">
        <f t="array" aca="1" ref="T276" ca="1">_xll.FDS($E$7,"P_PRICE("&amp;AH276&amp;",0,D,D)")</f>
        <v>92.32</v>
      </c>
      <c r="U276" s="9" cm="1">
        <f t="array" aca="1" ref="U276" ca="1">_xll.FDS($E$7,"P_PRICE("&amp;AI276&amp;",0,D,D)")</f>
        <v>92.46</v>
      </c>
      <c r="V276" s="9" cm="1">
        <f t="array" aca="1" ref="V276" ca="1">_xll.FDS($E$7,"P_PRICE("&amp;AJ276&amp;",0,D,D)")</f>
        <v>97.92</v>
      </c>
      <c r="W276" s="9" cm="1">
        <f t="array" aca="1" ref="W276" ca="1">_xll.FDS($E$7,"P_PRICE("&amp;AK276&amp;",0,D,D)")</f>
        <v>93.65</v>
      </c>
      <c r="X276" s="24">
        <f t="shared" ca="1" si="58"/>
        <v>6.9182251570900632E-3</v>
      </c>
      <c r="Y276" s="24">
        <f t="shared" ca="1" si="59"/>
        <v>7.2744940696876093E-3</v>
      </c>
      <c r="Z276" s="24">
        <f t="shared" ca="1" si="60"/>
        <v>-1.6720954406561517E-2</v>
      </c>
      <c r="AA276" s="24">
        <f t="shared" ca="1" si="61"/>
        <v>1.8563820408219023E-2</v>
      </c>
      <c r="AB276" s="9" cm="1">
        <f t="array" aca="1" ref="AB276" ca="1">_xll.FDS($E$9,"P_PRICE("&amp;AG276&amp;",0,D,D)")</f>
        <v>5949.91</v>
      </c>
      <c r="AC276" s="9" cm="1">
        <f t="array" aca="1" ref="AC276" ca="1">_xll.FDS($E$9,"P_PRICE("&amp;AH276&amp;",0,D,D)")</f>
        <v>5909.03</v>
      </c>
      <c r="AD276" s="9" cm="1">
        <f t="array" aca="1" ref="AD276" ca="1">_xll.FDS($E$9,"P_PRICE("&amp;AI276&amp;",0,D,D)")</f>
        <v>5906.94</v>
      </c>
      <c r="AE276" s="9" cm="1">
        <f t="array" aca="1" ref="AE276" ca="1">_xll.FDS($E$9,"P_PRICE("&amp;AJ276&amp;",0,D,D)")</f>
        <v>6051.09</v>
      </c>
      <c r="AF276" s="9" cm="1">
        <f t="array" aca="1" ref="AF276" ca="1">_xll.FDS($E$9,"P_PRICE("&amp;AK276&amp;",0,D,D)")</f>
        <v>5841.47</v>
      </c>
      <c r="AG276" s="20">
        <f t="shared" ca="1" si="67"/>
        <v>45672</v>
      </c>
      <c r="AH276" s="22">
        <f t="shared" ca="1" si="62"/>
        <v>45664</v>
      </c>
      <c r="AI276" s="22">
        <f t="shared" ca="1" si="63"/>
        <v>45656</v>
      </c>
      <c r="AJ276" s="22">
        <f t="shared" ca="1" si="64"/>
        <v>45639</v>
      </c>
      <c r="AK276" s="22">
        <f t="shared" ca="1" si="65"/>
        <v>45582</v>
      </c>
      <c r="AL276" s="22">
        <f t="shared" ca="1" si="66"/>
        <v>45497</v>
      </c>
    </row>
    <row r="277" spans="4:38" x14ac:dyDescent="0.25">
      <c r="D277" s="6">
        <f ca="1"/>
        <v>45671</v>
      </c>
      <c r="E277" s="28" cm="1">
        <f t="array" aca="1" ref="E277" ca="1">_xll.FDS($E$7,"P_PRICE("&amp;D277&amp;",0,D,D)")</f>
        <v>92.69</v>
      </c>
      <c r="F277" s="29" cm="1">
        <f t="array" aca="1" ref="F277" ca="1">_xll.FDS($E$7,"P_BETA_LOCIDX("&amp;$AG277&amp;","&amp;$AL277&amp;",,"""&amp;$E$9&amp;""")")</f>
        <v>1.2178736999999999</v>
      </c>
      <c r="G277" s="30">
        <f t="shared" ca="1" si="52"/>
        <v>1.7171399253755732E-2</v>
      </c>
      <c r="H277" s="30">
        <f t="shared" ca="1" si="52"/>
        <v>1.6583334309490168E-2</v>
      </c>
      <c r="I277" s="30">
        <f t="shared" ca="1" si="52"/>
        <v>-1.7531723653549214E-2</v>
      </c>
      <c r="J277" s="30">
        <f t="shared" ref="J277:J340" ca="1" si="68">+R277-N277</f>
        <v>-1.8149282931531265E-3</v>
      </c>
      <c r="K277" s="30">
        <f t="shared" ca="1" si="53"/>
        <v>-2.699940908176553E-2</v>
      </c>
      <c r="L277" s="30">
        <f t="shared" ca="1" si="53"/>
        <v>-2.6093913493076389E-2</v>
      </c>
      <c r="M277" s="30">
        <f t="shared" ca="1" si="53"/>
        <v>-4.1930478274406158E-2</v>
      </c>
      <c r="N277" s="30">
        <f t="shared" ref="N277:N340" ca="1" si="69">+AA277*$F277</f>
        <v>9.1718815500983208E-5</v>
      </c>
      <c r="O277" s="30">
        <f t="shared" ca="1" si="54"/>
        <v>-9.8280098280097983E-3</v>
      </c>
      <c r="P277" s="30">
        <f t="shared" ca="1" si="55"/>
        <v>-9.5105791835862208E-3</v>
      </c>
      <c r="Q277" s="30">
        <f t="shared" ca="1" si="56"/>
        <v>-5.9462201927955372E-2</v>
      </c>
      <c r="R277" s="30">
        <f t="shared" ca="1" si="57"/>
        <v>-1.7232094776521434E-3</v>
      </c>
      <c r="S277" s="9" cm="1">
        <f t="array" aca="1" ref="S277" ca="1">_xll.FDS($E$7,"P_PRICE("&amp;AG277&amp;",0,D,D)")</f>
        <v>92.69</v>
      </c>
      <c r="T277" s="9" cm="1">
        <f t="array" aca="1" ref="T277" ca="1">_xll.FDS($E$7,"P_PRICE("&amp;AH277&amp;",0,D,D)")</f>
        <v>93.61</v>
      </c>
      <c r="U277" s="9" cm="1">
        <f t="array" aca="1" ref="U277" ca="1">_xll.FDS($E$7,"P_PRICE("&amp;AI277&amp;",0,D,D)")</f>
        <v>93.58</v>
      </c>
      <c r="V277" s="9" cm="1">
        <f t="array" aca="1" ref="V277" ca="1">_xll.FDS($E$7,"P_PRICE("&amp;AJ277&amp;",0,D,D)")</f>
        <v>98.55</v>
      </c>
      <c r="W277" s="9" cm="1">
        <f t="array" aca="1" ref="W277" ca="1">_xll.FDS($E$7,"P_PRICE("&amp;AK277&amp;",0,D,D)")</f>
        <v>92.85</v>
      </c>
      <c r="X277" s="24">
        <f t="shared" ca="1" si="58"/>
        <v>-2.2169301366607663E-2</v>
      </c>
      <c r="Y277" s="24">
        <f t="shared" ca="1" si="59"/>
        <v>-2.1425796035398736E-2</v>
      </c>
      <c r="Z277" s="24">
        <f t="shared" ca="1" si="60"/>
        <v>-3.4429250154926705E-2</v>
      </c>
      <c r="AA277" s="24">
        <f t="shared" ca="1" si="61"/>
        <v>7.5310613490531253E-5</v>
      </c>
      <c r="AB277" s="9" cm="1">
        <f t="array" aca="1" ref="AB277" ca="1">_xll.FDS($E$9,"P_PRICE("&amp;AG277&amp;",0,D,D)")</f>
        <v>5842.91</v>
      </c>
      <c r="AC277" s="9" cm="1">
        <f t="array" aca="1" ref="AC277" ca="1">_xll.FDS($E$9,"P_PRICE("&amp;AH277&amp;",0,D,D)")</f>
        <v>5975.38</v>
      </c>
      <c r="AD277" s="9" cm="1">
        <f t="array" aca="1" ref="AD277" ca="1">_xll.FDS($E$9,"P_PRICE("&amp;AI277&amp;",0,D,D)")</f>
        <v>5970.84</v>
      </c>
      <c r="AE277" s="9" cm="1">
        <f t="array" aca="1" ref="AE277" ca="1">_xll.FDS($E$9,"P_PRICE("&amp;AJ277&amp;",0,D,D)")</f>
        <v>6051.25</v>
      </c>
      <c r="AF277" s="9" cm="1">
        <f t="array" aca="1" ref="AF277" ca="1">_xll.FDS($E$9,"P_PRICE("&amp;AK277&amp;",0,D,D)")</f>
        <v>5842.47</v>
      </c>
      <c r="AG277" s="20">
        <f t="shared" ca="1" si="67"/>
        <v>45671</v>
      </c>
      <c r="AH277" s="22">
        <f t="shared" ca="1" si="62"/>
        <v>45663</v>
      </c>
      <c r="AI277" s="22">
        <f t="shared" ca="1" si="63"/>
        <v>45653</v>
      </c>
      <c r="AJ277" s="22">
        <f t="shared" ca="1" si="64"/>
        <v>45638</v>
      </c>
      <c r="AK277" s="22">
        <f t="shared" ca="1" si="65"/>
        <v>45581</v>
      </c>
      <c r="AL277" s="22">
        <f t="shared" ca="1" si="66"/>
        <v>45496</v>
      </c>
    </row>
    <row r="278" spans="4:38" x14ac:dyDescent="0.25">
      <c r="D278" s="6">
        <f ca="1"/>
        <v>45670</v>
      </c>
      <c r="E278" s="28" cm="1">
        <f t="array" aca="1" ref="E278" ca="1">_xll.FDS($E$7,"P_PRICE("&amp;D278&amp;",0,D,D)")</f>
        <v>91.55</v>
      </c>
      <c r="F278" s="29" cm="1">
        <f t="array" aca="1" ref="F278" ca="1">_xll.FDS($E$7,"P_BETA_LOCIDX("&amp;$AG278&amp;","&amp;$AL278&amp;",,"""&amp;$E$9&amp;""")")</f>
        <v>1.2295859</v>
      </c>
      <c r="G278" s="30">
        <f t="shared" ref="G278:J341" ca="1" si="70">+O278-K278</f>
        <v>3.8594456175021323E-3</v>
      </c>
      <c r="H278" s="30">
        <f t="shared" ca="1" si="70"/>
        <v>8.2577791979452572E-3</v>
      </c>
      <c r="I278" s="30">
        <f t="shared" ca="1" si="70"/>
        <v>-2.1575753333392449E-2</v>
      </c>
      <c r="J278" s="30">
        <f t="shared" ca="1" si="68"/>
        <v>-1.9705553022298698E-2</v>
      </c>
      <c r="K278" s="30">
        <f t="shared" ref="K278:N341" ca="1" si="71">+X278*$F278</f>
        <v>-2.1984713742770289E-2</v>
      </c>
      <c r="L278" s="30">
        <f t="shared" ca="1" si="71"/>
        <v>-4.1010024311521696E-2</v>
      </c>
      <c r="M278" s="30">
        <f t="shared" ca="1" si="71"/>
        <v>-5.0113559179282514E-2</v>
      </c>
      <c r="N278" s="30">
        <f t="shared" ca="1" si="69"/>
        <v>4.4318088037334996E-3</v>
      </c>
      <c r="O278" s="30">
        <f t="shared" ref="O278:O341" ca="1" si="72">+S278/T278-1</f>
        <v>-1.8125268125268157E-2</v>
      </c>
      <c r="P278" s="30">
        <f t="shared" ref="P278:P341" ca="1" si="73">+S278/U278-1</f>
        <v>-3.2752245113576439E-2</v>
      </c>
      <c r="Q278" s="30">
        <f t="shared" ref="Q278:Q341" ca="1" si="74">+S278/V278-1</f>
        <v>-7.1689312512674963E-2</v>
      </c>
      <c r="R278" s="30">
        <f t="shared" ref="R278:R341" ca="1" si="75">+S278/W278-1</f>
        <v>-1.5273744218565199E-2</v>
      </c>
      <c r="S278" s="9" cm="1">
        <f t="array" aca="1" ref="S278" ca="1">_xll.FDS($E$7,"P_PRICE("&amp;AG278&amp;",0,D,D)")</f>
        <v>91.55</v>
      </c>
      <c r="T278" s="9" cm="1">
        <f t="array" aca="1" ref="T278" ca="1">_xll.FDS($E$7,"P_PRICE("&amp;AH278&amp;",0,D,D)")</f>
        <v>93.24</v>
      </c>
      <c r="U278" s="9" cm="1">
        <f t="array" aca="1" ref="U278" ca="1">_xll.FDS($E$7,"P_PRICE("&amp;AI278&amp;",0,D,D)")</f>
        <v>94.65</v>
      </c>
      <c r="V278" s="9" cm="1">
        <f t="array" aca="1" ref="V278" ca="1">_xll.FDS($E$7,"P_PRICE("&amp;AJ278&amp;",0,D,D)")</f>
        <v>98.62</v>
      </c>
      <c r="W278" s="9" cm="1">
        <f t="array" aca="1" ref="W278" ca="1">_xll.FDS($E$7,"P_PRICE("&amp;AK278&amp;",0,D,D)")</f>
        <v>92.97</v>
      </c>
      <c r="X278" s="24">
        <f t="shared" ref="X278:X341" ca="1" si="76">+AB278/AC278-1</f>
        <v>-1.7879770533128503E-2</v>
      </c>
      <c r="Y278" s="24">
        <f t="shared" ref="Y278:Y341" ca="1" si="77">+AB278/AD278-1</f>
        <v>-3.3352711926447509E-2</v>
      </c>
      <c r="Z278" s="24">
        <f t="shared" ref="Z278:Z341" ca="1" si="78">+AB278/AE278-1</f>
        <v>-4.0756452379034691E-2</v>
      </c>
      <c r="AA278" s="24">
        <f t="shared" ref="AA278:AA341" ca="1" si="79">+AB278/AF278-1</f>
        <v>3.6043100394478333E-3</v>
      </c>
      <c r="AB278" s="9" cm="1">
        <f t="array" aca="1" ref="AB278" ca="1">_xll.FDS($E$9,"P_PRICE("&amp;AG278&amp;",0,D,D)")</f>
        <v>5836.22</v>
      </c>
      <c r="AC278" s="9" cm="1">
        <f t="array" aca="1" ref="AC278" ca="1">_xll.FDS($E$9,"P_PRICE("&amp;AH278&amp;",0,D,D)")</f>
        <v>5942.47</v>
      </c>
      <c r="AD278" s="9" cm="1">
        <f t="array" aca="1" ref="AD278" ca="1">_xll.FDS($E$9,"P_PRICE("&amp;AI278&amp;",0,D,D)")</f>
        <v>6037.59</v>
      </c>
      <c r="AE278" s="9" cm="1">
        <f t="array" aca="1" ref="AE278" ca="1">_xll.FDS($E$9,"P_PRICE("&amp;AJ278&amp;",0,D,D)")</f>
        <v>6084.19</v>
      </c>
      <c r="AF278" s="9" cm="1">
        <f t="array" aca="1" ref="AF278" ca="1">_xll.FDS($E$9,"P_PRICE("&amp;AK278&amp;",0,D,D)")</f>
        <v>5815.26</v>
      </c>
      <c r="AG278" s="20">
        <f t="shared" ca="1" si="67"/>
        <v>45670</v>
      </c>
      <c r="AH278" s="22">
        <f t="shared" ref="AH278:AH341" ca="1" si="80">+WORKDAY($AG278, -5, $AN$2:$AN$100)</f>
        <v>45660</v>
      </c>
      <c r="AI278" s="22">
        <f t="shared" ref="AI278:AI341" ca="1" si="81">+WORKDAY($AG278, -10, $AN$2:$AN$100)</f>
        <v>45652</v>
      </c>
      <c r="AJ278" s="22">
        <f t="shared" ref="AJ278:AJ341" ca="1" si="82">+WORKDAY($AG278, -20, $AN$2:$AN$100)</f>
        <v>45637</v>
      </c>
      <c r="AK278" s="22">
        <f t="shared" ref="AK278:AK341" ca="1" si="83">+WORKDAY($AG278, -60, $AN$2:$AN$100)</f>
        <v>45580</v>
      </c>
      <c r="AL278" s="22">
        <f t="shared" ref="AL278:AL341" ca="1" si="84">+WORKDAY($AG278, -120, $AN$2:$AN$100)</f>
        <v>45495</v>
      </c>
    </row>
    <row r="279" spans="4:38" x14ac:dyDescent="0.25">
      <c r="D279" s="6">
        <f ca="1"/>
        <v>45667</v>
      </c>
      <c r="E279" s="28" cm="1">
        <f t="array" aca="1" ref="E279" ca="1">_xll.FDS($E$7,"P_PRICE("&amp;D279&amp;",0,D,D)")</f>
        <v>91.78</v>
      </c>
      <c r="F279" s="29" cm="1">
        <f t="array" aca="1" ref="F279" ca="1">_xll.FDS($E$7,"P_BETA_LOCIDX("&amp;$AG279&amp;","&amp;$AL279&amp;",,"""&amp;$E$9&amp;""")")</f>
        <v>1.2218785999999999</v>
      </c>
      <c r="G279" s="30">
        <f t="shared" ca="1" si="70"/>
        <v>-1.3885694989327346E-3</v>
      </c>
      <c r="H279" s="30">
        <f t="shared" ca="1" si="70"/>
        <v>1.1743495653779405E-2</v>
      </c>
      <c r="I279" s="30">
        <f t="shared" ca="1" si="70"/>
        <v>-2.9341464150749612E-2</v>
      </c>
      <c r="J279" s="30">
        <f t="shared" ca="1" si="68"/>
        <v>1.4231520577402601E-3</v>
      </c>
      <c r="K279" s="30">
        <f t="shared" ca="1" si="71"/>
        <v>-8.6427108376004869E-3</v>
      </c>
      <c r="L279" s="30">
        <f t="shared" ca="1" si="71"/>
        <v>-4.3089142091774162E-2</v>
      </c>
      <c r="M279" s="30">
        <f t="shared" ca="1" si="71"/>
        <v>-4.2087107277821785E-2</v>
      </c>
      <c r="N279" s="30">
        <f t="shared" ca="1" si="69"/>
        <v>-6.8414442120532581E-3</v>
      </c>
      <c r="O279" s="30">
        <f t="shared" ca="1" si="72"/>
        <v>-1.0031280336533221E-2</v>
      </c>
      <c r="P279" s="30">
        <f t="shared" ca="1" si="73"/>
        <v>-3.1345646437994756E-2</v>
      </c>
      <c r="Q279" s="30">
        <f t="shared" ca="1" si="74"/>
        <v>-7.1428571428571397E-2</v>
      </c>
      <c r="R279" s="30">
        <f t="shared" ca="1" si="75"/>
        <v>-5.418292154312998E-3</v>
      </c>
      <c r="S279" s="9" cm="1">
        <f t="array" aca="1" ref="S279" ca="1">_xll.FDS($E$7,"P_PRICE("&amp;AG279&amp;",0,D,D)")</f>
        <v>91.78</v>
      </c>
      <c r="T279" s="9" cm="1">
        <f t="array" aca="1" ref="T279" ca="1">_xll.FDS($E$7,"P_PRICE("&amp;AH279&amp;",0,D,D)")</f>
        <v>92.71</v>
      </c>
      <c r="U279" s="9" cm="1">
        <f t="array" aca="1" ref="U279" ca="1">_xll.FDS($E$7,"P_PRICE("&amp;AI279&amp;",0,D,D)")</f>
        <v>94.75</v>
      </c>
      <c r="V279" s="9" cm="1">
        <f t="array" aca="1" ref="V279" ca="1">_xll.FDS($E$7,"P_PRICE("&amp;AJ279&amp;",0,D,D)")</f>
        <v>98.84</v>
      </c>
      <c r="W279" s="9" cm="1">
        <f t="array" aca="1" ref="W279" ca="1">_xll.FDS($E$7,"P_PRICE("&amp;AK279&amp;",0,D,D)")</f>
        <v>92.28</v>
      </c>
      <c r="X279" s="24">
        <f t="shared" ca="1" si="76"/>
        <v>-7.073297492566355E-3</v>
      </c>
      <c r="Y279" s="24">
        <f t="shared" ca="1" si="77"/>
        <v>-3.5264667121409743E-2</v>
      </c>
      <c r="Z279" s="24">
        <f t="shared" ca="1" si="78"/>
        <v>-3.4444589894463973E-2</v>
      </c>
      <c r="AA279" s="24">
        <f t="shared" ca="1" si="79"/>
        <v>-5.5991194313848025E-3</v>
      </c>
      <c r="AB279" s="9" cm="1">
        <f t="array" aca="1" ref="AB279" ca="1">_xll.FDS($E$9,"P_PRICE("&amp;AG279&amp;",0,D,D)")</f>
        <v>5827.04</v>
      </c>
      <c r="AC279" s="9" cm="1">
        <f t="array" aca="1" ref="AC279" ca="1">_xll.FDS($E$9,"P_PRICE("&amp;AH279&amp;",0,D,D)")</f>
        <v>5868.55</v>
      </c>
      <c r="AD279" s="9" cm="1">
        <f t="array" aca="1" ref="AD279" ca="1">_xll.FDS($E$9,"P_PRICE("&amp;AI279&amp;",0,D,D)")</f>
        <v>6040.04</v>
      </c>
      <c r="AE279" s="9" cm="1">
        <f t="array" aca="1" ref="AE279" ca="1">_xll.FDS($E$9,"P_PRICE("&amp;AJ279&amp;",0,D,D)")</f>
        <v>6034.91</v>
      </c>
      <c r="AF279" s="9" cm="1">
        <f t="array" aca="1" ref="AF279" ca="1">_xll.FDS($E$9,"P_PRICE("&amp;AK279&amp;",0,D,D)")</f>
        <v>5859.85</v>
      </c>
      <c r="AG279" s="20">
        <f t="shared" ref="AG279:AG342" ca="1" si="85">+WORKDAY(D279, 0, $AN$2:$AN$59)</f>
        <v>45667</v>
      </c>
      <c r="AH279" s="22">
        <f t="shared" ca="1" si="80"/>
        <v>45659</v>
      </c>
      <c r="AI279" s="22">
        <f t="shared" ca="1" si="81"/>
        <v>45650</v>
      </c>
      <c r="AJ279" s="22">
        <f t="shared" ca="1" si="82"/>
        <v>45636</v>
      </c>
      <c r="AK279" s="22">
        <f t="shared" ca="1" si="83"/>
        <v>45579</v>
      </c>
      <c r="AL279" s="22">
        <f t="shared" ca="1" si="84"/>
        <v>45492</v>
      </c>
    </row>
    <row r="280" spans="4:38" x14ac:dyDescent="0.25">
      <c r="D280" s="6">
        <f ca="1"/>
        <v>45665</v>
      </c>
      <c r="E280" s="28" cm="1">
        <f t="array" aca="1" ref="E280" ca="1">_xll.FDS($E$7,"P_PRICE("&amp;D280&amp;",0,D,D)")</f>
        <v>92.51</v>
      </c>
      <c r="F280" s="29" cm="1">
        <f t="array" aca="1" ref="F280" ca="1">_xll.FDS($E$7,"P_BETA_LOCIDX("&amp;$AG280&amp;","&amp;$AL280&amp;",,"""&amp;$E$9&amp;""")")</f>
        <v>1.2425377</v>
      </c>
      <c r="G280" s="30">
        <f t="shared" ca="1" si="70"/>
        <v>-7.8443297205230758E-3</v>
      </c>
      <c r="H280" s="30">
        <f t="shared" ca="1" si="70"/>
        <v>-6.7474688071100936E-3</v>
      </c>
      <c r="I280" s="30">
        <f t="shared" ca="1" si="70"/>
        <v>-4.810096094430133E-2</v>
      </c>
      <c r="J280" s="30">
        <f t="shared" ca="1" si="68"/>
        <v>-1.3222580099247004E-2</v>
      </c>
      <c r="K280" s="30">
        <f t="shared" ca="1" si="71"/>
        <v>7.7362449820882534E-3</v>
      </c>
      <c r="L280" s="30">
        <f t="shared" ca="1" si="71"/>
        <v>-1.1609916591871147E-2</v>
      </c>
      <c r="M280" s="30">
        <f t="shared" ca="1" si="71"/>
        <v>-2.7630880398490099E-2</v>
      </c>
      <c r="N280" s="30">
        <f t="shared" ca="1" si="69"/>
        <v>2.2055731680490208E-2</v>
      </c>
      <c r="O280" s="30">
        <f t="shared" ca="1" si="72"/>
        <v>-1.0808473843482158E-4</v>
      </c>
      <c r="P280" s="30">
        <f t="shared" ca="1" si="73"/>
        <v>-1.8357385398981241E-2</v>
      </c>
      <c r="Q280" s="30">
        <f t="shared" ca="1" si="74"/>
        <v>-7.5731841342791428E-2</v>
      </c>
      <c r="R280" s="30">
        <f t="shared" ca="1" si="75"/>
        <v>8.8331515812432038E-3</v>
      </c>
      <c r="S280" s="9" cm="1">
        <f t="array" aca="1" ref="S280" ca="1">_xll.FDS($E$7,"P_PRICE("&amp;AG280&amp;",0,D,D)")</f>
        <v>92.51</v>
      </c>
      <c r="T280" s="9" cm="1">
        <f t="array" aca="1" ref="T280" ca="1">_xll.FDS($E$7,"P_PRICE("&amp;AH280&amp;",0,D,D)")</f>
        <v>92.52</v>
      </c>
      <c r="U280" s="9" cm="1">
        <f t="array" aca="1" ref="U280" ca="1">_xll.FDS($E$7,"P_PRICE("&amp;AI280&amp;",0,D,D)")</f>
        <v>94.24</v>
      </c>
      <c r="V280" s="9" cm="1">
        <f t="array" aca="1" ref="V280" ca="1">_xll.FDS($E$7,"P_PRICE("&amp;AJ280&amp;",0,D,D)")</f>
        <v>100.09</v>
      </c>
      <c r="W280" s="9" cm="1">
        <f t="array" aca="1" ref="W280" ca="1">_xll.FDS($E$7,"P_PRICE("&amp;AK280&amp;",0,D,D)")</f>
        <v>91.7</v>
      </c>
      <c r="X280" s="24">
        <f t="shared" ca="1" si="76"/>
        <v>6.2261651957025155E-3</v>
      </c>
      <c r="Y280" s="24">
        <f t="shared" ca="1" si="77"/>
        <v>-9.3437137495877565E-3</v>
      </c>
      <c r="Z280" s="24">
        <f t="shared" ca="1" si="78"/>
        <v>-2.2237458387371345E-2</v>
      </c>
      <c r="AA280" s="24">
        <f t="shared" ca="1" si="79"/>
        <v>1.775055330754971E-2</v>
      </c>
      <c r="AB280" s="9" cm="1">
        <f t="array" aca="1" ref="AB280" ca="1">_xll.FDS($E$9,"P_PRICE("&amp;AG280&amp;",0,D,D)")</f>
        <v>5918.25</v>
      </c>
      <c r="AC280" s="9" cm="1">
        <f t="array" aca="1" ref="AC280" ca="1">_xll.FDS($E$9,"P_PRICE("&amp;AH280&amp;",0,D,D)")</f>
        <v>5881.63</v>
      </c>
      <c r="AD280" s="9" cm="1">
        <f t="array" aca="1" ref="AD280" ca="1">_xll.FDS($E$9,"P_PRICE("&amp;AI280&amp;",0,D,D)")</f>
        <v>5974.07</v>
      </c>
      <c r="AE280" s="9" cm="1">
        <f t="array" aca="1" ref="AE280" ca="1">_xll.FDS($E$9,"P_PRICE("&amp;AJ280&amp;",0,D,D)")</f>
        <v>6052.85</v>
      </c>
      <c r="AF280" s="9" cm="1">
        <f t="array" aca="1" ref="AF280" ca="1">_xll.FDS($E$9,"P_PRICE("&amp;AK280&amp;",0,D,D)")</f>
        <v>5815.03</v>
      </c>
      <c r="AG280" s="20">
        <f t="shared" ca="1" si="85"/>
        <v>45665</v>
      </c>
      <c r="AH280" s="22">
        <f t="shared" ca="1" si="80"/>
        <v>45657</v>
      </c>
      <c r="AI280" s="22">
        <f t="shared" ca="1" si="81"/>
        <v>45649</v>
      </c>
      <c r="AJ280" s="22">
        <f t="shared" ca="1" si="82"/>
        <v>45635</v>
      </c>
      <c r="AK280" s="22">
        <f t="shared" ca="1" si="83"/>
        <v>45576</v>
      </c>
      <c r="AL280" s="22">
        <f t="shared" ca="1" si="84"/>
        <v>45491</v>
      </c>
    </row>
    <row r="281" spans="4:38" x14ac:dyDescent="0.25">
      <c r="D281" s="6">
        <f ca="1"/>
        <v>45664</v>
      </c>
      <c r="E281" s="28" cm="1">
        <f t="array" aca="1" ref="E281" ca="1">_xll.FDS($E$7,"P_PRICE("&amp;D281&amp;",0,D,D)")</f>
        <v>92.32</v>
      </c>
      <c r="F281" s="29" cm="1">
        <f t="array" aca="1" ref="F281" ca="1">_xll.FDS($E$7,"P_BETA_LOCIDX("&amp;$AG281&amp;","&amp;$AL281&amp;",,"""&amp;$E$9&amp;""")")</f>
        <v>1.2500031</v>
      </c>
      <c r="G281" s="30">
        <f t="shared" ca="1" si="70"/>
        <v>-1.9564457590506425E-3</v>
      </c>
      <c r="H281" s="30">
        <f t="shared" ca="1" si="70"/>
        <v>-9.4976936294652713E-3</v>
      </c>
      <c r="I281" s="30">
        <f t="shared" ca="1" si="70"/>
        <v>-6.6490548930926291E-2</v>
      </c>
      <c r="J281" s="30">
        <f t="shared" ca="1" si="68"/>
        <v>-7.7829292618556666E-3</v>
      </c>
      <c r="K281" s="30">
        <f t="shared" ca="1" si="71"/>
        <v>4.422774700607723E-4</v>
      </c>
      <c r="L281" s="30">
        <f t="shared" ca="1" si="71"/>
        <v>-4.5988463107312794E-3</v>
      </c>
      <c r="M281" s="30">
        <f t="shared" ca="1" si="71"/>
        <v>-3.7198771457423258E-2</v>
      </c>
      <c r="N281" s="30">
        <f t="shared" ca="1" si="69"/>
        <v>2.7893426499424636E-2</v>
      </c>
      <c r="O281" s="30">
        <f t="shared" ca="1" si="72"/>
        <v>-1.51416828898987E-3</v>
      </c>
      <c r="P281" s="30">
        <f t="shared" ca="1" si="73"/>
        <v>-1.4096539940196551E-2</v>
      </c>
      <c r="Q281" s="30">
        <f t="shared" ca="1" si="74"/>
        <v>-0.10368932038834955</v>
      </c>
      <c r="R281" s="30">
        <f t="shared" ca="1" si="75"/>
        <v>2.0110497237568969E-2</v>
      </c>
      <c r="S281" s="9" cm="1">
        <f t="array" aca="1" ref="S281" ca="1">_xll.FDS($E$7,"P_PRICE("&amp;AG281&amp;",0,D,D)")</f>
        <v>92.32</v>
      </c>
      <c r="T281" s="9" cm="1">
        <f t="array" aca="1" ref="T281" ca="1">_xll.FDS($E$7,"P_PRICE("&amp;AH281&amp;",0,D,D)")</f>
        <v>92.46</v>
      </c>
      <c r="U281" s="9" cm="1">
        <f t="array" aca="1" ref="U281" ca="1">_xll.FDS($E$7,"P_PRICE("&amp;AI281&amp;",0,D,D)")</f>
        <v>93.64</v>
      </c>
      <c r="V281" s="9" cm="1">
        <f t="array" aca="1" ref="V281" ca="1">_xll.FDS($E$7,"P_PRICE("&amp;AJ281&amp;",0,D,D)")</f>
        <v>103</v>
      </c>
      <c r="W281" s="9" cm="1">
        <f t="array" aca="1" ref="W281" ca="1">_xll.FDS($E$7,"P_PRICE("&amp;AK281&amp;",0,D,D)")</f>
        <v>90.5</v>
      </c>
      <c r="X281" s="24">
        <f t="shared" ca="1" si="76"/>
        <v>3.5382109857229338E-4</v>
      </c>
      <c r="Y281" s="24">
        <f t="shared" ca="1" si="77"/>
        <v>-3.6790679244965707E-3</v>
      </c>
      <c r="Z281" s="24">
        <f t="shared" ca="1" si="78"/>
        <v>-2.9758943363759061E-2</v>
      </c>
      <c r="AA281" s="24">
        <f t="shared" ca="1" si="79"/>
        <v>2.2314685859118777E-2</v>
      </c>
      <c r="AB281" s="9" cm="1">
        <f t="array" aca="1" ref="AB281" ca="1">_xll.FDS($E$9,"P_PRICE("&amp;AG281&amp;",0,D,D)")</f>
        <v>5909.03</v>
      </c>
      <c r="AC281" s="9" cm="1">
        <f t="array" aca="1" ref="AC281" ca="1">_xll.FDS($E$9,"P_PRICE("&amp;AH281&amp;",0,D,D)")</f>
        <v>5906.94</v>
      </c>
      <c r="AD281" s="9" cm="1">
        <f t="array" aca="1" ref="AD281" ca="1">_xll.FDS($E$9,"P_PRICE("&amp;AI281&amp;",0,D,D)")</f>
        <v>5930.85</v>
      </c>
      <c r="AE281" s="9" cm="1">
        <f t="array" aca="1" ref="AE281" ca="1">_xll.FDS($E$9,"P_PRICE("&amp;AJ281&amp;",0,D,D)")</f>
        <v>6090.27</v>
      </c>
      <c r="AF281" s="9" cm="1">
        <f t="array" aca="1" ref="AF281" ca="1">_xll.FDS($E$9,"P_PRICE("&amp;AK281&amp;",0,D,D)")</f>
        <v>5780.05</v>
      </c>
      <c r="AG281" s="20">
        <f t="shared" ca="1" si="85"/>
        <v>45664</v>
      </c>
      <c r="AH281" s="22">
        <f t="shared" ca="1" si="80"/>
        <v>45656</v>
      </c>
      <c r="AI281" s="22">
        <f t="shared" ca="1" si="81"/>
        <v>45646</v>
      </c>
      <c r="AJ281" s="22">
        <f t="shared" ca="1" si="82"/>
        <v>45632</v>
      </c>
      <c r="AK281" s="22">
        <f t="shared" ca="1" si="83"/>
        <v>45575</v>
      </c>
      <c r="AL281" s="22">
        <f t="shared" ca="1" si="84"/>
        <v>45490</v>
      </c>
    </row>
    <row r="282" spans="4:38" x14ac:dyDescent="0.25">
      <c r="D282" s="6">
        <f ca="1"/>
        <v>45663</v>
      </c>
      <c r="E282" s="28" cm="1">
        <f t="array" aca="1" ref="E282" ca="1">_xll.FDS($E$7,"P_PRICE("&amp;D282&amp;",0,D,D)")</f>
        <v>93.61</v>
      </c>
      <c r="F282" s="29" cm="1">
        <f t="array" aca="1" ref="F282" ca="1">_xll.FDS($E$7,"P_BETA_LOCIDX("&amp;$AG282&amp;","&amp;$AL282&amp;",,"""&amp;$E$9&amp;""")")</f>
        <v>1.2664154000000001</v>
      </c>
      <c r="G282" s="30">
        <f t="shared" ca="1" si="70"/>
        <v>-6.4235285865034311E-4</v>
      </c>
      <c r="H282" s="30">
        <f t="shared" ca="1" si="70"/>
        <v>-1.7466503628451712E-2</v>
      </c>
      <c r="I282" s="30">
        <f t="shared" ca="1" si="70"/>
        <v>-6.8961387157376916E-2</v>
      </c>
      <c r="J282" s="30">
        <f t="shared" ca="1" si="68"/>
        <v>-5.5325077689056396E-4</v>
      </c>
      <c r="K282" s="30">
        <f t="shared" ca="1" si="71"/>
        <v>9.6293417944549777E-4</v>
      </c>
      <c r="L282" s="30">
        <f t="shared" ca="1" si="71"/>
        <v>2.3376669113085346E-2</v>
      </c>
      <c r="M282" s="30">
        <f t="shared" ca="1" si="71"/>
        <v>-2.0789682465338036E-2</v>
      </c>
      <c r="N282" s="30">
        <f t="shared" ca="1" si="69"/>
        <v>4.0086843225530307E-2</v>
      </c>
      <c r="O282" s="30">
        <f t="shared" ca="1" si="72"/>
        <v>3.2058132079515467E-4</v>
      </c>
      <c r="P282" s="30">
        <f t="shared" ca="1" si="73"/>
        <v>5.9101654846336338E-3</v>
      </c>
      <c r="Q282" s="30">
        <f t="shared" ca="1" si="74"/>
        <v>-8.9751069622714952E-2</v>
      </c>
      <c r="R282" s="30">
        <f t="shared" ca="1" si="75"/>
        <v>3.9533592448639743E-2</v>
      </c>
      <c r="S282" s="9" cm="1">
        <f t="array" aca="1" ref="S282" ca="1">_xll.FDS($E$7,"P_PRICE("&amp;AG282&amp;",0,D,D)")</f>
        <v>93.61</v>
      </c>
      <c r="T282" s="9" cm="1">
        <f t="array" aca="1" ref="T282" ca="1">_xll.FDS($E$7,"P_PRICE("&amp;AH282&amp;",0,D,D)")</f>
        <v>93.58</v>
      </c>
      <c r="U282" s="9" cm="1">
        <f t="array" aca="1" ref="U282" ca="1">_xll.FDS($E$7,"P_PRICE("&amp;AI282&amp;",0,D,D)")</f>
        <v>93.06</v>
      </c>
      <c r="V282" s="9" cm="1">
        <f t="array" aca="1" ref="V282" ca="1">_xll.FDS($E$7,"P_PRICE("&amp;AJ282&amp;",0,D,D)")</f>
        <v>102.84</v>
      </c>
      <c r="W282" s="9" cm="1">
        <f t="array" aca="1" ref="W282" ca="1">_xll.FDS($E$7,"P_PRICE("&amp;AK282&amp;",0,D,D)")</f>
        <v>90.05</v>
      </c>
      <c r="X282" s="24">
        <f t="shared" ca="1" si="76"/>
        <v>7.6036202611362569E-4</v>
      </c>
      <c r="Y282" s="24">
        <f t="shared" ca="1" si="77"/>
        <v>1.8458926757433103E-2</v>
      </c>
      <c r="Z282" s="24">
        <f t="shared" ca="1" si="78"/>
        <v>-1.6416163657941962E-2</v>
      </c>
      <c r="AA282" s="24">
        <f t="shared" ca="1" si="79"/>
        <v>3.1653786921361116E-2</v>
      </c>
      <c r="AB282" s="9" cm="1">
        <f t="array" aca="1" ref="AB282" ca="1">_xll.FDS($E$9,"P_PRICE("&amp;AG282&amp;",0,D,D)")</f>
        <v>5975.38</v>
      </c>
      <c r="AC282" s="9" cm="1">
        <f t="array" aca="1" ref="AC282" ca="1">_xll.FDS($E$9,"P_PRICE("&amp;AH282&amp;",0,D,D)")</f>
        <v>5970.84</v>
      </c>
      <c r="AD282" s="9" cm="1">
        <f t="array" aca="1" ref="AD282" ca="1">_xll.FDS($E$9,"P_PRICE("&amp;AI282&amp;",0,D,D)")</f>
        <v>5867.08</v>
      </c>
      <c r="AE282" s="9" cm="1">
        <f t="array" aca="1" ref="AE282" ca="1">_xll.FDS($E$9,"P_PRICE("&amp;AJ282&amp;",0,D,D)")</f>
        <v>6075.11</v>
      </c>
      <c r="AF282" s="9" cm="1">
        <f t="array" aca="1" ref="AF282" ca="1">_xll.FDS($E$9,"P_PRICE("&amp;AK282&amp;",0,D,D)")</f>
        <v>5792.04</v>
      </c>
      <c r="AG282" s="20">
        <f t="shared" ca="1" si="85"/>
        <v>45663</v>
      </c>
      <c r="AH282" s="22">
        <f t="shared" ca="1" si="80"/>
        <v>45653</v>
      </c>
      <c r="AI282" s="22">
        <f t="shared" ca="1" si="81"/>
        <v>45645</v>
      </c>
      <c r="AJ282" s="22">
        <f t="shared" ca="1" si="82"/>
        <v>45631</v>
      </c>
      <c r="AK282" s="22">
        <f t="shared" ca="1" si="83"/>
        <v>45574</v>
      </c>
      <c r="AL282" s="22">
        <f t="shared" ca="1" si="84"/>
        <v>45489</v>
      </c>
    </row>
    <row r="283" spans="4:38" x14ac:dyDescent="0.25">
      <c r="D283" s="6">
        <f ca="1"/>
        <v>45660</v>
      </c>
      <c r="E283" s="28" cm="1">
        <f t="array" aca="1" ref="E283" ca="1">_xll.FDS($E$7,"P_PRICE("&amp;D283&amp;",0,D,D)")</f>
        <v>93.24</v>
      </c>
      <c r="F283" s="29" cm="1">
        <f t="array" aca="1" ref="F283" ca="1">_xll.FDS($E$7,"P_BETA_LOCIDX("&amp;$AG283&amp;","&amp;$AL283&amp;",,"""&amp;$E$9&amp;""")")</f>
        <v>1.2677768</v>
      </c>
      <c r="G283" s="30">
        <f t="shared" ca="1" si="70"/>
        <v>5.0763662262622543E-3</v>
      </c>
      <c r="H283" s="30">
        <f t="shared" ca="1" si="70"/>
        <v>-2.0195132339192238E-2</v>
      </c>
      <c r="I283" s="30">
        <f t="shared" ca="1" si="70"/>
        <v>-6.799904317628383E-2</v>
      </c>
      <c r="J283" s="30">
        <f t="shared" ca="1" si="68"/>
        <v>2.7611294143800105E-3</v>
      </c>
      <c r="K283" s="30">
        <f t="shared" ca="1" si="71"/>
        <v>-1.9973355132759964E-2</v>
      </c>
      <c r="L283" s="30">
        <f t="shared" ca="1" si="71"/>
        <v>1.5179659070597599E-2</v>
      </c>
      <c r="M283" s="30">
        <f t="shared" ca="1" si="71"/>
        <v>-2.9998441587187317E-2</v>
      </c>
      <c r="N283" s="30">
        <f t="shared" ca="1" si="69"/>
        <v>4.2178913172194014E-2</v>
      </c>
      <c r="O283" s="30">
        <f t="shared" ca="1" si="72"/>
        <v>-1.489698890649771E-2</v>
      </c>
      <c r="P283" s="30">
        <f t="shared" ca="1" si="73"/>
        <v>-5.015473268594639E-3</v>
      </c>
      <c r="Q283" s="30">
        <f t="shared" ca="1" si="74"/>
        <v>-9.7997484763471143E-2</v>
      </c>
      <c r="R283" s="30">
        <f t="shared" ca="1" si="75"/>
        <v>4.4940042586574025E-2</v>
      </c>
      <c r="S283" s="9" cm="1">
        <f t="array" aca="1" ref="S283" ca="1">_xll.FDS($E$7,"P_PRICE("&amp;AG283&amp;",0,D,D)")</f>
        <v>93.24</v>
      </c>
      <c r="T283" s="9" cm="1">
        <f t="array" aca="1" ref="T283" ca="1">_xll.FDS($E$7,"P_PRICE("&amp;AH283&amp;",0,D,D)")</f>
        <v>94.65</v>
      </c>
      <c r="U283" s="9" cm="1">
        <f t="array" aca="1" ref="U283" ca="1">_xll.FDS($E$7,"P_PRICE("&amp;AI283&amp;",0,D,D)")</f>
        <v>93.71</v>
      </c>
      <c r="V283" s="9" cm="1">
        <f t="array" aca="1" ref="V283" ca="1">_xll.FDS($E$7,"P_PRICE("&amp;AJ283&amp;",0,D,D)")</f>
        <v>103.37</v>
      </c>
      <c r="W283" s="9" cm="1">
        <f t="array" aca="1" ref="W283" ca="1">_xll.FDS($E$7,"P_PRICE("&amp;AK283&amp;",0,D,D)")</f>
        <v>89.23</v>
      </c>
      <c r="X283" s="24">
        <f t="shared" ca="1" si="76"/>
        <v>-1.5754630572794803E-2</v>
      </c>
      <c r="Y283" s="24">
        <f t="shared" ca="1" si="77"/>
        <v>1.1973447589983977E-2</v>
      </c>
      <c r="Z283" s="24">
        <f t="shared" ca="1" si="78"/>
        <v>-2.3662242113270504E-2</v>
      </c>
      <c r="AA283" s="24">
        <f t="shared" ca="1" si="79"/>
        <v>3.3269983464119246E-2</v>
      </c>
      <c r="AB283" s="9" cm="1">
        <f t="array" aca="1" ref="AB283" ca="1">_xll.FDS($E$9,"P_PRICE("&amp;AG283&amp;",0,D,D)")</f>
        <v>5942.47</v>
      </c>
      <c r="AC283" s="9" cm="1">
        <f t="array" aca="1" ref="AC283" ca="1">_xll.FDS($E$9,"P_PRICE("&amp;AH283&amp;",0,D,D)")</f>
        <v>6037.59</v>
      </c>
      <c r="AD283" s="9" cm="1">
        <f t="array" aca="1" ref="AD283" ca="1">_xll.FDS($E$9,"P_PRICE("&amp;AI283&amp;",0,D,D)")</f>
        <v>5872.16</v>
      </c>
      <c r="AE283" s="9" cm="1">
        <f t="array" aca="1" ref="AE283" ca="1">_xll.FDS($E$9,"P_PRICE("&amp;AJ283&amp;",0,D,D)")</f>
        <v>6086.49</v>
      </c>
      <c r="AF283" s="9" cm="1">
        <f t="array" aca="1" ref="AF283" ca="1">_xll.FDS($E$9,"P_PRICE("&amp;AK283&amp;",0,D,D)")</f>
        <v>5751.13</v>
      </c>
      <c r="AG283" s="20">
        <f t="shared" ca="1" si="85"/>
        <v>45660</v>
      </c>
      <c r="AH283" s="22">
        <f t="shared" ca="1" si="80"/>
        <v>45652</v>
      </c>
      <c r="AI283" s="22">
        <f t="shared" ca="1" si="81"/>
        <v>45644</v>
      </c>
      <c r="AJ283" s="22">
        <f t="shared" ca="1" si="82"/>
        <v>45630</v>
      </c>
      <c r="AK283" s="22">
        <f t="shared" ca="1" si="83"/>
        <v>45573</v>
      </c>
      <c r="AL283" s="22">
        <f t="shared" ca="1" si="84"/>
        <v>45488</v>
      </c>
    </row>
    <row r="284" spans="4:38" x14ac:dyDescent="0.25">
      <c r="D284" s="6">
        <f ca="1"/>
        <v>45659</v>
      </c>
      <c r="E284" s="28" cm="1">
        <f t="array" aca="1" ref="E284" ca="1">_xll.FDS($E$7,"P_PRICE("&amp;D284&amp;",0,D,D)")</f>
        <v>92.71</v>
      </c>
      <c r="F284" s="29" cm="1">
        <f t="array" aca="1" ref="F284" ca="1">_xll.FDS($E$7,"P_BETA_LOCIDX("&amp;$AG284&amp;","&amp;$AL284&amp;",,"""&amp;$E$9&amp;""")")</f>
        <v>1.2759999</v>
      </c>
      <c r="G284" s="30">
        <f t="shared" ca="1" si="70"/>
        <v>1.4698096348611772E-2</v>
      </c>
      <c r="H284" s="30">
        <f t="shared" ca="1" si="70"/>
        <v>-8.0934746272769004E-3</v>
      </c>
      <c r="I284" s="30">
        <f t="shared" ca="1" si="70"/>
        <v>-5.7179042765490351E-2</v>
      </c>
      <c r="J284" s="30">
        <f t="shared" ca="1" si="68"/>
        <v>6.187225187947773E-3</v>
      </c>
      <c r="K284" s="30">
        <f t="shared" ca="1" si="71"/>
        <v>-3.6228439356527448E-2</v>
      </c>
      <c r="L284" s="30">
        <f t="shared" ca="1" si="71"/>
        <v>-3.8394234927387402E-2</v>
      </c>
      <c r="M284" s="30">
        <f t="shared" ca="1" si="71"/>
        <v>-3.8244901033904766E-2</v>
      </c>
      <c r="N284" s="30">
        <f t="shared" ca="1" si="69"/>
        <v>3.8667953443856554E-2</v>
      </c>
      <c r="O284" s="30">
        <f t="shared" ca="1" si="72"/>
        <v>-2.1530343007915675E-2</v>
      </c>
      <c r="P284" s="30">
        <f t="shared" ca="1" si="73"/>
        <v>-4.6487709554664303E-2</v>
      </c>
      <c r="Q284" s="30">
        <f t="shared" ca="1" si="74"/>
        <v>-9.5423943799395117E-2</v>
      </c>
      <c r="R284" s="30">
        <f t="shared" ca="1" si="75"/>
        <v>4.4855178631804327E-2</v>
      </c>
      <c r="S284" s="9" cm="1">
        <f t="array" aca="1" ref="S284" ca="1">_xll.FDS($E$7,"P_PRICE("&amp;AG284&amp;",0,D,D)")</f>
        <v>92.71</v>
      </c>
      <c r="T284" s="9" cm="1">
        <f t="array" aca="1" ref="T284" ca="1">_xll.FDS($E$7,"P_PRICE("&amp;AH284&amp;",0,D,D)")</f>
        <v>94.75</v>
      </c>
      <c r="U284" s="9" cm="1">
        <f t="array" aca="1" ref="U284" ca="1">_xll.FDS($E$7,"P_PRICE("&amp;AI284&amp;",0,D,D)")</f>
        <v>97.23</v>
      </c>
      <c r="V284" s="9" cm="1">
        <f t="array" aca="1" ref="V284" ca="1">_xll.FDS($E$7,"P_PRICE("&amp;AJ284&amp;",0,D,D)")</f>
        <v>102.49</v>
      </c>
      <c r="W284" s="9" cm="1">
        <f t="array" aca="1" ref="W284" ca="1">_xll.FDS($E$7,"P_PRICE("&amp;AK284&amp;",0,D,D)")</f>
        <v>88.73</v>
      </c>
      <c r="X284" s="24">
        <f t="shared" ca="1" si="76"/>
        <v>-2.8392196078171672E-2</v>
      </c>
      <c r="Y284" s="24">
        <f t="shared" ca="1" si="77"/>
        <v>-3.0089528163276036E-2</v>
      </c>
      <c r="Z284" s="24">
        <f t="shared" ca="1" si="78"/>
        <v>-2.9972495322221238E-2</v>
      </c>
      <c r="AA284" s="24">
        <f t="shared" ca="1" si="79"/>
        <v>3.0304041124028736E-2</v>
      </c>
      <c r="AB284" s="9" cm="1">
        <f t="array" aca="1" ref="AB284" ca="1">_xll.FDS($E$9,"P_PRICE("&amp;AG284&amp;",0,D,D)")</f>
        <v>5868.55</v>
      </c>
      <c r="AC284" s="9" cm="1">
        <f t="array" aca="1" ref="AC284" ca="1">_xll.FDS($E$9,"P_PRICE("&amp;AH284&amp;",0,D,D)")</f>
        <v>6040.04</v>
      </c>
      <c r="AD284" s="9" cm="1">
        <f t="array" aca="1" ref="AD284" ca="1">_xll.FDS($E$9,"P_PRICE("&amp;AI284&amp;",0,D,D)")</f>
        <v>6050.61</v>
      </c>
      <c r="AE284" s="9" cm="1">
        <f t="array" aca="1" ref="AE284" ca="1">_xll.FDS($E$9,"P_PRICE("&amp;AJ284&amp;",0,D,D)")</f>
        <v>6049.88</v>
      </c>
      <c r="AF284" s="9" cm="1">
        <f t="array" aca="1" ref="AF284" ca="1">_xll.FDS($E$9,"P_PRICE("&amp;AK284&amp;",0,D,D)")</f>
        <v>5695.94</v>
      </c>
      <c r="AG284" s="20">
        <f t="shared" ca="1" si="85"/>
        <v>45659</v>
      </c>
      <c r="AH284" s="22">
        <f t="shared" ca="1" si="80"/>
        <v>45650</v>
      </c>
      <c r="AI284" s="22">
        <f t="shared" ca="1" si="81"/>
        <v>45643</v>
      </c>
      <c r="AJ284" s="22">
        <f t="shared" ca="1" si="82"/>
        <v>45629</v>
      </c>
      <c r="AK284" s="22">
        <f t="shared" ca="1" si="83"/>
        <v>45572</v>
      </c>
      <c r="AL284" s="22">
        <f t="shared" ca="1" si="84"/>
        <v>45485</v>
      </c>
    </row>
    <row r="285" spans="4:38" x14ac:dyDescent="0.25">
      <c r="D285" s="6">
        <f ca="1"/>
        <v>45657</v>
      </c>
      <c r="E285" s="28" cm="1">
        <f t="array" aca="1" ref="E285" ca="1">_xll.FDS($E$7,"P_PRICE("&amp;D285&amp;",0,D,D)")</f>
        <v>92.52</v>
      </c>
      <c r="F285" s="29" cm="1">
        <f t="array" aca="1" ref="F285" ca="1">_xll.FDS($E$7,"P_BETA_LOCIDX("&amp;$AG285&amp;","&amp;$AL285&amp;",,"""&amp;$E$9&amp;""")")</f>
        <v>1.2379225</v>
      </c>
      <c r="G285" s="30">
        <f t="shared" ca="1" si="70"/>
        <v>9.0376767428487423E-4</v>
      </c>
      <c r="H285" s="30">
        <f t="shared" ca="1" si="70"/>
        <v>-1.8619038561003096E-2</v>
      </c>
      <c r="I285" s="30">
        <f t="shared" ca="1" si="70"/>
        <v>-6.3129584163122837E-2</v>
      </c>
      <c r="J285" s="30">
        <f t="shared" ca="1" si="68"/>
        <v>1.0164163764739283E-2</v>
      </c>
      <c r="K285" s="30">
        <f t="shared" ca="1" si="71"/>
        <v>-1.9155041018936805E-2</v>
      </c>
      <c r="L285" s="30">
        <f t="shared" ca="1" si="71"/>
        <v>-3.9222101968528503E-2</v>
      </c>
      <c r="M285" s="30">
        <f t="shared" ca="1" si="71"/>
        <v>-3.3883884507577879E-2</v>
      </c>
      <c r="N285" s="30">
        <f t="shared" ca="1" si="69"/>
        <v>2.8103146301471031E-2</v>
      </c>
      <c r="O285" s="30">
        <f t="shared" ca="1" si="72"/>
        <v>-1.825127334465193E-2</v>
      </c>
      <c r="P285" s="30">
        <f t="shared" ca="1" si="73"/>
        <v>-5.7841140529531598E-2</v>
      </c>
      <c r="Q285" s="30">
        <f t="shared" ca="1" si="74"/>
        <v>-9.7013468670700709E-2</v>
      </c>
      <c r="R285" s="30">
        <f t="shared" ca="1" si="75"/>
        <v>3.8267310066210314E-2</v>
      </c>
      <c r="S285" s="9" cm="1">
        <f t="array" aca="1" ref="S285" ca="1">_xll.FDS($E$7,"P_PRICE("&amp;AG285&amp;",0,D,D)")</f>
        <v>92.52</v>
      </c>
      <c r="T285" s="9" cm="1">
        <f t="array" aca="1" ref="T285" ca="1">_xll.FDS($E$7,"P_PRICE("&amp;AH285&amp;",0,D,D)")</f>
        <v>94.24</v>
      </c>
      <c r="U285" s="9" cm="1">
        <f t="array" aca="1" ref="U285" ca="1">_xll.FDS($E$7,"P_PRICE("&amp;AI285&amp;",0,D,D)")</f>
        <v>98.2</v>
      </c>
      <c r="V285" s="9" cm="1">
        <f t="array" aca="1" ref="V285" ca="1">_xll.FDS($E$7,"P_PRICE("&amp;AJ285&amp;",0,D,D)")</f>
        <v>102.46</v>
      </c>
      <c r="W285" s="9" cm="1">
        <f t="array" aca="1" ref="W285" ca="1">_xll.FDS($E$7,"P_PRICE("&amp;AK285&amp;",0,D,D)")</f>
        <v>89.11</v>
      </c>
      <c r="X285" s="24">
        <f t="shared" ca="1" si="76"/>
        <v>-1.5473538140664544E-2</v>
      </c>
      <c r="Y285" s="24">
        <f t="shared" ca="1" si="77"/>
        <v>-3.1683810552379899E-2</v>
      </c>
      <c r="Z285" s="24">
        <f t="shared" ca="1" si="78"/>
        <v>-2.7371571732138222E-2</v>
      </c>
      <c r="AA285" s="24">
        <f t="shared" ca="1" si="79"/>
        <v>2.2701862436033782E-2</v>
      </c>
      <c r="AB285" s="9" cm="1">
        <f t="array" aca="1" ref="AB285" ca="1">_xll.FDS($E$9,"P_PRICE("&amp;AG285&amp;",0,D,D)")</f>
        <v>5881.63</v>
      </c>
      <c r="AC285" s="9" cm="1">
        <f t="array" aca="1" ref="AC285" ca="1">_xll.FDS($E$9,"P_PRICE("&amp;AH285&amp;",0,D,D)")</f>
        <v>5974.07</v>
      </c>
      <c r="AD285" s="9" cm="1">
        <f t="array" aca="1" ref="AD285" ca="1">_xll.FDS($E$9,"P_PRICE("&amp;AI285&amp;",0,D,D)")</f>
        <v>6074.08</v>
      </c>
      <c r="AE285" s="9" cm="1">
        <f t="array" aca="1" ref="AE285" ca="1">_xll.FDS($E$9,"P_PRICE("&amp;AJ285&amp;",0,D,D)")</f>
        <v>6047.15</v>
      </c>
      <c r="AF285" s="9" cm="1">
        <f t="array" aca="1" ref="AF285" ca="1">_xll.FDS($E$9,"P_PRICE("&amp;AK285&amp;",0,D,D)")</f>
        <v>5751.07</v>
      </c>
      <c r="AG285" s="20">
        <f t="shared" ca="1" si="85"/>
        <v>45657</v>
      </c>
      <c r="AH285" s="22">
        <f t="shared" ca="1" si="80"/>
        <v>45649</v>
      </c>
      <c r="AI285" s="22">
        <f t="shared" ca="1" si="81"/>
        <v>45642</v>
      </c>
      <c r="AJ285" s="22">
        <f t="shared" ca="1" si="82"/>
        <v>45628</v>
      </c>
      <c r="AK285" s="22">
        <f t="shared" ca="1" si="83"/>
        <v>45569</v>
      </c>
      <c r="AL285" s="22">
        <f t="shared" ca="1" si="84"/>
        <v>45484</v>
      </c>
    </row>
    <row r="286" spans="4:38" x14ac:dyDescent="0.25">
      <c r="D286" s="6">
        <f ca="1"/>
        <v>45656</v>
      </c>
      <c r="E286" s="28" cm="1">
        <f t="array" aca="1" ref="E286" ca="1">_xll.FDS($E$7,"P_PRICE("&amp;D286&amp;",0,D,D)")</f>
        <v>92.46</v>
      </c>
      <c r="F286" s="29" cm="1">
        <f t="array" aca="1" ref="F286" ca="1">_xll.FDS($E$7,"P_BETA_LOCIDX("&amp;$AG286&amp;","&amp;$AL286&amp;",,"""&amp;$E$9&amp;""")")</f>
        <v>1.2418407</v>
      </c>
      <c r="G286" s="30">
        <f t="shared" ca="1" si="70"/>
        <v>-7.5950180254516957E-3</v>
      </c>
      <c r="H286" s="30">
        <f t="shared" ca="1" si="70"/>
        <v>-2.6176483081025916E-2</v>
      </c>
      <c r="I286" s="30">
        <f t="shared" ca="1" si="70"/>
        <v>-7.0099168591368624E-2</v>
      </c>
      <c r="J286" s="30">
        <f t="shared" ca="1" si="68"/>
        <v>-2.2385347053067717E-3</v>
      </c>
      <c r="K286" s="30">
        <f t="shared" ca="1" si="71"/>
        <v>-5.0064343453301114E-3</v>
      </c>
      <c r="L286" s="30">
        <f t="shared" ca="1" si="71"/>
        <v>-2.9583320840542847E-2</v>
      </c>
      <c r="M286" s="30">
        <f t="shared" ca="1" si="71"/>
        <v>-2.5823389343509629E-2</v>
      </c>
      <c r="N286" s="30">
        <f t="shared" ca="1" si="69"/>
        <v>4.5098900146317233E-2</v>
      </c>
      <c r="O286" s="30">
        <f t="shared" ca="1" si="72"/>
        <v>-1.2601452370781807E-2</v>
      </c>
      <c r="P286" s="30">
        <f t="shared" ca="1" si="73"/>
        <v>-5.5759803921568762E-2</v>
      </c>
      <c r="Q286" s="30">
        <f t="shared" ca="1" si="74"/>
        <v>-9.592255793487825E-2</v>
      </c>
      <c r="R286" s="30">
        <f t="shared" ca="1" si="75"/>
        <v>4.2860365441010462E-2</v>
      </c>
      <c r="S286" s="9" cm="1">
        <f t="array" aca="1" ref="S286" ca="1">_xll.FDS($E$7,"P_PRICE("&amp;AG286&amp;",0,D,D)")</f>
        <v>92.46</v>
      </c>
      <c r="T286" s="9" cm="1">
        <f t="array" aca="1" ref="T286" ca="1">_xll.FDS($E$7,"P_PRICE("&amp;AH286&amp;",0,D,D)")</f>
        <v>93.64</v>
      </c>
      <c r="U286" s="9" cm="1">
        <f t="array" aca="1" ref="U286" ca="1">_xll.FDS($E$7,"P_PRICE("&amp;AI286&amp;",0,D,D)")</f>
        <v>97.92</v>
      </c>
      <c r="V286" s="9" cm="1">
        <f t="array" aca="1" ref="V286" ca="1">_xll.FDS($E$7,"P_PRICE("&amp;AJ286&amp;",0,D,D)")</f>
        <v>102.27</v>
      </c>
      <c r="W286" s="9" cm="1">
        <f t="array" aca="1" ref="W286" ca="1">_xll.FDS($E$7,"P_PRICE("&amp;AK286&amp;",0,D,D)")</f>
        <v>88.66</v>
      </c>
      <c r="X286" s="24">
        <f t="shared" ca="1" si="76"/>
        <v>-4.0314626065405257E-3</v>
      </c>
      <c r="Y286" s="24">
        <f t="shared" ca="1" si="77"/>
        <v>-2.3822154355661596E-2</v>
      </c>
      <c r="Z286" s="24">
        <f t="shared" ca="1" si="78"/>
        <v>-2.0794445973231213E-2</v>
      </c>
      <c r="AA286" s="24">
        <f t="shared" ca="1" si="79"/>
        <v>3.6316171749176229E-2</v>
      </c>
      <c r="AB286" s="9" cm="1">
        <f t="array" aca="1" ref="AB286" ca="1">_xll.FDS($E$9,"P_PRICE("&amp;AG286&amp;",0,D,D)")</f>
        <v>5906.94</v>
      </c>
      <c r="AC286" s="9" cm="1">
        <f t="array" aca="1" ref="AC286" ca="1">_xll.FDS($E$9,"P_PRICE("&amp;AH286&amp;",0,D,D)")</f>
        <v>5930.85</v>
      </c>
      <c r="AD286" s="9" cm="1">
        <f t="array" aca="1" ref="AD286" ca="1">_xll.FDS($E$9,"P_PRICE("&amp;AI286&amp;",0,D,D)")</f>
        <v>6051.09</v>
      </c>
      <c r="AE286" s="9" cm="1">
        <f t="array" aca="1" ref="AE286" ca="1">_xll.FDS($E$9,"P_PRICE("&amp;AJ286&amp;",0,D,D)")</f>
        <v>6032.38</v>
      </c>
      <c r="AF286" s="9" cm="1">
        <f t="array" aca="1" ref="AF286" ca="1">_xll.FDS($E$9,"P_PRICE("&amp;AK286&amp;",0,D,D)")</f>
        <v>5699.94</v>
      </c>
      <c r="AG286" s="20">
        <f t="shared" ca="1" si="85"/>
        <v>45656</v>
      </c>
      <c r="AH286" s="22">
        <f t="shared" ca="1" si="80"/>
        <v>45646</v>
      </c>
      <c r="AI286" s="22">
        <f t="shared" ca="1" si="81"/>
        <v>45639</v>
      </c>
      <c r="AJ286" s="22">
        <f t="shared" ca="1" si="82"/>
        <v>45625</v>
      </c>
      <c r="AK286" s="22">
        <f t="shared" ca="1" si="83"/>
        <v>45568</v>
      </c>
      <c r="AL286" s="22">
        <f t="shared" ca="1" si="84"/>
        <v>45483</v>
      </c>
    </row>
    <row r="287" spans="4:38" x14ac:dyDescent="0.25">
      <c r="D287" s="6">
        <f ca="1"/>
        <v>45653</v>
      </c>
      <c r="E287" s="28" cm="1">
        <f t="array" aca="1" ref="E287" ca="1">_xll.FDS($E$7,"P_PRICE("&amp;D287&amp;",0,D,D)")</f>
        <v>93.58</v>
      </c>
      <c r="F287" s="29" cm="1">
        <f t="array" aca="1" ref="F287" ca="1">_xll.FDS($E$7,"P_BETA_LOCIDX("&amp;$AG287&amp;","&amp;$AL287&amp;",,"""&amp;$E$9&amp;""")")</f>
        <v>1.2423143000000001</v>
      </c>
      <c r="G287" s="30">
        <f t="shared" ca="1" si="70"/>
        <v>-1.638268171882205E-2</v>
      </c>
      <c r="H287" s="30">
        <f t="shared" ca="1" si="70"/>
        <v>-3.3923177506777563E-2</v>
      </c>
      <c r="I287" s="30">
        <f t="shared" ca="1" si="70"/>
        <v>-7.6231050046895038E-2</v>
      </c>
      <c r="J287" s="30">
        <f t="shared" ca="1" si="68"/>
        <v>-1.1502151607049947E-2</v>
      </c>
      <c r="K287" s="30">
        <f t="shared" ca="1" si="71"/>
        <v>2.1970474540657352E-2</v>
      </c>
      <c r="L287" s="30">
        <f t="shared" ca="1" si="71"/>
        <v>-1.6508075664201625E-2</v>
      </c>
      <c r="M287" s="30">
        <f t="shared" ca="1" si="71"/>
        <v>-5.777974869722622E-3</v>
      </c>
      <c r="N287" s="30">
        <f t="shared" ca="1" si="69"/>
        <v>5.6855145351464541E-2</v>
      </c>
      <c r="O287" s="30">
        <f t="shared" ca="1" si="72"/>
        <v>5.5877928218353023E-3</v>
      </c>
      <c r="P287" s="30">
        <f t="shared" ca="1" si="73"/>
        <v>-5.0431253170979184E-2</v>
      </c>
      <c r="Q287" s="30">
        <f t="shared" ca="1" si="74"/>
        <v>-8.2009024916617657E-2</v>
      </c>
      <c r="R287" s="30">
        <f t="shared" ca="1" si="75"/>
        <v>4.5352993744414594E-2</v>
      </c>
      <c r="S287" s="9" cm="1">
        <f t="array" aca="1" ref="S287" ca="1">_xll.FDS($E$7,"P_PRICE("&amp;AG287&amp;",0,D,D)")</f>
        <v>93.58</v>
      </c>
      <c r="T287" s="9" cm="1">
        <f t="array" aca="1" ref="T287" ca="1">_xll.FDS($E$7,"P_PRICE("&amp;AH287&amp;",0,D,D)")</f>
        <v>93.06</v>
      </c>
      <c r="U287" s="9" cm="1">
        <f t="array" aca="1" ref="U287" ca="1">_xll.FDS($E$7,"P_PRICE("&amp;AI287&amp;",0,D,D)")</f>
        <v>98.55</v>
      </c>
      <c r="V287" s="9" cm="1">
        <f t="array" aca="1" ref="V287" ca="1">_xll.FDS($E$7,"P_PRICE("&amp;AJ287&amp;",0,D,D)")</f>
        <v>101.94</v>
      </c>
      <c r="W287" s="9" cm="1">
        <f t="array" aca="1" ref="W287" ca="1">_xll.FDS($E$7,"P_PRICE("&amp;AK287&amp;",0,D,D)")</f>
        <v>89.52</v>
      </c>
      <c r="X287" s="24">
        <f t="shared" ca="1" si="76"/>
        <v>1.768511763943903E-2</v>
      </c>
      <c r="Y287" s="24">
        <f t="shared" ca="1" si="77"/>
        <v>-1.3288163602561465E-2</v>
      </c>
      <c r="Z287" s="24">
        <f t="shared" ca="1" si="78"/>
        <v>-4.6509767051080564E-3</v>
      </c>
      <c r="AA287" s="24">
        <f t="shared" ca="1" si="79"/>
        <v>4.5765508254605569E-2</v>
      </c>
      <c r="AB287" s="9" cm="1">
        <f t="array" aca="1" ref="AB287" ca="1">_xll.FDS($E$9,"P_PRICE("&amp;AG287&amp;",0,D,D)")</f>
        <v>5970.84</v>
      </c>
      <c r="AC287" s="9" cm="1">
        <f t="array" aca="1" ref="AC287" ca="1">_xll.FDS($E$9,"P_PRICE("&amp;AH287&amp;",0,D,D)")</f>
        <v>5867.08</v>
      </c>
      <c r="AD287" s="9" cm="1">
        <f t="array" aca="1" ref="AD287" ca="1">_xll.FDS($E$9,"P_PRICE("&amp;AI287&amp;",0,D,D)")</f>
        <v>6051.25</v>
      </c>
      <c r="AE287" s="9" cm="1">
        <f t="array" aca="1" ref="AE287" ca="1">_xll.FDS($E$9,"P_PRICE("&amp;AJ287&amp;",0,D,D)")</f>
        <v>5998.74</v>
      </c>
      <c r="AF287" s="9" cm="1">
        <f t="array" aca="1" ref="AF287" ca="1">_xll.FDS($E$9,"P_PRICE("&amp;AK287&amp;",0,D,D)")</f>
        <v>5709.54</v>
      </c>
      <c r="AG287" s="20">
        <f t="shared" ca="1" si="85"/>
        <v>45653</v>
      </c>
      <c r="AH287" s="22">
        <f t="shared" ca="1" si="80"/>
        <v>45645</v>
      </c>
      <c r="AI287" s="22">
        <f t="shared" ca="1" si="81"/>
        <v>45638</v>
      </c>
      <c r="AJ287" s="22">
        <f t="shared" ca="1" si="82"/>
        <v>45623</v>
      </c>
      <c r="AK287" s="22">
        <f t="shared" ca="1" si="83"/>
        <v>45567</v>
      </c>
      <c r="AL287" s="22">
        <f t="shared" ca="1" si="84"/>
        <v>45482</v>
      </c>
    </row>
    <row r="288" spans="4:38" x14ac:dyDescent="0.25">
      <c r="D288" s="6">
        <f ca="1"/>
        <v>45652</v>
      </c>
      <c r="E288" s="28" cm="1">
        <f t="array" aca="1" ref="E288" ca="1">_xll.FDS($E$7,"P_PRICE("&amp;D288&amp;",0,D,D)")</f>
        <v>94.65</v>
      </c>
      <c r="F288" s="29" cm="1">
        <f t="array" aca="1" ref="F288" ca="1">_xll.FDS($E$7,"P_BETA_LOCIDX("&amp;$AG288&amp;","&amp;$AL288&amp;",,"""&amp;$E$9&amp;""")")</f>
        <v>1.2438085000000001</v>
      </c>
      <c r="G288" s="30">
        <f t="shared" ca="1" si="70"/>
        <v>-2.5009522413759075E-2</v>
      </c>
      <c r="H288" s="30">
        <f t="shared" ca="1" si="70"/>
        <v>-3.0728953933155008E-2</v>
      </c>
      <c r="I288" s="30">
        <f t="shared" ca="1" si="70"/>
        <v>-8.3203324532322528E-2</v>
      </c>
      <c r="J288" s="30">
        <f t="shared" ca="1" si="68"/>
        <v>-2.9704979815274563E-2</v>
      </c>
      <c r="K288" s="30">
        <f t="shared" ca="1" si="71"/>
        <v>3.5040468950948353E-2</v>
      </c>
      <c r="L288" s="30">
        <f t="shared" ca="1" si="71"/>
        <v>-9.5265723292663404E-3</v>
      </c>
      <c r="M288" s="30">
        <f t="shared" ca="1" si="71"/>
        <v>3.296646200447386E-3</v>
      </c>
      <c r="N288" s="30">
        <f t="shared" ca="1" si="69"/>
        <v>7.1646855640902146E-2</v>
      </c>
      <c r="O288" s="30">
        <f t="shared" ca="1" si="72"/>
        <v>1.0030946537189278E-2</v>
      </c>
      <c r="P288" s="30">
        <f t="shared" ca="1" si="73"/>
        <v>-4.0255526262421348E-2</v>
      </c>
      <c r="Q288" s="30">
        <f t="shared" ca="1" si="74"/>
        <v>-7.9906678331875147E-2</v>
      </c>
      <c r="R288" s="30">
        <f t="shared" ca="1" si="75"/>
        <v>4.1941875825627584E-2</v>
      </c>
      <c r="S288" s="9" cm="1">
        <f t="array" aca="1" ref="S288" ca="1">_xll.FDS($E$7,"P_PRICE("&amp;AG288&amp;",0,D,D)")</f>
        <v>94.65</v>
      </c>
      <c r="T288" s="9" cm="1">
        <f t="array" aca="1" ref="T288" ca="1">_xll.FDS($E$7,"P_PRICE("&amp;AH288&amp;",0,D,D)")</f>
        <v>93.71</v>
      </c>
      <c r="U288" s="9" cm="1">
        <f t="array" aca="1" ref="U288" ca="1">_xll.FDS($E$7,"P_PRICE("&amp;AI288&amp;",0,D,D)")</f>
        <v>98.62</v>
      </c>
      <c r="V288" s="9" cm="1">
        <f t="array" aca="1" ref="V288" ca="1">_xll.FDS($E$7,"P_PRICE("&amp;AJ288&amp;",0,D,D)")</f>
        <v>102.87</v>
      </c>
      <c r="W288" s="9" cm="1">
        <f t="array" aca="1" ref="W288" ca="1">_xll.FDS($E$7,"P_PRICE("&amp;AK288&amp;",0,D,D)")</f>
        <v>90.84</v>
      </c>
      <c r="X288" s="24">
        <f t="shared" ca="1" si="76"/>
        <v>2.8171916296558797E-2</v>
      </c>
      <c r="Y288" s="24">
        <f t="shared" ca="1" si="77"/>
        <v>-7.6591953900189136E-3</v>
      </c>
      <c r="Z288" s="24">
        <f t="shared" ca="1" si="78"/>
        <v>2.6504451452513678E-3</v>
      </c>
      <c r="AA288" s="24">
        <f t="shared" ca="1" si="79"/>
        <v>5.7602802715130297E-2</v>
      </c>
      <c r="AB288" s="9" cm="1">
        <f t="array" aca="1" ref="AB288" ca="1">_xll.FDS($E$9,"P_PRICE("&amp;AG288&amp;",0,D,D)")</f>
        <v>6037.59</v>
      </c>
      <c r="AC288" s="9" cm="1">
        <f t="array" aca="1" ref="AC288" ca="1">_xll.FDS($E$9,"P_PRICE("&amp;AH288&amp;",0,D,D)")</f>
        <v>5872.16</v>
      </c>
      <c r="AD288" s="9" cm="1">
        <f t="array" aca="1" ref="AD288" ca="1">_xll.FDS($E$9,"P_PRICE("&amp;AI288&amp;",0,D,D)")</f>
        <v>6084.19</v>
      </c>
      <c r="AE288" s="9" cm="1">
        <f t="array" aca="1" ref="AE288" ca="1">_xll.FDS($E$9,"P_PRICE("&amp;AJ288&amp;",0,D,D)")</f>
        <v>6021.63</v>
      </c>
      <c r="AF288" s="9" cm="1">
        <f t="array" aca="1" ref="AF288" ca="1">_xll.FDS($E$9,"P_PRICE("&amp;AK288&amp;",0,D,D)")</f>
        <v>5708.75</v>
      </c>
      <c r="AG288" s="20">
        <f t="shared" ca="1" si="85"/>
        <v>45652</v>
      </c>
      <c r="AH288" s="22">
        <f t="shared" ca="1" si="80"/>
        <v>45644</v>
      </c>
      <c r="AI288" s="22">
        <f t="shared" ca="1" si="81"/>
        <v>45637</v>
      </c>
      <c r="AJ288" s="22">
        <f t="shared" ca="1" si="82"/>
        <v>45622</v>
      </c>
      <c r="AK288" s="22">
        <f t="shared" ca="1" si="83"/>
        <v>45566</v>
      </c>
      <c r="AL288" s="22">
        <f t="shared" ca="1" si="84"/>
        <v>45481</v>
      </c>
    </row>
    <row r="289" spans="4:38" x14ac:dyDescent="0.25">
      <c r="D289" s="6">
        <f ca="1"/>
        <v>45650</v>
      </c>
      <c r="E289" s="28" cm="1">
        <f t="array" aca="1" ref="E289" ca="1">_xll.FDS($E$7,"P_PRICE("&amp;D289&amp;",0,D,D)")</f>
        <v>94.75</v>
      </c>
      <c r="F289" s="29" cm="1">
        <f t="array" aca="1" ref="F289" ca="1">_xll.FDS($E$7,"P_BETA_LOCIDX("&amp;$AG289&amp;","&amp;$AL289&amp;",,"""&amp;$E$9&amp;""")")</f>
        <v>1.2418286999999999</v>
      </c>
      <c r="G289" s="30">
        <f t="shared" ca="1" si="70"/>
        <v>-2.3337141479413202E-2</v>
      </c>
      <c r="H289" s="30">
        <f t="shared" ca="1" si="70"/>
        <v>-4.2435629674161326E-2</v>
      </c>
      <c r="I289" s="30">
        <f t="shared" ca="1" si="70"/>
        <v>-8.9231574670032565E-2</v>
      </c>
      <c r="J289" s="30">
        <f t="shared" ca="1" si="68"/>
        <v>-3.8141371063324679E-2</v>
      </c>
      <c r="K289" s="30">
        <f t="shared" ca="1" si="71"/>
        <v>-2.1693894266857981E-3</v>
      </c>
      <c r="L289" s="30">
        <f t="shared" ca="1" si="71"/>
        <v>1.0556215802721251E-3</v>
      </c>
      <c r="M289" s="30">
        <f t="shared" ca="1" si="71"/>
        <v>1.0924181673923668E-2</v>
      </c>
      <c r="N289" s="30">
        <f t="shared" ca="1" si="69"/>
        <v>5.9814866858019587E-2</v>
      </c>
      <c r="O289" s="30">
        <f t="shared" ca="1" si="72"/>
        <v>-2.5506530906099001E-2</v>
      </c>
      <c r="P289" s="30">
        <f t="shared" ca="1" si="73"/>
        <v>-4.1380008093889198E-2</v>
      </c>
      <c r="Q289" s="30">
        <f t="shared" ca="1" si="74"/>
        <v>-7.8307392996108893E-2</v>
      </c>
      <c r="R289" s="30">
        <f t="shared" ca="1" si="75"/>
        <v>2.1673495794694908E-2</v>
      </c>
      <c r="S289" s="9" cm="1">
        <f t="array" aca="1" ref="S289" ca="1">_xll.FDS($E$7,"P_PRICE("&amp;AG289&amp;",0,D,D)")</f>
        <v>94.75</v>
      </c>
      <c r="T289" s="9" cm="1">
        <f t="array" aca="1" ref="T289" ca="1">_xll.FDS($E$7,"P_PRICE("&amp;AH289&amp;",0,D,D)")</f>
        <v>97.23</v>
      </c>
      <c r="U289" s="9" cm="1">
        <f t="array" aca="1" ref="U289" ca="1">_xll.FDS($E$7,"P_PRICE("&amp;AI289&amp;",0,D,D)")</f>
        <v>98.84</v>
      </c>
      <c r="V289" s="9" cm="1">
        <f t="array" aca="1" ref="V289" ca="1">_xll.FDS($E$7,"P_PRICE("&amp;AJ289&amp;",0,D,D)")</f>
        <v>102.8</v>
      </c>
      <c r="W289" s="9" cm="1">
        <f t="array" aca="1" ref="W289" ca="1">_xll.FDS($E$7,"P_PRICE("&amp;AK289&amp;",0,D,D)")</f>
        <v>92.74</v>
      </c>
      <c r="X289" s="24">
        <f t="shared" ca="1" si="76"/>
        <v>-1.7469313011414522E-3</v>
      </c>
      <c r="Y289" s="24">
        <f t="shared" ca="1" si="77"/>
        <v>8.500541018838792E-4</v>
      </c>
      <c r="Z289" s="24">
        <f t="shared" ca="1" si="78"/>
        <v>8.7968507040654398E-3</v>
      </c>
      <c r="AA289" s="24">
        <f t="shared" ca="1" si="79"/>
        <v>4.8166761533228852E-2</v>
      </c>
      <c r="AB289" s="9" cm="1">
        <f t="array" aca="1" ref="AB289" ca="1">_xll.FDS($E$9,"P_PRICE("&amp;AG289&amp;",0,D,D)")</f>
        <v>6040.04</v>
      </c>
      <c r="AC289" s="9" cm="1">
        <f t="array" aca="1" ref="AC289" ca="1">_xll.FDS($E$9,"P_PRICE("&amp;AH289&amp;",0,D,D)")</f>
        <v>6050.61</v>
      </c>
      <c r="AD289" s="9" cm="1">
        <f t="array" aca="1" ref="AD289" ca="1">_xll.FDS($E$9,"P_PRICE("&amp;AI289&amp;",0,D,D)")</f>
        <v>6034.91</v>
      </c>
      <c r="AE289" s="9" cm="1">
        <f t="array" aca="1" ref="AE289" ca="1">_xll.FDS($E$9,"P_PRICE("&amp;AJ289&amp;",0,D,D)")</f>
        <v>5987.37</v>
      </c>
      <c r="AF289" s="9" cm="1">
        <f t="array" aca="1" ref="AF289" ca="1">_xll.FDS($E$9,"P_PRICE("&amp;AK289&amp;",0,D,D)")</f>
        <v>5762.48</v>
      </c>
      <c r="AG289" s="20">
        <f t="shared" ca="1" si="85"/>
        <v>45650</v>
      </c>
      <c r="AH289" s="22">
        <f t="shared" ca="1" si="80"/>
        <v>45643</v>
      </c>
      <c r="AI289" s="22">
        <f t="shared" ca="1" si="81"/>
        <v>45636</v>
      </c>
      <c r="AJ289" s="22">
        <f t="shared" ca="1" si="82"/>
        <v>45621</v>
      </c>
      <c r="AK289" s="22">
        <f t="shared" ca="1" si="83"/>
        <v>45565</v>
      </c>
      <c r="AL289" s="22">
        <f t="shared" ca="1" si="84"/>
        <v>45478</v>
      </c>
    </row>
    <row r="290" spans="4:38" x14ac:dyDescent="0.25">
      <c r="D290" s="6">
        <f ca="1"/>
        <v>45649</v>
      </c>
      <c r="E290" s="28" cm="1">
        <f t="array" aca="1" ref="E290" ca="1">_xll.FDS($E$7,"P_PRICE("&amp;D290&amp;",0,D,D)")</f>
        <v>94.24</v>
      </c>
      <c r="F290" s="29" cm="1">
        <f t="array" aca="1" ref="F290" ca="1">_xll.FDS($E$7,"P_BETA_LOCIDX("&amp;$AG290&amp;","&amp;$AL290&amp;",,"""&amp;$E$9&amp;""")")</f>
        <v>1.2564888000000001</v>
      </c>
      <c r="G290" s="30">
        <f t="shared" ca="1" si="70"/>
        <v>-1.9637721056832938E-2</v>
      </c>
      <c r="H290" s="30">
        <f t="shared" ca="1" si="70"/>
        <v>-4.2093747794823208E-2</v>
      </c>
      <c r="I290" s="30">
        <f t="shared" ca="1" si="70"/>
        <v>-7.1607059462468522E-2</v>
      </c>
      <c r="J290" s="30">
        <f t="shared" ca="1" si="68"/>
        <v>-3.2844282698095396E-2</v>
      </c>
      <c r="K290" s="30">
        <f t="shared" ca="1" si="71"/>
        <v>-2.0688144523615212E-2</v>
      </c>
      <c r="L290" s="30">
        <f t="shared" ca="1" si="71"/>
        <v>-1.6353649547568697E-2</v>
      </c>
      <c r="M290" s="30">
        <f t="shared" ca="1" si="71"/>
        <v>9.9561962025933684E-4</v>
      </c>
      <c r="N290" s="30">
        <f t="shared" ca="1" si="69"/>
        <v>5.1655093508906104E-2</v>
      </c>
      <c r="O290" s="30">
        <f t="shared" ca="1" si="72"/>
        <v>-4.032586558044815E-2</v>
      </c>
      <c r="P290" s="30">
        <f t="shared" ca="1" si="73"/>
        <v>-5.8447397342391905E-2</v>
      </c>
      <c r="Q290" s="30">
        <f t="shared" ca="1" si="74"/>
        <v>-7.0611439842209189E-2</v>
      </c>
      <c r="R290" s="30">
        <f t="shared" ca="1" si="75"/>
        <v>1.8810810810810707E-2</v>
      </c>
      <c r="S290" s="9" cm="1">
        <f t="array" aca="1" ref="S290" ca="1">_xll.FDS($E$7,"P_PRICE("&amp;AG290&amp;",0,D,D)")</f>
        <v>94.24</v>
      </c>
      <c r="T290" s="9" cm="1">
        <f t="array" aca="1" ref="T290" ca="1">_xll.FDS($E$7,"P_PRICE("&amp;AH290&amp;",0,D,D)")</f>
        <v>98.2</v>
      </c>
      <c r="U290" s="9" cm="1">
        <f t="array" aca="1" ref="U290" ca="1">_xll.FDS($E$7,"P_PRICE("&amp;AI290&amp;",0,D,D)")</f>
        <v>100.09</v>
      </c>
      <c r="V290" s="9" cm="1">
        <f t="array" aca="1" ref="V290" ca="1">_xll.FDS($E$7,"P_PRICE("&amp;AJ290&amp;",0,D,D)")</f>
        <v>101.4</v>
      </c>
      <c r="W290" s="9" cm="1">
        <f t="array" aca="1" ref="W290" ca="1">_xll.FDS($E$7,"P_PRICE("&amp;AK290&amp;",0,D,D)")</f>
        <v>92.5</v>
      </c>
      <c r="X290" s="24">
        <f t="shared" ca="1" si="76"/>
        <v>-1.6465044912151394E-2</v>
      </c>
      <c r="Y290" s="24">
        <f t="shared" ca="1" si="77"/>
        <v>-1.3015356402356071E-2</v>
      </c>
      <c r="Z290" s="24">
        <f t="shared" ca="1" si="78"/>
        <v>7.9238240743517707E-4</v>
      </c>
      <c r="AA290" s="24">
        <f t="shared" ca="1" si="79"/>
        <v>4.1110667686736324E-2</v>
      </c>
      <c r="AB290" s="9" cm="1">
        <f t="array" aca="1" ref="AB290" ca="1">_xll.FDS($E$9,"P_PRICE("&amp;AG290&amp;",0,D,D)")</f>
        <v>5974.07</v>
      </c>
      <c r="AC290" s="9" cm="1">
        <f t="array" aca="1" ref="AC290" ca="1">_xll.FDS($E$9,"P_PRICE("&amp;AH290&amp;",0,D,D)")</f>
        <v>6074.08</v>
      </c>
      <c r="AD290" s="9" cm="1">
        <f t="array" aca="1" ref="AD290" ca="1">_xll.FDS($E$9,"P_PRICE("&amp;AI290&amp;",0,D,D)")</f>
        <v>6052.85</v>
      </c>
      <c r="AE290" s="9" cm="1">
        <f t="array" aca="1" ref="AE290" ca="1">_xll.FDS($E$9,"P_PRICE("&amp;AJ290&amp;",0,D,D)")</f>
        <v>5969.34</v>
      </c>
      <c r="AF290" s="9" cm="1">
        <f t="array" aca="1" ref="AF290" ca="1">_xll.FDS($E$9,"P_PRICE("&amp;AK290&amp;",0,D,D)")</f>
        <v>5738.17</v>
      </c>
      <c r="AG290" s="20">
        <f t="shared" ca="1" si="85"/>
        <v>45649</v>
      </c>
      <c r="AH290" s="22">
        <f t="shared" ca="1" si="80"/>
        <v>45642</v>
      </c>
      <c r="AI290" s="22">
        <f t="shared" ca="1" si="81"/>
        <v>45635</v>
      </c>
      <c r="AJ290" s="22">
        <f t="shared" ca="1" si="82"/>
        <v>45618</v>
      </c>
      <c r="AK290" s="22">
        <f t="shared" ca="1" si="83"/>
        <v>45562</v>
      </c>
      <c r="AL290" s="22">
        <f t="shared" ca="1" si="84"/>
        <v>45476</v>
      </c>
    </row>
    <row r="291" spans="4:38" x14ac:dyDescent="0.25">
      <c r="D291" s="6">
        <f ca="1"/>
        <v>45646</v>
      </c>
      <c r="E291" s="28" cm="1">
        <f t="array" aca="1" ref="E291" ca="1">_xll.FDS($E$7,"P_PRICE("&amp;D291&amp;",0,D,D)")</f>
        <v>93.64</v>
      </c>
      <c r="F291" s="29" cm="1">
        <f t="array" aca="1" ref="F291" ca="1">_xll.FDS($E$7,"P_BETA_LOCIDX("&amp;$AG291&amp;","&amp;$AL291&amp;",,"""&amp;$E$9&amp;""")")</f>
        <v>1.2472116</v>
      </c>
      <c r="G291" s="30">
        <f t="shared" ca="1" si="70"/>
        <v>-1.8926057894855339E-2</v>
      </c>
      <c r="H291" s="30">
        <f t="shared" ca="1" si="70"/>
        <v>-5.8226551839841371E-2</v>
      </c>
      <c r="I291" s="30">
        <f t="shared" ca="1" si="70"/>
        <v>-6.4514163671660518E-2</v>
      </c>
      <c r="J291" s="30">
        <f t="shared" ca="1" si="68"/>
        <v>-3.5974209775930736E-2</v>
      </c>
      <c r="K291" s="30">
        <f t="shared" ca="1" si="71"/>
        <v>-2.4783092431942003E-2</v>
      </c>
      <c r="L291" s="30">
        <f t="shared" ca="1" si="71"/>
        <v>-3.2647234567925627E-2</v>
      </c>
      <c r="M291" s="30">
        <f t="shared" ca="1" si="71"/>
        <v>-3.7445427960011118E-3</v>
      </c>
      <c r="N291" s="30">
        <f t="shared" ca="1" si="69"/>
        <v>4.0264214065934993E-2</v>
      </c>
      <c r="O291" s="30">
        <f t="shared" ca="1" si="72"/>
        <v>-4.3709150326797341E-2</v>
      </c>
      <c r="P291" s="30">
        <f t="shared" ca="1" si="73"/>
        <v>-9.0873786407766999E-2</v>
      </c>
      <c r="Q291" s="30">
        <f t="shared" ca="1" si="74"/>
        <v>-6.8258706467661634E-2</v>
      </c>
      <c r="R291" s="30">
        <f t="shared" ca="1" si="75"/>
        <v>4.2900042900042568E-3</v>
      </c>
      <c r="S291" s="9" cm="1">
        <f t="array" aca="1" ref="S291" ca="1">_xll.FDS($E$7,"P_PRICE("&amp;AG291&amp;",0,D,D)")</f>
        <v>93.64</v>
      </c>
      <c r="T291" s="9" cm="1">
        <f t="array" aca="1" ref="T291" ca="1">_xll.FDS($E$7,"P_PRICE("&amp;AH291&amp;",0,D,D)")</f>
        <v>97.92</v>
      </c>
      <c r="U291" s="9" cm="1">
        <f t="array" aca="1" ref="U291" ca="1">_xll.FDS($E$7,"P_PRICE("&amp;AI291&amp;",0,D,D)")</f>
        <v>103</v>
      </c>
      <c r="V291" s="9" cm="1">
        <f t="array" aca="1" ref="V291" ca="1">_xll.FDS($E$7,"P_PRICE("&amp;AJ291&amp;",0,D,D)")</f>
        <v>100.5</v>
      </c>
      <c r="W291" s="9" cm="1">
        <f t="array" aca="1" ref="W291" ca="1">_xll.FDS($E$7,"P_PRICE("&amp;AK291&amp;",0,D,D)")</f>
        <v>93.24</v>
      </c>
      <c r="X291" s="24">
        <f t="shared" ca="1" si="76"/>
        <v>-1.9870800136834843E-2</v>
      </c>
      <c r="Y291" s="24">
        <f t="shared" ca="1" si="77"/>
        <v>-2.6176179381209752E-2</v>
      </c>
      <c r="Z291" s="24">
        <f t="shared" ca="1" si="78"/>
        <v>-3.0023315979430532E-3</v>
      </c>
      <c r="AA291" s="24">
        <f t="shared" ca="1" si="79"/>
        <v>3.2283386448566542E-2</v>
      </c>
      <c r="AB291" s="9" cm="1">
        <f t="array" aca="1" ref="AB291" ca="1">_xll.FDS($E$9,"P_PRICE("&amp;AG291&amp;",0,D,D)")</f>
        <v>5930.85</v>
      </c>
      <c r="AC291" s="9" cm="1">
        <f t="array" aca="1" ref="AC291" ca="1">_xll.FDS($E$9,"P_PRICE("&amp;AH291&amp;",0,D,D)")</f>
        <v>6051.09</v>
      </c>
      <c r="AD291" s="9" cm="1">
        <f t="array" aca="1" ref="AD291" ca="1">_xll.FDS($E$9,"P_PRICE("&amp;AI291&amp;",0,D,D)")</f>
        <v>6090.27</v>
      </c>
      <c r="AE291" s="9" cm="1">
        <f t="array" aca="1" ref="AE291" ca="1">_xll.FDS($E$9,"P_PRICE("&amp;AJ291&amp;",0,D,D)")</f>
        <v>5948.71</v>
      </c>
      <c r="AF291" s="9" cm="1">
        <f t="array" aca="1" ref="AF291" ca="1">_xll.FDS($E$9,"P_PRICE("&amp;AK291&amp;",0,D,D)")</f>
        <v>5745.37</v>
      </c>
      <c r="AG291" s="20">
        <f t="shared" ca="1" si="85"/>
        <v>45646</v>
      </c>
      <c r="AH291" s="22">
        <f t="shared" ca="1" si="80"/>
        <v>45639</v>
      </c>
      <c r="AI291" s="22">
        <f t="shared" ca="1" si="81"/>
        <v>45632</v>
      </c>
      <c r="AJ291" s="22">
        <f t="shared" ca="1" si="82"/>
        <v>45617</v>
      </c>
      <c r="AK291" s="22">
        <f t="shared" ca="1" si="83"/>
        <v>45561</v>
      </c>
      <c r="AL291" s="22">
        <f t="shared" ca="1" si="84"/>
        <v>45475</v>
      </c>
    </row>
    <row r="292" spans="4:38" x14ac:dyDescent="0.25">
      <c r="D292" s="6">
        <f ca="1"/>
        <v>45645</v>
      </c>
      <c r="E292" s="28" cm="1">
        <f t="array" aca="1" ref="E292" ca="1">_xll.FDS($E$7,"P_PRICE("&amp;D292&amp;",0,D,D)")</f>
        <v>93.06</v>
      </c>
      <c r="F292" s="29" cm="1">
        <f t="array" aca="1" ref="F292" ca="1">_xll.FDS($E$7,"P_BETA_LOCIDX("&amp;$AG292&amp;","&amp;$AL292&amp;",,"""&amp;$E$9&amp;""")")</f>
        <v>1.249674</v>
      </c>
      <c r="G292" s="30">
        <f t="shared" ca="1" si="70"/>
        <v>-1.767389177335521E-2</v>
      </c>
      <c r="H292" s="30">
        <f t="shared" ca="1" si="70"/>
        <v>-5.2306594714028085E-2</v>
      </c>
      <c r="I292" s="30">
        <f t="shared" ca="1" si="70"/>
        <v>-6.0691315021270356E-2</v>
      </c>
      <c r="J292" s="30">
        <f t="shared" ca="1" si="68"/>
        <v>-1.9004561902592934E-2</v>
      </c>
      <c r="K292" s="30">
        <f t="shared" ca="1" si="71"/>
        <v>-3.8033870783722334E-2</v>
      </c>
      <c r="L292" s="30">
        <f t="shared" ca="1" si="71"/>
        <v>-4.2792588483171481E-2</v>
      </c>
      <c r="M292" s="30">
        <f t="shared" ca="1" si="71"/>
        <v>-1.0566170008669763E-2</v>
      </c>
      <c r="N292" s="30">
        <f t="shared" ca="1" si="69"/>
        <v>3.1626977571798567E-2</v>
      </c>
      <c r="O292" s="30">
        <f t="shared" ca="1" si="72"/>
        <v>-5.5707762557077545E-2</v>
      </c>
      <c r="P292" s="30">
        <f t="shared" ca="1" si="73"/>
        <v>-9.5099183197199566E-2</v>
      </c>
      <c r="Q292" s="30">
        <f t="shared" ca="1" si="74"/>
        <v>-7.1257485029940115E-2</v>
      </c>
      <c r="R292" s="30">
        <f t="shared" ca="1" si="75"/>
        <v>1.2622415669205633E-2</v>
      </c>
      <c r="S292" s="9" cm="1">
        <f t="array" aca="1" ref="S292" ca="1">_xll.FDS($E$7,"P_PRICE("&amp;AG292&amp;",0,D,D)")</f>
        <v>93.06</v>
      </c>
      <c r="T292" s="9" cm="1">
        <f t="array" aca="1" ref="T292" ca="1">_xll.FDS($E$7,"P_PRICE("&amp;AH292&amp;",0,D,D)")</f>
        <v>98.55</v>
      </c>
      <c r="U292" s="9" cm="1">
        <f t="array" aca="1" ref="U292" ca="1">_xll.FDS($E$7,"P_PRICE("&amp;AI292&amp;",0,D,D)")</f>
        <v>102.84</v>
      </c>
      <c r="V292" s="9" cm="1">
        <f t="array" aca="1" ref="V292" ca="1">_xll.FDS($E$7,"P_PRICE("&amp;AJ292&amp;",0,D,D)")</f>
        <v>100.2</v>
      </c>
      <c r="W292" s="9" cm="1">
        <f t="array" aca="1" ref="W292" ca="1">_xll.FDS($E$7,"P_PRICE("&amp;AK292&amp;",0,D,D)")</f>
        <v>91.9</v>
      </c>
      <c r="X292" s="24">
        <f t="shared" ca="1" si="76"/>
        <v>-3.0435034083866941E-2</v>
      </c>
      <c r="Y292" s="24">
        <f t="shared" ca="1" si="77"/>
        <v>-3.4243001361292214E-2</v>
      </c>
      <c r="Z292" s="24">
        <f t="shared" ca="1" si="78"/>
        <v>-8.4551411077367078E-3</v>
      </c>
      <c r="AA292" s="24">
        <f t="shared" ca="1" si="79"/>
        <v>2.530818243141697E-2</v>
      </c>
      <c r="AB292" s="9" cm="1">
        <f t="array" aca="1" ref="AB292" ca="1">_xll.FDS($E$9,"P_PRICE("&amp;AG292&amp;",0,D,D)")</f>
        <v>5867.08</v>
      </c>
      <c r="AC292" s="9" cm="1">
        <f t="array" aca="1" ref="AC292" ca="1">_xll.FDS($E$9,"P_PRICE("&amp;AH292&amp;",0,D,D)")</f>
        <v>6051.25</v>
      </c>
      <c r="AD292" s="9" cm="1">
        <f t="array" aca="1" ref="AD292" ca="1">_xll.FDS($E$9,"P_PRICE("&amp;AI292&amp;",0,D,D)")</f>
        <v>6075.11</v>
      </c>
      <c r="AE292" s="9" cm="1">
        <f t="array" aca="1" ref="AE292" ca="1">_xll.FDS($E$9,"P_PRICE("&amp;AJ292&amp;",0,D,D)")</f>
        <v>5917.11</v>
      </c>
      <c r="AF292" s="9" cm="1">
        <f t="array" aca="1" ref="AF292" ca="1">_xll.FDS($E$9,"P_PRICE("&amp;AK292&amp;",0,D,D)")</f>
        <v>5722.26</v>
      </c>
      <c r="AG292" s="20">
        <f t="shared" ca="1" si="85"/>
        <v>45645</v>
      </c>
      <c r="AH292" s="22">
        <f t="shared" ca="1" si="80"/>
        <v>45638</v>
      </c>
      <c r="AI292" s="22">
        <f t="shared" ca="1" si="81"/>
        <v>45631</v>
      </c>
      <c r="AJ292" s="22">
        <f t="shared" ca="1" si="82"/>
        <v>45616</v>
      </c>
      <c r="AK292" s="22">
        <f t="shared" ca="1" si="83"/>
        <v>45560</v>
      </c>
      <c r="AL292" s="22">
        <f t="shared" ca="1" si="84"/>
        <v>45474</v>
      </c>
    </row>
    <row r="293" spans="4:38" x14ac:dyDescent="0.25">
      <c r="D293" s="6">
        <f ca="1"/>
        <v>45644</v>
      </c>
      <c r="E293" s="28" cm="1">
        <f t="array" aca="1" ref="E293" ca="1">_xll.FDS($E$7,"P_PRICE("&amp;D293&amp;",0,D,D)")</f>
        <v>93.71</v>
      </c>
      <c r="F293" s="29" cm="1">
        <f t="array" aca="1" ref="F293" ca="1">_xll.FDS($E$7,"P_BETA_LOCIDX("&amp;$AG293&amp;","&amp;$AL293&amp;",,"""&amp;$E$9&amp;""")")</f>
        <v>1.2436353</v>
      </c>
      <c r="G293" s="30">
        <f t="shared" ca="1" si="70"/>
        <v>-6.4471932553387609E-3</v>
      </c>
      <c r="H293" s="30">
        <f t="shared" ca="1" si="70"/>
        <v>-4.9657267879646777E-2</v>
      </c>
      <c r="I293" s="30">
        <f t="shared" ca="1" si="70"/>
        <v>-5.1507647432827548E-2</v>
      </c>
      <c r="J293" s="30">
        <f t="shared" ca="1" si="68"/>
        <v>-5.9379933609569648E-3</v>
      </c>
      <c r="K293" s="30">
        <f t="shared" ca="1" si="71"/>
        <v>-4.3339868192643523E-2</v>
      </c>
      <c r="L293" s="30">
        <f t="shared" ca="1" si="71"/>
        <v>-4.3793443158372053E-2</v>
      </c>
      <c r="M293" s="30">
        <f t="shared" ca="1" si="71"/>
        <v>-9.4203012594262694E-3</v>
      </c>
      <c r="N293" s="30">
        <f t="shared" ca="1" si="69"/>
        <v>3.0202940349698896E-2</v>
      </c>
      <c r="O293" s="30">
        <f t="shared" ca="1" si="72"/>
        <v>-4.9787061447982284E-2</v>
      </c>
      <c r="P293" s="30">
        <f t="shared" ca="1" si="73"/>
        <v>-9.345071103801883E-2</v>
      </c>
      <c r="Q293" s="30">
        <f t="shared" ca="1" si="74"/>
        <v>-6.0927948692253819E-2</v>
      </c>
      <c r="R293" s="30">
        <f t="shared" ca="1" si="75"/>
        <v>2.4264946988741931E-2</v>
      </c>
      <c r="S293" s="9" cm="1">
        <f t="array" aca="1" ref="S293" ca="1">_xll.FDS($E$7,"P_PRICE("&amp;AG293&amp;",0,D,D)")</f>
        <v>93.71</v>
      </c>
      <c r="T293" s="9" cm="1">
        <f t="array" aca="1" ref="T293" ca="1">_xll.FDS($E$7,"P_PRICE("&amp;AH293&amp;",0,D,D)")</f>
        <v>98.62</v>
      </c>
      <c r="U293" s="9" cm="1">
        <f t="array" aca="1" ref="U293" ca="1">_xll.FDS($E$7,"P_PRICE("&amp;AI293&amp;",0,D,D)")</f>
        <v>103.37</v>
      </c>
      <c r="V293" s="9" cm="1">
        <f t="array" aca="1" ref="V293" ca="1">_xll.FDS($E$7,"P_PRICE("&amp;AJ293&amp;",0,D,D)")</f>
        <v>99.79</v>
      </c>
      <c r="W293" s="9" cm="1">
        <f t="array" aca="1" ref="W293" ca="1">_xll.FDS($E$7,"P_PRICE("&amp;AK293&amp;",0,D,D)")</f>
        <v>91.49</v>
      </c>
      <c r="X293" s="24">
        <f t="shared" ca="1" si="76"/>
        <v>-3.4849339024586645E-2</v>
      </c>
      <c r="Y293" s="24">
        <f t="shared" ca="1" si="77"/>
        <v>-3.5214056048724296E-2</v>
      </c>
      <c r="Z293" s="24">
        <f t="shared" ca="1" si="78"/>
        <v>-7.5748101227315345E-3</v>
      </c>
      <c r="AA293" s="24">
        <f t="shared" ca="1" si="79"/>
        <v>2.4286010818202808E-2</v>
      </c>
      <c r="AB293" s="9" cm="1">
        <f t="array" aca="1" ref="AB293" ca="1">_xll.FDS($E$9,"P_PRICE("&amp;AG293&amp;",0,D,D)")</f>
        <v>5872.16</v>
      </c>
      <c r="AC293" s="9" cm="1">
        <f t="array" aca="1" ref="AC293" ca="1">_xll.FDS($E$9,"P_PRICE("&amp;AH293&amp;",0,D,D)")</f>
        <v>6084.19</v>
      </c>
      <c r="AD293" s="9" cm="1">
        <f t="array" aca="1" ref="AD293" ca="1">_xll.FDS($E$9,"P_PRICE("&amp;AI293&amp;",0,D,D)")</f>
        <v>6086.49</v>
      </c>
      <c r="AE293" s="9" cm="1">
        <f t="array" aca="1" ref="AE293" ca="1">_xll.FDS($E$9,"P_PRICE("&amp;AJ293&amp;",0,D,D)")</f>
        <v>5916.98</v>
      </c>
      <c r="AF293" s="9" cm="1">
        <f t="array" aca="1" ref="AF293" ca="1">_xll.FDS($E$9,"P_PRICE("&amp;AK293&amp;",0,D,D)")</f>
        <v>5732.93</v>
      </c>
      <c r="AG293" s="20">
        <f t="shared" ca="1" si="85"/>
        <v>45644</v>
      </c>
      <c r="AH293" s="22">
        <f t="shared" ca="1" si="80"/>
        <v>45637</v>
      </c>
      <c r="AI293" s="22">
        <f t="shared" ca="1" si="81"/>
        <v>45630</v>
      </c>
      <c r="AJ293" s="22">
        <f t="shared" ca="1" si="82"/>
        <v>45615</v>
      </c>
      <c r="AK293" s="22">
        <f t="shared" ca="1" si="83"/>
        <v>45559</v>
      </c>
      <c r="AL293" s="22">
        <f t="shared" ca="1" si="84"/>
        <v>45471</v>
      </c>
    </row>
    <row r="294" spans="4:38" x14ac:dyDescent="0.25">
      <c r="D294" s="6">
        <f ca="1"/>
        <v>45643</v>
      </c>
      <c r="E294" s="28" cm="1">
        <f t="array" aca="1" ref="E294" ca="1">_xll.FDS($E$7,"P_PRICE("&amp;D294&amp;",0,D,D)")</f>
        <v>97.23</v>
      </c>
      <c r="F294" s="29" cm="1">
        <f t="array" aca="1" ref="F294" ca="1">_xll.FDS($E$7,"P_BETA_LOCIDX("&amp;$AG294&amp;","&amp;$AL294&amp;",,"""&amp;$E$9&amp;""")")</f>
        <v>1.2409787999999999</v>
      </c>
      <c r="G294" s="30">
        <f t="shared" ca="1" si="70"/>
        <v>-1.9517395539774544E-2</v>
      </c>
      <c r="H294" s="30">
        <f t="shared" ca="1" si="70"/>
        <v>-5.1471821110865207E-2</v>
      </c>
      <c r="I294" s="30">
        <f t="shared" ca="1" si="70"/>
        <v>-5.734129596516236E-2</v>
      </c>
      <c r="J294" s="30">
        <f t="shared" ca="1" si="68"/>
        <v>-1.4862968704645138E-2</v>
      </c>
      <c r="K294" s="30">
        <f t="shared" ca="1" si="71"/>
        <v>3.228443698414732E-3</v>
      </c>
      <c r="L294" s="30">
        <f t="shared" ca="1" si="71"/>
        <v>1.4974090791860882E-4</v>
      </c>
      <c r="M294" s="30">
        <f t="shared" ca="1" si="71"/>
        <v>3.3056298473943098E-2</v>
      </c>
      <c r="N294" s="30">
        <f t="shared" ca="1" si="69"/>
        <v>7.2055531496860101E-2</v>
      </c>
      <c r="O294" s="30">
        <f t="shared" ca="1" si="72"/>
        <v>-1.6288951841359811E-2</v>
      </c>
      <c r="P294" s="30">
        <f t="shared" ca="1" si="73"/>
        <v>-5.1322080202946596E-2</v>
      </c>
      <c r="Q294" s="30">
        <f t="shared" ca="1" si="74"/>
        <v>-2.4284997491219262E-2</v>
      </c>
      <c r="R294" s="30">
        <f t="shared" ca="1" si="75"/>
        <v>5.7192562792214963E-2</v>
      </c>
      <c r="S294" s="9" cm="1">
        <f t="array" aca="1" ref="S294" ca="1">_xll.FDS($E$7,"P_PRICE("&amp;AG294&amp;",0,D,D)")</f>
        <v>97.23</v>
      </c>
      <c r="T294" s="9" cm="1">
        <f t="array" aca="1" ref="T294" ca="1">_xll.FDS($E$7,"P_PRICE("&amp;AH294&amp;",0,D,D)")</f>
        <v>98.84</v>
      </c>
      <c r="U294" s="9" cm="1">
        <f t="array" aca="1" ref="U294" ca="1">_xll.FDS($E$7,"P_PRICE("&amp;AI294&amp;",0,D,D)")</f>
        <v>102.49</v>
      </c>
      <c r="V294" s="9" cm="1">
        <f t="array" aca="1" ref="V294" ca="1">_xll.FDS($E$7,"P_PRICE("&amp;AJ294&amp;",0,D,D)")</f>
        <v>99.65</v>
      </c>
      <c r="W294" s="9" cm="1">
        <f t="array" aca="1" ref="W294" ca="1">_xll.FDS($E$7,"P_PRICE("&amp;AK294&amp;",0,D,D)")</f>
        <v>91.97</v>
      </c>
      <c r="X294" s="24">
        <f t="shared" ca="1" si="76"/>
        <v>2.6015300973833977E-3</v>
      </c>
      <c r="Y294" s="24">
        <f t="shared" ca="1" si="77"/>
        <v>1.2066355035122989E-4</v>
      </c>
      <c r="Z294" s="24">
        <f t="shared" ca="1" si="78"/>
        <v>2.6637278955887966E-2</v>
      </c>
      <c r="AA294" s="24">
        <f t="shared" ca="1" si="79"/>
        <v>5.8063466915679873E-2</v>
      </c>
      <c r="AB294" s="9" cm="1">
        <f t="array" aca="1" ref="AB294" ca="1">_xll.FDS($E$9,"P_PRICE("&amp;AG294&amp;",0,D,D)")</f>
        <v>6050.61</v>
      </c>
      <c r="AC294" s="9" cm="1">
        <f t="array" aca="1" ref="AC294" ca="1">_xll.FDS($E$9,"P_PRICE("&amp;AH294&amp;",0,D,D)")</f>
        <v>6034.91</v>
      </c>
      <c r="AD294" s="9" cm="1">
        <f t="array" aca="1" ref="AD294" ca="1">_xll.FDS($E$9,"P_PRICE("&amp;AI294&amp;",0,D,D)")</f>
        <v>6049.88</v>
      </c>
      <c r="AE294" s="9" cm="1">
        <f t="array" aca="1" ref="AE294" ca="1">_xll.FDS($E$9,"P_PRICE("&amp;AJ294&amp;",0,D,D)")</f>
        <v>5893.62</v>
      </c>
      <c r="AF294" s="9" cm="1">
        <f t="array" aca="1" ref="AF294" ca="1">_xll.FDS($E$9,"P_PRICE("&amp;AK294&amp;",0,D,D)")</f>
        <v>5718.57</v>
      </c>
      <c r="AG294" s="20">
        <f t="shared" ca="1" si="85"/>
        <v>45643</v>
      </c>
      <c r="AH294" s="22">
        <f t="shared" ca="1" si="80"/>
        <v>45636</v>
      </c>
      <c r="AI294" s="22">
        <f t="shared" ca="1" si="81"/>
        <v>45629</v>
      </c>
      <c r="AJ294" s="22">
        <f t="shared" ca="1" si="82"/>
        <v>45614</v>
      </c>
      <c r="AK294" s="22">
        <f t="shared" ca="1" si="83"/>
        <v>45558</v>
      </c>
      <c r="AL294" s="22">
        <f t="shared" ca="1" si="84"/>
        <v>45470</v>
      </c>
    </row>
    <row r="295" spans="4:38" x14ac:dyDescent="0.25">
      <c r="D295" s="6">
        <f ca="1"/>
        <v>45642</v>
      </c>
      <c r="E295" s="28" cm="1">
        <f t="array" aca="1" ref="E295" ca="1">_xll.FDS($E$7,"P_PRICE("&amp;D295&amp;",0,D,D)")</f>
        <v>98.2</v>
      </c>
      <c r="F295" s="29" cm="1">
        <f t="array" aca="1" ref="F295" ca="1">_xll.FDS($E$7,"P_BETA_LOCIDX("&amp;$AG295&amp;","&amp;$AL295&amp;",,"""&amp;$E$9&amp;""")")</f>
        <v>1.2368148999999999</v>
      </c>
      <c r="G295" s="30">
        <f t="shared" ca="1" si="70"/>
        <v>-2.3221057671718174E-2</v>
      </c>
      <c r="H295" s="30">
        <f t="shared" ca="1" si="70"/>
        <v>-4.7085155061595392E-2</v>
      </c>
      <c r="I295" s="30">
        <f t="shared" ca="1" si="70"/>
        <v>-4.3780356800392738E-2</v>
      </c>
      <c r="J295" s="30">
        <f t="shared" ca="1" si="68"/>
        <v>-2.3416026003916582E-2</v>
      </c>
      <c r="K295" s="30">
        <f t="shared" ca="1" si="71"/>
        <v>4.3380523764838296E-3</v>
      </c>
      <c r="L295" s="30">
        <f t="shared" ca="1" si="71"/>
        <v>5.5079542027237707E-3</v>
      </c>
      <c r="M295" s="30">
        <f t="shared" ca="1" si="71"/>
        <v>4.2864699052910814E-2</v>
      </c>
      <c r="N295" s="30">
        <f t="shared" ca="1" si="69"/>
        <v>8.0580413989706293E-2</v>
      </c>
      <c r="O295" s="30">
        <f t="shared" ca="1" si="72"/>
        <v>-1.8883005295234345E-2</v>
      </c>
      <c r="P295" s="30">
        <f t="shared" ca="1" si="73"/>
        <v>-4.1577200858871621E-2</v>
      </c>
      <c r="Q295" s="30">
        <f t="shared" ca="1" si="74"/>
        <v>-9.1565774748192386E-4</v>
      </c>
      <c r="R295" s="30">
        <f t="shared" ca="1" si="75"/>
        <v>5.7164387985789711E-2</v>
      </c>
      <c r="S295" s="9" cm="1">
        <f t="array" aca="1" ref="S295" ca="1">_xll.FDS($E$7,"P_PRICE("&amp;AG295&amp;",0,D,D)")</f>
        <v>98.2</v>
      </c>
      <c r="T295" s="9" cm="1">
        <f t="array" aca="1" ref="T295" ca="1">_xll.FDS($E$7,"P_PRICE("&amp;AH295&amp;",0,D,D)")</f>
        <v>100.09</v>
      </c>
      <c r="U295" s="9" cm="1">
        <f t="array" aca="1" ref="U295" ca="1">_xll.FDS($E$7,"P_PRICE("&amp;AI295&amp;",0,D,D)")</f>
        <v>102.46</v>
      </c>
      <c r="V295" s="9" cm="1">
        <f t="array" aca="1" ref="V295" ca="1">_xll.FDS($E$7,"P_PRICE("&amp;AJ295&amp;",0,D,D)")</f>
        <v>98.29</v>
      </c>
      <c r="W295" s="9" cm="1">
        <f t="array" aca="1" ref="W295" ca="1">_xll.FDS($E$7,"P_PRICE("&amp;AK295&amp;",0,D,D)")</f>
        <v>92.89</v>
      </c>
      <c r="X295" s="24">
        <f t="shared" ca="1" si="76"/>
        <v>3.507438644605454E-3</v>
      </c>
      <c r="Y295" s="24">
        <f t="shared" ca="1" si="77"/>
        <v>4.4533375226347705E-3</v>
      </c>
      <c r="Z295" s="24">
        <f t="shared" ca="1" si="78"/>
        <v>3.4657327505442259E-2</v>
      </c>
      <c r="AA295" s="24">
        <f t="shared" ca="1" si="79"/>
        <v>6.5151555006093709E-2</v>
      </c>
      <c r="AB295" s="9" cm="1">
        <f t="array" aca="1" ref="AB295" ca="1">_xll.FDS($E$9,"P_PRICE("&amp;AG295&amp;",0,D,D)")</f>
        <v>6074.08</v>
      </c>
      <c r="AC295" s="9" cm="1">
        <f t="array" aca="1" ref="AC295" ca="1">_xll.FDS($E$9,"P_PRICE("&amp;AH295&amp;",0,D,D)")</f>
        <v>6052.85</v>
      </c>
      <c r="AD295" s="9" cm="1">
        <f t="array" aca="1" ref="AD295" ca="1">_xll.FDS($E$9,"P_PRICE("&amp;AI295&amp;",0,D,D)")</f>
        <v>6047.15</v>
      </c>
      <c r="AE295" s="9" cm="1">
        <f t="array" aca="1" ref="AE295" ca="1">_xll.FDS($E$9,"P_PRICE("&amp;AJ295&amp;",0,D,D)")</f>
        <v>5870.62</v>
      </c>
      <c r="AF295" s="9" cm="1">
        <f t="array" aca="1" ref="AF295" ca="1">_xll.FDS($E$9,"P_PRICE("&amp;AK295&amp;",0,D,D)")</f>
        <v>5702.55</v>
      </c>
      <c r="AG295" s="20">
        <f t="shared" ca="1" si="85"/>
        <v>45642</v>
      </c>
      <c r="AH295" s="22">
        <f t="shared" ca="1" si="80"/>
        <v>45635</v>
      </c>
      <c r="AI295" s="22">
        <f t="shared" ca="1" si="81"/>
        <v>45628</v>
      </c>
      <c r="AJ295" s="22">
        <f t="shared" ca="1" si="82"/>
        <v>45611</v>
      </c>
      <c r="AK295" s="22">
        <f t="shared" ca="1" si="83"/>
        <v>45555</v>
      </c>
      <c r="AL295" s="22">
        <f t="shared" ca="1" si="84"/>
        <v>45469</v>
      </c>
    </row>
    <row r="296" spans="4:38" x14ac:dyDescent="0.25">
      <c r="D296" s="6">
        <f ca="1"/>
        <v>45639</v>
      </c>
      <c r="E296" s="28" cm="1">
        <f t="array" aca="1" ref="E296" ca="1">_xll.FDS($E$7,"P_PRICE("&amp;D296&amp;",0,D,D)")</f>
        <v>97.92</v>
      </c>
      <c r="F296" s="29" cm="1">
        <f t="array" aca="1" ref="F296" ca="1">_xll.FDS($E$7,"P_BETA_LOCIDX("&amp;$AG296&amp;","&amp;$AL296&amp;",,"""&amp;$E$9&amp;""")")</f>
        <v>1.2310220000000001</v>
      </c>
      <c r="G296" s="30">
        <f t="shared" ca="1" si="70"/>
        <v>-4.1400962452140491E-2</v>
      </c>
      <c r="H296" s="30">
        <f t="shared" ca="1" si="70"/>
        <v>-4.6352599338112387E-2</v>
      </c>
      <c r="I296" s="30">
        <f t="shared" ca="1" si="70"/>
        <v>-4.061500764133498E-2</v>
      </c>
      <c r="J296" s="30">
        <f t="shared" ca="1" si="68"/>
        <v>-1.6735738971521294E-2</v>
      </c>
      <c r="K296" s="30">
        <f t="shared" ca="1" si="71"/>
        <v>-7.9194258973740873E-3</v>
      </c>
      <c r="L296" s="30">
        <f t="shared" ca="1" si="71"/>
        <v>3.8181317523101293E-3</v>
      </c>
      <c r="M296" s="30">
        <f t="shared" ca="1" si="71"/>
        <v>2.1089624643437676E-2</v>
      </c>
      <c r="N296" s="30">
        <f t="shared" ca="1" si="69"/>
        <v>7.2704681061459817E-2</v>
      </c>
      <c r="O296" s="30">
        <f t="shared" ca="1" si="72"/>
        <v>-4.9320388349514577E-2</v>
      </c>
      <c r="P296" s="30">
        <f t="shared" ca="1" si="73"/>
        <v>-4.253446758580226E-2</v>
      </c>
      <c r="Q296" s="30">
        <f t="shared" ca="1" si="74"/>
        <v>-1.95253829978973E-2</v>
      </c>
      <c r="R296" s="30">
        <f t="shared" ca="1" si="75"/>
        <v>5.5968942089938523E-2</v>
      </c>
      <c r="S296" s="9" cm="1">
        <f t="array" aca="1" ref="S296" ca="1">_xll.FDS($E$7,"P_PRICE("&amp;AG296&amp;",0,D,D)")</f>
        <v>97.92</v>
      </c>
      <c r="T296" s="9" cm="1">
        <f t="array" aca="1" ref="T296" ca="1">_xll.FDS($E$7,"P_PRICE("&amp;AH296&amp;",0,D,D)")</f>
        <v>103</v>
      </c>
      <c r="U296" s="9" cm="1">
        <f t="array" aca="1" ref="U296" ca="1">_xll.FDS($E$7,"P_PRICE("&amp;AI296&amp;",0,D,D)")</f>
        <v>102.27</v>
      </c>
      <c r="V296" s="9" cm="1">
        <f t="array" aca="1" ref="V296" ca="1">_xll.FDS($E$7,"P_PRICE("&amp;AJ296&amp;",0,D,D)")</f>
        <v>99.87</v>
      </c>
      <c r="W296" s="9" cm="1">
        <f t="array" aca="1" ref="W296" ca="1">_xll.FDS($E$7,"P_PRICE("&amp;AK296&amp;",0,D,D)")</f>
        <v>92.73</v>
      </c>
      <c r="X296" s="24">
        <f t="shared" ca="1" si="76"/>
        <v>-6.4332123206360947E-3</v>
      </c>
      <c r="Y296" s="24">
        <f t="shared" ca="1" si="77"/>
        <v>3.1015950586668062E-3</v>
      </c>
      <c r="Z296" s="24">
        <f t="shared" ca="1" si="78"/>
        <v>1.7131801579043815E-2</v>
      </c>
      <c r="AA296" s="24">
        <f t="shared" ca="1" si="79"/>
        <v>5.906042382789245E-2</v>
      </c>
      <c r="AB296" s="9" cm="1">
        <f t="array" aca="1" ref="AB296" ca="1">_xll.FDS($E$9,"P_PRICE("&amp;AG296&amp;",0,D,D)")</f>
        <v>6051.09</v>
      </c>
      <c r="AC296" s="9" cm="1">
        <f t="array" aca="1" ref="AC296" ca="1">_xll.FDS($E$9,"P_PRICE("&amp;AH296&amp;",0,D,D)")</f>
        <v>6090.27</v>
      </c>
      <c r="AD296" s="9" cm="1">
        <f t="array" aca="1" ref="AD296" ca="1">_xll.FDS($E$9,"P_PRICE("&amp;AI296&amp;",0,D,D)")</f>
        <v>6032.38</v>
      </c>
      <c r="AE296" s="9" cm="1">
        <f t="array" aca="1" ref="AE296" ca="1">_xll.FDS($E$9,"P_PRICE("&amp;AJ296&amp;",0,D,D)")</f>
        <v>5949.17</v>
      </c>
      <c r="AF296" s="9" cm="1">
        <f t="array" aca="1" ref="AF296" ca="1">_xll.FDS($E$9,"P_PRICE("&amp;AK296&amp;",0,D,D)")</f>
        <v>5713.64</v>
      </c>
      <c r="AG296" s="20">
        <f t="shared" ca="1" si="85"/>
        <v>45639</v>
      </c>
      <c r="AH296" s="22">
        <f t="shared" ca="1" si="80"/>
        <v>45632</v>
      </c>
      <c r="AI296" s="22">
        <f t="shared" ca="1" si="81"/>
        <v>45625</v>
      </c>
      <c r="AJ296" s="22">
        <f t="shared" ca="1" si="82"/>
        <v>45610</v>
      </c>
      <c r="AK296" s="22">
        <f t="shared" ca="1" si="83"/>
        <v>45554</v>
      </c>
      <c r="AL296" s="22">
        <f t="shared" ca="1" si="84"/>
        <v>45468</v>
      </c>
    </row>
    <row r="297" spans="4:38" x14ac:dyDescent="0.25">
      <c r="D297" s="6">
        <f ca="1"/>
        <v>45638</v>
      </c>
      <c r="E297" s="28" cm="1">
        <f t="array" aca="1" ref="E297" ca="1">_xll.FDS($E$7,"P_PRICE("&amp;D297&amp;",0,D,D)")</f>
        <v>98.55</v>
      </c>
      <c r="F297" s="29" cm="1">
        <f t="array" aca="1" ref="F297" ca="1">_xll.FDS($E$7,"P_BETA_LOCIDX("&amp;$AG297&amp;","&amp;$AL297&amp;",,"""&amp;$E$9&amp;""")")</f>
        <v>1.2389534</v>
      </c>
      <c r="G297" s="30">
        <f t="shared" ca="1" si="70"/>
        <v>-3.6849295285912839E-2</v>
      </c>
      <c r="H297" s="30">
        <f t="shared" ca="1" si="70"/>
        <v>-4.4100040458640244E-2</v>
      </c>
      <c r="I297" s="30">
        <f t="shared" ca="1" si="70"/>
        <v>-1.9986954150014436E-2</v>
      </c>
      <c r="J297" s="30">
        <f t="shared" ca="1" si="68"/>
        <v>-9.7053854105899617E-4</v>
      </c>
      <c r="K297" s="30">
        <f t="shared" ca="1" si="71"/>
        <v>-4.8659905950673328E-3</v>
      </c>
      <c r="L297" s="30">
        <f t="shared" ca="1" si="71"/>
        <v>1.0845184661112287E-2</v>
      </c>
      <c r="M297" s="30">
        <f t="shared" ca="1" si="71"/>
        <v>1.3634867035676779E-2</v>
      </c>
      <c r="N297" s="30">
        <f t="shared" ca="1" si="69"/>
        <v>9.5484088074599516E-2</v>
      </c>
      <c r="O297" s="30">
        <f t="shared" ca="1" si="72"/>
        <v>-4.1715285880980169E-2</v>
      </c>
      <c r="P297" s="30">
        <f t="shared" ca="1" si="73"/>
        <v>-3.325485579752796E-2</v>
      </c>
      <c r="Q297" s="30">
        <f t="shared" ca="1" si="74"/>
        <v>-6.3520871143376567E-3</v>
      </c>
      <c r="R297" s="30">
        <f t="shared" ca="1" si="75"/>
        <v>9.451354953354052E-2</v>
      </c>
      <c r="S297" s="9" cm="1">
        <f t="array" aca="1" ref="S297" ca="1">_xll.FDS($E$7,"P_PRICE("&amp;AG297&amp;",0,D,D)")</f>
        <v>98.55</v>
      </c>
      <c r="T297" s="9" cm="1">
        <f t="array" aca="1" ref="T297" ca="1">_xll.FDS($E$7,"P_PRICE("&amp;AH297&amp;",0,D,D)")</f>
        <v>102.84</v>
      </c>
      <c r="U297" s="9" cm="1">
        <f t="array" aca="1" ref="U297" ca="1">_xll.FDS($E$7,"P_PRICE("&amp;AI297&amp;",0,D,D)")</f>
        <v>101.94</v>
      </c>
      <c r="V297" s="9" cm="1">
        <f t="array" aca="1" ref="V297" ca="1">_xll.FDS($E$7,"P_PRICE("&amp;AJ297&amp;",0,D,D)")</f>
        <v>99.18</v>
      </c>
      <c r="W297" s="9" cm="1">
        <f t="array" aca="1" ref="W297" ca="1">_xll.FDS($E$7,"P_PRICE("&amp;AK297&amp;",0,D,D)")</f>
        <v>90.04</v>
      </c>
      <c r="X297" s="24">
        <f t="shared" ca="1" si="76"/>
        <v>-3.9275009012181838E-3</v>
      </c>
      <c r="Y297" s="24">
        <f t="shared" ca="1" si="77"/>
        <v>8.7535049026963296E-3</v>
      </c>
      <c r="Z297" s="24">
        <f t="shared" ca="1" si="78"/>
        <v>1.1005149213583643E-2</v>
      </c>
      <c r="AA297" s="24">
        <f t="shared" ca="1" si="79"/>
        <v>7.7068345003613148E-2</v>
      </c>
      <c r="AB297" s="9" cm="1">
        <f t="array" aca="1" ref="AB297" ca="1">_xll.FDS($E$9,"P_PRICE("&amp;AG297&amp;",0,D,D)")</f>
        <v>6051.25</v>
      </c>
      <c r="AC297" s="9" cm="1">
        <f t="array" aca="1" ref="AC297" ca="1">_xll.FDS($E$9,"P_PRICE("&amp;AH297&amp;",0,D,D)")</f>
        <v>6075.11</v>
      </c>
      <c r="AD297" s="9" cm="1">
        <f t="array" aca="1" ref="AD297" ca="1">_xll.FDS($E$9,"P_PRICE("&amp;AI297&amp;",0,D,D)")</f>
        <v>5998.74</v>
      </c>
      <c r="AE297" s="9" cm="1">
        <f t="array" aca="1" ref="AE297" ca="1">_xll.FDS($E$9,"P_PRICE("&amp;AJ297&amp;",0,D,D)")</f>
        <v>5985.38</v>
      </c>
      <c r="AF297" s="9" cm="1">
        <f t="array" aca="1" ref="AF297" ca="1">_xll.FDS($E$9,"P_PRICE("&amp;AK297&amp;",0,D,D)")</f>
        <v>5618.26</v>
      </c>
      <c r="AG297" s="20">
        <f t="shared" ca="1" si="85"/>
        <v>45638</v>
      </c>
      <c r="AH297" s="22">
        <f t="shared" ca="1" si="80"/>
        <v>45631</v>
      </c>
      <c r="AI297" s="22">
        <f t="shared" ca="1" si="81"/>
        <v>45623</v>
      </c>
      <c r="AJ297" s="22">
        <f t="shared" ca="1" si="82"/>
        <v>45609</v>
      </c>
      <c r="AK297" s="22">
        <f t="shared" ca="1" si="83"/>
        <v>45553</v>
      </c>
      <c r="AL297" s="22">
        <f t="shared" ca="1" si="84"/>
        <v>45467</v>
      </c>
    </row>
    <row r="298" spans="4:38" x14ac:dyDescent="0.25">
      <c r="D298" s="6">
        <f ca="1"/>
        <v>45637</v>
      </c>
      <c r="E298" s="28" cm="1">
        <f t="array" aca="1" ref="E298" ca="1">_xll.FDS($E$7,"P_PRICE("&amp;D298&amp;",0,D,D)")</f>
        <v>98.62</v>
      </c>
      <c r="F298" s="29" cm="1">
        <f t="array" aca="1" ref="F298" ca="1">_xll.FDS($E$7,"P_BETA_LOCIDX("&amp;$AG298&amp;","&amp;$AL298&amp;",,"""&amp;$E$9&amp;""")")</f>
        <v>1.2429066</v>
      </c>
      <c r="G298" s="30">
        <f t="shared" ca="1" si="70"/>
        <v>-4.5481759452905744E-2</v>
      </c>
      <c r="H298" s="30">
        <f t="shared" ca="1" si="70"/>
        <v>-5.4227102251781352E-2</v>
      </c>
      <c r="I298" s="30">
        <f t="shared" ca="1" si="70"/>
        <v>-3.6089158143616684E-2</v>
      </c>
      <c r="J298" s="30">
        <f t="shared" ca="1" si="68"/>
        <v>5.5609910270160018E-3</v>
      </c>
      <c r="K298" s="30">
        <f t="shared" ca="1" si="71"/>
        <v>-4.6967713411176113E-4</v>
      </c>
      <c r="L298" s="30">
        <f t="shared" ca="1" si="71"/>
        <v>1.2912822092356844E-2</v>
      </c>
      <c r="M298" s="30">
        <f t="shared" ca="1" si="71"/>
        <v>2.0812073770176801E-2</v>
      </c>
      <c r="N298" s="30">
        <f t="shared" ca="1" si="69"/>
        <v>9.9177442937361762E-2</v>
      </c>
      <c r="O298" s="30">
        <f t="shared" ca="1" si="72"/>
        <v>-4.5951436587017502E-2</v>
      </c>
      <c r="P298" s="30">
        <f t="shared" ca="1" si="73"/>
        <v>-4.131428015942451E-2</v>
      </c>
      <c r="Q298" s="30">
        <f t="shared" ca="1" si="74"/>
        <v>-1.5277084373439886E-2</v>
      </c>
      <c r="R298" s="30">
        <f t="shared" ca="1" si="75"/>
        <v>0.10473843396437776</v>
      </c>
      <c r="S298" s="9" cm="1">
        <f t="array" aca="1" ref="S298" ca="1">_xll.FDS($E$7,"P_PRICE("&amp;AG298&amp;",0,D,D)")</f>
        <v>98.62</v>
      </c>
      <c r="T298" s="9" cm="1">
        <f t="array" aca="1" ref="T298" ca="1">_xll.FDS($E$7,"P_PRICE("&amp;AH298&amp;",0,D,D)")</f>
        <v>103.37</v>
      </c>
      <c r="U298" s="9" cm="1">
        <f t="array" aca="1" ref="U298" ca="1">_xll.FDS($E$7,"P_PRICE("&amp;AI298&amp;",0,D,D)")</f>
        <v>102.87</v>
      </c>
      <c r="V298" s="9" cm="1">
        <f t="array" aca="1" ref="V298" ca="1">_xll.FDS($E$7,"P_PRICE("&amp;AJ298&amp;",0,D,D)")</f>
        <v>100.15</v>
      </c>
      <c r="W298" s="9" cm="1">
        <f t="array" aca="1" ref="W298" ca="1">_xll.FDS($E$7,"P_PRICE("&amp;AK298&amp;",0,D,D)")</f>
        <v>89.27</v>
      </c>
      <c r="X298" s="24">
        <f t="shared" ca="1" si="76"/>
        <v>-3.7788610512790033E-4</v>
      </c>
      <c r="Y298" s="24">
        <f t="shared" ca="1" si="77"/>
        <v>1.0389213551812215E-2</v>
      </c>
      <c r="Z298" s="24">
        <f t="shared" ca="1" si="78"/>
        <v>1.6744680388837585E-2</v>
      </c>
      <c r="AA298" s="24">
        <f t="shared" ca="1" si="79"/>
        <v>7.9794767311849313E-2</v>
      </c>
      <c r="AB298" s="9" cm="1">
        <f t="array" aca="1" ref="AB298" ca="1">_xll.FDS($E$9,"P_PRICE("&amp;AG298&amp;",0,D,D)")</f>
        <v>6084.19</v>
      </c>
      <c r="AC298" s="9" cm="1">
        <f t="array" aca="1" ref="AC298" ca="1">_xll.FDS($E$9,"P_PRICE("&amp;AH298&amp;",0,D,D)")</f>
        <v>6086.49</v>
      </c>
      <c r="AD298" s="9" cm="1">
        <f t="array" aca="1" ref="AD298" ca="1">_xll.FDS($E$9,"P_PRICE("&amp;AI298&amp;",0,D,D)")</f>
        <v>6021.63</v>
      </c>
      <c r="AE298" s="9" cm="1">
        <f t="array" aca="1" ref="AE298" ca="1">_xll.FDS($E$9,"P_PRICE("&amp;AJ298&amp;",0,D,D)")</f>
        <v>5983.99</v>
      </c>
      <c r="AF298" s="9" cm="1">
        <f t="array" aca="1" ref="AF298" ca="1">_xll.FDS($E$9,"P_PRICE("&amp;AK298&amp;",0,D,D)")</f>
        <v>5634.58</v>
      </c>
      <c r="AG298" s="20">
        <f t="shared" ca="1" si="85"/>
        <v>45637</v>
      </c>
      <c r="AH298" s="22">
        <f t="shared" ca="1" si="80"/>
        <v>45630</v>
      </c>
      <c r="AI298" s="22">
        <f t="shared" ca="1" si="81"/>
        <v>45622</v>
      </c>
      <c r="AJ298" s="22">
        <f t="shared" ca="1" si="82"/>
        <v>45608</v>
      </c>
      <c r="AK298" s="22">
        <f t="shared" ca="1" si="83"/>
        <v>45552</v>
      </c>
      <c r="AL298" s="22">
        <f t="shared" ca="1" si="84"/>
        <v>45464</v>
      </c>
    </row>
    <row r="299" spans="4:38" x14ac:dyDescent="0.25">
      <c r="D299" s="6">
        <f ca="1"/>
        <v>45636</v>
      </c>
      <c r="E299" s="28" cm="1">
        <f t="array" aca="1" ref="E299" ca="1">_xll.FDS($E$7,"P_PRICE("&amp;D299&amp;",0,D,D)")</f>
        <v>98.84</v>
      </c>
      <c r="F299" s="29" cm="1">
        <f t="array" aca="1" ref="F299" ca="1">_xll.FDS($E$7,"P_BETA_LOCIDX("&amp;$AG299&amp;","&amp;$AL299&amp;",,"""&amp;$E$9&amp;""")")</f>
        <v>1.2628044</v>
      </c>
      <c r="G299" s="30">
        <f t="shared" ca="1" si="70"/>
        <v>-3.2488510421158703E-2</v>
      </c>
      <c r="H299" s="30">
        <f t="shared" ca="1" si="70"/>
        <v>-4.8548127233398151E-2</v>
      </c>
      <c r="I299" s="30">
        <f t="shared" ca="1" si="70"/>
        <v>-4.0694860926063878E-2</v>
      </c>
      <c r="J299" s="30">
        <f t="shared" ca="1" si="68"/>
        <v>1.8366085590804868E-2</v>
      </c>
      <c r="K299" s="30">
        <f t="shared" ca="1" si="71"/>
        <v>-3.1247201379201342E-3</v>
      </c>
      <c r="L299" s="30">
        <f t="shared" ca="1" si="71"/>
        <v>1.0026726455188059E-2</v>
      </c>
      <c r="M299" s="30">
        <f t="shared" ca="1" si="71"/>
        <v>7.0616970621608481E-3</v>
      </c>
      <c r="N299" s="30">
        <f t="shared" ca="1" si="69"/>
        <v>9.0078458538386599E-2</v>
      </c>
      <c r="O299" s="30">
        <f t="shared" ca="1" si="72"/>
        <v>-3.5613230559078835E-2</v>
      </c>
      <c r="P299" s="30">
        <f t="shared" ca="1" si="73"/>
        <v>-3.8521400778210091E-2</v>
      </c>
      <c r="Q299" s="30">
        <f t="shared" ca="1" si="74"/>
        <v>-3.3633163863903026E-2</v>
      </c>
      <c r="R299" s="30">
        <f t="shared" ca="1" si="75"/>
        <v>0.10844454412919147</v>
      </c>
      <c r="S299" s="9" cm="1">
        <f t="array" aca="1" ref="S299" ca="1">_xll.FDS($E$7,"P_PRICE("&amp;AG299&amp;",0,D,D)")</f>
        <v>98.84</v>
      </c>
      <c r="T299" s="9" cm="1">
        <f t="array" aca="1" ref="T299" ca="1">_xll.FDS($E$7,"P_PRICE("&amp;AH299&amp;",0,D,D)")</f>
        <v>102.49</v>
      </c>
      <c r="U299" s="9" cm="1">
        <f t="array" aca="1" ref="U299" ca="1">_xll.FDS($E$7,"P_PRICE("&amp;AI299&amp;",0,D,D)")</f>
        <v>102.8</v>
      </c>
      <c r="V299" s="9" cm="1">
        <f t="array" aca="1" ref="V299" ca="1">_xll.FDS($E$7,"P_PRICE("&amp;AJ299&amp;",0,D,D)")</f>
        <v>102.28</v>
      </c>
      <c r="W299" s="9" cm="1">
        <f t="array" aca="1" ref="W299" ca="1">_xll.FDS($E$7,"P_PRICE("&amp;AK299&amp;",0,D,D)")</f>
        <v>89.17</v>
      </c>
      <c r="X299" s="24">
        <f t="shared" ca="1" si="76"/>
        <v>-2.4744292448776184E-3</v>
      </c>
      <c r="Y299" s="24">
        <f t="shared" ca="1" si="77"/>
        <v>7.9400471325472566E-3</v>
      </c>
      <c r="Z299" s="24">
        <f t="shared" ca="1" si="78"/>
        <v>5.5920751164320048E-3</v>
      </c>
      <c r="AA299" s="24">
        <f t="shared" ca="1" si="79"/>
        <v>7.1332075290826191E-2</v>
      </c>
      <c r="AB299" s="9" cm="1">
        <f t="array" aca="1" ref="AB299" ca="1">_xll.FDS($E$9,"P_PRICE("&amp;AG299&amp;",0,D,D)")</f>
        <v>6034.91</v>
      </c>
      <c r="AC299" s="9" cm="1">
        <f t="array" aca="1" ref="AC299" ca="1">_xll.FDS($E$9,"P_PRICE("&amp;AH299&amp;",0,D,D)")</f>
        <v>6049.88</v>
      </c>
      <c r="AD299" s="9" cm="1">
        <f t="array" aca="1" ref="AD299" ca="1">_xll.FDS($E$9,"P_PRICE("&amp;AI299&amp;",0,D,D)")</f>
        <v>5987.37</v>
      </c>
      <c r="AE299" s="9" cm="1">
        <f t="array" aca="1" ref="AE299" ca="1">_xll.FDS($E$9,"P_PRICE("&amp;AJ299&amp;",0,D,D)")</f>
        <v>6001.35</v>
      </c>
      <c r="AF299" s="9" cm="1">
        <f t="array" aca="1" ref="AF299" ca="1">_xll.FDS($E$9,"P_PRICE("&amp;AK299&amp;",0,D,D)")</f>
        <v>5633.09</v>
      </c>
      <c r="AG299" s="20">
        <f t="shared" ca="1" si="85"/>
        <v>45636</v>
      </c>
      <c r="AH299" s="22">
        <f t="shared" ca="1" si="80"/>
        <v>45629</v>
      </c>
      <c r="AI299" s="22">
        <f t="shared" ca="1" si="81"/>
        <v>45621</v>
      </c>
      <c r="AJ299" s="22">
        <f t="shared" ca="1" si="82"/>
        <v>45607</v>
      </c>
      <c r="AK299" s="22">
        <f t="shared" ca="1" si="83"/>
        <v>45551</v>
      </c>
      <c r="AL299" s="22">
        <f t="shared" ca="1" si="84"/>
        <v>45463</v>
      </c>
    </row>
    <row r="300" spans="4:38" x14ac:dyDescent="0.25">
      <c r="D300" s="6">
        <f ca="1"/>
        <v>45635</v>
      </c>
      <c r="E300" s="28" cm="1">
        <f t="array" aca="1" ref="E300" ca="1">_xll.FDS($E$7,"P_PRICE("&amp;D300&amp;",0,D,D)")</f>
        <v>100.09</v>
      </c>
      <c r="F300" s="29" cm="1">
        <f t="array" aca="1" ref="F300" ca="1">_xll.FDS($E$7,"P_BETA_LOCIDX("&amp;$AG300&amp;","&amp;$AL300&amp;",,"""&amp;$E$9&amp;""")")</f>
        <v>1.2557069999999999</v>
      </c>
      <c r="G300" s="30">
        <f t="shared" ca="1" si="70"/>
        <v>-2.4314598309230787E-2</v>
      </c>
      <c r="H300" s="30">
        <f t="shared" ca="1" si="70"/>
        <v>-3.0486248710526253E-2</v>
      </c>
      <c r="I300" s="30">
        <f t="shared" ca="1" si="70"/>
        <v>-1.7764415566774688E-2</v>
      </c>
      <c r="J300" s="30">
        <f t="shared" ca="1" si="68"/>
        <v>4.8749570742297063E-2</v>
      </c>
      <c r="K300" s="30">
        <f t="shared" ca="1" si="71"/>
        <v>1.1836203666191333E-3</v>
      </c>
      <c r="L300" s="30">
        <f t="shared" ca="1" si="71"/>
        <v>1.7567116560624884E-2</v>
      </c>
      <c r="M300" s="30">
        <f t="shared" ca="1" si="71"/>
        <v>1.2003016937590235E-2</v>
      </c>
      <c r="N300" s="30">
        <f t="shared" ca="1" si="69"/>
        <v>9.5266888281591536E-2</v>
      </c>
      <c r="O300" s="30">
        <f t="shared" ca="1" si="72"/>
        <v>-2.3130977942611652E-2</v>
      </c>
      <c r="P300" s="30">
        <f t="shared" ca="1" si="73"/>
        <v>-1.2919132149901369E-2</v>
      </c>
      <c r="Q300" s="30">
        <f t="shared" ca="1" si="74"/>
        <v>-5.7613986291844554E-3</v>
      </c>
      <c r="R300" s="30">
        <f t="shared" ca="1" si="75"/>
        <v>0.1440164590238886</v>
      </c>
      <c r="S300" s="9" cm="1">
        <f t="array" aca="1" ref="S300" ca="1">_xll.FDS($E$7,"P_PRICE("&amp;AG300&amp;",0,D,D)")</f>
        <v>100.09</v>
      </c>
      <c r="T300" s="9" cm="1">
        <f t="array" aca="1" ref="T300" ca="1">_xll.FDS($E$7,"P_PRICE("&amp;AH300&amp;",0,D,D)")</f>
        <v>102.46</v>
      </c>
      <c r="U300" s="9" cm="1">
        <f t="array" aca="1" ref="U300" ca="1">_xll.FDS($E$7,"P_PRICE("&amp;AI300&amp;",0,D,D)")</f>
        <v>101.4</v>
      </c>
      <c r="V300" s="9" cm="1">
        <f t="array" aca="1" ref="V300" ca="1">_xll.FDS($E$7,"P_PRICE("&amp;AJ300&amp;",0,D,D)")</f>
        <v>100.67</v>
      </c>
      <c r="W300" s="9" cm="1">
        <f t="array" aca="1" ref="W300" ca="1">_xll.FDS($E$7,"P_PRICE("&amp;AK300&amp;",0,D,D)")</f>
        <v>87.49</v>
      </c>
      <c r="X300" s="24">
        <f t="shared" ca="1" si="76"/>
        <v>9.4259279164576881E-4</v>
      </c>
      <c r="Y300" s="24">
        <f t="shared" ca="1" si="77"/>
        <v>1.3989821320280038E-2</v>
      </c>
      <c r="Z300" s="24">
        <f t="shared" ca="1" si="78"/>
        <v>9.5587720205352333E-3</v>
      </c>
      <c r="AA300" s="24">
        <f t="shared" ca="1" si="79"/>
        <v>7.5867131649016484E-2</v>
      </c>
      <c r="AB300" s="9" cm="1">
        <f t="array" aca="1" ref="AB300" ca="1">_xll.FDS($E$9,"P_PRICE("&amp;AG300&amp;",0,D,D)")</f>
        <v>6052.85</v>
      </c>
      <c r="AC300" s="9" cm="1">
        <f t="array" aca="1" ref="AC300" ca="1">_xll.FDS($E$9,"P_PRICE("&amp;AH300&amp;",0,D,D)")</f>
        <v>6047.15</v>
      </c>
      <c r="AD300" s="9" cm="1">
        <f t="array" aca="1" ref="AD300" ca="1">_xll.FDS($E$9,"P_PRICE("&amp;AI300&amp;",0,D,D)")</f>
        <v>5969.34</v>
      </c>
      <c r="AE300" s="9" cm="1">
        <f t="array" aca="1" ref="AE300" ca="1">_xll.FDS($E$9,"P_PRICE("&amp;AJ300&amp;",0,D,D)")</f>
        <v>5995.54</v>
      </c>
      <c r="AF300" s="9" cm="1">
        <f t="array" aca="1" ref="AF300" ca="1">_xll.FDS($E$9,"P_PRICE("&amp;AK300&amp;",0,D,D)")</f>
        <v>5626.02</v>
      </c>
      <c r="AG300" s="20">
        <f t="shared" ca="1" si="85"/>
        <v>45635</v>
      </c>
      <c r="AH300" s="22">
        <f t="shared" ca="1" si="80"/>
        <v>45628</v>
      </c>
      <c r="AI300" s="22">
        <f t="shared" ca="1" si="81"/>
        <v>45618</v>
      </c>
      <c r="AJ300" s="22">
        <f t="shared" ca="1" si="82"/>
        <v>45604</v>
      </c>
      <c r="AK300" s="22">
        <f t="shared" ca="1" si="83"/>
        <v>45548</v>
      </c>
      <c r="AL300" s="22">
        <f t="shared" ca="1" si="84"/>
        <v>45461</v>
      </c>
    </row>
    <row r="301" spans="4:38" x14ac:dyDescent="0.25">
      <c r="D301" s="6">
        <f ca="1"/>
        <v>45632</v>
      </c>
      <c r="E301" s="28" cm="1">
        <f t="array" aca="1" ref="E301" ca="1">_xll.FDS($E$7,"P_PRICE("&amp;D301&amp;",0,D,D)")</f>
        <v>103</v>
      </c>
      <c r="F301" s="29" cm="1">
        <f t="array" aca="1" ref="F301" ca="1">_xll.FDS($E$7,"P_BETA_LOCIDX("&amp;$AG301&amp;","&amp;$AL301&amp;",,"""&amp;$E$9&amp;""")")</f>
        <v>1.2516438000000001</v>
      </c>
      <c r="G301" s="30">
        <f t="shared" ca="1" si="70"/>
        <v>-4.8734866557798035E-3</v>
      </c>
      <c r="H301" s="30">
        <f t="shared" ca="1" si="70"/>
        <v>-4.9094401360098329E-3</v>
      </c>
      <c r="I301" s="30">
        <f t="shared" ca="1" si="70"/>
        <v>-1.3060221870178634E-3</v>
      </c>
      <c r="J301" s="30">
        <f t="shared" ca="1" si="68"/>
        <v>7.7942364811775924E-2</v>
      </c>
      <c r="K301" s="30">
        <f t="shared" ca="1" si="71"/>
        <v>1.2011454779374155E-2</v>
      </c>
      <c r="L301" s="30">
        <f t="shared" ca="1" si="71"/>
        <v>2.9785062026557094E-2</v>
      </c>
      <c r="M301" s="30">
        <f t="shared" ca="1" si="71"/>
        <v>2.4552594807721262E-2</v>
      </c>
      <c r="N301" s="30">
        <f t="shared" ca="1" si="69"/>
        <v>0.11061060080096367</v>
      </c>
      <c r="O301" s="30">
        <f t="shared" ca="1" si="72"/>
        <v>7.1379681235943515E-3</v>
      </c>
      <c r="P301" s="30">
        <f t="shared" ca="1" si="73"/>
        <v>2.4875621890547261E-2</v>
      </c>
      <c r="Q301" s="30">
        <f t="shared" ca="1" si="74"/>
        <v>2.3246572620703398E-2</v>
      </c>
      <c r="R301" s="30">
        <f t="shared" ca="1" si="75"/>
        <v>0.1885529656127396</v>
      </c>
      <c r="S301" s="9" cm="1">
        <f t="array" aca="1" ref="S301" ca="1">_xll.FDS($E$7,"P_PRICE("&amp;AG301&amp;",0,D,D)")</f>
        <v>103</v>
      </c>
      <c r="T301" s="9" cm="1">
        <f t="array" aca="1" ref="T301" ca="1">_xll.FDS($E$7,"P_PRICE("&amp;AH301&amp;",0,D,D)")</f>
        <v>102.27</v>
      </c>
      <c r="U301" s="9" cm="1">
        <f t="array" aca="1" ref="U301" ca="1">_xll.FDS($E$7,"P_PRICE("&amp;AI301&amp;",0,D,D)")</f>
        <v>100.5</v>
      </c>
      <c r="V301" s="9" cm="1">
        <f t="array" aca="1" ref="V301" ca="1">_xll.FDS($E$7,"P_PRICE("&amp;AJ301&amp;",0,D,D)")</f>
        <v>100.66</v>
      </c>
      <c r="W301" s="9" cm="1">
        <f t="array" aca="1" ref="W301" ca="1">_xll.FDS($E$7,"P_PRICE("&amp;AK301&amp;",0,D,D)")</f>
        <v>86.66</v>
      </c>
      <c r="X301" s="24">
        <f t="shared" ca="1" si="76"/>
        <v>9.5965439842982114E-3</v>
      </c>
      <c r="Y301" s="24">
        <f t="shared" ca="1" si="77"/>
        <v>2.379675593532049E-2</v>
      </c>
      <c r="Z301" s="24">
        <f t="shared" ca="1" si="78"/>
        <v>1.9616279653781099E-2</v>
      </c>
      <c r="AA301" s="24">
        <f t="shared" ca="1" si="79"/>
        <v>8.8372267574020391E-2</v>
      </c>
      <c r="AB301" s="9" cm="1">
        <f t="array" aca="1" ref="AB301" ca="1">_xll.FDS($E$9,"P_PRICE("&amp;AG301&amp;",0,D,D)")</f>
        <v>6090.27</v>
      </c>
      <c r="AC301" s="9" cm="1">
        <f t="array" aca="1" ref="AC301" ca="1">_xll.FDS($E$9,"P_PRICE("&amp;AH301&amp;",0,D,D)")</f>
        <v>6032.38</v>
      </c>
      <c r="AD301" s="9" cm="1">
        <f t="array" aca="1" ref="AD301" ca="1">_xll.FDS($E$9,"P_PRICE("&amp;AI301&amp;",0,D,D)")</f>
        <v>5948.71</v>
      </c>
      <c r="AE301" s="9" cm="1">
        <f t="array" aca="1" ref="AE301" ca="1">_xll.FDS($E$9,"P_PRICE("&amp;AJ301&amp;",0,D,D)")</f>
        <v>5973.1</v>
      </c>
      <c r="AF301" s="9" cm="1">
        <f t="array" aca="1" ref="AF301" ca="1">_xll.FDS($E$9,"P_PRICE("&amp;AK301&amp;",0,D,D)")</f>
        <v>5595.76</v>
      </c>
      <c r="AG301" s="20">
        <f t="shared" ca="1" si="85"/>
        <v>45632</v>
      </c>
      <c r="AH301" s="22">
        <f t="shared" ca="1" si="80"/>
        <v>45625</v>
      </c>
      <c r="AI301" s="22">
        <f t="shared" ca="1" si="81"/>
        <v>45617</v>
      </c>
      <c r="AJ301" s="22">
        <f t="shared" ca="1" si="82"/>
        <v>45603</v>
      </c>
      <c r="AK301" s="22">
        <f t="shared" ca="1" si="83"/>
        <v>45547</v>
      </c>
      <c r="AL301" s="22">
        <f t="shared" ca="1" si="84"/>
        <v>45460</v>
      </c>
    </row>
    <row r="302" spans="4:38" x14ac:dyDescent="0.25">
      <c r="D302" s="6">
        <f ca="1"/>
        <v>45631</v>
      </c>
      <c r="E302" s="28" cm="1">
        <f t="array" aca="1" ref="E302" ca="1">_xll.FDS($E$7,"P_PRICE("&amp;D302&amp;",0,D,D)")</f>
        <v>102.84</v>
      </c>
      <c r="F302" s="29" cm="1">
        <f t="array" aca="1" ref="F302" ca="1">_xll.FDS($E$7,"P_BETA_LOCIDX("&amp;$AG302&amp;","&amp;$AL302&amp;",,"""&amp;$E$9&amp;""")")</f>
        <v>1.2574685999999999</v>
      </c>
      <c r="G302" s="30">
        <f t="shared" ca="1" si="70"/>
        <v>-7.1801185755795936E-3</v>
      </c>
      <c r="H302" s="30">
        <f t="shared" ca="1" si="70"/>
        <v>-7.2299035523057387E-3</v>
      </c>
      <c r="I302" s="30">
        <f t="shared" ca="1" si="70"/>
        <v>-2.1679321659577935E-3</v>
      </c>
      <c r="J302" s="30">
        <f t="shared" ca="1" si="68"/>
        <v>8.7958799030055865E-2</v>
      </c>
      <c r="K302" s="30">
        <f t="shared" ca="1" si="71"/>
        <v>1.6008841353684352E-2</v>
      </c>
      <c r="L302" s="30">
        <f t="shared" ca="1" si="71"/>
        <v>3.3577208941527326E-2</v>
      </c>
      <c r="M302" s="30">
        <f t="shared" ca="1" si="71"/>
        <v>3.0979456775801724E-2</v>
      </c>
      <c r="N302" s="30">
        <f t="shared" ca="1" si="69"/>
        <v>0.11795114468476588</v>
      </c>
      <c r="O302" s="30">
        <f t="shared" ca="1" si="72"/>
        <v>8.8287227781047584E-3</v>
      </c>
      <c r="P302" s="30">
        <f t="shared" ca="1" si="73"/>
        <v>2.6347305389221587E-2</v>
      </c>
      <c r="Q302" s="30">
        <f t="shared" ca="1" si="74"/>
        <v>2.881152460984393E-2</v>
      </c>
      <c r="R302" s="30">
        <f t="shared" ca="1" si="75"/>
        <v>0.20590994371482174</v>
      </c>
      <c r="S302" s="9" cm="1">
        <f t="array" aca="1" ref="S302" ca="1">_xll.FDS($E$7,"P_PRICE("&amp;AG302&amp;",0,D,D)")</f>
        <v>102.84</v>
      </c>
      <c r="T302" s="9" cm="1">
        <f t="array" aca="1" ref="T302" ca="1">_xll.FDS($E$7,"P_PRICE("&amp;AH302&amp;",0,D,D)")</f>
        <v>101.94</v>
      </c>
      <c r="U302" s="9" cm="1">
        <f t="array" aca="1" ref="U302" ca="1">_xll.FDS($E$7,"P_PRICE("&amp;AI302&amp;",0,D,D)")</f>
        <v>100.2</v>
      </c>
      <c r="V302" s="9" cm="1">
        <f t="array" aca="1" ref="V302" ca="1">_xll.FDS($E$7,"P_PRICE("&amp;AJ302&amp;",0,D,D)")</f>
        <v>99.96</v>
      </c>
      <c r="W302" s="9" cm="1">
        <f t="array" aca="1" ref="W302" ca="1">_xll.FDS($E$7,"P_PRICE("&amp;AK302&amp;",0,D,D)")</f>
        <v>85.28</v>
      </c>
      <c r="X302" s="24">
        <f t="shared" ca="1" si="76"/>
        <v>1.2731006844770798E-2</v>
      </c>
      <c r="Y302" s="24">
        <f t="shared" ca="1" si="77"/>
        <v>2.6702224565708699E-2</v>
      </c>
      <c r="Z302" s="24">
        <f t="shared" ca="1" si="78"/>
        <v>2.4636366089619832E-2</v>
      </c>
      <c r="AA302" s="24">
        <f t="shared" ca="1" si="79"/>
        <v>9.3800469200396641E-2</v>
      </c>
      <c r="AB302" s="9" cm="1">
        <f t="array" aca="1" ref="AB302" ca="1">_xll.FDS($E$9,"P_PRICE("&amp;AG302&amp;",0,D,D)")</f>
        <v>6075.11</v>
      </c>
      <c r="AC302" s="9" cm="1">
        <f t="array" aca="1" ref="AC302" ca="1">_xll.FDS($E$9,"P_PRICE("&amp;AH302&amp;",0,D,D)")</f>
        <v>5998.74</v>
      </c>
      <c r="AD302" s="9" cm="1">
        <f t="array" aca="1" ref="AD302" ca="1">_xll.FDS($E$9,"P_PRICE("&amp;AI302&amp;",0,D,D)")</f>
        <v>5917.11</v>
      </c>
      <c r="AE302" s="9" cm="1">
        <f t="array" aca="1" ref="AE302" ca="1">_xll.FDS($E$9,"P_PRICE("&amp;AJ302&amp;",0,D,D)")</f>
        <v>5929.04</v>
      </c>
      <c r="AF302" s="9" cm="1">
        <f t="array" aca="1" ref="AF302" ca="1">_xll.FDS($E$9,"P_PRICE("&amp;AK302&amp;",0,D,D)")</f>
        <v>5554.13</v>
      </c>
      <c r="AG302" s="20">
        <f t="shared" ca="1" si="85"/>
        <v>45631</v>
      </c>
      <c r="AH302" s="22">
        <f t="shared" ca="1" si="80"/>
        <v>45623</v>
      </c>
      <c r="AI302" s="22">
        <f t="shared" ca="1" si="81"/>
        <v>45616</v>
      </c>
      <c r="AJ302" s="22">
        <f t="shared" ca="1" si="82"/>
        <v>45602</v>
      </c>
      <c r="AK302" s="22">
        <f t="shared" ca="1" si="83"/>
        <v>45546</v>
      </c>
      <c r="AL302" s="22">
        <f t="shared" ca="1" si="84"/>
        <v>45457</v>
      </c>
    </row>
    <row r="303" spans="4:38" x14ac:dyDescent="0.25">
      <c r="D303" s="6">
        <f ca="1"/>
        <v>45630</v>
      </c>
      <c r="E303" s="28" cm="1">
        <f t="array" aca="1" ref="E303" ca="1">_xll.FDS($E$7,"P_PRICE("&amp;D303&amp;",0,D,D)")</f>
        <v>103.37</v>
      </c>
      <c r="F303" s="29" cm="1">
        <f t="array" aca="1" ref="F303" ca="1">_xll.FDS($E$7,"P_BETA_LOCIDX("&amp;$AG303&amp;","&amp;$AL303&amp;",,"""&amp;$E$9&amp;""")")</f>
        <v>1.2546687999999999</v>
      </c>
      <c r="G303" s="30">
        <f t="shared" ca="1" si="70"/>
        <v>-8.6537473055046353E-3</v>
      </c>
      <c r="H303" s="30">
        <f t="shared" ca="1" si="70"/>
        <v>-6.8489263909191078E-5</v>
      </c>
      <c r="I303" s="30">
        <f t="shared" ca="1" si="70"/>
        <v>7.6036317332518755E-4</v>
      </c>
      <c r="J303" s="30">
        <f t="shared" ca="1" si="68"/>
        <v>7.2529477615026705E-2</v>
      </c>
      <c r="K303" s="30">
        <f t="shared" ca="1" si="71"/>
        <v>1.3514250853672329E-2</v>
      </c>
      <c r="L303" s="30">
        <f t="shared" ca="1" si="71"/>
        <v>3.5943827474150661E-2</v>
      </c>
      <c r="M303" s="30">
        <f t="shared" ca="1" si="71"/>
        <v>6.5899424258312508E-2</v>
      </c>
      <c r="N303" s="30">
        <f t="shared" ca="1" si="69"/>
        <v>0.1349229228054849</v>
      </c>
      <c r="O303" s="30">
        <f t="shared" ca="1" si="72"/>
        <v>4.8605035481676939E-3</v>
      </c>
      <c r="P303" s="30">
        <f t="shared" ca="1" si="73"/>
        <v>3.587533821024147E-2</v>
      </c>
      <c r="Q303" s="30">
        <f t="shared" ca="1" si="74"/>
        <v>6.6659787431637696E-2</v>
      </c>
      <c r="R303" s="30">
        <f t="shared" ca="1" si="75"/>
        <v>0.20745240042051161</v>
      </c>
      <c r="S303" s="9" cm="1">
        <f t="array" aca="1" ref="S303" ca="1">_xll.FDS($E$7,"P_PRICE("&amp;AG303&amp;",0,D,D)")</f>
        <v>103.37</v>
      </c>
      <c r="T303" s="9" cm="1">
        <f t="array" aca="1" ref="T303" ca="1">_xll.FDS($E$7,"P_PRICE("&amp;AH303&amp;",0,D,D)")</f>
        <v>102.87</v>
      </c>
      <c r="U303" s="9" cm="1">
        <f t="array" aca="1" ref="U303" ca="1">_xll.FDS($E$7,"P_PRICE("&amp;AI303&amp;",0,D,D)")</f>
        <v>99.79</v>
      </c>
      <c r="V303" s="9" cm="1">
        <f t="array" aca="1" ref="V303" ca="1">_xll.FDS($E$7,"P_PRICE("&amp;AJ303&amp;",0,D,D)")</f>
        <v>96.91</v>
      </c>
      <c r="W303" s="9" cm="1">
        <f t="array" aca="1" ref="W303" ca="1">_xll.FDS($E$7,"P_PRICE("&amp;AK303&amp;",0,D,D)")</f>
        <v>85.61</v>
      </c>
      <c r="X303" s="24">
        <f t="shared" ca="1" si="76"/>
        <v>1.0771169932393576E-2</v>
      </c>
      <c r="Y303" s="24">
        <f t="shared" ca="1" si="77"/>
        <v>2.8648060328072766E-2</v>
      </c>
      <c r="Z303" s="24">
        <f t="shared" ca="1" si="78"/>
        <v>5.2523362546603947E-2</v>
      </c>
      <c r="AA303" s="24">
        <f t="shared" ca="1" si="79"/>
        <v>0.10753668442658726</v>
      </c>
      <c r="AB303" s="9" cm="1">
        <f t="array" aca="1" ref="AB303" ca="1">_xll.FDS($E$9,"P_PRICE("&amp;AG303&amp;",0,D,D)")</f>
        <v>6086.49</v>
      </c>
      <c r="AC303" s="9" cm="1">
        <f t="array" aca="1" ref="AC303" ca="1">_xll.FDS($E$9,"P_PRICE("&amp;AH303&amp;",0,D,D)")</f>
        <v>6021.63</v>
      </c>
      <c r="AD303" s="9" cm="1">
        <f t="array" aca="1" ref="AD303" ca="1">_xll.FDS($E$9,"P_PRICE("&amp;AI303&amp;",0,D,D)")</f>
        <v>5916.98</v>
      </c>
      <c r="AE303" s="9" cm="1">
        <f t="array" aca="1" ref="AE303" ca="1">_xll.FDS($E$9,"P_PRICE("&amp;AJ303&amp;",0,D,D)")</f>
        <v>5782.76</v>
      </c>
      <c r="AF303" s="9" cm="1">
        <f t="array" aca="1" ref="AF303" ca="1">_xll.FDS($E$9,"P_PRICE("&amp;AK303&amp;",0,D,D)")</f>
        <v>5495.52</v>
      </c>
      <c r="AG303" s="20">
        <f t="shared" ca="1" si="85"/>
        <v>45630</v>
      </c>
      <c r="AH303" s="22">
        <f t="shared" ca="1" si="80"/>
        <v>45622</v>
      </c>
      <c r="AI303" s="22">
        <f t="shared" ca="1" si="81"/>
        <v>45615</v>
      </c>
      <c r="AJ303" s="22">
        <f t="shared" ca="1" si="82"/>
        <v>45601</v>
      </c>
      <c r="AK303" s="22">
        <f t="shared" ca="1" si="83"/>
        <v>45545</v>
      </c>
      <c r="AL303" s="22">
        <f t="shared" ca="1" si="84"/>
        <v>45456</v>
      </c>
    </row>
    <row r="304" spans="4:38" x14ac:dyDescent="0.25">
      <c r="D304" s="6">
        <f ca="1"/>
        <v>45629</v>
      </c>
      <c r="E304" s="28" cm="1">
        <f t="array" aca="1" ref="E304" ca="1">_xll.FDS($E$7,"P_PRICE("&amp;D304&amp;",0,D,D)")</f>
        <v>102.49</v>
      </c>
      <c r="F304" s="29" cm="1">
        <f t="array" aca="1" ref="F304" ca="1">_xll.FDS($E$7,"P_BETA_LOCIDX("&amp;$AG304&amp;","&amp;$AL304&amp;",,"""&amp;$E$9&amp;""")")</f>
        <v>1.2610520999999999</v>
      </c>
      <c r="G304" s="30">
        <f t="shared" ca="1" si="70"/>
        <v>-1.6181339287388803E-2</v>
      </c>
      <c r="H304" s="30">
        <f t="shared" ca="1" si="70"/>
        <v>-4.9350500585431459E-3</v>
      </c>
      <c r="I304" s="30">
        <f t="shared" ca="1" si="70"/>
        <v>1.0691141378260119E-2</v>
      </c>
      <c r="J304" s="30">
        <f t="shared" ca="1" si="68"/>
        <v>8.2359308984063601E-2</v>
      </c>
      <c r="K304" s="30">
        <f t="shared" ca="1" si="71"/>
        <v>1.3165775085054184E-2</v>
      </c>
      <c r="L304" s="30">
        <f t="shared" ca="1" si="71"/>
        <v>3.3434799180469689E-2</v>
      </c>
      <c r="M304" s="30">
        <f t="shared" ca="1" si="71"/>
        <v>7.4433263068537023E-2</v>
      </c>
      <c r="N304" s="30">
        <f t="shared" ca="1" si="69"/>
        <v>0.13341767796730056</v>
      </c>
      <c r="O304" s="30">
        <f t="shared" ca="1" si="72"/>
        <v>-3.0155642023346196E-3</v>
      </c>
      <c r="P304" s="30">
        <f t="shared" ca="1" si="73"/>
        <v>2.8499749121926543E-2</v>
      </c>
      <c r="Q304" s="30">
        <f t="shared" ca="1" si="74"/>
        <v>8.5124404446797142E-2</v>
      </c>
      <c r="R304" s="30">
        <f t="shared" ca="1" si="75"/>
        <v>0.21577698695136416</v>
      </c>
      <c r="S304" s="9" cm="1">
        <f t="array" aca="1" ref="S304" ca="1">_xll.FDS($E$7,"P_PRICE("&amp;AG304&amp;",0,D,D)")</f>
        <v>102.49</v>
      </c>
      <c r="T304" s="9" cm="1">
        <f t="array" aca="1" ref="T304" ca="1">_xll.FDS($E$7,"P_PRICE("&amp;AH304&amp;",0,D,D)")</f>
        <v>102.8</v>
      </c>
      <c r="U304" s="9" cm="1">
        <f t="array" aca="1" ref="U304" ca="1">_xll.FDS($E$7,"P_PRICE("&amp;AI304&amp;",0,D,D)")</f>
        <v>99.65</v>
      </c>
      <c r="V304" s="9" cm="1">
        <f t="array" aca="1" ref="V304" ca="1">_xll.FDS($E$7,"P_PRICE("&amp;AJ304&amp;",0,D,D)")</f>
        <v>94.45</v>
      </c>
      <c r="W304" s="9" cm="1">
        <f t="array" aca="1" ref="W304" ca="1">_xll.FDS($E$7,"P_PRICE("&amp;AK304&amp;",0,D,D)")</f>
        <v>84.3</v>
      </c>
      <c r="X304" s="24">
        <f t="shared" ca="1" si="76"/>
        <v>1.0440310186275559E-2</v>
      </c>
      <c r="Y304" s="24">
        <f t="shared" ca="1" si="77"/>
        <v>2.65134162026055E-2</v>
      </c>
      <c r="Z304" s="24">
        <f t="shared" ca="1" si="78"/>
        <v>5.902473265659447E-2</v>
      </c>
      <c r="AA304" s="24">
        <f t="shared" ca="1" si="79"/>
        <v>0.10579870408788072</v>
      </c>
      <c r="AB304" s="9" cm="1">
        <f t="array" aca="1" ref="AB304" ca="1">_xll.FDS($E$9,"P_PRICE("&amp;AG304&amp;",0,D,D)")</f>
        <v>6049.88</v>
      </c>
      <c r="AC304" s="9" cm="1">
        <f t="array" aca="1" ref="AC304" ca="1">_xll.FDS($E$9,"P_PRICE("&amp;AH304&amp;",0,D,D)")</f>
        <v>5987.37</v>
      </c>
      <c r="AD304" s="9" cm="1">
        <f t="array" aca="1" ref="AD304" ca="1">_xll.FDS($E$9,"P_PRICE("&amp;AI304&amp;",0,D,D)")</f>
        <v>5893.62</v>
      </c>
      <c r="AE304" s="9" cm="1">
        <f t="array" aca="1" ref="AE304" ca="1">_xll.FDS($E$9,"P_PRICE("&amp;AJ304&amp;",0,D,D)")</f>
        <v>5712.69</v>
      </c>
      <c r="AF304" s="9" cm="1">
        <f t="array" aca="1" ref="AF304" ca="1">_xll.FDS($E$9,"P_PRICE("&amp;AK304&amp;",0,D,D)")</f>
        <v>5471.05</v>
      </c>
      <c r="AG304" s="20">
        <f t="shared" ca="1" si="85"/>
        <v>45629</v>
      </c>
      <c r="AH304" s="22">
        <f t="shared" ca="1" si="80"/>
        <v>45621</v>
      </c>
      <c r="AI304" s="22">
        <f t="shared" ca="1" si="81"/>
        <v>45614</v>
      </c>
      <c r="AJ304" s="22">
        <f t="shared" ca="1" si="82"/>
        <v>45600</v>
      </c>
      <c r="AK304" s="22">
        <f t="shared" ca="1" si="83"/>
        <v>45544</v>
      </c>
      <c r="AL304" s="22">
        <f t="shared" ca="1" si="84"/>
        <v>45455</v>
      </c>
    </row>
    <row r="305" spans="4:38" x14ac:dyDescent="0.25">
      <c r="D305" s="6">
        <f ca="1"/>
        <v>45628</v>
      </c>
      <c r="E305" s="28" cm="1">
        <f t="array" aca="1" ref="E305" ca="1">_xll.FDS($E$7,"P_PRICE("&amp;D305&amp;",0,D,D)")</f>
        <v>102.46</v>
      </c>
      <c r="F305" s="29" cm="1">
        <f t="array" aca="1" ref="F305" ca="1">_xll.FDS($E$7,"P_BETA_LOCIDX("&amp;$AG305&amp;","&amp;$AL305&amp;",,"""&amp;$E$9&amp;""")")</f>
        <v>1.2571218</v>
      </c>
      <c r="G305" s="30">
        <f t="shared" ca="1" si="70"/>
        <v>-5.9328606919050141E-3</v>
      </c>
      <c r="H305" s="30">
        <f t="shared" ca="1" si="70"/>
        <v>4.6237253319986599E-3</v>
      </c>
      <c r="I305" s="30">
        <f t="shared" ca="1" si="70"/>
        <v>-3.3855359295464904E-4</v>
      </c>
      <c r="J305" s="30">
        <f t="shared" ca="1" si="68"/>
        <v>5.2284967909665747E-2</v>
      </c>
      <c r="K305" s="30">
        <f t="shared" ca="1" si="71"/>
        <v>1.63865096070922E-2</v>
      </c>
      <c r="L305" s="30">
        <f t="shared" ca="1" si="71"/>
        <v>3.7801750301331108E-2</v>
      </c>
      <c r="M305" s="30">
        <f t="shared" ca="1" si="71"/>
        <v>6.9858386578340759E-2</v>
      </c>
      <c r="N305" s="30">
        <f t="shared" ca="1" si="69"/>
        <v>0.14846506138835358</v>
      </c>
      <c r="O305" s="30">
        <f t="shared" ca="1" si="72"/>
        <v>1.0453648915187186E-2</v>
      </c>
      <c r="P305" s="30">
        <f t="shared" ca="1" si="73"/>
        <v>4.2425475633329768E-2</v>
      </c>
      <c r="Q305" s="30">
        <f t="shared" ca="1" si="74"/>
        <v>6.951983298538611E-2</v>
      </c>
      <c r="R305" s="30">
        <f t="shared" ca="1" si="75"/>
        <v>0.20075002929801933</v>
      </c>
      <c r="S305" s="9" cm="1">
        <f t="array" aca="1" ref="S305" ca="1">_xll.FDS($E$7,"P_PRICE("&amp;AG305&amp;",0,D,D)")</f>
        <v>102.46</v>
      </c>
      <c r="T305" s="9" cm="1">
        <f t="array" aca="1" ref="T305" ca="1">_xll.FDS($E$7,"P_PRICE("&amp;AH305&amp;",0,D,D)")</f>
        <v>101.4</v>
      </c>
      <c r="U305" s="9" cm="1">
        <f t="array" aca="1" ref="U305" ca="1">_xll.FDS($E$7,"P_PRICE("&amp;AI305&amp;",0,D,D)")</f>
        <v>98.29</v>
      </c>
      <c r="V305" s="9" cm="1">
        <f t="array" aca="1" ref="V305" ca="1">_xll.FDS($E$7,"P_PRICE("&amp;AJ305&amp;",0,D,D)")</f>
        <v>95.8</v>
      </c>
      <c r="W305" s="9" cm="1">
        <f t="array" aca="1" ref="W305" ca="1">_xll.FDS($E$7,"P_PRICE("&amp;AK305&amp;",0,D,D)")</f>
        <v>85.33</v>
      </c>
      <c r="X305" s="24">
        <f t="shared" ca="1" si="76"/>
        <v>1.3034941886372664E-2</v>
      </c>
      <c r="Y305" s="24">
        <f t="shared" ca="1" si="77"/>
        <v>3.007007777713433E-2</v>
      </c>
      <c r="Z305" s="24">
        <f t="shared" ca="1" si="78"/>
        <v>5.5570101941069483E-2</v>
      </c>
      <c r="AA305" s="24">
        <f t="shared" ca="1" si="79"/>
        <v>0.11809918608392089</v>
      </c>
      <c r="AB305" s="9" cm="1">
        <f t="array" aca="1" ref="AB305" ca="1">_xll.FDS($E$9,"P_PRICE("&amp;AG305&amp;",0,D,D)")</f>
        <v>6047.15</v>
      </c>
      <c r="AC305" s="9" cm="1">
        <f t="array" aca="1" ref="AC305" ca="1">_xll.FDS($E$9,"P_PRICE("&amp;AH305&amp;",0,D,D)")</f>
        <v>5969.34</v>
      </c>
      <c r="AD305" s="9" cm="1">
        <f t="array" aca="1" ref="AD305" ca="1">_xll.FDS($E$9,"P_PRICE("&amp;AI305&amp;",0,D,D)")</f>
        <v>5870.62</v>
      </c>
      <c r="AE305" s="9" cm="1">
        <f t="array" aca="1" ref="AE305" ca="1">_xll.FDS($E$9,"P_PRICE("&amp;AJ305&amp;",0,D,D)")</f>
        <v>5728.8</v>
      </c>
      <c r="AF305" s="9" cm="1">
        <f t="array" aca="1" ref="AF305" ca="1">_xll.FDS($E$9,"P_PRICE("&amp;AK305&amp;",0,D,D)")</f>
        <v>5408.42</v>
      </c>
      <c r="AG305" s="20">
        <f t="shared" ca="1" si="85"/>
        <v>45628</v>
      </c>
      <c r="AH305" s="22">
        <f t="shared" ca="1" si="80"/>
        <v>45618</v>
      </c>
      <c r="AI305" s="22">
        <f t="shared" ca="1" si="81"/>
        <v>45611</v>
      </c>
      <c r="AJ305" s="22">
        <f t="shared" ca="1" si="82"/>
        <v>45597</v>
      </c>
      <c r="AK305" s="22">
        <f t="shared" ca="1" si="83"/>
        <v>45541</v>
      </c>
      <c r="AL305" s="22">
        <f t="shared" ca="1" si="84"/>
        <v>45454</v>
      </c>
    </row>
    <row r="306" spans="4:38" x14ac:dyDescent="0.25">
      <c r="D306" s="6">
        <f ca="1"/>
        <v>45625</v>
      </c>
      <c r="E306" s="28" cm="1">
        <f t="array" aca="1" ref="E306" ca="1">_xll.FDS($E$7,"P_PRICE("&amp;D306&amp;",0,D,D)")</f>
        <v>102.27</v>
      </c>
      <c r="F306" s="29" cm="1">
        <f t="array" aca="1" ref="F306" ca="1">_xll.FDS($E$7,"P_BETA_LOCIDX("&amp;$AG306&amp;","&amp;$AL306&amp;",,"""&amp;$E$9&amp;""")")</f>
        <v>1.2603458000000001</v>
      </c>
      <c r="G306" s="30">
        <f t="shared" ca="1" si="70"/>
        <v>-1.1511869176129147E-4</v>
      </c>
      <c r="H306" s="30">
        <f t="shared" ca="1" si="70"/>
        <v>6.403004402031013E-3</v>
      </c>
      <c r="I306" s="30">
        <f t="shared" ca="1" si="70"/>
        <v>-5.4394488062843582E-4</v>
      </c>
      <c r="J306" s="30">
        <f t="shared" ca="1" si="68"/>
        <v>8.9585332492840064E-2</v>
      </c>
      <c r="K306" s="30">
        <f t="shared" ca="1" si="71"/>
        <v>1.7727058990268614E-2</v>
      </c>
      <c r="L306" s="30">
        <f t="shared" ca="1" si="71"/>
        <v>1.7628236210765477E-2</v>
      </c>
      <c r="M306" s="30">
        <f t="shared" ca="1" si="71"/>
        <v>7.2219518599584712E-2</v>
      </c>
      <c r="N306" s="30">
        <f t="shared" ca="1" si="69"/>
        <v>0.12114036893962121</v>
      </c>
      <c r="O306" s="30">
        <f t="shared" ca="1" si="72"/>
        <v>1.7611940298507323E-2</v>
      </c>
      <c r="P306" s="30">
        <f t="shared" ca="1" si="73"/>
        <v>2.4031240612796489E-2</v>
      </c>
      <c r="Q306" s="30">
        <f t="shared" ca="1" si="74"/>
        <v>7.1675573718956276E-2</v>
      </c>
      <c r="R306" s="30">
        <f t="shared" ca="1" si="75"/>
        <v>0.21072570143246128</v>
      </c>
      <c r="S306" s="9" cm="1">
        <f t="array" aca="1" ref="S306" ca="1">_xll.FDS($E$7,"P_PRICE("&amp;AG306&amp;",0,D,D)")</f>
        <v>102.27</v>
      </c>
      <c r="T306" s="9" cm="1">
        <f t="array" aca="1" ref="T306" ca="1">_xll.FDS($E$7,"P_PRICE("&amp;AH306&amp;",0,D,D)")</f>
        <v>100.5</v>
      </c>
      <c r="U306" s="9" cm="1">
        <f t="array" aca="1" ref="U306" ca="1">_xll.FDS($E$7,"P_PRICE("&amp;AI306&amp;",0,D,D)")</f>
        <v>99.87</v>
      </c>
      <c r="V306" s="9" cm="1">
        <f t="array" aca="1" ref="V306" ca="1">_xll.FDS($E$7,"P_PRICE("&amp;AJ306&amp;",0,D,D)")</f>
        <v>95.43</v>
      </c>
      <c r="W306" s="9" cm="1">
        <f t="array" aca="1" ref="W306" ca="1">_xll.FDS($E$7,"P_PRICE("&amp;AK306&amp;",0,D,D)")</f>
        <v>84.47</v>
      </c>
      <c r="X306" s="24">
        <f t="shared" ca="1" si="76"/>
        <v>1.4065234311304575E-2</v>
      </c>
      <c r="Y306" s="24">
        <f t="shared" ca="1" si="77"/>
        <v>1.3986825052906493E-2</v>
      </c>
      <c r="Z306" s="24">
        <f t="shared" ca="1" si="78"/>
        <v>5.7301352215863854E-2</v>
      </c>
      <c r="AA306" s="24">
        <f t="shared" ca="1" si="79"/>
        <v>9.6116771238196064E-2</v>
      </c>
      <c r="AB306" s="9" cm="1">
        <f t="array" aca="1" ref="AB306" ca="1">_xll.FDS($E$9,"P_PRICE("&amp;AG306&amp;",0,D,D)")</f>
        <v>6032.38</v>
      </c>
      <c r="AC306" s="9" cm="1">
        <f t="array" aca="1" ref="AC306" ca="1">_xll.FDS($E$9,"P_PRICE("&amp;AH306&amp;",0,D,D)")</f>
        <v>5948.71</v>
      </c>
      <c r="AD306" s="9" cm="1">
        <f t="array" aca="1" ref="AD306" ca="1">_xll.FDS($E$9,"P_PRICE("&amp;AI306&amp;",0,D,D)")</f>
        <v>5949.17</v>
      </c>
      <c r="AE306" s="9" cm="1">
        <f t="array" aca="1" ref="AE306" ca="1">_xll.FDS($E$9,"P_PRICE("&amp;AJ306&amp;",0,D,D)")</f>
        <v>5705.45</v>
      </c>
      <c r="AF306" s="9" cm="1">
        <f t="array" aca="1" ref="AF306" ca="1">_xll.FDS($E$9,"P_PRICE("&amp;AK306&amp;",0,D,D)")</f>
        <v>5503.41</v>
      </c>
      <c r="AG306" s="20">
        <f t="shared" ca="1" si="85"/>
        <v>45625</v>
      </c>
      <c r="AH306" s="22">
        <f t="shared" ca="1" si="80"/>
        <v>45617</v>
      </c>
      <c r="AI306" s="22">
        <f t="shared" ca="1" si="81"/>
        <v>45610</v>
      </c>
      <c r="AJ306" s="22">
        <f t="shared" ca="1" si="82"/>
        <v>45596</v>
      </c>
      <c r="AK306" s="22">
        <f t="shared" ca="1" si="83"/>
        <v>45540</v>
      </c>
      <c r="AL306" s="22">
        <f t="shared" ca="1" si="84"/>
        <v>45453</v>
      </c>
    </row>
    <row r="307" spans="4:38" x14ac:dyDescent="0.25">
      <c r="D307" s="6">
        <f ca="1"/>
        <v>45623</v>
      </c>
      <c r="E307" s="28" cm="1">
        <f t="array" aca="1" ref="E307" ca="1">_xll.FDS($E$7,"P_PRICE("&amp;D307&amp;",0,D,D)")</f>
        <v>101.94</v>
      </c>
      <c r="F307" s="29" cm="1">
        <f t="array" aca="1" ref="F307" ca="1">_xll.FDS($E$7,"P_BETA_LOCIDX("&amp;$AG307&amp;","&amp;$AL307&amp;",,"""&amp;$E$9&amp;""")")</f>
        <v>1.2614638</v>
      </c>
      <c r="G307" s="30">
        <f t="shared" ca="1" si="70"/>
        <v>-3.7362904046513851E-5</v>
      </c>
      <c r="H307" s="30">
        <f t="shared" ca="1" si="70"/>
        <v>2.5012470800947467E-2</v>
      </c>
      <c r="I307" s="30">
        <f t="shared" ca="1" si="70"/>
        <v>2.2160708155035888E-2</v>
      </c>
      <c r="J307" s="30">
        <f t="shared" ca="1" si="68"/>
        <v>8.7372625226477971E-2</v>
      </c>
      <c r="K307" s="30">
        <f t="shared" ca="1" si="71"/>
        <v>1.7402632365124262E-2</v>
      </c>
      <c r="L307" s="30">
        <f t="shared" ca="1" si="71"/>
        <v>2.8157203666264903E-3</v>
      </c>
      <c r="M307" s="30">
        <f t="shared" ca="1" si="71"/>
        <v>4.0156924191775425E-2</v>
      </c>
      <c r="N307" s="30">
        <f t="shared" ca="1" si="69"/>
        <v>0.10938717754412526</v>
      </c>
      <c r="O307" s="30">
        <f t="shared" ca="1" si="72"/>
        <v>1.7365269461077748E-2</v>
      </c>
      <c r="P307" s="30">
        <f t="shared" ca="1" si="73"/>
        <v>2.7828191167573957E-2</v>
      </c>
      <c r="Q307" s="30">
        <f t="shared" ca="1" si="74"/>
        <v>6.2317632346811314E-2</v>
      </c>
      <c r="R307" s="30">
        <f t="shared" ca="1" si="75"/>
        <v>0.19675980277060323</v>
      </c>
      <c r="S307" s="9" cm="1">
        <f t="array" aca="1" ref="S307" ca="1">_xll.FDS($E$7,"P_PRICE("&amp;AG307&amp;",0,D,D)")</f>
        <v>101.94</v>
      </c>
      <c r="T307" s="9" cm="1">
        <f t="array" aca="1" ref="T307" ca="1">_xll.FDS($E$7,"P_PRICE("&amp;AH307&amp;",0,D,D)")</f>
        <v>100.2</v>
      </c>
      <c r="U307" s="9" cm="1">
        <f t="array" aca="1" ref="U307" ca="1">_xll.FDS($E$7,"P_PRICE("&amp;AI307&amp;",0,D,D)")</f>
        <v>99.18</v>
      </c>
      <c r="V307" s="9" cm="1">
        <f t="array" aca="1" ref="V307" ca="1">_xll.FDS($E$7,"P_PRICE("&amp;AJ307&amp;",0,D,D)")</f>
        <v>95.96</v>
      </c>
      <c r="W307" s="9" cm="1">
        <f t="array" aca="1" ref="W307" ca="1">_xll.FDS($E$7,"P_PRICE("&amp;AK307&amp;",0,D,D)")</f>
        <v>85.18</v>
      </c>
      <c r="X307" s="24">
        <f t="shared" ca="1" si="76"/>
        <v>1.3795586020878492E-2</v>
      </c>
      <c r="Y307" s="24">
        <f t="shared" ca="1" si="77"/>
        <v>2.2321055638905296E-3</v>
      </c>
      <c r="Z307" s="24">
        <f t="shared" ca="1" si="78"/>
        <v>3.183359220595583E-2</v>
      </c>
      <c r="AA307" s="24">
        <f t="shared" ca="1" si="79"/>
        <v>8.6714480069999045E-2</v>
      </c>
      <c r="AB307" s="9" cm="1">
        <f t="array" aca="1" ref="AB307" ca="1">_xll.FDS($E$9,"P_PRICE("&amp;AG307&amp;",0,D,D)")</f>
        <v>5998.74</v>
      </c>
      <c r="AC307" s="9" cm="1">
        <f t="array" aca="1" ref="AC307" ca="1">_xll.FDS($E$9,"P_PRICE("&amp;AH307&amp;",0,D,D)")</f>
        <v>5917.11</v>
      </c>
      <c r="AD307" s="9" cm="1">
        <f t="array" aca="1" ref="AD307" ca="1">_xll.FDS($E$9,"P_PRICE("&amp;AI307&amp;",0,D,D)")</f>
        <v>5985.38</v>
      </c>
      <c r="AE307" s="9" cm="1">
        <f t="array" aca="1" ref="AE307" ca="1">_xll.FDS($E$9,"P_PRICE("&amp;AJ307&amp;",0,D,D)")</f>
        <v>5813.67</v>
      </c>
      <c r="AF307" s="9" cm="1">
        <f t="array" aca="1" ref="AF307" ca="1">_xll.FDS($E$9,"P_PRICE("&amp;AK307&amp;",0,D,D)")</f>
        <v>5520.07</v>
      </c>
      <c r="AG307" s="20">
        <f t="shared" ca="1" si="85"/>
        <v>45623</v>
      </c>
      <c r="AH307" s="22">
        <f t="shared" ca="1" si="80"/>
        <v>45616</v>
      </c>
      <c r="AI307" s="22">
        <f t="shared" ca="1" si="81"/>
        <v>45609</v>
      </c>
      <c r="AJ307" s="22">
        <f t="shared" ca="1" si="82"/>
        <v>45595</v>
      </c>
      <c r="AK307" s="22">
        <f t="shared" ca="1" si="83"/>
        <v>45539</v>
      </c>
      <c r="AL307" s="22">
        <f t="shared" ca="1" si="84"/>
        <v>45450</v>
      </c>
    </row>
    <row r="308" spans="4:38" x14ac:dyDescent="0.25">
      <c r="D308" s="6">
        <f ca="1"/>
        <v>45622</v>
      </c>
      <c r="E308" s="28" cm="1">
        <f t="array" aca="1" ref="E308" ca="1">_xll.FDS($E$7,"P_PRICE("&amp;D308&amp;",0,D,D)")</f>
        <v>102.87</v>
      </c>
      <c r="F308" s="29" cm="1">
        <f t="array" aca="1" ref="F308" ca="1">_xll.FDS($E$7,"P_BETA_LOCIDX("&amp;$AG308&amp;","&amp;$AL308&amp;",,"""&amp;$E$9&amp;""")")</f>
        <v>1.2604331</v>
      </c>
      <c r="G308" s="30">
        <f t="shared" ca="1" si="70"/>
        <v>8.5723081258111573E-3</v>
      </c>
      <c r="H308" s="30">
        <f t="shared" ca="1" si="70"/>
        <v>1.923098885454038E-2</v>
      </c>
      <c r="I308" s="30">
        <f t="shared" ca="1" si="70"/>
        <v>4.6297719793388904E-2</v>
      </c>
      <c r="J308" s="30">
        <f t="shared" ca="1" si="68"/>
        <v>5.572706360800149E-2</v>
      </c>
      <c r="K308" s="30">
        <f t="shared" ca="1" si="71"/>
        <v>2.2292507988027798E-2</v>
      </c>
      <c r="L308" s="30">
        <f t="shared" ca="1" si="71"/>
        <v>7.9282722537971709E-3</v>
      </c>
      <c r="M308" s="30">
        <f t="shared" ca="1" si="71"/>
        <v>4.0778260339761306E-2</v>
      </c>
      <c r="N308" s="30">
        <f t="shared" ca="1" si="69"/>
        <v>0.11232107991419683</v>
      </c>
      <c r="O308" s="30">
        <f t="shared" ca="1" si="72"/>
        <v>3.0864816113838955E-2</v>
      </c>
      <c r="P308" s="30">
        <f t="shared" ca="1" si="73"/>
        <v>2.7159261108337551E-2</v>
      </c>
      <c r="Q308" s="30">
        <f t="shared" ca="1" si="74"/>
        <v>8.707598013315021E-2</v>
      </c>
      <c r="R308" s="30">
        <f t="shared" ca="1" si="75"/>
        <v>0.16804814352219832</v>
      </c>
      <c r="S308" s="9" cm="1">
        <f t="array" aca="1" ref="S308" ca="1">_xll.FDS($E$7,"P_PRICE("&amp;AG308&amp;",0,D,D)")</f>
        <v>102.87</v>
      </c>
      <c r="T308" s="9" cm="1">
        <f t="array" aca="1" ref="T308" ca="1">_xll.FDS($E$7,"P_PRICE("&amp;AH308&amp;",0,D,D)")</f>
        <v>99.79</v>
      </c>
      <c r="U308" s="9" cm="1">
        <f t="array" aca="1" ref="U308" ca="1">_xll.FDS($E$7,"P_PRICE("&amp;AI308&amp;",0,D,D)")</f>
        <v>100.15</v>
      </c>
      <c r="V308" s="9" cm="1">
        <f t="array" aca="1" ref="V308" ca="1">_xll.FDS($E$7,"P_PRICE("&amp;AJ308&amp;",0,D,D)")</f>
        <v>94.63</v>
      </c>
      <c r="W308" s="9" cm="1">
        <f t="array" aca="1" ref="W308" ca="1">_xll.FDS($E$7,"P_PRICE("&amp;AK308&amp;",0,D,D)")</f>
        <v>88.07</v>
      </c>
      <c r="X308" s="24">
        <f t="shared" ca="1" si="76"/>
        <v>1.768638731244665E-2</v>
      </c>
      <c r="Y308" s="24">
        <f t="shared" ca="1" si="77"/>
        <v>6.2901174634315549E-3</v>
      </c>
      <c r="Z308" s="24">
        <f t="shared" ca="1" si="78"/>
        <v>3.2352578125535825E-2</v>
      </c>
      <c r="AA308" s="24">
        <f t="shared" ca="1" si="79"/>
        <v>8.9113083363327128E-2</v>
      </c>
      <c r="AB308" s="9" cm="1">
        <f t="array" aca="1" ref="AB308" ca="1">_xll.FDS($E$9,"P_PRICE("&amp;AG308&amp;",0,D,D)")</f>
        <v>6021.63</v>
      </c>
      <c r="AC308" s="9" cm="1">
        <f t="array" aca="1" ref="AC308" ca="1">_xll.FDS($E$9,"P_PRICE("&amp;AH308&amp;",0,D,D)")</f>
        <v>5916.98</v>
      </c>
      <c r="AD308" s="9" cm="1">
        <f t="array" aca="1" ref="AD308" ca="1">_xll.FDS($E$9,"P_PRICE("&amp;AI308&amp;",0,D,D)")</f>
        <v>5983.99</v>
      </c>
      <c r="AE308" s="9" cm="1">
        <f t="array" aca="1" ref="AE308" ca="1">_xll.FDS($E$9,"P_PRICE("&amp;AJ308&amp;",0,D,D)")</f>
        <v>5832.92</v>
      </c>
      <c r="AF308" s="9" cm="1">
        <f t="array" aca="1" ref="AF308" ca="1">_xll.FDS($E$9,"P_PRICE("&amp;AK308&amp;",0,D,D)")</f>
        <v>5528.93</v>
      </c>
      <c r="AG308" s="20">
        <f t="shared" ca="1" si="85"/>
        <v>45622</v>
      </c>
      <c r="AH308" s="22">
        <f t="shared" ca="1" si="80"/>
        <v>45615</v>
      </c>
      <c r="AI308" s="22">
        <f t="shared" ca="1" si="81"/>
        <v>45608</v>
      </c>
      <c r="AJ308" s="22">
        <f t="shared" ca="1" si="82"/>
        <v>45594</v>
      </c>
      <c r="AK308" s="22">
        <f t="shared" ca="1" si="83"/>
        <v>45538</v>
      </c>
      <c r="AL308" s="22">
        <f t="shared" ca="1" si="84"/>
        <v>45449</v>
      </c>
    </row>
    <row r="309" spans="4:38" x14ac:dyDescent="0.25">
      <c r="D309" s="6">
        <f ca="1"/>
        <v>45621</v>
      </c>
      <c r="E309" s="28" cm="1">
        <f t="array" aca="1" ref="E309" ca="1">_xll.FDS($E$7,"P_PRICE("&amp;D309&amp;",0,D,D)")</f>
        <v>102.8</v>
      </c>
      <c r="F309" s="29" cm="1">
        <f t="array" aca="1" ref="F309" ca="1">_xll.FDS($E$7,"P_BETA_LOCIDX("&amp;$AG309&amp;","&amp;$AL309&amp;",,"""&amp;$E$9&amp;""")")</f>
        <v>1.2683314000000001</v>
      </c>
      <c r="G309" s="30">
        <f t="shared" ca="1" si="70"/>
        <v>1.1435249480501893E-2</v>
      </c>
      <c r="H309" s="30">
        <f t="shared" ca="1" si="70"/>
        <v>8.0386302984972301E-3</v>
      </c>
      <c r="I309" s="30">
        <f t="shared" ca="1" si="70"/>
        <v>5.3297400263274945E-2</v>
      </c>
      <c r="J309" s="30">
        <f t="shared" ca="1" si="68"/>
        <v>5.6418071042510218E-2</v>
      </c>
      <c r="K309" s="30">
        <f t="shared" ca="1" si="71"/>
        <v>2.01753877498041E-2</v>
      </c>
      <c r="L309" s="30">
        <f t="shared" ca="1" si="71"/>
        <v>-2.9545473888375594E-3</v>
      </c>
      <c r="M309" s="30">
        <f t="shared" ca="1" si="71"/>
        <v>3.5685650584182667E-2</v>
      </c>
      <c r="N309" s="30">
        <f t="shared" ca="1" si="69"/>
        <v>7.6114704103463063E-2</v>
      </c>
      <c r="O309" s="30">
        <f t="shared" ca="1" si="72"/>
        <v>3.1610637230305993E-2</v>
      </c>
      <c r="P309" s="30">
        <f t="shared" ca="1" si="73"/>
        <v>5.0840829096596707E-3</v>
      </c>
      <c r="Q309" s="30">
        <f t="shared" ca="1" si="74"/>
        <v>8.8983050847457612E-2</v>
      </c>
      <c r="R309" s="30">
        <f t="shared" ca="1" si="75"/>
        <v>0.13253277514597328</v>
      </c>
      <c r="S309" s="9" cm="1">
        <f t="array" aca="1" ref="S309" ca="1">_xll.FDS($E$7,"P_PRICE("&amp;AG309&amp;",0,D,D)")</f>
        <v>102.8</v>
      </c>
      <c r="T309" s="9" cm="1">
        <f t="array" aca="1" ref="T309" ca="1">_xll.FDS($E$7,"P_PRICE("&amp;AH309&amp;",0,D,D)")</f>
        <v>99.65</v>
      </c>
      <c r="U309" s="9" cm="1">
        <f t="array" aca="1" ref="U309" ca="1">_xll.FDS($E$7,"P_PRICE("&amp;AI309&amp;",0,D,D)")</f>
        <v>102.28</v>
      </c>
      <c r="V309" s="9" cm="1">
        <f t="array" aca="1" ref="V309" ca="1">_xll.FDS($E$7,"P_PRICE("&amp;AJ309&amp;",0,D,D)")</f>
        <v>94.4</v>
      </c>
      <c r="W309" s="9" cm="1">
        <f t="array" aca="1" ref="W309" ca="1">_xll.FDS($E$7,"P_PRICE("&amp;AK309&amp;",0,D,D)")</f>
        <v>90.77</v>
      </c>
      <c r="X309" s="24">
        <f t="shared" ca="1" si="76"/>
        <v>1.5907031671536398E-2</v>
      </c>
      <c r="Y309" s="24">
        <f t="shared" ca="1" si="77"/>
        <v>-2.3294758679297534E-3</v>
      </c>
      <c r="Z309" s="24">
        <f t="shared" ca="1" si="78"/>
        <v>2.8135904058026684E-2</v>
      </c>
      <c r="AA309" s="24">
        <f t="shared" ca="1" si="79"/>
        <v>6.0011684724877945E-2</v>
      </c>
      <c r="AB309" s="9" cm="1">
        <f t="array" aca="1" ref="AB309" ca="1">_xll.FDS($E$9,"P_PRICE("&amp;AG309&amp;",0,D,D)")</f>
        <v>5987.37</v>
      </c>
      <c r="AC309" s="9" cm="1">
        <f t="array" aca="1" ref="AC309" ca="1">_xll.FDS($E$9,"P_PRICE("&amp;AH309&amp;",0,D,D)")</f>
        <v>5893.62</v>
      </c>
      <c r="AD309" s="9" cm="1">
        <f t="array" aca="1" ref="AD309" ca="1">_xll.FDS($E$9,"P_PRICE("&amp;AI309&amp;",0,D,D)")</f>
        <v>6001.35</v>
      </c>
      <c r="AE309" s="9" cm="1">
        <f t="array" aca="1" ref="AE309" ca="1">_xll.FDS($E$9,"P_PRICE("&amp;AJ309&amp;",0,D,D)")</f>
        <v>5823.52</v>
      </c>
      <c r="AF309" s="9" cm="1">
        <f t="array" aca="1" ref="AF309" ca="1">_xll.FDS($E$9,"P_PRICE("&amp;AK309&amp;",0,D,D)")</f>
        <v>5648.4</v>
      </c>
      <c r="AG309" s="20">
        <f t="shared" ca="1" si="85"/>
        <v>45621</v>
      </c>
      <c r="AH309" s="22">
        <f t="shared" ca="1" si="80"/>
        <v>45614</v>
      </c>
      <c r="AI309" s="22">
        <f t="shared" ca="1" si="81"/>
        <v>45607</v>
      </c>
      <c r="AJ309" s="22">
        <f t="shared" ca="1" si="82"/>
        <v>45593</v>
      </c>
      <c r="AK309" s="22">
        <f t="shared" ca="1" si="83"/>
        <v>45534</v>
      </c>
      <c r="AL309" s="22">
        <f t="shared" ca="1" si="84"/>
        <v>45448</v>
      </c>
    </row>
    <row r="310" spans="4:38" x14ac:dyDescent="0.25">
      <c r="D310" s="6">
        <f ca="1"/>
        <v>45618</v>
      </c>
      <c r="E310" s="28" cm="1">
        <f t="array" aca="1" ref="E310" ca="1">_xll.FDS($E$7,"P_PRICE("&amp;D310&amp;",0,D,D)")</f>
        <v>101.4</v>
      </c>
      <c r="F310" s="29" cm="1">
        <f t="array" aca="1" ref="F310" ca="1">_xll.FDS($E$7,"P_BETA_LOCIDX("&amp;$AG310&amp;","&amp;$AL310&amp;",,"""&amp;$E$9&amp;""")")</f>
        <v>1.2648725999999999</v>
      </c>
      <c r="G310" s="30">
        <f t="shared" ca="1" si="70"/>
        <v>1.0371039052651011E-2</v>
      </c>
      <c r="H310" s="30">
        <f t="shared" ca="1" si="70"/>
        <v>1.2778801226086964E-2</v>
      </c>
      <c r="I310" s="30">
        <f t="shared" ca="1" si="70"/>
        <v>6.2411434041855757E-2</v>
      </c>
      <c r="J310" s="30">
        <f t="shared" ca="1" si="68"/>
        <v>6.2866418129959398E-2</v>
      </c>
      <c r="K310" s="30">
        <f t="shared" ca="1" si="71"/>
        <v>2.1270023110336E-2</v>
      </c>
      <c r="L310" s="30">
        <f t="shared" ca="1" si="71"/>
        <v>-5.5273857100443845E-3</v>
      </c>
      <c r="M310" s="30">
        <f t="shared" ca="1" si="71"/>
        <v>3.5109942730522176E-2</v>
      </c>
      <c r="N310" s="30">
        <f t="shared" ca="1" si="69"/>
        <v>8.5361415637450935E-2</v>
      </c>
      <c r="O310" s="30">
        <f t="shared" ca="1" si="72"/>
        <v>3.164106216298701E-2</v>
      </c>
      <c r="P310" s="30">
        <f t="shared" ca="1" si="73"/>
        <v>7.2514155160425808E-3</v>
      </c>
      <c r="Q310" s="30">
        <f t="shared" ca="1" si="74"/>
        <v>9.7521376772377932E-2</v>
      </c>
      <c r="R310" s="30">
        <f t="shared" ca="1" si="75"/>
        <v>0.14822783376741033</v>
      </c>
      <c r="S310" s="9" cm="1">
        <f t="array" aca="1" ref="S310" ca="1">_xll.FDS($E$7,"P_PRICE("&amp;AG310&amp;",0,D,D)")</f>
        <v>101.4</v>
      </c>
      <c r="T310" s="9" cm="1">
        <f t="array" aca="1" ref="T310" ca="1">_xll.FDS($E$7,"P_PRICE("&amp;AH310&amp;",0,D,D)")</f>
        <v>98.29</v>
      </c>
      <c r="U310" s="9" cm="1">
        <f t="array" aca="1" ref="U310" ca="1">_xll.FDS($E$7,"P_PRICE("&amp;AI310&amp;",0,D,D)")</f>
        <v>100.67</v>
      </c>
      <c r="V310" s="9" cm="1">
        <f t="array" aca="1" ref="V310" ca="1">_xll.FDS($E$7,"P_PRICE("&amp;AJ310&amp;",0,D,D)")</f>
        <v>92.39</v>
      </c>
      <c r="W310" s="9" cm="1">
        <f t="array" aca="1" ref="W310" ca="1">_xll.FDS($E$7,"P_PRICE("&amp;AK310&amp;",0,D,D)")</f>
        <v>88.31</v>
      </c>
      <c r="X310" s="24">
        <f t="shared" ca="1" si="76"/>
        <v>1.6815941076070429E-2</v>
      </c>
      <c r="Y310" s="24">
        <f t="shared" ca="1" si="77"/>
        <v>-4.3699149701277307E-3</v>
      </c>
      <c r="Z310" s="24">
        <f t="shared" ca="1" si="78"/>
        <v>2.7757690956798475E-2</v>
      </c>
      <c r="AA310" s="24">
        <f t="shared" ca="1" si="79"/>
        <v>6.7486176582092883E-2</v>
      </c>
      <c r="AB310" s="9" cm="1">
        <f t="array" aca="1" ref="AB310" ca="1">_xll.FDS($E$9,"P_PRICE("&amp;AG310&amp;",0,D,D)")</f>
        <v>5969.34</v>
      </c>
      <c r="AC310" s="9" cm="1">
        <f t="array" aca="1" ref="AC310" ca="1">_xll.FDS($E$9,"P_PRICE("&amp;AH310&amp;",0,D,D)")</f>
        <v>5870.62</v>
      </c>
      <c r="AD310" s="9" cm="1">
        <f t="array" aca="1" ref="AD310" ca="1">_xll.FDS($E$9,"P_PRICE("&amp;AI310&amp;",0,D,D)")</f>
        <v>5995.54</v>
      </c>
      <c r="AE310" s="9" cm="1">
        <f t="array" aca="1" ref="AE310" ca="1">_xll.FDS($E$9,"P_PRICE("&amp;AJ310&amp;",0,D,D)")</f>
        <v>5808.12</v>
      </c>
      <c r="AF310" s="9" cm="1">
        <f t="array" aca="1" ref="AF310" ca="1">_xll.FDS($E$9,"P_PRICE("&amp;AK310&amp;",0,D,D)")</f>
        <v>5591.96</v>
      </c>
      <c r="AG310" s="20">
        <f t="shared" ca="1" si="85"/>
        <v>45618</v>
      </c>
      <c r="AH310" s="22">
        <f t="shared" ca="1" si="80"/>
        <v>45611</v>
      </c>
      <c r="AI310" s="22">
        <f t="shared" ca="1" si="81"/>
        <v>45604</v>
      </c>
      <c r="AJ310" s="22">
        <f t="shared" ca="1" si="82"/>
        <v>45590</v>
      </c>
      <c r="AK310" s="22">
        <f t="shared" ca="1" si="83"/>
        <v>45533</v>
      </c>
      <c r="AL310" s="22">
        <f t="shared" ca="1" si="84"/>
        <v>45447</v>
      </c>
    </row>
    <row r="311" spans="4:38" x14ac:dyDescent="0.25">
      <c r="D311" s="6">
        <f ca="1"/>
        <v>45617</v>
      </c>
      <c r="E311" s="28" cm="1">
        <f t="array" aca="1" ref="E311" ca="1">_xll.FDS($E$7,"P_PRICE("&amp;D311&amp;",0,D,D)")</f>
        <v>100.5</v>
      </c>
      <c r="F311" s="29" cm="1">
        <f t="array" aca="1" ref="F311" ca="1">_xll.FDS($E$7,"P_BETA_LOCIDX("&amp;$AG311&amp;","&amp;$AL311&amp;",,"""&amp;$E$9&amp;""")")</f>
        <v>1.2634947000000001</v>
      </c>
      <c r="G311" s="30">
        <f t="shared" ca="1" si="70"/>
        <v>6.4058962321740685E-3</v>
      </c>
      <c r="H311" s="30">
        <f t="shared" ca="1" si="70"/>
        <v>3.5697272935989134E-3</v>
      </c>
      <c r="I311" s="30">
        <f t="shared" ca="1" si="70"/>
        <v>6.6965278321571717E-2</v>
      </c>
      <c r="J311" s="30">
        <f t="shared" ca="1" si="68"/>
        <v>6.5136602422317322E-2</v>
      </c>
      <c r="K311" s="30">
        <f t="shared" ca="1" si="71"/>
        <v>-9.7695571315048336E-5</v>
      </c>
      <c r="L311" s="30">
        <f t="shared" ca="1" si="71"/>
        <v>-5.1592365326213708E-3</v>
      </c>
      <c r="M311" s="30">
        <f t="shared" ca="1" si="71"/>
        <v>3.019629373083001E-2</v>
      </c>
      <c r="N311" s="30">
        <f t="shared" ca="1" si="69"/>
        <v>8.0554232051006994E-2</v>
      </c>
      <c r="O311" s="30">
        <f t="shared" ca="1" si="72"/>
        <v>6.3082006608590202E-3</v>
      </c>
      <c r="P311" s="30">
        <f t="shared" ca="1" si="73"/>
        <v>-1.5895092390224574E-3</v>
      </c>
      <c r="Q311" s="30">
        <f t="shared" ca="1" si="74"/>
        <v>9.7161572052401723E-2</v>
      </c>
      <c r="R311" s="30">
        <f t="shared" ca="1" si="75"/>
        <v>0.14569083447332432</v>
      </c>
      <c r="S311" s="9" cm="1">
        <f t="array" aca="1" ref="S311" ca="1">_xll.FDS($E$7,"P_PRICE("&amp;AG311&amp;",0,D,D)")</f>
        <v>100.5</v>
      </c>
      <c r="T311" s="9" cm="1">
        <f t="array" aca="1" ref="T311" ca="1">_xll.FDS($E$7,"P_PRICE("&amp;AH311&amp;",0,D,D)")</f>
        <v>99.87</v>
      </c>
      <c r="U311" s="9" cm="1">
        <f t="array" aca="1" ref="U311" ca="1">_xll.FDS($E$7,"P_PRICE("&amp;AI311&amp;",0,D,D)")</f>
        <v>100.66</v>
      </c>
      <c r="V311" s="9" cm="1">
        <f t="array" aca="1" ref="V311" ca="1">_xll.FDS($E$7,"P_PRICE("&amp;AJ311&amp;",0,D,D)")</f>
        <v>91.6</v>
      </c>
      <c r="W311" s="9" cm="1">
        <f t="array" aca="1" ref="W311" ca="1">_xll.FDS($E$7,"P_PRICE("&amp;AK311&amp;",0,D,D)")</f>
        <v>87.72</v>
      </c>
      <c r="X311" s="24">
        <f t="shared" ca="1" si="76"/>
        <v>-7.7321710423516876E-5</v>
      </c>
      <c r="Y311" s="24">
        <f t="shared" ca="1" si="77"/>
        <v>-4.0833068256015403E-3</v>
      </c>
      <c r="Z311" s="24">
        <f t="shared" ca="1" si="78"/>
        <v>2.3899026826808223E-2</v>
      </c>
      <c r="AA311" s="24">
        <f t="shared" ca="1" si="79"/>
        <v>6.3755100873004844E-2</v>
      </c>
      <c r="AB311" s="9" cm="1">
        <f t="array" aca="1" ref="AB311" ca="1">_xll.FDS($E$9,"P_PRICE("&amp;AG311&amp;",0,D,D)")</f>
        <v>5948.71</v>
      </c>
      <c r="AC311" s="9" cm="1">
        <f t="array" aca="1" ref="AC311" ca="1">_xll.FDS($E$9,"P_PRICE("&amp;AH311&amp;",0,D,D)")</f>
        <v>5949.17</v>
      </c>
      <c r="AD311" s="9" cm="1">
        <f t="array" aca="1" ref="AD311" ca="1">_xll.FDS($E$9,"P_PRICE("&amp;AI311&amp;",0,D,D)")</f>
        <v>5973.1</v>
      </c>
      <c r="AE311" s="9" cm="1">
        <f t="array" aca="1" ref="AE311" ca="1">_xll.FDS($E$9,"P_PRICE("&amp;AJ311&amp;",0,D,D)")</f>
        <v>5809.86</v>
      </c>
      <c r="AF311" s="9" cm="1">
        <f t="array" aca="1" ref="AF311" ca="1">_xll.FDS($E$9,"P_PRICE("&amp;AK311&amp;",0,D,D)")</f>
        <v>5592.18</v>
      </c>
      <c r="AG311" s="20">
        <f t="shared" ca="1" si="85"/>
        <v>45617</v>
      </c>
      <c r="AH311" s="22">
        <f t="shared" ca="1" si="80"/>
        <v>45610</v>
      </c>
      <c r="AI311" s="22">
        <f t="shared" ca="1" si="81"/>
        <v>45603</v>
      </c>
      <c r="AJ311" s="22">
        <f t="shared" ca="1" si="82"/>
        <v>45589</v>
      </c>
      <c r="AK311" s="22">
        <f t="shared" ca="1" si="83"/>
        <v>45532</v>
      </c>
      <c r="AL311" s="22">
        <f t="shared" ca="1" si="84"/>
        <v>45446</v>
      </c>
    </row>
    <row r="312" spans="4:38" x14ac:dyDescent="0.25">
      <c r="D312" s="6">
        <f ca="1"/>
        <v>45616</v>
      </c>
      <c r="E312" s="28" cm="1">
        <f t="array" aca="1" ref="E312" ca="1">_xll.FDS($E$7,"P_PRICE("&amp;D312&amp;",0,D,D)")</f>
        <v>100.2</v>
      </c>
      <c r="F312" s="29" cm="1">
        <f t="array" aca="1" ref="F312" ca="1">_xll.FDS($E$7,"P_BETA_LOCIDX("&amp;$AG312&amp;","&amp;$AL312&amp;",,"""&amp;$E$9&amp;""")")</f>
        <v>1.2748514</v>
      </c>
      <c r="G312" s="30">
        <f t="shared" ca="1" si="70"/>
        <v>2.4825447550850366E-2</v>
      </c>
      <c r="H312" s="30">
        <f t="shared" ca="1" si="70"/>
        <v>4.9661272917813654E-3</v>
      </c>
      <c r="I312" s="30">
        <f t="shared" ca="1" si="70"/>
        <v>7.6961410563181107E-2</v>
      </c>
      <c r="J312" s="30">
        <f t="shared" ca="1" si="68"/>
        <v>7.107260973934891E-2</v>
      </c>
      <c r="K312" s="30">
        <f t="shared" ca="1" si="71"/>
        <v>-1.4541116032399048E-2</v>
      </c>
      <c r="L312" s="30">
        <f t="shared" ca="1" si="71"/>
        <v>-2.5651669076276491E-3</v>
      </c>
      <c r="M312" s="30">
        <f t="shared" ca="1" si="71"/>
        <v>2.631980502809857E-2</v>
      </c>
      <c r="N312" s="30">
        <f t="shared" ca="1" si="69"/>
        <v>6.6013182362330572E-2</v>
      </c>
      <c r="O312" s="30">
        <f t="shared" ca="1" si="72"/>
        <v>1.0284331518451317E-2</v>
      </c>
      <c r="P312" s="30">
        <f t="shared" ca="1" si="73"/>
        <v>2.4009603841537164E-3</v>
      </c>
      <c r="Q312" s="30">
        <f t="shared" ca="1" si="74"/>
        <v>0.10328121559127967</v>
      </c>
      <c r="R312" s="30">
        <f t="shared" ca="1" si="75"/>
        <v>0.13708579210167948</v>
      </c>
      <c r="S312" s="9" cm="1">
        <f t="array" aca="1" ref="S312" ca="1">_xll.FDS($E$7,"P_PRICE("&amp;AG312&amp;",0,D,D)")</f>
        <v>100.2</v>
      </c>
      <c r="T312" s="9" cm="1">
        <f t="array" aca="1" ref="T312" ca="1">_xll.FDS($E$7,"P_PRICE("&amp;AH312&amp;",0,D,D)")</f>
        <v>99.18</v>
      </c>
      <c r="U312" s="9" cm="1">
        <f t="array" aca="1" ref="U312" ca="1">_xll.FDS($E$7,"P_PRICE("&amp;AI312&amp;",0,D,D)")</f>
        <v>99.96</v>
      </c>
      <c r="V312" s="9" cm="1">
        <f t="array" aca="1" ref="V312" ca="1">_xll.FDS($E$7,"P_PRICE("&amp;AJ312&amp;",0,D,D)")</f>
        <v>90.82</v>
      </c>
      <c r="W312" s="9" cm="1">
        <f t="array" aca="1" ref="W312" ca="1">_xll.FDS($E$7,"P_PRICE("&amp;AK312&amp;",0,D,D)")</f>
        <v>88.12</v>
      </c>
      <c r="X312" s="24">
        <f t="shared" ca="1" si="76"/>
        <v>-1.1406126260989358E-2</v>
      </c>
      <c r="Y312" s="24">
        <f t="shared" ca="1" si="77"/>
        <v>-2.0121301256190716E-3</v>
      </c>
      <c r="Z312" s="24">
        <f t="shared" ca="1" si="78"/>
        <v>2.0645390535789954E-2</v>
      </c>
      <c r="AA312" s="24">
        <f t="shared" ca="1" si="79"/>
        <v>5.1781080024174253E-2</v>
      </c>
      <c r="AB312" s="9" cm="1">
        <f t="array" aca="1" ref="AB312" ca="1">_xll.FDS($E$9,"P_PRICE("&amp;AG312&amp;",0,D,D)")</f>
        <v>5917.11</v>
      </c>
      <c r="AC312" s="9" cm="1">
        <f t="array" aca="1" ref="AC312" ca="1">_xll.FDS($E$9,"P_PRICE("&amp;AH312&amp;",0,D,D)")</f>
        <v>5985.38</v>
      </c>
      <c r="AD312" s="9" cm="1">
        <f t="array" aca="1" ref="AD312" ca="1">_xll.FDS($E$9,"P_PRICE("&amp;AI312&amp;",0,D,D)")</f>
        <v>5929.04</v>
      </c>
      <c r="AE312" s="9" cm="1">
        <f t="array" aca="1" ref="AE312" ca="1">_xll.FDS($E$9,"P_PRICE("&amp;AJ312&amp;",0,D,D)")</f>
        <v>5797.42</v>
      </c>
      <c r="AF312" s="9" cm="1">
        <f t="array" aca="1" ref="AF312" ca="1">_xll.FDS($E$9,"P_PRICE("&amp;AK312&amp;",0,D,D)")</f>
        <v>5625.8</v>
      </c>
      <c r="AG312" s="20">
        <f t="shared" ca="1" si="85"/>
        <v>45616</v>
      </c>
      <c r="AH312" s="22">
        <f t="shared" ca="1" si="80"/>
        <v>45609</v>
      </c>
      <c r="AI312" s="22">
        <f t="shared" ca="1" si="81"/>
        <v>45602</v>
      </c>
      <c r="AJ312" s="22">
        <f t="shared" ca="1" si="82"/>
        <v>45588</v>
      </c>
      <c r="AK312" s="22">
        <f t="shared" ca="1" si="83"/>
        <v>45531</v>
      </c>
      <c r="AL312" s="22">
        <f t="shared" ca="1" si="84"/>
        <v>45443</v>
      </c>
    </row>
    <row r="313" spans="4:38" x14ac:dyDescent="0.25">
      <c r="D313" s="6">
        <f ca="1"/>
        <v>45615</v>
      </c>
      <c r="E313" s="28" cm="1">
        <f t="array" aca="1" ref="E313" ca="1">_xll.FDS($E$7,"P_PRICE("&amp;D313&amp;",0,D,D)")</f>
        <v>99.79</v>
      </c>
      <c r="F313" s="29" cm="1">
        <f t="array" aca="1" ref="F313" ca="1">_xll.FDS($E$7,"P_BETA_LOCIDX("&amp;$AG313&amp;","&amp;$AL313&amp;",,"""&amp;$E$9&amp;""")")</f>
        <v>1.251322</v>
      </c>
      <c r="G313" s="30">
        <f t="shared" ca="1" si="70"/>
        <v>1.0417963326856886E-2</v>
      </c>
      <c r="H313" s="30">
        <f t="shared" ca="1" si="70"/>
        <v>6.7464854789690831E-4</v>
      </c>
      <c r="I313" s="30">
        <f t="shared" ca="1" si="70"/>
        <v>7.261437716622611E-2</v>
      </c>
      <c r="J313" s="30">
        <f t="shared" ca="1" si="68"/>
        <v>4.1296815515254492E-2</v>
      </c>
      <c r="K313" s="30">
        <f t="shared" ca="1" si="71"/>
        <v>-1.4012571414725042E-2</v>
      </c>
      <c r="L313" s="30">
        <f t="shared" ca="1" si="71"/>
        <v>2.904364677766301E-2</v>
      </c>
      <c r="M313" s="30">
        <f t="shared" ca="1" si="71"/>
        <v>1.4067535062893027E-2</v>
      </c>
      <c r="N313" s="30">
        <f t="shared" ca="1" si="69"/>
        <v>6.6865316633551941E-2</v>
      </c>
      <c r="O313" s="30">
        <f t="shared" ca="1" si="72"/>
        <v>-3.5946080878681563E-3</v>
      </c>
      <c r="P313" s="30">
        <f t="shared" ca="1" si="73"/>
        <v>2.9718295325559918E-2</v>
      </c>
      <c r="Q313" s="30">
        <f t="shared" ca="1" si="74"/>
        <v>8.668191222911914E-2</v>
      </c>
      <c r="R313" s="30">
        <f t="shared" ca="1" si="75"/>
        <v>0.10816213214880643</v>
      </c>
      <c r="S313" s="9" cm="1">
        <f t="array" aca="1" ref="S313" ca="1">_xll.FDS($E$7,"P_PRICE("&amp;AG313&amp;",0,D,D)")</f>
        <v>99.79</v>
      </c>
      <c r="T313" s="9" cm="1">
        <f t="array" aca="1" ref="T313" ca="1">_xll.FDS($E$7,"P_PRICE("&amp;AH313&amp;",0,D,D)")</f>
        <v>100.15</v>
      </c>
      <c r="U313" s="9" cm="1">
        <f t="array" aca="1" ref="U313" ca="1">_xll.FDS($E$7,"P_PRICE("&amp;AI313&amp;",0,D,D)")</f>
        <v>96.91</v>
      </c>
      <c r="V313" s="9" cm="1">
        <f t="array" aca="1" ref="V313" ca="1">_xll.FDS($E$7,"P_PRICE("&amp;AJ313&amp;",0,D,D)")</f>
        <v>91.83</v>
      </c>
      <c r="W313" s="9" cm="1">
        <f t="array" aca="1" ref="W313" ca="1">_xll.FDS($E$7,"P_PRICE("&amp;AK313&amp;",0,D,D)")</f>
        <v>90.05</v>
      </c>
      <c r="X313" s="24">
        <f t="shared" ca="1" si="76"/>
        <v>-1.1198213900758591E-2</v>
      </c>
      <c r="Y313" s="24">
        <f t="shared" ca="1" si="77"/>
        <v>2.3210370134675973E-2</v>
      </c>
      <c r="Z313" s="24">
        <f t="shared" ca="1" si="78"/>
        <v>1.124213836477983E-2</v>
      </c>
      <c r="AA313" s="24">
        <f t="shared" ca="1" si="79"/>
        <v>5.3435739668568072E-2</v>
      </c>
      <c r="AB313" s="9" cm="1">
        <f t="array" aca="1" ref="AB313" ca="1">_xll.FDS($E$9,"P_PRICE("&amp;AG313&amp;",0,D,D)")</f>
        <v>5916.98</v>
      </c>
      <c r="AC313" s="9" cm="1">
        <f t="array" aca="1" ref="AC313" ca="1">_xll.FDS($E$9,"P_PRICE("&amp;AH313&amp;",0,D,D)")</f>
        <v>5983.99</v>
      </c>
      <c r="AD313" s="9" cm="1">
        <f t="array" aca="1" ref="AD313" ca="1">_xll.FDS($E$9,"P_PRICE("&amp;AI313&amp;",0,D,D)")</f>
        <v>5782.76</v>
      </c>
      <c r="AE313" s="9" cm="1">
        <f t="array" aca="1" ref="AE313" ca="1">_xll.FDS($E$9,"P_PRICE("&amp;AJ313&amp;",0,D,D)")</f>
        <v>5851.2</v>
      </c>
      <c r="AF313" s="9" cm="1">
        <f t="array" aca="1" ref="AF313" ca="1">_xll.FDS($E$9,"P_PRICE("&amp;AK313&amp;",0,D,D)")</f>
        <v>5616.84</v>
      </c>
      <c r="AG313" s="20">
        <f t="shared" ca="1" si="85"/>
        <v>45615</v>
      </c>
      <c r="AH313" s="22">
        <f t="shared" ca="1" si="80"/>
        <v>45608</v>
      </c>
      <c r="AI313" s="22">
        <f t="shared" ca="1" si="81"/>
        <v>45601</v>
      </c>
      <c r="AJ313" s="22">
        <f t="shared" ca="1" si="82"/>
        <v>45587</v>
      </c>
      <c r="AK313" s="22">
        <f t="shared" ca="1" si="83"/>
        <v>45530</v>
      </c>
      <c r="AL313" s="22">
        <f t="shared" ca="1" si="84"/>
        <v>45442</v>
      </c>
    </row>
    <row r="314" spans="4:38" x14ac:dyDescent="0.25">
      <c r="D314" s="6">
        <f ca="1"/>
        <v>45614</v>
      </c>
      <c r="E314" s="28" cm="1">
        <f t="array" aca="1" ref="E314" ca="1">_xll.FDS($E$7,"P_PRICE("&amp;D314&amp;",0,D,D)")</f>
        <v>99.65</v>
      </c>
      <c r="F314" s="29" cm="1">
        <f t="array" aca="1" ref="F314" ca="1">_xll.FDS($E$7,"P_BETA_LOCIDX("&amp;$AG314&amp;","&amp;$AL314&amp;",,"""&amp;$E$9&amp;""")")</f>
        <v>1.2584747000000001</v>
      </c>
      <c r="G314" s="30">
        <f t="shared" ca="1" si="70"/>
        <v>-3.1228967221737756E-3</v>
      </c>
      <c r="H314" s="30">
        <f t="shared" ca="1" si="70"/>
        <v>1.5197684839554887E-2</v>
      </c>
      <c r="I314" s="30">
        <f t="shared" ca="1" si="70"/>
        <v>7.1929333358752373E-2</v>
      </c>
      <c r="J314" s="30">
        <f t="shared" ca="1" si="68"/>
        <v>4.7163024228573824E-2</v>
      </c>
      <c r="K314" s="30">
        <f t="shared" ca="1" si="71"/>
        <v>-2.2590830301682217E-2</v>
      </c>
      <c r="L314" s="30">
        <f t="shared" ca="1" si="71"/>
        <v>3.9857900126035378E-2</v>
      </c>
      <c r="M314" s="30">
        <f t="shared" ca="1" si="71"/>
        <v>8.5217129385478894E-3</v>
      </c>
      <c r="N314" s="30">
        <f t="shared" ca="1" si="69"/>
        <v>5.7849173597995185E-2</v>
      </c>
      <c r="O314" s="30">
        <f t="shared" ca="1" si="72"/>
        <v>-2.5713727023855992E-2</v>
      </c>
      <c r="P314" s="30">
        <f t="shared" ca="1" si="73"/>
        <v>5.5055584965590265E-2</v>
      </c>
      <c r="Q314" s="30">
        <f t="shared" ca="1" si="74"/>
        <v>8.0451046297300266E-2</v>
      </c>
      <c r="R314" s="30">
        <f t="shared" ca="1" si="75"/>
        <v>0.10501219782656901</v>
      </c>
      <c r="S314" s="9" cm="1">
        <f t="array" aca="1" ref="S314" ca="1">_xll.FDS($E$7,"P_PRICE("&amp;AG314&amp;",0,D,D)")</f>
        <v>99.65</v>
      </c>
      <c r="T314" s="9" cm="1">
        <f t="array" aca="1" ref="T314" ca="1">_xll.FDS($E$7,"P_PRICE("&amp;AH314&amp;",0,D,D)")</f>
        <v>102.28</v>
      </c>
      <c r="U314" s="9" cm="1">
        <f t="array" aca="1" ref="U314" ca="1">_xll.FDS($E$7,"P_PRICE("&amp;AI314&amp;",0,D,D)")</f>
        <v>94.45</v>
      </c>
      <c r="V314" s="9" cm="1">
        <f t="array" aca="1" ref="V314" ca="1">_xll.FDS($E$7,"P_PRICE("&amp;AJ314&amp;",0,D,D)")</f>
        <v>92.23</v>
      </c>
      <c r="W314" s="9" cm="1">
        <f t="array" aca="1" ref="W314" ca="1">_xll.FDS($E$7,"P_PRICE("&amp;AK314&amp;",0,D,D)")</f>
        <v>90.18</v>
      </c>
      <c r="X314" s="24">
        <f t="shared" ca="1" si="76"/>
        <v>-1.7950961033767476E-2</v>
      </c>
      <c r="Y314" s="24">
        <f t="shared" ca="1" si="77"/>
        <v>3.1671594292706384E-2</v>
      </c>
      <c r="Z314" s="24">
        <f t="shared" ca="1" si="78"/>
        <v>6.7714614672411688E-3</v>
      </c>
      <c r="AA314" s="24">
        <f t="shared" ca="1" si="79"/>
        <v>4.5967688979361432E-2</v>
      </c>
      <c r="AB314" s="9" cm="1">
        <f t="array" aca="1" ref="AB314" ca="1">_xll.FDS($E$9,"P_PRICE("&amp;AG314&amp;",0,D,D)")</f>
        <v>5893.62</v>
      </c>
      <c r="AC314" s="9" cm="1">
        <f t="array" aca="1" ref="AC314" ca="1">_xll.FDS($E$9,"P_PRICE("&amp;AH314&amp;",0,D,D)")</f>
        <v>6001.35</v>
      </c>
      <c r="AD314" s="9" cm="1">
        <f t="array" aca="1" ref="AD314" ca="1">_xll.FDS($E$9,"P_PRICE("&amp;AI314&amp;",0,D,D)")</f>
        <v>5712.69</v>
      </c>
      <c r="AE314" s="9" cm="1">
        <f t="array" aca="1" ref="AE314" ca="1">_xll.FDS($E$9,"P_PRICE("&amp;AJ314&amp;",0,D,D)")</f>
        <v>5853.98</v>
      </c>
      <c r="AF314" s="9" cm="1">
        <f t="array" aca="1" ref="AF314" ca="1">_xll.FDS($E$9,"P_PRICE("&amp;AK314&amp;",0,D,D)")</f>
        <v>5634.61</v>
      </c>
      <c r="AG314" s="20">
        <f t="shared" ca="1" si="85"/>
        <v>45614</v>
      </c>
      <c r="AH314" s="22">
        <f t="shared" ca="1" si="80"/>
        <v>45607</v>
      </c>
      <c r="AI314" s="22">
        <f t="shared" ca="1" si="81"/>
        <v>45600</v>
      </c>
      <c r="AJ314" s="22">
        <f t="shared" ca="1" si="82"/>
        <v>45586</v>
      </c>
      <c r="AK314" s="22">
        <f t="shared" ca="1" si="83"/>
        <v>45527</v>
      </c>
      <c r="AL314" s="22">
        <f t="shared" ca="1" si="84"/>
        <v>45441</v>
      </c>
    </row>
    <row r="315" spans="4:38" x14ac:dyDescent="0.25">
      <c r="D315" s="6">
        <f ca="1"/>
        <v>45611</v>
      </c>
      <c r="E315" s="28" cm="1">
        <f t="array" aca="1" ref="E315" ca="1">_xll.FDS($E$7,"P_PRICE("&amp;D315&amp;",0,D,D)")</f>
        <v>98.29</v>
      </c>
      <c r="F315" s="29" cm="1">
        <f t="array" aca="1" ref="F315" ca="1">_xll.FDS($E$7,"P_BETA_LOCIDX("&amp;$AG315&amp;","&amp;$AL315&amp;",,"""&amp;$E$9&amp;""")")</f>
        <v>1.2581469999999999</v>
      </c>
      <c r="G315" s="30">
        <f t="shared" ca="1" si="70"/>
        <v>2.5725050875791342E-3</v>
      </c>
      <c r="H315" s="30">
        <f t="shared" ca="1" si="70"/>
        <v>-5.1545606769253655E-3</v>
      </c>
      <c r="I315" s="30">
        <f t="shared" ca="1" si="70"/>
        <v>5.0178403818461434E-2</v>
      </c>
      <c r="J315" s="30">
        <f t="shared" ca="1" si="68"/>
        <v>4.7406253719339736E-2</v>
      </c>
      <c r="K315" s="30">
        <f t="shared" ca="1" si="71"/>
        <v>-2.6214106359060206E-2</v>
      </c>
      <c r="L315" s="30">
        <f t="shared" ca="1" si="71"/>
        <v>3.1146209946236444E-2</v>
      </c>
      <c r="M315" s="30">
        <f t="shared" ca="1" si="71"/>
        <v>1.2764528353683298E-3</v>
      </c>
      <c r="N315" s="30">
        <f t="shared" ca="1" si="69"/>
        <v>6.7751449933939195E-2</v>
      </c>
      <c r="O315" s="30">
        <f t="shared" ca="1" si="72"/>
        <v>-2.3641601271481072E-2</v>
      </c>
      <c r="P315" s="30">
        <f t="shared" ca="1" si="73"/>
        <v>2.5991649269311079E-2</v>
      </c>
      <c r="Q315" s="30">
        <f t="shared" ca="1" si="74"/>
        <v>5.1454856653829761E-2</v>
      </c>
      <c r="R315" s="30">
        <f t="shared" ca="1" si="75"/>
        <v>0.11515770365327893</v>
      </c>
      <c r="S315" s="9" cm="1">
        <f t="array" aca="1" ref="S315" ca="1">_xll.FDS($E$7,"P_PRICE("&amp;AG315&amp;",0,D,D)")</f>
        <v>98.29</v>
      </c>
      <c r="T315" s="9" cm="1">
        <f t="array" aca="1" ref="T315" ca="1">_xll.FDS($E$7,"P_PRICE("&amp;AH315&amp;",0,D,D)")</f>
        <v>100.67</v>
      </c>
      <c r="U315" s="9" cm="1">
        <f t="array" aca="1" ref="U315" ca="1">_xll.FDS($E$7,"P_PRICE("&amp;AI315&amp;",0,D,D)")</f>
        <v>95.8</v>
      </c>
      <c r="V315" s="9" cm="1">
        <f t="array" aca="1" ref="V315" ca="1">_xll.FDS($E$7,"P_PRICE("&amp;AJ315&amp;",0,D,D)")</f>
        <v>93.48</v>
      </c>
      <c r="W315" s="9" cm="1">
        <f t="array" aca="1" ref="W315" ca="1">_xll.FDS($E$7,"P_PRICE("&amp;AK315&amp;",0,D,D)")</f>
        <v>88.14</v>
      </c>
      <c r="X315" s="24">
        <f t="shared" ca="1" si="76"/>
        <v>-2.0835487712532963E-2</v>
      </c>
      <c r="Y315" s="24">
        <f t="shared" ca="1" si="77"/>
        <v>2.475562072336257E-2</v>
      </c>
      <c r="Z315" s="24">
        <f t="shared" ca="1" si="78"/>
        <v>1.0145498382687634E-3</v>
      </c>
      <c r="AA315" s="24">
        <f t="shared" ca="1" si="79"/>
        <v>5.3850185975040432E-2</v>
      </c>
      <c r="AB315" s="9" cm="1">
        <f t="array" aca="1" ref="AB315" ca="1">_xll.FDS($E$9,"P_PRICE("&amp;AG315&amp;",0,D,D)")</f>
        <v>5870.62</v>
      </c>
      <c r="AC315" s="9" cm="1">
        <f t="array" aca="1" ref="AC315" ca="1">_xll.FDS($E$9,"P_PRICE("&amp;AH315&amp;",0,D,D)")</f>
        <v>5995.54</v>
      </c>
      <c r="AD315" s="9" cm="1">
        <f t="array" aca="1" ref="AD315" ca="1">_xll.FDS($E$9,"P_PRICE("&amp;AI315&amp;",0,D,D)")</f>
        <v>5728.8</v>
      </c>
      <c r="AE315" s="9" cm="1">
        <f t="array" aca="1" ref="AE315" ca="1">_xll.FDS($E$9,"P_PRICE("&amp;AJ315&amp;",0,D,D)")</f>
        <v>5864.67</v>
      </c>
      <c r="AF315" s="9" cm="1">
        <f t="array" aca="1" ref="AF315" ca="1">_xll.FDS($E$9,"P_PRICE("&amp;AK315&amp;",0,D,D)")</f>
        <v>5570.64</v>
      </c>
      <c r="AG315" s="20">
        <f t="shared" ca="1" si="85"/>
        <v>45611</v>
      </c>
      <c r="AH315" s="22">
        <f t="shared" ca="1" si="80"/>
        <v>45604</v>
      </c>
      <c r="AI315" s="22">
        <f t="shared" ca="1" si="81"/>
        <v>45597</v>
      </c>
      <c r="AJ315" s="22">
        <f t="shared" ca="1" si="82"/>
        <v>45583</v>
      </c>
      <c r="AK315" s="22">
        <f t="shared" ca="1" si="83"/>
        <v>45526</v>
      </c>
      <c r="AL315" s="22">
        <f t="shared" ca="1" si="84"/>
        <v>45440</v>
      </c>
    </row>
    <row r="316" spans="4:38" x14ac:dyDescent="0.25">
      <c r="D316" s="6">
        <f ca="1"/>
        <v>45610</v>
      </c>
      <c r="E316" s="28" cm="1">
        <f t="array" aca="1" ref="E316" ca="1">_xll.FDS($E$7,"P_PRICE("&amp;D316&amp;",0,D,D)")</f>
        <v>99.87</v>
      </c>
      <c r="F316" s="29" cm="1">
        <f t="array" aca="1" ref="F316" ca="1">_xll.FDS($E$7,"P_BETA_LOCIDX("&amp;$AG316&amp;","&amp;$AL316&amp;",,"""&amp;$E$9&amp;""")")</f>
        <v>1.2650075999999999</v>
      </c>
      <c r="G316" s="30">
        <f t="shared" ca="1" si="70"/>
        <v>-2.7802083855618222E-3</v>
      </c>
      <c r="H316" s="30">
        <f t="shared" ca="1" si="70"/>
        <v>-7.5111448617556642E-3</v>
      </c>
      <c r="I316" s="30">
        <f t="shared" ca="1" si="70"/>
        <v>4.3094389832951302E-2</v>
      </c>
      <c r="J316" s="30">
        <f t="shared" ca="1" si="68"/>
        <v>6.878686718804175E-2</v>
      </c>
      <c r="K316" s="30">
        <f t="shared" ca="1" si="71"/>
        <v>-5.067993482111499E-3</v>
      </c>
      <c r="L316" s="30">
        <f t="shared" ca="1" si="71"/>
        <v>5.4037394468797434E-2</v>
      </c>
      <c r="M316" s="30">
        <f t="shared" ca="1" si="71"/>
        <v>2.3323122179862345E-2</v>
      </c>
      <c r="N316" s="30">
        <f t="shared" ca="1" si="69"/>
        <v>7.389047834971571E-2</v>
      </c>
      <c r="O316" s="30">
        <f t="shared" ca="1" si="72"/>
        <v>-7.8482018676733212E-3</v>
      </c>
      <c r="P316" s="30">
        <f t="shared" ca="1" si="73"/>
        <v>4.652624960704177E-2</v>
      </c>
      <c r="Q316" s="30">
        <f t="shared" ca="1" si="74"/>
        <v>6.6417512012813651E-2</v>
      </c>
      <c r="R316" s="30">
        <f t="shared" ca="1" si="75"/>
        <v>0.14267734553775746</v>
      </c>
      <c r="S316" s="9" cm="1">
        <f t="array" aca="1" ref="S316" ca="1">_xll.FDS($E$7,"P_PRICE("&amp;AG316&amp;",0,D,D)")</f>
        <v>99.87</v>
      </c>
      <c r="T316" s="9" cm="1">
        <f t="array" aca="1" ref="T316" ca="1">_xll.FDS($E$7,"P_PRICE("&amp;AH316&amp;",0,D,D)")</f>
        <v>100.66</v>
      </c>
      <c r="U316" s="9" cm="1">
        <f t="array" aca="1" ref="U316" ca="1">_xll.FDS($E$7,"P_PRICE("&amp;AI316&amp;",0,D,D)")</f>
        <v>95.43</v>
      </c>
      <c r="V316" s="9" cm="1">
        <f t="array" aca="1" ref="V316" ca="1">_xll.FDS($E$7,"P_PRICE("&amp;AJ316&amp;",0,D,D)")</f>
        <v>93.65</v>
      </c>
      <c r="W316" s="9" cm="1">
        <f t="array" aca="1" ref="W316" ca="1">_xll.FDS($E$7,"P_PRICE("&amp;AK316&amp;",0,D,D)")</f>
        <v>87.4</v>
      </c>
      <c r="X316" s="24">
        <f t="shared" ca="1" si="76"/>
        <v>-4.0062948887512606E-3</v>
      </c>
      <c r="Y316" s="24">
        <f t="shared" ca="1" si="77"/>
        <v>4.2717051240480641E-2</v>
      </c>
      <c r="Z316" s="24">
        <f t="shared" ca="1" si="78"/>
        <v>1.8437139966481109E-2</v>
      </c>
      <c r="AA316" s="24">
        <f t="shared" ca="1" si="79"/>
        <v>5.841109440742942E-2</v>
      </c>
      <c r="AB316" s="9" cm="1">
        <f t="array" aca="1" ref="AB316" ca="1">_xll.FDS($E$9,"P_PRICE("&amp;AG316&amp;",0,D,D)")</f>
        <v>5949.17</v>
      </c>
      <c r="AC316" s="9" cm="1">
        <f t="array" aca="1" ref="AC316" ca="1">_xll.FDS($E$9,"P_PRICE("&amp;AH316&amp;",0,D,D)")</f>
        <v>5973.1</v>
      </c>
      <c r="AD316" s="9" cm="1">
        <f t="array" aca="1" ref="AD316" ca="1">_xll.FDS($E$9,"P_PRICE("&amp;AI316&amp;",0,D,D)")</f>
        <v>5705.45</v>
      </c>
      <c r="AE316" s="9" cm="1">
        <f t="array" aca="1" ref="AE316" ca="1">_xll.FDS($E$9,"P_PRICE("&amp;AJ316&amp;",0,D,D)")</f>
        <v>5841.47</v>
      </c>
      <c r="AF316" s="9" cm="1">
        <f t="array" aca="1" ref="AF316" ca="1">_xll.FDS($E$9,"P_PRICE("&amp;AK316&amp;",0,D,D)")</f>
        <v>5620.85</v>
      </c>
      <c r="AG316" s="20">
        <f t="shared" ca="1" si="85"/>
        <v>45610</v>
      </c>
      <c r="AH316" s="22">
        <f t="shared" ca="1" si="80"/>
        <v>45603</v>
      </c>
      <c r="AI316" s="22">
        <f t="shared" ca="1" si="81"/>
        <v>45596</v>
      </c>
      <c r="AJ316" s="22">
        <f t="shared" ca="1" si="82"/>
        <v>45582</v>
      </c>
      <c r="AK316" s="22">
        <f t="shared" ca="1" si="83"/>
        <v>45525</v>
      </c>
      <c r="AL316" s="22">
        <f t="shared" ca="1" si="84"/>
        <v>45436</v>
      </c>
    </row>
    <row r="317" spans="4:38" x14ac:dyDescent="0.25">
      <c r="D317" s="6">
        <f ca="1"/>
        <v>45609</v>
      </c>
      <c r="E317" s="28" cm="1">
        <f t="array" aca="1" ref="E317" ca="1">_xll.FDS($E$7,"P_PRICE("&amp;D317&amp;",0,D,D)")</f>
        <v>99.18</v>
      </c>
      <c r="F317" s="29" cm="1">
        <f t="array" aca="1" ref="F317" ca="1">_xll.FDS($E$7,"P_BETA_LOCIDX("&amp;$AG317&amp;","&amp;$AL317&amp;",,"""&amp;$E$9&amp;""")")</f>
        <v>1.2660263</v>
      </c>
      <c r="G317" s="30">
        <f t="shared" ca="1" si="70"/>
        <v>-1.9833386138262077E-2</v>
      </c>
      <c r="H317" s="30">
        <f t="shared" ca="1" si="70"/>
        <v>-3.8371477533413328E-3</v>
      </c>
      <c r="I317" s="30">
        <f t="shared" ca="1" si="70"/>
        <v>3.7206781752287657E-2</v>
      </c>
      <c r="J317" s="30">
        <f t="shared" ca="1" si="68"/>
        <v>7.5034656256610696E-2</v>
      </c>
      <c r="K317" s="30">
        <f t="shared" ca="1" si="71"/>
        <v>1.2030264889762833E-2</v>
      </c>
      <c r="L317" s="30">
        <f t="shared" ca="1" si="71"/>
        <v>3.7392795940086057E-2</v>
      </c>
      <c r="M317" s="30">
        <f t="shared" ca="1" si="71"/>
        <v>3.0967693207324825E-2</v>
      </c>
      <c r="N317" s="30">
        <f t="shared" ca="1" si="69"/>
        <v>8.7821481625907707E-2</v>
      </c>
      <c r="O317" s="30">
        <f t="shared" ca="1" si="72"/>
        <v>-7.8031212484992452E-3</v>
      </c>
      <c r="P317" s="30">
        <f t="shared" ca="1" si="73"/>
        <v>3.3555648186744724E-2</v>
      </c>
      <c r="Q317" s="30">
        <f t="shared" ca="1" si="74"/>
        <v>6.8174474959612485E-2</v>
      </c>
      <c r="R317" s="30">
        <f t="shared" ca="1" si="75"/>
        <v>0.1628561378825184</v>
      </c>
      <c r="S317" s="9" cm="1">
        <f t="array" aca="1" ref="S317" ca="1">_xll.FDS($E$7,"P_PRICE("&amp;AG317&amp;",0,D,D)")</f>
        <v>99.18</v>
      </c>
      <c r="T317" s="9" cm="1">
        <f t="array" aca="1" ref="T317" ca="1">_xll.FDS($E$7,"P_PRICE("&amp;AH317&amp;",0,D,D)")</f>
        <v>99.96</v>
      </c>
      <c r="U317" s="9" cm="1">
        <f t="array" aca="1" ref="U317" ca="1">_xll.FDS($E$7,"P_PRICE("&amp;AI317&amp;",0,D,D)")</f>
        <v>95.96</v>
      </c>
      <c r="V317" s="9" cm="1">
        <f t="array" aca="1" ref="V317" ca="1">_xll.FDS($E$7,"P_PRICE("&amp;AJ317&amp;",0,D,D)")</f>
        <v>92.85</v>
      </c>
      <c r="W317" s="9" cm="1">
        <f t="array" aca="1" ref="W317" ca="1">_xll.FDS($E$7,"P_PRICE("&amp;AK317&amp;",0,D,D)")</f>
        <v>85.29</v>
      </c>
      <c r="X317" s="24">
        <f t="shared" ca="1" si="76"/>
        <v>9.5023814985224497E-3</v>
      </c>
      <c r="Y317" s="24">
        <f t="shared" ca="1" si="77"/>
        <v>2.9535560153913121E-2</v>
      </c>
      <c r="Z317" s="24">
        <f t="shared" ca="1" si="78"/>
        <v>2.4460544940752671E-2</v>
      </c>
      <c r="AA317" s="24">
        <f t="shared" ca="1" si="79"/>
        <v>6.9367817734835135E-2</v>
      </c>
      <c r="AB317" s="9" cm="1">
        <f t="array" aca="1" ref="AB317" ca="1">_xll.FDS($E$9,"P_PRICE("&amp;AG317&amp;",0,D,D)")</f>
        <v>5985.38</v>
      </c>
      <c r="AC317" s="9" cm="1">
        <f t="array" aca="1" ref="AC317" ca="1">_xll.FDS($E$9,"P_PRICE("&amp;AH317&amp;",0,D,D)")</f>
        <v>5929.04</v>
      </c>
      <c r="AD317" s="9" cm="1">
        <f t="array" aca="1" ref="AD317" ca="1">_xll.FDS($E$9,"P_PRICE("&amp;AI317&amp;",0,D,D)")</f>
        <v>5813.67</v>
      </c>
      <c r="AE317" s="9" cm="1">
        <f t="array" aca="1" ref="AE317" ca="1">_xll.FDS($E$9,"P_PRICE("&amp;AJ317&amp;",0,D,D)")</f>
        <v>5842.47</v>
      </c>
      <c r="AF317" s="9" cm="1">
        <f t="array" aca="1" ref="AF317" ca="1">_xll.FDS($E$9,"P_PRICE("&amp;AK317&amp;",0,D,D)")</f>
        <v>5597.12</v>
      </c>
      <c r="AG317" s="20">
        <f t="shared" ca="1" si="85"/>
        <v>45609</v>
      </c>
      <c r="AH317" s="22">
        <f t="shared" ca="1" si="80"/>
        <v>45602</v>
      </c>
      <c r="AI317" s="22">
        <f t="shared" ca="1" si="81"/>
        <v>45595</v>
      </c>
      <c r="AJ317" s="22">
        <f t="shared" ca="1" si="82"/>
        <v>45581</v>
      </c>
      <c r="AK317" s="22">
        <f t="shared" ca="1" si="83"/>
        <v>45524</v>
      </c>
      <c r="AL317" s="22">
        <f t="shared" ca="1" si="84"/>
        <v>45435</v>
      </c>
    </row>
    <row r="318" spans="4:38" x14ac:dyDescent="0.25">
      <c r="D318" s="6">
        <f ca="1"/>
        <v>45608</v>
      </c>
      <c r="E318" s="28" cm="1">
        <f t="array" aca="1" ref="E318" ca="1">_xll.FDS($E$7,"P_PRICE("&amp;D318&amp;",0,D,D)")</f>
        <v>100.15</v>
      </c>
      <c r="F318" s="29" cm="1">
        <f t="array" aca="1" ref="F318" ca="1">_xll.FDS($E$7,"P_BETA_LOCIDX("&amp;$AG318&amp;","&amp;$AL318&amp;",,"""&amp;$E$9&amp;""")")</f>
        <v>1.2683690999999999</v>
      </c>
      <c r="G318" s="30">
        <f t="shared" ca="1" si="70"/>
        <v>-1.070395854774539E-2</v>
      </c>
      <c r="H318" s="30">
        <f t="shared" ca="1" si="70"/>
        <v>2.548226447944809E-2</v>
      </c>
      <c r="I318" s="30">
        <f t="shared" ca="1" si="70"/>
        <v>4.0427433883027684E-2</v>
      </c>
      <c r="J318" s="30">
        <f t="shared" ca="1" si="68"/>
        <v>9.3534745054479645E-2</v>
      </c>
      <c r="K318" s="30">
        <f t="shared" ca="1" si="71"/>
        <v>4.4137040789000354E-2</v>
      </c>
      <c r="L318" s="30">
        <f t="shared" ca="1" si="71"/>
        <v>3.2850188231109002E-2</v>
      </c>
      <c r="M318" s="30">
        <f t="shared" ca="1" si="71"/>
        <v>3.6801779841829897E-2</v>
      </c>
      <c r="N318" s="30">
        <f t="shared" ca="1" si="69"/>
        <v>8.4977846143449193E-2</v>
      </c>
      <c r="O318" s="30">
        <f t="shared" ca="1" si="72"/>
        <v>3.3433082241254963E-2</v>
      </c>
      <c r="P318" s="30">
        <f t="shared" ca="1" si="73"/>
        <v>5.8332452710557092E-2</v>
      </c>
      <c r="Q318" s="30">
        <f t="shared" ca="1" si="74"/>
        <v>7.7229213724857582E-2</v>
      </c>
      <c r="R318" s="30">
        <f t="shared" ca="1" si="75"/>
        <v>0.17851259119792884</v>
      </c>
      <c r="S318" s="9" cm="1">
        <f t="array" aca="1" ref="S318" ca="1">_xll.FDS($E$7,"P_PRICE("&amp;AG318&amp;",0,D,D)")</f>
        <v>100.15</v>
      </c>
      <c r="T318" s="9" cm="1">
        <f t="array" aca="1" ref="T318" ca="1">_xll.FDS($E$7,"P_PRICE("&amp;AH318&amp;",0,D,D)")</f>
        <v>96.91</v>
      </c>
      <c r="U318" s="9" cm="1">
        <f t="array" aca="1" ref="U318" ca="1">_xll.FDS($E$7,"P_PRICE("&amp;AI318&amp;",0,D,D)")</f>
        <v>94.63</v>
      </c>
      <c r="V318" s="9" cm="1">
        <f t="array" aca="1" ref="V318" ca="1">_xll.FDS($E$7,"P_PRICE("&amp;AJ318&amp;",0,D,D)")</f>
        <v>92.97</v>
      </c>
      <c r="W318" s="9" cm="1">
        <f t="array" aca="1" ref="W318" ca="1">_xll.FDS($E$7,"P_PRICE("&amp;AK318&amp;",0,D,D)")</f>
        <v>84.98</v>
      </c>
      <c r="X318" s="24">
        <f t="shared" ca="1" si="76"/>
        <v>3.4798262421404269E-2</v>
      </c>
      <c r="Y318" s="24">
        <f t="shared" ca="1" si="77"/>
        <v>2.5899549453789916E-2</v>
      </c>
      <c r="Z318" s="24">
        <f t="shared" ca="1" si="78"/>
        <v>2.9015039740269533E-2</v>
      </c>
      <c r="AA318" s="24">
        <f t="shared" ca="1" si="79"/>
        <v>6.6997726563544635E-2</v>
      </c>
      <c r="AB318" s="9" cm="1">
        <f t="array" aca="1" ref="AB318" ca="1">_xll.FDS($E$9,"P_PRICE("&amp;AG318&amp;",0,D,D)")</f>
        <v>5983.99</v>
      </c>
      <c r="AC318" s="9" cm="1">
        <f t="array" aca="1" ref="AC318" ca="1">_xll.FDS($E$9,"P_PRICE("&amp;AH318&amp;",0,D,D)")</f>
        <v>5782.76</v>
      </c>
      <c r="AD318" s="9" cm="1">
        <f t="array" aca="1" ref="AD318" ca="1">_xll.FDS($E$9,"P_PRICE("&amp;AI318&amp;",0,D,D)")</f>
        <v>5832.92</v>
      </c>
      <c r="AE318" s="9" cm="1">
        <f t="array" aca="1" ref="AE318" ca="1">_xll.FDS($E$9,"P_PRICE("&amp;AJ318&amp;",0,D,D)")</f>
        <v>5815.26</v>
      </c>
      <c r="AF318" s="9" cm="1">
        <f t="array" aca="1" ref="AF318" ca="1">_xll.FDS($E$9,"P_PRICE("&amp;AK318&amp;",0,D,D)")</f>
        <v>5608.25</v>
      </c>
      <c r="AG318" s="20">
        <f t="shared" ca="1" si="85"/>
        <v>45608</v>
      </c>
      <c r="AH318" s="22">
        <f t="shared" ca="1" si="80"/>
        <v>45601</v>
      </c>
      <c r="AI318" s="22">
        <f t="shared" ca="1" si="81"/>
        <v>45594</v>
      </c>
      <c r="AJ318" s="22">
        <f t="shared" ca="1" si="82"/>
        <v>45580</v>
      </c>
      <c r="AK318" s="22">
        <f t="shared" ca="1" si="83"/>
        <v>45523</v>
      </c>
      <c r="AL318" s="22">
        <f t="shared" ca="1" si="84"/>
        <v>45434</v>
      </c>
    </row>
    <row r="319" spans="4:38" x14ac:dyDescent="0.25">
      <c r="D319" s="6">
        <f ca="1"/>
        <v>45607</v>
      </c>
      <c r="E319" s="28" cm="1">
        <f t="array" aca="1" ref="E319" ca="1">_xll.FDS($E$7,"P_PRICE("&amp;D319&amp;",0,D,D)")</f>
        <v>102.28</v>
      </c>
      <c r="F319" s="29" cm="1">
        <f t="array" aca="1" ref="F319" ca="1">_xll.FDS($E$7,"P_BETA_LOCIDX("&amp;$AG319&amp;","&amp;$AL319&amp;",,"""&amp;$E$9&amp;""")")</f>
        <v>1.2583183</v>
      </c>
      <c r="G319" s="30">
        <f t="shared" ca="1" si="70"/>
        <v>1.9318672372920856E-2</v>
      </c>
      <c r="H319" s="30">
        <f t="shared" ca="1" si="70"/>
        <v>4.5049921888785427E-2</v>
      </c>
      <c r="I319" s="30">
        <f t="shared" ca="1" si="70"/>
        <v>7.7980758237671144E-2</v>
      </c>
      <c r="J319" s="30">
        <f t="shared" ca="1" si="68"/>
        <v>0.11372469962600694</v>
      </c>
      <c r="K319" s="30">
        <f t="shared" ca="1" si="71"/>
        <v>6.3582333450266079E-2</v>
      </c>
      <c r="L319" s="30">
        <f t="shared" ca="1" si="71"/>
        <v>3.8424654382400947E-2</v>
      </c>
      <c r="M319" s="30">
        <f t="shared" ca="1" si="71"/>
        <v>3.0385084848588154E-2</v>
      </c>
      <c r="N319" s="30">
        <f t="shared" ca="1" si="69"/>
        <v>0.1012907434721161</v>
      </c>
      <c r="O319" s="30">
        <f t="shared" ca="1" si="72"/>
        <v>8.2901005823186935E-2</v>
      </c>
      <c r="P319" s="30">
        <f t="shared" ca="1" si="73"/>
        <v>8.3474576271186374E-2</v>
      </c>
      <c r="Q319" s="30">
        <f t="shared" ca="1" si="74"/>
        <v>0.10836584308625929</v>
      </c>
      <c r="R319" s="30">
        <f t="shared" ca="1" si="75"/>
        <v>0.21501544309812304</v>
      </c>
      <c r="S319" s="9" cm="1">
        <f t="array" aca="1" ref="S319" ca="1">_xll.FDS($E$7,"P_PRICE("&amp;AG319&amp;",0,D,D)")</f>
        <v>102.28</v>
      </c>
      <c r="T319" s="9" cm="1">
        <f t="array" aca="1" ref="T319" ca="1">_xll.FDS($E$7,"P_PRICE("&amp;AH319&amp;",0,D,D)")</f>
        <v>94.45</v>
      </c>
      <c r="U319" s="9" cm="1">
        <f t="array" aca="1" ref="U319" ca="1">_xll.FDS($E$7,"P_PRICE("&amp;AI319&amp;",0,D,D)")</f>
        <v>94.4</v>
      </c>
      <c r="V319" s="9" cm="1">
        <f t="array" aca="1" ref="V319" ca="1">_xll.FDS($E$7,"P_PRICE("&amp;AJ319&amp;",0,D,D)")</f>
        <v>92.28</v>
      </c>
      <c r="W319" s="9" cm="1">
        <f t="array" aca="1" ref="W319" ca="1">_xll.FDS($E$7,"P_PRICE("&amp;AK319&amp;",0,D,D)")</f>
        <v>84.18</v>
      </c>
      <c r="X319" s="24">
        <f t="shared" ca="1" si="76"/>
        <v>5.0529610393702518E-2</v>
      </c>
      <c r="Y319" s="24">
        <f t="shared" ca="1" si="77"/>
        <v>3.05365139984064E-2</v>
      </c>
      <c r="Z319" s="24">
        <f t="shared" ca="1" si="78"/>
        <v>2.4147375786069514E-2</v>
      </c>
      <c r="AA319" s="24">
        <f t="shared" ca="1" si="79"/>
        <v>8.0496916775442351E-2</v>
      </c>
      <c r="AB319" s="9" cm="1">
        <f t="array" aca="1" ref="AB319" ca="1">_xll.FDS($E$9,"P_PRICE("&amp;AG319&amp;",0,D,D)")</f>
        <v>6001.35</v>
      </c>
      <c r="AC319" s="9" cm="1">
        <f t="array" aca="1" ref="AC319" ca="1">_xll.FDS($E$9,"P_PRICE("&amp;AH319&amp;",0,D,D)")</f>
        <v>5712.69</v>
      </c>
      <c r="AD319" s="9" cm="1">
        <f t="array" aca="1" ref="AD319" ca="1">_xll.FDS($E$9,"P_PRICE("&amp;AI319&amp;",0,D,D)")</f>
        <v>5823.52</v>
      </c>
      <c r="AE319" s="9" cm="1">
        <f t="array" aca="1" ref="AE319" ca="1">_xll.FDS($E$9,"P_PRICE("&amp;AJ319&amp;",0,D,D)")</f>
        <v>5859.85</v>
      </c>
      <c r="AF319" s="9" cm="1">
        <f t="array" aca="1" ref="AF319" ca="1">_xll.FDS($E$9,"P_PRICE("&amp;AK319&amp;",0,D,D)")</f>
        <v>5554.25</v>
      </c>
      <c r="AG319" s="20">
        <f t="shared" ca="1" si="85"/>
        <v>45607</v>
      </c>
      <c r="AH319" s="22">
        <f t="shared" ca="1" si="80"/>
        <v>45600</v>
      </c>
      <c r="AI319" s="22">
        <f t="shared" ca="1" si="81"/>
        <v>45593</v>
      </c>
      <c r="AJ319" s="22">
        <f t="shared" ca="1" si="82"/>
        <v>45579</v>
      </c>
      <c r="AK319" s="22">
        <f t="shared" ca="1" si="83"/>
        <v>45520</v>
      </c>
      <c r="AL319" s="22">
        <f t="shared" ca="1" si="84"/>
        <v>45433</v>
      </c>
    </row>
    <row r="320" spans="4:38" x14ac:dyDescent="0.25">
      <c r="D320" s="6">
        <f ca="1"/>
        <v>45604</v>
      </c>
      <c r="E320" s="28" cm="1">
        <f t="array" aca="1" ref="E320" ca="1">_xll.FDS($E$7,"P_PRICE("&amp;D320&amp;",0,D,D)")</f>
        <v>100.67</v>
      </c>
      <c r="F320" s="29" cm="1">
        <f t="array" aca="1" ref="F320" ca="1">_xll.FDS($E$7,"P_BETA_LOCIDX("&amp;$AG320&amp;","&amp;$AL320&amp;",,"""&amp;$E$9&amp;""")")</f>
        <v>1.2584902</v>
      </c>
      <c r="G320" s="30">
        <f t="shared" ca="1" si="70"/>
        <v>-7.7617842045317742E-3</v>
      </c>
      <c r="H320" s="30">
        <f t="shared" ca="1" si="70"/>
        <v>4.901035044231352E-2</v>
      </c>
      <c r="I320" s="30">
        <f t="shared" ca="1" si="70"/>
        <v>5.8752957029739705E-2</v>
      </c>
      <c r="J320" s="30">
        <f t="shared" ca="1" si="68"/>
        <v>7.3085420292142433E-2</v>
      </c>
      <c r="K320" s="30">
        <f t="shared" ca="1" si="71"/>
        <v>5.859685727342534E-2</v>
      </c>
      <c r="L320" s="30">
        <f t="shared" ca="1" si="71"/>
        <v>4.0609738311880729E-2</v>
      </c>
      <c r="M320" s="30">
        <f t="shared" ca="1" si="71"/>
        <v>3.9066017888471749E-2</v>
      </c>
      <c r="N320" s="30">
        <f t="shared" ca="1" si="69"/>
        <v>0.10269126739764972</v>
      </c>
      <c r="O320" s="30">
        <f t="shared" ca="1" si="72"/>
        <v>5.0835073068893566E-2</v>
      </c>
      <c r="P320" s="30">
        <f t="shared" ca="1" si="73"/>
        <v>8.9620088754194249E-2</v>
      </c>
      <c r="Q320" s="30">
        <f t="shared" ca="1" si="74"/>
        <v>9.7818974918211454E-2</v>
      </c>
      <c r="R320" s="30">
        <f t="shared" ca="1" si="75"/>
        <v>0.17577668768979215</v>
      </c>
      <c r="S320" s="9" cm="1">
        <f t="array" aca="1" ref="S320" ca="1">_xll.FDS($E$7,"P_PRICE("&amp;AG320&amp;",0,D,D)")</f>
        <v>100.67</v>
      </c>
      <c r="T320" s="9" cm="1">
        <f t="array" aca="1" ref="T320" ca="1">_xll.FDS($E$7,"P_PRICE("&amp;AH320&amp;",0,D,D)")</f>
        <v>95.8</v>
      </c>
      <c r="U320" s="9" cm="1">
        <f t="array" aca="1" ref="U320" ca="1">_xll.FDS($E$7,"P_PRICE("&amp;AI320&amp;",0,D,D)")</f>
        <v>92.39</v>
      </c>
      <c r="V320" s="9" cm="1">
        <f t="array" aca="1" ref="V320" ca="1">_xll.FDS($E$7,"P_PRICE("&amp;AJ320&amp;",0,D,D)")</f>
        <v>91.7</v>
      </c>
      <c r="W320" s="9" cm="1">
        <f t="array" aca="1" ref="W320" ca="1">_xll.FDS($E$7,"P_PRICE("&amp;AK320&amp;",0,D,D)")</f>
        <v>85.62</v>
      </c>
      <c r="X320" s="24">
        <f t="shared" ca="1" si="76"/>
        <v>4.6561234464460144E-2</v>
      </c>
      <c r="Y320" s="24">
        <f t="shared" ca="1" si="77"/>
        <v>3.2268617039592939E-2</v>
      </c>
      <c r="Z320" s="24">
        <f t="shared" ca="1" si="78"/>
        <v>3.1041972268414764E-2</v>
      </c>
      <c r="AA320" s="24">
        <f t="shared" ca="1" si="79"/>
        <v>8.159878193540937E-2</v>
      </c>
      <c r="AB320" s="9" cm="1">
        <f t="array" aca="1" ref="AB320" ca="1">_xll.FDS($E$9,"P_PRICE("&amp;AG320&amp;",0,D,D)")</f>
        <v>5995.54</v>
      </c>
      <c r="AC320" s="9" cm="1">
        <f t="array" aca="1" ref="AC320" ca="1">_xll.FDS($E$9,"P_PRICE("&amp;AH320&amp;",0,D,D)")</f>
        <v>5728.8</v>
      </c>
      <c r="AD320" s="9" cm="1">
        <f t="array" aca="1" ref="AD320" ca="1">_xll.FDS($E$9,"P_PRICE("&amp;AI320&amp;",0,D,D)")</f>
        <v>5808.12</v>
      </c>
      <c r="AE320" s="9" cm="1">
        <f t="array" aca="1" ref="AE320" ca="1">_xll.FDS($E$9,"P_PRICE("&amp;AJ320&amp;",0,D,D)")</f>
        <v>5815.03</v>
      </c>
      <c r="AF320" s="9" cm="1">
        <f t="array" aca="1" ref="AF320" ca="1">_xll.FDS($E$9,"P_PRICE("&amp;AK320&amp;",0,D,D)")</f>
        <v>5543.22</v>
      </c>
      <c r="AG320" s="20">
        <f t="shared" ca="1" si="85"/>
        <v>45604</v>
      </c>
      <c r="AH320" s="22">
        <f t="shared" ca="1" si="80"/>
        <v>45597</v>
      </c>
      <c r="AI320" s="22">
        <f t="shared" ca="1" si="81"/>
        <v>45590</v>
      </c>
      <c r="AJ320" s="22">
        <f t="shared" ca="1" si="82"/>
        <v>45576</v>
      </c>
      <c r="AK320" s="22">
        <f t="shared" ca="1" si="83"/>
        <v>45519</v>
      </c>
      <c r="AL320" s="22">
        <f t="shared" ca="1" si="84"/>
        <v>45432</v>
      </c>
    </row>
    <row r="321" spans="4:38" x14ac:dyDescent="0.25">
      <c r="D321" s="6">
        <f ca="1"/>
        <v>45603</v>
      </c>
      <c r="E321" s="28" cm="1">
        <f t="array" aca="1" ref="E321" ca="1">_xll.FDS($E$7,"P_PRICE("&amp;D321&amp;",0,D,D)")</f>
        <v>100.66</v>
      </c>
      <c r="F321" s="29" cm="1">
        <f t="array" aca="1" ref="F321" ca="1">_xll.FDS($E$7,"P_BETA_LOCIDX("&amp;$AG321&amp;","&amp;$AL321&amp;",,"""&amp;$E$9&amp;""")")</f>
        <v>1.2598822000000001</v>
      </c>
      <c r="G321" s="30">
        <f t="shared" ca="1" si="70"/>
        <v>-4.2981261434165141E-3</v>
      </c>
      <c r="H321" s="30">
        <f t="shared" ca="1" si="70"/>
        <v>6.3509307926628539E-2</v>
      </c>
      <c r="I321" s="30">
        <f t="shared" ca="1" si="70"/>
        <v>7.0185927843050736E-2</v>
      </c>
      <c r="J321" s="30">
        <f t="shared" ca="1" si="68"/>
        <v>8.8071631104016987E-2</v>
      </c>
      <c r="K321" s="30">
        <f t="shared" ca="1" si="71"/>
        <v>5.9102694937296807E-2</v>
      </c>
      <c r="L321" s="30">
        <f t="shared" ca="1" si="71"/>
        <v>3.5398989016603016E-2</v>
      </c>
      <c r="M321" s="30">
        <f t="shared" ca="1" si="71"/>
        <v>4.2079265527114981E-2</v>
      </c>
      <c r="N321" s="30">
        <f t="shared" ca="1" si="69"/>
        <v>0.11960683320312156</v>
      </c>
      <c r="O321" s="30">
        <f t="shared" ca="1" si="72"/>
        <v>5.4804568793880293E-2</v>
      </c>
      <c r="P321" s="30">
        <f t="shared" ca="1" si="73"/>
        <v>9.8908296943231555E-2</v>
      </c>
      <c r="Q321" s="30">
        <f t="shared" ca="1" si="74"/>
        <v>0.11226519337016572</v>
      </c>
      <c r="R321" s="30">
        <f t="shared" ca="1" si="75"/>
        <v>0.20767846430713854</v>
      </c>
      <c r="S321" s="9" cm="1">
        <f t="array" aca="1" ref="S321" ca="1">_xll.FDS($E$7,"P_PRICE("&amp;AG321&amp;",0,D,D)")</f>
        <v>100.66</v>
      </c>
      <c r="T321" s="9" cm="1">
        <f t="array" aca="1" ref="T321" ca="1">_xll.FDS($E$7,"P_PRICE("&amp;AH321&amp;",0,D,D)")</f>
        <v>95.43</v>
      </c>
      <c r="U321" s="9" cm="1">
        <f t="array" aca="1" ref="U321" ca="1">_xll.FDS($E$7,"P_PRICE("&amp;AI321&amp;",0,D,D)")</f>
        <v>91.6</v>
      </c>
      <c r="V321" s="9" cm="1">
        <f t="array" aca="1" ref="V321" ca="1">_xll.FDS($E$7,"P_PRICE("&amp;AJ321&amp;",0,D,D)")</f>
        <v>90.5</v>
      </c>
      <c r="W321" s="9" cm="1">
        <f t="array" aca="1" ref="W321" ca="1">_xll.FDS($E$7,"P_PRICE("&amp;AK321&amp;",0,D,D)")</f>
        <v>83.35</v>
      </c>
      <c r="X321" s="24">
        <f t="shared" ca="1" si="76"/>
        <v>4.6911286576869493E-2</v>
      </c>
      <c r="Y321" s="24">
        <f t="shared" ca="1" si="77"/>
        <v>2.8097062579821364E-2</v>
      </c>
      <c r="Z321" s="24">
        <f t="shared" ca="1" si="78"/>
        <v>3.3399365057395825E-2</v>
      </c>
      <c r="AA321" s="24">
        <f t="shared" ca="1" si="79"/>
        <v>9.4934933760570273E-2</v>
      </c>
      <c r="AB321" s="9" cm="1">
        <f t="array" aca="1" ref="AB321" ca="1">_xll.FDS($E$9,"P_PRICE("&amp;AG321&amp;",0,D,D)")</f>
        <v>5973.1</v>
      </c>
      <c r="AC321" s="9" cm="1">
        <f t="array" aca="1" ref="AC321" ca="1">_xll.FDS($E$9,"P_PRICE("&amp;AH321&amp;",0,D,D)")</f>
        <v>5705.45</v>
      </c>
      <c r="AD321" s="9" cm="1">
        <f t="array" aca="1" ref="AD321" ca="1">_xll.FDS($E$9,"P_PRICE("&amp;AI321&amp;",0,D,D)")</f>
        <v>5809.86</v>
      </c>
      <c r="AE321" s="9" cm="1">
        <f t="array" aca="1" ref="AE321" ca="1">_xll.FDS($E$9,"P_PRICE("&amp;AJ321&amp;",0,D,D)")</f>
        <v>5780.05</v>
      </c>
      <c r="AF321" s="9" cm="1">
        <f t="array" aca="1" ref="AF321" ca="1">_xll.FDS($E$9,"P_PRICE("&amp;AK321&amp;",0,D,D)")</f>
        <v>5455.21</v>
      </c>
      <c r="AG321" s="20">
        <f t="shared" ca="1" si="85"/>
        <v>45603</v>
      </c>
      <c r="AH321" s="22">
        <f t="shared" ca="1" si="80"/>
        <v>45596</v>
      </c>
      <c r="AI321" s="22">
        <f t="shared" ca="1" si="81"/>
        <v>45589</v>
      </c>
      <c r="AJ321" s="22">
        <f t="shared" ca="1" si="82"/>
        <v>45575</v>
      </c>
      <c r="AK321" s="22">
        <f t="shared" ca="1" si="83"/>
        <v>45518</v>
      </c>
      <c r="AL321" s="22">
        <f t="shared" ca="1" si="84"/>
        <v>45429</v>
      </c>
    </row>
    <row r="322" spans="4:38" x14ac:dyDescent="0.25">
      <c r="D322" s="6">
        <f ca="1"/>
        <v>45602</v>
      </c>
      <c r="E322" s="28" cm="1">
        <f t="array" aca="1" ref="E322" ca="1">_xll.FDS($E$7,"P_PRICE("&amp;D322&amp;",0,D,D)")</f>
        <v>99.96</v>
      </c>
      <c r="F322" s="29" cm="1">
        <f t="array" aca="1" ref="F322" ca="1">_xll.FDS($E$7,"P_BETA_LOCIDX("&amp;$AG322&amp;","&amp;$AL322&amp;",,"""&amp;$E$9&amp;""")")</f>
        <v>1.2723447000000001</v>
      </c>
      <c r="G322" s="30">
        <f t="shared" ca="1" si="70"/>
        <v>1.6434853681799828E-2</v>
      </c>
      <c r="H322" s="30">
        <f t="shared" ca="1" si="70"/>
        <v>7.1752326531569099E-2</v>
      </c>
      <c r="I322" s="30">
        <f t="shared" ca="1" si="70"/>
        <v>7.9955010203543939E-2</v>
      </c>
      <c r="J322" s="30">
        <f t="shared" ca="1" si="68"/>
        <v>8.2041654759428803E-2</v>
      </c>
      <c r="K322" s="30">
        <f t="shared" ca="1" si="71"/>
        <v>2.5249181332789677E-2</v>
      </c>
      <c r="L322" s="30">
        <f t="shared" ca="1" si="71"/>
        <v>2.8886299321767169E-2</v>
      </c>
      <c r="M322" s="30">
        <f t="shared" ca="1" si="71"/>
        <v>3.0094962034101846E-2</v>
      </c>
      <c r="N322" s="30">
        <f t="shared" ca="1" si="69"/>
        <v>0.11580136501288986</v>
      </c>
      <c r="O322" s="30">
        <f t="shared" ca="1" si="72"/>
        <v>4.1684035014589504E-2</v>
      </c>
      <c r="P322" s="30">
        <f t="shared" ca="1" si="73"/>
        <v>0.10063862585333627</v>
      </c>
      <c r="Q322" s="30">
        <f t="shared" ca="1" si="74"/>
        <v>0.11004997223764579</v>
      </c>
      <c r="R322" s="30">
        <f t="shared" ca="1" si="75"/>
        <v>0.19784301977231866</v>
      </c>
      <c r="S322" s="9" cm="1">
        <f t="array" aca="1" ref="S322" ca="1">_xll.FDS($E$7,"P_PRICE("&amp;AG322&amp;",0,D,D)")</f>
        <v>99.96</v>
      </c>
      <c r="T322" s="9" cm="1">
        <f t="array" aca="1" ref="T322" ca="1">_xll.FDS($E$7,"P_PRICE("&amp;AH322&amp;",0,D,D)")</f>
        <v>95.96</v>
      </c>
      <c r="U322" s="9" cm="1">
        <f t="array" aca="1" ref="U322" ca="1">_xll.FDS($E$7,"P_PRICE("&amp;AI322&amp;",0,D,D)")</f>
        <v>90.82</v>
      </c>
      <c r="V322" s="9" cm="1">
        <f t="array" aca="1" ref="V322" ca="1">_xll.FDS($E$7,"P_PRICE("&amp;AJ322&amp;",0,D,D)")</f>
        <v>90.05</v>
      </c>
      <c r="W322" s="9" cm="1">
        <f t="array" aca="1" ref="W322" ca="1">_xll.FDS($E$7,"P_PRICE("&amp;AK322&amp;",0,D,D)")</f>
        <v>83.45</v>
      </c>
      <c r="X322" s="24">
        <f t="shared" ca="1" si="76"/>
        <v>1.9844607623067612E-2</v>
      </c>
      <c r="Y322" s="24">
        <f t="shared" ca="1" si="77"/>
        <v>2.2703202459024796E-2</v>
      </c>
      <c r="Z322" s="24">
        <f t="shared" ca="1" si="78"/>
        <v>2.3653151566632724E-2</v>
      </c>
      <c r="AA322" s="24">
        <f t="shared" ca="1" si="79"/>
        <v>9.1014144997727309E-2</v>
      </c>
      <c r="AB322" s="9" cm="1">
        <f t="array" aca="1" ref="AB322" ca="1">_xll.FDS($E$9,"P_PRICE("&amp;AG322&amp;",0,D,D)")</f>
        <v>5929.04</v>
      </c>
      <c r="AC322" s="9" cm="1">
        <f t="array" aca="1" ref="AC322" ca="1">_xll.FDS($E$9,"P_PRICE("&amp;AH322&amp;",0,D,D)")</f>
        <v>5813.67</v>
      </c>
      <c r="AD322" s="9" cm="1">
        <f t="array" aca="1" ref="AD322" ca="1">_xll.FDS($E$9,"P_PRICE("&amp;AI322&amp;",0,D,D)")</f>
        <v>5797.42</v>
      </c>
      <c r="AE322" s="9" cm="1">
        <f t="array" aca="1" ref="AE322" ca="1">_xll.FDS($E$9,"P_PRICE("&amp;AJ322&amp;",0,D,D)")</f>
        <v>5792.04</v>
      </c>
      <c r="AF322" s="9" cm="1">
        <f t="array" aca="1" ref="AF322" ca="1">_xll.FDS($E$9,"P_PRICE("&amp;AK322&amp;",0,D,D)")</f>
        <v>5434.43</v>
      </c>
      <c r="AG322" s="20">
        <f t="shared" ca="1" si="85"/>
        <v>45602</v>
      </c>
      <c r="AH322" s="22">
        <f t="shared" ca="1" si="80"/>
        <v>45595</v>
      </c>
      <c r="AI322" s="22">
        <f t="shared" ca="1" si="81"/>
        <v>45588</v>
      </c>
      <c r="AJ322" s="22">
        <f t="shared" ca="1" si="82"/>
        <v>45574</v>
      </c>
      <c r="AK322" s="22">
        <f t="shared" ca="1" si="83"/>
        <v>45517</v>
      </c>
      <c r="AL322" s="22">
        <f t="shared" ca="1" si="84"/>
        <v>45428</v>
      </c>
    </row>
    <row r="323" spans="4:38" x14ac:dyDescent="0.25">
      <c r="D323" s="6">
        <f ca="1"/>
        <v>45601</v>
      </c>
      <c r="E323" s="28" cm="1">
        <f t="array" aca="1" ref="E323" ca="1">_xll.FDS($E$7,"P_PRICE("&amp;D323&amp;",0,D,D)")</f>
        <v>96.91</v>
      </c>
      <c r="F323" s="29" cm="1">
        <f t="array" aca="1" ref="F323" ca="1">_xll.FDS($E$7,"P_BETA_LOCIDX("&amp;$AG323&amp;","&amp;$AL323&amp;",,"""&amp;$E$9&amp;""")")</f>
        <v>1.3042830999999999</v>
      </c>
      <c r="G323" s="30">
        <f t="shared" ca="1" si="70"/>
        <v>3.5309977957347687E-2</v>
      </c>
      <c r="H323" s="30">
        <f t="shared" ca="1" si="70"/>
        <v>7.0575480416407002E-2</v>
      </c>
      <c r="I323" s="30">
        <f t="shared" ca="1" si="70"/>
        <v>7.8896425994017236E-2</v>
      </c>
      <c r="J323" s="30">
        <f t="shared" ca="1" si="68"/>
        <v>7.6289338063007472E-2</v>
      </c>
      <c r="K323" s="30">
        <f t="shared" ca="1" si="71"/>
        <v>-1.1216138794291612E-2</v>
      </c>
      <c r="L323" s="30">
        <f t="shared" ca="1" si="71"/>
        <v>-1.5255868089280773E-2</v>
      </c>
      <c r="M323" s="30">
        <f t="shared" ca="1" si="71"/>
        <v>7.1732815034610967E-3</v>
      </c>
      <c r="N323" s="30">
        <f t="shared" ca="1" si="69"/>
        <v>0.10698294520927559</v>
      </c>
      <c r="O323" s="30">
        <f t="shared" ca="1" si="72"/>
        <v>2.4093839163056074E-2</v>
      </c>
      <c r="P323" s="30">
        <f t="shared" ca="1" si="73"/>
        <v>5.5319612327126233E-2</v>
      </c>
      <c r="Q323" s="30">
        <f t="shared" ca="1" si="74"/>
        <v>8.6069707497478332E-2</v>
      </c>
      <c r="R323" s="30">
        <f t="shared" ca="1" si="75"/>
        <v>0.18327228327228307</v>
      </c>
      <c r="S323" s="9" cm="1">
        <f t="array" aca="1" ref="S323" ca="1">_xll.FDS($E$7,"P_PRICE("&amp;AG323&amp;",0,D,D)")</f>
        <v>96.91</v>
      </c>
      <c r="T323" s="9" cm="1">
        <f t="array" aca="1" ref="T323" ca="1">_xll.FDS($E$7,"P_PRICE("&amp;AH323&amp;",0,D,D)")</f>
        <v>94.63</v>
      </c>
      <c r="U323" s="9" cm="1">
        <f t="array" aca="1" ref="U323" ca="1">_xll.FDS($E$7,"P_PRICE("&amp;AI323&amp;",0,D,D)")</f>
        <v>91.83</v>
      </c>
      <c r="V323" s="9" cm="1">
        <f t="array" aca="1" ref="V323" ca="1">_xll.FDS($E$7,"P_PRICE("&amp;AJ323&amp;",0,D,D)")</f>
        <v>89.23</v>
      </c>
      <c r="W323" s="9" cm="1">
        <f t="array" aca="1" ref="W323" ca="1">_xll.FDS($E$7,"P_PRICE("&amp;AK323&amp;",0,D,D)")</f>
        <v>81.900000000000006</v>
      </c>
      <c r="X323" s="24">
        <f t="shared" ca="1" si="76"/>
        <v>-8.5994664764816875E-3</v>
      </c>
      <c r="Y323" s="24">
        <f t="shared" ca="1" si="77"/>
        <v>-1.1696745966639277E-2</v>
      </c>
      <c r="Z323" s="24">
        <f t="shared" ca="1" si="78"/>
        <v>5.4997887371699417E-3</v>
      </c>
      <c r="AA323" s="24">
        <f t="shared" ca="1" si="79"/>
        <v>8.2024328314363348E-2</v>
      </c>
      <c r="AB323" s="9" cm="1">
        <f t="array" aca="1" ref="AB323" ca="1">_xll.FDS($E$9,"P_PRICE("&amp;AG323&amp;",0,D,D)")</f>
        <v>5782.76</v>
      </c>
      <c r="AC323" s="9" cm="1">
        <f t="array" aca="1" ref="AC323" ca="1">_xll.FDS($E$9,"P_PRICE("&amp;AH323&amp;",0,D,D)")</f>
        <v>5832.92</v>
      </c>
      <c r="AD323" s="9" cm="1">
        <f t="array" aca="1" ref="AD323" ca="1">_xll.FDS($E$9,"P_PRICE("&amp;AI323&amp;",0,D,D)")</f>
        <v>5851.2</v>
      </c>
      <c r="AE323" s="9" cm="1">
        <f t="array" aca="1" ref="AE323" ca="1">_xll.FDS($E$9,"P_PRICE("&amp;AJ323&amp;",0,D,D)")</f>
        <v>5751.13</v>
      </c>
      <c r="AF323" s="9" cm="1">
        <f t="array" aca="1" ref="AF323" ca="1">_xll.FDS($E$9,"P_PRICE("&amp;AK323&amp;",0,D,D)")</f>
        <v>5344.39</v>
      </c>
      <c r="AG323" s="20">
        <f t="shared" ca="1" si="85"/>
        <v>45601</v>
      </c>
      <c r="AH323" s="22">
        <f t="shared" ca="1" si="80"/>
        <v>45594</v>
      </c>
      <c r="AI323" s="22">
        <f t="shared" ca="1" si="81"/>
        <v>45587</v>
      </c>
      <c r="AJ323" s="22">
        <f t="shared" ca="1" si="82"/>
        <v>45573</v>
      </c>
      <c r="AK323" s="22">
        <f t="shared" ca="1" si="83"/>
        <v>45516</v>
      </c>
      <c r="AL323" s="22">
        <f t="shared" ca="1" si="84"/>
        <v>45427</v>
      </c>
    </row>
    <row r="324" spans="4:38" x14ac:dyDescent="0.25">
      <c r="D324" s="6">
        <f ca="1"/>
        <v>45600</v>
      </c>
      <c r="E324" s="28" cm="1">
        <f t="array" aca="1" ref="E324" ca="1">_xll.FDS($E$7,"P_PRICE("&amp;D324&amp;",0,D,D)")</f>
        <v>94.45</v>
      </c>
      <c r="F324" s="29" cm="1">
        <f t="array" aca="1" ref="F324" ca="1">_xll.FDS($E$7,"P_BETA_LOCIDX("&amp;$AG324&amp;","&amp;$AL324&amp;",,"""&amp;$E$9&amp;""")")</f>
        <v>1.2900577</v>
      </c>
      <c r="G324" s="30">
        <f t="shared" ca="1" si="70"/>
        <v>2.5081323051423427E-2</v>
      </c>
      <c r="H324" s="30">
        <f t="shared" ca="1" si="70"/>
        <v>5.5206725681121296E-2</v>
      </c>
      <c r="I324" s="30">
        <f t="shared" ca="1" si="70"/>
        <v>6.0671570419136601E-2</v>
      </c>
      <c r="J324" s="30">
        <f t="shared" ca="1" si="68"/>
        <v>5.7693746921708838E-2</v>
      </c>
      <c r="K324" s="30">
        <f t="shared" ca="1" si="71"/>
        <v>-2.4551662034474248E-2</v>
      </c>
      <c r="L324" s="30">
        <f t="shared" ca="1" si="71"/>
        <v>-3.1136466546349616E-2</v>
      </c>
      <c r="M324" s="30">
        <f t="shared" ca="1" si="71"/>
        <v>3.7936611823509354E-3</v>
      </c>
      <c r="N324" s="30">
        <f t="shared" ca="1" si="69"/>
        <v>8.8961588758757232E-2</v>
      </c>
      <c r="O324" s="30">
        <f t="shared" ca="1" si="72"/>
        <v>5.2966101694917889E-4</v>
      </c>
      <c r="P324" s="30">
        <f t="shared" ca="1" si="73"/>
        <v>2.4070259134771677E-2</v>
      </c>
      <c r="Q324" s="30">
        <f t="shared" ca="1" si="74"/>
        <v>6.4465231601487538E-2</v>
      </c>
      <c r="R324" s="30">
        <f t="shared" ca="1" si="75"/>
        <v>0.14665533568046607</v>
      </c>
      <c r="S324" s="9" cm="1">
        <f t="array" aca="1" ref="S324" ca="1">_xll.FDS($E$7,"P_PRICE("&amp;AG324&amp;",0,D,D)")</f>
        <v>94.45</v>
      </c>
      <c r="T324" s="9" cm="1">
        <f t="array" aca="1" ref="T324" ca="1">_xll.FDS($E$7,"P_PRICE("&amp;AH324&amp;",0,D,D)")</f>
        <v>94.4</v>
      </c>
      <c r="U324" s="9" cm="1">
        <f t="array" aca="1" ref="U324" ca="1">_xll.FDS($E$7,"P_PRICE("&amp;AI324&amp;",0,D,D)")</f>
        <v>92.23</v>
      </c>
      <c r="V324" s="9" cm="1">
        <f t="array" aca="1" ref="V324" ca="1">_xll.FDS($E$7,"P_PRICE("&amp;AJ324&amp;",0,D,D)")</f>
        <v>88.73</v>
      </c>
      <c r="W324" s="9" cm="1">
        <f t="array" aca="1" ref="W324" ca="1">_xll.FDS($E$7,"P_PRICE("&amp;AK324&amp;",0,D,D)")</f>
        <v>82.37</v>
      </c>
      <c r="X324" s="24">
        <f t="shared" ca="1" si="76"/>
        <v>-1.9031444899305083E-2</v>
      </c>
      <c r="Y324" s="24">
        <f t="shared" ca="1" si="77"/>
        <v>-2.4135716213584568E-2</v>
      </c>
      <c r="Z324" s="24">
        <f t="shared" ca="1" si="78"/>
        <v>2.9406910887403992E-3</v>
      </c>
      <c r="AA324" s="24">
        <f t="shared" ca="1" si="79"/>
        <v>6.8959387443489728E-2</v>
      </c>
      <c r="AB324" s="9" cm="1">
        <f t="array" aca="1" ref="AB324" ca="1">_xll.FDS($E$9,"P_PRICE("&amp;AG324&amp;",0,D,D)")</f>
        <v>5712.69</v>
      </c>
      <c r="AC324" s="9" cm="1">
        <f t="array" aca="1" ref="AC324" ca="1">_xll.FDS($E$9,"P_PRICE("&amp;AH324&amp;",0,D,D)")</f>
        <v>5823.52</v>
      </c>
      <c r="AD324" s="9" cm="1">
        <f t="array" aca="1" ref="AD324" ca="1">_xll.FDS($E$9,"P_PRICE("&amp;AI324&amp;",0,D,D)")</f>
        <v>5853.98</v>
      </c>
      <c r="AE324" s="9" cm="1">
        <f t="array" aca="1" ref="AE324" ca="1">_xll.FDS($E$9,"P_PRICE("&amp;AJ324&amp;",0,D,D)")</f>
        <v>5695.94</v>
      </c>
      <c r="AF324" s="9" cm="1">
        <f t="array" aca="1" ref="AF324" ca="1">_xll.FDS($E$9,"P_PRICE("&amp;AK324&amp;",0,D,D)")</f>
        <v>5344.16</v>
      </c>
      <c r="AG324" s="20">
        <f t="shared" ca="1" si="85"/>
        <v>45600</v>
      </c>
      <c r="AH324" s="22">
        <f t="shared" ca="1" si="80"/>
        <v>45593</v>
      </c>
      <c r="AI324" s="22">
        <f t="shared" ca="1" si="81"/>
        <v>45586</v>
      </c>
      <c r="AJ324" s="22">
        <f t="shared" ca="1" si="82"/>
        <v>45572</v>
      </c>
      <c r="AK324" s="22">
        <f t="shared" ca="1" si="83"/>
        <v>45513</v>
      </c>
      <c r="AL324" s="22">
        <f t="shared" ca="1" si="84"/>
        <v>45426</v>
      </c>
    </row>
    <row r="325" spans="4:38" x14ac:dyDescent="0.25">
      <c r="D325" s="6">
        <f ca="1"/>
        <v>45597</v>
      </c>
      <c r="E325" s="28" cm="1">
        <f t="array" aca="1" ref="E325" ca="1">_xll.FDS($E$7,"P_PRICE("&amp;D325&amp;",0,D,D)")</f>
        <v>95.8</v>
      </c>
      <c r="F325" s="29" cm="1">
        <f t="array" aca="1" ref="F325" ca="1">_xll.FDS($E$7,"P_BETA_LOCIDX("&amp;$AG325&amp;","&amp;$AL325&amp;",,"""&amp;$E$9&amp;""")")</f>
        <v>1.2878035000000001</v>
      </c>
      <c r="G325" s="30">
        <f t="shared" ca="1" si="70"/>
        <v>5.4495957315505023E-2</v>
      </c>
      <c r="H325" s="30">
        <f t="shared" ca="1" si="70"/>
        <v>5.465338710848143E-2</v>
      </c>
      <c r="I325" s="30">
        <f t="shared" ca="1" si="70"/>
        <v>8.0062540044379946E-2</v>
      </c>
      <c r="J325" s="30">
        <f t="shared" ca="1" si="68"/>
        <v>7.5746075464863186E-2</v>
      </c>
      <c r="K325" s="30">
        <f t="shared" ca="1" si="71"/>
        <v>-1.75872009565918E-2</v>
      </c>
      <c r="L325" s="30">
        <f t="shared" ca="1" si="71"/>
        <v>-2.9835244190210202E-2</v>
      </c>
      <c r="M325" s="30">
        <f t="shared" ca="1" si="71"/>
        <v>-4.9867909702019228E-3</v>
      </c>
      <c r="N325" s="30">
        <f t="shared" ca="1" si="69"/>
        <v>9.9137417299424088E-2</v>
      </c>
      <c r="O325" s="30">
        <f t="shared" ca="1" si="72"/>
        <v>3.6908756358913219E-2</v>
      </c>
      <c r="P325" s="30">
        <f t="shared" ca="1" si="73"/>
        <v>2.4818142918271224E-2</v>
      </c>
      <c r="Q325" s="30">
        <f t="shared" ca="1" si="74"/>
        <v>7.5075749074178022E-2</v>
      </c>
      <c r="R325" s="30">
        <f t="shared" ca="1" si="75"/>
        <v>0.17488349276428727</v>
      </c>
      <c r="S325" s="9" cm="1">
        <f t="array" aca="1" ref="S325" ca="1">_xll.FDS($E$7,"P_PRICE("&amp;AG325&amp;",0,D,D)")</f>
        <v>95.8</v>
      </c>
      <c r="T325" s="9" cm="1">
        <f t="array" aca="1" ref="T325" ca="1">_xll.FDS($E$7,"P_PRICE("&amp;AH325&amp;",0,D,D)")</f>
        <v>92.39</v>
      </c>
      <c r="U325" s="9" cm="1">
        <f t="array" aca="1" ref="U325" ca="1">_xll.FDS($E$7,"P_PRICE("&amp;AI325&amp;",0,D,D)")</f>
        <v>93.48</v>
      </c>
      <c r="V325" s="9" cm="1">
        <f t="array" aca="1" ref="V325" ca="1">_xll.FDS($E$7,"P_PRICE("&amp;AJ325&amp;",0,D,D)")</f>
        <v>89.11</v>
      </c>
      <c r="W325" s="9" cm="1">
        <f t="array" aca="1" ref="W325" ca="1">_xll.FDS($E$7,"P_PRICE("&amp;AK325&amp;",0,D,D)")</f>
        <v>81.540000000000006</v>
      </c>
      <c r="X325" s="24">
        <f t="shared" ca="1" si="76"/>
        <v>-1.3656742629284513E-2</v>
      </c>
      <c r="Y325" s="24">
        <f t="shared" ca="1" si="77"/>
        <v>-2.3167543953879766E-2</v>
      </c>
      <c r="Z325" s="24">
        <f t="shared" ca="1" si="78"/>
        <v>-3.8723228894795847E-3</v>
      </c>
      <c r="AA325" s="24">
        <f t="shared" ca="1" si="79"/>
        <v>7.6981788991429267E-2</v>
      </c>
      <c r="AB325" s="9" cm="1">
        <f t="array" aca="1" ref="AB325" ca="1">_xll.FDS($E$9,"P_PRICE("&amp;AG325&amp;",0,D,D)")</f>
        <v>5728.8</v>
      </c>
      <c r="AC325" s="9" cm="1">
        <f t="array" aca="1" ref="AC325" ca="1">_xll.FDS($E$9,"P_PRICE("&amp;AH325&amp;",0,D,D)")</f>
        <v>5808.12</v>
      </c>
      <c r="AD325" s="9" cm="1">
        <f t="array" aca="1" ref="AD325" ca="1">_xll.FDS($E$9,"P_PRICE("&amp;AI325&amp;",0,D,D)")</f>
        <v>5864.67</v>
      </c>
      <c r="AE325" s="9" cm="1">
        <f t="array" aca="1" ref="AE325" ca="1">_xll.FDS($E$9,"P_PRICE("&amp;AJ325&amp;",0,D,D)")</f>
        <v>5751.07</v>
      </c>
      <c r="AF325" s="9" cm="1">
        <f t="array" aca="1" ref="AF325" ca="1">_xll.FDS($E$9,"P_PRICE("&amp;AK325&amp;",0,D,D)")</f>
        <v>5319.31</v>
      </c>
      <c r="AG325" s="20">
        <f t="shared" ca="1" si="85"/>
        <v>45597</v>
      </c>
      <c r="AH325" s="22">
        <f t="shared" ca="1" si="80"/>
        <v>45590</v>
      </c>
      <c r="AI325" s="22">
        <f t="shared" ca="1" si="81"/>
        <v>45583</v>
      </c>
      <c r="AJ325" s="22">
        <f t="shared" ca="1" si="82"/>
        <v>45569</v>
      </c>
      <c r="AK325" s="22">
        <f t="shared" ca="1" si="83"/>
        <v>45512</v>
      </c>
      <c r="AL325" s="22">
        <f t="shared" ca="1" si="84"/>
        <v>45425</v>
      </c>
    </row>
    <row r="326" spans="4:38" x14ac:dyDescent="0.25">
      <c r="D326" s="6">
        <f ca="1"/>
        <v>45596</v>
      </c>
      <c r="E326" s="28" cm="1">
        <f t="array" aca="1" ref="E326" ca="1">_xll.FDS($E$7,"P_PRICE("&amp;D326&amp;",0,D,D)")</f>
        <v>95.43</v>
      </c>
      <c r="F326" s="29" cm="1">
        <f t="array" aca="1" ref="F326" ca="1">_xll.FDS($E$7,"P_BETA_LOCIDX("&amp;$AG326&amp;","&amp;$AL326&amp;",,"""&amp;$E$9&amp;""")")</f>
        <v>1.2927892999999999</v>
      </c>
      <c r="G326" s="30">
        <f t="shared" ca="1" si="70"/>
        <v>6.5045167422712519E-2</v>
      </c>
      <c r="H326" s="30">
        <f t="shared" ca="1" si="70"/>
        <v>4.9109843017547422E-2</v>
      </c>
      <c r="I326" s="30">
        <f t="shared" ca="1" si="70"/>
        <v>7.510941526805151E-2</v>
      </c>
      <c r="J326" s="30">
        <f t="shared" ca="1" si="68"/>
        <v>0.1283746815161402</v>
      </c>
      <c r="K326" s="30">
        <f t="shared" ca="1" si="71"/>
        <v>-2.323294034847647E-2</v>
      </c>
      <c r="L326" s="30">
        <f t="shared" ca="1" si="71"/>
        <v>-3.0102902280761543E-2</v>
      </c>
      <c r="M326" s="30">
        <f t="shared" ca="1" si="71"/>
        <v>1.2497094781701362E-3</v>
      </c>
      <c r="N326" s="30">
        <f t="shared" ca="1" si="69"/>
        <v>0.12579800871910748</v>
      </c>
      <c r="O326" s="30">
        <f t="shared" ca="1" si="72"/>
        <v>4.1812227074236041E-2</v>
      </c>
      <c r="P326" s="30">
        <f t="shared" ca="1" si="73"/>
        <v>1.9006940736785882E-2</v>
      </c>
      <c r="Q326" s="30">
        <f t="shared" ca="1" si="74"/>
        <v>7.635912474622164E-2</v>
      </c>
      <c r="R326" s="30">
        <f t="shared" ca="1" si="75"/>
        <v>0.25417269023524769</v>
      </c>
      <c r="S326" s="9" cm="1">
        <f t="array" aca="1" ref="S326" ca="1">_xll.FDS($E$7,"P_PRICE("&amp;AG326&amp;",0,D,D)")</f>
        <v>95.43</v>
      </c>
      <c r="T326" s="9" cm="1">
        <f t="array" aca="1" ref="T326" ca="1">_xll.FDS($E$7,"P_PRICE("&amp;AH326&amp;",0,D,D)")</f>
        <v>91.6</v>
      </c>
      <c r="U326" s="9" cm="1">
        <f t="array" aca="1" ref="U326" ca="1">_xll.FDS($E$7,"P_PRICE("&amp;AI326&amp;",0,D,D)")</f>
        <v>93.65</v>
      </c>
      <c r="V326" s="9" cm="1">
        <f t="array" aca="1" ref="V326" ca="1">_xll.FDS($E$7,"P_PRICE("&amp;AJ326&amp;",0,D,D)")</f>
        <v>88.66</v>
      </c>
      <c r="W326" s="9" cm="1">
        <f t="array" aca="1" ref="W326" ca="1">_xll.FDS($E$7,"P_PRICE("&amp;AK326&amp;",0,D,D)")</f>
        <v>76.09</v>
      </c>
      <c r="X326" s="24">
        <f t="shared" ca="1" si="76"/>
        <v>-1.7971173143586872E-2</v>
      </c>
      <c r="Y326" s="24">
        <f t="shared" ca="1" si="77"/>
        <v>-2.3285234709756297E-2</v>
      </c>
      <c r="Z326" s="24">
        <f t="shared" ca="1" si="78"/>
        <v>9.6667684221252159E-4</v>
      </c>
      <c r="AA326" s="24">
        <f t="shared" ca="1" si="79"/>
        <v>9.7307433407058275E-2</v>
      </c>
      <c r="AB326" s="9" cm="1">
        <f t="array" aca="1" ref="AB326" ca="1">_xll.FDS($E$9,"P_PRICE("&amp;AG326&amp;",0,D,D)")</f>
        <v>5705.45</v>
      </c>
      <c r="AC326" s="9" cm="1">
        <f t="array" aca="1" ref="AC326" ca="1">_xll.FDS($E$9,"P_PRICE("&amp;AH326&amp;",0,D,D)")</f>
        <v>5809.86</v>
      </c>
      <c r="AD326" s="9" cm="1">
        <f t="array" aca="1" ref="AD326" ca="1">_xll.FDS($E$9,"P_PRICE("&amp;AI326&amp;",0,D,D)")</f>
        <v>5841.47</v>
      </c>
      <c r="AE326" s="9" cm="1">
        <f t="array" aca="1" ref="AE326" ca="1">_xll.FDS($E$9,"P_PRICE("&amp;AJ326&amp;",0,D,D)")</f>
        <v>5699.94</v>
      </c>
      <c r="AF326" s="9" cm="1">
        <f t="array" aca="1" ref="AF326" ca="1">_xll.FDS($E$9,"P_PRICE("&amp;AK326&amp;",0,D,D)")</f>
        <v>5199.5</v>
      </c>
      <c r="AG326" s="20">
        <f t="shared" ca="1" si="85"/>
        <v>45596</v>
      </c>
      <c r="AH326" s="22">
        <f t="shared" ca="1" si="80"/>
        <v>45589</v>
      </c>
      <c r="AI326" s="22">
        <f t="shared" ca="1" si="81"/>
        <v>45582</v>
      </c>
      <c r="AJ326" s="22">
        <f t="shared" ca="1" si="82"/>
        <v>45568</v>
      </c>
      <c r="AK326" s="22">
        <f t="shared" ca="1" si="83"/>
        <v>45511</v>
      </c>
      <c r="AL326" s="22">
        <f t="shared" ca="1" si="84"/>
        <v>45422</v>
      </c>
    </row>
    <row r="327" spans="4:38" x14ac:dyDescent="0.25">
      <c r="D327" s="6">
        <f ca="1"/>
        <v>45595</v>
      </c>
      <c r="E327" s="28" cm="1">
        <f t="array" aca="1" ref="E327" ca="1">_xll.FDS($E$7,"P_PRICE("&amp;D327&amp;",0,D,D)")</f>
        <v>95.96</v>
      </c>
      <c r="F327" s="29" cm="1">
        <f t="array" aca="1" ref="F327" ca="1">_xll.FDS($E$7,"P_BETA_LOCIDX("&amp;$AG327&amp;","&amp;$AL327&amp;",,"""&amp;$E$9&amp;""")")</f>
        <v>1.3374953000000001</v>
      </c>
      <c r="G327" s="30">
        <f t="shared" ca="1" si="70"/>
        <v>5.284650304685061E-2</v>
      </c>
      <c r="H327" s="30">
        <f t="shared" ca="1" si="70"/>
        <v>4.0087962943705181E-2</v>
      </c>
      <c r="I327" s="30">
        <f t="shared" ca="1" si="70"/>
        <v>4.7546130508245049E-2</v>
      </c>
      <c r="J327" s="30">
        <f t="shared" ca="1" si="68"/>
        <v>7.7560429371633821E-2</v>
      </c>
      <c r="K327" s="30">
        <f t="shared" ca="1" si="71"/>
        <v>3.7489605074325209E-3</v>
      </c>
      <c r="L327" s="30">
        <f t="shared" ca="1" si="71"/>
        <v>-6.5930787218419851E-3</v>
      </c>
      <c r="M327" s="30">
        <f t="shared" ca="1" si="71"/>
        <v>2.4393100948412762E-2</v>
      </c>
      <c r="N327" s="30">
        <f t="shared" ca="1" si="69"/>
        <v>0.14641916246510062</v>
      </c>
      <c r="O327" s="30">
        <f t="shared" ca="1" si="72"/>
        <v>5.6595463554283132E-2</v>
      </c>
      <c r="P327" s="30">
        <f t="shared" ca="1" si="73"/>
        <v>3.3494884221863197E-2</v>
      </c>
      <c r="Q327" s="30">
        <f t="shared" ca="1" si="74"/>
        <v>7.1939231456657815E-2</v>
      </c>
      <c r="R327" s="30">
        <f t="shared" ca="1" si="75"/>
        <v>0.22397959183673444</v>
      </c>
      <c r="S327" s="9" cm="1">
        <f t="array" aca="1" ref="S327" ca="1">_xll.FDS($E$7,"P_PRICE("&amp;AG327&amp;",0,D,D)")</f>
        <v>95.96</v>
      </c>
      <c r="T327" s="9" cm="1">
        <f t="array" aca="1" ref="T327" ca="1">_xll.FDS($E$7,"P_PRICE("&amp;AH327&amp;",0,D,D)")</f>
        <v>90.82</v>
      </c>
      <c r="U327" s="9" cm="1">
        <f t="array" aca="1" ref="U327" ca="1">_xll.FDS($E$7,"P_PRICE("&amp;AI327&amp;",0,D,D)")</f>
        <v>92.85</v>
      </c>
      <c r="V327" s="9" cm="1">
        <f t="array" aca="1" ref="V327" ca="1">_xll.FDS($E$7,"P_PRICE("&amp;AJ327&amp;",0,D,D)")</f>
        <v>89.52</v>
      </c>
      <c r="W327" s="9" cm="1">
        <f t="array" aca="1" ref="W327" ca="1">_xll.FDS($E$7,"P_PRICE("&amp;AK327&amp;",0,D,D)")</f>
        <v>78.400000000000006</v>
      </c>
      <c r="X327" s="24">
        <f t="shared" ca="1" si="76"/>
        <v>2.8029709767447564E-3</v>
      </c>
      <c r="Y327" s="24">
        <f t="shared" ca="1" si="77"/>
        <v>-4.9294219739254297E-3</v>
      </c>
      <c r="Z327" s="24">
        <f t="shared" ca="1" si="78"/>
        <v>1.823789657310404E-2</v>
      </c>
      <c r="AA327" s="24">
        <f t="shared" ca="1" si="79"/>
        <v>0.1094726556909027</v>
      </c>
      <c r="AB327" s="9" cm="1">
        <f t="array" aca="1" ref="AB327" ca="1">_xll.FDS($E$9,"P_PRICE("&amp;AG327&amp;",0,D,D)")</f>
        <v>5813.67</v>
      </c>
      <c r="AC327" s="9" cm="1">
        <f t="array" aca="1" ref="AC327" ca="1">_xll.FDS($E$9,"P_PRICE("&amp;AH327&amp;",0,D,D)")</f>
        <v>5797.42</v>
      </c>
      <c r="AD327" s="9" cm="1">
        <f t="array" aca="1" ref="AD327" ca="1">_xll.FDS($E$9,"P_PRICE("&amp;AI327&amp;",0,D,D)")</f>
        <v>5842.47</v>
      </c>
      <c r="AE327" s="9" cm="1">
        <f t="array" aca="1" ref="AE327" ca="1">_xll.FDS($E$9,"P_PRICE("&amp;AJ327&amp;",0,D,D)")</f>
        <v>5709.54</v>
      </c>
      <c r="AF327" s="9" cm="1">
        <f t="array" aca="1" ref="AF327" ca="1">_xll.FDS($E$9,"P_PRICE("&amp;AK327&amp;",0,D,D)")</f>
        <v>5240.03</v>
      </c>
      <c r="AG327" s="20">
        <f t="shared" ca="1" si="85"/>
        <v>45595</v>
      </c>
      <c r="AH327" s="22">
        <f t="shared" ca="1" si="80"/>
        <v>45588</v>
      </c>
      <c r="AI327" s="22">
        <f t="shared" ca="1" si="81"/>
        <v>45581</v>
      </c>
      <c r="AJ327" s="22">
        <f t="shared" ca="1" si="82"/>
        <v>45567</v>
      </c>
      <c r="AK327" s="22">
        <f t="shared" ca="1" si="83"/>
        <v>45510</v>
      </c>
      <c r="AL327" s="22">
        <f t="shared" ca="1" si="84"/>
        <v>45421</v>
      </c>
    </row>
    <row r="328" spans="4:38" x14ac:dyDescent="0.25">
      <c r="D328" s="6">
        <f ca="1"/>
        <v>45594</v>
      </c>
      <c r="E328" s="28" cm="1">
        <f t="array" aca="1" ref="E328" ca="1">_xll.FDS($E$7,"P_PRICE("&amp;D328&amp;",0,D,D)")</f>
        <v>94.63</v>
      </c>
      <c r="F328" s="29" cm="1">
        <f t="array" aca="1" ref="F328" ca="1">_xll.FDS($E$7,"P_BETA_LOCIDX("&amp;$AG328&amp;","&amp;$AL328&amp;",,"""&amp;$E$9&amp;""")")</f>
        <v>1.3493676999999999</v>
      </c>
      <c r="G328" s="30">
        <f t="shared" ca="1" si="70"/>
        <v>3.4706745898015694E-2</v>
      </c>
      <c r="H328" s="30">
        <f t="shared" ca="1" si="70"/>
        <v>1.3757411598535914E-2</v>
      </c>
      <c r="I328" s="30">
        <f t="shared" ca="1" si="70"/>
        <v>1.2371853046915123E-2</v>
      </c>
      <c r="J328" s="30">
        <f t="shared" ca="1" si="68"/>
        <v>5.8343278646444952E-2</v>
      </c>
      <c r="K328" s="30">
        <f t="shared" ca="1" si="71"/>
        <v>-4.2156209933004122E-3</v>
      </c>
      <c r="L328" s="30">
        <f t="shared" ca="1" si="71"/>
        <v>4.0978105161247041E-3</v>
      </c>
      <c r="M328" s="30">
        <f t="shared" ca="1" si="71"/>
        <v>2.9349855451543564E-2</v>
      </c>
      <c r="N328" s="30">
        <f t="shared" ca="1" si="69"/>
        <v>0.16822833509302348</v>
      </c>
      <c r="O328" s="30">
        <f t="shared" ca="1" si="72"/>
        <v>3.0491124904715283E-2</v>
      </c>
      <c r="P328" s="30">
        <f t="shared" ca="1" si="73"/>
        <v>1.7855222114660618E-2</v>
      </c>
      <c r="Q328" s="30">
        <f t="shared" ca="1" si="74"/>
        <v>4.1721708498458687E-2</v>
      </c>
      <c r="R328" s="30">
        <f t="shared" ca="1" si="75"/>
        <v>0.22657161373946844</v>
      </c>
      <c r="S328" s="9" cm="1">
        <f t="array" aca="1" ref="S328" ca="1">_xll.FDS($E$7,"P_PRICE("&amp;AG328&amp;",0,D,D)")</f>
        <v>94.63</v>
      </c>
      <c r="T328" s="9" cm="1">
        <f t="array" aca="1" ref="T328" ca="1">_xll.FDS($E$7,"P_PRICE("&amp;AH328&amp;",0,D,D)")</f>
        <v>91.83</v>
      </c>
      <c r="U328" s="9" cm="1">
        <f t="array" aca="1" ref="U328" ca="1">_xll.FDS($E$7,"P_PRICE("&amp;AI328&amp;",0,D,D)")</f>
        <v>92.97</v>
      </c>
      <c r="V328" s="9" cm="1">
        <f t="array" aca="1" ref="V328" ca="1">_xll.FDS($E$7,"P_PRICE("&amp;AJ328&amp;",0,D,D)")</f>
        <v>90.84</v>
      </c>
      <c r="W328" s="9" cm="1">
        <f t="array" aca="1" ref="W328" ca="1">_xll.FDS($E$7,"P_PRICE("&amp;AK328&amp;",0,D,D)")</f>
        <v>77.150000000000006</v>
      </c>
      <c r="X328" s="24">
        <f t="shared" ca="1" si="76"/>
        <v>-3.1241454744325159E-3</v>
      </c>
      <c r="Y328" s="24">
        <f t="shared" ca="1" si="77"/>
        <v>3.036837561863015E-3</v>
      </c>
      <c r="Z328" s="24">
        <f t="shared" ca="1" si="78"/>
        <v>2.1750821107948237E-2</v>
      </c>
      <c r="AA328" s="24">
        <f t="shared" ca="1" si="79"/>
        <v>0.1246719742091229</v>
      </c>
      <c r="AB328" s="9" cm="1">
        <f t="array" aca="1" ref="AB328" ca="1">_xll.FDS($E$9,"P_PRICE("&amp;AG328&amp;",0,D,D)")</f>
        <v>5832.92</v>
      </c>
      <c r="AC328" s="9" cm="1">
        <f t="array" aca="1" ref="AC328" ca="1">_xll.FDS($E$9,"P_PRICE("&amp;AH328&amp;",0,D,D)")</f>
        <v>5851.2</v>
      </c>
      <c r="AD328" s="9" cm="1">
        <f t="array" aca="1" ref="AD328" ca="1">_xll.FDS($E$9,"P_PRICE("&amp;AI328&amp;",0,D,D)")</f>
        <v>5815.26</v>
      </c>
      <c r="AE328" s="9" cm="1">
        <f t="array" aca="1" ref="AE328" ca="1">_xll.FDS($E$9,"P_PRICE("&amp;AJ328&amp;",0,D,D)")</f>
        <v>5708.75</v>
      </c>
      <c r="AF328" s="9" cm="1">
        <f t="array" aca="1" ref="AF328" ca="1">_xll.FDS($E$9,"P_PRICE("&amp;AK328&amp;",0,D,D)")</f>
        <v>5186.33</v>
      </c>
      <c r="AG328" s="20">
        <f t="shared" ca="1" si="85"/>
        <v>45594</v>
      </c>
      <c r="AH328" s="22">
        <f t="shared" ca="1" si="80"/>
        <v>45587</v>
      </c>
      <c r="AI328" s="22">
        <f t="shared" ca="1" si="81"/>
        <v>45580</v>
      </c>
      <c r="AJ328" s="22">
        <f t="shared" ca="1" si="82"/>
        <v>45566</v>
      </c>
      <c r="AK328" s="22">
        <f t="shared" ca="1" si="83"/>
        <v>45509</v>
      </c>
      <c r="AL328" s="22">
        <f t="shared" ca="1" si="84"/>
        <v>45420</v>
      </c>
    </row>
    <row r="329" spans="4:38" x14ac:dyDescent="0.25">
      <c r="D329" s="6">
        <f ca="1"/>
        <v>45593</v>
      </c>
      <c r="E329" s="28" cm="1">
        <f t="array" aca="1" ref="E329" ca="1">_xll.FDS($E$7,"P_PRICE("&amp;D329&amp;",0,D,D)")</f>
        <v>94.4</v>
      </c>
      <c r="F329" s="29" cm="1">
        <f t="array" aca="1" ref="F329" ca="1">_xll.FDS($E$7,"P_BETA_LOCIDX("&amp;$AG329&amp;","&amp;$AL329&amp;",,"""&amp;$E$9&amp;""")")</f>
        <v>1.3486437</v>
      </c>
      <c r="G329" s="30">
        <f t="shared" ca="1" si="70"/>
        <v>3.0545530689295795E-2</v>
      </c>
      <c r="H329" s="30">
        <f t="shared" ca="1" si="70"/>
        <v>3.1334903413928986E-2</v>
      </c>
      <c r="I329" s="30">
        <f t="shared" ca="1" si="70"/>
        <v>3.6137778009239282E-3</v>
      </c>
      <c r="J329" s="30">
        <f t="shared" ca="1" si="68"/>
        <v>7.3417035291219956E-2</v>
      </c>
      <c r="K329" s="30">
        <f t="shared" ca="1" si="71"/>
        <v>-7.0173945080097755E-3</v>
      </c>
      <c r="L329" s="30">
        <f t="shared" ca="1" si="71"/>
        <v>-8.361344679642016E-3</v>
      </c>
      <c r="M329" s="30">
        <f t="shared" ca="1" si="71"/>
        <v>1.428572618872464E-2</v>
      </c>
      <c r="N329" s="30">
        <f t="shared" ca="1" si="69"/>
        <v>0.12031083521965519</v>
      </c>
      <c r="O329" s="30">
        <f t="shared" ca="1" si="72"/>
        <v>2.3528136181286019E-2</v>
      </c>
      <c r="P329" s="30">
        <f t="shared" ca="1" si="73"/>
        <v>2.297355873428697E-2</v>
      </c>
      <c r="Q329" s="30">
        <f t="shared" ca="1" si="74"/>
        <v>1.7899503989648569E-2</v>
      </c>
      <c r="R329" s="30">
        <f t="shared" ca="1" si="75"/>
        <v>0.19372787051087514</v>
      </c>
      <c r="S329" s="9" cm="1">
        <f t="array" aca="1" ref="S329" ca="1">_xll.FDS($E$7,"P_PRICE("&amp;AG329&amp;",0,D,D)")</f>
        <v>94.4</v>
      </c>
      <c r="T329" s="9" cm="1">
        <f t="array" aca="1" ref="T329" ca="1">_xll.FDS($E$7,"P_PRICE("&amp;AH329&amp;",0,D,D)")</f>
        <v>92.23</v>
      </c>
      <c r="U329" s="9" cm="1">
        <f t="array" aca="1" ref="U329" ca="1">_xll.FDS($E$7,"P_PRICE("&amp;AI329&amp;",0,D,D)")</f>
        <v>92.28</v>
      </c>
      <c r="V329" s="9" cm="1">
        <f t="array" aca="1" ref="V329" ca="1">_xll.FDS($E$7,"P_PRICE("&amp;AJ329&amp;",0,D,D)")</f>
        <v>92.74</v>
      </c>
      <c r="W329" s="9" cm="1">
        <f t="array" aca="1" ref="W329" ca="1">_xll.FDS($E$7,"P_PRICE("&amp;AK329&amp;",0,D,D)")</f>
        <v>79.08</v>
      </c>
      <c r="X329" s="24">
        <f t="shared" ca="1" si="76"/>
        <v>-5.2032975855741403E-3</v>
      </c>
      <c r="Y329" s="24">
        <f t="shared" ca="1" si="77"/>
        <v>-6.1998174014693541E-3</v>
      </c>
      <c r="Z329" s="24">
        <f t="shared" ca="1" si="78"/>
        <v>1.0592661492968558E-2</v>
      </c>
      <c r="AA329" s="24">
        <f t="shared" ca="1" si="79"/>
        <v>8.9208762269571418E-2</v>
      </c>
      <c r="AB329" s="9" cm="1">
        <f t="array" aca="1" ref="AB329" ca="1">_xll.FDS($E$9,"P_PRICE("&amp;AG329&amp;",0,D,D)")</f>
        <v>5823.52</v>
      </c>
      <c r="AC329" s="9" cm="1">
        <f t="array" aca="1" ref="AC329" ca="1">_xll.FDS($E$9,"P_PRICE("&amp;AH329&amp;",0,D,D)")</f>
        <v>5853.98</v>
      </c>
      <c r="AD329" s="9" cm="1">
        <f t="array" aca="1" ref="AD329" ca="1">_xll.FDS($E$9,"P_PRICE("&amp;AI329&amp;",0,D,D)")</f>
        <v>5859.85</v>
      </c>
      <c r="AE329" s="9" cm="1">
        <f t="array" aca="1" ref="AE329" ca="1">_xll.FDS($E$9,"P_PRICE("&amp;AJ329&amp;",0,D,D)")</f>
        <v>5762.48</v>
      </c>
      <c r="AF329" s="9" cm="1">
        <f t="array" aca="1" ref="AF329" ca="1">_xll.FDS($E$9,"P_PRICE("&amp;AK329&amp;",0,D,D)")</f>
        <v>5346.56</v>
      </c>
      <c r="AG329" s="20">
        <f t="shared" ca="1" si="85"/>
        <v>45593</v>
      </c>
      <c r="AH329" s="22">
        <f t="shared" ca="1" si="80"/>
        <v>45586</v>
      </c>
      <c r="AI329" s="22">
        <f t="shared" ca="1" si="81"/>
        <v>45579</v>
      </c>
      <c r="AJ329" s="22">
        <f t="shared" ca="1" si="82"/>
        <v>45565</v>
      </c>
      <c r="AK329" s="22">
        <f t="shared" ca="1" si="83"/>
        <v>45506</v>
      </c>
      <c r="AL329" s="22">
        <f t="shared" ca="1" si="84"/>
        <v>45419</v>
      </c>
    </row>
    <row r="330" spans="4:38" x14ac:dyDescent="0.25">
      <c r="D330" s="6">
        <f ca="1"/>
        <v>45590</v>
      </c>
      <c r="E330" s="28" cm="1">
        <f t="array" aca="1" ref="E330" ca="1">_xll.FDS($E$7,"P_PRICE("&amp;D330&amp;",0,D,D)")</f>
        <v>92.39</v>
      </c>
      <c r="F330" s="29" cm="1">
        <f t="array" aca="1" ref="F330" ca="1">_xll.FDS($E$7,"P_BETA_LOCIDX("&amp;$AG330&amp;","&amp;$AL330&amp;",,"""&amp;$E$9&amp;""")")</f>
        <v>1.3531644</v>
      </c>
      <c r="G330" s="30">
        <f t="shared" ca="1" si="70"/>
        <v>1.3876209774493897E-3</v>
      </c>
      <c r="H330" s="30">
        <f t="shared" ca="1" si="70"/>
        <v>9.1325017540176412E-3</v>
      </c>
      <c r="I330" s="30">
        <f t="shared" ca="1" si="70"/>
        <v>-1.7684665931774191E-2</v>
      </c>
      <c r="J330" s="30">
        <f t="shared" ca="1" si="68"/>
        <v>3.9114497411193785E-2</v>
      </c>
      <c r="K330" s="30">
        <f t="shared" ca="1" si="71"/>
        <v>-1.3047869158878579E-2</v>
      </c>
      <c r="L330" s="30">
        <f t="shared" ca="1" si="71"/>
        <v>-1.60796522184753E-3</v>
      </c>
      <c r="M330" s="30">
        <f t="shared" ca="1" si="71"/>
        <v>1.6495476742584992E-2</v>
      </c>
      <c r="N330" s="30">
        <f t="shared" ca="1" si="69"/>
        <v>8.979557101500367E-2</v>
      </c>
      <c r="O330" s="30">
        <f t="shared" ca="1" si="72"/>
        <v>-1.1660248181429189E-2</v>
      </c>
      <c r="P330" s="30">
        <f t="shared" ca="1" si="73"/>
        <v>7.5245365321701119E-3</v>
      </c>
      <c r="Q330" s="30">
        <f t="shared" ca="1" si="74"/>
        <v>-1.1891891891891992E-3</v>
      </c>
      <c r="R330" s="30">
        <f t="shared" ca="1" si="75"/>
        <v>0.12891006842619745</v>
      </c>
      <c r="S330" s="9" cm="1">
        <f t="array" aca="1" ref="S330" ca="1">_xll.FDS($E$7,"P_PRICE("&amp;AG330&amp;",0,D,D)")</f>
        <v>92.39</v>
      </c>
      <c r="T330" s="9" cm="1">
        <f t="array" aca="1" ref="T330" ca="1">_xll.FDS($E$7,"P_PRICE("&amp;AH330&amp;",0,D,D)")</f>
        <v>93.48</v>
      </c>
      <c r="U330" s="9" cm="1">
        <f t="array" aca="1" ref="U330" ca="1">_xll.FDS($E$7,"P_PRICE("&amp;AI330&amp;",0,D,D)")</f>
        <v>91.7</v>
      </c>
      <c r="V330" s="9" cm="1">
        <f t="array" aca="1" ref="V330" ca="1">_xll.FDS($E$7,"P_PRICE("&amp;AJ330&amp;",0,D,D)")</f>
        <v>92.5</v>
      </c>
      <c r="W330" s="9" cm="1">
        <f t="array" aca="1" ref="W330" ca="1">_xll.FDS($E$7,"P_PRICE("&amp;AK330&amp;",0,D,D)")</f>
        <v>81.84</v>
      </c>
      <c r="X330" s="24">
        <f t="shared" ca="1" si="76"/>
        <v>-9.6424862780003506E-3</v>
      </c>
      <c r="Y330" s="24">
        <f t="shared" ca="1" si="77"/>
        <v>-1.1882999743767497E-3</v>
      </c>
      <c r="Z330" s="24">
        <f t="shared" ca="1" si="78"/>
        <v>1.2190297603591249E-2</v>
      </c>
      <c r="AA330" s="24">
        <f t="shared" ca="1" si="79"/>
        <v>6.6359690673951865E-2</v>
      </c>
      <c r="AB330" s="9" cm="1">
        <f t="array" aca="1" ref="AB330" ca="1">_xll.FDS($E$9,"P_PRICE("&amp;AG330&amp;",0,D,D)")</f>
        <v>5808.12</v>
      </c>
      <c r="AC330" s="9" cm="1">
        <f t="array" aca="1" ref="AC330" ca="1">_xll.FDS($E$9,"P_PRICE("&amp;AH330&amp;",0,D,D)")</f>
        <v>5864.67</v>
      </c>
      <c r="AD330" s="9" cm="1">
        <f t="array" aca="1" ref="AD330" ca="1">_xll.FDS($E$9,"P_PRICE("&amp;AI330&amp;",0,D,D)")</f>
        <v>5815.03</v>
      </c>
      <c r="AE330" s="9" cm="1">
        <f t="array" aca="1" ref="AE330" ca="1">_xll.FDS($E$9,"P_PRICE("&amp;AJ330&amp;",0,D,D)")</f>
        <v>5738.17</v>
      </c>
      <c r="AF330" s="9" cm="1">
        <f t="array" aca="1" ref="AF330" ca="1">_xll.FDS($E$9,"P_PRICE("&amp;AK330&amp;",0,D,D)")</f>
        <v>5446.68</v>
      </c>
      <c r="AG330" s="20">
        <f t="shared" ca="1" si="85"/>
        <v>45590</v>
      </c>
      <c r="AH330" s="22">
        <f t="shared" ca="1" si="80"/>
        <v>45583</v>
      </c>
      <c r="AI330" s="22">
        <f t="shared" ca="1" si="81"/>
        <v>45576</v>
      </c>
      <c r="AJ330" s="22">
        <f t="shared" ca="1" si="82"/>
        <v>45562</v>
      </c>
      <c r="AK330" s="22">
        <f t="shared" ca="1" si="83"/>
        <v>45505</v>
      </c>
      <c r="AL330" s="22">
        <f t="shared" ca="1" si="84"/>
        <v>45418</v>
      </c>
    </row>
    <row r="331" spans="4:38" x14ac:dyDescent="0.25">
      <c r="D331" s="6">
        <f ca="1"/>
        <v>45589</v>
      </c>
      <c r="E331" s="28" cm="1">
        <f t="array" aca="1" ref="E331" ca="1">_xll.FDS($E$7,"P_PRICE("&amp;D331&amp;",0,D,D)")</f>
        <v>91.6</v>
      </c>
      <c r="F331" s="29" cm="1">
        <f t="array" aca="1" ref="F331" ca="1">_xll.FDS($E$7,"P_BETA_LOCIDX("&amp;$AG331&amp;","&amp;$AL331&amp;",,"""&amp;$E$9&amp;""")")</f>
        <v>1.3467480999999999</v>
      </c>
      <c r="G331" s="30">
        <f t="shared" ca="1" si="70"/>
        <v>-1.4602345714746532E-2</v>
      </c>
      <c r="H331" s="30">
        <f t="shared" ca="1" si="70"/>
        <v>5.2089844413484472E-3</v>
      </c>
      <c r="I331" s="30">
        <f t="shared" ca="1" si="70"/>
        <v>-3.2705848179388666E-2</v>
      </c>
      <c r="J331" s="30">
        <f t="shared" ca="1" si="68"/>
        <v>-1.2837410781655623E-3</v>
      </c>
      <c r="K331" s="30">
        <f t="shared" ca="1" si="71"/>
        <v>-7.2876703023384247E-3</v>
      </c>
      <c r="L331" s="30">
        <f t="shared" ca="1" si="71"/>
        <v>6.945711691248229E-3</v>
      </c>
      <c r="M331" s="30">
        <f t="shared" ca="1" si="71"/>
        <v>1.5116830590371123E-2</v>
      </c>
      <c r="N331" s="30">
        <f t="shared" ca="1" si="69"/>
        <v>7.0128548546076669E-2</v>
      </c>
      <c r="O331" s="30">
        <f t="shared" ca="1" si="72"/>
        <v>-2.1890016017084957E-2</v>
      </c>
      <c r="P331" s="30">
        <f t="shared" ca="1" si="73"/>
        <v>1.2154696132596676E-2</v>
      </c>
      <c r="Q331" s="30">
        <f t="shared" ca="1" si="74"/>
        <v>-1.7589017589017542E-2</v>
      </c>
      <c r="R331" s="30">
        <f t="shared" ca="1" si="75"/>
        <v>6.8844807467911107E-2</v>
      </c>
      <c r="S331" s="9" cm="1">
        <f t="array" aca="1" ref="S331" ca="1">_xll.FDS($E$7,"P_PRICE("&amp;AG331&amp;",0,D,D)")</f>
        <v>91.6</v>
      </c>
      <c r="T331" s="9" cm="1">
        <f t="array" aca="1" ref="T331" ca="1">_xll.FDS($E$7,"P_PRICE("&amp;AH331&amp;",0,D,D)")</f>
        <v>93.65</v>
      </c>
      <c r="U331" s="9" cm="1">
        <f t="array" aca="1" ref="U331" ca="1">_xll.FDS($E$7,"P_PRICE("&amp;AI331&amp;",0,D,D)")</f>
        <v>90.5</v>
      </c>
      <c r="V331" s="9" cm="1">
        <f t="array" aca="1" ref="V331" ca="1">_xll.FDS($E$7,"P_PRICE("&amp;AJ331&amp;",0,D,D)")</f>
        <v>93.24</v>
      </c>
      <c r="W331" s="9" cm="1">
        <f t="array" aca="1" ref="W331" ca="1">_xll.FDS($E$7,"P_PRICE("&amp;AK331&amp;",0,D,D)")</f>
        <v>85.7</v>
      </c>
      <c r="X331" s="24">
        <f t="shared" ca="1" si="76"/>
        <v>-5.4113091396515989E-3</v>
      </c>
      <c r="Y331" s="24">
        <f t="shared" ca="1" si="77"/>
        <v>5.1573948322245489E-3</v>
      </c>
      <c r="Z331" s="24">
        <f t="shared" ca="1" si="78"/>
        <v>1.1224690489907596E-2</v>
      </c>
      <c r="AA331" s="24">
        <f t="shared" ca="1" si="79"/>
        <v>5.2072506021041853E-2</v>
      </c>
      <c r="AB331" s="9" cm="1">
        <f t="array" aca="1" ref="AB331" ca="1">_xll.FDS($E$9,"P_PRICE("&amp;AG331&amp;",0,D,D)")</f>
        <v>5809.86</v>
      </c>
      <c r="AC331" s="9" cm="1">
        <f t="array" aca="1" ref="AC331" ca="1">_xll.FDS($E$9,"P_PRICE("&amp;AH331&amp;",0,D,D)")</f>
        <v>5841.47</v>
      </c>
      <c r="AD331" s="9" cm="1">
        <f t="array" aca="1" ref="AD331" ca="1">_xll.FDS($E$9,"P_PRICE("&amp;AI331&amp;",0,D,D)")</f>
        <v>5780.05</v>
      </c>
      <c r="AE331" s="9" cm="1">
        <f t="array" aca="1" ref="AE331" ca="1">_xll.FDS($E$9,"P_PRICE("&amp;AJ331&amp;",0,D,D)")</f>
        <v>5745.37</v>
      </c>
      <c r="AF331" s="9" cm="1">
        <f t="array" aca="1" ref="AF331" ca="1">_xll.FDS($E$9,"P_PRICE("&amp;AK331&amp;",0,D,D)")</f>
        <v>5522.3</v>
      </c>
      <c r="AG331" s="20">
        <f t="shared" ca="1" si="85"/>
        <v>45589</v>
      </c>
      <c r="AH331" s="22">
        <f t="shared" ca="1" si="80"/>
        <v>45582</v>
      </c>
      <c r="AI331" s="22">
        <f t="shared" ca="1" si="81"/>
        <v>45575</v>
      </c>
      <c r="AJ331" s="22">
        <f t="shared" ca="1" si="82"/>
        <v>45561</v>
      </c>
      <c r="AK331" s="22">
        <f t="shared" ca="1" si="83"/>
        <v>45504</v>
      </c>
      <c r="AL331" s="22">
        <f t="shared" ca="1" si="84"/>
        <v>45415</v>
      </c>
    </row>
    <row r="332" spans="4:38" x14ac:dyDescent="0.25">
      <c r="D332" s="6">
        <f ca="1"/>
        <v>45588</v>
      </c>
      <c r="E332" s="28" cm="1">
        <f t="array" aca="1" ref="E332" ca="1">_xll.FDS($E$7,"P_PRICE("&amp;D332&amp;",0,D,D)")</f>
        <v>90.82</v>
      </c>
      <c r="F332" s="29" cm="1">
        <f t="array" aca="1" ref="F332" ca="1">_xll.FDS($E$7,"P_BETA_LOCIDX("&amp;$AG332&amp;","&amp;$AL332&amp;",,"""&amp;$E$9&amp;""")")</f>
        <v>1.3646939</v>
      </c>
      <c r="G332" s="30">
        <f t="shared" ca="1" si="70"/>
        <v>-1.1340366010547958E-2</v>
      </c>
      <c r="H332" s="30">
        <f t="shared" ca="1" si="70"/>
        <v>7.2831941832794782E-3</v>
      </c>
      <c r="I332" s="30">
        <f t="shared" ca="1" si="70"/>
        <v>-2.9676709045342742E-2</v>
      </c>
      <c r="J332" s="30">
        <f t="shared" ca="1" si="68"/>
        <v>-1.0197022841449063E-2</v>
      </c>
      <c r="K332" s="30">
        <f t="shared" ca="1" si="71"/>
        <v>-1.052285423716341E-2</v>
      </c>
      <c r="L332" s="30">
        <f t="shared" ca="1" si="71"/>
        <v>1.2676109249937402E-3</v>
      </c>
      <c r="M332" s="30">
        <f t="shared" ca="1" si="71"/>
        <v>1.7924804801599459E-2</v>
      </c>
      <c r="N332" s="30">
        <f t="shared" ca="1" si="69"/>
        <v>9.0615771354415883E-2</v>
      </c>
      <c r="O332" s="30">
        <f t="shared" ca="1" si="72"/>
        <v>-2.1863220247711368E-2</v>
      </c>
      <c r="P332" s="30">
        <f t="shared" ca="1" si="73"/>
        <v>8.5508051082732184E-3</v>
      </c>
      <c r="Q332" s="30">
        <f t="shared" ca="1" si="74"/>
        <v>-1.1751904243743283E-2</v>
      </c>
      <c r="R332" s="30">
        <f t="shared" ca="1" si="75"/>
        <v>8.041874851296682E-2</v>
      </c>
      <c r="S332" s="9" cm="1">
        <f t="array" aca="1" ref="S332" ca="1">_xll.FDS($E$7,"P_PRICE("&amp;AG332&amp;",0,D,D)")</f>
        <v>90.82</v>
      </c>
      <c r="T332" s="9" cm="1">
        <f t="array" aca="1" ref="T332" ca="1">_xll.FDS($E$7,"P_PRICE("&amp;AH332&amp;",0,D,D)")</f>
        <v>92.85</v>
      </c>
      <c r="U332" s="9" cm="1">
        <f t="array" aca="1" ref="U332" ca="1">_xll.FDS($E$7,"P_PRICE("&amp;AI332&amp;",0,D,D)")</f>
        <v>90.05</v>
      </c>
      <c r="V332" s="9" cm="1">
        <f t="array" aca="1" ref="V332" ca="1">_xll.FDS($E$7,"P_PRICE("&amp;AJ332&amp;",0,D,D)")</f>
        <v>91.9</v>
      </c>
      <c r="W332" s="9" cm="1">
        <f t="array" aca="1" ref="W332" ca="1">_xll.FDS($E$7,"P_PRICE("&amp;AK332&amp;",0,D,D)")</f>
        <v>84.06</v>
      </c>
      <c r="X332" s="24">
        <f t="shared" ca="1" si="76"/>
        <v>-7.710779858518757E-3</v>
      </c>
      <c r="Y332" s="24">
        <f t="shared" ca="1" si="77"/>
        <v>9.2886098852917875E-4</v>
      </c>
      <c r="Z332" s="24">
        <f t="shared" ca="1" si="78"/>
        <v>1.3134670567223505E-2</v>
      </c>
      <c r="AA332" s="24">
        <f t="shared" ca="1" si="79"/>
        <v>6.6400070634459407E-2</v>
      </c>
      <c r="AB332" s="9" cm="1">
        <f t="array" aca="1" ref="AB332" ca="1">_xll.FDS($E$9,"P_PRICE("&amp;AG332&amp;",0,D,D)")</f>
        <v>5797.42</v>
      </c>
      <c r="AC332" s="9" cm="1">
        <f t="array" aca="1" ref="AC332" ca="1">_xll.FDS($E$9,"P_PRICE("&amp;AH332&amp;",0,D,D)")</f>
        <v>5842.47</v>
      </c>
      <c r="AD332" s="9" cm="1">
        <f t="array" aca="1" ref="AD332" ca="1">_xll.FDS($E$9,"P_PRICE("&amp;AI332&amp;",0,D,D)")</f>
        <v>5792.04</v>
      </c>
      <c r="AE332" s="9" cm="1">
        <f t="array" aca="1" ref="AE332" ca="1">_xll.FDS($E$9,"P_PRICE("&amp;AJ332&amp;",0,D,D)")</f>
        <v>5722.26</v>
      </c>
      <c r="AF332" s="9" cm="1">
        <f t="array" aca="1" ref="AF332" ca="1">_xll.FDS($E$9,"P_PRICE("&amp;AK332&amp;",0,D,D)")</f>
        <v>5436.44</v>
      </c>
      <c r="AG332" s="20">
        <f t="shared" ca="1" si="85"/>
        <v>45588</v>
      </c>
      <c r="AH332" s="22">
        <f t="shared" ca="1" si="80"/>
        <v>45581</v>
      </c>
      <c r="AI332" s="22">
        <f t="shared" ca="1" si="81"/>
        <v>45574</v>
      </c>
      <c r="AJ332" s="22">
        <f t="shared" ca="1" si="82"/>
        <v>45560</v>
      </c>
      <c r="AK332" s="22">
        <f t="shared" ca="1" si="83"/>
        <v>45503</v>
      </c>
      <c r="AL332" s="22">
        <f t="shared" ca="1" si="84"/>
        <v>45414</v>
      </c>
    </row>
    <row r="333" spans="4:38" x14ac:dyDescent="0.25">
      <c r="D333" s="6">
        <f ca="1"/>
        <v>45587</v>
      </c>
      <c r="E333" s="28" cm="1">
        <f t="array" aca="1" ref="E333" ca="1">_xll.FDS($E$7,"P_PRICE("&amp;D333&amp;",0,D,D)")</f>
        <v>91.83</v>
      </c>
      <c r="F333" s="29" cm="1">
        <f t="array" aca="1" ref="F333" ca="1">_xll.FDS($E$7,"P_BETA_LOCIDX("&amp;$AG333&amp;","&amp;$AL333&amp;",,"""&amp;$E$9&amp;""")")</f>
        <v>1.3661072999999999</v>
      </c>
      <c r="G333" s="30">
        <f t="shared" ca="1" si="70"/>
        <v>-2.0704960883043803E-2</v>
      </c>
      <c r="H333" s="30">
        <f t="shared" ca="1" si="70"/>
        <v>5.3678349181364438E-3</v>
      </c>
      <c r="I333" s="30">
        <f t="shared" ca="1" si="70"/>
        <v>-2.4466458031621924E-2</v>
      </c>
      <c r="J333" s="30">
        <f t="shared" ca="1" si="68"/>
        <v>1.4812568330856646E-2</v>
      </c>
      <c r="K333" s="30">
        <f t="shared" ca="1" si="71"/>
        <v>8.4429408765900917E-3</v>
      </c>
      <c r="L333" s="30">
        <f t="shared" ca="1" si="71"/>
        <v>2.3770347307572409E-2</v>
      </c>
      <c r="M333" s="30">
        <f t="shared" ca="1" si="71"/>
        <v>2.8182711174041891E-2</v>
      </c>
      <c r="N333" s="30">
        <f t="shared" ca="1" si="69"/>
        <v>9.6930773073501841E-2</v>
      </c>
      <c r="O333" s="30">
        <f t="shared" ca="1" si="72"/>
        <v>-1.2262020006453711E-2</v>
      </c>
      <c r="P333" s="30">
        <f t="shared" ca="1" si="73"/>
        <v>2.9138182225708853E-2</v>
      </c>
      <c r="Q333" s="30">
        <f t="shared" ca="1" si="74"/>
        <v>3.7162531424199674E-3</v>
      </c>
      <c r="R333" s="30">
        <f t="shared" ca="1" si="75"/>
        <v>0.11174334140435849</v>
      </c>
      <c r="S333" s="9" cm="1">
        <f t="array" aca="1" ref="S333" ca="1">_xll.FDS($E$7,"P_PRICE("&amp;AG333&amp;",0,D,D)")</f>
        <v>91.83</v>
      </c>
      <c r="T333" s="9" cm="1">
        <f t="array" aca="1" ref="T333" ca="1">_xll.FDS($E$7,"P_PRICE("&amp;AH333&amp;",0,D,D)")</f>
        <v>92.97</v>
      </c>
      <c r="U333" s="9" cm="1">
        <f t="array" aca="1" ref="U333" ca="1">_xll.FDS($E$7,"P_PRICE("&amp;AI333&amp;",0,D,D)")</f>
        <v>89.23</v>
      </c>
      <c r="V333" s="9" cm="1">
        <f t="array" aca="1" ref="V333" ca="1">_xll.FDS($E$7,"P_PRICE("&amp;AJ333&amp;",0,D,D)")</f>
        <v>91.49</v>
      </c>
      <c r="W333" s="9" cm="1">
        <f t="array" aca="1" ref="W333" ca="1">_xll.FDS($E$7,"P_PRICE("&amp;AK333&amp;",0,D,D)")</f>
        <v>82.6</v>
      </c>
      <c r="X333" s="24">
        <f t="shared" ca="1" si="76"/>
        <v>6.1802911649693204E-3</v>
      </c>
      <c r="Y333" s="24">
        <f t="shared" ca="1" si="77"/>
        <v>1.7400058771058768E-2</v>
      </c>
      <c r="Z333" s="24">
        <f t="shared" ca="1" si="78"/>
        <v>2.0629939664360109E-2</v>
      </c>
      <c r="AA333" s="24">
        <f t="shared" ca="1" si="79"/>
        <v>7.0953996859179247E-2</v>
      </c>
      <c r="AB333" s="9" cm="1">
        <f t="array" aca="1" ref="AB333" ca="1">_xll.FDS($E$9,"P_PRICE("&amp;AG333&amp;",0,D,D)")</f>
        <v>5851.2</v>
      </c>
      <c r="AC333" s="9" cm="1">
        <f t="array" aca="1" ref="AC333" ca="1">_xll.FDS($E$9,"P_PRICE("&amp;AH333&amp;",0,D,D)")</f>
        <v>5815.26</v>
      </c>
      <c r="AD333" s="9" cm="1">
        <f t="array" aca="1" ref="AD333" ca="1">_xll.FDS($E$9,"P_PRICE("&amp;AI333&amp;",0,D,D)")</f>
        <v>5751.13</v>
      </c>
      <c r="AE333" s="9" cm="1">
        <f t="array" aca="1" ref="AE333" ca="1">_xll.FDS($E$9,"P_PRICE("&amp;AJ333&amp;",0,D,D)")</f>
        <v>5732.93</v>
      </c>
      <c r="AF333" s="9" cm="1">
        <f t="array" aca="1" ref="AF333" ca="1">_xll.FDS($E$9,"P_PRICE("&amp;AK333&amp;",0,D,D)")</f>
        <v>5463.54</v>
      </c>
      <c r="AG333" s="20">
        <f t="shared" ca="1" si="85"/>
        <v>45587</v>
      </c>
      <c r="AH333" s="22">
        <f t="shared" ca="1" si="80"/>
        <v>45580</v>
      </c>
      <c r="AI333" s="22">
        <f t="shared" ca="1" si="81"/>
        <v>45573</v>
      </c>
      <c r="AJ333" s="22">
        <f t="shared" ca="1" si="82"/>
        <v>45559</v>
      </c>
      <c r="AK333" s="22">
        <f t="shared" ca="1" si="83"/>
        <v>45502</v>
      </c>
      <c r="AL333" s="22">
        <f t="shared" ca="1" si="84"/>
        <v>45413</v>
      </c>
    </row>
    <row r="334" spans="4:38" x14ac:dyDescent="0.25">
      <c r="D334" s="6">
        <f ca="1"/>
        <v>45586</v>
      </c>
      <c r="E334" s="28" cm="1">
        <f t="array" aca="1" ref="E334" ca="1">_xll.FDS($E$7,"P_PRICE("&amp;D334&amp;",0,D,D)")</f>
        <v>92.23</v>
      </c>
      <c r="F334" s="29" cm="1">
        <f t="array" aca="1" ref="F334" ca="1">_xll.FDS($E$7,"P_BETA_LOCIDX("&amp;$AG334&amp;","&amp;$AL334&amp;",,"""&amp;$E$9&amp;""")")</f>
        <v>1.3585376</v>
      </c>
      <c r="G334" s="30">
        <f t="shared" ca="1" si="70"/>
        <v>8.1906154320612683E-4</v>
      </c>
      <c r="H334" s="30">
        <f t="shared" ca="1" si="70"/>
        <v>1.7514175637992971E-3</v>
      </c>
      <c r="I334" s="30">
        <f t="shared" ca="1" si="70"/>
        <v>-2.9341798502300016E-2</v>
      </c>
      <c r="J334" s="30">
        <f t="shared" ca="1" si="68"/>
        <v>3.2693777392564571E-2</v>
      </c>
      <c r="K334" s="30">
        <f t="shared" ca="1" si="71"/>
        <v>-1.3608907586373489E-3</v>
      </c>
      <c r="L334" s="30">
        <f t="shared" ca="1" si="71"/>
        <v>3.7694091283264917E-2</v>
      </c>
      <c r="M334" s="30">
        <f t="shared" ca="1" si="71"/>
        <v>3.2168807309519772E-2</v>
      </c>
      <c r="N334" s="30">
        <f t="shared" ca="1" si="69"/>
        <v>9.8268822239562958E-2</v>
      </c>
      <c r="O334" s="30">
        <f t="shared" ca="1" si="72"/>
        <v>-5.4182921543122209E-4</v>
      </c>
      <c r="P334" s="30">
        <f t="shared" ca="1" si="73"/>
        <v>3.9445508847064215E-2</v>
      </c>
      <c r="Q334" s="30">
        <f t="shared" ca="1" si="74"/>
        <v>2.8270088072197552E-3</v>
      </c>
      <c r="R334" s="30">
        <f t="shared" ca="1" si="75"/>
        <v>0.13096259963212753</v>
      </c>
      <c r="S334" s="9" cm="1">
        <f t="array" aca="1" ref="S334" ca="1">_xll.FDS($E$7,"P_PRICE("&amp;AG334&amp;",0,D,D)")</f>
        <v>92.23</v>
      </c>
      <c r="T334" s="9" cm="1">
        <f t="array" aca="1" ref="T334" ca="1">_xll.FDS($E$7,"P_PRICE("&amp;AH334&amp;",0,D,D)")</f>
        <v>92.28</v>
      </c>
      <c r="U334" s="9" cm="1">
        <f t="array" aca="1" ref="U334" ca="1">_xll.FDS($E$7,"P_PRICE("&amp;AI334&amp;",0,D,D)")</f>
        <v>88.73</v>
      </c>
      <c r="V334" s="9" cm="1">
        <f t="array" aca="1" ref="V334" ca="1">_xll.FDS($E$7,"P_PRICE("&amp;AJ334&amp;",0,D,D)")</f>
        <v>91.97</v>
      </c>
      <c r="W334" s="9" cm="1">
        <f t="array" aca="1" ref="W334" ca="1">_xll.FDS($E$7,"P_PRICE("&amp;AK334&amp;",0,D,D)")</f>
        <v>81.55</v>
      </c>
      <c r="X334" s="24">
        <f t="shared" ca="1" si="76"/>
        <v>-1.0017321262490997E-3</v>
      </c>
      <c r="Y334" s="24">
        <f t="shared" ca="1" si="77"/>
        <v>2.7746078785942263E-2</v>
      </c>
      <c r="Z334" s="24">
        <f t="shared" ca="1" si="78"/>
        <v>2.3678996672245045E-2</v>
      </c>
      <c r="AA334" s="24">
        <f t="shared" ca="1" si="79"/>
        <v>7.2334267553259446E-2</v>
      </c>
      <c r="AB334" s="9" cm="1">
        <f t="array" aca="1" ref="AB334" ca="1">_xll.FDS($E$9,"P_PRICE("&amp;AG334&amp;",0,D,D)")</f>
        <v>5853.98</v>
      </c>
      <c r="AC334" s="9" cm="1">
        <f t="array" aca="1" ref="AC334" ca="1">_xll.FDS($E$9,"P_PRICE("&amp;AH334&amp;",0,D,D)")</f>
        <v>5859.85</v>
      </c>
      <c r="AD334" s="9" cm="1">
        <f t="array" aca="1" ref="AD334" ca="1">_xll.FDS($E$9,"P_PRICE("&amp;AI334&amp;",0,D,D)")</f>
        <v>5695.94</v>
      </c>
      <c r="AE334" s="9" cm="1">
        <f t="array" aca="1" ref="AE334" ca="1">_xll.FDS($E$9,"P_PRICE("&amp;AJ334&amp;",0,D,D)")</f>
        <v>5718.57</v>
      </c>
      <c r="AF334" s="9" cm="1">
        <f t="array" aca="1" ref="AF334" ca="1">_xll.FDS($E$9,"P_PRICE("&amp;AK334&amp;",0,D,D)")</f>
        <v>5459.1</v>
      </c>
      <c r="AG334" s="20">
        <f t="shared" ca="1" si="85"/>
        <v>45586</v>
      </c>
      <c r="AH334" s="22">
        <f t="shared" ca="1" si="80"/>
        <v>45579</v>
      </c>
      <c r="AI334" s="22">
        <f t="shared" ca="1" si="81"/>
        <v>45572</v>
      </c>
      <c r="AJ334" s="22">
        <f t="shared" ca="1" si="82"/>
        <v>45558</v>
      </c>
      <c r="AK334" s="22">
        <f t="shared" ca="1" si="83"/>
        <v>45499</v>
      </c>
      <c r="AL334" s="22">
        <f t="shared" ca="1" si="84"/>
        <v>45412</v>
      </c>
    </row>
    <row r="335" spans="4:38" x14ac:dyDescent="0.25">
      <c r="D335" s="6">
        <f ca="1"/>
        <v>45583</v>
      </c>
      <c r="E335" s="28" cm="1">
        <f t="array" aca="1" ref="E335" ca="1">_xll.FDS($E$7,"P_PRICE("&amp;D335&amp;",0,D,D)")</f>
        <v>93.48</v>
      </c>
      <c r="F335" s="29" cm="1">
        <f t="array" aca="1" ref="F335" ca="1">_xll.FDS($E$7,"P_BETA_LOCIDX("&amp;$AG335&amp;","&amp;$AL335&amp;",,"""&amp;$E$9&amp;""")")</f>
        <v>1.3545256999999999</v>
      </c>
      <c r="G335" s="30">
        <f t="shared" ca="1" si="70"/>
        <v>7.8482154272694095E-3</v>
      </c>
      <c r="H335" s="30">
        <f t="shared" ca="1" si="70"/>
        <v>2.2284774182587039E-2</v>
      </c>
      <c r="I335" s="30">
        <f t="shared" ca="1" si="70"/>
        <v>-3.2156736462881419E-2</v>
      </c>
      <c r="J335" s="30">
        <f t="shared" ca="1" si="68"/>
        <v>5.8192835712799679E-2</v>
      </c>
      <c r="K335" s="30">
        <f t="shared" ca="1" si="71"/>
        <v>1.1562907800647639E-2</v>
      </c>
      <c r="L335" s="30">
        <f t="shared" ca="1" si="71"/>
        <v>2.6755737544491866E-2</v>
      </c>
      <c r="M335" s="30">
        <f t="shared" ca="1" si="71"/>
        <v>3.850833512796914E-2</v>
      </c>
      <c r="N335" s="30">
        <f t="shared" ca="1" si="69"/>
        <v>0.1167694568965518</v>
      </c>
      <c r="O335" s="30">
        <f t="shared" ca="1" si="72"/>
        <v>1.9411123227917049E-2</v>
      </c>
      <c r="P335" s="30">
        <f t="shared" ca="1" si="73"/>
        <v>4.9040511727078906E-2</v>
      </c>
      <c r="Q335" s="30">
        <f t="shared" ca="1" si="74"/>
        <v>6.351598665087721E-3</v>
      </c>
      <c r="R335" s="30">
        <f t="shared" ca="1" si="75"/>
        <v>0.17496229260935148</v>
      </c>
      <c r="S335" s="9" cm="1">
        <f t="array" aca="1" ref="S335" ca="1">_xll.FDS($E$7,"P_PRICE("&amp;AG335&amp;",0,D,D)")</f>
        <v>93.48</v>
      </c>
      <c r="T335" s="9" cm="1">
        <f t="array" aca="1" ref="T335" ca="1">_xll.FDS($E$7,"P_PRICE("&amp;AH335&amp;",0,D,D)")</f>
        <v>91.7</v>
      </c>
      <c r="U335" s="9" cm="1">
        <f t="array" aca="1" ref="U335" ca="1">_xll.FDS($E$7,"P_PRICE("&amp;AI335&amp;",0,D,D)")</f>
        <v>89.11</v>
      </c>
      <c r="V335" s="9" cm="1">
        <f t="array" aca="1" ref="V335" ca="1">_xll.FDS($E$7,"P_PRICE("&amp;AJ335&amp;",0,D,D)")</f>
        <v>92.89</v>
      </c>
      <c r="W335" s="9" cm="1">
        <f t="array" aca="1" ref="W335" ca="1">_xll.FDS($E$7,"P_PRICE("&amp;AK335&amp;",0,D,D)")</f>
        <v>79.56</v>
      </c>
      <c r="X335" s="24">
        <f t="shared" ca="1" si="76"/>
        <v>8.5364993817744761E-3</v>
      </c>
      <c r="Y335" s="24">
        <f t="shared" ca="1" si="77"/>
        <v>1.9752845992137225E-2</v>
      </c>
      <c r="Z335" s="24">
        <f t="shared" ca="1" si="78"/>
        <v>2.8429386853249916E-2</v>
      </c>
      <c r="AA335" s="24">
        <f t="shared" ca="1" si="79"/>
        <v>8.6206896551724199E-2</v>
      </c>
      <c r="AB335" s="9" cm="1">
        <f t="array" aca="1" ref="AB335" ca="1">_xll.FDS($E$9,"P_PRICE("&amp;AG335&amp;",0,D,D)")</f>
        <v>5864.67</v>
      </c>
      <c r="AC335" s="9" cm="1">
        <f t="array" aca="1" ref="AC335" ca="1">_xll.FDS($E$9,"P_PRICE("&amp;AH335&amp;",0,D,D)")</f>
        <v>5815.03</v>
      </c>
      <c r="AD335" s="9" cm="1">
        <f t="array" aca="1" ref="AD335" ca="1">_xll.FDS($E$9,"P_PRICE("&amp;AI335&amp;",0,D,D)")</f>
        <v>5751.07</v>
      </c>
      <c r="AE335" s="9" cm="1">
        <f t="array" aca="1" ref="AE335" ca="1">_xll.FDS($E$9,"P_PRICE("&amp;AJ335&amp;",0,D,D)")</f>
        <v>5702.55</v>
      </c>
      <c r="AF335" s="9" cm="1">
        <f t="array" aca="1" ref="AF335" ca="1">_xll.FDS($E$9,"P_PRICE("&amp;AK335&amp;",0,D,D)")</f>
        <v>5399.22</v>
      </c>
      <c r="AG335" s="20">
        <f t="shared" ca="1" si="85"/>
        <v>45583</v>
      </c>
      <c r="AH335" s="22">
        <f t="shared" ca="1" si="80"/>
        <v>45576</v>
      </c>
      <c r="AI335" s="22">
        <f t="shared" ca="1" si="81"/>
        <v>45569</v>
      </c>
      <c r="AJ335" s="22">
        <f t="shared" ca="1" si="82"/>
        <v>45555</v>
      </c>
      <c r="AK335" s="22">
        <f t="shared" ca="1" si="83"/>
        <v>45498</v>
      </c>
      <c r="AL335" s="22">
        <f t="shared" ca="1" si="84"/>
        <v>45411</v>
      </c>
    </row>
    <row r="336" spans="4:38" x14ac:dyDescent="0.25">
      <c r="D336" s="6">
        <f ca="1"/>
        <v>45582</v>
      </c>
      <c r="E336" s="28" cm="1">
        <f t="array" aca="1" ref="E336" ca="1">_xll.FDS($E$7,"P_PRICE("&amp;D336&amp;",0,D,D)")</f>
        <v>93.65</v>
      </c>
      <c r="F336" s="29" cm="1">
        <f t="array" aca="1" ref="F336" ca="1">_xll.FDS($E$7,"P_BETA_LOCIDX("&amp;$AG336&amp;","&amp;$AL336&amp;",,"""&amp;$E$9&amp;""")")</f>
        <v>1.3607997000000001</v>
      </c>
      <c r="G336" s="30">
        <f t="shared" ca="1" si="70"/>
        <v>2.0346492365893053E-2</v>
      </c>
      <c r="H336" s="30">
        <f t="shared" ca="1" si="70"/>
        <v>2.2493653764658797E-2</v>
      </c>
      <c r="I336" s="30">
        <f t="shared" ca="1" si="70"/>
        <v>-2.0523592934016305E-2</v>
      </c>
      <c r="J336" s="30">
        <f t="shared" ca="1" si="68"/>
        <v>7.1582132149177122E-2</v>
      </c>
      <c r="K336" s="30">
        <f t="shared" ca="1" si="71"/>
        <v>1.4460137468361146E-2</v>
      </c>
      <c r="L336" s="30">
        <f t="shared" ca="1" si="71"/>
        <v>3.378877348551039E-2</v>
      </c>
      <c r="M336" s="30">
        <f t="shared" ca="1" si="71"/>
        <v>3.0444869759207811E-2</v>
      </c>
      <c r="N336" s="30">
        <f t="shared" ca="1" si="69"/>
        <v>0.10389169739770383</v>
      </c>
      <c r="O336" s="30">
        <f t="shared" ca="1" si="72"/>
        <v>3.4806629834254199E-2</v>
      </c>
      <c r="P336" s="30">
        <f t="shared" ca="1" si="73"/>
        <v>5.6282427250169187E-2</v>
      </c>
      <c r="Q336" s="30">
        <f t="shared" ca="1" si="74"/>
        <v>9.9212768251915051E-3</v>
      </c>
      <c r="R336" s="30">
        <f t="shared" ca="1" si="75"/>
        <v>0.17547382954688096</v>
      </c>
      <c r="S336" s="9" cm="1">
        <f t="array" aca="1" ref="S336" ca="1">_xll.FDS($E$7,"P_PRICE("&amp;AG336&amp;",0,D,D)")</f>
        <v>93.65</v>
      </c>
      <c r="T336" s="9" cm="1">
        <f t="array" aca="1" ref="T336" ca="1">_xll.FDS($E$7,"P_PRICE("&amp;AH336&amp;",0,D,D)")</f>
        <v>90.5</v>
      </c>
      <c r="U336" s="9" cm="1">
        <f t="array" aca="1" ref="U336" ca="1">_xll.FDS($E$7,"P_PRICE("&amp;AI336&amp;",0,D,D)")</f>
        <v>88.66</v>
      </c>
      <c r="V336" s="9" cm="1">
        <f t="array" aca="1" ref="V336" ca="1">_xll.FDS($E$7,"P_PRICE("&amp;AJ336&amp;",0,D,D)")</f>
        <v>92.73</v>
      </c>
      <c r="W336" s="9" cm="1">
        <f t="array" aca="1" ref="W336" ca="1">_xll.FDS($E$7,"P_PRICE("&amp;AK336&amp;",0,D,D)")</f>
        <v>79.67</v>
      </c>
      <c r="X336" s="24">
        <f t="shared" ca="1" si="76"/>
        <v>1.0626205655660526E-2</v>
      </c>
      <c r="Y336" s="24">
        <f t="shared" ca="1" si="77"/>
        <v>2.4830085930729107E-2</v>
      </c>
      <c r="Z336" s="24">
        <f t="shared" ca="1" si="78"/>
        <v>2.2372778123928017E-2</v>
      </c>
      <c r="AA336" s="24">
        <f t="shared" ca="1" si="79"/>
        <v>7.6346061362082773E-2</v>
      </c>
      <c r="AB336" s="9" cm="1">
        <f t="array" aca="1" ref="AB336" ca="1">_xll.FDS($E$9,"P_PRICE("&amp;AG336&amp;",0,D,D)")</f>
        <v>5841.47</v>
      </c>
      <c r="AC336" s="9" cm="1">
        <f t="array" aca="1" ref="AC336" ca="1">_xll.FDS($E$9,"P_PRICE("&amp;AH336&amp;",0,D,D)")</f>
        <v>5780.05</v>
      </c>
      <c r="AD336" s="9" cm="1">
        <f t="array" aca="1" ref="AD336" ca="1">_xll.FDS($E$9,"P_PRICE("&amp;AI336&amp;",0,D,D)")</f>
        <v>5699.94</v>
      </c>
      <c r="AE336" s="9" cm="1">
        <f t="array" aca="1" ref="AE336" ca="1">_xll.FDS($E$9,"P_PRICE("&amp;AJ336&amp;",0,D,D)")</f>
        <v>5713.64</v>
      </c>
      <c r="AF336" s="9" cm="1">
        <f t="array" aca="1" ref="AF336" ca="1">_xll.FDS($E$9,"P_PRICE("&amp;AK336&amp;",0,D,D)")</f>
        <v>5427.13</v>
      </c>
      <c r="AG336" s="20">
        <f t="shared" ca="1" si="85"/>
        <v>45582</v>
      </c>
      <c r="AH336" s="22">
        <f t="shared" ca="1" si="80"/>
        <v>45575</v>
      </c>
      <c r="AI336" s="22">
        <f t="shared" ca="1" si="81"/>
        <v>45568</v>
      </c>
      <c r="AJ336" s="22">
        <f t="shared" ca="1" si="82"/>
        <v>45554</v>
      </c>
      <c r="AK336" s="22">
        <f t="shared" ca="1" si="83"/>
        <v>45497</v>
      </c>
      <c r="AL336" s="22">
        <f t="shared" ca="1" si="84"/>
        <v>45408</v>
      </c>
    </row>
    <row r="337" spans="4:38" x14ac:dyDescent="0.25">
      <c r="D337" s="6">
        <f ca="1"/>
        <v>45581</v>
      </c>
      <c r="E337" s="28" cm="1">
        <f t="array" aca="1" ref="E337" ca="1">_xll.FDS($E$7,"P_PRICE("&amp;D337&amp;",0,D,D)")</f>
        <v>92.85</v>
      </c>
      <c r="F337" s="29" cm="1">
        <f t="array" aca="1" ref="F337" ca="1">_xll.FDS($E$7,"P_BETA_LOCIDX("&amp;$AG337&amp;","&amp;$AL337&amp;",,"""&amp;$E$9&amp;""")")</f>
        <v>1.3618298</v>
      </c>
      <c r="G337" s="30">
        <f t="shared" ca="1" si="70"/>
        <v>1.9236688530825313E-2</v>
      </c>
      <c r="H337" s="30">
        <f t="shared" ca="1" si="70"/>
        <v>5.4921532101275469E-3</v>
      </c>
      <c r="I337" s="30">
        <f t="shared" ca="1" si="70"/>
        <v>-2.3138698570204189E-2</v>
      </c>
      <c r="J337" s="30">
        <f t="shared" ca="1" si="68"/>
        <v>5.8454538213812385E-2</v>
      </c>
      <c r="K337" s="30">
        <f t="shared" ca="1" si="71"/>
        <v>1.1857148226531684E-2</v>
      </c>
      <c r="L337" s="30">
        <f t="shared" ca="1" si="71"/>
        <v>3.1706238210783978E-2</v>
      </c>
      <c r="M337" s="30">
        <f t="shared" ca="1" si="71"/>
        <v>5.4347050413829215E-2</v>
      </c>
      <c r="N337" s="30">
        <f t="shared" ca="1" si="69"/>
        <v>7.0283609123897223E-2</v>
      </c>
      <c r="O337" s="30">
        <f t="shared" ca="1" si="72"/>
        <v>3.1093836757356996E-2</v>
      </c>
      <c r="P337" s="30">
        <f t="shared" ca="1" si="73"/>
        <v>3.7198391420911525E-2</v>
      </c>
      <c r="Q337" s="30">
        <f t="shared" ca="1" si="74"/>
        <v>3.1208351843625026E-2</v>
      </c>
      <c r="R337" s="30">
        <f t="shared" ca="1" si="75"/>
        <v>0.12873814733770961</v>
      </c>
      <c r="S337" s="9" cm="1">
        <f t="array" aca="1" ref="S337" ca="1">_xll.FDS($E$7,"P_PRICE("&amp;AG337&amp;",0,D,D)")</f>
        <v>92.85</v>
      </c>
      <c r="T337" s="9" cm="1">
        <f t="array" aca="1" ref="T337" ca="1">_xll.FDS($E$7,"P_PRICE("&amp;AH337&amp;",0,D,D)")</f>
        <v>90.05</v>
      </c>
      <c r="U337" s="9" cm="1">
        <f t="array" aca="1" ref="U337" ca="1">_xll.FDS($E$7,"P_PRICE("&amp;AI337&amp;",0,D,D)")</f>
        <v>89.52</v>
      </c>
      <c r="V337" s="9" cm="1">
        <f t="array" aca="1" ref="V337" ca="1">_xll.FDS($E$7,"P_PRICE("&amp;AJ337&amp;",0,D,D)")</f>
        <v>90.04</v>
      </c>
      <c r="W337" s="9" cm="1">
        <f t="array" aca="1" ref="W337" ca="1">_xll.FDS($E$7,"P_PRICE("&amp;AK337&amp;",0,D,D)")</f>
        <v>82.26</v>
      </c>
      <c r="X337" s="24">
        <f t="shared" ca="1" si="76"/>
        <v>8.706776886900025E-3</v>
      </c>
      <c r="Y337" s="24">
        <f t="shared" ca="1" si="77"/>
        <v>2.3282085772233785E-2</v>
      </c>
      <c r="Z337" s="24">
        <f t="shared" ca="1" si="78"/>
        <v>3.9907373457262585E-2</v>
      </c>
      <c r="AA337" s="24">
        <f t="shared" ca="1" si="79"/>
        <v>5.1609686558406365E-2</v>
      </c>
      <c r="AB337" s="9" cm="1">
        <f t="array" aca="1" ref="AB337" ca="1">_xll.FDS($E$9,"P_PRICE("&amp;AG337&amp;",0,D,D)")</f>
        <v>5842.47</v>
      </c>
      <c r="AC337" s="9" cm="1">
        <f t="array" aca="1" ref="AC337" ca="1">_xll.FDS($E$9,"P_PRICE("&amp;AH337&amp;",0,D,D)")</f>
        <v>5792.04</v>
      </c>
      <c r="AD337" s="9" cm="1">
        <f t="array" aca="1" ref="AD337" ca="1">_xll.FDS($E$9,"P_PRICE("&amp;AI337&amp;",0,D,D)")</f>
        <v>5709.54</v>
      </c>
      <c r="AE337" s="9" cm="1">
        <f t="array" aca="1" ref="AE337" ca="1">_xll.FDS($E$9,"P_PRICE("&amp;AJ337&amp;",0,D,D)")</f>
        <v>5618.26</v>
      </c>
      <c r="AF337" s="9" cm="1">
        <f t="array" aca="1" ref="AF337" ca="1">_xll.FDS($E$9,"P_PRICE("&amp;AK337&amp;",0,D,D)")</f>
        <v>5555.74</v>
      </c>
      <c r="AG337" s="20">
        <f t="shared" ca="1" si="85"/>
        <v>45581</v>
      </c>
      <c r="AH337" s="22">
        <f t="shared" ca="1" si="80"/>
        <v>45574</v>
      </c>
      <c r="AI337" s="22">
        <f t="shared" ca="1" si="81"/>
        <v>45567</v>
      </c>
      <c r="AJ337" s="22">
        <f t="shared" ca="1" si="82"/>
        <v>45553</v>
      </c>
      <c r="AK337" s="22">
        <f t="shared" ca="1" si="83"/>
        <v>45496</v>
      </c>
      <c r="AL337" s="22">
        <f t="shared" ca="1" si="84"/>
        <v>45407</v>
      </c>
    </row>
    <row r="338" spans="4:38" x14ac:dyDescent="0.25">
      <c r="D338" s="6">
        <f ca="1"/>
        <v>45580</v>
      </c>
      <c r="E338" s="28" cm="1">
        <f t="array" aca="1" ref="E338" ca="1">_xll.FDS($E$7,"P_PRICE("&amp;D338&amp;",0,D,D)")</f>
        <v>92.97</v>
      </c>
      <c r="F338" s="29" cm="1">
        <f t="array" aca="1" ref="F338" ca="1">_xll.FDS($E$7,"P_BETA_LOCIDX("&amp;$AG338&amp;","&amp;$AL338&amp;",,"""&amp;$E$9&amp;""")")</f>
        <v>1.3667758000000001</v>
      </c>
      <c r="G338" s="30">
        <f t="shared" ca="1" si="70"/>
        <v>2.6673439641707226E-2</v>
      </c>
      <c r="H338" s="30">
        <f t="shared" ca="1" si="70"/>
        <v>-2.0525589791579452E-3</v>
      </c>
      <c r="I338" s="30">
        <f t="shared" ca="1" si="70"/>
        <v>-2.3801159338884062E-3</v>
      </c>
      <c r="J338" s="30">
        <f t="shared" ca="1" si="68"/>
        <v>7.2856414773748865E-2</v>
      </c>
      <c r="K338" s="30">
        <f t="shared" ca="1" si="71"/>
        <v>1.5240714790658565E-2</v>
      </c>
      <c r="L338" s="30">
        <f t="shared" ca="1" si="71"/>
        <v>2.550037932261888E-2</v>
      </c>
      <c r="M338" s="30">
        <f t="shared" ca="1" si="71"/>
        <v>4.3827410657759948E-2</v>
      </c>
      <c r="N338" s="30">
        <f t="shared" ca="1" si="69"/>
        <v>6.1615824396476906E-2</v>
      </c>
      <c r="O338" s="30">
        <f t="shared" ca="1" si="72"/>
        <v>4.1914154432365791E-2</v>
      </c>
      <c r="P338" s="30">
        <f t="shared" ca="1" si="73"/>
        <v>2.3447820343460934E-2</v>
      </c>
      <c r="Q338" s="30">
        <f t="shared" ca="1" si="74"/>
        <v>4.1447294723871542E-2</v>
      </c>
      <c r="R338" s="30">
        <f t="shared" ca="1" si="75"/>
        <v>0.13447223917022577</v>
      </c>
      <c r="S338" s="9" cm="1">
        <f t="array" aca="1" ref="S338" ca="1">_xll.FDS($E$7,"P_PRICE("&amp;AG338&amp;",0,D,D)")</f>
        <v>92.97</v>
      </c>
      <c r="T338" s="9" cm="1">
        <f t="array" aca="1" ref="T338" ca="1">_xll.FDS($E$7,"P_PRICE("&amp;AH338&amp;",0,D,D)")</f>
        <v>89.23</v>
      </c>
      <c r="U338" s="9" cm="1">
        <f t="array" aca="1" ref="U338" ca="1">_xll.FDS($E$7,"P_PRICE("&amp;AI338&amp;",0,D,D)")</f>
        <v>90.84</v>
      </c>
      <c r="V338" s="9" cm="1">
        <f t="array" aca="1" ref="V338" ca="1">_xll.FDS($E$7,"P_PRICE("&amp;AJ338&amp;",0,D,D)")</f>
        <v>89.27</v>
      </c>
      <c r="W338" s="9" cm="1">
        <f t="array" aca="1" ref="W338" ca="1">_xll.FDS($E$7,"P_PRICE("&amp;AK338&amp;",0,D,D)")</f>
        <v>81.95</v>
      </c>
      <c r="X338" s="24">
        <f t="shared" ca="1" si="76"/>
        <v>1.1150852093414709E-2</v>
      </c>
      <c r="Y338" s="24">
        <f t="shared" ca="1" si="77"/>
        <v>1.8657324282899124E-2</v>
      </c>
      <c r="Z338" s="24">
        <f t="shared" ca="1" si="78"/>
        <v>3.2066276457162868E-2</v>
      </c>
      <c r="AA338" s="24">
        <f t="shared" ca="1" si="79"/>
        <v>4.5081149663666054E-2</v>
      </c>
      <c r="AB338" s="9" cm="1">
        <f t="array" aca="1" ref="AB338" ca="1">_xll.FDS($E$9,"P_PRICE("&amp;AG338&amp;",0,D,D)")</f>
        <v>5815.26</v>
      </c>
      <c r="AC338" s="9" cm="1">
        <f t="array" aca="1" ref="AC338" ca="1">_xll.FDS($E$9,"P_PRICE("&amp;AH338&amp;",0,D,D)")</f>
        <v>5751.13</v>
      </c>
      <c r="AD338" s="9" cm="1">
        <f t="array" aca="1" ref="AD338" ca="1">_xll.FDS($E$9,"P_PRICE("&amp;AI338&amp;",0,D,D)")</f>
        <v>5708.75</v>
      </c>
      <c r="AE338" s="9" cm="1">
        <f t="array" aca="1" ref="AE338" ca="1">_xll.FDS($E$9,"P_PRICE("&amp;AJ338&amp;",0,D,D)")</f>
        <v>5634.58</v>
      </c>
      <c r="AF338" s="9" cm="1">
        <f t="array" aca="1" ref="AF338" ca="1">_xll.FDS($E$9,"P_PRICE("&amp;AK338&amp;",0,D,D)")</f>
        <v>5564.41</v>
      </c>
      <c r="AG338" s="20">
        <f t="shared" ca="1" si="85"/>
        <v>45580</v>
      </c>
      <c r="AH338" s="22">
        <f t="shared" ca="1" si="80"/>
        <v>45573</v>
      </c>
      <c r="AI338" s="22">
        <f t="shared" ca="1" si="81"/>
        <v>45566</v>
      </c>
      <c r="AJ338" s="22">
        <f t="shared" ca="1" si="82"/>
        <v>45552</v>
      </c>
      <c r="AK338" s="22">
        <f t="shared" ca="1" si="83"/>
        <v>45495</v>
      </c>
      <c r="AL338" s="22">
        <f t="shared" ca="1" si="84"/>
        <v>45406</v>
      </c>
    </row>
    <row r="339" spans="4:38" x14ac:dyDescent="0.25">
      <c r="D339" s="6">
        <f ca="1"/>
        <v>45579</v>
      </c>
      <c r="E339" s="28" cm="1">
        <f t="array" aca="1" ref="E339" ca="1">_xll.FDS($E$7,"P_PRICE("&amp;D339&amp;",0,D,D)")</f>
        <v>92.28</v>
      </c>
      <c r="F339" s="29" cm="1">
        <f t="array" aca="1" ref="F339" ca="1">_xll.FDS($E$7,"P_BETA_LOCIDX("&amp;$AG339&amp;","&amp;$AL339&amp;",,"""&amp;$E$9&amp;""")")</f>
        <v>1.3845949</v>
      </c>
      <c r="G339" s="30">
        <f t="shared" ca="1" si="70"/>
        <v>1.6503074093490722E-4</v>
      </c>
      <c r="H339" s="30">
        <f t="shared" ca="1" si="70"/>
        <v>-2.8355934027934453E-2</v>
      </c>
      <c r="I339" s="30">
        <f t="shared" ca="1" si="70"/>
        <v>-2.0859657519211018E-2</v>
      </c>
      <c r="J339" s="30">
        <f t="shared" ca="1" si="68"/>
        <v>6.6127079651196116E-2</v>
      </c>
      <c r="K339" s="30">
        <f t="shared" ca="1" si="71"/>
        <v>3.9843985375372898E-2</v>
      </c>
      <c r="L339" s="30">
        <f t="shared" ca="1" si="71"/>
        <v>2.3395830512730746E-2</v>
      </c>
      <c r="M339" s="30">
        <f t="shared" ca="1" si="71"/>
        <v>5.5736858371515631E-2</v>
      </c>
      <c r="N339" s="30">
        <f t="shared" ca="1" si="69"/>
        <v>8.9250408767484149E-2</v>
      </c>
      <c r="O339" s="30">
        <f t="shared" ca="1" si="72"/>
        <v>4.0009016116307805E-2</v>
      </c>
      <c r="P339" s="30">
        <f t="shared" ca="1" si="73"/>
        <v>-4.9601035152037065E-3</v>
      </c>
      <c r="Q339" s="30">
        <f t="shared" ca="1" si="74"/>
        <v>3.4877200852304613E-2</v>
      </c>
      <c r="R339" s="30">
        <f t="shared" ca="1" si="75"/>
        <v>0.15537748841868027</v>
      </c>
      <c r="S339" s="9" cm="1">
        <f t="array" aca="1" ref="S339" ca="1">_xll.FDS($E$7,"P_PRICE("&amp;AG339&amp;",0,D,D)")</f>
        <v>92.28</v>
      </c>
      <c r="T339" s="9" cm="1">
        <f t="array" aca="1" ref="T339" ca="1">_xll.FDS($E$7,"P_PRICE("&amp;AH339&amp;",0,D,D)")</f>
        <v>88.73</v>
      </c>
      <c r="U339" s="9" cm="1">
        <f t="array" aca="1" ref="U339" ca="1">_xll.FDS($E$7,"P_PRICE("&amp;AI339&amp;",0,D,D)")</f>
        <v>92.74</v>
      </c>
      <c r="V339" s="9" cm="1">
        <f t="array" aca="1" ref="V339" ca="1">_xll.FDS($E$7,"P_PRICE("&amp;AJ339&amp;",0,D,D)")</f>
        <v>89.17</v>
      </c>
      <c r="W339" s="9" cm="1">
        <f t="array" aca="1" ref="W339" ca="1">_xll.FDS($E$7,"P_PRICE("&amp;AK339&amp;",0,D,D)")</f>
        <v>79.87</v>
      </c>
      <c r="X339" s="24">
        <f t="shared" ca="1" si="76"/>
        <v>2.8776637394354765E-2</v>
      </c>
      <c r="Y339" s="24">
        <f t="shared" ca="1" si="77"/>
        <v>1.689723868889792E-2</v>
      </c>
      <c r="Z339" s="24">
        <f t="shared" ca="1" si="78"/>
        <v>4.0254993263022731E-2</v>
      </c>
      <c r="AA339" s="24">
        <f t="shared" ca="1" si="79"/>
        <v>6.4459582198001852E-2</v>
      </c>
      <c r="AB339" s="9" cm="1">
        <f t="array" aca="1" ref="AB339" ca="1">_xll.FDS($E$9,"P_PRICE("&amp;AG339&amp;",0,D,D)")</f>
        <v>5859.85</v>
      </c>
      <c r="AC339" s="9" cm="1">
        <f t="array" aca="1" ref="AC339" ca="1">_xll.FDS($E$9,"P_PRICE("&amp;AH339&amp;",0,D,D)")</f>
        <v>5695.94</v>
      </c>
      <c r="AD339" s="9" cm="1">
        <f t="array" aca="1" ref="AD339" ca="1">_xll.FDS($E$9,"P_PRICE("&amp;AI339&amp;",0,D,D)")</f>
        <v>5762.48</v>
      </c>
      <c r="AE339" s="9" cm="1">
        <f t="array" aca="1" ref="AE339" ca="1">_xll.FDS($E$9,"P_PRICE("&amp;AJ339&amp;",0,D,D)")</f>
        <v>5633.09</v>
      </c>
      <c r="AF339" s="9" cm="1">
        <f t="array" aca="1" ref="AF339" ca="1">_xll.FDS($E$9,"P_PRICE("&amp;AK339&amp;",0,D,D)")</f>
        <v>5505</v>
      </c>
      <c r="AG339" s="20">
        <f t="shared" ca="1" si="85"/>
        <v>45579</v>
      </c>
      <c r="AH339" s="22">
        <f t="shared" ca="1" si="80"/>
        <v>45572</v>
      </c>
      <c r="AI339" s="22">
        <f t="shared" ca="1" si="81"/>
        <v>45565</v>
      </c>
      <c r="AJ339" s="22">
        <f t="shared" ca="1" si="82"/>
        <v>45551</v>
      </c>
      <c r="AK339" s="22">
        <f t="shared" ca="1" si="83"/>
        <v>45492</v>
      </c>
      <c r="AL339" s="22">
        <f t="shared" ca="1" si="84"/>
        <v>45405</v>
      </c>
    </row>
    <row r="340" spans="4:38" x14ac:dyDescent="0.25">
      <c r="D340" s="6">
        <f ca="1"/>
        <v>45576</v>
      </c>
      <c r="E340" s="28" cm="1">
        <f t="array" aca="1" ref="E340" ca="1">_xll.FDS($E$7,"P_PRICE("&amp;D340&amp;",0,D,D)")</f>
        <v>91.7</v>
      </c>
      <c r="F340" s="29" cm="1">
        <f t="array" aca="1" ref="F340" ca="1">_xll.FDS($E$7,"P_BETA_LOCIDX("&amp;$AG340&amp;","&amp;$AL340&amp;",,"""&amp;$E$9&amp;""")")</f>
        <v>1.3835617</v>
      </c>
      <c r="G340" s="30">
        <f t="shared" ca="1" si="70"/>
        <v>1.3678045170566934E-2</v>
      </c>
      <c r="H340" s="30">
        <f t="shared" ca="1" si="70"/>
        <v>-2.7180785595096561E-2</v>
      </c>
      <c r="I340" s="30">
        <f t="shared" ca="1" si="70"/>
        <v>1.6380810153989525E-3</v>
      </c>
      <c r="J340" s="30">
        <f t="shared" ca="1" si="68"/>
        <v>8.4092162799371067E-2</v>
      </c>
      <c r="K340" s="30">
        <f t="shared" ca="1" si="71"/>
        <v>1.5387155143651509E-2</v>
      </c>
      <c r="L340" s="30">
        <f t="shared" ca="1" si="71"/>
        <v>1.853213694644789E-2</v>
      </c>
      <c r="M340" s="30">
        <f t="shared" ca="1" si="71"/>
        <v>4.6481704102900333E-2</v>
      </c>
      <c r="N340" s="30">
        <f t="shared" ca="1" si="69"/>
        <v>6.748387638184225E-2</v>
      </c>
      <c r="O340" s="30">
        <f t="shared" ca="1" si="72"/>
        <v>2.9065200314218442E-2</v>
      </c>
      <c r="P340" s="30">
        <f t="shared" ca="1" si="73"/>
        <v>-8.6486486486486713E-3</v>
      </c>
      <c r="Q340" s="30">
        <f t="shared" ca="1" si="74"/>
        <v>4.8119785118299285E-2</v>
      </c>
      <c r="R340" s="30">
        <f t="shared" ca="1" si="75"/>
        <v>0.15157603918121332</v>
      </c>
      <c r="S340" s="9" cm="1">
        <f t="array" aca="1" ref="S340" ca="1">_xll.FDS($E$7,"P_PRICE("&amp;AG340&amp;",0,D,D)")</f>
        <v>91.7</v>
      </c>
      <c r="T340" s="9" cm="1">
        <f t="array" aca="1" ref="T340" ca="1">_xll.FDS($E$7,"P_PRICE("&amp;AH340&amp;",0,D,D)")</f>
        <v>89.11</v>
      </c>
      <c r="U340" s="9" cm="1">
        <f t="array" aca="1" ref="U340" ca="1">_xll.FDS($E$7,"P_PRICE("&amp;AI340&amp;",0,D,D)")</f>
        <v>92.5</v>
      </c>
      <c r="V340" s="9" cm="1">
        <f t="array" aca="1" ref="V340" ca="1">_xll.FDS($E$7,"P_PRICE("&amp;AJ340&amp;",0,D,D)")</f>
        <v>87.49</v>
      </c>
      <c r="W340" s="9" cm="1">
        <f t="array" aca="1" ref="W340" ca="1">_xll.FDS($E$7,"P_PRICE("&amp;AK340&amp;",0,D,D)")</f>
        <v>79.63</v>
      </c>
      <c r="X340" s="24">
        <f t="shared" ca="1" si="76"/>
        <v>1.1121408711770142E-2</v>
      </c>
      <c r="Y340" s="24">
        <f t="shared" ca="1" si="77"/>
        <v>1.3394514278942449E-2</v>
      </c>
      <c r="Z340" s="24">
        <f t="shared" ca="1" si="78"/>
        <v>3.3595685760093197E-2</v>
      </c>
      <c r="AA340" s="24">
        <f t="shared" ca="1" si="79"/>
        <v>4.8775473028663807E-2</v>
      </c>
      <c r="AB340" s="9" cm="1">
        <f t="array" aca="1" ref="AB340" ca="1">_xll.FDS($E$9,"P_PRICE("&amp;AG340&amp;",0,D,D)")</f>
        <v>5815.03</v>
      </c>
      <c r="AC340" s="9" cm="1">
        <f t="array" aca="1" ref="AC340" ca="1">_xll.FDS($E$9,"P_PRICE("&amp;AH340&amp;",0,D,D)")</f>
        <v>5751.07</v>
      </c>
      <c r="AD340" s="9" cm="1">
        <f t="array" aca="1" ref="AD340" ca="1">_xll.FDS($E$9,"P_PRICE("&amp;AI340&amp;",0,D,D)")</f>
        <v>5738.17</v>
      </c>
      <c r="AE340" s="9" cm="1">
        <f t="array" aca="1" ref="AE340" ca="1">_xll.FDS($E$9,"P_PRICE("&amp;AJ340&amp;",0,D,D)")</f>
        <v>5626.02</v>
      </c>
      <c r="AF340" s="9" cm="1">
        <f t="array" aca="1" ref="AF340" ca="1">_xll.FDS($E$9,"P_PRICE("&amp;AK340&amp;",0,D,D)")</f>
        <v>5544.59</v>
      </c>
      <c r="AG340" s="20">
        <f t="shared" ca="1" si="85"/>
        <v>45576</v>
      </c>
      <c r="AH340" s="22">
        <f t="shared" ca="1" si="80"/>
        <v>45569</v>
      </c>
      <c r="AI340" s="22">
        <f t="shared" ca="1" si="81"/>
        <v>45562</v>
      </c>
      <c r="AJ340" s="22">
        <f t="shared" ca="1" si="82"/>
        <v>45548</v>
      </c>
      <c r="AK340" s="22">
        <f t="shared" ca="1" si="83"/>
        <v>45491</v>
      </c>
      <c r="AL340" s="22">
        <f t="shared" ca="1" si="84"/>
        <v>45404</v>
      </c>
    </row>
    <row r="341" spans="4:38" x14ac:dyDescent="0.25">
      <c r="D341" s="6">
        <f ca="1"/>
        <v>45575</v>
      </c>
      <c r="E341" s="28" cm="1">
        <f t="array" aca="1" ref="E341" ca="1">_xll.FDS($E$7,"P_PRICE("&amp;D341&amp;",0,D,D)")</f>
        <v>90.5</v>
      </c>
      <c r="F341" s="29" cm="1">
        <f t="array" aca="1" ref="F341" ca="1">_xll.FDS($E$7,"P_BETA_LOCIDX("&amp;$AG341&amp;","&amp;$AL341&amp;",,"""&amp;$E$9&amp;""")")</f>
        <v>1.3675344</v>
      </c>
      <c r="G341" s="30">
        <f t="shared" ca="1" si="70"/>
        <v>1.5333815139778502E-3</v>
      </c>
      <c r="H341" s="30">
        <f t="shared" ca="1" si="70"/>
        <v>-3.7641192357234482E-2</v>
      </c>
      <c r="I341" s="30">
        <f t="shared" ca="1" si="70"/>
        <v>-7.2709138020835701E-4</v>
      </c>
      <c r="J341" s="30">
        <f t="shared" ca="1" si="70"/>
        <v>7.3256668271799982E-2</v>
      </c>
      <c r="K341" s="30">
        <f t="shared" ca="1" si="71"/>
        <v>1.9220058594301103E-2</v>
      </c>
      <c r="L341" s="30">
        <f t="shared" ca="1" si="71"/>
        <v>8.2546629707051771E-3</v>
      </c>
      <c r="M341" s="30">
        <f t="shared" ca="1" si="71"/>
        <v>4.5038192234120235E-2</v>
      </c>
      <c r="N341" s="30">
        <f t="shared" ca="1" si="71"/>
        <v>4.6931473824994088E-2</v>
      </c>
      <c r="O341" s="30">
        <f t="shared" ca="1" si="72"/>
        <v>2.0753440108278953E-2</v>
      </c>
      <c r="P341" s="30">
        <f t="shared" ca="1" si="73"/>
        <v>-2.9386529386529303E-2</v>
      </c>
      <c r="Q341" s="30">
        <f t="shared" ca="1" si="74"/>
        <v>4.4311100853911878E-2</v>
      </c>
      <c r="R341" s="30">
        <f t="shared" ca="1" si="75"/>
        <v>0.12018814209679407</v>
      </c>
      <c r="S341" s="9" cm="1">
        <f t="array" aca="1" ref="S341" ca="1">_xll.FDS($E$7,"P_PRICE("&amp;AG341&amp;",0,D,D)")</f>
        <v>90.5</v>
      </c>
      <c r="T341" s="9" cm="1">
        <f t="array" aca="1" ref="T341" ca="1">_xll.FDS($E$7,"P_PRICE("&amp;AH341&amp;",0,D,D)")</f>
        <v>88.66</v>
      </c>
      <c r="U341" s="9" cm="1">
        <f t="array" aca="1" ref="U341" ca="1">_xll.FDS($E$7,"P_PRICE("&amp;AI341&amp;",0,D,D)")</f>
        <v>93.24</v>
      </c>
      <c r="V341" s="9" cm="1">
        <f t="array" aca="1" ref="V341" ca="1">_xll.FDS($E$7,"P_PRICE("&amp;AJ341&amp;",0,D,D)")</f>
        <v>86.66</v>
      </c>
      <c r="W341" s="9" cm="1">
        <f t="array" aca="1" ref="W341" ca="1">_xll.FDS($E$7,"P_PRICE("&amp;AK341&amp;",0,D,D)")</f>
        <v>80.790000000000006</v>
      </c>
      <c r="X341" s="24">
        <f t="shared" ca="1" si="76"/>
        <v>1.4054533907374545E-2</v>
      </c>
      <c r="Y341" s="24">
        <f t="shared" ca="1" si="77"/>
        <v>6.0361647726778767E-3</v>
      </c>
      <c r="Z341" s="24">
        <f t="shared" ca="1" si="78"/>
        <v>3.2933864211474484E-2</v>
      </c>
      <c r="AA341" s="24">
        <f t="shared" ca="1" si="79"/>
        <v>3.4318313181002313E-2</v>
      </c>
      <c r="AB341" s="9" cm="1">
        <f t="array" aca="1" ref="AB341" ca="1">_xll.FDS($E$9,"P_PRICE("&amp;AG341&amp;",0,D,D)")</f>
        <v>5780.05</v>
      </c>
      <c r="AC341" s="9" cm="1">
        <f t="array" aca="1" ref="AC341" ca="1">_xll.FDS($E$9,"P_PRICE("&amp;AH341&amp;",0,D,D)")</f>
        <v>5699.94</v>
      </c>
      <c r="AD341" s="9" cm="1">
        <f t="array" aca="1" ref="AD341" ca="1">_xll.FDS($E$9,"P_PRICE("&amp;AI341&amp;",0,D,D)")</f>
        <v>5745.37</v>
      </c>
      <c r="AE341" s="9" cm="1">
        <f t="array" aca="1" ref="AE341" ca="1">_xll.FDS($E$9,"P_PRICE("&amp;AJ341&amp;",0,D,D)")</f>
        <v>5595.76</v>
      </c>
      <c r="AF341" s="9" cm="1">
        <f t="array" aca="1" ref="AF341" ca="1">_xll.FDS($E$9,"P_PRICE("&amp;AK341&amp;",0,D,D)")</f>
        <v>5588.27</v>
      </c>
      <c r="AG341" s="20">
        <f t="shared" ca="1" si="85"/>
        <v>45575</v>
      </c>
      <c r="AH341" s="22">
        <f t="shared" ca="1" si="80"/>
        <v>45568</v>
      </c>
      <c r="AI341" s="22">
        <f t="shared" ca="1" si="81"/>
        <v>45561</v>
      </c>
      <c r="AJ341" s="22">
        <f t="shared" ca="1" si="82"/>
        <v>45547</v>
      </c>
      <c r="AK341" s="22">
        <f t="shared" ca="1" si="83"/>
        <v>45490</v>
      </c>
      <c r="AL341" s="22">
        <f t="shared" ca="1" si="84"/>
        <v>45401</v>
      </c>
    </row>
    <row r="342" spans="4:38" x14ac:dyDescent="0.25">
      <c r="D342" s="6">
        <f ca="1"/>
        <v>45574</v>
      </c>
      <c r="E342" s="28" cm="1">
        <f t="array" aca="1" ref="E342" ca="1">_xll.FDS($E$7,"P_PRICE("&amp;D342&amp;",0,D,D)")</f>
        <v>90.05</v>
      </c>
      <c r="F342" s="29" cm="1">
        <f t="array" aca="1" ref="F342" ca="1">_xll.FDS($E$7,"P_BETA_LOCIDX("&amp;$AG342&amp;","&amp;$AL342&amp;",,"""&amp;$E$9&amp;""")")</f>
        <v>1.3764238</v>
      </c>
      <c r="G342" s="30">
        <f t="shared" ref="G342:J405" ca="1" si="86">+O342-K342</f>
        <v>-1.3968171424176043E-2</v>
      </c>
      <c r="H342" s="30">
        <f t="shared" ca="1" si="86"/>
        <v>-3.6915352792501688E-2</v>
      </c>
      <c r="I342" s="30">
        <f t="shared" ca="1" si="86"/>
        <v>-3.0254304888641045E-3</v>
      </c>
      <c r="J342" s="30">
        <f t="shared" ca="1" si="86"/>
        <v>5.9741163593189553E-2</v>
      </c>
      <c r="K342" s="30">
        <f t="shared" ref="K342:N405" ca="1" si="87">+X342*$F342</f>
        <v>1.9888636124801504E-2</v>
      </c>
      <c r="L342" s="30">
        <f t="shared" ca="1" si="87"/>
        <v>1.6784776078682229E-2</v>
      </c>
      <c r="M342" s="30">
        <f t="shared" ca="1" si="87"/>
        <v>5.8958826361284293E-2</v>
      </c>
      <c r="N342" s="30">
        <f t="shared" ca="1" si="87"/>
        <v>3.0320572274138799E-2</v>
      </c>
      <c r="O342" s="30">
        <f t="shared" ref="O342:O405" ca="1" si="88">+S342/T342-1</f>
        <v>5.9204647006254607E-3</v>
      </c>
      <c r="P342" s="30">
        <f t="shared" ref="P342:P405" ca="1" si="89">+S342/U342-1</f>
        <v>-2.0130576713819459E-2</v>
      </c>
      <c r="Q342" s="30">
        <f t="shared" ref="Q342:Q405" ca="1" si="90">+S342/V342-1</f>
        <v>5.5933395872420189E-2</v>
      </c>
      <c r="R342" s="30">
        <f t="shared" ref="R342:R405" ca="1" si="91">+S342/W342-1</f>
        <v>9.0061735867328352E-2</v>
      </c>
      <c r="S342" s="9" cm="1">
        <f t="array" aca="1" ref="S342" ca="1">_xll.FDS($E$7,"P_PRICE("&amp;AG342&amp;",0,D,D)")</f>
        <v>90.05</v>
      </c>
      <c r="T342" s="9" cm="1">
        <f t="array" aca="1" ref="T342" ca="1">_xll.FDS($E$7,"P_PRICE("&amp;AH342&amp;",0,D,D)")</f>
        <v>89.52</v>
      </c>
      <c r="U342" s="9" cm="1">
        <f t="array" aca="1" ref="U342" ca="1">_xll.FDS($E$7,"P_PRICE("&amp;AI342&amp;",0,D,D)")</f>
        <v>91.9</v>
      </c>
      <c r="V342" s="9" cm="1">
        <f t="array" aca="1" ref="V342" ca="1">_xll.FDS($E$7,"P_PRICE("&amp;AJ342&amp;",0,D,D)")</f>
        <v>85.28</v>
      </c>
      <c r="W342" s="9" cm="1">
        <f t="array" aca="1" ref="W342" ca="1">_xll.FDS($E$7,"P_PRICE("&amp;AK342&amp;",0,D,D)")</f>
        <v>82.61</v>
      </c>
      <c r="X342" s="24">
        <f t="shared" ref="X342:X405" ca="1" si="92">+AB342/AC342-1</f>
        <v>1.4449500310007357E-2</v>
      </c>
      <c r="Y342" s="24">
        <f t="shared" ref="Y342:Y405" ca="1" si="93">+AB342/AD342-1</f>
        <v>1.2194482599532375E-2</v>
      </c>
      <c r="Z342" s="24">
        <f t="shared" ref="Z342:Z405" ca="1" si="94">+AB342/AE342-1</f>
        <v>4.2834791407475148E-2</v>
      </c>
      <c r="AA342" s="24">
        <f t="shared" ref="AA342:AA405" ca="1" si="95">+AB342/AF342-1</f>
        <v>2.2028514963297496E-2</v>
      </c>
      <c r="AB342" s="9" cm="1">
        <f t="array" aca="1" ref="AB342" ca="1">_xll.FDS($E$9,"P_PRICE("&amp;AG342&amp;",0,D,D)")</f>
        <v>5792.04</v>
      </c>
      <c r="AC342" s="9" cm="1">
        <f t="array" aca="1" ref="AC342" ca="1">_xll.FDS($E$9,"P_PRICE("&amp;AH342&amp;",0,D,D)")</f>
        <v>5709.54</v>
      </c>
      <c r="AD342" s="9" cm="1">
        <f t="array" aca="1" ref="AD342" ca="1">_xll.FDS($E$9,"P_PRICE("&amp;AI342&amp;",0,D,D)")</f>
        <v>5722.26</v>
      </c>
      <c r="AE342" s="9" cm="1">
        <f t="array" aca="1" ref="AE342" ca="1">_xll.FDS($E$9,"P_PRICE("&amp;AJ342&amp;",0,D,D)")</f>
        <v>5554.13</v>
      </c>
      <c r="AF342" s="9" cm="1">
        <f t="array" aca="1" ref="AF342" ca="1">_xll.FDS($E$9,"P_PRICE("&amp;AK342&amp;",0,D,D)")</f>
        <v>5667.2</v>
      </c>
      <c r="AG342" s="20">
        <f t="shared" ca="1" si="85"/>
        <v>45574</v>
      </c>
      <c r="AH342" s="22">
        <f t="shared" ref="AH342:AH405" ca="1" si="96">+WORKDAY($AG342, -5, $AN$2:$AN$100)</f>
        <v>45567</v>
      </c>
      <c r="AI342" s="22">
        <f t="shared" ref="AI342:AI405" ca="1" si="97">+WORKDAY($AG342, -10, $AN$2:$AN$100)</f>
        <v>45560</v>
      </c>
      <c r="AJ342" s="22">
        <f t="shared" ref="AJ342:AJ405" ca="1" si="98">+WORKDAY($AG342, -20, $AN$2:$AN$100)</f>
        <v>45546</v>
      </c>
      <c r="AK342" s="22">
        <f t="shared" ref="AK342:AK405" ca="1" si="99">+WORKDAY($AG342, -60, $AN$2:$AN$100)</f>
        <v>45489</v>
      </c>
      <c r="AL342" s="22">
        <f t="shared" ref="AL342:AL405" ca="1" si="100">+WORKDAY($AG342, -120, $AN$2:$AN$100)</f>
        <v>45400</v>
      </c>
    </row>
    <row r="343" spans="4:38" x14ac:dyDescent="0.25">
      <c r="D343" s="6">
        <f ca="1"/>
        <v>45573</v>
      </c>
      <c r="E343" s="28" cm="1">
        <f t="array" aca="1" ref="E343" ca="1">_xll.FDS($E$7,"P_PRICE("&amp;D343&amp;",0,D,D)")</f>
        <v>89.23</v>
      </c>
      <c r="F343" s="29" cm="1">
        <f t="array" aca="1" ref="F343" ca="1">_xll.FDS($E$7,"P_BETA_LOCIDX("&amp;$AG343&amp;","&amp;$AL343&amp;",,"""&amp;$E$9&amp;""")")</f>
        <v>1.3765285</v>
      </c>
      <c r="G343" s="30">
        <f t="shared" ca="1" si="86"/>
        <v>-2.7942393039178288E-2</v>
      </c>
      <c r="H343" s="30">
        <f t="shared" ca="1" si="86"/>
        <v>-2.907213834439451E-2</v>
      </c>
      <c r="I343" s="30">
        <f t="shared" ca="1" si="86"/>
        <v>-2.1740908360563013E-2</v>
      </c>
      <c r="J343" s="30">
        <f t="shared" ca="1" si="86"/>
        <v>9.195011865688002E-2</v>
      </c>
      <c r="K343" s="30">
        <f t="shared" ca="1" si="87"/>
        <v>1.0218923202102109E-2</v>
      </c>
      <c r="L343" s="30">
        <f t="shared" ca="1" si="87"/>
        <v>4.3699851036032283E-3</v>
      </c>
      <c r="M343" s="30">
        <f t="shared" ca="1" si="87"/>
        <v>6.4025688176005222E-2</v>
      </c>
      <c r="N343" s="30">
        <f t="shared" ca="1" si="87"/>
        <v>2.9311504866618435E-2</v>
      </c>
      <c r="O343" s="30">
        <f t="shared" ca="1" si="88"/>
        <v>-1.7723469837076178E-2</v>
      </c>
      <c r="P343" s="30">
        <f t="shared" ca="1" si="89"/>
        <v>-2.470215324079128E-2</v>
      </c>
      <c r="Q343" s="30">
        <f t="shared" ca="1" si="90"/>
        <v>4.2284779815442208E-2</v>
      </c>
      <c r="R343" s="30">
        <f t="shared" ca="1" si="91"/>
        <v>0.12126162352349845</v>
      </c>
      <c r="S343" s="9" cm="1">
        <f t="array" aca="1" ref="S343" ca="1">_xll.FDS($E$7,"P_PRICE("&amp;AG343&amp;",0,D,D)")</f>
        <v>89.23</v>
      </c>
      <c r="T343" s="9" cm="1">
        <f t="array" aca="1" ref="T343" ca="1">_xll.FDS($E$7,"P_PRICE("&amp;AH343&amp;",0,D,D)")</f>
        <v>90.84</v>
      </c>
      <c r="U343" s="9" cm="1">
        <f t="array" aca="1" ref="U343" ca="1">_xll.FDS($E$7,"P_PRICE("&amp;AI343&amp;",0,D,D)")</f>
        <v>91.49</v>
      </c>
      <c r="V343" s="9" cm="1">
        <f t="array" aca="1" ref="V343" ca="1">_xll.FDS($E$7,"P_PRICE("&amp;AJ343&amp;",0,D,D)")</f>
        <v>85.61</v>
      </c>
      <c r="W343" s="9" cm="1">
        <f t="array" aca="1" ref="W343" ca="1">_xll.FDS($E$7,"P_PRICE("&amp;AK343&amp;",0,D,D)")</f>
        <v>79.58</v>
      </c>
      <c r="X343" s="24">
        <f t="shared" ca="1" si="92"/>
        <v>7.4236917013357218E-3</v>
      </c>
      <c r="Y343" s="24">
        <f t="shared" ca="1" si="93"/>
        <v>3.1746419370199952E-3</v>
      </c>
      <c r="Z343" s="24">
        <f t="shared" ca="1" si="94"/>
        <v>4.651243194456578E-2</v>
      </c>
      <c r="AA343" s="24">
        <f t="shared" ca="1" si="95"/>
        <v>2.1293787136712705E-2</v>
      </c>
      <c r="AB343" s="9" cm="1">
        <f t="array" aca="1" ref="AB343" ca="1">_xll.FDS($E$9,"P_PRICE("&amp;AG343&amp;",0,D,D)")</f>
        <v>5751.13</v>
      </c>
      <c r="AC343" s="9" cm="1">
        <f t="array" aca="1" ref="AC343" ca="1">_xll.FDS($E$9,"P_PRICE("&amp;AH343&amp;",0,D,D)")</f>
        <v>5708.75</v>
      </c>
      <c r="AD343" s="9" cm="1">
        <f t="array" aca="1" ref="AD343" ca="1">_xll.FDS($E$9,"P_PRICE("&amp;AI343&amp;",0,D,D)")</f>
        <v>5732.93</v>
      </c>
      <c r="AE343" s="9" cm="1">
        <f t="array" aca="1" ref="AE343" ca="1">_xll.FDS($E$9,"P_PRICE("&amp;AJ343&amp;",0,D,D)")</f>
        <v>5495.52</v>
      </c>
      <c r="AF343" s="9" cm="1">
        <f t="array" aca="1" ref="AF343" ca="1">_xll.FDS($E$9,"P_PRICE("&amp;AK343&amp;",0,D,D)")</f>
        <v>5631.22</v>
      </c>
      <c r="AG343" s="20">
        <f t="shared" ref="AG343:AG406" ca="1" si="101">+WORKDAY(D343, 0, $AN$2:$AN$59)</f>
        <v>45573</v>
      </c>
      <c r="AH343" s="22">
        <f t="shared" ca="1" si="96"/>
        <v>45566</v>
      </c>
      <c r="AI343" s="22">
        <f t="shared" ca="1" si="97"/>
        <v>45559</v>
      </c>
      <c r="AJ343" s="22">
        <f t="shared" ca="1" si="98"/>
        <v>45545</v>
      </c>
      <c r="AK343" s="22">
        <f t="shared" ca="1" si="99"/>
        <v>45488</v>
      </c>
      <c r="AL343" s="22">
        <f t="shared" ca="1" si="100"/>
        <v>45399</v>
      </c>
    </row>
    <row r="344" spans="4:38" x14ac:dyDescent="0.25">
      <c r="D344" s="6">
        <f ca="1"/>
        <v>45572</v>
      </c>
      <c r="E344" s="28" cm="1">
        <f t="array" aca="1" ref="E344" ca="1">_xll.FDS($E$7,"P_PRICE("&amp;D344&amp;",0,D,D)")</f>
        <v>88.73</v>
      </c>
      <c r="F344" s="29" cm="1">
        <f t="array" aca="1" ref="F344" ca="1">_xll.FDS($E$7,"P_BETA_LOCIDX("&amp;$AG344&amp;","&amp;$AL344&amp;",,"""&amp;$E$9&amp;""")")</f>
        <v>1.3880973999999999</v>
      </c>
      <c r="G344" s="30">
        <f t="shared" ca="1" si="86"/>
        <v>-2.7210647578989625E-2</v>
      </c>
      <c r="H344" s="30">
        <f t="shared" ca="1" si="86"/>
        <v>-2.973578470136392E-2</v>
      </c>
      <c r="I344" s="30">
        <f t="shared" ca="1" si="86"/>
        <v>-4.5079601345814971E-3</v>
      </c>
      <c r="J344" s="30">
        <f t="shared" ca="1" si="86"/>
        <v>9.7303278084432482E-2</v>
      </c>
      <c r="K344" s="30">
        <f t="shared" ca="1" si="87"/>
        <v>-1.6028515673112906E-2</v>
      </c>
      <c r="L344" s="30">
        <f t="shared" ca="1" si="87"/>
        <v>-5.4930942809128603E-3</v>
      </c>
      <c r="M344" s="30">
        <f t="shared" ca="1" si="87"/>
        <v>5.7058375318448658E-2</v>
      </c>
      <c r="N344" s="30">
        <f t="shared" ca="1" si="87"/>
        <v>1.9921602298342635E-2</v>
      </c>
      <c r="O344" s="30">
        <f t="shared" ca="1" si="88"/>
        <v>-4.323916325210253E-2</v>
      </c>
      <c r="P344" s="30">
        <f t="shared" ca="1" si="89"/>
        <v>-3.5228878982276779E-2</v>
      </c>
      <c r="Q344" s="30">
        <f t="shared" ca="1" si="90"/>
        <v>5.2550415183867161E-2</v>
      </c>
      <c r="R344" s="30">
        <f t="shared" ca="1" si="91"/>
        <v>0.11722488038277512</v>
      </c>
      <c r="S344" s="9" cm="1">
        <f t="array" aca="1" ref="S344" ca="1">_xll.FDS($E$7,"P_PRICE("&amp;AG344&amp;",0,D,D)")</f>
        <v>88.73</v>
      </c>
      <c r="T344" s="9" cm="1">
        <f t="array" aca="1" ref="T344" ca="1">_xll.FDS($E$7,"P_PRICE("&amp;AH344&amp;",0,D,D)")</f>
        <v>92.74</v>
      </c>
      <c r="U344" s="9" cm="1">
        <f t="array" aca="1" ref="U344" ca="1">_xll.FDS($E$7,"P_PRICE("&amp;AI344&amp;",0,D,D)")</f>
        <v>91.97</v>
      </c>
      <c r="V344" s="9" cm="1">
        <f t="array" aca="1" ref="V344" ca="1">_xll.FDS($E$7,"P_PRICE("&amp;AJ344&amp;",0,D,D)")</f>
        <v>84.3</v>
      </c>
      <c r="W344" s="9" cm="1">
        <f t="array" aca="1" ref="W344" ca="1">_xll.FDS($E$7,"P_PRICE("&amp;AK344&amp;",0,D,D)")</f>
        <v>79.42</v>
      </c>
      <c r="X344" s="24">
        <f t="shared" ca="1" si="92"/>
        <v>-1.1547111660257348E-2</v>
      </c>
      <c r="Y344" s="24">
        <f t="shared" ca="1" si="93"/>
        <v>-3.9572830270504511E-3</v>
      </c>
      <c r="Z344" s="24">
        <f t="shared" ca="1" si="94"/>
        <v>4.1105455077178776E-2</v>
      </c>
      <c r="AA344" s="24">
        <f t="shared" ca="1" si="95"/>
        <v>1.4351732305198928E-2</v>
      </c>
      <c r="AB344" s="9" cm="1">
        <f t="array" aca="1" ref="AB344" ca="1">_xll.FDS($E$9,"P_PRICE("&amp;AG344&amp;",0,D,D)")</f>
        <v>5695.94</v>
      </c>
      <c r="AC344" s="9" cm="1">
        <f t="array" aca="1" ref="AC344" ca="1">_xll.FDS($E$9,"P_PRICE("&amp;AH344&amp;",0,D,D)")</f>
        <v>5762.48</v>
      </c>
      <c r="AD344" s="9" cm="1">
        <f t="array" aca="1" ref="AD344" ca="1">_xll.FDS($E$9,"P_PRICE("&amp;AI344&amp;",0,D,D)")</f>
        <v>5718.57</v>
      </c>
      <c r="AE344" s="9" cm="1">
        <f t="array" aca="1" ref="AE344" ca="1">_xll.FDS($E$9,"P_PRICE("&amp;AJ344&amp;",0,D,D)")</f>
        <v>5471.05</v>
      </c>
      <c r="AF344" s="9" cm="1">
        <f t="array" aca="1" ref="AF344" ca="1">_xll.FDS($E$9,"P_PRICE("&amp;AK344&amp;",0,D,D)")</f>
        <v>5615.35</v>
      </c>
      <c r="AG344" s="20">
        <f t="shared" ca="1" si="101"/>
        <v>45572</v>
      </c>
      <c r="AH344" s="22">
        <f t="shared" ca="1" si="96"/>
        <v>45565</v>
      </c>
      <c r="AI344" s="22">
        <f t="shared" ca="1" si="97"/>
        <v>45558</v>
      </c>
      <c r="AJ344" s="22">
        <f t="shared" ca="1" si="98"/>
        <v>45544</v>
      </c>
      <c r="AK344" s="22">
        <f t="shared" ca="1" si="99"/>
        <v>45485</v>
      </c>
      <c r="AL344" s="22">
        <f t="shared" ca="1" si="100"/>
        <v>45398</v>
      </c>
    </row>
    <row r="345" spans="4:38" x14ac:dyDescent="0.25">
      <c r="D345" s="6">
        <f ca="1"/>
        <v>45569</v>
      </c>
      <c r="E345" s="28" cm="1">
        <f t="array" aca="1" ref="E345" ca="1">_xll.FDS($E$7,"P_PRICE("&amp;D345&amp;",0,D,D)")</f>
        <v>89.11</v>
      </c>
      <c r="F345" s="29" cm="1">
        <f t="array" aca="1" ref="F345" ca="1">_xll.FDS($E$7,"P_BETA_LOCIDX("&amp;$AG345&amp;","&amp;$AL345&amp;",,"""&amp;$E$9&amp;""")")</f>
        <v>1.4132461999999999</v>
      </c>
      <c r="G345" s="30">
        <f t="shared" ca="1" si="86"/>
        <v>-3.9825772362306423E-2</v>
      </c>
      <c r="H345" s="30">
        <f t="shared" ca="1" si="86"/>
        <v>-5.2717862085092305E-2</v>
      </c>
      <c r="I345" s="30">
        <f t="shared" ca="1" si="86"/>
        <v>-4.5237490234732516E-2</v>
      </c>
      <c r="J345" s="30">
        <f t="shared" ca="1" si="86"/>
        <v>7.7188989270765757E-2</v>
      </c>
      <c r="K345" s="30">
        <f t="shared" ca="1" si="87"/>
        <v>3.1771237136577271E-3</v>
      </c>
      <c r="L345" s="30">
        <f t="shared" ca="1" si="87"/>
        <v>1.2024568942665769E-2</v>
      </c>
      <c r="M345" s="30">
        <f t="shared" ca="1" si="87"/>
        <v>8.9536095649006511E-2</v>
      </c>
      <c r="N345" s="30">
        <f t="shared" ca="1" si="87"/>
        <v>4.2142752972671033E-2</v>
      </c>
      <c r="O345" s="30">
        <f t="shared" ca="1" si="88"/>
        <v>-3.6648648648648696E-2</v>
      </c>
      <c r="P345" s="30">
        <f t="shared" ca="1" si="89"/>
        <v>-4.0693293142426534E-2</v>
      </c>
      <c r="Q345" s="30">
        <f t="shared" ca="1" si="90"/>
        <v>4.4298605414273995E-2</v>
      </c>
      <c r="R345" s="30">
        <f t="shared" ca="1" si="91"/>
        <v>0.11933174224343679</v>
      </c>
      <c r="S345" s="9" cm="1">
        <f t="array" aca="1" ref="S345" ca="1">_xll.FDS($E$7,"P_PRICE("&amp;AG345&amp;",0,D,D)")</f>
        <v>89.11</v>
      </c>
      <c r="T345" s="9" cm="1">
        <f t="array" aca="1" ref="T345" ca="1">_xll.FDS($E$7,"P_PRICE("&amp;AH345&amp;",0,D,D)")</f>
        <v>92.5</v>
      </c>
      <c r="U345" s="9" cm="1">
        <f t="array" aca="1" ref="U345" ca="1">_xll.FDS($E$7,"P_PRICE("&amp;AI345&amp;",0,D,D)")</f>
        <v>92.89</v>
      </c>
      <c r="V345" s="9" cm="1">
        <f t="array" aca="1" ref="V345" ca="1">_xll.FDS($E$7,"P_PRICE("&amp;AJ345&amp;",0,D,D)")</f>
        <v>85.33</v>
      </c>
      <c r="W345" s="9" cm="1">
        <f t="array" aca="1" ref="W345" ca="1">_xll.FDS($E$7,"P_PRICE("&amp;AK345&amp;",0,D,D)")</f>
        <v>79.61</v>
      </c>
      <c r="X345" s="24">
        <f t="shared" ca="1" si="92"/>
        <v>2.2481034894399343E-3</v>
      </c>
      <c r="Y345" s="24">
        <f t="shared" ca="1" si="93"/>
        <v>8.5084742790504375E-3</v>
      </c>
      <c r="Z345" s="24">
        <f t="shared" ca="1" si="94"/>
        <v>6.3354916962809815E-2</v>
      </c>
      <c r="AA345" s="24">
        <f t="shared" ca="1" si="95"/>
        <v>2.9819824014153395E-2</v>
      </c>
      <c r="AB345" s="9" cm="1">
        <f t="array" aca="1" ref="AB345" ca="1">_xll.FDS($E$9,"P_PRICE("&amp;AG345&amp;",0,D,D)")</f>
        <v>5751.07</v>
      </c>
      <c r="AC345" s="9" cm="1">
        <f t="array" aca="1" ref="AC345" ca="1">_xll.FDS($E$9,"P_PRICE("&amp;AH345&amp;",0,D,D)")</f>
        <v>5738.17</v>
      </c>
      <c r="AD345" s="9" cm="1">
        <f t="array" aca="1" ref="AD345" ca="1">_xll.FDS($E$9,"P_PRICE("&amp;AI345&amp;",0,D,D)")</f>
        <v>5702.55</v>
      </c>
      <c r="AE345" s="9" cm="1">
        <f t="array" aca="1" ref="AE345" ca="1">_xll.FDS($E$9,"P_PRICE("&amp;AJ345&amp;",0,D,D)")</f>
        <v>5408.42</v>
      </c>
      <c r="AF345" s="9" cm="1">
        <f t="array" aca="1" ref="AF345" ca="1">_xll.FDS($E$9,"P_PRICE("&amp;AK345&amp;",0,D,D)")</f>
        <v>5584.54</v>
      </c>
      <c r="AG345" s="20">
        <f t="shared" ca="1" si="101"/>
        <v>45569</v>
      </c>
      <c r="AH345" s="22">
        <f t="shared" ca="1" si="96"/>
        <v>45562</v>
      </c>
      <c r="AI345" s="22">
        <f t="shared" ca="1" si="97"/>
        <v>45555</v>
      </c>
      <c r="AJ345" s="22">
        <f t="shared" ca="1" si="98"/>
        <v>45541</v>
      </c>
      <c r="AK345" s="22">
        <f t="shared" ca="1" si="99"/>
        <v>45484</v>
      </c>
      <c r="AL345" s="22">
        <f t="shared" ca="1" si="100"/>
        <v>45397</v>
      </c>
    </row>
    <row r="346" spans="4:38" x14ac:dyDescent="0.25">
      <c r="D346" s="6">
        <f ca="1"/>
        <v>45568</v>
      </c>
      <c r="E346" s="28" cm="1">
        <f t="array" aca="1" ref="E346" ca="1">_xll.FDS($E$7,"P_PRICE("&amp;D346&amp;",0,D,D)")</f>
        <v>88.66</v>
      </c>
      <c r="F346" s="29" cm="1">
        <f t="array" aca="1" ref="F346" ca="1">_xll.FDS($E$7,"P_BETA_LOCIDX("&amp;$AG346&amp;","&amp;$AL346&amp;",,"""&amp;$E$9&amp;""")")</f>
        <v>1.4041269999999999</v>
      </c>
      <c r="G346" s="30">
        <f t="shared" ca="1" si="86"/>
        <v>-3.8017784701547347E-2</v>
      </c>
      <c r="H346" s="30">
        <f t="shared" ca="1" si="86"/>
        <v>-4.0524091026855995E-2</v>
      </c>
      <c r="I346" s="30">
        <f t="shared" ca="1" si="86"/>
        <v>-5.3878948940772747E-4</v>
      </c>
      <c r="J346" s="30">
        <f t="shared" ca="1" si="86"/>
        <v>0.13392625721523921</v>
      </c>
      <c r="K346" s="30">
        <f t="shared" ca="1" si="87"/>
        <v>-1.1102764419001741E-2</v>
      </c>
      <c r="L346" s="30">
        <f t="shared" ca="1" si="87"/>
        <v>-3.3667749280669834E-3</v>
      </c>
      <c r="M346" s="30">
        <f t="shared" ca="1" si="87"/>
        <v>5.0142198983902771E-2</v>
      </c>
      <c r="N346" s="30">
        <f t="shared" ca="1" si="87"/>
        <v>1.6456511696140045E-2</v>
      </c>
      <c r="O346" s="30">
        <f t="shared" ca="1" si="88"/>
        <v>-4.9120549120549084E-2</v>
      </c>
      <c r="P346" s="30">
        <f t="shared" ca="1" si="89"/>
        <v>-4.3890865954922975E-2</v>
      </c>
      <c r="Q346" s="30">
        <f t="shared" ca="1" si="90"/>
        <v>4.9603409494495043E-2</v>
      </c>
      <c r="R346" s="30">
        <f t="shared" ca="1" si="91"/>
        <v>0.15038276891137925</v>
      </c>
      <c r="S346" s="9" cm="1">
        <f t="array" aca="1" ref="S346" ca="1">_xll.FDS($E$7,"P_PRICE("&amp;AG346&amp;",0,D,D)")</f>
        <v>88.66</v>
      </c>
      <c r="T346" s="9" cm="1">
        <f t="array" aca="1" ref="T346" ca="1">_xll.FDS($E$7,"P_PRICE("&amp;AH346&amp;",0,D,D)")</f>
        <v>93.24</v>
      </c>
      <c r="U346" s="9" cm="1">
        <f t="array" aca="1" ref="U346" ca="1">_xll.FDS($E$7,"P_PRICE("&amp;AI346&amp;",0,D,D)")</f>
        <v>92.73</v>
      </c>
      <c r="V346" s="9" cm="1">
        <f t="array" aca="1" ref="V346" ca="1">_xll.FDS($E$7,"P_PRICE("&amp;AJ346&amp;",0,D,D)")</f>
        <v>84.47</v>
      </c>
      <c r="W346" s="9" cm="1">
        <f t="array" aca="1" ref="W346" ca="1">_xll.FDS($E$7,"P_PRICE("&amp;AK346&amp;",0,D,D)")</f>
        <v>77.069999999999993</v>
      </c>
      <c r="X346" s="24">
        <f t="shared" ca="1" si="92"/>
        <v>-7.9072366096526459E-3</v>
      </c>
      <c r="Y346" s="24">
        <f t="shared" ca="1" si="93"/>
        <v>-2.3977709481172171E-3</v>
      </c>
      <c r="Z346" s="24">
        <f t="shared" ca="1" si="94"/>
        <v>3.5710586708967762E-2</v>
      </c>
      <c r="AA346" s="24">
        <f t="shared" ca="1" si="95"/>
        <v>1.172010202505902E-2</v>
      </c>
      <c r="AB346" s="9" cm="1">
        <f t="array" aca="1" ref="AB346" ca="1">_xll.FDS($E$9,"P_PRICE("&amp;AG346&amp;",0,D,D)")</f>
        <v>5699.94</v>
      </c>
      <c r="AC346" s="9" cm="1">
        <f t="array" aca="1" ref="AC346" ca="1">_xll.FDS($E$9,"P_PRICE("&amp;AH346&amp;",0,D,D)")</f>
        <v>5745.37</v>
      </c>
      <c r="AD346" s="9" cm="1">
        <f t="array" aca="1" ref="AD346" ca="1">_xll.FDS($E$9,"P_PRICE("&amp;AI346&amp;",0,D,D)")</f>
        <v>5713.64</v>
      </c>
      <c r="AE346" s="9" cm="1">
        <f t="array" aca="1" ref="AE346" ca="1">_xll.FDS($E$9,"P_PRICE("&amp;AJ346&amp;",0,D,D)")</f>
        <v>5503.41</v>
      </c>
      <c r="AF346" s="9" cm="1">
        <f t="array" aca="1" ref="AF346" ca="1">_xll.FDS($E$9,"P_PRICE("&amp;AK346&amp;",0,D,D)")</f>
        <v>5633.91</v>
      </c>
      <c r="AG346" s="20">
        <f t="shared" ca="1" si="101"/>
        <v>45568</v>
      </c>
      <c r="AH346" s="22">
        <f t="shared" ca="1" si="96"/>
        <v>45561</v>
      </c>
      <c r="AI346" s="22">
        <f t="shared" ca="1" si="97"/>
        <v>45554</v>
      </c>
      <c r="AJ346" s="22">
        <f t="shared" ca="1" si="98"/>
        <v>45540</v>
      </c>
      <c r="AK346" s="22">
        <f t="shared" ca="1" si="99"/>
        <v>45483</v>
      </c>
      <c r="AL346" s="22">
        <f t="shared" ca="1" si="100"/>
        <v>45394</v>
      </c>
    </row>
    <row r="347" spans="4:38" x14ac:dyDescent="0.25">
      <c r="D347" s="6">
        <f ca="1"/>
        <v>45567</v>
      </c>
      <c r="E347" s="28" cm="1">
        <f t="array" aca="1" ref="E347" ca="1">_xll.FDS($E$7,"P_PRICE("&amp;D347&amp;",0,D,D)")</f>
        <v>89.52</v>
      </c>
      <c r="F347" s="29" cm="1">
        <f t="array" aca="1" ref="F347" ca="1">_xll.FDS($E$7,"P_BETA_LOCIDX("&amp;$AG347&amp;","&amp;$AL347&amp;",,"""&amp;$E$9&amp;""")")</f>
        <v>1.3946474</v>
      </c>
      <c r="G347" s="30">
        <f t="shared" ca="1" si="86"/>
        <v>-2.2797556066770367E-2</v>
      </c>
      <c r="H347" s="30">
        <f t="shared" ca="1" si="86"/>
        <v>-2.8434079541032279E-2</v>
      </c>
      <c r="I347" s="30">
        <f t="shared" ca="1" si="86"/>
        <v>3.0812730995336615E-3</v>
      </c>
      <c r="J347" s="30">
        <f t="shared" ca="1" si="86"/>
        <v>0.14645249090619067</v>
      </c>
      <c r="K347" s="30">
        <f t="shared" ca="1" si="87"/>
        <v>-3.1001588407378834E-3</v>
      </c>
      <c r="L347" s="30">
        <f t="shared" ca="1" si="87"/>
        <v>2.265886852370658E-2</v>
      </c>
      <c r="M347" s="30">
        <f t="shared" ca="1" si="87"/>
        <v>4.7869654348223871E-2</v>
      </c>
      <c r="N347" s="30">
        <f t="shared" ca="1" si="87"/>
        <v>3.314956470060855E-2</v>
      </c>
      <c r="O347" s="30">
        <f t="shared" ca="1" si="88"/>
        <v>-2.5897714907508251E-2</v>
      </c>
      <c r="P347" s="30">
        <f t="shared" ca="1" si="89"/>
        <v>-5.7752110173256987E-3</v>
      </c>
      <c r="Q347" s="30">
        <f t="shared" ca="1" si="90"/>
        <v>5.0950927447757532E-2</v>
      </c>
      <c r="R347" s="30">
        <f t="shared" ca="1" si="91"/>
        <v>0.1796020556067992</v>
      </c>
      <c r="S347" s="9" cm="1">
        <f t="array" aca="1" ref="S347" ca="1">_xll.FDS($E$7,"P_PRICE("&amp;AG347&amp;",0,D,D)")</f>
        <v>89.52</v>
      </c>
      <c r="T347" s="9" cm="1">
        <f t="array" aca="1" ref="T347" ca="1">_xll.FDS($E$7,"P_PRICE("&amp;AH347&amp;",0,D,D)")</f>
        <v>91.9</v>
      </c>
      <c r="U347" s="9" cm="1">
        <f t="array" aca="1" ref="U347" ca="1">_xll.FDS($E$7,"P_PRICE("&amp;AI347&amp;",0,D,D)")</f>
        <v>90.04</v>
      </c>
      <c r="V347" s="9" cm="1">
        <f t="array" aca="1" ref="V347" ca="1">_xll.FDS($E$7,"P_PRICE("&amp;AJ347&amp;",0,D,D)")</f>
        <v>85.18</v>
      </c>
      <c r="W347" s="9" cm="1">
        <f t="array" aca="1" ref="W347" ca="1">_xll.FDS($E$7,"P_PRICE("&amp;AK347&amp;",0,D,D)")</f>
        <v>75.89</v>
      </c>
      <c r="X347" s="24">
        <f t="shared" ca="1" si="92"/>
        <v>-2.2228979459165688E-3</v>
      </c>
      <c r="Y347" s="24">
        <f t="shared" ca="1" si="93"/>
        <v>1.6247023099678515E-2</v>
      </c>
      <c r="Z347" s="24">
        <f t="shared" ca="1" si="94"/>
        <v>3.4323840096230684E-2</v>
      </c>
      <c r="AA347" s="24">
        <f t="shared" ca="1" si="95"/>
        <v>2.376913670122538E-2</v>
      </c>
      <c r="AB347" s="9" cm="1">
        <f t="array" aca="1" ref="AB347" ca="1">_xll.FDS($E$9,"P_PRICE("&amp;AG347&amp;",0,D,D)")</f>
        <v>5709.54</v>
      </c>
      <c r="AC347" s="9" cm="1">
        <f t="array" aca="1" ref="AC347" ca="1">_xll.FDS($E$9,"P_PRICE("&amp;AH347&amp;",0,D,D)")</f>
        <v>5722.26</v>
      </c>
      <c r="AD347" s="9" cm="1">
        <f t="array" aca="1" ref="AD347" ca="1">_xll.FDS($E$9,"P_PRICE("&amp;AI347&amp;",0,D,D)")</f>
        <v>5618.26</v>
      </c>
      <c r="AE347" s="9" cm="1">
        <f t="array" aca="1" ref="AE347" ca="1">_xll.FDS($E$9,"P_PRICE("&amp;AJ347&amp;",0,D,D)")</f>
        <v>5520.07</v>
      </c>
      <c r="AF347" s="9" cm="1">
        <f t="array" aca="1" ref="AF347" ca="1">_xll.FDS($E$9,"P_PRICE("&amp;AK347&amp;",0,D,D)")</f>
        <v>5576.98</v>
      </c>
      <c r="AG347" s="20">
        <f t="shared" ca="1" si="101"/>
        <v>45567</v>
      </c>
      <c r="AH347" s="22">
        <f t="shared" ca="1" si="96"/>
        <v>45560</v>
      </c>
      <c r="AI347" s="22">
        <f t="shared" ca="1" si="97"/>
        <v>45553</v>
      </c>
      <c r="AJ347" s="22">
        <f t="shared" ca="1" si="98"/>
        <v>45539</v>
      </c>
      <c r="AK347" s="22">
        <f t="shared" ca="1" si="99"/>
        <v>45482</v>
      </c>
      <c r="AL347" s="22">
        <f t="shared" ca="1" si="100"/>
        <v>45393</v>
      </c>
    </row>
    <row r="348" spans="4:38" x14ac:dyDescent="0.25">
      <c r="D348" s="6">
        <f ca="1"/>
        <v>45566</v>
      </c>
      <c r="E348" s="28" cm="1">
        <f t="array" aca="1" ref="E348" ca="1">_xll.FDS($E$7,"P_PRICE("&amp;D348&amp;",0,D,D)")</f>
        <v>90.84</v>
      </c>
      <c r="F348" s="29" cm="1">
        <f t="array" aca="1" ref="F348" ca="1">_xll.FDS($E$7,"P_BETA_LOCIDX("&amp;$AG348&amp;","&amp;$AL348&amp;",,"""&amp;$E$9&amp;""")")</f>
        <v>1.3850803</v>
      </c>
      <c r="G348" s="30">
        <f t="shared" ca="1" si="86"/>
        <v>-1.2626949871401465E-3</v>
      </c>
      <c r="H348" s="30">
        <f t="shared" ca="1" si="86"/>
        <v>-6.4521406269386905E-4</v>
      </c>
      <c r="I348" s="30">
        <f t="shared" ca="1" si="86"/>
        <v>-1.3595366454586165E-2</v>
      </c>
      <c r="J348" s="30">
        <f t="shared" ca="1" si="86"/>
        <v>0.18998728935827103</v>
      </c>
      <c r="K348" s="30">
        <f t="shared" ca="1" si="87"/>
        <v>-5.8419066086625821E-3</v>
      </c>
      <c r="L348" s="30">
        <f t="shared" ca="1" si="87"/>
        <v>1.8232309391471871E-2</v>
      </c>
      <c r="M348" s="30">
        <f t="shared" ca="1" si="87"/>
        <v>4.5047620343538285E-2</v>
      </c>
      <c r="N348" s="30">
        <f t="shared" ca="1" si="87"/>
        <v>3.3776687470504316E-2</v>
      </c>
      <c r="O348" s="30">
        <f t="shared" ca="1" si="88"/>
        <v>-7.1046015958027287E-3</v>
      </c>
      <c r="P348" s="30">
        <f t="shared" ca="1" si="89"/>
        <v>1.7587095328778002E-2</v>
      </c>
      <c r="Q348" s="30">
        <f t="shared" ca="1" si="90"/>
        <v>3.145225388895212E-2</v>
      </c>
      <c r="R348" s="30">
        <f t="shared" ca="1" si="91"/>
        <v>0.22376397682877536</v>
      </c>
      <c r="S348" s="9" cm="1">
        <f t="array" aca="1" ref="S348" ca="1">_xll.FDS($E$7,"P_PRICE("&amp;AG348&amp;",0,D,D)")</f>
        <v>90.84</v>
      </c>
      <c r="T348" s="9" cm="1">
        <f t="array" aca="1" ref="T348" ca="1">_xll.FDS($E$7,"P_PRICE("&amp;AH348&amp;",0,D,D)")</f>
        <v>91.49</v>
      </c>
      <c r="U348" s="9" cm="1">
        <f t="array" aca="1" ref="U348" ca="1">_xll.FDS($E$7,"P_PRICE("&amp;AI348&amp;",0,D,D)")</f>
        <v>89.27</v>
      </c>
      <c r="V348" s="9" cm="1">
        <f t="array" aca="1" ref="V348" ca="1">_xll.FDS($E$7,"P_PRICE("&amp;AJ348&amp;",0,D,D)")</f>
        <v>88.07</v>
      </c>
      <c r="W348" s="9" cm="1">
        <f t="array" aca="1" ref="W348" ca="1">_xll.FDS($E$7,"P_PRICE("&amp;AK348&amp;",0,D,D)")</f>
        <v>74.23</v>
      </c>
      <c r="X348" s="24">
        <f t="shared" ca="1" si="92"/>
        <v>-4.2177385734694095E-3</v>
      </c>
      <c r="Y348" s="24">
        <f t="shared" ca="1" si="93"/>
        <v>1.3163359114610085E-2</v>
      </c>
      <c r="Z348" s="24">
        <f t="shared" ca="1" si="94"/>
        <v>3.2523471991868114E-2</v>
      </c>
      <c r="AA348" s="24">
        <f t="shared" ca="1" si="95"/>
        <v>2.4386086113927341E-2</v>
      </c>
      <c r="AB348" s="9" cm="1">
        <f t="array" aca="1" ref="AB348" ca="1">_xll.FDS($E$9,"P_PRICE("&amp;AG348&amp;",0,D,D)")</f>
        <v>5708.75</v>
      </c>
      <c r="AC348" s="9" cm="1">
        <f t="array" aca="1" ref="AC348" ca="1">_xll.FDS($E$9,"P_PRICE("&amp;AH348&amp;",0,D,D)")</f>
        <v>5732.93</v>
      </c>
      <c r="AD348" s="9" cm="1">
        <f t="array" aca="1" ref="AD348" ca="1">_xll.FDS($E$9,"P_PRICE("&amp;AI348&amp;",0,D,D)")</f>
        <v>5634.58</v>
      </c>
      <c r="AE348" s="9" cm="1">
        <f t="array" aca="1" ref="AE348" ca="1">_xll.FDS($E$9,"P_PRICE("&amp;AJ348&amp;",0,D,D)")</f>
        <v>5528.93</v>
      </c>
      <c r="AF348" s="9" cm="1">
        <f t="array" aca="1" ref="AF348" ca="1">_xll.FDS($E$9,"P_PRICE("&amp;AK348&amp;",0,D,D)")</f>
        <v>5572.85</v>
      </c>
      <c r="AG348" s="20">
        <f t="shared" ca="1" si="101"/>
        <v>45566</v>
      </c>
      <c r="AH348" s="22">
        <f t="shared" ca="1" si="96"/>
        <v>45559</v>
      </c>
      <c r="AI348" s="22">
        <f t="shared" ca="1" si="97"/>
        <v>45552</v>
      </c>
      <c r="AJ348" s="22">
        <f t="shared" ca="1" si="98"/>
        <v>45538</v>
      </c>
      <c r="AK348" s="22">
        <f t="shared" ca="1" si="99"/>
        <v>45481</v>
      </c>
      <c r="AL348" s="22">
        <f t="shared" ca="1" si="100"/>
        <v>45392</v>
      </c>
    </row>
    <row r="349" spans="4:38" x14ac:dyDescent="0.25">
      <c r="D349" s="6">
        <f ca="1"/>
        <v>45565</v>
      </c>
      <c r="E349" s="28" cm="1">
        <f t="array" aca="1" ref="E349" ca="1">_xll.FDS($E$7,"P_PRICE("&amp;D349&amp;",0,D,D)")</f>
        <v>92.74</v>
      </c>
      <c r="F349" s="29" cm="1">
        <f t="array" aca="1" ref="F349" ca="1">_xll.FDS($E$7,"P_BETA_LOCIDX("&amp;$AG349&amp;","&amp;$AL349&amp;",,"""&amp;$E$9&amp;""")")</f>
        <v>1.3751017999999999</v>
      </c>
      <c r="G349" s="30">
        <f t="shared" ca="1" si="86"/>
        <v>-2.1864143004277602E-3</v>
      </c>
      <c r="H349" s="30">
        <f t="shared" ca="1" si="86"/>
        <v>8.4503052556425748E-3</v>
      </c>
      <c r="I349" s="30">
        <f t="shared" ca="1" si="86"/>
        <v>-6.0695462626588273E-3</v>
      </c>
      <c r="J349" s="30">
        <f t="shared" ca="1" si="86"/>
        <v>0.21062022937897051</v>
      </c>
      <c r="K349" s="30">
        <f t="shared" ca="1" si="87"/>
        <v>1.0558709614116864E-2</v>
      </c>
      <c r="L349" s="30">
        <f t="shared" ca="1" si="87"/>
        <v>3.1585581253272856E-2</v>
      </c>
      <c r="M349" s="30">
        <f t="shared" ca="1" si="87"/>
        <v>2.7772752167693433E-2</v>
      </c>
      <c r="N349" s="30">
        <f t="shared" ca="1" si="87"/>
        <v>4.823683591219273E-2</v>
      </c>
      <c r="O349" s="30">
        <f t="shared" ca="1" si="88"/>
        <v>8.3722953136891043E-3</v>
      </c>
      <c r="P349" s="30">
        <f t="shared" ca="1" si="89"/>
        <v>4.003588650891543E-2</v>
      </c>
      <c r="Q349" s="30">
        <f t="shared" ca="1" si="90"/>
        <v>2.1703205905034606E-2</v>
      </c>
      <c r="R349" s="30">
        <f t="shared" ca="1" si="91"/>
        <v>0.25885706529116326</v>
      </c>
      <c r="S349" s="9" cm="1">
        <f t="array" aca="1" ref="S349" ca="1">_xll.FDS($E$7,"P_PRICE("&amp;AG349&amp;",0,D,D)")</f>
        <v>92.74</v>
      </c>
      <c r="T349" s="9" cm="1">
        <f t="array" aca="1" ref="T349" ca="1">_xll.FDS($E$7,"P_PRICE("&amp;AH349&amp;",0,D,D)")</f>
        <v>91.97</v>
      </c>
      <c r="U349" s="9" cm="1">
        <f t="array" aca="1" ref="U349" ca="1">_xll.FDS($E$7,"P_PRICE("&amp;AI349&amp;",0,D,D)")</f>
        <v>89.17</v>
      </c>
      <c r="V349" s="9" cm="1">
        <f t="array" aca="1" ref="V349" ca="1">_xll.FDS($E$7,"P_PRICE("&amp;AJ349&amp;",0,D,D)")</f>
        <v>90.77</v>
      </c>
      <c r="W349" s="9" cm="1">
        <f t="array" aca="1" ref="W349" ca="1">_xll.FDS($E$7,"P_PRICE("&amp;AK349&amp;",0,D,D)")</f>
        <v>73.67</v>
      </c>
      <c r="X349" s="24">
        <f t="shared" ca="1" si="92"/>
        <v>7.6784930498359216E-3</v>
      </c>
      <c r="Y349" s="24">
        <f t="shared" ca="1" si="93"/>
        <v>2.2969631232591547E-2</v>
      </c>
      <c r="Z349" s="24">
        <f t="shared" ca="1" si="94"/>
        <v>2.0196869910062976E-2</v>
      </c>
      <c r="AA349" s="24">
        <f t="shared" ca="1" si="95"/>
        <v>3.507873810665707E-2</v>
      </c>
      <c r="AB349" s="9" cm="1">
        <f t="array" aca="1" ref="AB349" ca="1">_xll.FDS($E$9,"P_PRICE("&amp;AG349&amp;",0,D,D)")</f>
        <v>5762.48</v>
      </c>
      <c r="AC349" s="9" cm="1">
        <f t="array" aca="1" ref="AC349" ca="1">_xll.FDS($E$9,"P_PRICE("&amp;AH349&amp;",0,D,D)")</f>
        <v>5718.57</v>
      </c>
      <c r="AD349" s="9" cm="1">
        <f t="array" aca="1" ref="AD349" ca="1">_xll.FDS($E$9,"P_PRICE("&amp;AI349&amp;",0,D,D)")</f>
        <v>5633.09</v>
      </c>
      <c r="AE349" s="9" cm="1">
        <f t="array" aca="1" ref="AE349" ca="1">_xll.FDS($E$9,"P_PRICE("&amp;AJ349&amp;",0,D,D)")</f>
        <v>5648.4</v>
      </c>
      <c r="AF349" s="9" cm="1">
        <f t="array" aca="1" ref="AF349" ca="1">_xll.FDS($E$9,"P_PRICE("&amp;AK349&amp;",0,D,D)")</f>
        <v>5567.19</v>
      </c>
      <c r="AG349" s="20">
        <f t="shared" ca="1" si="101"/>
        <v>45565</v>
      </c>
      <c r="AH349" s="22">
        <f t="shared" ca="1" si="96"/>
        <v>45558</v>
      </c>
      <c r="AI349" s="22">
        <f t="shared" ca="1" si="97"/>
        <v>45551</v>
      </c>
      <c r="AJ349" s="22">
        <f t="shared" ca="1" si="98"/>
        <v>45534</v>
      </c>
      <c r="AK349" s="22">
        <f t="shared" ca="1" si="99"/>
        <v>45478</v>
      </c>
      <c r="AL349" s="22">
        <f t="shared" ca="1" si="100"/>
        <v>45391</v>
      </c>
    </row>
    <row r="350" spans="4:38" x14ac:dyDescent="0.25">
      <c r="D350" s="6">
        <f ca="1"/>
        <v>45562</v>
      </c>
      <c r="E350" s="28" cm="1">
        <f t="array" aca="1" ref="E350" ca="1">_xll.FDS($E$7,"P_PRICE("&amp;D350&amp;",0,D,D)")</f>
        <v>92.5</v>
      </c>
      <c r="F350" s="29" cm="1">
        <f t="array" aca="1" ref="F350" ca="1">_xll.FDS($E$7,"P_BETA_LOCIDX("&amp;$AG350&amp;","&amp;$AL350&amp;",,"""&amp;$E$9&amp;""")")</f>
        <v>1.3772470999999999</v>
      </c>
      <c r="G350" s="30">
        <f t="shared" ca="1" si="86"/>
        <v>-1.2801252042178093E-2</v>
      </c>
      <c r="H350" s="30">
        <f t="shared" ca="1" si="86"/>
        <v>2.9809419027633611E-2</v>
      </c>
      <c r="I350" s="30">
        <f t="shared" ca="1" si="86"/>
        <v>1.1436348859862527E-2</v>
      </c>
      <c r="J350" s="30">
        <f t="shared" ca="1" si="86"/>
        <v>0.21104411237898862</v>
      </c>
      <c r="K350" s="30">
        <f t="shared" ca="1" si="87"/>
        <v>8.6027376703403796E-3</v>
      </c>
      <c r="L350" s="30">
        <f t="shared" ca="1" si="87"/>
        <v>2.7454268250912527E-2</v>
      </c>
      <c r="M350" s="30">
        <f t="shared" ca="1" si="87"/>
        <v>3.6010146440782959E-2</v>
      </c>
      <c r="N350" s="30">
        <f t="shared" ca="1" si="87"/>
        <v>5.0032915569205139E-2</v>
      </c>
      <c r="O350" s="30">
        <f t="shared" ca="1" si="88"/>
        <v>-4.1985143718377138E-3</v>
      </c>
      <c r="P350" s="30">
        <f t="shared" ca="1" si="89"/>
        <v>5.7263687278546138E-2</v>
      </c>
      <c r="Q350" s="30">
        <f t="shared" ca="1" si="90"/>
        <v>4.7446495300645486E-2</v>
      </c>
      <c r="R350" s="30">
        <f t="shared" ca="1" si="91"/>
        <v>0.26107702794819376</v>
      </c>
      <c r="S350" s="9" cm="1">
        <f t="array" aca="1" ref="S350" ca="1">_xll.FDS($E$7,"P_PRICE("&amp;AG350&amp;",0,D,D)")</f>
        <v>92.5</v>
      </c>
      <c r="T350" s="9" cm="1">
        <f t="array" aca="1" ref="T350" ca="1">_xll.FDS($E$7,"P_PRICE("&amp;AH350&amp;",0,D,D)")</f>
        <v>92.89</v>
      </c>
      <c r="U350" s="9" cm="1">
        <f t="array" aca="1" ref="U350" ca="1">_xll.FDS($E$7,"P_PRICE("&amp;AI350&amp;",0,D,D)")</f>
        <v>87.49</v>
      </c>
      <c r="V350" s="9" cm="1">
        <f t="array" aca="1" ref="V350" ca="1">_xll.FDS($E$7,"P_PRICE("&amp;AJ350&amp;",0,D,D)")</f>
        <v>88.31</v>
      </c>
      <c r="W350" s="9" cm="1">
        <f t="array" aca="1" ref="W350" ca="1">_xll.FDS($E$7,"P_PRICE("&amp;AK350&amp;",0,D,D)")</f>
        <v>73.349999999999994</v>
      </c>
      <c r="X350" s="24">
        <f t="shared" ca="1" si="92"/>
        <v>6.2463283969451666E-3</v>
      </c>
      <c r="Y350" s="24">
        <f t="shared" ca="1" si="93"/>
        <v>1.9934163049544651E-2</v>
      </c>
      <c r="Z350" s="24">
        <f t="shared" ca="1" si="94"/>
        <v>2.6146467428236342E-2</v>
      </c>
      <c r="AA350" s="24">
        <f t="shared" ca="1" si="95"/>
        <v>3.6328205424578597E-2</v>
      </c>
      <c r="AB350" s="9" cm="1">
        <f t="array" aca="1" ref="AB350" ca="1">_xll.FDS($E$9,"P_PRICE("&amp;AG350&amp;",0,D,D)")</f>
        <v>5738.17</v>
      </c>
      <c r="AC350" s="9" cm="1">
        <f t="array" aca="1" ref="AC350" ca="1">_xll.FDS($E$9,"P_PRICE("&amp;AH350&amp;",0,D,D)")</f>
        <v>5702.55</v>
      </c>
      <c r="AD350" s="9" cm="1">
        <f t="array" aca="1" ref="AD350" ca="1">_xll.FDS($E$9,"P_PRICE("&amp;AI350&amp;",0,D,D)")</f>
        <v>5626.02</v>
      </c>
      <c r="AE350" s="9" cm="1">
        <f t="array" aca="1" ref="AE350" ca="1">_xll.FDS($E$9,"P_PRICE("&amp;AJ350&amp;",0,D,D)")</f>
        <v>5591.96</v>
      </c>
      <c r="AF350" s="9" cm="1">
        <f t="array" aca="1" ref="AF350" ca="1">_xll.FDS($E$9,"P_PRICE("&amp;AK350&amp;",0,D,D)")</f>
        <v>5537.02</v>
      </c>
      <c r="AG350" s="20">
        <f t="shared" ca="1" si="101"/>
        <v>45562</v>
      </c>
      <c r="AH350" s="22">
        <f t="shared" ca="1" si="96"/>
        <v>45555</v>
      </c>
      <c r="AI350" s="22">
        <f t="shared" ca="1" si="97"/>
        <v>45548</v>
      </c>
      <c r="AJ350" s="22">
        <f t="shared" ca="1" si="98"/>
        <v>45533</v>
      </c>
      <c r="AK350" s="22">
        <f t="shared" ca="1" si="99"/>
        <v>45476</v>
      </c>
      <c r="AL350" s="22">
        <f t="shared" ca="1" si="100"/>
        <v>45390</v>
      </c>
    </row>
    <row r="351" spans="4:38" x14ac:dyDescent="0.25">
      <c r="D351" s="6">
        <f ca="1"/>
        <v>45561</v>
      </c>
      <c r="E351" s="28" cm="1">
        <f t="array" aca="1" ref="E351" ca="1">_xll.FDS($E$7,"P_PRICE("&amp;D351&amp;",0,D,D)")</f>
        <v>93.24</v>
      </c>
      <c r="F351" s="29" cm="1">
        <f t="array" aca="1" ref="F351" ca="1">_xll.FDS($E$7,"P_BETA_LOCIDX("&amp;$AG351&amp;","&amp;$AL351&amp;",,"""&amp;$E$9&amp;""")")</f>
        <v>1.3849826000000001</v>
      </c>
      <c r="G351" s="30">
        <f t="shared" ca="1" si="86"/>
        <v>-2.1914930125296484E-3</v>
      </c>
      <c r="H351" s="30">
        <f t="shared" ca="1" si="86"/>
        <v>3.8899587046978421E-2</v>
      </c>
      <c r="I351" s="30">
        <f t="shared" ca="1" si="86"/>
        <v>2.4987822876033655E-2</v>
      </c>
      <c r="J351" s="30">
        <f t="shared" ca="1" si="86"/>
        <v>0.23467966430490106</v>
      </c>
      <c r="K351" s="30">
        <f t="shared" ca="1" si="87"/>
        <v>7.6913312525813838E-3</v>
      </c>
      <c r="L351" s="30">
        <f t="shared" ca="1" si="87"/>
        <v>3.7029330562068322E-2</v>
      </c>
      <c r="M351" s="30">
        <f t="shared" ca="1" si="87"/>
        <v>3.793967370399362E-2</v>
      </c>
      <c r="N351" s="30">
        <f t="shared" ca="1" si="87"/>
        <v>5.9421654223898439E-2</v>
      </c>
      <c r="O351" s="30">
        <f t="shared" ca="1" si="88"/>
        <v>5.4998382400517354E-3</v>
      </c>
      <c r="P351" s="30">
        <f t="shared" ca="1" si="89"/>
        <v>7.5928917609046742E-2</v>
      </c>
      <c r="Q351" s="30">
        <f t="shared" ca="1" si="90"/>
        <v>6.2927496580027276E-2</v>
      </c>
      <c r="R351" s="30">
        <f t="shared" ca="1" si="91"/>
        <v>0.2941013185287995</v>
      </c>
      <c r="S351" s="9" cm="1">
        <f t="array" aca="1" ref="S351" ca="1">_xll.FDS($E$7,"P_PRICE("&amp;AG351&amp;",0,D,D)")</f>
        <v>93.24</v>
      </c>
      <c r="T351" s="9" cm="1">
        <f t="array" aca="1" ref="T351" ca="1">_xll.FDS($E$7,"P_PRICE("&amp;AH351&amp;",0,D,D)")</f>
        <v>92.73</v>
      </c>
      <c r="U351" s="9" cm="1">
        <f t="array" aca="1" ref="U351" ca="1">_xll.FDS($E$7,"P_PRICE("&amp;AI351&amp;",0,D,D)")</f>
        <v>86.66</v>
      </c>
      <c r="V351" s="9" cm="1">
        <f t="array" aca="1" ref="V351" ca="1">_xll.FDS($E$7,"P_PRICE("&amp;AJ351&amp;",0,D,D)")</f>
        <v>87.72</v>
      </c>
      <c r="W351" s="9" cm="1">
        <f t="array" aca="1" ref="W351" ca="1">_xll.FDS($E$7,"P_PRICE("&amp;AK351&amp;",0,D,D)")</f>
        <v>72.05</v>
      </c>
      <c r="X351" s="24">
        <f t="shared" ca="1" si="92"/>
        <v>5.5533775316609635E-3</v>
      </c>
      <c r="Y351" s="24">
        <f t="shared" ca="1" si="93"/>
        <v>2.6736314638226011E-2</v>
      </c>
      <c r="Z351" s="24">
        <f t="shared" ca="1" si="94"/>
        <v>2.7393610363042553E-2</v>
      </c>
      <c r="AA351" s="24">
        <f t="shared" ca="1" si="95"/>
        <v>4.2904260475112421E-2</v>
      </c>
      <c r="AB351" s="9" cm="1">
        <f t="array" aca="1" ref="AB351" ca="1">_xll.FDS($E$9,"P_PRICE("&amp;AG351&amp;",0,D,D)")</f>
        <v>5745.37</v>
      </c>
      <c r="AC351" s="9" cm="1">
        <f t="array" aca="1" ref="AC351" ca="1">_xll.FDS($E$9,"P_PRICE("&amp;AH351&amp;",0,D,D)")</f>
        <v>5713.64</v>
      </c>
      <c r="AD351" s="9" cm="1">
        <f t="array" aca="1" ref="AD351" ca="1">_xll.FDS($E$9,"P_PRICE("&amp;AI351&amp;",0,D,D)")</f>
        <v>5595.76</v>
      </c>
      <c r="AE351" s="9" cm="1">
        <f t="array" aca="1" ref="AE351" ca="1">_xll.FDS($E$9,"P_PRICE("&amp;AJ351&amp;",0,D,D)")</f>
        <v>5592.18</v>
      </c>
      <c r="AF351" s="9" cm="1">
        <f t="array" aca="1" ref="AF351" ca="1">_xll.FDS($E$9,"P_PRICE("&amp;AK351&amp;",0,D,D)")</f>
        <v>5509.01</v>
      </c>
      <c r="AG351" s="20">
        <f t="shared" ca="1" si="101"/>
        <v>45561</v>
      </c>
      <c r="AH351" s="22">
        <f t="shared" ca="1" si="96"/>
        <v>45554</v>
      </c>
      <c r="AI351" s="22">
        <f t="shared" ca="1" si="97"/>
        <v>45547</v>
      </c>
      <c r="AJ351" s="22">
        <f t="shared" ca="1" si="98"/>
        <v>45532</v>
      </c>
      <c r="AK351" s="22">
        <f t="shared" ca="1" si="99"/>
        <v>45475</v>
      </c>
      <c r="AL351" s="22">
        <f t="shared" ca="1" si="100"/>
        <v>45387</v>
      </c>
    </row>
    <row r="352" spans="4:38" x14ac:dyDescent="0.25">
      <c r="D352" s="6">
        <f ca="1"/>
        <v>45560</v>
      </c>
      <c r="E352" s="28" cm="1">
        <f t="array" aca="1" ref="E352" ca="1">_xll.FDS($E$7,"P_PRICE("&amp;D352&amp;",0,D,D)")</f>
        <v>91.9</v>
      </c>
      <c r="F352" s="29" cm="1">
        <f t="array" aca="1" ref="F352" ca="1">_xll.FDS($E$7,"P_BETA_LOCIDX("&amp;$AG352&amp;","&amp;$AL352&amp;",,"""&amp;$E$9&amp;""")")</f>
        <v>1.3736558999999999</v>
      </c>
      <c r="G352" s="30">
        <f t="shared" ca="1" si="86"/>
        <v>-4.7703539470568476E-3</v>
      </c>
      <c r="H352" s="30">
        <f t="shared" ca="1" si="86"/>
        <v>3.6044473702676535E-2</v>
      </c>
      <c r="I352" s="30">
        <f t="shared" ca="1" si="86"/>
        <v>1.934333867189467E-2</v>
      </c>
      <c r="J352" s="30">
        <f t="shared" ca="1" si="86"/>
        <v>0.19758133977315087</v>
      </c>
      <c r="K352" s="30">
        <f t="shared" ca="1" si="87"/>
        <v>2.5427839509029403E-2</v>
      </c>
      <c r="L352" s="30">
        <f t="shared" ca="1" si="87"/>
        <v>4.1582167948355522E-2</v>
      </c>
      <c r="M352" s="30">
        <f t="shared" ca="1" si="87"/>
        <v>2.355271216786933E-2</v>
      </c>
      <c r="N352" s="30">
        <f t="shared" ca="1" si="87"/>
        <v>6.2012958472463429E-2</v>
      </c>
      <c r="O352" s="30">
        <f t="shared" ca="1" si="88"/>
        <v>2.0657485561972555E-2</v>
      </c>
      <c r="P352" s="30">
        <f t="shared" ca="1" si="89"/>
        <v>7.7626641651032058E-2</v>
      </c>
      <c r="Q352" s="30">
        <f t="shared" ca="1" si="90"/>
        <v>4.2896050839763999E-2</v>
      </c>
      <c r="R352" s="30">
        <f t="shared" ca="1" si="91"/>
        <v>0.25959429824561431</v>
      </c>
      <c r="S352" s="9" cm="1">
        <f t="array" aca="1" ref="S352" ca="1">_xll.FDS($E$7,"P_PRICE("&amp;AG352&amp;",0,D,D)")</f>
        <v>91.9</v>
      </c>
      <c r="T352" s="9" cm="1">
        <f t="array" aca="1" ref="T352" ca="1">_xll.FDS($E$7,"P_PRICE("&amp;AH352&amp;",0,D,D)")</f>
        <v>90.04</v>
      </c>
      <c r="U352" s="9" cm="1">
        <f t="array" aca="1" ref="U352" ca="1">_xll.FDS($E$7,"P_PRICE("&amp;AI352&amp;",0,D,D)")</f>
        <v>85.28</v>
      </c>
      <c r="V352" s="9" cm="1">
        <f t="array" aca="1" ref="V352" ca="1">_xll.FDS($E$7,"P_PRICE("&amp;AJ352&amp;",0,D,D)")</f>
        <v>88.12</v>
      </c>
      <c r="W352" s="9" cm="1">
        <f t="array" aca="1" ref="W352" ca="1">_xll.FDS($E$7,"P_PRICE("&amp;AK352&amp;",0,D,D)")</f>
        <v>72.959999999999994</v>
      </c>
      <c r="X352" s="24">
        <f t="shared" ca="1" si="92"/>
        <v>1.8511069263437374E-2</v>
      </c>
      <c r="Y352" s="24">
        <f t="shared" ca="1" si="93"/>
        <v>3.0271167581601421E-2</v>
      </c>
      <c r="Z352" s="24">
        <f t="shared" ca="1" si="94"/>
        <v>1.7146005901382821E-2</v>
      </c>
      <c r="AA352" s="24">
        <f t="shared" ca="1" si="95"/>
        <v>4.5144463378684163E-2</v>
      </c>
      <c r="AB352" s="9" cm="1">
        <f t="array" aca="1" ref="AB352" ca="1">_xll.FDS($E$9,"P_PRICE("&amp;AG352&amp;",0,D,D)")</f>
        <v>5722.26</v>
      </c>
      <c r="AC352" s="9" cm="1">
        <f t="array" aca="1" ref="AC352" ca="1">_xll.FDS($E$9,"P_PRICE("&amp;AH352&amp;",0,D,D)")</f>
        <v>5618.26</v>
      </c>
      <c r="AD352" s="9" cm="1">
        <f t="array" aca="1" ref="AD352" ca="1">_xll.FDS($E$9,"P_PRICE("&amp;AI352&amp;",0,D,D)")</f>
        <v>5554.13</v>
      </c>
      <c r="AE352" s="9" cm="1">
        <f t="array" aca="1" ref="AE352" ca="1">_xll.FDS($E$9,"P_PRICE("&amp;AJ352&amp;",0,D,D)")</f>
        <v>5625.8</v>
      </c>
      <c r="AF352" s="9" cm="1">
        <f t="array" aca="1" ref="AF352" ca="1">_xll.FDS($E$9,"P_PRICE("&amp;AK352&amp;",0,D,D)")</f>
        <v>5475.09</v>
      </c>
      <c r="AG352" s="20">
        <f t="shared" ca="1" si="101"/>
        <v>45560</v>
      </c>
      <c r="AH352" s="22">
        <f t="shared" ca="1" si="96"/>
        <v>45553</v>
      </c>
      <c r="AI352" s="22">
        <f t="shared" ca="1" si="97"/>
        <v>45546</v>
      </c>
      <c r="AJ352" s="22">
        <f t="shared" ca="1" si="98"/>
        <v>45531</v>
      </c>
      <c r="AK352" s="22">
        <f t="shared" ca="1" si="99"/>
        <v>45474</v>
      </c>
      <c r="AL352" s="22">
        <f t="shared" ca="1" si="100"/>
        <v>45386</v>
      </c>
    </row>
    <row r="353" spans="4:38" x14ac:dyDescent="0.25">
      <c r="D353" s="6">
        <f ca="1"/>
        <v>45559</v>
      </c>
      <c r="E353" s="28" cm="1">
        <f t="array" aca="1" ref="E353" ca="1">_xll.FDS($E$7,"P_PRICE("&amp;D353&amp;",0,D,D)")</f>
        <v>91.49</v>
      </c>
      <c r="F353" s="29" cm="1">
        <f t="array" aca="1" ref="F353" ca="1">_xll.FDS($E$7,"P_BETA_LOCIDX("&amp;$AG353&amp;","&amp;$AL353&amp;",,"""&amp;$E$9&amp;""")")</f>
        <v>1.3762084000000001</v>
      </c>
      <c r="G353" s="30">
        <f t="shared" ca="1" si="86"/>
        <v>8.4704851171470488E-4</v>
      </c>
      <c r="H353" s="30">
        <f t="shared" ca="1" si="86"/>
        <v>9.230476625918492E-3</v>
      </c>
      <c r="I353" s="30">
        <f t="shared" ca="1" si="86"/>
        <v>-1.2452641147083665E-2</v>
      </c>
      <c r="J353" s="30">
        <f t="shared" ca="1" si="86"/>
        <v>0.15152629681477597</v>
      </c>
      <c r="K353" s="30">
        <f t="shared" ca="1" si="87"/>
        <v>2.4021328322608042E-2</v>
      </c>
      <c r="L353" s="30">
        <f t="shared" ca="1" si="87"/>
        <v>5.945308837816974E-2</v>
      </c>
      <c r="M353" s="30">
        <f t="shared" ca="1" si="87"/>
        <v>2.8443757193724495E-2</v>
      </c>
      <c r="N353" s="30">
        <f t="shared" ca="1" si="87"/>
        <v>6.8665754398880854E-2</v>
      </c>
      <c r="O353" s="30">
        <f t="shared" ca="1" si="88"/>
        <v>2.4868376834322747E-2</v>
      </c>
      <c r="P353" s="30">
        <f t="shared" ca="1" si="89"/>
        <v>6.8683565004088232E-2</v>
      </c>
      <c r="Q353" s="30">
        <f t="shared" ca="1" si="90"/>
        <v>1.599111604664083E-2</v>
      </c>
      <c r="R353" s="30">
        <f t="shared" ca="1" si="91"/>
        <v>0.22019205121365681</v>
      </c>
      <c r="S353" s="9" cm="1">
        <f t="array" aca="1" ref="S353" ca="1">_xll.FDS($E$7,"P_PRICE("&amp;AG353&amp;",0,D,D)")</f>
        <v>91.49</v>
      </c>
      <c r="T353" s="9" cm="1">
        <f t="array" aca="1" ref="T353" ca="1">_xll.FDS($E$7,"P_PRICE("&amp;AH353&amp;",0,D,D)")</f>
        <v>89.27</v>
      </c>
      <c r="U353" s="9" cm="1">
        <f t="array" aca="1" ref="U353" ca="1">_xll.FDS($E$7,"P_PRICE("&amp;AI353&amp;",0,D,D)")</f>
        <v>85.61</v>
      </c>
      <c r="V353" s="9" cm="1">
        <f t="array" aca="1" ref="V353" ca="1">_xll.FDS($E$7,"P_PRICE("&amp;AJ353&amp;",0,D,D)")</f>
        <v>90.05</v>
      </c>
      <c r="W353" s="9" cm="1">
        <f t="array" aca="1" ref="W353" ca="1">_xll.FDS($E$7,"P_PRICE("&amp;AK353&amp;",0,D,D)")</f>
        <v>74.98</v>
      </c>
      <c r="X353" s="24">
        <f t="shared" ca="1" si="92"/>
        <v>1.7454717121773156E-2</v>
      </c>
      <c r="Y353" s="24">
        <f t="shared" ca="1" si="93"/>
        <v>4.3200643433196406E-2</v>
      </c>
      <c r="Z353" s="24">
        <f t="shared" ca="1" si="94"/>
        <v>2.0668204898127707E-2</v>
      </c>
      <c r="AA353" s="24">
        <f t="shared" ca="1" si="95"/>
        <v>4.9894881036099514E-2</v>
      </c>
      <c r="AB353" s="9" cm="1">
        <f t="array" aca="1" ref="AB353" ca="1">_xll.FDS($E$9,"P_PRICE("&amp;AG353&amp;",0,D,D)")</f>
        <v>5732.93</v>
      </c>
      <c r="AC353" s="9" cm="1">
        <f t="array" aca="1" ref="AC353" ca="1">_xll.FDS($E$9,"P_PRICE("&amp;AH353&amp;",0,D,D)")</f>
        <v>5634.58</v>
      </c>
      <c r="AD353" s="9" cm="1">
        <f t="array" aca="1" ref="AD353" ca="1">_xll.FDS($E$9,"P_PRICE("&amp;AI353&amp;",0,D,D)")</f>
        <v>5495.52</v>
      </c>
      <c r="AE353" s="9" cm="1">
        <f t="array" aca="1" ref="AE353" ca="1">_xll.FDS($E$9,"P_PRICE("&amp;AJ353&amp;",0,D,D)")</f>
        <v>5616.84</v>
      </c>
      <c r="AF353" s="9" cm="1">
        <f t="array" aca="1" ref="AF353" ca="1">_xll.FDS($E$9,"P_PRICE("&amp;AK353&amp;",0,D,D)")</f>
        <v>5460.48</v>
      </c>
      <c r="AG353" s="20">
        <f t="shared" ca="1" si="101"/>
        <v>45559</v>
      </c>
      <c r="AH353" s="22">
        <f t="shared" ca="1" si="96"/>
        <v>45552</v>
      </c>
      <c r="AI353" s="22">
        <f t="shared" ca="1" si="97"/>
        <v>45545</v>
      </c>
      <c r="AJ353" s="22">
        <f t="shared" ca="1" si="98"/>
        <v>45530</v>
      </c>
      <c r="AK353" s="22">
        <f t="shared" ca="1" si="99"/>
        <v>45471</v>
      </c>
      <c r="AL353" s="22">
        <f t="shared" ca="1" si="100"/>
        <v>45385</v>
      </c>
    </row>
    <row r="354" spans="4:38" x14ac:dyDescent="0.25">
      <c r="D354" s="6">
        <f ca="1"/>
        <v>45558</v>
      </c>
      <c r="E354" s="28" cm="1">
        <f t="array" aca="1" ref="E354" ca="1">_xll.FDS($E$7,"P_PRICE("&amp;D354&amp;",0,D,D)")</f>
        <v>91.97</v>
      </c>
      <c r="F354" s="29" cm="1">
        <f t="array" aca="1" ref="F354" ca="1">_xll.FDS($E$7,"P_BETA_LOCIDX("&amp;$AG354&amp;","&amp;$AL354&amp;",,"""&amp;$E$9&amp;""")")</f>
        <v>1.3736727</v>
      </c>
      <c r="G354" s="30">
        <f t="shared" ca="1" si="86"/>
        <v>1.0555734117106468E-2</v>
      </c>
      <c r="H354" s="30">
        <f t="shared" ca="1" si="86"/>
        <v>2.8837190960496278E-2</v>
      </c>
      <c r="I354" s="30">
        <f t="shared" ca="1" si="86"/>
        <v>-6.1958370933111462E-4</v>
      </c>
      <c r="J354" s="30">
        <f t="shared" ca="1" si="86"/>
        <v>0.17544460487251806</v>
      </c>
      <c r="K354" s="30">
        <f t="shared" ca="1" si="87"/>
        <v>2.0844961184003648E-2</v>
      </c>
      <c r="L354" s="30">
        <f t="shared" ca="1" si="87"/>
        <v>6.2147387924438552E-2</v>
      </c>
      <c r="M354" s="30">
        <f t="shared" ca="1" si="87"/>
        <v>2.0468774217204153E-2</v>
      </c>
      <c r="N354" s="30">
        <f t="shared" ca="1" si="87"/>
        <v>5.9052039422783968E-2</v>
      </c>
      <c r="O354" s="30">
        <f t="shared" ca="1" si="88"/>
        <v>3.1400695301110115E-2</v>
      </c>
      <c r="P354" s="30">
        <f t="shared" ca="1" si="89"/>
        <v>9.098457888493483E-2</v>
      </c>
      <c r="Q354" s="30">
        <f t="shared" ca="1" si="90"/>
        <v>1.9849190507873038E-2</v>
      </c>
      <c r="R354" s="30">
        <f t="shared" ca="1" si="91"/>
        <v>0.23449664429530204</v>
      </c>
      <c r="S354" s="9" cm="1">
        <f t="array" aca="1" ref="S354" ca="1">_xll.FDS($E$7,"P_PRICE("&amp;AG354&amp;",0,D,D)")</f>
        <v>91.97</v>
      </c>
      <c r="T354" s="9" cm="1">
        <f t="array" aca="1" ref="T354" ca="1">_xll.FDS($E$7,"P_PRICE("&amp;AH354&amp;",0,D,D)")</f>
        <v>89.17</v>
      </c>
      <c r="U354" s="9" cm="1">
        <f t="array" aca="1" ref="U354" ca="1">_xll.FDS($E$7,"P_PRICE("&amp;AI354&amp;",0,D,D)")</f>
        <v>84.3</v>
      </c>
      <c r="V354" s="9" cm="1">
        <f t="array" aca="1" ref="V354" ca="1">_xll.FDS($E$7,"P_PRICE("&amp;AJ354&amp;",0,D,D)")</f>
        <v>90.18</v>
      </c>
      <c r="W354" s="9" cm="1">
        <f t="array" aca="1" ref="W354" ca="1">_xll.FDS($E$7,"P_PRICE("&amp;AK354&amp;",0,D,D)")</f>
        <v>74.5</v>
      </c>
      <c r="X354" s="24">
        <f t="shared" ca="1" si="92"/>
        <v>1.5174619968791436E-2</v>
      </c>
      <c r="Y354" s="24">
        <f t="shared" ca="1" si="93"/>
        <v>4.5241772603065167E-2</v>
      </c>
      <c r="Z354" s="24">
        <f t="shared" ca="1" si="94"/>
        <v>1.4900765092881407E-2</v>
      </c>
      <c r="AA354" s="24">
        <f t="shared" ca="1" si="95"/>
        <v>4.2988434889027038E-2</v>
      </c>
      <c r="AB354" s="9" cm="1">
        <f t="array" aca="1" ref="AB354" ca="1">_xll.FDS($E$9,"P_PRICE("&amp;AG354&amp;",0,D,D)")</f>
        <v>5718.57</v>
      </c>
      <c r="AC354" s="9" cm="1">
        <f t="array" aca="1" ref="AC354" ca="1">_xll.FDS($E$9,"P_PRICE("&amp;AH354&amp;",0,D,D)")</f>
        <v>5633.09</v>
      </c>
      <c r="AD354" s="9" cm="1">
        <f t="array" aca="1" ref="AD354" ca="1">_xll.FDS($E$9,"P_PRICE("&amp;AI354&amp;",0,D,D)")</f>
        <v>5471.05</v>
      </c>
      <c r="AE354" s="9" cm="1">
        <f t="array" aca="1" ref="AE354" ca="1">_xll.FDS($E$9,"P_PRICE("&amp;AJ354&amp;",0,D,D)")</f>
        <v>5634.61</v>
      </c>
      <c r="AF354" s="9" cm="1">
        <f t="array" aca="1" ref="AF354" ca="1">_xll.FDS($E$9,"P_PRICE("&amp;AK354&amp;",0,D,D)")</f>
        <v>5482.87</v>
      </c>
      <c r="AG354" s="20">
        <f t="shared" ca="1" si="101"/>
        <v>45558</v>
      </c>
      <c r="AH354" s="22">
        <f t="shared" ca="1" si="96"/>
        <v>45551</v>
      </c>
      <c r="AI354" s="22">
        <f t="shared" ca="1" si="97"/>
        <v>45544</v>
      </c>
      <c r="AJ354" s="22">
        <f t="shared" ca="1" si="98"/>
        <v>45527</v>
      </c>
      <c r="AK354" s="22">
        <f t="shared" ca="1" si="99"/>
        <v>45470</v>
      </c>
      <c r="AL354" s="22">
        <f t="shared" ca="1" si="100"/>
        <v>45384</v>
      </c>
    </row>
    <row r="355" spans="4:38" x14ac:dyDescent="0.25">
      <c r="D355" s="6">
        <f ca="1"/>
        <v>45555</v>
      </c>
      <c r="E355" s="28" cm="1">
        <f t="array" aca="1" ref="E355" ca="1">_xll.FDS($E$7,"P_PRICE("&amp;D355&amp;",0,D,D)")</f>
        <v>92.89</v>
      </c>
      <c r="F355" s="29" cm="1">
        <f t="array" aca="1" ref="F355" ca="1">_xll.FDS($E$7,"P_BETA_LOCIDX("&amp;$AG355&amp;","&amp;$AL355&amp;",,"""&amp;$E$9&amp;""")")</f>
        <v>1.3808448</v>
      </c>
      <c r="G355" s="30">
        <f t="shared" ca="1" si="86"/>
        <v>4.2937891861253158E-2</v>
      </c>
      <c r="H355" s="30">
        <f t="shared" ca="1" si="86"/>
        <v>1.3501733586765596E-2</v>
      </c>
      <c r="I355" s="30">
        <f t="shared" ca="1" si="86"/>
        <v>2.1193814284704765E-2</v>
      </c>
      <c r="J355" s="30">
        <f t="shared" ca="1" si="86"/>
        <v>0.22073645828381586</v>
      </c>
      <c r="K355" s="30">
        <f t="shared" ca="1" si="87"/>
        <v>1.8783447720413321E-2</v>
      </c>
      <c r="L355" s="30">
        <f t="shared" ca="1" si="87"/>
        <v>7.5095477241782393E-2</v>
      </c>
      <c r="M355" s="30">
        <f t="shared" ca="1" si="87"/>
        <v>3.2697721907716276E-2</v>
      </c>
      <c r="N355" s="30">
        <f t="shared" ca="1" si="87"/>
        <v>5.6628778239836454E-2</v>
      </c>
      <c r="O355" s="30">
        <f t="shared" ca="1" si="88"/>
        <v>6.1721339581666479E-2</v>
      </c>
      <c r="P355" s="30">
        <f t="shared" ca="1" si="89"/>
        <v>8.859721082854799E-2</v>
      </c>
      <c r="Q355" s="30">
        <f t="shared" ca="1" si="90"/>
        <v>5.3891536192421041E-2</v>
      </c>
      <c r="R355" s="30">
        <f t="shared" ca="1" si="91"/>
        <v>0.2773652365236523</v>
      </c>
      <c r="S355" s="9" cm="1">
        <f t="array" aca="1" ref="S355" ca="1">_xll.FDS($E$7,"P_PRICE("&amp;AG355&amp;",0,D,D)")</f>
        <v>92.89</v>
      </c>
      <c r="T355" s="9" cm="1">
        <f t="array" aca="1" ref="T355" ca="1">_xll.FDS($E$7,"P_PRICE("&amp;AH355&amp;",0,D,D)")</f>
        <v>87.49</v>
      </c>
      <c r="U355" s="9" cm="1">
        <f t="array" aca="1" ref="U355" ca="1">_xll.FDS($E$7,"P_PRICE("&amp;AI355&amp;",0,D,D)")</f>
        <v>85.33</v>
      </c>
      <c r="V355" s="9" cm="1">
        <f t="array" aca="1" ref="V355" ca="1">_xll.FDS($E$7,"P_PRICE("&amp;AJ355&amp;",0,D,D)")</f>
        <v>88.14</v>
      </c>
      <c r="W355" s="9" cm="1">
        <f t="array" aca="1" ref="W355" ca="1">_xll.FDS($E$7,"P_PRICE("&amp;AK355&amp;",0,D,D)")</f>
        <v>72.72</v>
      </c>
      <c r="X355" s="24">
        <f t="shared" ca="1" si="92"/>
        <v>1.3602866680175296E-2</v>
      </c>
      <c r="Y355" s="24">
        <f t="shared" ca="1" si="93"/>
        <v>5.4383720199244978E-2</v>
      </c>
      <c r="Z355" s="24">
        <f t="shared" ca="1" si="94"/>
        <v>2.367950540691921E-2</v>
      </c>
      <c r="AA355" s="24">
        <f t="shared" ca="1" si="95"/>
        <v>4.1010241150805982E-2</v>
      </c>
      <c r="AB355" s="9" cm="1">
        <f t="array" aca="1" ref="AB355" ca="1">_xll.FDS($E$9,"P_PRICE("&amp;AG355&amp;",0,D,D)")</f>
        <v>5702.55</v>
      </c>
      <c r="AC355" s="9" cm="1">
        <f t="array" aca="1" ref="AC355" ca="1">_xll.FDS($E$9,"P_PRICE("&amp;AH355&amp;",0,D,D)")</f>
        <v>5626.02</v>
      </c>
      <c r="AD355" s="9" cm="1">
        <f t="array" aca="1" ref="AD355" ca="1">_xll.FDS($E$9,"P_PRICE("&amp;AI355&amp;",0,D,D)")</f>
        <v>5408.42</v>
      </c>
      <c r="AE355" s="9" cm="1">
        <f t="array" aca="1" ref="AE355" ca="1">_xll.FDS($E$9,"P_PRICE("&amp;AJ355&amp;",0,D,D)")</f>
        <v>5570.64</v>
      </c>
      <c r="AF355" s="9" cm="1">
        <f t="array" aca="1" ref="AF355" ca="1">_xll.FDS($E$9,"P_PRICE("&amp;AK355&amp;",0,D,D)")</f>
        <v>5477.9</v>
      </c>
      <c r="AG355" s="20">
        <f t="shared" ca="1" si="101"/>
        <v>45555</v>
      </c>
      <c r="AH355" s="22">
        <f t="shared" ca="1" si="96"/>
        <v>45548</v>
      </c>
      <c r="AI355" s="22">
        <f t="shared" ca="1" si="97"/>
        <v>45541</v>
      </c>
      <c r="AJ355" s="22">
        <f t="shared" ca="1" si="98"/>
        <v>45526</v>
      </c>
      <c r="AK355" s="22">
        <f t="shared" ca="1" si="99"/>
        <v>45469</v>
      </c>
      <c r="AL355" s="22">
        <f t="shared" ca="1" si="100"/>
        <v>45383</v>
      </c>
    </row>
    <row r="356" spans="4:38" x14ac:dyDescent="0.25">
      <c r="D356" s="6">
        <f ca="1"/>
        <v>45554</v>
      </c>
      <c r="E356" s="28" cm="1">
        <f t="array" aca="1" ref="E356" ca="1">_xll.FDS($E$7,"P_PRICE("&amp;D356&amp;",0,D,D)")</f>
        <v>92.73</v>
      </c>
      <c r="F356" s="29" cm="1">
        <f t="array" aca="1" ref="F356" ca="1">_xll.FDS($E$7,"P_BETA_LOCIDX("&amp;$AG356&amp;","&amp;$AL356&amp;",,"""&amp;$E$9&amp;""")")</f>
        <v>1.382266</v>
      </c>
      <c r="G356" s="30">
        <f t="shared" ca="1" si="86"/>
        <v>4.092510317607826E-2</v>
      </c>
      <c r="H356" s="30">
        <f t="shared" ca="1" si="86"/>
        <v>4.4983700888030463E-2</v>
      </c>
      <c r="I356" s="30">
        <f t="shared" ca="1" si="86"/>
        <v>3.816528663122902E-2</v>
      </c>
      <c r="J356" s="30">
        <f t="shared" ca="1" si="86"/>
        <v>0.20713092893046794</v>
      </c>
      <c r="K356" s="30">
        <f t="shared" ca="1" si="87"/>
        <v>2.9118746350808432E-2</v>
      </c>
      <c r="L356" s="30">
        <f t="shared" ca="1" si="87"/>
        <v>5.2802495394673556E-2</v>
      </c>
      <c r="M356" s="30">
        <f t="shared" ca="1" si="87"/>
        <v>2.28186950621347E-2</v>
      </c>
      <c r="N356" s="30">
        <f t="shared" ca="1" si="87"/>
        <v>6.1752486504671661E-2</v>
      </c>
      <c r="O356" s="30">
        <f t="shared" ca="1" si="88"/>
        <v>7.0043849526886692E-2</v>
      </c>
      <c r="P356" s="30">
        <f t="shared" ca="1" si="89"/>
        <v>9.7786196282704019E-2</v>
      </c>
      <c r="Q356" s="30">
        <f t="shared" ca="1" si="90"/>
        <v>6.098398169336372E-2</v>
      </c>
      <c r="R356" s="30">
        <f t="shared" ca="1" si="91"/>
        <v>0.26888341543513961</v>
      </c>
      <c r="S356" s="9" cm="1">
        <f t="array" aca="1" ref="S356" ca="1">_xll.FDS($E$7,"P_PRICE("&amp;AG356&amp;",0,D,D)")</f>
        <v>92.73</v>
      </c>
      <c r="T356" s="9" cm="1">
        <f t="array" aca="1" ref="T356" ca="1">_xll.FDS($E$7,"P_PRICE("&amp;AH356&amp;",0,D,D)")</f>
        <v>86.66</v>
      </c>
      <c r="U356" s="9" cm="1">
        <f t="array" aca="1" ref="U356" ca="1">_xll.FDS($E$7,"P_PRICE("&amp;AI356&amp;",0,D,D)")</f>
        <v>84.47</v>
      </c>
      <c r="V356" s="9" cm="1">
        <f t="array" aca="1" ref="V356" ca="1">_xll.FDS($E$7,"P_PRICE("&amp;AJ356&amp;",0,D,D)")</f>
        <v>87.4</v>
      </c>
      <c r="W356" s="9" cm="1">
        <f t="array" aca="1" ref="W356" ca="1">_xll.FDS($E$7,"P_PRICE("&amp;AK356&amp;",0,D,D)")</f>
        <v>73.08</v>
      </c>
      <c r="X356" s="24">
        <f t="shared" ca="1" si="92"/>
        <v>2.1065949933521066E-2</v>
      </c>
      <c r="Y356" s="24">
        <f t="shared" ca="1" si="93"/>
        <v>3.8199952393152659E-2</v>
      </c>
      <c r="Z356" s="24">
        <f t="shared" ca="1" si="94"/>
        <v>1.6508179367889175E-2</v>
      </c>
      <c r="AA356" s="24">
        <f t="shared" ca="1" si="95"/>
        <v>4.4674821275117571E-2</v>
      </c>
      <c r="AB356" s="9" cm="1">
        <f t="array" aca="1" ref="AB356" ca="1">_xll.FDS($E$9,"P_PRICE("&amp;AG356&amp;",0,D,D)")</f>
        <v>5713.64</v>
      </c>
      <c r="AC356" s="9" cm="1">
        <f t="array" aca="1" ref="AC356" ca="1">_xll.FDS($E$9,"P_PRICE("&amp;AH356&amp;",0,D,D)")</f>
        <v>5595.76</v>
      </c>
      <c r="AD356" s="9" cm="1">
        <f t="array" aca="1" ref="AD356" ca="1">_xll.FDS($E$9,"P_PRICE("&amp;AI356&amp;",0,D,D)")</f>
        <v>5503.41</v>
      </c>
      <c r="AE356" s="9" cm="1">
        <f t="array" aca="1" ref="AE356" ca="1">_xll.FDS($E$9,"P_PRICE("&amp;AJ356&amp;",0,D,D)")</f>
        <v>5620.85</v>
      </c>
      <c r="AF356" s="9" cm="1">
        <f t="array" aca="1" ref="AF356" ca="1">_xll.FDS($E$9,"P_PRICE("&amp;AK356&amp;",0,D,D)")</f>
        <v>5469.3</v>
      </c>
      <c r="AG356" s="20">
        <f t="shared" ca="1" si="101"/>
        <v>45554</v>
      </c>
      <c r="AH356" s="22">
        <f t="shared" ca="1" si="96"/>
        <v>45547</v>
      </c>
      <c r="AI356" s="22">
        <f t="shared" ca="1" si="97"/>
        <v>45540</v>
      </c>
      <c r="AJ356" s="22">
        <f t="shared" ca="1" si="98"/>
        <v>45525</v>
      </c>
      <c r="AK356" s="22">
        <f t="shared" ca="1" si="99"/>
        <v>45468</v>
      </c>
      <c r="AL356" s="22">
        <f t="shared" ca="1" si="100"/>
        <v>45379</v>
      </c>
    </row>
    <row r="357" spans="4:38" x14ac:dyDescent="0.25">
      <c r="D357" s="6">
        <f ca="1"/>
        <v>45553</v>
      </c>
      <c r="E357" s="28" cm="1">
        <f t="array" aca="1" ref="E357" ca="1">_xll.FDS($E$7,"P_PRICE("&amp;D357&amp;",0,D,D)")</f>
        <v>90.04</v>
      </c>
      <c r="F357" s="29" cm="1">
        <f t="array" aca="1" ref="F357" ca="1">_xll.FDS($E$7,"P_BETA_LOCIDX("&amp;$AG357&amp;","&amp;$AL357&amp;",,"""&amp;$E$9&amp;""")")</f>
        <v>1.3472294</v>
      </c>
      <c r="G357" s="30">
        <f t="shared" ca="1" si="86"/>
        <v>4.0260535661655848E-2</v>
      </c>
      <c r="H357" s="30">
        <f t="shared" ca="1" si="86"/>
        <v>3.3091375617813897E-2</v>
      </c>
      <c r="I357" s="30">
        <f t="shared" ca="1" si="86"/>
        <v>5.0603935887838396E-2</v>
      </c>
      <c r="J357" s="30">
        <f t="shared" ca="1" si="86"/>
        <v>0.17297816520823278</v>
      </c>
      <c r="K357" s="30">
        <f t="shared" ca="1" si="87"/>
        <v>1.5555599422771885E-2</v>
      </c>
      <c r="L357" s="30">
        <f t="shared" ca="1" si="87"/>
        <v>2.3964271247647377E-2</v>
      </c>
      <c r="M357" s="30">
        <f t="shared" ca="1" si="87"/>
        <v>5.0884078804814921E-3</v>
      </c>
      <c r="N357" s="30">
        <f t="shared" ca="1" si="87"/>
        <v>4.2136544643319451E-2</v>
      </c>
      <c r="O357" s="30">
        <f t="shared" ca="1" si="88"/>
        <v>5.5816135084427732E-2</v>
      </c>
      <c r="P357" s="30">
        <f t="shared" ca="1" si="89"/>
        <v>5.7055646865461274E-2</v>
      </c>
      <c r="Q357" s="30">
        <f t="shared" ca="1" si="90"/>
        <v>5.5692343768319885E-2</v>
      </c>
      <c r="R357" s="30">
        <f t="shared" ca="1" si="91"/>
        <v>0.21511470985155223</v>
      </c>
      <c r="S357" s="9" cm="1">
        <f t="array" aca="1" ref="S357" ca="1">_xll.FDS($E$7,"P_PRICE("&amp;AG357&amp;",0,D,D)")</f>
        <v>90.04</v>
      </c>
      <c r="T357" s="9" cm="1">
        <f t="array" aca="1" ref="T357" ca="1">_xll.FDS($E$7,"P_PRICE("&amp;AH357&amp;",0,D,D)")</f>
        <v>85.28</v>
      </c>
      <c r="U357" s="9" cm="1">
        <f t="array" aca="1" ref="U357" ca="1">_xll.FDS($E$7,"P_PRICE("&amp;AI357&amp;",0,D,D)")</f>
        <v>85.18</v>
      </c>
      <c r="V357" s="9" cm="1">
        <f t="array" aca="1" ref="V357" ca="1">_xll.FDS($E$7,"P_PRICE("&amp;AJ357&amp;",0,D,D)")</f>
        <v>85.29</v>
      </c>
      <c r="W357" s="9" cm="1">
        <f t="array" aca="1" ref="W357" ca="1">_xll.FDS($E$7,"P_PRICE("&amp;AK357&amp;",0,D,D)")</f>
        <v>74.099999999999994</v>
      </c>
      <c r="X357" s="24">
        <f t="shared" ca="1" si="92"/>
        <v>1.1546362796693632E-2</v>
      </c>
      <c r="Y357" s="24">
        <f t="shared" ca="1" si="93"/>
        <v>1.7787817908106351E-2</v>
      </c>
      <c r="Z357" s="24">
        <f t="shared" ca="1" si="94"/>
        <v>3.7769424275342356E-3</v>
      </c>
      <c r="AA357" s="24">
        <f t="shared" ca="1" si="95"/>
        <v>3.1276443821163236E-2</v>
      </c>
      <c r="AB357" s="9" cm="1">
        <f t="array" aca="1" ref="AB357" ca="1">_xll.FDS($E$9,"P_PRICE("&amp;AG357&amp;",0,D,D)")</f>
        <v>5618.26</v>
      </c>
      <c r="AC357" s="9" cm="1">
        <f t="array" aca="1" ref="AC357" ca="1">_xll.FDS($E$9,"P_PRICE("&amp;AH357&amp;",0,D,D)")</f>
        <v>5554.13</v>
      </c>
      <c r="AD357" s="9" cm="1">
        <f t="array" aca="1" ref="AD357" ca="1">_xll.FDS($E$9,"P_PRICE("&amp;AI357&amp;",0,D,D)")</f>
        <v>5520.07</v>
      </c>
      <c r="AE357" s="9" cm="1">
        <f t="array" aca="1" ref="AE357" ca="1">_xll.FDS($E$9,"P_PRICE("&amp;AJ357&amp;",0,D,D)")</f>
        <v>5597.12</v>
      </c>
      <c r="AF357" s="9" cm="1">
        <f t="array" aca="1" ref="AF357" ca="1">_xll.FDS($E$9,"P_PRICE("&amp;AK357&amp;",0,D,D)")</f>
        <v>5447.87</v>
      </c>
      <c r="AG357" s="20">
        <f t="shared" ca="1" si="101"/>
        <v>45553</v>
      </c>
      <c r="AH357" s="22">
        <f t="shared" ca="1" si="96"/>
        <v>45546</v>
      </c>
      <c r="AI357" s="22">
        <f t="shared" ca="1" si="97"/>
        <v>45539</v>
      </c>
      <c r="AJ357" s="22">
        <f t="shared" ca="1" si="98"/>
        <v>45524</v>
      </c>
      <c r="AK357" s="22">
        <f t="shared" ca="1" si="99"/>
        <v>45467</v>
      </c>
      <c r="AL357" s="22">
        <f t="shared" ca="1" si="100"/>
        <v>45378</v>
      </c>
    </row>
    <row r="358" spans="4:38" x14ac:dyDescent="0.25">
      <c r="D358" s="6">
        <f ca="1"/>
        <v>45552</v>
      </c>
      <c r="E358" s="28" cm="1">
        <f t="array" aca="1" ref="E358" ca="1">_xll.FDS($E$7,"P_PRICE("&amp;D358&amp;",0,D,D)")</f>
        <v>89.27</v>
      </c>
      <c r="F358" s="29" cm="1">
        <f t="array" aca="1" ref="F358" ca="1">_xll.FDS($E$7,"P_BETA_LOCIDX("&amp;$AG358&amp;","&amp;$AL358&amp;",,"""&amp;$E$9&amp;""")")</f>
        <v>1.3496414000000001</v>
      </c>
      <c r="G358" s="30">
        <f t="shared" ca="1" si="86"/>
        <v>8.6003544928235157E-3</v>
      </c>
      <c r="H358" s="30">
        <f t="shared" ca="1" si="86"/>
        <v>-1.2164205215101507E-2</v>
      </c>
      <c r="I358" s="30">
        <f t="shared" ca="1" si="86"/>
        <v>4.4146076668732673E-2</v>
      </c>
      <c r="J358" s="30">
        <f t="shared" ca="1" si="86"/>
        <v>0.136194384132168</v>
      </c>
      <c r="K358" s="30">
        <f t="shared" ca="1" si="87"/>
        <v>3.4151660458700848E-2</v>
      </c>
      <c r="L358" s="30">
        <f t="shared" ca="1" si="87"/>
        <v>2.5789730365549966E-2</v>
      </c>
      <c r="M358" s="30">
        <f t="shared" ca="1" si="87"/>
        <v>6.3363897939643799E-3</v>
      </c>
      <c r="N358" s="30">
        <f t="shared" ca="1" si="87"/>
        <v>4.1976395859913321E-2</v>
      </c>
      <c r="O358" s="30">
        <f t="shared" ca="1" si="88"/>
        <v>4.2752014951524364E-2</v>
      </c>
      <c r="P358" s="30">
        <f t="shared" ca="1" si="89"/>
        <v>1.3625525150448459E-2</v>
      </c>
      <c r="Q358" s="30">
        <f t="shared" ca="1" si="90"/>
        <v>5.0482466462697051E-2</v>
      </c>
      <c r="R358" s="30">
        <f t="shared" ca="1" si="91"/>
        <v>0.17817077999208131</v>
      </c>
      <c r="S358" s="9" cm="1">
        <f t="array" aca="1" ref="S358" ca="1">_xll.FDS($E$7,"P_PRICE("&amp;AG358&amp;",0,D,D)")</f>
        <v>89.27</v>
      </c>
      <c r="T358" s="9" cm="1">
        <f t="array" aca="1" ref="T358" ca="1">_xll.FDS($E$7,"P_PRICE("&amp;AH358&amp;",0,D,D)")</f>
        <v>85.61</v>
      </c>
      <c r="U358" s="9" cm="1">
        <f t="array" aca="1" ref="U358" ca="1">_xll.FDS($E$7,"P_PRICE("&amp;AI358&amp;",0,D,D)")</f>
        <v>88.07</v>
      </c>
      <c r="V358" s="9" cm="1">
        <f t="array" aca="1" ref="V358" ca="1">_xll.FDS($E$7,"P_PRICE("&amp;AJ358&amp;",0,D,D)")</f>
        <v>84.98</v>
      </c>
      <c r="W358" s="9" cm="1">
        <f t="array" aca="1" ref="W358" ca="1">_xll.FDS($E$7,"P_PRICE("&amp;AK358&amp;",0,D,D)")</f>
        <v>75.77</v>
      </c>
      <c r="X358" s="24">
        <f t="shared" ca="1" si="92"/>
        <v>2.5304247823681791E-2</v>
      </c>
      <c r="Y358" s="24">
        <f t="shared" ca="1" si="93"/>
        <v>1.9108579779451018E-2</v>
      </c>
      <c r="Z358" s="24">
        <f t="shared" ca="1" si="94"/>
        <v>4.6948691659609576E-3</v>
      </c>
      <c r="AA358" s="24">
        <f t="shared" ca="1" si="95"/>
        <v>3.1101888145927736E-2</v>
      </c>
      <c r="AB358" s="9" cm="1">
        <f t="array" aca="1" ref="AB358" ca="1">_xll.FDS($E$9,"P_PRICE("&amp;AG358&amp;",0,D,D)")</f>
        <v>5634.58</v>
      </c>
      <c r="AC358" s="9" cm="1">
        <f t="array" aca="1" ref="AC358" ca="1">_xll.FDS($E$9,"P_PRICE("&amp;AH358&amp;",0,D,D)")</f>
        <v>5495.52</v>
      </c>
      <c r="AD358" s="9" cm="1">
        <f t="array" aca="1" ref="AD358" ca="1">_xll.FDS($E$9,"P_PRICE("&amp;AI358&amp;",0,D,D)")</f>
        <v>5528.93</v>
      </c>
      <c r="AE358" s="9" cm="1">
        <f t="array" aca="1" ref="AE358" ca="1">_xll.FDS($E$9,"P_PRICE("&amp;AJ358&amp;",0,D,D)")</f>
        <v>5608.25</v>
      </c>
      <c r="AF358" s="9" cm="1">
        <f t="array" aca="1" ref="AF358" ca="1">_xll.FDS($E$9,"P_PRICE("&amp;AK358&amp;",0,D,D)")</f>
        <v>5464.62</v>
      </c>
      <c r="AG358" s="20">
        <f t="shared" ca="1" si="101"/>
        <v>45552</v>
      </c>
      <c r="AH358" s="22">
        <f t="shared" ca="1" si="96"/>
        <v>45545</v>
      </c>
      <c r="AI358" s="22">
        <f t="shared" ca="1" si="97"/>
        <v>45538</v>
      </c>
      <c r="AJ358" s="22">
        <f t="shared" ca="1" si="98"/>
        <v>45523</v>
      </c>
      <c r="AK358" s="22">
        <f t="shared" ca="1" si="99"/>
        <v>45464</v>
      </c>
      <c r="AL358" s="22">
        <f t="shared" ca="1" si="100"/>
        <v>45377</v>
      </c>
    </row>
    <row r="359" spans="4:38" x14ac:dyDescent="0.25">
      <c r="D359" s="6">
        <f ca="1"/>
        <v>45551</v>
      </c>
      <c r="E359" s="28" cm="1">
        <f t="array" aca="1" ref="E359" ca="1">_xll.FDS($E$7,"P_PRICE("&amp;D359&amp;",0,D,D)")</f>
        <v>89.17</v>
      </c>
      <c r="F359" s="29" cm="1">
        <f t="array" aca="1" ref="F359" ca="1">_xll.FDS($E$7,"P_BETA_LOCIDX("&amp;$AG359&amp;","&amp;$AL359&amp;",,"""&amp;$E$9&amp;""")")</f>
        <v>1.3448509</v>
      </c>
      <c r="G359" s="30">
        <f t="shared" ca="1" si="86"/>
        <v>1.7938458754098413E-2</v>
      </c>
      <c r="H359" s="30">
        <f t="shared" ca="1" si="86"/>
        <v>-1.3981748089011614E-2</v>
      </c>
      <c r="I359" s="30">
        <f t="shared" ca="1" si="86"/>
        <v>4.0188204047489018E-2</v>
      </c>
      <c r="J359" s="30">
        <f t="shared" ca="1" si="86"/>
        <v>0.13445773489340399</v>
      </c>
      <c r="K359" s="30">
        <f t="shared" ca="1" si="87"/>
        <v>3.9831410759543301E-2</v>
      </c>
      <c r="L359" s="30">
        <f t="shared" ca="1" si="87"/>
        <v>-3.6452211739606325E-3</v>
      </c>
      <c r="M359" s="30">
        <f t="shared" ca="1" si="87"/>
        <v>1.9089534132601171E-2</v>
      </c>
      <c r="N359" s="30">
        <f t="shared" ca="1" si="87"/>
        <v>3.9295062263368513E-2</v>
      </c>
      <c r="O359" s="30">
        <f t="shared" ca="1" si="88"/>
        <v>5.7769869513641714E-2</v>
      </c>
      <c r="P359" s="30">
        <f t="shared" ca="1" si="89"/>
        <v>-1.7626969262972247E-2</v>
      </c>
      <c r="Q359" s="30">
        <f t="shared" ca="1" si="90"/>
        <v>5.9277738180090189E-2</v>
      </c>
      <c r="R359" s="30">
        <f t="shared" ca="1" si="91"/>
        <v>0.1737527971567725</v>
      </c>
      <c r="S359" s="9" cm="1">
        <f t="array" aca="1" ref="S359" ca="1">_xll.FDS($E$7,"P_PRICE("&amp;AG359&amp;",0,D,D)")</f>
        <v>89.17</v>
      </c>
      <c r="T359" s="9" cm="1">
        <f t="array" aca="1" ref="T359" ca="1">_xll.FDS($E$7,"P_PRICE("&amp;AH359&amp;",0,D,D)")</f>
        <v>84.3</v>
      </c>
      <c r="U359" s="9" cm="1">
        <f t="array" aca="1" ref="U359" ca="1">_xll.FDS($E$7,"P_PRICE("&amp;AI359&amp;",0,D,D)")</f>
        <v>90.77</v>
      </c>
      <c r="V359" s="9" cm="1">
        <f t="array" aca="1" ref="V359" ca="1">_xll.FDS($E$7,"P_PRICE("&amp;AJ359&amp;",0,D,D)")</f>
        <v>84.18</v>
      </c>
      <c r="W359" s="9" cm="1">
        <f t="array" aca="1" ref="W359" ca="1">_xll.FDS($E$7,"P_PRICE("&amp;AK359&amp;",0,D,D)")</f>
        <v>75.97</v>
      </c>
      <c r="X359" s="24">
        <f t="shared" ca="1" si="92"/>
        <v>2.9617715063835925E-2</v>
      </c>
      <c r="Y359" s="24">
        <f t="shared" ca="1" si="93"/>
        <v>-2.7105020890870746E-3</v>
      </c>
      <c r="Z359" s="24">
        <f t="shared" ca="1" si="94"/>
        <v>1.4194535715893242E-2</v>
      </c>
      <c r="AA359" s="24">
        <f t="shared" ca="1" si="95"/>
        <v>2.9218898736929511E-2</v>
      </c>
      <c r="AB359" s="9" cm="1">
        <f t="array" aca="1" ref="AB359" ca="1">_xll.FDS($E$9,"P_PRICE("&amp;AG359&amp;",0,D,D)")</f>
        <v>5633.09</v>
      </c>
      <c r="AC359" s="9" cm="1">
        <f t="array" aca="1" ref="AC359" ca="1">_xll.FDS($E$9,"P_PRICE("&amp;AH359&amp;",0,D,D)")</f>
        <v>5471.05</v>
      </c>
      <c r="AD359" s="9" cm="1">
        <f t="array" aca="1" ref="AD359" ca="1">_xll.FDS($E$9,"P_PRICE("&amp;AI359&amp;",0,D,D)")</f>
        <v>5648.4</v>
      </c>
      <c r="AE359" s="9" cm="1">
        <f t="array" aca="1" ref="AE359" ca="1">_xll.FDS($E$9,"P_PRICE("&amp;AJ359&amp;",0,D,D)")</f>
        <v>5554.25</v>
      </c>
      <c r="AF359" s="9" cm="1">
        <f t="array" aca="1" ref="AF359" ca="1">_xll.FDS($E$9,"P_PRICE("&amp;AK359&amp;",0,D,D)")</f>
        <v>5473.17</v>
      </c>
      <c r="AG359" s="20">
        <f t="shared" ca="1" si="101"/>
        <v>45551</v>
      </c>
      <c r="AH359" s="22">
        <f t="shared" ca="1" si="96"/>
        <v>45544</v>
      </c>
      <c r="AI359" s="22">
        <f t="shared" ca="1" si="97"/>
        <v>45534</v>
      </c>
      <c r="AJ359" s="22">
        <f t="shared" ca="1" si="98"/>
        <v>45520</v>
      </c>
      <c r="AK359" s="22">
        <f t="shared" ca="1" si="99"/>
        <v>45463</v>
      </c>
      <c r="AL359" s="22">
        <f t="shared" ca="1" si="100"/>
        <v>45376</v>
      </c>
    </row>
    <row r="360" spans="4:38" x14ac:dyDescent="0.25">
      <c r="D360" s="6">
        <f ca="1"/>
        <v>45548</v>
      </c>
      <c r="E360" s="28" cm="1">
        <f t="array" aca="1" ref="E360" ca="1">_xll.FDS($E$7,"P_PRICE("&amp;D360&amp;",0,D,D)")</f>
        <v>87.49</v>
      </c>
      <c r="F360" s="29" cm="1">
        <f t="array" aca="1" ref="F360" ca="1">_xll.FDS($E$7,"P_BETA_LOCIDX("&amp;$AG360&amp;","&amp;$AL360&amp;",,"""&amp;$E$9&amp;""")")</f>
        <v>1.3414888</v>
      </c>
      <c r="G360" s="30">
        <f t="shared" ca="1" si="86"/>
        <v>-2.865938365367153E-2</v>
      </c>
      <c r="H360" s="30">
        <f t="shared" ca="1" si="86"/>
        <v>-1.7456329173770227E-2</v>
      </c>
      <c r="I360" s="30">
        <f t="shared" ca="1" si="86"/>
        <v>1.8026498845950291E-3</v>
      </c>
      <c r="J360" s="30">
        <f t="shared" ca="1" si="86"/>
        <v>8.9414192259779729E-2</v>
      </c>
      <c r="K360" s="30">
        <f t="shared" ca="1" si="87"/>
        <v>5.3972872461828067E-2</v>
      </c>
      <c r="L360" s="30">
        <f t="shared" ca="1" si="87"/>
        <v>8.1708575397536187E-3</v>
      </c>
      <c r="M360" s="30">
        <f t="shared" ca="1" si="87"/>
        <v>2.0038041542641407E-2</v>
      </c>
      <c r="N360" s="30">
        <f t="shared" ca="1" si="87"/>
        <v>3.398077435552585E-2</v>
      </c>
      <c r="O360" s="30">
        <f t="shared" ca="1" si="88"/>
        <v>2.5313488808156537E-2</v>
      </c>
      <c r="P360" s="30">
        <f t="shared" ca="1" si="89"/>
        <v>-9.2854716340166066E-3</v>
      </c>
      <c r="Q360" s="30">
        <f t="shared" ca="1" si="90"/>
        <v>2.1840691427236436E-2</v>
      </c>
      <c r="R360" s="30">
        <f t="shared" ca="1" si="91"/>
        <v>0.12339496661530558</v>
      </c>
      <c r="S360" s="9" cm="1">
        <f t="array" aca="1" ref="S360" ca="1">_xll.FDS($E$7,"P_PRICE("&amp;AG360&amp;",0,D,D)")</f>
        <v>87.49</v>
      </c>
      <c r="T360" s="9" cm="1">
        <f t="array" aca="1" ref="T360" ca="1">_xll.FDS($E$7,"P_PRICE("&amp;AH360&amp;",0,D,D)")</f>
        <v>85.33</v>
      </c>
      <c r="U360" s="9" cm="1">
        <f t="array" aca="1" ref="U360" ca="1">_xll.FDS($E$7,"P_PRICE("&amp;AI360&amp;",0,D,D)")</f>
        <v>88.31</v>
      </c>
      <c r="V360" s="9" cm="1">
        <f t="array" aca="1" ref="V360" ca="1">_xll.FDS($E$7,"P_PRICE("&amp;AJ360&amp;",0,D,D)")</f>
        <v>85.62</v>
      </c>
      <c r="W360" s="9" cm="1">
        <f t="array" aca="1" ref="W360" ca="1">_xll.FDS($E$7,"P_PRICE("&amp;AK360&amp;",0,D,D)")</f>
        <v>77.88</v>
      </c>
      <c r="X360" s="24">
        <f t="shared" ca="1" si="92"/>
        <v>4.0233561742616164E-2</v>
      </c>
      <c r="Y360" s="24">
        <f t="shared" ca="1" si="93"/>
        <v>6.0908876315282079E-3</v>
      </c>
      <c r="Z360" s="24">
        <f t="shared" ca="1" si="94"/>
        <v>1.4937166484462194E-2</v>
      </c>
      <c r="AA360" s="24">
        <f t="shared" ca="1" si="95"/>
        <v>2.533064335350832E-2</v>
      </c>
      <c r="AB360" s="9" cm="1">
        <f t="array" aca="1" ref="AB360" ca="1">_xll.FDS($E$9,"P_PRICE("&amp;AG360&amp;",0,D,D)")</f>
        <v>5626.02</v>
      </c>
      <c r="AC360" s="9" cm="1">
        <f t="array" aca="1" ref="AC360" ca="1">_xll.FDS($E$9,"P_PRICE("&amp;AH360&amp;",0,D,D)")</f>
        <v>5408.42</v>
      </c>
      <c r="AD360" s="9" cm="1">
        <f t="array" aca="1" ref="AD360" ca="1">_xll.FDS($E$9,"P_PRICE("&amp;AI360&amp;",0,D,D)")</f>
        <v>5591.96</v>
      </c>
      <c r="AE360" s="9" cm="1">
        <f t="array" aca="1" ref="AE360" ca="1">_xll.FDS($E$9,"P_PRICE("&amp;AJ360&amp;",0,D,D)")</f>
        <v>5543.22</v>
      </c>
      <c r="AF360" s="9" cm="1">
        <f t="array" aca="1" ref="AF360" ca="1">_xll.FDS($E$9,"P_PRICE("&amp;AK360&amp;",0,D,D)")</f>
        <v>5487.03</v>
      </c>
      <c r="AG360" s="20">
        <f t="shared" ca="1" si="101"/>
        <v>45548</v>
      </c>
      <c r="AH360" s="22">
        <f t="shared" ca="1" si="96"/>
        <v>45541</v>
      </c>
      <c r="AI360" s="22">
        <f t="shared" ca="1" si="97"/>
        <v>45533</v>
      </c>
      <c r="AJ360" s="22">
        <f t="shared" ca="1" si="98"/>
        <v>45519</v>
      </c>
      <c r="AK360" s="22">
        <f t="shared" ca="1" si="99"/>
        <v>45461</v>
      </c>
      <c r="AL360" s="22">
        <f t="shared" ca="1" si="100"/>
        <v>45373</v>
      </c>
    </row>
    <row r="361" spans="4:38" x14ac:dyDescent="0.25">
      <c r="D361" s="6">
        <f ca="1"/>
        <v>45547</v>
      </c>
      <c r="E361" s="28" cm="1">
        <f t="array" aca="1" ref="E361" ca="1">_xll.FDS($E$7,"P_PRICE("&amp;D361&amp;",0,D,D)")</f>
        <v>86.66</v>
      </c>
      <c r="F361" s="29" cm="1">
        <f t="array" aca="1" ref="F361" ca="1">_xll.FDS($E$7,"P_BETA_LOCIDX("&amp;$AG361&amp;","&amp;$AL361&amp;",,"""&amp;$E$9&amp;""")")</f>
        <v>1.337734</v>
      </c>
      <c r="G361" s="30">
        <f t="shared" ca="1" si="86"/>
        <v>3.4785120763400415E-3</v>
      </c>
      <c r="H361" s="30">
        <f t="shared" ca="1" si="86"/>
        <v>-1.2940293452124302E-2</v>
      </c>
      <c r="I361" s="30">
        <f t="shared" ca="1" si="86"/>
        <v>5.2461958343060777E-3</v>
      </c>
      <c r="J361" s="30">
        <f t="shared" ca="1" si="86"/>
        <v>7.0915774551460628E-2</v>
      </c>
      <c r="K361" s="30">
        <f t="shared" ca="1" si="87"/>
        <v>2.2447852313384024E-2</v>
      </c>
      <c r="L361" s="30">
        <f t="shared" ca="1" si="87"/>
        <v>8.5639012335089683E-4</v>
      </c>
      <c r="M361" s="30">
        <f t="shared" ca="1" si="87"/>
        <v>3.4465861754176319E-2</v>
      </c>
      <c r="N361" s="30">
        <f t="shared" ca="1" si="87"/>
        <v>2.9948046586750727E-2</v>
      </c>
      <c r="O361" s="30">
        <f t="shared" ca="1" si="88"/>
        <v>2.5926364389724066E-2</v>
      </c>
      <c r="P361" s="30">
        <f t="shared" ca="1" si="89"/>
        <v>-1.2083903328773404E-2</v>
      </c>
      <c r="Q361" s="30">
        <f t="shared" ca="1" si="90"/>
        <v>3.9712057588482397E-2</v>
      </c>
      <c r="R361" s="30">
        <f t="shared" ca="1" si="91"/>
        <v>0.10086382113821135</v>
      </c>
      <c r="S361" s="9" cm="1">
        <f t="array" aca="1" ref="S361" ca="1">_xll.FDS($E$7,"P_PRICE("&amp;AG361&amp;",0,D,D)")</f>
        <v>86.66</v>
      </c>
      <c r="T361" s="9" cm="1">
        <f t="array" aca="1" ref="T361" ca="1">_xll.FDS($E$7,"P_PRICE("&amp;AH361&amp;",0,D,D)")</f>
        <v>84.47</v>
      </c>
      <c r="U361" s="9" cm="1">
        <f t="array" aca="1" ref="U361" ca="1">_xll.FDS($E$7,"P_PRICE("&amp;AI361&amp;",0,D,D)")</f>
        <v>87.72</v>
      </c>
      <c r="V361" s="9" cm="1">
        <f t="array" aca="1" ref="V361" ca="1">_xll.FDS($E$7,"P_PRICE("&amp;AJ361&amp;",0,D,D)")</f>
        <v>83.35</v>
      </c>
      <c r="W361" s="9" cm="1">
        <f t="array" aca="1" ref="W361" ca="1">_xll.FDS($E$7,"P_PRICE("&amp;AK361&amp;",0,D,D)")</f>
        <v>78.72</v>
      </c>
      <c r="X361" s="24">
        <f t="shared" ca="1" si="92"/>
        <v>1.6780505177699023E-2</v>
      </c>
      <c r="Y361" s="24">
        <f t="shared" ca="1" si="93"/>
        <v>6.4017967948104548E-4</v>
      </c>
      <c r="Z361" s="24">
        <f t="shared" ca="1" si="94"/>
        <v>2.5764361042013073E-2</v>
      </c>
      <c r="AA361" s="24">
        <f t="shared" ca="1" si="95"/>
        <v>2.2387146164148275E-2</v>
      </c>
      <c r="AB361" s="9" cm="1">
        <f t="array" aca="1" ref="AB361" ca="1">_xll.FDS($E$9,"P_PRICE("&amp;AG361&amp;",0,D,D)")</f>
        <v>5595.76</v>
      </c>
      <c r="AC361" s="9" cm="1">
        <f t="array" aca="1" ref="AC361" ca="1">_xll.FDS($E$9,"P_PRICE("&amp;AH361&amp;",0,D,D)")</f>
        <v>5503.41</v>
      </c>
      <c r="AD361" s="9" cm="1">
        <f t="array" aca="1" ref="AD361" ca="1">_xll.FDS($E$9,"P_PRICE("&amp;AI361&amp;",0,D,D)")</f>
        <v>5592.18</v>
      </c>
      <c r="AE361" s="9" cm="1">
        <f t="array" aca="1" ref="AE361" ca="1">_xll.FDS($E$9,"P_PRICE("&amp;AJ361&amp;",0,D,D)")</f>
        <v>5455.21</v>
      </c>
      <c r="AF361" s="9" cm="1">
        <f t="array" aca="1" ref="AF361" ca="1">_xll.FDS($E$9,"P_PRICE("&amp;AK361&amp;",0,D,D)")</f>
        <v>5473.23</v>
      </c>
      <c r="AG361" s="20">
        <f t="shared" ca="1" si="101"/>
        <v>45547</v>
      </c>
      <c r="AH361" s="22">
        <f t="shared" ca="1" si="96"/>
        <v>45540</v>
      </c>
      <c r="AI361" s="22">
        <f t="shared" ca="1" si="97"/>
        <v>45532</v>
      </c>
      <c r="AJ361" s="22">
        <f t="shared" ca="1" si="98"/>
        <v>45518</v>
      </c>
      <c r="AK361" s="22">
        <f t="shared" ca="1" si="99"/>
        <v>45460</v>
      </c>
      <c r="AL361" s="22">
        <f t="shared" ca="1" si="100"/>
        <v>45372</v>
      </c>
    </row>
    <row r="362" spans="4:38" x14ac:dyDescent="0.25">
      <c r="D362" s="6">
        <f ca="1"/>
        <v>45546</v>
      </c>
      <c r="E362" s="28" cm="1">
        <f t="array" aca="1" ref="E362" ca="1">_xll.FDS($E$7,"P_PRICE("&amp;D362&amp;",0,D,D)")</f>
        <v>85.28</v>
      </c>
      <c r="F362" s="29" cm="1">
        <f t="array" aca="1" ref="F362" ca="1">_xll.FDS($E$7,"P_BETA_LOCIDX("&amp;$AG362&amp;","&amp;$AL362&amp;",,"""&amp;$E$9&amp;""")")</f>
        <v>1.3354571</v>
      </c>
      <c r="G362" s="30">
        <f t="shared" ca="1" si="86"/>
        <v>-7.0660683991855492E-3</v>
      </c>
      <c r="H362" s="30">
        <f t="shared" ca="1" si="86"/>
        <v>-1.5215694513019188E-2</v>
      </c>
      <c r="I362" s="30">
        <f t="shared" ca="1" si="86"/>
        <v>-7.4857850053030341E-3</v>
      </c>
      <c r="J362" s="30">
        <f t="shared" ca="1" si="86"/>
        <v>8.3916892409359692E-2</v>
      </c>
      <c r="K362" s="30">
        <f t="shared" ca="1" si="87"/>
        <v>8.2400529025899952E-3</v>
      </c>
      <c r="L362" s="30">
        <f t="shared" ca="1" si="87"/>
        <v>-1.7013084424792876E-2</v>
      </c>
      <c r="M362" s="30">
        <f t="shared" ca="1" si="87"/>
        <v>2.9415083986728961E-2</v>
      </c>
      <c r="N362" s="30">
        <f t="shared" ca="1" si="87"/>
        <v>3.0126216669673786E-2</v>
      </c>
      <c r="O362" s="30">
        <f t="shared" ca="1" si="88"/>
        <v>1.173984503404446E-3</v>
      </c>
      <c r="P362" s="30">
        <f t="shared" ca="1" si="89"/>
        <v>-3.2228778937812064E-2</v>
      </c>
      <c r="Q362" s="30">
        <f t="shared" ca="1" si="90"/>
        <v>2.1929298981425926E-2</v>
      </c>
      <c r="R362" s="30">
        <f t="shared" ca="1" si="91"/>
        <v>0.11404310907903348</v>
      </c>
      <c r="S362" s="9" cm="1">
        <f t="array" aca="1" ref="S362" ca="1">_xll.FDS($E$7,"P_PRICE("&amp;AG362&amp;",0,D,D)")</f>
        <v>85.28</v>
      </c>
      <c r="T362" s="9" cm="1">
        <f t="array" aca="1" ref="T362" ca="1">_xll.FDS($E$7,"P_PRICE("&amp;AH362&amp;",0,D,D)")</f>
        <v>85.18</v>
      </c>
      <c r="U362" s="9" cm="1">
        <f t="array" aca="1" ref="U362" ca="1">_xll.FDS($E$7,"P_PRICE("&amp;AI362&amp;",0,D,D)")</f>
        <v>88.12</v>
      </c>
      <c r="V362" s="9" cm="1">
        <f t="array" aca="1" ref="V362" ca="1">_xll.FDS($E$7,"P_PRICE("&amp;AJ362&amp;",0,D,D)")</f>
        <v>83.45</v>
      </c>
      <c r="W362" s="9" cm="1">
        <f t="array" aca="1" ref="W362" ca="1">_xll.FDS($E$7,"P_PRICE("&amp;AK362&amp;",0,D,D)")</f>
        <v>76.55</v>
      </c>
      <c r="X362" s="24">
        <f t="shared" ca="1" si="92"/>
        <v>6.1702116096353787E-3</v>
      </c>
      <c r="Y362" s="24">
        <f t="shared" ca="1" si="93"/>
        <v>-1.2739521490276906E-2</v>
      </c>
      <c r="Z362" s="24">
        <f t="shared" ca="1" si="94"/>
        <v>2.2026229061741454E-2</v>
      </c>
      <c r="AA362" s="24">
        <f t="shared" ca="1" si="95"/>
        <v>2.2558730392517878E-2</v>
      </c>
      <c r="AB362" s="9" cm="1">
        <f t="array" aca="1" ref="AB362" ca="1">_xll.FDS($E$9,"P_PRICE("&amp;AG362&amp;",0,D,D)")</f>
        <v>5554.13</v>
      </c>
      <c r="AC362" s="9" cm="1">
        <f t="array" aca="1" ref="AC362" ca="1">_xll.FDS($E$9,"P_PRICE("&amp;AH362&amp;",0,D,D)")</f>
        <v>5520.07</v>
      </c>
      <c r="AD362" s="9" cm="1">
        <f t="array" aca="1" ref="AD362" ca="1">_xll.FDS($E$9,"P_PRICE("&amp;AI362&amp;",0,D,D)")</f>
        <v>5625.8</v>
      </c>
      <c r="AE362" s="9" cm="1">
        <f t="array" aca="1" ref="AE362" ca="1">_xll.FDS($E$9,"P_PRICE("&amp;AJ362&amp;",0,D,D)")</f>
        <v>5434.43</v>
      </c>
      <c r="AF362" s="9" cm="1">
        <f t="array" aca="1" ref="AF362" ca="1">_xll.FDS($E$9,"P_PRICE("&amp;AK362&amp;",0,D,D)")</f>
        <v>5431.6</v>
      </c>
      <c r="AG362" s="20">
        <f t="shared" ca="1" si="101"/>
        <v>45546</v>
      </c>
      <c r="AH362" s="22">
        <f t="shared" ca="1" si="96"/>
        <v>45539</v>
      </c>
      <c r="AI362" s="22">
        <f t="shared" ca="1" si="97"/>
        <v>45531</v>
      </c>
      <c r="AJ362" s="22">
        <f t="shared" ca="1" si="98"/>
        <v>45517</v>
      </c>
      <c r="AK362" s="22">
        <f t="shared" ca="1" si="99"/>
        <v>45457</v>
      </c>
      <c r="AL362" s="22">
        <f t="shared" ca="1" si="100"/>
        <v>45371</v>
      </c>
    </row>
    <row r="363" spans="4:38" x14ac:dyDescent="0.25">
      <c r="D363" s="6">
        <f ca="1"/>
        <v>45545</v>
      </c>
      <c r="E363" s="28" cm="1">
        <f t="array" aca="1" ref="E363" ca="1">_xll.FDS($E$7,"P_PRICE("&amp;D363&amp;",0,D,D)")</f>
        <v>85.61</v>
      </c>
      <c r="F363" s="29" cm="1">
        <f t="array" aca="1" ref="F363" ca="1">_xll.FDS($E$7,"P_BETA_LOCIDX("&amp;$AG363&amp;","&amp;$AL363&amp;",,"""&amp;$E$9&amp;""")")</f>
        <v>1.355443</v>
      </c>
      <c r="G363" s="30">
        <f t="shared" ca="1" si="86"/>
        <v>-1.9741709091748633E-2</v>
      </c>
      <c r="H363" s="30">
        <f t="shared" ca="1" si="86"/>
        <v>-2.0029275837337785E-2</v>
      </c>
      <c r="I363" s="30">
        <f t="shared" ca="1" si="86"/>
        <v>6.969588401164177E-3</v>
      </c>
      <c r="J363" s="30">
        <f t="shared" ca="1" si="86"/>
        <v>6.5386897201555966E-2</v>
      </c>
      <c r="K363" s="30">
        <f t="shared" ca="1" si="87"/>
        <v>-8.1906174666707427E-3</v>
      </c>
      <c r="L363" s="30">
        <f t="shared" ca="1" si="87"/>
        <v>-2.9276665306471144E-2</v>
      </c>
      <c r="M363" s="30">
        <f t="shared" ca="1" si="87"/>
        <v>3.8329556897980961E-2</v>
      </c>
      <c r="N363" s="30">
        <f t="shared" ca="1" si="87"/>
        <v>1.5410981854118957E-2</v>
      </c>
      <c r="O363" s="30">
        <f t="shared" ca="1" si="88"/>
        <v>-2.7932326558419374E-2</v>
      </c>
      <c r="P363" s="30">
        <f t="shared" ca="1" si="89"/>
        <v>-4.9305941143808929E-2</v>
      </c>
      <c r="Q363" s="30">
        <f t="shared" ca="1" si="90"/>
        <v>4.5299145299145138E-2</v>
      </c>
      <c r="R363" s="30">
        <f t="shared" ca="1" si="91"/>
        <v>8.0797879055674926E-2</v>
      </c>
      <c r="S363" s="9" cm="1">
        <f t="array" aca="1" ref="S363" ca="1">_xll.FDS($E$7,"P_PRICE("&amp;AG363&amp;",0,D,D)")</f>
        <v>85.61</v>
      </c>
      <c r="T363" s="9" cm="1">
        <f t="array" aca="1" ref="T363" ca="1">_xll.FDS($E$7,"P_PRICE("&amp;AH363&amp;",0,D,D)")</f>
        <v>88.07</v>
      </c>
      <c r="U363" s="9" cm="1">
        <f t="array" aca="1" ref="U363" ca="1">_xll.FDS($E$7,"P_PRICE("&amp;AI363&amp;",0,D,D)")</f>
        <v>90.05</v>
      </c>
      <c r="V363" s="9" cm="1">
        <f t="array" aca="1" ref="V363" ca="1">_xll.FDS($E$7,"P_PRICE("&amp;AJ363&amp;",0,D,D)")</f>
        <v>81.900000000000006</v>
      </c>
      <c r="W363" s="9" cm="1">
        <f t="array" aca="1" ref="W363" ca="1">_xll.FDS($E$7,"P_PRICE("&amp;AK363&amp;",0,D,D)")</f>
        <v>79.209999999999994</v>
      </c>
      <c r="X363" s="24">
        <f t="shared" ca="1" si="92"/>
        <v>-6.0427605341358825E-3</v>
      </c>
      <c r="Y363" s="24">
        <f t="shared" ca="1" si="93"/>
        <v>-2.1599333433033441E-2</v>
      </c>
      <c r="Z363" s="24">
        <f t="shared" ca="1" si="94"/>
        <v>2.8278250651617931E-2</v>
      </c>
      <c r="AA363" s="24">
        <f t="shared" ca="1" si="95"/>
        <v>1.1369701163471246E-2</v>
      </c>
      <c r="AB363" s="9" cm="1">
        <f t="array" aca="1" ref="AB363" ca="1">_xll.FDS($E$9,"P_PRICE("&amp;AG363&amp;",0,D,D)")</f>
        <v>5495.52</v>
      </c>
      <c r="AC363" s="9" cm="1">
        <f t="array" aca="1" ref="AC363" ca="1">_xll.FDS($E$9,"P_PRICE("&amp;AH363&amp;",0,D,D)")</f>
        <v>5528.93</v>
      </c>
      <c r="AD363" s="9" cm="1">
        <f t="array" aca="1" ref="AD363" ca="1">_xll.FDS($E$9,"P_PRICE("&amp;AI363&amp;",0,D,D)")</f>
        <v>5616.84</v>
      </c>
      <c r="AE363" s="9" cm="1">
        <f t="array" aca="1" ref="AE363" ca="1">_xll.FDS($E$9,"P_PRICE("&amp;AJ363&amp;",0,D,D)")</f>
        <v>5344.39</v>
      </c>
      <c r="AF363" s="9" cm="1">
        <f t="array" aca="1" ref="AF363" ca="1">_xll.FDS($E$9,"P_PRICE("&amp;AK363&amp;",0,D,D)")</f>
        <v>5433.74</v>
      </c>
      <c r="AG363" s="20">
        <f t="shared" ca="1" si="101"/>
        <v>45545</v>
      </c>
      <c r="AH363" s="22">
        <f t="shared" ca="1" si="96"/>
        <v>45538</v>
      </c>
      <c r="AI363" s="22">
        <f t="shared" ca="1" si="97"/>
        <v>45530</v>
      </c>
      <c r="AJ363" s="22">
        <f t="shared" ca="1" si="98"/>
        <v>45516</v>
      </c>
      <c r="AK363" s="22">
        <f t="shared" ca="1" si="99"/>
        <v>45456</v>
      </c>
      <c r="AL363" s="22">
        <f t="shared" ca="1" si="100"/>
        <v>45370</v>
      </c>
    </row>
    <row r="364" spans="4:38" x14ac:dyDescent="0.25">
      <c r="D364" s="6">
        <f ca="1"/>
        <v>45544</v>
      </c>
      <c r="E364" s="28" cm="1">
        <f t="array" aca="1" ref="E364" ca="1">_xll.FDS($E$7,"P_PRICE("&amp;D364&amp;",0,D,D)")</f>
        <v>84.3</v>
      </c>
      <c r="F364" s="29" cm="1">
        <f t="array" aca="1" ref="F364" ca="1">_xll.FDS($E$7,"P_BETA_LOCIDX("&amp;$AG364&amp;","&amp;$AL364&amp;",,"""&amp;$E$9&amp;""")")</f>
        <v>1.3526437</v>
      </c>
      <c r="G364" s="30">
        <f t="shared" ca="1" si="86"/>
        <v>-2.8808382041239179E-2</v>
      </c>
      <c r="H364" s="30">
        <f t="shared" ca="1" si="86"/>
        <v>-2.5938736421320399E-2</v>
      </c>
      <c r="I364" s="30">
        <f t="shared" ca="1" si="86"/>
        <v>-8.6858721119542626E-3</v>
      </c>
      <c r="J364" s="30">
        <f t="shared" ca="1" si="86"/>
        <v>4.5501045318751751E-2</v>
      </c>
      <c r="K364" s="30">
        <f t="shared" ca="1" si="87"/>
        <v>-4.2470674915905247E-2</v>
      </c>
      <c r="L364" s="30">
        <f t="shared" ca="1" si="87"/>
        <v>-3.9264191057056239E-2</v>
      </c>
      <c r="M364" s="30">
        <f t="shared" ca="1" si="87"/>
        <v>3.2116732862227382E-2</v>
      </c>
      <c r="N364" s="30">
        <f t="shared" ca="1" si="87"/>
        <v>1.2480882392091568E-2</v>
      </c>
      <c r="O364" s="30">
        <f t="shared" ca="1" si="88"/>
        <v>-7.1279056957144427E-2</v>
      </c>
      <c r="P364" s="30">
        <f t="shared" ca="1" si="89"/>
        <v>-6.5202927478376638E-2</v>
      </c>
      <c r="Q364" s="30">
        <f t="shared" ca="1" si="90"/>
        <v>2.3430860750273119E-2</v>
      </c>
      <c r="R364" s="30">
        <f t="shared" ca="1" si="91"/>
        <v>5.7981927710843317E-2</v>
      </c>
      <c r="S364" s="9" cm="1">
        <f t="array" aca="1" ref="S364" ca="1">_xll.FDS($E$7,"P_PRICE("&amp;AG364&amp;",0,D,D)")</f>
        <v>84.3</v>
      </c>
      <c r="T364" s="9" cm="1">
        <f t="array" aca="1" ref="T364" ca="1">_xll.FDS($E$7,"P_PRICE("&amp;AH364&amp;",0,D,D)")</f>
        <v>90.77</v>
      </c>
      <c r="U364" s="9" cm="1">
        <f t="array" aca="1" ref="U364" ca="1">_xll.FDS($E$7,"P_PRICE("&amp;AI364&amp;",0,D,D)")</f>
        <v>90.18</v>
      </c>
      <c r="V364" s="9" cm="1">
        <f t="array" aca="1" ref="V364" ca="1">_xll.FDS($E$7,"P_PRICE("&amp;AJ364&amp;",0,D,D)")</f>
        <v>82.37</v>
      </c>
      <c r="W364" s="9" cm="1">
        <f t="array" aca="1" ref="W364" ca="1">_xll.FDS($E$7,"P_PRICE("&amp;AK364&amp;",0,D,D)")</f>
        <v>79.680000000000007</v>
      </c>
      <c r="X364" s="24">
        <f t="shared" ca="1" si="92"/>
        <v>-3.1398272077048262E-2</v>
      </c>
      <c r="Y364" s="24">
        <f t="shared" ca="1" si="93"/>
        <v>-2.9027741050400957E-2</v>
      </c>
      <c r="Z364" s="24">
        <f t="shared" ca="1" si="94"/>
        <v>2.3743675339061854E-2</v>
      </c>
      <c r="AA364" s="24">
        <f t="shared" ca="1" si="95"/>
        <v>9.2270288118678767E-3</v>
      </c>
      <c r="AB364" s="9" cm="1">
        <f t="array" aca="1" ref="AB364" ca="1">_xll.FDS($E$9,"P_PRICE("&amp;AG364&amp;",0,D,D)")</f>
        <v>5471.05</v>
      </c>
      <c r="AC364" s="9" cm="1">
        <f t="array" aca="1" ref="AC364" ca="1">_xll.FDS($E$9,"P_PRICE("&amp;AH364&amp;",0,D,D)")</f>
        <v>5648.4</v>
      </c>
      <c r="AD364" s="9" cm="1">
        <f t="array" aca="1" ref="AD364" ca="1">_xll.FDS($E$9,"P_PRICE("&amp;AI364&amp;",0,D,D)")</f>
        <v>5634.61</v>
      </c>
      <c r="AE364" s="9" cm="1">
        <f t="array" aca="1" ref="AE364" ca="1">_xll.FDS($E$9,"P_PRICE("&amp;AJ364&amp;",0,D,D)")</f>
        <v>5344.16</v>
      </c>
      <c r="AF364" s="9" cm="1">
        <f t="array" aca="1" ref="AF364" ca="1">_xll.FDS($E$9,"P_PRICE("&amp;AK364&amp;",0,D,D)")</f>
        <v>5421.03</v>
      </c>
      <c r="AG364" s="20">
        <f t="shared" ca="1" si="101"/>
        <v>45544</v>
      </c>
      <c r="AH364" s="22">
        <f t="shared" ca="1" si="96"/>
        <v>45534</v>
      </c>
      <c r="AI364" s="22">
        <f t="shared" ca="1" si="97"/>
        <v>45527</v>
      </c>
      <c r="AJ364" s="22">
        <f t="shared" ca="1" si="98"/>
        <v>45513</v>
      </c>
      <c r="AK364" s="22">
        <f t="shared" ca="1" si="99"/>
        <v>45455</v>
      </c>
      <c r="AL364" s="22">
        <f t="shared" ca="1" si="100"/>
        <v>45369</v>
      </c>
    </row>
    <row r="365" spans="4:38" x14ac:dyDescent="0.25">
      <c r="D365" s="6">
        <f ca="1"/>
        <v>45541</v>
      </c>
      <c r="E365" s="28" cm="1">
        <f t="array" aca="1" ref="E365" ca="1">_xll.FDS($E$7,"P_PRICE("&amp;D365&amp;",0,D,D)")</f>
        <v>85.33</v>
      </c>
      <c r="F365" s="29" cm="1">
        <f t="array" aca="1" ref="F365" ca="1">_xll.FDS($E$7,"P_BETA_LOCIDX("&amp;$AG365&amp;","&amp;$AL365&amp;",,"""&amp;$E$9&amp;""")")</f>
        <v>1.3909978000000001</v>
      </c>
      <c r="G365" s="30">
        <f t="shared" ca="1" si="86"/>
        <v>1.1910738382699168E-2</v>
      </c>
      <c r="H365" s="30">
        <f t="shared" ca="1" si="86"/>
        <v>8.625497599043401E-3</v>
      </c>
      <c r="I365" s="30">
        <f t="shared" ca="1" si="86"/>
        <v>2.3178019657111425E-2</v>
      </c>
      <c r="J365" s="30">
        <f t="shared" ca="1" si="86"/>
        <v>8.2890166644736252E-2</v>
      </c>
      <c r="K365" s="30">
        <f t="shared" ca="1" si="87"/>
        <v>-4.5655501150222752E-2</v>
      </c>
      <c r="L365" s="30">
        <f t="shared" ca="1" si="87"/>
        <v>-4.0506595851823139E-2</v>
      </c>
      <c r="M365" s="30">
        <f t="shared" ca="1" si="87"/>
        <v>2.3302235432415042E-2</v>
      </c>
      <c r="N365" s="30">
        <f t="shared" ca="1" si="87"/>
        <v>8.5654486021299377E-3</v>
      </c>
      <c r="O365" s="30">
        <f t="shared" ca="1" si="88"/>
        <v>-3.3744762767523584E-2</v>
      </c>
      <c r="P365" s="30">
        <f t="shared" ca="1" si="89"/>
        <v>-3.1881098252779738E-2</v>
      </c>
      <c r="Q365" s="30">
        <f t="shared" ca="1" si="90"/>
        <v>4.6480255089526468E-2</v>
      </c>
      <c r="R365" s="30">
        <f t="shared" ca="1" si="91"/>
        <v>9.1455615246866184E-2</v>
      </c>
      <c r="S365" s="9" cm="1">
        <f t="array" aca="1" ref="S365" ca="1">_xll.FDS($E$7,"P_PRICE("&amp;AG365&amp;",0,D,D)")</f>
        <v>85.33</v>
      </c>
      <c r="T365" s="9" cm="1">
        <f t="array" aca="1" ref="T365" ca="1">_xll.FDS($E$7,"P_PRICE("&amp;AH365&amp;",0,D,D)")</f>
        <v>88.31</v>
      </c>
      <c r="U365" s="9" cm="1">
        <f t="array" aca="1" ref="U365" ca="1">_xll.FDS($E$7,"P_PRICE("&amp;AI365&amp;",0,D,D)")</f>
        <v>88.14</v>
      </c>
      <c r="V365" s="9" cm="1">
        <f t="array" aca="1" ref="V365" ca="1">_xll.FDS($E$7,"P_PRICE("&amp;AJ365&amp;",0,D,D)")</f>
        <v>81.540000000000006</v>
      </c>
      <c r="W365" s="9" cm="1">
        <f t="array" aca="1" ref="W365" ca="1">_xll.FDS($E$7,"P_PRICE("&amp;AK365&amp;",0,D,D)")</f>
        <v>78.180000000000007</v>
      </c>
      <c r="X365" s="24">
        <f t="shared" ca="1" si="92"/>
        <v>-3.2822123191152963E-2</v>
      </c>
      <c r="Y365" s="24">
        <f t="shared" ca="1" si="93"/>
        <v>-2.9120531931699056E-2</v>
      </c>
      <c r="Z365" s="24">
        <f t="shared" ca="1" si="94"/>
        <v>1.6752172744209259E-2</v>
      </c>
      <c r="AA365" s="24">
        <f t="shared" ca="1" si="95"/>
        <v>6.1577729325883457E-3</v>
      </c>
      <c r="AB365" s="9" cm="1">
        <f t="array" aca="1" ref="AB365" ca="1">_xll.FDS($E$9,"P_PRICE("&amp;AG365&amp;",0,D,D)")</f>
        <v>5408.42</v>
      </c>
      <c r="AC365" s="9" cm="1">
        <f t="array" aca="1" ref="AC365" ca="1">_xll.FDS($E$9,"P_PRICE("&amp;AH365&amp;",0,D,D)")</f>
        <v>5591.96</v>
      </c>
      <c r="AD365" s="9" cm="1">
        <f t="array" aca="1" ref="AD365" ca="1">_xll.FDS($E$9,"P_PRICE("&amp;AI365&amp;",0,D,D)")</f>
        <v>5570.64</v>
      </c>
      <c r="AE365" s="9" cm="1">
        <f t="array" aca="1" ref="AE365" ca="1">_xll.FDS($E$9,"P_PRICE("&amp;AJ365&amp;",0,D,D)")</f>
        <v>5319.31</v>
      </c>
      <c r="AF365" s="9" cm="1">
        <f t="array" aca="1" ref="AF365" ca="1">_xll.FDS($E$9,"P_PRICE("&amp;AK365&amp;",0,D,D)")</f>
        <v>5375.32</v>
      </c>
      <c r="AG365" s="20">
        <f t="shared" ca="1" si="101"/>
        <v>45541</v>
      </c>
      <c r="AH365" s="22">
        <f t="shared" ca="1" si="96"/>
        <v>45533</v>
      </c>
      <c r="AI365" s="22">
        <f t="shared" ca="1" si="97"/>
        <v>45526</v>
      </c>
      <c r="AJ365" s="22">
        <f t="shared" ca="1" si="98"/>
        <v>45512</v>
      </c>
      <c r="AK365" s="22">
        <f t="shared" ca="1" si="99"/>
        <v>45454</v>
      </c>
      <c r="AL365" s="22">
        <f t="shared" ca="1" si="100"/>
        <v>45366</v>
      </c>
    </row>
    <row r="366" spans="4:38" x14ac:dyDescent="0.25">
      <c r="D366" s="6">
        <f ca="1"/>
        <v>45540</v>
      </c>
      <c r="E366" s="28" cm="1">
        <f t="array" aca="1" ref="E366" ca="1">_xll.FDS($E$7,"P_PRICE("&amp;D366&amp;",0,D,D)")</f>
        <v>84.47</v>
      </c>
      <c r="F366" s="29" cm="1">
        <f t="array" aca="1" ref="F366" ca="1">_xll.FDS($E$7,"P_BETA_LOCIDX("&amp;$AG366&amp;","&amp;$AL366&amp;",,"""&amp;$E$9&amp;""")")</f>
        <v>1.4631866</v>
      </c>
      <c r="G366" s="30">
        <f t="shared" ca="1" si="86"/>
        <v>-1.3823148934602854E-2</v>
      </c>
      <c r="H366" s="30">
        <f t="shared" ca="1" si="86"/>
        <v>-2.9527376543198383E-3</v>
      </c>
      <c r="I366" s="30">
        <f t="shared" ca="1" si="86"/>
        <v>2.4609698869691068E-2</v>
      </c>
      <c r="J366" s="30">
        <f t="shared" ca="1" si="86"/>
        <v>2.4658961076275999E-2</v>
      </c>
      <c r="K366" s="30">
        <f t="shared" ca="1" si="87"/>
        <v>-2.3226554667768289E-2</v>
      </c>
      <c r="L366" s="30">
        <f t="shared" ca="1" si="87"/>
        <v>-3.057128980563447E-2</v>
      </c>
      <c r="M366" s="30">
        <f t="shared" ca="1" si="87"/>
        <v>8.5523038677949789E-2</v>
      </c>
      <c r="N366" s="30">
        <f t="shared" ca="1" si="87"/>
        <v>3.8927037412769448E-2</v>
      </c>
      <c r="O366" s="30">
        <f t="shared" ca="1" si="88"/>
        <v>-3.7049703602371142E-2</v>
      </c>
      <c r="P366" s="30">
        <f t="shared" ca="1" si="89"/>
        <v>-3.3524027459954309E-2</v>
      </c>
      <c r="Q366" s="30">
        <f t="shared" ca="1" si="90"/>
        <v>0.11013273754764086</v>
      </c>
      <c r="R366" s="30">
        <f t="shared" ca="1" si="91"/>
        <v>6.3585998489045448E-2</v>
      </c>
      <c r="S366" s="9" cm="1">
        <f t="array" aca="1" ref="S366" ca="1">_xll.FDS($E$7,"P_PRICE("&amp;AG366&amp;",0,D,D)")</f>
        <v>84.47</v>
      </c>
      <c r="T366" s="9" cm="1">
        <f t="array" aca="1" ref="T366" ca="1">_xll.FDS($E$7,"P_PRICE("&amp;AH366&amp;",0,D,D)")</f>
        <v>87.72</v>
      </c>
      <c r="U366" s="9" cm="1">
        <f t="array" aca="1" ref="U366" ca="1">_xll.FDS($E$7,"P_PRICE("&amp;AI366&amp;",0,D,D)")</f>
        <v>87.4</v>
      </c>
      <c r="V366" s="9" cm="1">
        <f t="array" aca="1" ref="V366" ca="1">_xll.FDS($E$7,"P_PRICE("&amp;AJ366&amp;",0,D,D)")</f>
        <v>76.09</v>
      </c>
      <c r="W366" s="9" cm="1">
        <f t="array" aca="1" ref="W366" ca="1">_xll.FDS($E$7,"P_PRICE("&amp;AK366&amp;",0,D,D)")</f>
        <v>79.42</v>
      </c>
      <c r="X366" s="24">
        <f t="shared" ca="1" si="92"/>
        <v>-1.5873952555175319E-2</v>
      </c>
      <c r="Y366" s="24">
        <f t="shared" ca="1" si="93"/>
        <v>-2.089363708335934E-2</v>
      </c>
      <c r="Z366" s="24">
        <f t="shared" ca="1" si="94"/>
        <v>5.844985094720645E-2</v>
      </c>
      <c r="AA366" s="24">
        <f t="shared" ca="1" si="95"/>
        <v>2.6604287800865212E-2</v>
      </c>
      <c r="AB366" s="9" cm="1">
        <f t="array" aca="1" ref="AB366" ca="1">_xll.FDS($E$9,"P_PRICE("&amp;AG366&amp;",0,D,D)")</f>
        <v>5503.41</v>
      </c>
      <c r="AC366" s="9" cm="1">
        <f t="array" aca="1" ref="AC366" ca="1">_xll.FDS($E$9,"P_PRICE("&amp;AH366&amp;",0,D,D)")</f>
        <v>5592.18</v>
      </c>
      <c r="AD366" s="9" cm="1">
        <f t="array" aca="1" ref="AD366" ca="1">_xll.FDS($E$9,"P_PRICE("&amp;AI366&amp;",0,D,D)")</f>
        <v>5620.85</v>
      </c>
      <c r="AE366" s="9" cm="1">
        <f t="array" aca="1" ref="AE366" ca="1">_xll.FDS($E$9,"P_PRICE("&amp;AJ366&amp;",0,D,D)")</f>
        <v>5199.5</v>
      </c>
      <c r="AF366" s="9" cm="1">
        <f t="array" aca="1" ref="AF366" ca="1">_xll.FDS($E$9,"P_PRICE("&amp;AK366&amp;",0,D,D)")</f>
        <v>5360.79</v>
      </c>
      <c r="AG366" s="20">
        <f t="shared" ca="1" si="101"/>
        <v>45540</v>
      </c>
      <c r="AH366" s="22">
        <f t="shared" ca="1" si="96"/>
        <v>45532</v>
      </c>
      <c r="AI366" s="22">
        <f t="shared" ca="1" si="97"/>
        <v>45525</v>
      </c>
      <c r="AJ366" s="22">
        <f t="shared" ca="1" si="98"/>
        <v>45511</v>
      </c>
      <c r="AK366" s="22">
        <f t="shared" ca="1" si="99"/>
        <v>45453</v>
      </c>
      <c r="AL366" s="22">
        <f t="shared" ca="1" si="100"/>
        <v>45365</v>
      </c>
    </row>
    <row r="367" spans="4:38" x14ac:dyDescent="0.25">
      <c r="D367" s="6">
        <f ca="1"/>
        <v>45539</v>
      </c>
      <c r="E367" s="28" cm="1">
        <f t="array" aca="1" ref="E367" ca="1">_xll.FDS($E$7,"P_PRICE("&amp;D367&amp;",0,D,D)")</f>
        <v>85.18</v>
      </c>
      <c r="F367" s="29" cm="1">
        <f t="array" aca="1" ref="F367" ca="1">_xll.FDS($E$7,"P_BETA_LOCIDX("&amp;$AG367&amp;","&amp;$AL367&amp;",,"""&amp;$E$9&amp;""")")</f>
        <v>1.4578234000000001</v>
      </c>
      <c r="G367" s="30">
        <f t="shared" ca="1" si="86"/>
        <v>-5.9655951541192874E-3</v>
      </c>
      <c r="H367" s="30">
        <f t="shared" ca="1" si="86"/>
        <v>1.87786914917417E-2</v>
      </c>
      <c r="I367" s="30">
        <f t="shared" ca="1" si="86"/>
        <v>8.5699491560630031E-3</v>
      </c>
      <c r="J367" s="30">
        <f t="shared" ca="1" si="86"/>
        <v>4.7388049409762566E-2</v>
      </c>
      <c r="K367" s="30">
        <f t="shared" ca="1" si="87"/>
        <v>-2.7397999943474836E-2</v>
      </c>
      <c r="L367" s="30">
        <f t="shared" ca="1" si="87"/>
        <v>-2.0068408926376496E-2</v>
      </c>
      <c r="M367" s="30">
        <f t="shared" ca="1" si="87"/>
        <v>7.7909642680671701E-2</v>
      </c>
      <c r="N367" s="30">
        <f t="shared" ca="1" si="87"/>
        <v>4.7189180094221163E-2</v>
      </c>
      <c r="O367" s="30">
        <f t="shared" ca="1" si="88"/>
        <v>-3.3363595097594123E-2</v>
      </c>
      <c r="P367" s="30">
        <f t="shared" ca="1" si="89"/>
        <v>-1.2897174346347962E-3</v>
      </c>
      <c r="Q367" s="30">
        <f t="shared" ca="1" si="90"/>
        <v>8.6479591836734704E-2</v>
      </c>
      <c r="R367" s="30">
        <f t="shared" ca="1" si="91"/>
        <v>9.4577229503983729E-2</v>
      </c>
      <c r="S367" s="9" cm="1">
        <f t="array" aca="1" ref="S367" ca="1">_xll.FDS($E$7,"P_PRICE("&amp;AG367&amp;",0,D,D)")</f>
        <v>85.18</v>
      </c>
      <c r="T367" s="9" cm="1">
        <f t="array" aca="1" ref="T367" ca="1">_xll.FDS($E$7,"P_PRICE("&amp;AH367&amp;",0,D,D)")</f>
        <v>88.12</v>
      </c>
      <c r="U367" s="9" cm="1">
        <f t="array" aca="1" ref="U367" ca="1">_xll.FDS($E$7,"P_PRICE("&amp;AI367&amp;",0,D,D)")</f>
        <v>85.29</v>
      </c>
      <c r="V367" s="9" cm="1">
        <f t="array" aca="1" ref="V367" ca="1">_xll.FDS($E$7,"P_PRICE("&amp;AJ367&amp;",0,D,D)")</f>
        <v>78.400000000000006</v>
      </c>
      <c r="W367" s="9" cm="1">
        <f t="array" aca="1" ref="W367" ca="1">_xll.FDS($E$7,"P_PRICE("&amp;AK367&amp;",0,D,D)")</f>
        <v>77.819999999999993</v>
      </c>
      <c r="X367" s="24">
        <f t="shared" ca="1" si="92"/>
        <v>-1.8793771552490401E-2</v>
      </c>
      <c r="Y367" s="24">
        <f t="shared" ca="1" si="93"/>
        <v>-1.3766008232805493E-2</v>
      </c>
      <c r="Z367" s="24">
        <f t="shared" ca="1" si="94"/>
        <v>5.3442442123422973E-2</v>
      </c>
      <c r="AA367" s="24">
        <f t="shared" ca="1" si="95"/>
        <v>3.2369613558282273E-2</v>
      </c>
      <c r="AB367" s="9" cm="1">
        <f t="array" aca="1" ref="AB367" ca="1">_xll.FDS($E$9,"P_PRICE("&amp;AG367&amp;",0,D,D)")</f>
        <v>5520.07</v>
      </c>
      <c r="AC367" s="9" cm="1">
        <f t="array" aca="1" ref="AC367" ca="1">_xll.FDS($E$9,"P_PRICE("&amp;AH367&amp;",0,D,D)")</f>
        <v>5625.8</v>
      </c>
      <c r="AD367" s="9" cm="1">
        <f t="array" aca="1" ref="AD367" ca="1">_xll.FDS($E$9,"P_PRICE("&amp;AI367&amp;",0,D,D)")</f>
        <v>5597.12</v>
      </c>
      <c r="AE367" s="9" cm="1">
        <f t="array" aca="1" ref="AE367" ca="1">_xll.FDS($E$9,"P_PRICE("&amp;AJ367&amp;",0,D,D)")</f>
        <v>5240.03</v>
      </c>
      <c r="AF367" s="9" cm="1">
        <f t="array" aca="1" ref="AF367" ca="1">_xll.FDS($E$9,"P_PRICE("&amp;AK367&amp;",0,D,D)")</f>
        <v>5346.99</v>
      </c>
      <c r="AG367" s="20">
        <f t="shared" ca="1" si="101"/>
        <v>45539</v>
      </c>
      <c r="AH367" s="22">
        <f t="shared" ca="1" si="96"/>
        <v>45531</v>
      </c>
      <c r="AI367" s="22">
        <f t="shared" ca="1" si="97"/>
        <v>45524</v>
      </c>
      <c r="AJ367" s="22">
        <f t="shared" ca="1" si="98"/>
        <v>45510</v>
      </c>
      <c r="AK367" s="22">
        <f t="shared" ca="1" si="99"/>
        <v>45450</v>
      </c>
      <c r="AL367" s="22">
        <f t="shared" ca="1" si="100"/>
        <v>45364</v>
      </c>
    </row>
    <row r="368" spans="4:38" x14ac:dyDescent="0.25">
      <c r="D368" s="6">
        <f ca="1"/>
        <v>45538</v>
      </c>
      <c r="E368" s="28" cm="1">
        <f t="array" aca="1" ref="E368" ca="1">_xll.FDS($E$7,"P_PRICE("&amp;D368&amp;",0,D,D)")</f>
        <v>88.07</v>
      </c>
      <c r="F368" s="29" cm="1">
        <f t="array" aca="1" ref="F368" ca="1">_xll.FDS($E$7,"P_BETA_LOCIDX("&amp;$AG368&amp;","&amp;$AL368&amp;",,"""&amp;$E$9&amp;""")")</f>
        <v>1.4541324</v>
      </c>
      <c r="G368" s="30">
        <f t="shared" ca="1" si="86"/>
        <v>7.7105835893601093E-4</v>
      </c>
      <c r="H368" s="30">
        <f t="shared" ca="1" si="86"/>
        <v>5.6927944817788935E-2</v>
      </c>
      <c r="I368" s="30">
        <f t="shared" ca="1" si="86"/>
        <v>4.5484975559225649E-2</v>
      </c>
      <c r="J368" s="30">
        <f t="shared" ca="1" si="86"/>
        <v>9.0641362799399924E-2</v>
      </c>
      <c r="K368" s="30">
        <f t="shared" ca="1" si="87"/>
        <v>-2.2758842923067096E-2</v>
      </c>
      <c r="L368" s="30">
        <f t="shared" ca="1" si="87"/>
        <v>-2.0566447995007266E-2</v>
      </c>
      <c r="M368" s="30">
        <f t="shared" ca="1" si="87"/>
        <v>9.6057474213943339E-2</v>
      </c>
      <c r="N368" s="30">
        <f t="shared" ca="1" si="87"/>
        <v>4.7802277324695233E-2</v>
      </c>
      <c r="O368" s="30">
        <f t="shared" ca="1" si="88"/>
        <v>-2.1987784564131085E-2</v>
      </c>
      <c r="P368" s="30">
        <f t="shared" ca="1" si="89"/>
        <v>3.6361496822781669E-2</v>
      </c>
      <c r="Q368" s="30">
        <f t="shared" ca="1" si="90"/>
        <v>0.14154244977316899</v>
      </c>
      <c r="R368" s="30">
        <f t="shared" ca="1" si="91"/>
        <v>0.13844364012409516</v>
      </c>
      <c r="S368" s="9" cm="1">
        <f t="array" aca="1" ref="S368" ca="1">_xll.FDS($E$7,"P_PRICE("&amp;AG368&amp;",0,D,D)")</f>
        <v>88.07</v>
      </c>
      <c r="T368" s="9" cm="1">
        <f t="array" aca="1" ref="T368" ca="1">_xll.FDS($E$7,"P_PRICE("&amp;AH368&amp;",0,D,D)")</f>
        <v>90.05</v>
      </c>
      <c r="U368" s="9" cm="1">
        <f t="array" aca="1" ref="U368" ca="1">_xll.FDS($E$7,"P_PRICE("&amp;AI368&amp;",0,D,D)")</f>
        <v>84.98</v>
      </c>
      <c r="V368" s="9" cm="1">
        <f t="array" aca="1" ref="V368" ca="1">_xll.FDS($E$7,"P_PRICE("&amp;AJ368&amp;",0,D,D)")</f>
        <v>77.150000000000006</v>
      </c>
      <c r="W368" s="9" cm="1">
        <f t="array" aca="1" ref="W368" ca="1">_xll.FDS($E$7,"P_PRICE("&amp;AK368&amp;",0,D,D)")</f>
        <v>77.36</v>
      </c>
      <c r="X368" s="24">
        <f t="shared" ca="1" si="92"/>
        <v>-1.5651149044658585E-2</v>
      </c>
      <c r="Y368" s="24">
        <f t="shared" ca="1" si="93"/>
        <v>-1.4143449382605922E-2</v>
      </c>
      <c r="Z368" s="24">
        <f t="shared" ca="1" si="94"/>
        <v>6.6058272419996511E-2</v>
      </c>
      <c r="AA368" s="24">
        <f t="shared" ca="1" si="95"/>
        <v>3.2873400884744219E-2</v>
      </c>
      <c r="AB368" s="9" cm="1">
        <f t="array" aca="1" ref="AB368" ca="1">_xll.FDS($E$9,"P_PRICE("&amp;AG368&amp;",0,D,D)")</f>
        <v>5528.93</v>
      </c>
      <c r="AC368" s="9" cm="1">
        <f t="array" aca="1" ref="AC368" ca="1">_xll.FDS($E$9,"P_PRICE("&amp;AH368&amp;",0,D,D)")</f>
        <v>5616.84</v>
      </c>
      <c r="AD368" s="9" cm="1">
        <f t="array" aca="1" ref="AD368" ca="1">_xll.FDS($E$9,"P_PRICE("&amp;AI368&amp;",0,D,D)")</f>
        <v>5608.25</v>
      </c>
      <c r="AE368" s="9" cm="1">
        <f t="array" aca="1" ref="AE368" ca="1">_xll.FDS($E$9,"P_PRICE("&amp;AJ368&amp;",0,D,D)")</f>
        <v>5186.33</v>
      </c>
      <c r="AF368" s="9" cm="1">
        <f t="array" aca="1" ref="AF368" ca="1">_xll.FDS($E$9,"P_PRICE("&amp;AK368&amp;",0,D,D)")</f>
        <v>5352.96</v>
      </c>
      <c r="AG368" s="20">
        <f t="shared" ca="1" si="101"/>
        <v>45538</v>
      </c>
      <c r="AH368" s="22">
        <f t="shared" ca="1" si="96"/>
        <v>45530</v>
      </c>
      <c r="AI368" s="22">
        <f t="shared" ca="1" si="97"/>
        <v>45523</v>
      </c>
      <c r="AJ368" s="22">
        <f t="shared" ca="1" si="98"/>
        <v>45509</v>
      </c>
      <c r="AK368" s="22">
        <f t="shared" ca="1" si="99"/>
        <v>45449</v>
      </c>
      <c r="AL368" s="22">
        <f t="shared" ca="1" si="100"/>
        <v>45363</v>
      </c>
    </row>
    <row r="369" spans="4:38" x14ac:dyDescent="0.25">
      <c r="D369" s="6">
        <f ca="1"/>
        <v>45534</v>
      </c>
      <c r="E369" s="28" cm="1">
        <f t="array" aca="1" ref="E369" ca="1">_xll.FDS($E$7,"P_PRICE("&amp;D369&amp;",0,D,D)")</f>
        <v>90.77</v>
      </c>
      <c r="F369" s="29" cm="1">
        <f t="array" aca="1" ref="F369" ca="1">_xll.FDS($E$7,"P_BETA_LOCIDX("&amp;$AG369&amp;","&amp;$AL369&amp;",,"""&amp;$E$9&amp;""")")</f>
        <v>1.4537016</v>
      </c>
      <c r="G369" s="30">
        <f t="shared" ca="1" si="86"/>
        <v>2.9847186023865086E-3</v>
      </c>
      <c r="H369" s="30">
        <f t="shared" ca="1" si="86"/>
        <v>5.3642956369639651E-2</v>
      </c>
      <c r="I369" s="30">
        <f t="shared" ca="1" si="86"/>
        <v>6.5756275707462578E-2</v>
      </c>
      <c r="J369" s="30">
        <f t="shared" ca="1" si="86"/>
        <v>7.785462378536373E-2</v>
      </c>
      <c r="K369" s="30">
        <f t="shared" ca="1" si="87"/>
        <v>3.5577520119403809E-3</v>
      </c>
      <c r="L369" s="30">
        <f t="shared" ca="1" si="87"/>
        <v>2.464167180807466E-2</v>
      </c>
      <c r="M369" s="30">
        <f t="shared" ca="1" si="87"/>
        <v>8.2068711647115031E-2</v>
      </c>
      <c r="N369" s="30">
        <f t="shared" ca="1" si="87"/>
        <v>7.9925988459534192E-2</v>
      </c>
      <c r="O369" s="30">
        <f t="shared" ca="1" si="88"/>
        <v>6.5424706143268896E-3</v>
      </c>
      <c r="P369" s="30">
        <f t="shared" ca="1" si="89"/>
        <v>7.828462817771431E-2</v>
      </c>
      <c r="Q369" s="30">
        <f t="shared" ca="1" si="90"/>
        <v>0.14782498735457761</v>
      </c>
      <c r="R369" s="30">
        <f t="shared" ca="1" si="91"/>
        <v>0.15778061224489792</v>
      </c>
      <c r="S369" s="9" cm="1">
        <f t="array" aca="1" ref="S369" ca="1">_xll.FDS($E$7,"P_PRICE("&amp;AG369&amp;",0,D,D)")</f>
        <v>90.77</v>
      </c>
      <c r="T369" s="9" cm="1">
        <f t="array" aca="1" ref="T369" ca="1">_xll.FDS($E$7,"P_PRICE("&amp;AH369&amp;",0,D,D)")</f>
        <v>90.18</v>
      </c>
      <c r="U369" s="9" cm="1">
        <f t="array" aca="1" ref="U369" ca="1">_xll.FDS($E$7,"P_PRICE("&amp;AI369&amp;",0,D,D)")</f>
        <v>84.18</v>
      </c>
      <c r="V369" s="9" cm="1">
        <f t="array" aca="1" ref="V369" ca="1">_xll.FDS($E$7,"P_PRICE("&amp;AJ369&amp;",0,D,D)")</f>
        <v>79.08</v>
      </c>
      <c r="W369" s="9" cm="1">
        <f t="array" aca="1" ref="W369" ca="1">_xll.FDS($E$7,"P_PRICE("&amp;AK369&amp;",0,D,D)")</f>
        <v>78.400000000000006</v>
      </c>
      <c r="X369" s="24">
        <f t="shared" ca="1" si="92"/>
        <v>2.4473743524395797E-3</v>
      </c>
      <c r="Y369" s="24">
        <f t="shared" ca="1" si="93"/>
        <v>1.6950983481117898E-2</v>
      </c>
      <c r="Z369" s="24">
        <f t="shared" ca="1" si="94"/>
        <v>5.6454991620780381E-2</v>
      </c>
      <c r="AA369" s="24">
        <f t="shared" ca="1" si="95"/>
        <v>5.4981014301376696E-2</v>
      </c>
      <c r="AB369" s="9" cm="1">
        <f t="array" aca="1" ref="AB369" ca="1">_xll.FDS($E$9,"P_PRICE("&amp;AG369&amp;",0,D,D)")</f>
        <v>5648.4</v>
      </c>
      <c r="AC369" s="9" cm="1">
        <f t="array" aca="1" ref="AC369" ca="1">_xll.FDS($E$9,"P_PRICE("&amp;AH369&amp;",0,D,D)")</f>
        <v>5634.61</v>
      </c>
      <c r="AD369" s="9" cm="1">
        <f t="array" aca="1" ref="AD369" ca="1">_xll.FDS($E$9,"P_PRICE("&amp;AI369&amp;",0,D,D)")</f>
        <v>5554.25</v>
      </c>
      <c r="AE369" s="9" cm="1">
        <f t="array" aca="1" ref="AE369" ca="1">_xll.FDS($E$9,"P_PRICE("&amp;AJ369&amp;",0,D,D)")</f>
        <v>5346.56</v>
      </c>
      <c r="AF369" s="9" cm="1">
        <f t="array" aca="1" ref="AF369" ca="1">_xll.FDS($E$9,"P_PRICE("&amp;AK369&amp;",0,D,D)")</f>
        <v>5354.03</v>
      </c>
      <c r="AG369" s="20">
        <f t="shared" ca="1" si="101"/>
        <v>45534</v>
      </c>
      <c r="AH369" s="22">
        <f t="shared" ca="1" si="96"/>
        <v>45527</v>
      </c>
      <c r="AI369" s="22">
        <f t="shared" ca="1" si="97"/>
        <v>45520</v>
      </c>
      <c r="AJ369" s="22">
        <f t="shared" ca="1" si="98"/>
        <v>45506</v>
      </c>
      <c r="AK369" s="22">
        <f t="shared" ca="1" si="99"/>
        <v>45448</v>
      </c>
      <c r="AL369" s="22">
        <f t="shared" ca="1" si="100"/>
        <v>45362</v>
      </c>
    </row>
    <row r="370" spans="4:38" x14ac:dyDescent="0.25">
      <c r="D370" s="6">
        <f ca="1"/>
        <v>45533</v>
      </c>
      <c r="E370" s="28" cm="1">
        <f t="array" aca="1" ref="E370" ca="1">_xll.FDS($E$7,"P_PRICE("&amp;D370&amp;",0,D,D)")</f>
        <v>88.31</v>
      </c>
      <c r="F370" s="29" cm="1">
        <f t="array" aca="1" ref="F370" ca="1">_xll.FDS($E$7,"P_BETA_LOCIDX("&amp;$AG370&amp;","&amp;$AL370&amp;",,"""&amp;$E$9&amp;""")")</f>
        <v>1.4445219</v>
      </c>
      <c r="G370" s="30">
        <f t="shared" ca="1" si="86"/>
        <v>-3.5997365810848444E-3</v>
      </c>
      <c r="H370" s="30">
        <f t="shared" ca="1" si="86"/>
        <v>1.8716611557220417E-2</v>
      </c>
      <c r="I370" s="30">
        <f t="shared" ca="1" si="86"/>
        <v>4.0526776549143016E-2</v>
      </c>
      <c r="J370" s="30">
        <f t="shared" ca="1" si="86"/>
        <v>6.6007453882038256E-2</v>
      </c>
      <c r="K370" s="30">
        <f t="shared" ca="1" si="87"/>
        <v>5.5284862974451007E-3</v>
      </c>
      <c r="L370" s="30">
        <f t="shared" ca="1" si="87"/>
        <v>1.2701281458430148E-2</v>
      </c>
      <c r="M370" s="30">
        <f t="shared" ca="1" si="87"/>
        <v>3.8529919443036888E-2</v>
      </c>
      <c r="N370" s="30">
        <f t="shared" ca="1" si="87"/>
        <v>8.2068469154883264E-2</v>
      </c>
      <c r="O370" s="30">
        <f t="shared" ca="1" si="88"/>
        <v>1.9287497163602563E-3</v>
      </c>
      <c r="P370" s="30">
        <f t="shared" ca="1" si="89"/>
        <v>3.1417893015650566E-2</v>
      </c>
      <c r="Q370" s="30">
        <f t="shared" ca="1" si="90"/>
        <v>7.9056695992179904E-2</v>
      </c>
      <c r="R370" s="30">
        <f t="shared" ca="1" si="91"/>
        <v>0.14807592303692152</v>
      </c>
      <c r="S370" s="9" cm="1">
        <f t="array" aca="1" ref="S370" ca="1">_xll.FDS($E$7,"P_PRICE("&amp;AG370&amp;",0,D,D)")</f>
        <v>88.31</v>
      </c>
      <c r="T370" s="9" cm="1">
        <f t="array" aca="1" ref="T370" ca="1">_xll.FDS($E$7,"P_PRICE("&amp;AH370&amp;",0,D,D)")</f>
        <v>88.14</v>
      </c>
      <c r="U370" s="9" cm="1">
        <f t="array" aca="1" ref="U370" ca="1">_xll.FDS($E$7,"P_PRICE("&amp;AI370&amp;",0,D,D)")</f>
        <v>85.62</v>
      </c>
      <c r="V370" s="9" cm="1">
        <f t="array" aca="1" ref="V370" ca="1">_xll.FDS($E$7,"P_PRICE("&amp;AJ370&amp;",0,D,D)")</f>
        <v>81.84</v>
      </c>
      <c r="W370" s="9" cm="1">
        <f t="array" aca="1" ref="W370" ca="1">_xll.FDS($E$7,"P_PRICE("&amp;AK370&amp;",0,D,D)")</f>
        <v>76.92</v>
      </c>
      <c r="X370" s="24">
        <f t="shared" ca="1" si="92"/>
        <v>3.8272083638504206E-3</v>
      </c>
      <c r="Y370" s="24">
        <f t="shared" ca="1" si="93"/>
        <v>8.7927233629550017E-3</v>
      </c>
      <c r="Z370" s="24">
        <f t="shared" ca="1" si="94"/>
        <v>2.6673129319144895E-2</v>
      </c>
      <c r="AA370" s="24">
        <f t="shared" ca="1" si="95"/>
        <v>5.6813585972551373E-2</v>
      </c>
      <c r="AB370" s="9" cm="1">
        <f t="array" aca="1" ref="AB370" ca="1">_xll.FDS($E$9,"P_PRICE("&amp;AG370&amp;",0,D,D)")</f>
        <v>5591.96</v>
      </c>
      <c r="AC370" s="9" cm="1">
        <f t="array" aca="1" ref="AC370" ca="1">_xll.FDS($E$9,"P_PRICE("&amp;AH370&amp;",0,D,D)")</f>
        <v>5570.64</v>
      </c>
      <c r="AD370" s="9" cm="1">
        <f t="array" aca="1" ref="AD370" ca="1">_xll.FDS($E$9,"P_PRICE("&amp;AI370&amp;",0,D,D)")</f>
        <v>5543.22</v>
      </c>
      <c r="AE370" s="9" cm="1">
        <f t="array" aca="1" ref="AE370" ca="1">_xll.FDS($E$9,"P_PRICE("&amp;AJ370&amp;",0,D,D)")</f>
        <v>5446.68</v>
      </c>
      <c r="AF370" s="9" cm="1">
        <f t="array" aca="1" ref="AF370" ca="1">_xll.FDS($E$9,"P_PRICE("&amp;AK370&amp;",0,D,D)")</f>
        <v>5291.34</v>
      </c>
      <c r="AG370" s="20">
        <f t="shared" ca="1" si="101"/>
        <v>45533</v>
      </c>
      <c r="AH370" s="22">
        <f t="shared" ca="1" si="96"/>
        <v>45526</v>
      </c>
      <c r="AI370" s="22">
        <f t="shared" ca="1" si="97"/>
        <v>45519</v>
      </c>
      <c r="AJ370" s="22">
        <f t="shared" ca="1" si="98"/>
        <v>45505</v>
      </c>
      <c r="AK370" s="22">
        <f t="shared" ca="1" si="99"/>
        <v>45447</v>
      </c>
      <c r="AL370" s="22">
        <f t="shared" ca="1" si="100"/>
        <v>45359</v>
      </c>
    </row>
    <row r="371" spans="4:38" x14ac:dyDescent="0.25">
      <c r="D371" s="6">
        <f ca="1"/>
        <v>45532</v>
      </c>
      <c r="E371" s="28" cm="1">
        <f t="array" aca="1" ref="E371" ca="1">_xll.FDS($E$7,"P_PRICE("&amp;D371&amp;",0,D,D)")</f>
        <v>87.72</v>
      </c>
      <c r="F371" s="29" cm="1">
        <f t="array" aca="1" ref="F371" ca="1">_xll.FDS($E$7,"P_BETA_LOCIDX("&amp;$AG371&amp;","&amp;$AL371&amp;",,"""&amp;$E$9&amp;""")")</f>
        <v>1.4280390000000001</v>
      </c>
      <c r="G371" s="30">
        <f t="shared" ca="1" si="86"/>
        <v>1.0945257264835011E-2</v>
      </c>
      <c r="H371" s="30">
        <f t="shared" ca="1" si="86"/>
        <v>1.6574157139336521E-2</v>
      </c>
      <c r="I371" s="30">
        <f t="shared" ca="1" si="86"/>
        <v>5.4999786314071375E-3</v>
      </c>
      <c r="J371" s="30">
        <f t="shared" ca="1" si="86"/>
        <v>2.7201434365085098E-2</v>
      </c>
      <c r="K371" s="30">
        <f t="shared" ca="1" si="87"/>
        <v>-7.2839300337137853E-3</v>
      </c>
      <c r="L371" s="30">
        <f t="shared" ca="1" si="87"/>
        <v>3.5855356957844142E-2</v>
      </c>
      <c r="M371" s="30">
        <f t="shared" ca="1" si="87"/>
        <v>1.8070616467775996E-2</v>
      </c>
      <c r="N371" s="30">
        <f t="shared" ca="1" si="87"/>
        <v>8.3459492451830541E-2</v>
      </c>
      <c r="O371" s="30">
        <f t="shared" ca="1" si="88"/>
        <v>3.6613272311212253E-3</v>
      </c>
      <c r="P371" s="30">
        <f t="shared" ca="1" si="89"/>
        <v>5.2429514097180663E-2</v>
      </c>
      <c r="Q371" s="30">
        <f t="shared" ca="1" si="90"/>
        <v>2.3570595099183134E-2</v>
      </c>
      <c r="R371" s="30">
        <f t="shared" ca="1" si="91"/>
        <v>0.11066092681691564</v>
      </c>
      <c r="S371" s="9" cm="1">
        <f t="array" aca="1" ref="S371" ca="1">_xll.FDS($E$7,"P_PRICE("&amp;AG371&amp;",0,D,D)")</f>
        <v>87.72</v>
      </c>
      <c r="T371" s="9" cm="1">
        <f t="array" aca="1" ref="T371" ca="1">_xll.FDS($E$7,"P_PRICE("&amp;AH371&amp;",0,D,D)")</f>
        <v>87.4</v>
      </c>
      <c r="U371" s="9" cm="1">
        <f t="array" aca="1" ref="U371" ca="1">_xll.FDS($E$7,"P_PRICE("&amp;AI371&amp;",0,D,D)")</f>
        <v>83.35</v>
      </c>
      <c r="V371" s="9" cm="1">
        <f t="array" aca="1" ref="V371" ca="1">_xll.FDS($E$7,"P_PRICE("&amp;AJ371&amp;",0,D,D)")</f>
        <v>85.7</v>
      </c>
      <c r="W371" s="9" cm="1">
        <f t="array" aca="1" ref="W371" ca="1">_xll.FDS($E$7,"P_PRICE("&amp;AK371&amp;",0,D,D)")</f>
        <v>78.98</v>
      </c>
      <c r="X371" s="24">
        <f t="shared" ca="1" si="92"/>
        <v>-5.1006520366136954E-3</v>
      </c>
      <c r="Y371" s="24">
        <f t="shared" ca="1" si="93"/>
        <v>2.5108107662216606E-2</v>
      </c>
      <c r="Z371" s="24">
        <f t="shared" ca="1" si="94"/>
        <v>1.2654147728301535E-2</v>
      </c>
      <c r="AA371" s="24">
        <f t="shared" ca="1" si="95"/>
        <v>5.8443426581368252E-2</v>
      </c>
      <c r="AB371" s="9" cm="1">
        <f t="array" aca="1" ref="AB371" ca="1">_xll.FDS($E$9,"P_PRICE("&amp;AG371&amp;",0,D,D)")</f>
        <v>5592.18</v>
      </c>
      <c r="AC371" s="9" cm="1">
        <f t="array" aca="1" ref="AC371" ca="1">_xll.FDS($E$9,"P_PRICE("&amp;AH371&amp;",0,D,D)")</f>
        <v>5620.85</v>
      </c>
      <c r="AD371" s="9" cm="1">
        <f t="array" aca="1" ref="AD371" ca="1">_xll.FDS($E$9,"P_PRICE("&amp;AI371&amp;",0,D,D)")</f>
        <v>5455.21</v>
      </c>
      <c r="AE371" s="9" cm="1">
        <f t="array" aca="1" ref="AE371" ca="1">_xll.FDS($E$9,"P_PRICE("&amp;AJ371&amp;",0,D,D)")</f>
        <v>5522.3</v>
      </c>
      <c r="AF371" s="9" cm="1">
        <f t="array" aca="1" ref="AF371" ca="1">_xll.FDS($E$9,"P_PRICE("&amp;AK371&amp;",0,D,D)")</f>
        <v>5283.4</v>
      </c>
      <c r="AG371" s="20">
        <f t="shared" ca="1" si="101"/>
        <v>45532</v>
      </c>
      <c r="AH371" s="22">
        <f t="shared" ca="1" si="96"/>
        <v>45525</v>
      </c>
      <c r="AI371" s="22">
        <f t="shared" ca="1" si="97"/>
        <v>45518</v>
      </c>
      <c r="AJ371" s="22">
        <f t="shared" ca="1" si="98"/>
        <v>45504</v>
      </c>
      <c r="AK371" s="22">
        <f t="shared" ca="1" si="99"/>
        <v>45446</v>
      </c>
      <c r="AL371" s="22">
        <f t="shared" ca="1" si="100"/>
        <v>45358</v>
      </c>
    </row>
    <row r="372" spans="4:38" x14ac:dyDescent="0.25">
      <c r="D372" s="6">
        <f ca="1"/>
        <v>45531</v>
      </c>
      <c r="E372" s="28" cm="1">
        <f t="array" aca="1" ref="E372" ca="1">_xll.FDS($E$7,"P_PRICE("&amp;D372&amp;",0,D,D)")</f>
        <v>88.12</v>
      </c>
      <c r="F372" s="29" cm="1">
        <f t="array" aca="1" ref="F372" ca="1">_xll.FDS($E$7,"P_BETA_LOCIDX("&amp;$AG372&amp;","&amp;$AL372&amp;",,"""&amp;$E$9&amp;""")")</f>
        <v>1.4341858999999999</v>
      </c>
      <c r="G372" s="30">
        <f t="shared" ca="1" si="86"/>
        <v>2.5832052123222701E-2</v>
      </c>
      <c r="H372" s="30">
        <f t="shared" ca="1" si="86"/>
        <v>5.4577083431954151E-3</v>
      </c>
      <c r="I372" s="30">
        <f t="shared" ca="1" si="86"/>
        <v>-1.656180884954235E-3</v>
      </c>
      <c r="J372" s="30">
        <f t="shared" ca="1" si="86"/>
        <v>-1.686064647886433E-2</v>
      </c>
      <c r="K372" s="30">
        <f t="shared" ca="1" si="87"/>
        <v>7.3488600587445808E-3</v>
      </c>
      <c r="L372" s="30">
        <f t="shared" ca="1" si="87"/>
        <v>5.050394534164588E-2</v>
      </c>
      <c r="M372" s="30">
        <f t="shared" ca="1" si="87"/>
        <v>4.9955015051026182E-2</v>
      </c>
      <c r="N372" s="30">
        <f t="shared" ca="1" si="87"/>
        <v>9.4649296185322265E-2</v>
      </c>
      <c r="O372" s="30">
        <f t="shared" ca="1" si="88"/>
        <v>3.3180912181967281E-2</v>
      </c>
      <c r="P372" s="30">
        <f t="shared" ca="1" si="89"/>
        <v>5.5961653684841295E-2</v>
      </c>
      <c r="Q372" s="30">
        <f t="shared" ca="1" si="90"/>
        <v>4.8298834166071947E-2</v>
      </c>
      <c r="R372" s="30">
        <f t="shared" ca="1" si="91"/>
        <v>7.7788649706457935E-2</v>
      </c>
      <c r="S372" s="9" cm="1">
        <f t="array" aca="1" ref="S372" ca="1">_xll.FDS($E$7,"P_PRICE("&amp;AG372&amp;",0,D,D)")</f>
        <v>88.12</v>
      </c>
      <c r="T372" s="9" cm="1">
        <f t="array" aca="1" ref="T372" ca="1">_xll.FDS($E$7,"P_PRICE("&amp;AH372&amp;",0,D,D)")</f>
        <v>85.29</v>
      </c>
      <c r="U372" s="9" cm="1">
        <f t="array" aca="1" ref="U372" ca="1">_xll.FDS($E$7,"P_PRICE("&amp;AI372&amp;",0,D,D)")</f>
        <v>83.45</v>
      </c>
      <c r="V372" s="9" cm="1">
        <f t="array" aca="1" ref="V372" ca="1">_xll.FDS($E$7,"P_PRICE("&amp;AJ372&amp;",0,D,D)")</f>
        <v>84.06</v>
      </c>
      <c r="W372" s="9" cm="1">
        <f t="array" aca="1" ref="W372" ca="1">_xll.FDS($E$7,"P_PRICE("&amp;AK372&amp;",0,D,D)")</f>
        <v>81.760000000000005</v>
      </c>
      <c r="X372" s="24">
        <f t="shared" ca="1" si="92"/>
        <v>5.1240638042422404E-3</v>
      </c>
      <c r="Y372" s="24">
        <f t="shared" ca="1" si="93"/>
        <v>3.5214364707982337E-2</v>
      </c>
      <c r="Z372" s="24">
        <f t="shared" ca="1" si="94"/>
        <v>3.4831617749851107E-2</v>
      </c>
      <c r="AA372" s="24">
        <f t="shared" ca="1" si="95"/>
        <v>6.5995137858573472E-2</v>
      </c>
      <c r="AB372" s="9" cm="1">
        <f t="array" aca="1" ref="AB372" ca="1">_xll.FDS($E$9,"P_PRICE("&amp;AG372&amp;",0,D,D)")</f>
        <v>5625.8</v>
      </c>
      <c r="AC372" s="9" cm="1">
        <f t="array" aca="1" ref="AC372" ca="1">_xll.FDS($E$9,"P_PRICE("&amp;AH372&amp;",0,D,D)")</f>
        <v>5597.12</v>
      </c>
      <c r="AD372" s="9" cm="1">
        <f t="array" aca="1" ref="AD372" ca="1">_xll.FDS($E$9,"P_PRICE("&amp;AI372&amp;",0,D,D)")</f>
        <v>5434.43</v>
      </c>
      <c r="AE372" s="9" cm="1">
        <f t="array" aca="1" ref="AE372" ca="1">_xll.FDS($E$9,"P_PRICE("&amp;AJ372&amp;",0,D,D)")</f>
        <v>5436.44</v>
      </c>
      <c r="AF372" s="9" cm="1">
        <f t="array" aca="1" ref="AF372" ca="1">_xll.FDS($E$9,"P_PRICE("&amp;AK372&amp;",0,D,D)")</f>
        <v>5277.51</v>
      </c>
      <c r="AG372" s="20">
        <f t="shared" ca="1" si="101"/>
        <v>45531</v>
      </c>
      <c r="AH372" s="22">
        <f t="shared" ca="1" si="96"/>
        <v>45524</v>
      </c>
      <c r="AI372" s="22">
        <f t="shared" ca="1" si="97"/>
        <v>45517</v>
      </c>
      <c r="AJ372" s="22">
        <f t="shared" ca="1" si="98"/>
        <v>45503</v>
      </c>
      <c r="AK372" s="22">
        <f t="shared" ca="1" si="99"/>
        <v>45443</v>
      </c>
      <c r="AL372" s="22">
        <f t="shared" ca="1" si="100"/>
        <v>45357</v>
      </c>
    </row>
    <row r="373" spans="4:38" x14ac:dyDescent="0.25">
      <c r="D373" s="6">
        <f ca="1"/>
        <v>45530</v>
      </c>
      <c r="E373" s="28" cm="1">
        <f t="array" aca="1" ref="E373" ca="1">_xll.FDS($E$7,"P_PRICE("&amp;D373&amp;",0,D,D)")</f>
        <v>90.05</v>
      </c>
      <c r="F373" s="29" cm="1">
        <f t="array" aca="1" ref="F373" ca="1">_xll.FDS($E$7,"P_BETA_LOCIDX("&amp;$AG373&amp;","&amp;$AL373&amp;",,"""&amp;$E$9&amp;""")")</f>
        <v>1.4469776999999999</v>
      </c>
      <c r="G373" s="30">
        <f t="shared" ca="1" si="86"/>
        <v>5.7444801370374984E-2</v>
      </c>
      <c r="H373" s="30">
        <f t="shared" ca="1" si="86"/>
        <v>2.574657219042728E-2</v>
      </c>
      <c r="I373" s="30">
        <f t="shared" ca="1" si="86"/>
        <v>4.9593346332767664E-2</v>
      </c>
      <c r="J373" s="30">
        <f t="shared" ca="1" si="86"/>
        <v>2.0788127726456745E-2</v>
      </c>
      <c r="K373" s="30">
        <f t="shared" ca="1" si="87"/>
        <v>2.2162953582669674E-3</v>
      </c>
      <c r="L373" s="30">
        <f t="shared" ca="1" si="87"/>
        <v>7.37650273211721E-2</v>
      </c>
      <c r="M373" s="30">
        <f t="shared" ca="1" si="87"/>
        <v>4.0600358267716706E-2</v>
      </c>
      <c r="N373" s="30">
        <f t="shared" ca="1" si="87"/>
        <v>0.10539996632056672</v>
      </c>
      <c r="O373" s="30">
        <f t="shared" ca="1" si="88"/>
        <v>5.9661096728641949E-2</v>
      </c>
      <c r="P373" s="30">
        <f t="shared" ca="1" si="89"/>
        <v>9.951159951159938E-2</v>
      </c>
      <c r="Q373" s="30">
        <f t="shared" ca="1" si="90"/>
        <v>9.019370460048437E-2</v>
      </c>
      <c r="R373" s="30">
        <f t="shared" ca="1" si="91"/>
        <v>0.12618809404702347</v>
      </c>
      <c r="S373" s="9" cm="1">
        <f t="array" aca="1" ref="S373" ca="1">_xll.FDS($E$7,"P_PRICE("&amp;AG373&amp;",0,D,D)")</f>
        <v>90.05</v>
      </c>
      <c r="T373" s="9" cm="1">
        <f t="array" aca="1" ref="T373" ca="1">_xll.FDS($E$7,"P_PRICE("&amp;AH373&amp;",0,D,D)")</f>
        <v>84.98</v>
      </c>
      <c r="U373" s="9" cm="1">
        <f t="array" aca="1" ref="U373" ca="1">_xll.FDS($E$7,"P_PRICE("&amp;AI373&amp;",0,D,D)")</f>
        <v>81.900000000000006</v>
      </c>
      <c r="V373" s="9" cm="1">
        <f t="array" aca="1" ref="V373" ca="1">_xll.FDS($E$7,"P_PRICE("&amp;AJ373&amp;",0,D,D)")</f>
        <v>82.6</v>
      </c>
      <c r="W373" s="9" cm="1">
        <f t="array" aca="1" ref="W373" ca="1">_xll.FDS($E$7,"P_PRICE("&amp;AK373&amp;",0,D,D)")</f>
        <v>79.959999999999994</v>
      </c>
      <c r="X373" s="24">
        <f t="shared" ca="1" si="92"/>
        <v>1.5316720902243119E-3</v>
      </c>
      <c r="Y373" s="24">
        <f t="shared" ca="1" si="93"/>
        <v>5.0978689803700572E-2</v>
      </c>
      <c r="Z373" s="24">
        <f t="shared" ca="1" si="94"/>
        <v>2.805873115232993E-2</v>
      </c>
      <c r="AA373" s="24">
        <f t="shared" ca="1" si="95"/>
        <v>7.2841458662816105E-2</v>
      </c>
      <c r="AB373" s="9" cm="1">
        <f t="array" aca="1" ref="AB373" ca="1">_xll.FDS($E$9,"P_PRICE("&amp;AG373&amp;",0,D,D)")</f>
        <v>5616.84</v>
      </c>
      <c r="AC373" s="9" cm="1">
        <f t="array" aca="1" ref="AC373" ca="1">_xll.FDS($E$9,"P_PRICE("&amp;AH373&amp;",0,D,D)")</f>
        <v>5608.25</v>
      </c>
      <c r="AD373" s="9" cm="1">
        <f t="array" aca="1" ref="AD373" ca="1">_xll.FDS($E$9,"P_PRICE("&amp;AI373&amp;",0,D,D)")</f>
        <v>5344.39</v>
      </c>
      <c r="AE373" s="9" cm="1">
        <f t="array" aca="1" ref="AE373" ca="1">_xll.FDS($E$9,"P_PRICE("&amp;AJ373&amp;",0,D,D)")</f>
        <v>5463.54</v>
      </c>
      <c r="AF373" s="9" cm="1">
        <f t="array" aca="1" ref="AF373" ca="1">_xll.FDS($E$9,"P_PRICE("&amp;AK373&amp;",0,D,D)")</f>
        <v>5235.4799999999996</v>
      </c>
      <c r="AG373" s="20">
        <f t="shared" ca="1" si="101"/>
        <v>45530</v>
      </c>
      <c r="AH373" s="22">
        <f t="shared" ca="1" si="96"/>
        <v>45523</v>
      </c>
      <c r="AI373" s="22">
        <f t="shared" ca="1" si="97"/>
        <v>45516</v>
      </c>
      <c r="AJ373" s="22">
        <f t="shared" ca="1" si="98"/>
        <v>45502</v>
      </c>
      <c r="AK373" s="22">
        <f t="shared" ca="1" si="99"/>
        <v>45442</v>
      </c>
      <c r="AL373" s="22">
        <f t="shared" ca="1" si="100"/>
        <v>45356</v>
      </c>
    </row>
    <row r="374" spans="4:38" x14ac:dyDescent="0.25">
      <c r="D374" s="6">
        <f ca="1"/>
        <v>45527</v>
      </c>
      <c r="E374" s="28" cm="1">
        <f t="array" aca="1" ref="E374" ca="1">_xll.FDS($E$7,"P_PRICE("&amp;D374&amp;",0,D,D)")</f>
        <v>90.18</v>
      </c>
      <c r="F374" s="29" cm="1">
        <f t="array" aca="1" ref="F374" ca="1">_xll.FDS($E$7,"P_BETA_LOCIDX("&amp;$AG374&amp;","&amp;$AL374&amp;",,"""&amp;$E$9&amp;""")")</f>
        <v>1.4483496</v>
      </c>
      <c r="G374" s="30">
        <f t="shared" ca="1" si="86"/>
        <v>5.0320825769256006E-2</v>
      </c>
      <c r="H374" s="30">
        <f t="shared" ca="1" si="86"/>
        <v>1.6099654147702619E-2</v>
      </c>
      <c r="I374" s="30">
        <f t="shared" ca="1" si="86"/>
        <v>5.9260225060648673E-2</v>
      </c>
      <c r="J374" s="30">
        <f t="shared" ca="1" si="86"/>
        <v>5.3423472413183598E-2</v>
      </c>
      <c r="K374" s="30">
        <f t="shared" ca="1" si="87"/>
        <v>2.0955011721834445E-2</v>
      </c>
      <c r="L374" s="30">
        <f t="shared" ca="1" si="87"/>
        <v>7.8716419665578879E-2</v>
      </c>
      <c r="M374" s="30">
        <f t="shared" ca="1" si="87"/>
        <v>4.6564422394900197E-2</v>
      </c>
      <c r="N374" s="30">
        <f t="shared" ca="1" si="87"/>
        <v>0.10110219651525085</v>
      </c>
      <c r="O374" s="30">
        <f t="shared" ca="1" si="88"/>
        <v>7.1275837491090455E-2</v>
      </c>
      <c r="P374" s="30">
        <f t="shared" ca="1" si="89"/>
        <v>9.4816073813281498E-2</v>
      </c>
      <c r="Q374" s="30">
        <f t="shared" ca="1" si="90"/>
        <v>0.10582464745554887</v>
      </c>
      <c r="R374" s="30">
        <f t="shared" ca="1" si="91"/>
        <v>0.15452566892843445</v>
      </c>
      <c r="S374" s="9" cm="1">
        <f t="array" aca="1" ref="S374" ca="1">_xll.FDS($E$7,"P_PRICE("&amp;AG374&amp;",0,D,D)")</f>
        <v>90.18</v>
      </c>
      <c r="T374" s="9" cm="1">
        <f t="array" aca="1" ref="T374" ca="1">_xll.FDS($E$7,"P_PRICE("&amp;AH374&amp;",0,D,D)")</f>
        <v>84.18</v>
      </c>
      <c r="U374" s="9" cm="1">
        <f t="array" aca="1" ref="U374" ca="1">_xll.FDS($E$7,"P_PRICE("&amp;AI374&amp;",0,D,D)")</f>
        <v>82.37</v>
      </c>
      <c r="V374" s="9" cm="1">
        <f t="array" aca="1" ref="V374" ca="1">_xll.FDS($E$7,"P_PRICE("&amp;AJ374&amp;",0,D,D)")</f>
        <v>81.55</v>
      </c>
      <c r="W374" s="9" cm="1">
        <f t="array" aca="1" ref="W374" ca="1">_xll.FDS($E$7,"P_PRICE("&amp;AK374&amp;",0,D,D)")</f>
        <v>78.11</v>
      </c>
      <c r="X374" s="24">
        <f t="shared" ca="1" si="92"/>
        <v>1.4468200027006217E-2</v>
      </c>
      <c r="Y374" s="24">
        <f t="shared" ca="1" si="93"/>
        <v>5.434904643573546E-2</v>
      </c>
      <c r="Z374" s="24">
        <f t="shared" ca="1" si="94"/>
        <v>3.2149988093275406E-2</v>
      </c>
      <c r="AA374" s="24">
        <f t="shared" ca="1" si="95"/>
        <v>6.9805105421543834E-2</v>
      </c>
      <c r="AB374" s="9" cm="1">
        <f t="array" aca="1" ref="AB374" ca="1">_xll.FDS($E$9,"P_PRICE("&amp;AG374&amp;",0,D,D)")</f>
        <v>5634.61</v>
      </c>
      <c r="AC374" s="9" cm="1">
        <f t="array" aca="1" ref="AC374" ca="1">_xll.FDS($E$9,"P_PRICE("&amp;AH374&amp;",0,D,D)")</f>
        <v>5554.25</v>
      </c>
      <c r="AD374" s="9" cm="1">
        <f t="array" aca="1" ref="AD374" ca="1">_xll.FDS($E$9,"P_PRICE("&amp;AI374&amp;",0,D,D)")</f>
        <v>5344.16</v>
      </c>
      <c r="AE374" s="9" cm="1">
        <f t="array" aca="1" ref="AE374" ca="1">_xll.FDS($E$9,"P_PRICE("&amp;AJ374&amp;",0,D,D)")</f>
        <v>5459.1</v>
      </c>
      <c r="AF374" s="9" cm="1">
        <f t="array" aca="1" ref="AF374" ca="1">_xll.FDS($E$9,"P_PRICE("&amp;AK374&amp;",0,D,D)")</f>
        <v>5266.95</v>
      </c>
      <c r="AG374" s="20">
        <f t="shared" ca="1" si="101"/>
        <v>45527</v>
      </c>
      <c r="AH374" s="22">
        <f t="shared" ca="1" si="96"/>
        <v>45520</v>
      </c>
      <c r="AI374" s="22">
        <f t="shared" ca="1" si="97"/>
        <v>45513</v>
      </c>
      <c r="AJ374" s="22">
        <f t="shared" ca="1" si="98"/>
        <v>45499</v>
      </c>
      <c r="AK374" s="22">
        <f t="shared" ca="1" si="99"/>
        <v>45441</v>
      </c>
      <c r="AL374" s="22">
        <f t="shared" ca="1" si="100"/>
        <v>45355</v>
      </c>
    </row>
    <row r="375" spans="4:38" x14ac:dyDescent="0.25">
      <c r="D375" s="6">
        <f ca="1"/>
        <v>45526</v>
      </c>
      <c r="E375" s="28" cm="1">
        <f t="array" aca="1" ref="E375" ca="1">_xll.FDS($E$7,"P_PRICE("&amp;D375&amp;",0,D,D)")</f>
        <v>88.14</v>
      </c>
      <c r="F375" s="29" cm="1">
        <f t="array" aca="1" ref="F375" ca="1">_xll.FDS($E$7,"P_BETA_LOCIDX("&amp;$AG375&amp;","&amp;$AL375&amp;",,"""&amp;$E$9&amp;""")")</f>
        <v>1.4217059999999999</v>
      </c>
      <c r="G375" s="30">
        <f t="shared" ca="1" si="86"/>
        <v>2.239978832275466E-2</v>
      </c>
      <c r="H375" s="30">
        <f t="shared" ca="1" si="86"/>
        <v>1.3768237670656311E-2</v>
      </c>
      <c r="I375" s="30">
        <f t="shared" ca="1" si="86"/>
        <v>6.270535021899698E-2</v>
      </c>
      <c r="J375" s="30">
        <f t="shared" ca="1" si="86"/>
        <v>4.1279450777920557E-2</v>
      </c>
      <c r="K375" s="30">
        <f t="shared" ca="1" si="87"/>
        <v>7.0325872904198079E-3</v>
      </c>
      <c r="L375" s="30">
        <f t="shared" ca="1" si="87"/>
        <v>6.717363135068273E-2</v>
      </c>
      <c r="M375" s="30">
        <f t="shared" ca="1" si="87"/>
        <v>4.5137787035905048E-2</v>
      </c>
      <c r="N375" s="30">
        <f t="shared" ca="1" si="87"/>
        <v>7.0897205373498917E-2</v>
      </c>
      <c r="O375" s="30">
        <f t="shared" ca="1" si="88"/>
        <v>2.9432375613174466E-2</v>
      </c>
      <c r="P375" s="30">
        <f t="shared" ca="1" si="89"/>
        <v>8.0941869021339041E-2</v>
      </c>
      <c r="Q375" s="30">
        <f t="shared" ca="1" si="90"/>
        <v>0.10784313725490202</v>
      </c>
      <c r="R375" s="30">
        <f t="shared" ca="1" si="91"/>
        <v>0.11217665615141947</v>
      </c>
      <c r="S375" s="9" cm="1">
        <f t="array" aca="1" ref="S375" ca="1">_xll.FDS($E$7,"P_PRICE("&amp;AG375&amp;",0,D,D)")</f>
        <v>88.14</v>
      </c>
      <c r="T375" s="9" cm="1">
        <f t="array" aca="1" ref="T375" ca="1">_xll.FDS($E$7,"P_PRICE("&amp;AH375&amp;",0,D,D)")</f>
        <v>85.62</v>
      </c>
      <c r="U375" s="9" cm="1">
        <f t="array" aca="1" ref="U375" ca="1">_xll.FDS($E$7,"P_PRICE("&amp;AI375&amp;",0,D,D)")</f>
        <v>81.540000000000006</v>
      </c>
      <c r="V375" s="9" cm="1">
        <f t="array" aca="1" ref="V375" ca="1">_xll.FDS($E$7,"P_PRICE("&amp;AJ375&amp;",0,D,D)")</f>
        <v>79.56</v>
      </c>
      <c r="W375" s="9" cm="1">
        <f t="array" aca="1" ref="W375" ca="1">_xll.FDS($E$7,"P_PRICE("&amp;AK375&amp;",0,D,D)")</f>
        <v>79.25</v>
      </c>
      <c r="X375" s="24">
        <f t="shared" ca="1" si="92"/>
        <v>4.946583393767634E-3</v>
      </c>
      <c r="Y375" s="24">
        <f t="shared" ca="1" si="93"/>
        <v>4.7248609312110057E-2</v>
      </c>
      <c r="Z375" s="24">
        <f t="shared" ca="1" si="94"/>
        <v>3.1749030415504365E-2</v>
      </c>
      <c r="AA375" s="24">
        <f t="shared" ca="1" si="95"/>
        <v>4.9867697944229628E-2</v>
      </c>
      <c r="AB375" s="9" cm="1">
        <f t="array" aca="1" ref="AB375" ca="1">_xll.FDS($E$9,"P_PRICE("&amp;AG375&amp;",0,D,D)")</f>
        <v>5570.64</v>
      </c>
      <c r="AC375" s="9" cm="1">
        <f t="array" aca="1" ref="AC375" ca="1">_xll.FDS($E$9,"P_PRICE("&amp;AH375&amp;",0,D,D)")</f>
        <v>5543.22</v>
      </c>
      <c r="AD375" s="9" cm="1">
        <f t="array" aca="1" ref="AD375" ca="1">_xll.FDS($E$9,"P_PRICE("&amp;AI375&amp;",0,D,D)")</f>
        <v>5319.31</v>
      </c>
      <c r="AE375" s="9" cm="1">
        <f t="array" aca="1" ref="AE375" ca="1">_xll.FDS($E$9,"P_PRICE("&amp;AJ375&amp;",0,D,D)")</f>
        <v>5399.22</v>
      </c>
      <c r="AF375" s="9" cm="1">
        <f t="array" aca="1" ref="AF375" ca="1">_xll.FDS($E$9,"P_PRICE("&amp;AK375&amp;",0,D,D)")</f>
        <v>5306.04</v>
      </c>
      <c r="AG375" s="20">
        <f t="shared" ca="1" si="101"/>
        <v>45526</v>
      </c>
      <c r="AH375" s="22">
        <f t="shared" ca="1" si="96"/>
        <v>45519</v>
      </c>
      <c r="AI375" s="22">
        <f t="shared" ca="1" si="97"/>
        <v>45512</v>
      </c>
      <c r="AJ375" s="22">
        <f t="shared" ca="1" si="98"/>
        <v>45498</v>
      </c>
      <c r="AK375" s="22">
        <f t="shared" ca="1" si="99"/>
        <v>45440</v>
      </c>
      <c r="AL375" s="22">
        <f t="shared" ca="1" si="100"/>
        <v>45352</v>
      </c>
    </row>
    <row r="376" spans="4:38" x14ac:dyDescent="0.25">
      <c r="D376" s="6">
        <f ca="1"/>
        <v>45525</v>
      </c>
      <c r="E376" s="28" cm="1">
        <f t="array" aca="1" ref="E376" ca="1">_xll.FDS($E$7,"P_PRICE("&amp;D376&amp;",0,D,D)")</f>
        <v>87.4</v>
      </c>
      <c r="F376" s="29" cm="1">
        <f t="array" aca="1" ref="F376" ca="1">_xll.FDS($E$7,"P_BETA_LOCIDX("&amp;$AG376&amp;","&amp;$AL376&amp;",,"""&amp;$E$9&amp;""")")</f>
        <v>1.4785701</v>
      </c>
      <c r="G376" s="30">
        <f t="shared" ca="1" si="86"/>
        <v>3.6955205386426382E-3</v>
      </c>
      <c r="H376" s="30">
        <f t="shared" ca="1" si="86"/>
        <v>2.8821418539182297E-2</v>
      </c>
      <c r="I376" s="30">
        <f t="shared" ca="1" si="86"/>
        <v>4.4248052224693066E-2</v>
      </c>
      <c r="J376" s="30">
        <f t="shared" ca="1" si="86"/>
        <v>-2.1479927923181916E-2</v>
      </c>
      <c r="K376" s="30">
        <f t="shared" ca="1" si="87"/>
        <v>4.4894761404968841E-2</v>
      </c>
      <c r="L376" s="30">
        <f t="shared" ca="1" si="87"/>
        <v>0.11981835015578424</v>
      </c>
      <c r="M376" s="30">
        <f t="shared" ca="1" si="87"/>
        <v>5.2777176845220333E-2</v>
      </c>
      <c r="N376" s="30">
        <f t="shared" ca="1" si="87"/>
        <v>8.8114050451861645E-2</v>
      </c>
      <c r="O376" s="30">
        <f t="shared" ca="1" si="88"/>
        <v>4.859028194361148E-2</v>
      </c>
      <c r="P376" s="30">
        <f t="shared" ca="1" si="89"/>
        <v>0.14863976869496653</v>
      </c>
      <c r="Q376" s="30">
        <f t="shared" ca="1" si="90"/>
        <v>9.7025229069913399E-2</v>
      </c>
      <c r="R376" s="30">
        <f t="shared" ca="1" si="91"/>
        <v>6.6634122528679729E-2</v>
      </c>
      <c r="S376" s="9" cm="1">
        <f t="array" aca="1" ref="S376" ca="1">_xll.FDS($E$7,"P_PRICE("&amp;AG376&amp;",0,D,D)")</f>
        <v>87.4</v>
      </c>
      <c r="T376" s="9" cm="1">
        <f t="array" aca="1" ref="T376" ca="1">_xll.FDS($E$7,"P_PRICE("&amp;AH376&amp;",0,D,D)")</f>
        <v>83.35</v>
      </c>
      <c r="U376" s="9" cm="1">
        <f t="array" aca="1" ref="U376" ca="1">_xll.FDS($E$7,"P_PRICE("&amp;AI376&amp;",0,D,D)")</f>
        <v>76.09</v>
      </c>
      <c r="V376" s="9" cm="1">
        <f t="array" aca="1" ref="V376" ca="1">_xll.FDS($E$7,"P_PRICE("&amp;AJ376&amp;",0,D,D)")</f>
        <v>79.67</v>
      </c>
      <c r="W376" s="9" cm="1">
        <f t="array" aca="1" ref="W376" ca="1">_xll.FDS($E$7,"P_PRICE("&amp;AK376&amp;",0,D,D)")</f>
        <v>81.94</v>
      </c>
      <c r="X376" s="24">
        <f t="shared" ca="1" si="92"/>
        <v>3.0363634030587283E-2</v>
      </c>
      <c r="Y376" s="24">
        <f t="shared" ca="1" si="93"/>
        <v>8.1036638138282546E-2</v>
      </c>
      <c r="Z376" s="24">
        <f t="shared" ca="1" si="94"/>
        <v>3.569474105097914E-2</v>
      </c>
      <c r="AA376" s="24">
        <f t="shared" ca="1" si="95"/>
        <v>5.9594097332187124E-2</v>
      </c>
      <c r="AB376" s="9" cm="1">
        <f t="array" aca="1" ref="AB376" ca="1">_xll.FDS($E$9,"P_PRICE("&amp;AG376&amp;",0,D,D)")</f>
        <v>5620.85</v>
      </c>
      <c r="AC376" s="9" cm="1">
        <f t="array" aca="1" ref="AC376" ca="1">_xll.FDS($E$9,"P_PRICE("&amp;AH376&amp;",0,D,D)")</f>
        <v>5455.21</v>
      </c>
      <c r="AD376" s="9" cm="1">
        <f t="array" aca="1" ref="AD376" ca="1">_xll.FDS($E$9,"P_PRICE("&amp;AI376&amp;",0,D,D)")</f>
        <v>5199.5</v>
      </c>
      <c r="AE376" s="9" cm="1">
        <f t="array" aca="1" ref="AE376" ca="1">_xll.FDS($E$9,"P_PRICE("&amp;AJ376&amp;",0,D,D)")</f>
        <v>5427.13</v>
      </c>
      <c r="AF376" s="9" cm="1">
        <f t="array" aca="1" ref="AF376" ca="1">_xll.FDS($E$9,"P_PRICE("&amp;AK376&amp;",0,D,D)")</f>
        <v>5304.72</v>
      </c>
      <c r="AG376" s="20">
        <f t="shared" ca="1" si="101"/>
        <v>45525</v>
      </c>
      <c r="AH376" s="22">
        <f t="shared" ca="1" si="96"/>
        <v>45518</v>
      </c>
      <c r="AI376" s="22">
        <f t="shared" ca="1" si="97"/>
        <v>45511</v>
      </c>
      <c r="AJ376" s="22">
        <f t="shared" ca="1" si="98"/>
        <v>45497</v>
      </c>
      <c r="AK376" s="22">
        <f t="shared" ca="1" si="99"/>
        <v>45436</v>
      </c>
      <c r="AL376" s="22">
        <f t="shared" ca="1" si="100"/>
        <v>45351</v>
      </c>
    </row>
    <row r="377" spans="4:38" x14ac:dyDescent="0.25">
      <c r="D377" s="6">
        <f ca="1"/>
        <v>45524</v>
      </c>
      <c r="E377" s="28" cm="1">
        <f t="array" aca="1" ref="E377" ca="1">_xll.FDS($E$7,"P_PRICE("&amp;D377&amp;",0,D,D)")</f>
        <v>85.29</v>
      </c>
      <c r="F377" s="29" cm="1">
        <f t="array" aca="1" ref="F377" ca="1">_xll.FDS($E$7,"P_BETA_LOCIDX("&amp;$AG377&amp;","&amp;$AL377&amp;",,"""&amp;$E$9&amp;""")")</f>
        <v>1.465975</v>
      </c>
      <c r="G377" s="30">
        <f t="shared" ca="1" si="86"/>
        <v>-2.1837619142065889E-2</v>
      </c>
      <c r="H377" s="30">
        <f t="shared" ca="1" si="86"/>
        <v>-1.2018494976095931E-2</v>
      </c>
      <c r="I377" s="30">
        <f t="shared" ca="1" si="86"/>
        <v>2.5915621739585705E-2</v>
      </c>
      <c r="J377" s="30">
        <f t="shared" ca="1" si="86"/>
        <v>-3.0945599973708507E-2</v>
      </c>
      <c r="K377" s="30">
        <f t="shared" ca="1" si="87"/>
        <v>4.3886750358363036E-2</v>
      </c>
      <c r="L377" s="30">
        <f t="shared" ca="1" si="87"/>
        <v>9.9901148037320378E-2</v>
      </c>
      <c r="M377" s="30">
        <f t="shared" ca="1" si="87"/>
        <v>1.0918805685651312E-2</v>
      </c>
      <c r="N377" s="30">
        <f t="shared" ca="1" si="87"/>
        <v>9.1634569007410974E-2</v>
      </c>
      <c r="O377" s="30">
        <f t="shared" ca="1" si="88"/>
        <v>2.2049131216297146E-2</v>
      </c>
      <c r="P377" s="30">
        <f t="shared" ca="1" si="89"/>
        <v>8.7882653061224447E-2</v>
      </c>
      <c r="Q377" s="30">
        <f t="shared" ca="1" si="90"/>
        <v>3.6834427425237015E-2</v>
      </c>
      <c r="R377" s="30">
        <f t="shared" ca="1" si="91"/>
        <v>6.0688969033702467E-2</v>
      </c>
      <c r="S377" s="9" cm="1">
        <f t="array" aca="1" ref="S377" ca="1">_xll.FDS($E$7,"P_PRICE("&amp;AG377&amp;",0,D,D)")</f>
        <v>85.29</v>
      </c>
      <c r="T377" s="9" cm="1">
        <f t="array" aca="1" ref="T377" ca="1">_xll.FDS($E$7,"P_PRICE("&amp;AH377&amp;",0,D,D)")</f>
        <v>83.45</v>
      </c>
      <c r="U377" s="9" cm="1">
        <f t="array" aca="1" ref="U377" ca="1">_xll.FDS($E$7,"P_PRICE("&amp;AI377&amp;",0,D,D)")</f>
        <v>78.400000000000006</v>
      </c>
      <c r="V377" s="9" cm="1">
        <f t="array" aca="1" ref="V377" ca="1">_xll.FDS($E$7,"P_PRICE("&amp;AJ377&amp;",0,D,D)")</f>
        <v>82.26</v>
      </c>
      <c r="W377" s="9" cm="1">
        <f t="array" aca="1" ref="W377" ca="1">_xll.FDS($E$7,"P_PRICE("&amp;AK377&amp;",0,D,D)")</f>
        <v>80.41</v>
      </c>
      <c r="X377" s="24">
        <f t="shared" ca="1" si="92"/>
        <v>2.993690230622148E-2</v>
      </c>
      <c r="Y377" s="24">
        <f t="shared" ca="1" si="93"/>
        <v>6.814655641284495E-2</v>
      </c>
      <c r="Z377" s="24">
        <f t="shared" ca="1" si="94"/>
        <v>7.4481527213297039E-3</v>
      </c>
      <c r="AA377" s="24">
        <f t="shared" ca="1" si="95"/>
        <v>6.2507593245049176E-2</v>
      </c>
      <c r="AB377" s="9" cm="1">
        <f t="array" aca="1" ref="AB377" ca="1">_xll.FDS($E$9,"P_PRICE("&amp;AG377&amp;",0,D,D)")</f>
        <v>5597.12</v>
      </c>
      <c r="AC377" s="9" cm="1">
        <f t="array" aca="1" ref="AC377" ca="1">_xll.FDS($E$9,"P_PRICE("&amp;AH377&amp;",0,D,D)")</f>
        <v>5434.43</v>
      </c>
      <c r="AD377" s="9" cm="1">
        <f t="array" aca="1" ref="AD377" ca="1">_xll.FDS($E$9,"P_PRICE("&amp;AI377&amp;",0,D,D)")</f>
        <v>5240.03</v>
      </c>
      <c r="AE377" s="9" cm="1">
        <f t="array" aca="1" ref="AE377" ca="1">_xll.FDS($E$9,"P_PRICE("&amp;AJ377&amp;",0,D,D)")</f>
        <v>5555.74</v>
      </c>
      <c r="AF377" s="9" cm="1">
        <f t="array" aca="1" ref="AF377" ca="1">_xll.FDS($E$9,"P_PRICE("&amp;AK377&amp;",0,D,D)")</f>
        <v>5267.84</v>
      </c>
      <c r="AG377" s="20">
        <f t="shared" ca="1" si="101"/>
        <v>45524</v>
      </c>
      <c r="AH377" s="22">
        <f t="shared" ca="1" si="96"/>
        <v>45517</v>
      </c>
      <c r="AI377" s="22">
        <f t="shared" ca="1" si="97"/>
        <v>45510</v>
      </c>
      <c r="AJ377" s="22">
        <f t="shared" ca="1" si="98"/>
        <v>45496</v>
      </c>
      <c r="AK377" s="22">
        <f t="shared" ca="1" si="99"/>
        <v>45435</v>
      </c>
      <c r="AL377" s="22">
        <f t="shared" ca="1" si="100"/>
        <v>45350</v>
      </c>
    </row>
    <row r="378" spans="4:38" x14ac:dyDescent="0.25">
      <c r="D378" s="6">
        <f ca="1"/>
        <v>45523</v>
      </c>
      <c r="E378" s="28" cm="1">
        <f t="array" aca="1" ref="E378" ca="1">_xll.FDS($E$7,"P_PRICE("&amp;D378&amp;",0,D,D)")</f>
        <v>84.98</v>
      </c>
      <c r="F378" s="29" cm="1">
        <f t="array" aca="1" ref="F378" ca="1">_xll.FDS($E$7,"P_BETA_LOCIDX("&amp;$AG378&amp;","&amp;$AL378&amp;",,"""&amp;$E$9&amp;""")")</f>
        <v>1.4668175000000001</v>
      </c>
      <c r="G378" s="30">
        <f t="shared" ca="1" si="86"/>
        <v>-3.4811991398904979E-2</v>
      </c>
      <c r="H378" s="30">
        <f t="shared" ca="1" si="86"/>
        <v>-1.7838410202390714E-2</v>
      </c>
      <c r="I378" s="30">
        <f t="shared" ca="1" si="86"/>
        <v>2.5417233034377804E-2</v>
      </c>
      <c r="J378" s="30">
        <f t="shared" ca="1" si="86"/>
        <v>-2.4319651891974298E-2</v>
      </c>
      <c r="K378" s="30">
        <f t="shared" ca="1" si="87"/>
        <v>7.2418829005742452E-2</v>
      </c>
      <c r="L378" s="30">
        <f t="shared" ca="1" si="87"/>
        <v>0.11932901292436091</v>
      </c>
      <c r="M378" s="30">
        <f t="shared" ca="1" si="87"/>
        <v>1.1556531456165212E-2</v>
      </c>
      <c r="N378" s="30">
        <f t="shared" ca="1" si="87"/>
        <v>8.3260461860821616E-2</v>
      </c>
      <c r="O378" s="30">
        <f t="shared" ca="1" si="88"/>
        <v>3.7606837606837473E-2</v>
      </c>
      <c r="P378" s="30">
        <f t="shared" ca="1" si="89"/>
        <v>0.10149060272197019</v>
      </c>
      <c r="Q378" s="30">
        <f t="shared" ca="1" si="90"/>
        <v>3.6973764490543015E-2</v>
      </c>
      <c r="R378" s="30">
        <f t="shared" ca="1" si="91"/>
        <v>5.8940809968847319E-2</v>
      </c>
      <c r="S378" s="9" cm="1">
        <f t="array" aca="1" ref="S378" ca="1">_xll.FDS($E$7,"P_PRICE("&amp;AG378&amp;",0,D,D)")</f>
        <v>84.98</v>
      </c>
      <c r="T378" s="9" cm="1">
        <f t="array" aca="1" ref="T378" ca="1">_xll.FDS($E$7,"P_PRICE("&amp;AH378&amp;",0,D,D)")</f>
        <v>81.900000000000006</v>
      </c>
      <c r="U378" s="9" cm="1">
        <f t="array" aca="1" ref="U378" ca="1">_xll.FDS($E$7,"P_PRICE("&amp;AI378&amp;",0,D,D)")</f>
        <v>77.150000000000006</v>
      </c>
      <c r="V378" s="9" cm="1">
        <f t="array" aca="1" ref="V378" ca="1">_xll.FDS($E$7,"P_PRICE("&amp;AJ378&amp;",0,D,D)")</f>
        <v>81.95</v>
      </c>
      <c r="W378" s="9" cm="1">
        <f t="array" aca="1" ref="W378" ca="1">_xll.FDS($E$7,"P_PRICE("&amp;AK378&amp;",0,D,D)")</f>
        <v>80.25</v>
      </c>
      <c r="X378" s="24">
        <f t="shared" ca="1" si="92"/>
        <v>4.9371396922754496E-2</v>
      </c>
      <c r="Y378" s="24">
        <f t="shared" ca="1" si="93"/>
        <v>8.1352324283260113E-2</v>
      </c>
      <c r="Z378" s="24">
        <f t="shared" ca="1" si="94"/>
        <v>7.8786430187567369E-3</v>
      </c>
      <c r="AA378" s="24">
        <f t="shared" ca="1" si="95"/>
        <v>5.6762659199812937E-2</v>
      </c>
      <c r="AB378" s="9" cm="1">
        <f t="array" aca="1" ref="AB378" ca="1">_xll.FDS($E$9,"P_PRICE("&amp;AG378&amp;",0,D,D)")</f>
        <v>5608.25</v>
      </c>
      <c r="AC378" s="9" cm="1">
        <f t="array" aca="1" ref="AC378" ca="1">_xll.FDS($E$9,"P_PRICE("&amp;AH378&amp;",0,D,D)")</f>
        <v>5344.39</v>
      </c>
      <c r="AD378" s="9" cm="1">
        <f t="array" aca="1" ref="AD378" ca="1">_xll.FDS($E$9,"P_PRICE("&amp;AI378&amp;",0,D,D)")</f>
        <v>5186.33</v>
      </c>
      <c r="AE378" s="9" cm="1">
        <f t="array" aca="1" ref="AE378" ca="1">_xll.FDS($E$9,"P_PRICE("&amp;AJ378&amp;",0,D,D)")</f>
        <v>5564.41</v>
      </c>
      <c r="AF378" s="9" cm="1">
        <f t="array" aca="1" ref="AF378" ca="1">_xll.FDS($E$9,"P_PRICE("&amp;AK378&amp;",0,D,D)")</f>
        <v>5307.01</v>
      </c>
      <c r="AG378" s="20">
        <f t="shared" ca="1" si="101"/>
        <v>45523</v>
      </c>
      <c r="AH378" s="22">
        <f t="shared" ca="1" si="96"/>
        <v>45516</v>
      </c>
      <c r="AI378" s="22">
        <f t="shared" ca="1" si="97"/>
        <v>45509</v>
      </c>
      <c r="AJ378" s="22">
        <f t="shared" ca="1" si="98"/>
        <v>45495</v>
      </c>
      <c r="AK378" s="22">
        <f t="shared" ca="1" si="99"/>
        <v>45434</v>
      </c>
      <c r="AL378" s="22">
        <f t="shared" ca="1" si="100"/>
        <v>45349</v>
      </c>
    </row>
    <row r="379" spans="4:38" x14ac:dyDescent="0.25">
      <c r="D379" s="6">
        <f ca="1"/>
        <v>45520</v>
      </c>
      <c r="E379" s="28" cm="1">
        <f t="array" aca="1" ref="E379" ca="1">_xll.FDS($E$7,"P_PRICE("&amp;D379&amp;",0,D,D)")</f>
        <v>84.18</v>
      </c>
      <c r="F379" s="29" cm="1">
        <f t="array" aca="1" ref="F379" ca="1">_xll.FDS($E$7,"P_BETA_LOCIDX("&amp;$AG379&amp;","&amp;$AL379&amp;",,"""&amp;$E$9&amp;""")")</f>
        <v>1.4659654</v>
      </c>
      <c r="G379" s="30">
        <f t="shared" ca="1" si="86"/>
        <v>-3.5656116946444341E-2</v>
      </c>
      <c r="H379" s="30">
        <f t="shared" ca="1" si="86"/>
        <v>7.5454392726959155E-3</v>
      </c>
      <c r="I379" s="30">
        <f t="shared" ca="1" si="86"/>
        <v>4.084755840746547E-2</v>
      </c>
      <c r="J379" s="30">
        <f t="shared" ca="1" si="86"/>
        <v>-2.6293952342493043E-2</v>
      </c>
      <c r="K379" s="30">
        <f t="shared" ca="1" si="87"/>
        <v>5.7630136613798913E-2</v>
      </c>
      <c r="L379" s="30">
        <f t="shared" ca="1" si="87"/>
        <v>5.6946214748548434E-2</v>
      </c>
      <c r="M379" s="30">
        <f t="shared" ca="1" si="87"/>
        <v>1.311513096276128E-2</v>
      </c>
      <c r="N379" s="30">
        <f t="shared" ca="1" si="87"/>
        <v>6.4143785901857042E-2</v>
      </c>
      <c r="O379" s="30">
        <f t="shared" ca="1" si="88"/>
        <v>2.1974019667354572E-2</v>
      </c>
      <c r="P379" s="30">
        <f t="shared" ca="1" si="89"/>
        <v>6.4491654021244349E-2</v>
      </c>
      <c r="Q379" s="30">
        <f t="shared" ca="1" si="90"/>
        <v>5.3962689370226746E-2</v>
      </c>
      <c r="R379" s="30">
        <f t="shared" ca="1" si="91"/>
        <v>3.7849833559363999E-2</v>
      </c>
      <c r="S379" s="9" cm="1">
        <f t="array" aca="1" ref="S379" ca="1">_xll.FDS($E$7,"P_PRICE("&amp;AG379&amp;",0,D,D)")</f>
        <v>84.18</v>
      </c>
      <c r="T379" s="9" cm="1">
        <f t="array" aca="1" ref="T379" ca="1">_xll.FDS($E$7,"P_PRICE("&amp;AH379&amp;",0,D,D)")</f>
        <v>82.37</v>
      </c>
      <c r="U379" s="9" cm="1">
        <f t="array" aca="1" ref="U379" ca="1">_xll.FDS($E$7,"P_PRICE("&amp;AI379&amp;",0,D,D)")</f>
        <v>79.08</v>
      </c>
      <c r="V379" s="9" cm="1">
        <f t="array" aca="1" ref="V379" ca="1">_xll.FDS($E$7,"P_PRICE("&amp;AJ379&amp;",0,D,D)")</f>
        <v>79.87</v>
      </c>
      <c r="W379" s="9" cm="1">
        <f t="array" aca="1" ref="W379" ca="1">_xll.FDS($E$7,"P_PRICE("&amp;AK379&amp;",0,D,D)")</f>
        <v>81.11</v>
      </c>
      <c r="X379" s="24">
        <f t="shared" ca="1" si="92"/>
        <v>3.9312071494865375E-2</v>
      </c>
      <c r="Y379" s="24">
        <f t="shared" ca="1" si="93"/>
        <v>3.8845538065597207E-2</v>
      </c>
      <c r="Z379" s="24">
        <f t="shared" ca="1" si="94"/>
        <v>8.9464123524070072E-3</v>
      </c>
      <c r="AA379" s="24">
        <f t="shared" ca="1" si="95"/>
        <v>4.3755320488366944E-2</v>
      </c>
      <c r="AB379" s="9" cm="1">
        <f t="array" aca="1" ref="AB379" ca="1">_xll.FDS($E$9,"P_PRICE("&amp;AG379&amp;",0,D,D)")</f>
        <v>5554.25</v>
      </c>
      <c r="AC379" s="9" cm="1">
        <f t="array" aca="1" ref="AC379" ca="1">_xll.FDS($E$9,"P_PRICE("&amp;AH379&amp;",0,D,D)")</f>
        <v>5344.16</v>
      </c>
      <c r="AD379" s="9" cm="1">
        <f t="array" aca="1" ref="AD379" ca="1">_xll.FDS($E$9,"P_PRICE("&amp;AI379&amp;",0,D,D)")</f>
        <v>5346.56</v>
      </c>
      <c r="AE379" s="9" cm="1">
        <f t="array" aca="1" ref="AE379" ca="1">_xll.FDS($E$9,"P_PRICE("&amp;AJ379&amp;",0,D,D)")</f>
        <v>5505</v>
      </c>
      <c r="AF379" s="9" cm="1">
        <f t="array" aca="1" ref="AF379" ca="1">_xll.FDS($E$9,"P_PRICE("&amp;AK379&amp;",0,D,D)")</f>
        <v>5321.41</v>
      </c>
      <c r="AG379" s="20">
        <f t="shared" ca="1" si="101"/>
        <v>45520</v>
      </c>
      <c r="AH379" s="22">
        <f t="shared" ca="1" si="96"/>
        <v>45513</v>
      </c>
      <c r="AI379" s="22">
        <f t="shared" ca="1" si="97"/>
        <v>45506</v>
      </c>
      <c r="AJ379" s="22">
        <f t="shared" ca="1" si="98"/>
        <v>45492</v>
      </c>
      <c r="AK379" s="22">
        <f t="shared" ca="1" si="99"/>
        <v>45433</v>
      </c>
      <c r="AL379" s="22">
        <f t="shared" ca="1" si="100"/>
        <v>45348</v>
      </c>
    </row>
    <row r="380" spans="4:38" x14ac:dyDescent="0.25">
      <c r="D380" s="6">
        <f ca="1"/>
        <v>45519</v>
      </c>
      <c r="E380" s="28" cm="1">
        <f t="array" aca="1" ref="E380" ca="1">_xll.FDS($E$7,"P_PRICE("&amp;D380&amp;",0,D,D)")</f>
        <v>85.62</v>
      </c>
      <c r="F380" s="29" cm="1">
        <f t="array" aca="1" ref="F380" ca="1">_xll.FDS($E$7,"P_BETA_LOCIDX("&amp;$AG380&amp;","&amp;$AL380&amp;",,"""&amp;$E$9&amp;""")")</f>
        <v>1.4683983</v>
      </c>
      <c r="G380" s="30">
        <f t="shared" ca="1" si="86"/>
        <v>-1.177368053061717E-2</v>
      </c>
      <c r="H380" s="30">
        <f t="shared" ca="1" si="86"/>
        <v>2.0160971254009518E-2</v>
      </c>
      <c r="I380" s="30">
        <f t="shared" ca="1" si="86"/>
        <v>7.5585729101107849E-2</v>
      </c>
      <c r="J380" s="30">
        <f t="shared" ca="1" si="86"/>
        <v>-1.8973537181298725E-2</v>
      </c>
      <c r="K380" s="30">
        <f t="shared" ca="1" si="87"/>
        <v>6.1810472289263119E-2</v>
      </c>
      <c r="L380" s="30">
        <f t="shared" ca="1" si="87"/>
        <v>2.6026712030447919E-2</v>
      </c>
      <c r="M380" s="30">
        <f t="shared" ca="1" si="87"/>
        <v>-3.6282316113535394E-4</v>
      </c>
      <c r="N380" s="30">
        <f t="shared" ca="1" si="87"/>
        <v>6.5033402789117997E-2</v>
      </c>
      <c r="O380" s="30">
        <f t="shared" ca="1" si="88"/>
        <v>5.0036791758645949E-2</v>
      </c>
      <c r="P380" s="30">
        <f t="shared" ca="1" si="89"/>
        <v>4.6187683284457437E-2</v>
      </c>
      <c r="Q380" s="30">
        <f t="shared" ca="1" si="90"/>
        <v>7.5222905939972495E-2</v>
      </c>
      <c r="R380" s="30">
        <f t="shared" ca="1" si="91"/>
        <v>4.6059865607819273E-2</v>
      </c>
      <c r="S380" s="9" cm="1">
        <f t="array" aca="1" ref="S380" ca="1">_xll.FDS($E$7,"P_PRICE("&amp;AG380&amp;",0,D,D)")</f>
        <v>85.62</v>
      </c>
      <c r="T380" s="9" cm="1">
        <f t="array" aca="1" ref="T380" ca="1">_xll.FDS($E$7,"P_PRICE("&amp;AH380&amp;",0,D,D)")</f>
        <v>81.540000000000006</v>
      </c>
      <c r="U380" s="9" cm="1">
        <f t="array" aca="1" ref="U380" ca="1">_xll.FDS($E$7,"P_PRICE("&amp;AI380&amp;",0,D,D)")</f>
        <v>81.84</v>
      </c>
      <c r="V380" s="9" cm="1">
        <f t="array" aca="1" ref="V380" ca="1">_xll.FDS($E$7,"P_PRICE("&amp;AJ380&amp;",0,D,D)")</f>
        <v>79.63</v>
      </c>
      <c r="W380" s="9" cm="1">
        <f t="array" aca="1" ref="W380" ca="1">_xll.FDS($E$7,"P_PRICE("&amp;AK380&amp;",0,D,D)")</f>
        <v>81.849999999999994</v>
      </c>
      <c r="X380" s="24">
        <f t="shared" ca="1" si="92"/>
        <v>4.2093805399572526E-2</v>
      </c>
      <c r="Y380" s="24">
        <f t="shared" ca="1" si="93"/>
        <v>1.7724558813809521E-2</v>
      </c>
      <c r="Z380" s="24">
        <f t="shared" ca="1" si="94"/>
        <v>-2.4708770170556171E-4</v>
      </c>
      <c r="AA380" s="24">
        <f t="shared" ca="1" si="95"/>
        <v>4.4288666630244666E-2</v>
      </c>
      <c r="AB380" s="9" cm="1">
        <f t="array" aca="1" ref="AB380" ca="1">_xll.FDS($E$9,"P_PRICE("&amp;AG380&amp;",0,D,D)")</f>
        <v>5543.22</v>
      </c>
      <c r="AC380" s="9" cm="1">
        <f t="array" aca="1" ref="AC380" ca="1">_xll.FDS($E$9,"P_PRICE("&amp;AH380&amp;",0,D,D)")</f>
        <v>5319.31</v>
      </c>
      <c r="AD380" s="9" cm="1">
        <f t="array" aca="1" ref="AD380" ca="1">_xll.FDS($E$9,"P_PRICE("&amp;AI380&amp;",0,D,D)")</f>
        <v>5446.68</v>
      </c>
      <c r="AE380" s="9" cm="1">
        <f t="array" aca="1" ref="AE380" ca="1">_xll.FDS($E$9,"P_PRICE("&amp;AJ380&amp;",0,D,D)")</f>
        <v>5544.59</v>
      </c>
      <c r="AF380" s="9" cm="1">
        <f t="array" aca="1" ref="AF380" ca="1">_xll.FDS($E$9,"P_PRICE("&amp;AK380&amp;",0,D,D)")</f>
        <v>5308.13</v>
      </c>
      <c r="AG380" s="20">
        <f t="shared" ca="1" si="101"/>
        <v>45519</v>
      </c>
      <c r="AH380" s="22">
        <f t="shared" ca="1" si="96"/>
        <v>45512</v>
      </c>
      <c r="AI380" s="22">
        <f t="shared" ca="1" si="97"/>
        <v>45505</v>
      </c>
      <c r="AJ380" s="22">
        <f t="shared" ca="1" si="98"/>
        <v>45491</v>
      </c>
      <c r="AK380" s="22">
        <f t="shared" ca="1" si="99"/>
        <v>45432</v>
      </c>
      <c r="AL380" s="22">
        <f t="shared" ca="1" si="100"/>
        <v>45345</v>
      </c>
    </row>
    <row r="381" spans="4:38" x14ac:dyDescent="0.25">
      <c r="D381" s="6">
        <f ca="1"/>
        <v>45518</v>
      </c>
      <c r="E381" s="28" cm="1">
        <f t="array" aca="1" ref="E381" ca="1">_xll.FDS($E$7,"P_PRICE("&amp;D381&amp;",0,D,D)")</f>
        <v>83.35</v>
      </c>
      <c r="F381" s="29" cm="1">
        <f t="array" aca="1" ref="F381" ca="1">_xll.FDS($E$7,"P_BETA_LOCIDX("&amp;$AG381&amp;","&amp;$AL381&amp;",,"""&amp;$E$9&amp;""")")</f>
        <v>1.4000049000000001</v>
      </c>
      <c r="G381" s="30">
        <f t="shared" ca="1" si="86"/>
        <v>2.6561464995308148E-2</v>
      </c>
      <c r="H381" s="30">
        <f t="shared" ca="1" si="86"/>
        <v>-1.0412684504958195E-2</v>
      </c>
      <c r="I381" s="30">
        <f t="shared" ca="1" si="86"/>
        <v>6.5022031210412695E-2</v>
      </c>
      <c r="J381" s="30">
        <f t="shared" ca="1" si="86"/>
        <v>-2.2654432711029383E-2</v>
      </c>
      <c r="K381" s="30">
        <f t="shared" ca="1" si="87"/>
        <v>6.8851861328781572E-2</v>
      </c>
      <c r="L381" s="30">
        <f t="shared" ca="1" si="87"/>
        <v>-1.7008552367854087E-2</v>
      </c>
      <c r="M381" s="30">
        <f t="shared" ca="1" si="87"/>
        <v>-3.3334941224028337E-2</v>
      </c>
      <c r="N381" s="30">
        <f t="shared" ca="1" si="87"/>
        <v>4.0110487398529383E-2</v>
      </c>
      <c r="O381" s="30">
        <f t="shared" ca="1" si="88"/>
        <v>9.541332632408972E-2</v>
      </c>
      <c r="P381" s="30">
        <f t="shared" ca="1" si="89"/>
        <v>-2.7421236872812282E-2</v>
      </c>
      <c r="Q381" s="30">
        <f t="shared" ca="1" si="90"/>
        <v>3.1687089986384365E-2</v>
      </c>
      <c r="R381" s="30">
        <f t="shared" ca="1" si="91"/>
        <v>1.74560546875E-2</v>
      </c>
      <c r="S381" s="9" cm="1">
        <f t="array" aca="1" ref="S381" ca="1">_xll.FDS($E$7,"P_PRICE("&amp;AG381&amp;",0,D,D)")</f>
        <v>83.35</v>
      </c>
      <c r="T381" s="9" cm="1">
        <f t="array" aca="1" ref="T381" ca="1">_xll.FDS($E$7,"P_PRICE("&amp;AH381&amp;",0,D,D)")</f>
        <v>76.09</v>
      </c>
      <c r="U381" s="9" cm="1">
        <f t="array" aca="1" ref="U381" ca="1">_xll.FDS($E$7,"P_PRICE("&amp;AI381&amp;",0,D,D)")</f>
        <v>85.7</v>
      </c>
      <c r="V381" s="9" cm="1">
        <f t="array" aca="1" ref="V381" ca="1">_xll.FDS($E$7,"P_PRICE("&amp;AJ381&amp;",0,D,D)")</f>
        <v>80.790000000000006</v>
      </c>
      <c r="W381" s="9" cm="1">
        <f t="array" aca="1" ref="W381" ca="1">_xll.FDS($E$7,"P_PRICE("&amp;AK381&amp;",0,D,D)")</f>
        <v>81.92</v>
      </c>
      <c r="X381" s="24">
        <f t="shared" ca="1" si="92"/>
        <v>4.9179728820078816E-2</v>
      </c>
      <c r="Y381" s="24">
        <f t="shared" ca="1" si="93"/>
        <v>-1.2148923455806537E-2</v>
      </c>
      <c r="Z381" s="24">
        <f t="shared" ca="1" si="94"/>
        <v>-2.3810588965816004E-2</v>
      </c>
      <c r="AA381" s="24">
        <f t="shared" ca="1" si="95"/>
        <v>2.8650247865939171E-2</v>
      </c>
      <c r="AB381" s="9" cm="1">
        <f t="array" aca="1" ref="AB381" ca="1">_xll.FDS($E$9,"P_PRICE("&amp;AG381&amp;",0,D,D)")</f>
        <v>5455.21</v>
      </c>
      <c r="AC381" s="9" cm="1">
        <f t="array" aca="1" ref="AC381" ca="1">_xll.FDS($E$9,"P_PRICE("&amp;AH381&amp;",0,D,D)")</f>
        <v>5199.5</v>
      </c>
      <c r="AD381" s="9" cm="1">
        <f t="array" aca="1" ref="AD381" ca="1">_xll.FDS($E$9,"P_PRICE("&amp;AI381&amp;",0,D,D)")</f>
        <v>5522.3</v>
      </c>
      <c r="AE381" s="9" cm="1">
        <f t="array" aca="1" ref="AE381" ca="1">_xll.FDS($E$9,"P_PRICE("&amp;AJ381&amp;",0,D,D)")</f>
        <v>5588.27</v>
      </c>
      <c r="AF381" s="9" cm="1">
        <f t="array" aca="1" ref="AF381" ca="1">_xll.FDS($E$9,"P_PRICE("&amp;AK381&amp;",0,D,D)")</f>
        <v>5303.27</v>
      </c>
      <c r="AG381" s="20">
        <f t="shared" ca="1" si="101"/>
        <v>45518</v>
      </c>
      <c r="AH381" s="22">
        <f t="shared" ca="1" si="96"/>
        <v>45511</v>
      </c>
      <c r="AI381" s="22">
        <f t="shared" ca="1" si="97"/>
        <v>45504</v>
      </c>
      <c r="AJ381" s="22">
        <f t="shared" ca="1" si="98"/>
        <v>45490</v>
      </c>
      <c r="AK381" s="22">
        <f t="shared" ca="1" si="99"/>
        <v>45429</v>
      </c>
      <c r="AL381" s="22">
        <f t="shared" ca="1" si="100"/>
        <v>45344</v>
      </c>
    </row>
    <row r="382" spans="4:38" x14ac:dyDescent="0.25">
      <c r="D382" s="6">
        <f ca="1"/>
        <v>45517</v>
      </c>
      <c r="E382" s="28" cm="1">
        <f t="array" aca="1" ref="E382" ca="1">_xll.FDS($E$7,"P_PRICE("&amp;D382&amp;",0,D,D)")</f>
        <v>83.45</v>
      </c>
      <c r="F382" s="29" cm="1">
        <f t="array" aca="1" ref="F382" ca="1">_xll.FDS($E$7,"P_BETA_LOCIDX("&amp;$AG382&amp;","&amp;$AL382&amp;",,"""&amp;$E$9&amp;""")")</f>
        <v>1.4023422999999999</v>
      </c>
      <c r="G382" s="30">
        <f t="shared" ca="1" si="86"/>
        <v>1.2387734322521007E-2</v>
      </c>
      <c r="H382" s="30">
        <f t="shared" ca="1" si="86"/>
        <v>-6.73823723018112E-3</v>
      </c>
      <c r="I382" s="30">
        <f t="shared" ca="1" si="86"/>
        <v>6.7766936597105448E-2</v>
      </c>
      <c r="J382" s="30">
        <f t="shared" ca="1" si="86"/>
        <v>-2.9479021159083144E-2</v>
      </c>
      <c r="K382" s="30">
        <f t="shared" ca="1" si="87"/>
        <v>5.2025530983601451E-2</v>
      </c>
      <c r="L382" s="30">
        <f t="shared" ca="1" si="87"/>
        <v>-5.1848415930262463E-4</v>
      </c>
      <c r="M382" s="30">
        <f t="shared" ca="1" si="87"/>
        <v>-5.7598676095955509E-2</v>
      </c>
      <c r="N382" s="30">
        <f t="shared" ca="1" si="87"/>
        <v>3.6356434286496334E-2</v>
      </c>
      <c r="O382" s="30">
        <f t="shared" ca="1" si="88"/>
        <v>6.4413265306122458E-2</v>
      </c>
      <c r="P382" s="30">
        <f t="shared" ca="1" si="89"/>
        <v>-7.2567213894837446E-3</v>
      </c>
      <c r="Q382" s="30">
        <f t="shared" ca="1" si="90"/>
        <v>1.0168260501149939E-2</v>
      </c>
      <c r="R382" s="30">
        <f t="shared" ca="1" si="91"/>
        <v>6.87741312741319E-3</v>
      </c>
      <c r="S382" s="9" cm="1">
        <f t="array" aca="1" ref="S382" ca="1">_xll.FDS($E$7,"P_PRICE("&amp;AG382&amp;",0,D,D)")</f>
        <v>83.45</v>
      </c>
      <c r="T382" s="9" cm="1">
        <f t="array" aca="1" ref="T382" ca="1">_xll.FDS($E$7,"P_PRICE("&amp;AH382&amp;",0,D,D)")</f>
        <v>78.400000000000006</v>
      </c>
      <c r="U382" s="9" cm="1">
        <f t="array" aca="1" ref="U382" ca="1">_xll.FDS($E$7,"P_PRICE("&amp;AI382&amp;",0,D,D)")</f>
        <v>84.06</v>
      </c>
      <c r="V382" s="9" cm="1">
        <f t="array" aca="1" ref="V382" ca="1">_xll.FDS($E$7,"P_PRICE("&amp;AJ382&amp;",0,D,D)")</f>
        <v>82.61</v>
      </c>
      <c r="W382" s="9" cm="1">
        <f t="array" aca="1" ref="W382" ca="1">_xll.FDS($E$7,"P_PRICE("&amp;AK382&amp;",0,D,D)")</f>
        <v>82.88</v>
      </c>
      <c r="X382" s="24">
        <f t="shared" ca="1" si="92"/>
        <v>3.7099024242227774E-2</v>
      </c>
      <c r="Y382" s="24">
        <f t="shared" ca="1" si="93"/>
        <v>-3.6972724797834644E-4</v>
      </c>
      <c r="Z382" s="24">
        <f t="shared" ca="1" si="94"/>
        <v>-4.1073193111236472E-2</v>
      </c>
      <c r="AA382" s="24">
        <f t="shared" ca="1" si="95"/>
        <v>2.5925506409167243E-2</v>
      </c>
      <c r="AB382" s="9" cm="1">
        <f t="array" aca="1" ref="AB382" ca="1">_xll.FDS($E$9,"P_PRICE("&amp;AG382&amp;",0,D,D)")</f>
        <v>5434.43</v>
      </c>
      <c r="AC382" s="9" cm="1">
        <f t="array" aca="1" ref="AC382" ca="1">_xll.FDS($E$9,"P_PRICE("&amp;AH382&amp;",0,D,D)")</f>
        <v>5240.03</v>
      </c>
      <c r="AD382" s="9" cm="1">
        <f t="array" aca="1" ref="AD382" ca="1">_xll.FDS($E$9,"P_PRICE("&amp;AI382&amp;",0,D,D)")</f>
        <v>5436.44</v>
      </c>
      <c r="AE382" s="9" cm="1">
        <f t="array" aca="1" ref="AE382" ca="1">_xll.FDS($E$9,"P_PRICE("&amp;AJ382&amp;",0,D,D)")</f>
        <v>5667.2</v>
      </c>
      <c r="AF382" s="9" cm="1">
        <f t="array" aca="1" ref="AF382" ca="1">_xll.FDS($E$9,"P_PRICE("&amp;AK382&amp;",0,D,D)")</f>
        <v>5297.1</v>
      </c>
      <c r="AG382" s="20">
        <f t="shared" ca="1" si="101"/>
        <v>45517</v>
      </c>
      <c r="AH382" s="22">
        <f t="shared" ca="1" si="96"/>
        <v>45510</v>
      </c>
      <c r="AI382" s="22">
        <f t="shared" ca="1" si="97"/>
        <v>45503</v>
      </c>
      <c r="AJ382" s="22">
        <f t="shared" ca="1" si="98"/>
        <v>45489</v>
      </c>
      <c r="AK382" s="22">
        <f t="shared" ca="1" si="99"/>
        <v>45428</v>
      </c>
      <c r="AL382" s="22">
        <f t="shared" ca="1" si="100"/>
        <v>45343</v>
      </c>
    </row>
    <row r="383" spans="4:38" x14ac:dyDescent="0.25">
      <c r="D383" s="6">
        <f ca="1"/>
        <v>45516</v>
      </c>
      <c r="E383" s="28" cm="1">
        <f t="array" aca="1" ref="E383" ca="1">_xll.FDS($E$7,"P_PRICE("&amp;D383&amp;",0,D,D)")</f>
        <v>81.900000000000006</v>
      </c>
      <c r="F383" s="29" cm="1">
        <f t="array" aca="1" ref="F383" ca="1">_xll.FDS($E$7,"P_BETA_LOCIDX("&amp;$AG383&amp;","&amp;$AL383&amp;",,"""&amp;$E$9&amp;""")")</f>
        <v>1.404328</v>
      </c>
      <c r="G383" s="30">
        <f t="shared" ca="1" si="86"/>
        <v>1.876969221214262E-2</v>
      </c>
      <c r="H383" s="30">
        <f t="shared" ca="1" si="86"/>
        <v>2.2151296551196204E-2</v>
      </c>
      <c r="I383" s="30">
        <f t="shared" ca="1" si="86"/>
        <v>0.10068345018398359</v>
      </c>
      <c r="J383" s="30">
        <f t="shared" ca="1" si="86"/>
        <v>-5.3258862280081247E-2</v>
      </c>
      <c r="K383" s="30">
        <f t="shared" ca="1" si="87"/>
        <v>4.279868108662601E-2</v>
      </c>
      <c r="L383" s="30">
        <f t="shared" ca="1" si="87"/>
        <v>-3.0625872822382511E-2</v>
      </c>
      <c r="M383" s="30">
        <f t="shared" ca="1" si="87"/>
        <v>-7.1530396652945555E-2</v>
      </c>
      <c r="N383" s="30">
        <f t="shared" ca="1" si="87"/>
        <v>9.5876805892826013E-3</v>
      </c>
      <c r="O383" s="30">
        <f t="shared" ca="1" si="88"/>
        <v>6.1568373298768631E-2</v>
      </c>
      <c r="P383" s="30">
        <f t="shared" ca="1" si="89"/>
        <v>-8.4745762711863071E-3</v>
      </c>
      <c r="Q383" s="30">
        <f t="shared" ca="1" si="90"/>
        <v>2.9153053531038031E-2</v>
      </c>
      <c r="R383" s="30">
        <f t="shared" ca="1" si="91"/>
        <v>-4.3671181690798644E-2</v>
      </c>
      <c r="S383" s="9" cm="1">
        <f t="array" aca="1" ref="S383" ca="1">_xll.FDS($E$7,"P_PRICE("&amp;AG383&amp;",0,D,D)")</f>
        <v>81.900000000000006</v>
      </c>
      <c r="T383" s="9" cm="1">
        <f t="array" aca="1" ref="T383" ca="1">_xll.FDS($E$7,"P_PRICE("&amp;AH383&amp;",0,D,D)")</f>
        <v>77.150000000000006</v>
      </c>
      <c r="U383" s="9" cm="1">
        <f t="array" aca="1" ref="U383" ca="1">_xll.FDS($E$7,"P_PRICE("&amp;AI383&amp;",0,D,D)")</f>
        <v>82.6</v>
      </c>
      <c r="V383" s="9" cm="1">
        <f t="array" aca="1" ref="V383" ca="1">_xll.FDS($E$7,"P_PRICE("&amp;AJ383&amp;",0,D,D)")</f>
        <v>79.58</v>
      </c>
      <c r="W383" s="9" cm="1">
        <f t="array" aca="1" ref="W383" ca="1">_xll.FDS($E$7,"P_PRICE("&amp;AK383&amp;",0,D,D)")</f>
        <v>85.64</v>
      </c>
      <c r="X383" s="24">
        <f t="shared" ca="1" si="92"/>
        <v>3.0476271274678002E-2</v>
      </c>
      <c r="Y383" s="24">
        <f t="shared" ca="1" si="93"/>
        <v>-2.1808204936725972E-2</v>
      </c>
      <c r="Z383" s="24">
        <f t="shared" ca="1" si="94"/>
        <v>-5.0935676460873491E-2</v>
      </c>
      <c r="AA383" s="24">
        <f t="shared" ca="1" si="95"/>
        <v>6.8272373614159942E-3</v>
      </c>
      <c r="AB383" s="9" cm="1">
        <f t="array" aca="1" ref="AB383" ca="1">_xll.FDS($E$9,"P_PRICE("&amp;AG383&amp;",0,D,D)")</f>
        <v>5344.39</v>
      </c>
      <c r="AC383" s="9" cm="1">
        <f t="array" aca="1" ref="AC383" ca="1">_xll.FDS($E$9,"P_PRICE("&amp;AH383&amp;",0,D,D)")</f>
        <v>5186.33</v>
      </c>
      <c r="AD383" s="9" cm="1">
        <f t="array" aca="1" ref="AD383" ca="1">_xll.FDS($E$9,"P_PRICE("&amp;AI383&amp;",0,D,D)")</f>
        <v>5463.54</v>
      </c>
      <c r="AE383" s="9" cm="1">
        <f t="array" aca="1" ref="AE383" ca="1">_xll.FDS($E$9,"P_PRICE("&amp;AJ383&amp;",0,D,D)")</f>
        <v>5631.22</v>
      </c>
      <c r="AF383" s="9" cm="1">
        <f t="array" aca="1" ref="AF383" ca="1">_xll.FDS($E$9,"P_PRICE("&amp;AK383&amp;",0,D,D)")</f>
        <v>5308.15</v>
      </c>
      <c r="AG383" s="20">
        <f t="shared" ca="1" si="101"/>
        <v>45516</v>
      </c>
      <c r="AH383" s="22">
        <f t="shared" ca="1" si="96"/>
        <v>45509</v>
      </c>
      <c r="AI383" s="22">
        <f t="shared" ca="1" si="97"/>
        <v>45502</v>
      </c>
      <c r="AJ383" s="22">
        <f t="shared" ca="1" si="98"/>
        <v>45488</v>
      </c>
      <c r="AK383" s="22">
        <f t="shared" ca="1" si="99"/>
        <v>45427</v>
      </c>
      <c r="AL383" s="22">
        <f t="shared" ca="1" si="100"/>
        <v>45342</v>
      </c>
    </row>
    <row r="384" spans="4:38" x14ac:dyDescent="0.25">
      <c r="D384" s="6">
        <f ca="1"/>
        <v>45513</v>
      </c>
      <c r="E384" s="28" cm="1">
        <f t="array" aca="1" ref="E384" ca="1">_xll.FDS($E$7,"P_PRICE("&amp;D384&amp;",0,D,D)")</f>
        <v>82.37</v>
      </c>
      <c r="F384" s="29" cm="1">
        <f t="array" aca="1" ref="F384" ca="1">_xll.FDS($E$7,"P_BETA_LOCIDX("&amp;$AG384&amp;","&amp;$AL384&amp;",,"""&amp;$E$9&amp;""")")</f>
        <v>1.3866124</v>
      </c>
      <c r="G384" s="30">
        <f t="shared" ca="1" si="86"/>
        <v>4.2225871503648385E-2</v>
      </c>
      <c r="H384" s="30">
        <f t="shared" ca="1" si="86"/>
        <v>3.9249961925384241E-2</v>
      </c>
      <c r="I384" s="30">
        <f t="shared" ca="1" si="86"/>
        <v>0.10410992015198141</v>
      </c>
      <c r="J384" s="30">
        <f t="shared" ca="1" si="86"/>
        <v>-2.7942879118539578E-2</v>
      </c>
      <c r="K384" s="30">
        <f t="shared" ca="1" si="87"/>
        <v>-6.2243194876716531E-4</v>
      </c>
      <c r="L384" s="30">
        <f t="shared" ca="1" si="87"/>
        <v>-2.919478105475273E-2</v>
      </c>
      <c r="M384" s="30">
        <f t="shared" ca="1" si="87"/>
        <v>-6.6965624004915139E-2</v>
      </c>
      <c r="N384" s="30">
        <f t="shared" ca="1" si="87"/>
        <v>2.5762382449853995E-2</v>
      </c>
      <c r="O384" s="30">
        <f t="shared" ca="1" si="88"/>
        <v>4.1603439554881216E-2</v>
      </c>
      <c r="P384" s="30">
        <f t="shared" ca="1" si="89"/>
        <v>1.0055180870631508E-2</v>
      </c>
      <c r="Q384" s="30">
        <f t="shared" ca="1" si="90"/>
        <v>3.7144296147066269E-2</v>
      </c>
      <c r="R384" s="30">
        <f t="shared" ca="1" si="91"/>
        <v>-2.1804966686855831E-3</v>
      </c>
      <c r="S384" s="9" cm="1">
        <f t="array" aca="1" ref="S384" ca="1">_xll.FDS($E$7,"P_PRICE("&amp;AG384&amp;",0,D,D)")</f>
        <v>82.37</v>
      </c>
      <c r="T384" s="9" cm="1">
        <f t="array" aca="1" ref="T384" ca="1">_xll.FDS($E$7,"P_PRICE("&amp;AH384&amp;",0,D,D)")</f>
        <v>79.08</v>
      </c>
      <c r="U384" s="9" cm="1">
        <f t="array" aca="1" ref="U384" ca="1">_xll.FDS($E$7,"P_PRICE("&amp;AI384&amp;",0,D,D)")</f>
        <v>81.55</v>
      </c>
      <c r="V384" s="9" cm="1">
        <f t="array" aca="1" ref="V384" ca="1">_xll.FDS($E$7,"P_PRICE("&amp;AJ384&amp;",0,D,D)")</f>
        <v>79.42</v>
      </c>
      <c r="W384" s="9" cm="1">
        <f t="array" aca="1" ref="W384" ca="1">_xll.FDS($E$7,"P_PRICE("&amp;AK384&amp;",0,D,D)")</f>
        <v>82.55</v>
      </c>
      <c r="X384" s="24">
        <f t="shared" ca="1" si="92"/>
        <v>-4.4888676083321144E-4</v>
      </c>
      <c r="Y384" s="24">
        <f t="shared" ca="1" si="93"/>
        <v>-2.1054752614899974E-2</v>
      </c>
      <c r="Z384" s="24">
        <f t="shared" ca="1" si="94"/>
        <v>-4.8294407294291575E-2</v>
      </c>
      <c r="AA384" s="24">
        <f t="shared" ca="1" si="95"/>
        <v>1.8579368286230524E-2</v>
      </c>
      <c r="AB384" s="9" cm="1">
        <f t="array" aca="1" ref="AB384" ca="1">_xll.FDS($E$9,"P_PRICE("&amp;AG384&amp;",0,D,D)")</f>
        <v>5344.16</v>
      </c>
      <c r="AC384" s="9" cm="1">
        <f t="array" aca="1" ref="AC384" ca="1">_xll.FDS($E$9,"P_PRICE("&amp;AH384&amp;",0,D,D)")</f>
        <v>5346.56</v>
      </c>
      <c r="AD384" s="9" cm="1">
        <f t="array" aca="1" ref="AD384" ca="1">_xll.FDS($E$9,"P_PRICE("&amp;AI384&amp;",0,D,D)")</f>
        <v>5459.1</v>
      </c>
      <c r="AE384" s="9" cm="1">
        <f t="array" aca="1" ref="AE384" ca="1">_xll.FDS($E$9,"P_PRICE("&amp;AJ384&amp;",0,D,D)")</f>
        <v>5615.35</v>
      </c>
      <c r="AF384" s="9" cm="1">
        <f t="array" aca="1" ref="AF384" ca="1">_xll.FDS($E$9,"P_PRICE("&amp;AK384&amp;",0,D,D)")</f>
        <v>5246.68</v>
      </c>
      <c r="AG384" s="20">
        <f t="shared" ca="1" si="101"/>
        <v>45513</v>
      </c>
      <c r="AH384" s="22">
        <f t="shared" ca="1" si="96"/>
        <v>45506</v>
      </c>
      <c r="AI384" s="22">
        <f t="shared" ca="1" si="97"/>
        <v>45499</v>
      </c>
      <c r="AJ384" s="22">
        <f t="shared" ca="1" si="98"/>
        <v>45485</v>
      </c>
      <c r="AK384" s="22">
        <f t="shared" ca="1" si="99"/>
        <v>45426</v>
      </c>
      <c r="AL384" s="22">
        <f t="shared" ca="1" si="100"/>
        <v>45338</v>
      </c>
    </row>
    <row r="385" spans="4:38" x14ac:dyDescent="0.25">
      <c r="D385" s="6">
        <f ca="1"/>
        <v>45512</v>
      </c>
      <c r="E385" s="28" cm="1">
        <f t="array" aca="1" ref="E385" ca="1">_xll.FDS($E$7,"P_PRICE("&amp;D385&amp;",0,D,D)")</f>
        <v>81.540000000000006</v>
      </c>
      <c r="F385" s="29" cm="1">
        <f t="array" aca="1" ref="F385" ca="1">_xll.FDS($E$7,"P_BETA_LOCIDX("&amp;$AG385&amp;","&amp;$AL385&amp;",,"""&amp;$E$9&amp;""")")</f>
        <v>1.3917531000000001</v>
      </c>
      <c r="G385" s="30">
        <f t="shared" ca="1" si="86"/>
        <v>2.8880300764846496E-2</v>
      </c>
      <c r="H385" s="30">
        <f t="shared" ca="1" si="86"/>
        <v>4.5485221703836433E-2</v>
      </c>
      <c r="I385" s="30">
        <f t="shared" ca="1" si="86"/>
        <v>9.0342573252169156E-2</v>
      </c>
      <c r="J385" s="30">
        <f t="shared" ca="1" si="86"/>
        <v>-3.3155106893556767E-2</v>
      </c>
      <c r="K385" s="30">
        <f t="shared" ca="1" si="87"/>
        <v>-3.254598991440661E-2</v>
      </c>
      <c r="L385" s="30">
        <f t="shared" ca="1" si="87"/>
        <v>-2.0598343875782001E-2</v>
      </c>
      <c r="M385" s="30">
        <f t="shared" ca="1" si="87"/>
        <v>-6.6099387722712899E-2</v>
      </c>
      <c r="N385" s="30">
        <f t="shared" ca="1" si="87"/>
        <v>2.6092272017765254E-2</v>
      </c>
      <c r="O385" s="30">
        <f t="shared" ca="1" si="88"/>
        <v>-3.665689149560114E-3</v>
      </c>
      <c r="P385" s="30">
        <f t="shared" ca="1" si="89"/>
        <v>2.4886877828054432E-2</v>
      </c>
      <c r="Q385" s="30">
        <f t="shared" ca="1" si="90"/>
        <v>2.4243185529456257E-2</v>
      </c>
      <c r="R385" s="30">
        <f t="shared" ca="1" si="91"/>
        <v>-7.0628348757915127E-3</v>
      </c>
      <c r="S385" s="9" cm="1">
        <f t="array" aca="1" ref="S385" ca="1">_xll.FDS($E$7,"P_PRICE("&amp;AG385&amp;",0,D,D)")</f>
        <v>81.540000000000006</v>
      </c>
      <c r="T385" s="9" cm="1">
        <f t="array" aca="1" ref="T385" ca="1">_xll.FDS($E$7,"P_PRICE("&amp;AH385&amp;",0,D,D)")</f>
        <v>81.84</v>
      </c>
      <c r="U385" s="9" cm="1">
        <f t="array" aca="1" ref="U385" ca="1">_xll.FDS($E$7,"P_PRICE("&amp;AI385&amp;",0,D,D)")</f>
        <v>79.56</v>
      </c>
      <c r="V385" s="9" cm="1">
        <f t="array" aca="1" ref="V385" ca="1">_xll.FDS($E$7,"P_PRICE("&amp;AJ385&amp;",0,D,D)")</f>
        <v>79.61</v>
      </c>
      <c r="W385" s="9" cm="1">
        <f t="array" aca="1" ref="W385" ca="1">_xll.FDS($E$7,"P_PRICE("&amp;AK385&amp;",0,D,D)")</f>
        <v>82.12</v>
      </c>
      <c r="X385" s="24">
        <f t="shared" ca="1" si="92"/>
        <v>-2.33848876746936E-2</v>
      </c>
      <c r="Y385" s="24">
        <f t="shared" ca="1" si="93"/>
        <v>-1.4800285967232263E-2</v>
      </c>
      <c r="Z385" s="24">
        <f t="shared" ca="1" si="94"/>
        <v>-4.7493616305013364E-2</v>
      </c>
      <c r="AA385" s="24">
        <f t="shared" ca="1" si="95"/>
        <v>1.8747773594156358E-2</v>
      </c>
      <c r="AB385" s="9" cm="1">
        <f t="array" aca="1" ref="AB385" ca="1">_xll.FDS($E$9,"P_PRICE("&amp;AG385&amp;",0,D,D)")</f>
        <v>5319.31</v>
      </c>
      <c r="AC385" s="9" cm="1">
        <f t="array" aca="1" ref="AC385" ca="1">_xll.FDS($E$9,"P_PRICE("&amp;AH385&amp;",0,D,D)")</f>
        <v>5446.68</v>
      </c>
      <c r="AD385" s="9" cm="1">
        <f t="array" aca="1" ref="AD385" ca="1">_xll.FDS($E$9,"P_PRICE("&amp;AI385&amp;",0,D,D)")</f>
        <v>5399.22</v>
      </c>
      <c r="AE385" s="9" cm="1">
        <f t="array" aca="1" ref="AE385" ca="1">_xll.FDS($E$9,"P_PRICE("&amp;AJ385&amp;",0,D,D)")</f>
        <v>5584.54</v>
      </c>
      <c r="AF385" s="9" cm="1">
        <f t="array" aca="1" ref="AF385" ca="1">_xll.FDS($E$9,"P_PRICE("&amp;AK385&amp;",0,D,D)")</f>
        <v>5221.42</v>
      </c>
      <c r="AG385" s="20">
        <f t="shared" ca="1" si="101"/>
        <v>45512</v>
      </c>
      <c r="AH385" s="22">
        <f t="shared" ca="1" si="96"/>
        <v>45505</v>
      </c>
      <c r="AI385" s="22">
        <f t="shared" ca="1" si="97"/>
        <v>45498</v>
      </c>
      <c r="AJ385" s="22">
        <f t="shared" ca="1" si="98"/>
        <v>45484</v>
      </c>
      <c r="AK385" s="22">
        <f t="shared" ca="1" si="99"/>
        <v>45425</v>
      </c>
      <c r="AL385" s="22">
        <f t="shared" ca="1" si="100"/>
        <v>45337</v>
      </c>
    </row>
    <row r="386" spans="4:38" x14ac:dyDescent="0.25">
      <c r="D386" s="6">
        <f ca="1"/>
        <v>45511</v>
      </c>
      <c r="E386" s="28" cm="1">
        <f t="array" aca="1" ref="E386" ca="1">_xll.FDS($E$7,"P_PRICE("&amp;D386&amp;",0,D,D)")</f>
        <v>76.09</v>
      </c>
      <c r="F386" s="29" cm="1">
        <f t="array" aca="1" ref="F386" ca="1">_xll.FDS($E$7,"P_BETA_LOCIDX("&amp;$AG386&amp;","&amp;$AL386&amp;",,"""&amp;$E$9&amp;""")")</f>
        <v>1.2960197</v>
      </c>
      <c r="G386" s="30">
        <f t="shared" ca="1" si="86"/>
        <v>-3.6377943372503205E-2</v>
      </c>
      <c r="H386" s="30">
        <f t="shared" ca="1" si="86"/>
        <v>9.4235687981604407E-3</v>
      </c>
      <c r="I386" s="30">
        <f t="shared" ca="1" si="86"/>
        <v>8.7215581242102366E-2</v>
      </c>
      <c r="J386" s="30">
        <f t="shared" ca="1" si="86"/>
        <v>-8.5927430159652818E-2</v>
      </c>
      <c r="K386" s="30">
        <f t="shared" ca="1" si="87"/>
        <v>-7.5757412520145576E-2</v>
      </c>
      <c r="L386" s="30">
        <f t="shared" ca="1" si="87"/>
        <v>-5.4358927151367385E-2</v>
      </c>
      <c r="M386" s="30">
        <f t="shared" ca="1" si="87"/>
        <v>-9.9931294230294773E-2</v>
      </c>
      <c r="N386" s="30">
        <f t="shared" ca="1" si="87"/>
        <v>-5.7521687421018776E-3</v>
      </c>
      <c r="O386" s="30">
        <f t="shared" ca="1" si="88"/>
        <v>-0.11213535589264878</v>
      </c>
      <c r="P386" s="30">
        <f t="shared" ca="1" si="89"/>
        <v>-4.4935358353206944E-2</v>
      </c>
      <c r="Q386" s="30">
        <f t="shared" ca="1" si="90"/>
        <v>-1.2715712988192407E-2</v>
      </c>
      <c r="R386" s="30">
        <f t="shared" ca="1" si="91"/>
        <v>-9.16795989017547E-2</v>
      </c>
      <c r="S386" s="9" cm="1">
        <f t="array" aca="1" ref="S386" ca="1">_xll.FDS($E$7,"P_PRICE("&amp;AG386&amp;",0,D,D)")</f>
        <v>76.09</v>
      </c>
      <c r="T386" s="9" cm="1">
        <f t="array" aca="1" ref="T386" ca="1">_xll.FDS($E$7,"P_PRICE("&amp;AH386&amp;",0,D,D)")</f>
        <v>85.7</v>
      </c>
      <c r="U386" s="9" cm="1">
        <f t="array" aca="1" ref="U386" ca="1">_xll.FDS($E$7,"P_PRICE("&amp;AI386&amp;",0,D,D)")</f>
        <v>79.67</v>
      </c>
      <c r="V386" s="9" cm="1">
        <f t="array" aca="1" ref="V386" ca="1">_xll.FDS($E$7,"P_PRICE("&amp;AJ386&amp;",0,D,D)")</f>
        <v>77.069999999999993</v>
      </c>
      <c r="W386" s="9" cm="1">
        <f t="array" aca="1" ref="W386" ca="1">_xll.FDS($E$7,"P_PRICE("&amp;AK386&amp;",0,D,D)")</f>
        <v>83.77</v>
      </c>
      <c r="X386" s="24">
        <f t="shared" ca="1" si="92"/>
        <v>-5.845390507578363E-2</v>
      </c>
      <c r="Y386" s="24">
        <f t="shared" ca="1" si="93"/>
        <v>-4.1942979069968911E-2</v>
      </c>
      <c r="Z386" s="24">
        <f t="shared" ca="1" si="94"/>
        <v>-7.7106308052489303E-2</v>
      </c>
      <c r="AA386" s="24">
        <f t="shared" ca="1" si="95"/>
        <v>-4.4383343417556675E-3</v>
      </c>
      <c r="AB386" s="9" cm="1">
        <f t="array" aca="1" ref="AB386" ca="1">_xll.FDS($E$9,"P_PRICE("&amp;AG386&amp;",0,D,D)")</f>
        <v>5199.5</v>
      </c>
      <c r="AC386" s="9" cm="1">
        <f t="array" aca="1" ref="AC386" ca="1">_xll.FDS($E$9,"P_PRICE("&amp;AH386&amp;",0,D,D)")</f>
        <v>5522.3</v>
      </c>
      <c r="AD386" s="9" cm="1">
        <f t="array" aca="1" ref="AD386" ca="1">_xll.FDS($E$9,"P_PRICE("&amp;AI386&amp;",0,D,D)")</f>
        <v>5427.13</v>
      </c>
      <c r="AE386" s="9" cm="1">
        <f t="array" aca="1" ref="AE386" ca="1">_xll.FDS($E$9,"P_PRICE("&amp;AJ386&amp;",0,D,D)")</f>
        <v>5633.91</v>
      </c>
      <c r="AF386" s="9" cm="1">
        <f t="array" aca="1" ref="AF386" ca="1">_xll.FDS($E$9,"P_PRICE("&amp;AK386&amp;",0,D,D)")</f>
        <v>5222.68</v>
      </c>
      <c r="AG386" s="20">
        <f t="shared" ca="1" si="101"/>
        <v>45511</v>
      </c>
      <c r="AH386" s="22">
        <f t="shared" ca="1" si="96"/>
        <v>45504</v>
      </c>
      <c r="AI386" s="22">
        <f t="shared" ca="1" si="97"/>
        <v>45497</v>
      </c>
      <c r="AJ386" s="22">
        <f t="shared" ca="1" si="98"/>
        <v>45483</v>
      </c>
      <c r="AK386" s="22">
        <f t="shared" ca="1" si="99"/>
        <v>45422</v>
      </c>
      <c r="AL386" s="22">
        <f t="shared" ca="1" si="100"/>
        <v>45336</v>
      </c>
    </row>
    <row r="387" spans="4:38" x14ac:dyDescent="0.25">
      <c r="D387" s="6">
        <f ca="1"/>
        <v>45510</v>
      </c>
      <c r="E387" s="28" cm="1">
        <f t="array" aca="1" ref="E387" ca="1">_xll.FDS($E$7,"P_PRICE("&amp;D387&amp;",0,D,D)")</f>
        <v>78.400000000000006</v>
      </c>
      <c r="F387" s="29" cm="1">
        <f t="array" aca="1" ref="F387" ca="1">_xll.FDS($E$7,"P_BETA_LOCIDX("&amp;$AG387&amp;","&amp;$AL387&amp;",,"""&amp;$E$9&amp;""")")</f>
        <v>1.2781886</v>
      </c>
      <c r="G387" s="30">
        <f t="shared" ca="1" si="86"/>
        <v>-2.1153919993143248E-2</v>
      </c>
      <c r="H387" s="30">
        <f t="shared" ca="1" si="86"/>
        <v>2.5709848573612887E-2</v>
      </c>
      <c r="I387" s="30">
        <f t="shared" ca="1" si="86"/>
        <v>0.11029979028179936</v>
      </c>
      <c r="J387" s="30">
        <f t="shared" ca="1" si="86"/>
        <v>-3.0265810405632344E-2</v>
      </c>
      <c r="K387" s="30">
        <f t="shared" ca="1" si="87"/>
        <v>-4.6178937489607171E-2</v>
      </c>
      <c r="L387" s="30">
        <f t="shared" ca="1" si="87"/>
        <v>-7.2634234666489078E-2</v>
      </c>
      <c r="M387" s="30">
        <f t="shared" ca="1" si="87"/>
        <v>-7.7225603959490616E-2</v>
      </c>
      <c r="N387" s="30">
        <f t="shared" ca="1" si="87"/>
        <v>6.3614279355129529E-3</v>
      </c>
      <c r="O387" s="30">
        <f t="shared" ca="1" si="88"/>
        <v>-6.7332857482750419E-2</v>
      </c>
      <c r="P387" s="30">
        <f t="shared" ca="1" si="89"/>
        <v>-4.6924386092876191E-2</v>
      </c>
      <c r="Q387" s="30">
        <f t="shared" ca="1" si="90"/>
        <v>3.3074186322308741E-2</v>
      </c>
      <c r="R387" s="30">
        <f t="shared" ca="1" si="91"/>
        <v>-2.390438247011939E-2</v>
      </c>
      <c r="S387" s="9" cm="1">
        <f t="array" aca="1" ref="S387" ca="1">_xll.FDS($E$7,"P_PRICE("&amp;AG387&amp;",0,D,D)")</f>
        <v>78.400000000000006</v>
      </c>
      <c r="T387" s="9" cm="1">
        <f t="array" aca="1" ref="T387" ca="1">_xll.FDS($E$7,"P_PRICE("&amp;AH387&amp;",0,D,D)")</f>
        <v>84.06</v>
      </c>
      <c r="U387" s="9" cm="1">
        <f t="array" aca="1" ref="U387" ca="1">_xll.FDS($E$7,"P_PRICE("&amp;AI387&amp;",0,D,D)")</f>
        <v>82.26</v>
      </c>
      <c r="V387" s="9" cm="1">
        <f t="array" aca="1" ref="V387" ca="1">_xll.FDS($E$7,"P_PRICE("&amp;AJ387&amp;",0,D,D)")</f>
        <v>75.89</v>
      </c>
      <c r="W387" s="9" cm="1">
        <f t="array" aca="1" ref="W387" ca="1">_xll.FDS($E$7,"P_PRICE("&amp;AK387&amp;",0,D,D)")</f>
        <v>80.319999999999993</v>
      </c>
      <c r="X387" s="24">
        <f t="shared" ca="1" si="92"/>
        <v>-3.6128422276342609E-2</v>
      </c>
      <c r="Y387" s="24">
        <f t="shared" ca="1" si="93"/>
        <v>-5.6825913379675796E-2</v>
      </c>
      <c r="Z387" s="24">
        <f t="shared" ca="1" si="94"/>
        <v>-6.0418004009338389E-2</v>
      </c>
      <c r="AA387" s="24">
        <f t="shared" ca="1" si="95"/>
        <v>4.9769086780409033E-3</v>
      </c>
      <c r="AB387" s="9" cm="1">
        <f t="array" aca="1" ref="AB387" ca="1">_xll.FDS($E$9,"P_PRICE("&amp;AG387&amp;",0,D,D)")</f>
        <v>5240.03</v>
      </c>
      <c r="AC387" s="9" cm="1">
        <f t="array" aca="1" ref="AC387" ca="1">_xll.FDS($E$9,"P_PRICE("&amp;AH387&amp;",0,D,D)")</f>
        <v>5436.44</v>
      </c>
      <c r="AD387" s="9" cm="1">
        <f t="array" aca="1" ref="AD387" ca="1">_xll.FDS($E$9,"P_PRICE("&amp;AI387&amp;",0,D,D)")</f>
        <v>5555.74</v>
      </c>
      <c r="AE387" s="9" cm="1">
        <f t="array" aca="1" ref="AE387" ca="1">_xll.FDS($E$9,"P_PRICE("&amp;AJ387&amp;",0,D,D)")</f>
        <v>5576.98</v>
      </c>
      <c r="AF387" s="9" cm="1">
        <f t="array" aca="1" ref="AF387" ca="1">_xll.FDS($E$9,"P_PRICE("&amp;AK387&amp;",0,D,D)")</f>
        <v>5214.08</v>
      </c>
      <c r="AG387" s="20">
        <f t="shared" ca="1" si="101"/>
        <v>45510</v>
      </c>
      <c r="AH387" s="22">
        <f t="shared" ca="1" si="96"/>
        <v>45503</v>
      </c>
      <c r="AI387" s="22">
        <f t="shared" ca="1" si="97"/>
        <v>45496</v>
      </c>
      <c r="AJ387" s="22">
        <f t="shared" ca="1" si="98"/>
        <v>45482</v>
      </c>
      <c r="AK387" s="22">
        <f t="shared" ca="1" si="99"/>
        <v>45421</v>
      </c>
      <c r="AL387" s="22">
        <f t="shared" ca="1" si="100"/>
        <v>45335</v>
      </c>
    </row>
    <row r="388" spans="4:38" x14ac:dyDescent="0.25">
      <c r="D388" s="6">
        <f ca="1"/>
        <v>45509</v>
      </c>
      <c r="E388" s="28" cm="1">
        <f t="array" aca="1" ref="E388" ca="1">_xll.FDS($E$7,"P_PRICE("&amp;D388&amp;",0,D,D)")</f>
        <v>77.150000000000006</v>
      </c>
      <c r="F388" s="29" cm="1">
        <f t="array" aca="1" ref="F388" ca="1">_xll.FDS($E$7,"P_BETA_LOCIDX("&amp;$AG388&amp;","&amp;$AL388&amp;",,"""&amp;$E$9&amp;""")")</f>
        <v>1.2741975999999999</v>
      </c>
      <c r="G388" s="30">
        <f t="shared" ca="1" si="86"/>
        <v>-1.3301800701937538E-3</v>
      </c>
      <c r="H388" s="30">
        <f t="shared" ca="1" si="86"/>
        <v>2.8004466915000678E-2</v>
      </c>
      <c r="I388" s="30">
        <f t="shared" ca="1" si="86"/>
        <v>0.12771259672252872</v>
      </c>
      <c r="J388" s="30">
        <f t="shared" ca="1" si="86"/>
        <v>-3.2636524211724839E-2</v>
      </c>
      <c r="K388" s="30">
        <f t="shared" ca="1" si="87"/>
        <v>-6.4650449469757676E-2</v>
      </c>
      <c r="L388" s="30">
        <f t="shared" ca="1" si="87"/>
        <v>-8.6576767098039062E-2</v>
      </c>
      <c r="M388" s="30">
        <f t="shared" ca="1" si="87"/>
        <v>-8.8375401518433191E-2</v>
      </c>
      <c r="N388" s="30">
        <f t="shared" ca="1" si="87"/>
        <v>-3.2913134104524963E-4</v>
      </c>
      <c r="O388" s="30">
        <f t="shared" ca="1" si="88"/>
        <v>-6.598062953995143E-2</v>
      </c>
      <c r="P388" s="30">
        <f t="shared" ca="1" si="89"/>
        <v>-5.8572300183038384E-2</v>
      </c>
      <c r="Q388" s="30">
        <f t="shared" ca="1" si="90"/>
        <v>3.933719520409551E-2</v>
      </c>
      <c r="R388" s="30">
        <f t="shared" ca="1" si="91"/>
        <v>-3.296565555277009E-2</v>
      </c>
      <c r="S388" s="9" cm="1">
        <f t="array" aca="1" ref="S388" ca="1">_xll.FDS($E$7,"P_PRICE("&amp;AG388&amp;",0,D,D)")</f>
        <v>77.150000000000006</v>
      </c>
      <c r="T388" s="9" cm="1">
        <f t="array" aca="1" ref="T388" ca="1">_xll.FDS($E$7,"P_PRICE("&amp;AH388&amp;",0,D,D)")</f>
        <v>82.6</v>
      </c>
      <c r="U388" s="9" cm="1">
        <f t="array" aca="1" ref="U388" ca="1">_xll.FDS($E$7,"P_PRICE("&amp;AI388&amp;",0,D,D)")</f>
        <v>81.95</v>
      </c>
      <c r="V388" s="9" cm="1">
        <f t="array" aca="1" ref="V388" ca="1">_xll.FDS($E$7,"P_PRICE("&amp;AJ388&amp;",0,D,D)")</f>
        <v>74.23</v>
      </c>
      <c r="W388" s="9" cm="1">
        <f t="array" aca="1" ref="W388" ca="1">_xll.FDS($E$7,"P_PRICE("&amp;AK388&amp;",0,D,D)")</f>
        <v>79.78</v>
      </c>
      <c r="X388" s="24">
        <f t="shared" ca="1" si="92"/>
        <v>-5.0738166097438642E-2</v>
      </c>
      <c r="Y388" s="24">
        <f t="shared" ca="1" si="93"/>
        <v>-6.7946107493876196E-2</v>
      </c>
      <c r="Z388" s="24">
        <f t="shared" ca="1" si="94"/>
        <v>-6.9357689512547505E-2</v>
      </c>
      <c r="AA388" s="24">
        <f t="shared" ca="1" si="95"/>
        <v>-2.5830478808408497E-4</v>
      </c>
      <c r="AB388" s="9" cm="1">
        <f t="array" aca="1" ref="AB388" ca="1">_xll.FDS($E$9,"P_PRICE("&amp;AG388&amp;",0,D,D)")</f>
        <v>5186.33</v>
      </c>
      <c r="AC388" s="9" cm="1">
        <f t="array" aca="1" ref="AC388" ca="1">_xll.FDS($E$9,"P_PRICE("&amp;AH388&amp;",0,D,D)")</f>
        <v>5463.54</v>
      </c>
      <c r="AD388" s="9" cm="1">
        <f t="array" aca="1" ref="AD388" ca="1">_xll.FDS($E$9,"P_PRICE("&amp;AI388&amp;",0,D,D)")</f>
        <v>5564.41</v>
      </c>
      <c r="AE388" s="9" cm="1">
        <f t="array" aca="1" ref="AE388" ca="1">_xll.FDS($E$9,"P_PRICE("&amp;AJ388&amp;",0,D,D)")</f>
        <v>5572.85</v>
      </c>
      <c r="AF388" s="9" cm="1">
        <f t="array" aca="1" ref="AF388" ca="1">_xll.FDS($E$9,"P_PRICE("&amp;AK388&amp;",0,D,D)")</f>
        <v>5187.67</v>
      </c>
      <c r="AG388" s="20">
        <f t="shared" ca="1" si="101"/>
        <v>45509</v>
      </c>
      <c r="AH388" s="22">
        <f t="shared" ca="1" si="96"/>
        <v>45502</v>
      </c>
      <c r="AI388" s="22">
        <f t="shared" ca="1" si="97"/>
        <v>45495</v>
      </c>
      <c r="AJ388" s="22">
        <f t="shared" ca="1" si="98"/>
        <v>45481</v>
      </c>
      <c r="AK388" s="22">
        <f t="shared" ca="1" si="99"/>
        <v>45420</v>
      </c>
      <c r="AL388" s="22">
        <f t="shared" ca="1" si="100"/>
        <v>45334</v>
      </c>
    </row>
    <row r="389" spans="4:38" x14ac:dyDescent="0.25">
      <c r="D389" s="6">
        <f ca="1"/>
        <v>45506</v>
      </c>
      <c r="E389" s="28" cm="1">
        <f t="array" aca="1" ref="E389" ca="1">_xll.FDS($E$7,"P_PRICE("&amp;D389&amp;",0,D,D)")</f>
        <v>79.08</v>
      </c>
      <c r="F389" s="29" cm="1">
        <f t="array" aca="1" ref="F389" ca="1">_xll.FDS($E$7,"P_BETA_LOCIDX("&amp;$AG389&amp;","&amp;$AL389&amp;",,"""&amp;$E$9&amp;""")")</f>
        <v>1.3219154</v>
      </c>
      <c r="G389" s="30">
        <f t="shared" ca="1" si="86"/>
        <v>-3.0367225535066628E-3</v>
      </c>
      <c r="H389" s="30">
        <f t="shared" ca="1" si="86"/>
        <v>2.815511701110826E-2</v>
      </c>
      <c r="I389" s="30">
        <f t="shared" ca="1" si="86"/>
        <v>0.1258236351543271</v>
      </c>
      <c r="J389" s="30">
        <f t="shared" ca="1" si="86"/>
        <v>-6.3580946302230226E-2</v>
      </c>
      <c r="K389" s="30">
        <f t="shared" ca="1" si="87"/>
        <v>-2.7251444215346823E-2</v>
      </c>
      <c r="L389" s="30">
        <f t="shared" ca="1" si="87"/>
        <v>-3.8046190004722952E-2</v>
      </c>
      <c r="M389" s="30">
        <f t="shared" ca="1" si="87"/>
        <v>-5.2388044004605332E-2</v>
      </c>
      <c r="N389" s="30">
        <f t="shared" ca="1" si="87"/>
        <v>4.0480266870482132E-2</v>
      </c>
      <c r="O389" s="30">
        <f t="shared" ca="1" si="88"/>
        <v>-3.0288166768853486E-2</v>
      </c>
      <c r="P389" s="30">
        <f t="shared" ca="1" si="89"/>
        <v>-9.8910729936146913E-3</v>
      </c>
      <c r="Q389" s="30">
        <f t="shared" ca="1" si="90"/>
        <v>7.3435591149721757E-2</v>
      </c>
      <c r="R389" s="30">
        <f t="shared" ca="1" si="91"/>
        <v>-2.3100679431748095E-2</v>
      </c>
      <c r="S389" s="9" cm="1">
        <f t="array" aca="1" ref="S389" ca="1">_xll.FDS($E$7,"P_PRICE("&amp;AG389&amp;",0,D,D)")</f>
        <v>79.08</v>
      </c>
      <c r="T389" s="9" cm="1">
        <f t="array" aca="1" ref="T389" ca="1">_xll.FDS($E$7,"P_PRICE("&amp;AH389&amp;",0,D,D)")</f>
        <v>81.55</v>
      </c>
      <c r="U389" s="9" cm="1">
        <f t="array" aca="1" ref="U389" ca="1">_xll.FDS($E$7,"P_PRICE("&amp;AI389&amp;",0,D,D)")</f>
        <v>79.87</v>
      </c>
      <c r="V389" s="9" cm="1">
        <f t="array" aca="1" ref="V389" ca="1">_xll.FDS($E$7,"P_PRICE("&amp;AJ389&amp;",0,D,D)")</f>
        <v>73.67</v>
      </c>
      <c r="W389" s="9" cm="1">
        <f t="array" aca="1" ref="W389" ca="1">_xll.FDS($E$7,"P_PRICE("&amp;AK389&amp;",0,D,D)")</f>
        <v>80.95</v>
      </c>
      <c r="X389" s="24">
        <f t="shared" ca="1" si="92"/>
        <v>-2.0615119708376817E-2</v>
      </c>
      <c r="Y389" s="24">
        <f t="shared" ca="1" si="93"/>
        <v>-2.8781108083560381E-2</v>
      </c>
      <c r="Z389" s="24">
        <f t="shared" ca="1" si="94"/>
        <v>-3.9630406003746788E-2</v>
      </c>
      <c r="AA389" s="24">
        <f t="shared" ca="1" si="95"/>
        <v>3.0622433833876306E-2</v>
      </c>
      <c r="AB389" s="9" cm="1">
        <f t="array" aca="1" ref="AB389" ca="1">_xll.FDS($E$9,"P_PRICE("&amp;AG389&amp;",0,D,D)")</f>
        <v>5346.56</v>
      </c>
      <c r="AC389" s="9" cm="1">
        <f t="array" aca="1" ref="AC389" ca="1">_xll.FDS($E$9,"P_PRICE("&amp;AH389&amp;",0,D,D)")</f>
        <v>5459.1</v>
      </c>
      <c r="AD389" s="9" cm="1">
        <f t="array" aca="1" ref="AD389" ca="1">_xll.FDS($E$9,"P_PRICE("&amp;AI389&amp;",0,D,D)")</f>
        <v>5505</v>
      </c>
      <c r="AE389" s="9" cm="1">
        <f t="array" aca="1" ref="AE389" ca="1">_xll.FDS($E$9,"P_PRICE("&amp;AJ389&amp;",0,D,D)")</f>
        <v>5567.19</v>
      </c>
      <c r="AF389" s="9" cm="1">
        <f t="array" aca="1" ref="AF389" ca="1">_xll.FDS($E$9,"P_PRICE("&amp;AK389&amp;",0,D,D)")</f>
        <v>5187.7</v>
      </c>
      <c r="AG389" s="20">
        <f t="shared" ca="1" si="101"/>
        <v>45506</v>
      </c>
      <c r="AH389" s="22">
        <f t="shared" ca="1" si="96"/>
        <v>45499</v>
      </c>
      <c r="AI389" s="22">
        <f t="shared" ca="1" si="97"/>
        <v>45492</v>
      </c>
      <c r="AJ389" s="22">
        <f t="shared" ca="1" si="98"/>
        <v>45478</v>
      </c>
      <c r="AK389" s="22">
        <f t="shared" ca="1" si="99"/>
        <v>45419</v>
      </c>
      <c r="AL389" s="22">
        <f t="shared" ca="1" si="100"/>
        <v>45331</v>
      </c>
    </row>
    <row r="390" spans="4:38" x14ac:dyDescent="0.25">
      <c r="D390" s="6">
        <f ca="1"/>
        <v>45505</v>
      </c>
      <c r="E390" s="28" cm="1">
        <f t="array" aca="1" ref="E390" ca="1">_xll.FDS($E$7,"P_PRICE("&amp;D390&amp;",0,D,D)")</f>
        <v>81.84</v>
      </c>
      <c r="F390" s="29" cm="1">
        <f t="array" aca="1" ref="F390" ca="1">_xll.FDS($E$7,"P_BETA_LOCIDX("&amp;$AG390&amp;","&amp;$AL390&amp;",,"""&amp;$E$9&amp;""")")</f>
        <v>1.2936913000000001</v>
      </c>
      <c r="G390" s="30">
        <f t="shared" ca="1" si="86"/>
        <v>1.7285865214335346E-2</v>
      </c>
      <c r="H390" s="30">
        <f t="shared" ca="1" si="86"/>
        <v>5.0598207180413829E-2</v>
      </c>
      <c r="I390" s="30">
        <f t="shared" ca="1" si="86"/>
        <v>0.13685381695040894</v>
      </c>
      <c r="J390" s="30">
        <f t="shared" ca="1" si="86"/>
        <v>-6.9817969164435376E-2</v>
      </c>
      <c r="K390" s="30">
        <f t="shared" ca="1" si="87"/>
        <v>1.1371751678575787E-2</v>
      </c>
      <c r="L390" s="30">
        <f t="shared" ca="1" si="87"/>
        <v>-2.2844847893712637E-2</v>
      </c>
      <c r="M390" s="30">
        <f t="shared" ca="1" si="87"/>
        <v>-2.1107395682515132E-2</v>
      </c>
      <c r="N390" s="30">
        <f t="shared" ca="1" si="87"/>
        <v>6.6408324741639477E-2</v>
      </c>
      <c r="O390" s="30">
        <f t="shared" ca="1" si="88"/>
        <v>2.8657616892911131E-2</v>
      </c>
      <c r="P390" s="30">
        <f t="shared" ca="1" si="89"/>
        <v>2.7753359286701196E-2</v>
      </c>
      <c r="Q390" s="30">
        <f t="shared" ca="1" si="90"/>
        <v>0.11574642126789381</v>
      </c>
      <c r="R390" s="30">
        <f t="shared" ca="1" si="91"/>
        <v>-3.4096444227958989E-3</v>
      </c>
      <c r="S390" s="9" cm="1">
        <f t="array" aca="1" ref="S390" ca="1">_xll.FDS($E$7,"P_PRICE("&amp;AG390&amp;",0,D,D)")</f>
        <v>81.84</v>
      </c>
      <c r="T390" s="9" cm="1">
        <f t="array" aca="1" ref="T390" ca="1">_xll.FDS($E$7,"P_PRICE("&amp;AH390&amp;",0,D,D)")</f>
        <v>79.56</v>
      </c>
      <c r="U390" s="9" cm="1">
        <f t="array" aca="1" ref="U390" ca="1">_xll.FDS($E$7,"P_PRICE("&amp;AI390&amp;",0,D,D)")</f>
        <v>79.63</v>
      </c>
      <c r="V390" s="9" cm="1">
        <f t="array" aca="1" ref="V390" ca="1">_xll.FDS($E$7,"P_PRICE("&amp;AJ390&amp;",0,D,D)")</f>
        <v>73.349999999999994</v>
      </c>
      <c r="W390" s="9" cm="1">
        <f t="array" aca="1" ref="W390" ca="1">_xll.FDS($E$7,"P_PRICE("&amp;AK390&amp;",0,D,D)")</f>
        <v>82.12</v>
      </c>
      <c r="X390" s="24">
        <f t="shared" ca="1" si="92"/>
        <v>8.7901585784613268E-3</v>
      </c>
      <c r="Y390" s="24">
        <f t="shared" ca="1" si="93"/>
        <v>-1.765865465255323E-2</v>
      </c>
      <c r="Z390" s="24">
        <f t="shared" ca="1" si="94"/>
        <v>-1.6315635486236268E-2</v>
      </c>
      <c r="AA390" s="24">
        <f t="shared" ca="1" si="95"/>
        <v>5.1332435134749277E-2</v>
      </c>
      <c r="AB390" s="9" cm="1">
        <f t="array" aca="1" ref="AB390" ca="1">_xll.FDS($E$9,"P_PRICE("&amp;AG390&amp;",0,D,D)")</f>
        <v>5446.68</v>
      </c>
      <c r="AC390" s="9" cm="1">
        <f t="array" aca="1" ref="AC390" ca="1">_xll.FDS($E$9,"P_PRICE("&amp;AH390&amp;",0,D,D)")</f>
        <v>5399.22</v>
      </c>
      <c r="AD390" s="9" cm="1">
        <f t="array" aca="1" ref="AD390" ca="1">_xll.FDS($E$9,"P_PRICE("&amp;AI390&amp;",0,D,D)")</f>
        <v>5544.59</v>
      </c>
      <c r="AE390" s="9" cm="1">
        <f t="array" aca="1" ref="AE390" ca="1">_xll.FDS($E$9,"P_PRICE("&amp;AJ390&amp;",0,D,D)")</f>
        <v>5537.02</v>
      </c>
      <c r="AF390" s="9" cm="1">
        <f t="array" aca="1" ref="AF390" ca="1">_xll.FDS($E$9,"P_PRICE("&amp;AK390&amp;",0,D,D)")</f>
        <v>5180.74</v>
      </c>
      <c r="AG390" s="20">
        <f t="shared" ca="1" si="101"/>
        <v>45505</v>
      </c>
      <c r="AH390" s="22">
        <f t="shared" ca="1" si="96"/>
        <v>45498</v>
      </c>
      <c r="AI390" s="22">
        <f t="shared" ca="1" si="97"/>
        <v>45491</v>
      </c>
      <c r="AJ390" s="22">
        <f t="shared" ca="1" si="98"/>
        <v>45476</v>
      </c>
      <c r="AK390" s="22">
        <f t="shared" ca="1" si="99"/>
        <v>45418</v>
      </c>
      <c r="AL390" s="22">
        <f t="shared" ca="1" si="100"/>
        <v>45330</v>
      </c>
    </row>
    <row r="391" spans="4:38" x14ac:dyDescent="0.25">
      <c r="D391" s="6">
        <f ca="1"/>
        <v>45504</v>
      </c>
      <c r="E391" s="28" cm="1">
        <f t="array" aca="1" ref="E391" ca="1">_xll.FDS($E$7,"P_PRICE("&amp;D391&amp;",0,D,D)")</f>
        <v>85.7</v>
      </c>
      <c r="F391" s="29" cm="1">
        <f t="array" aca="1" ref="F391" ca="1">_xll.FDS($E$7,"P_BETA_LOCIDX("&amp;$AG391&amp;","&amp;$AL391&amp;",,"""&amp;$E$9&amp;""")")</f>
        <v>1.2374852000000001</v>
      </c>
      <c r="G391" s="30">
        <f t="shared" ca="1" si="86"/>
        <v>5.3986703858800819E-2</v>
      </c>
      <c r="H391" s="30">
        <f t="shared" ca="1" si="86"/>
        <v>7.5383465823520124E-2</v>
      </c>
      <c r="I391" s="30">
        <f t="shared" ca="1" si="86"/>
        <v>0.18646644586968711</v>
      </c>
      <c r="J391" s="30">
        <f t="shared" ca="1" si="86"/>
        <v>-2.9816409748409253E-2</v>
      </c>
      <c r="K391" s="30">
        <f t="shared" ca="1" si="87"/>
        <v>2.1700505881377358E-2</v>
      </c>
      <c r="L391" s="30">
        <f t="shared" ca="1" si="87"/>
        <v>-1.4608617451196959E-2</v>
      </c>
      <c r="M391" s="30">
        <f t="shared" ca="1" si="87"/>
        <v>2.9853237347544242E-3</v>
      </c>
      <c r="N391" s="30">
        <f t="shared" ca="1" si="87"/>
        <v>9.5206762806589337E-2</v>
      </c>
      <c r="O391" s="30">
        <f t="shared" ca="1" si="88"/>
        <v>7.5687209740178174E-2</v>
      </c>
      <c r="P391" s="30">
        <f t="shared" ca="1" si="89"/>
        <v>6.0774848372323165E-2</v>
      </c>
      <c r="Q391" s="30">
        <f t="shared" ca="1" si="90"/>
        <v>0.18945176960444154</v>
      </c>
      <c r="R391" s="30">
        <f t="shared" ca="1" si="91"/>
        <v>6.5390353058180084E-2</v>
      </c>
      <c r="S391" s="9" cm="1">
        <f t="array" aca="1" ref="S391" ca="1">_xll.FDS($E$7,"P_PRICE("&amp;AG391&amp;",0,D,D)")</f>
        <v>85.7</v>
      </c>
      <c r="T391" s="9" cm="1">
        <f t="array" aca="1" ref="T391" ca="1">_xll.FDS($E$7,"P_PRICE("&amp;AH391&amp;",0,D,D)")</f>
        <v>79.67</v>
      </c>
      <c r="U391" s="9" cm="1">
        <f t="array" aca="1" ref="U391" ca="1">_xll.FDS($E$7,"P_PRICE("&amp;AI391&amp;",0,D,D)")</f>
        <v>80.790000000000006</v>
      </c>
      <c r="V391" s="9" cm="1">
        <f t="array" aca="1" ref="V391" ca="1">_xll.FDS($E$7,"P_PRICE("&amp;AJ391&amp;",0,D,D)")</f>
        <v>72.05</v>
      </c>
      <c r="W391" s="9" cm="1">
        <f t="array" aca="1" ref="W391" ca="1">_xll.FDS($E$7,"P_PRICE("&amp;AK391&amp;",0,D,D)")</f>
        <v>80.44</v>
      </c>
      <c r="X391" s="24">
        <f t="shared" ca="1" si="92"/>
        <v>1.7535972051526239E-2</v>
      </c>
      <c r="Y391" s="24">
        <f t="shared" ca="1" si="93"/>
        <v>-1.1805084578948466E-2</v>
      </c>
      <c r="Z391" s="24">
        <f t="shared" ca="1" si="94"/>
        <v>2.4124116674320017E-3</v>
      </c>
      <c r="AA391" s="24">
        <f t="shared" ca="1" si="95"/>
        <v>7.693567794312961E-2</v>
      </c>
      <c r="AB391" s="9" cm="1">
        <f t="array" aca="1" ref="AB391" ca="1">_xll.FDS($E$9,"P_PRICE("&amp;AG391&amp;",0,D,D)")</f>
        <v>5522.3</v>
      </c>
      <c r="AC391" s="9" cm="1">
        <f t="array" aca="1" ref="AC391" ca="1">_xll.FDS($E$9,"P_PRICE("&amp;AH391&amp;",0,D,D)")</f>
        <v>5427.13</v>
      </c>
      <c r="AD391" s="9" cm="1">
        <f t="array" aca="1" ref="AD391" ca="1">_xll.FDS($E$9,"P_PRICE("&amp;AI391&amp;",0,D,D)")</f>
        <v>5588.27</v>
      </c>
      <c r="AE391" s="9" cm="1">
        <f t="array" aca="1" ref="AE391" ca="1">_xll.FDS($E$9,"P_PRICE("&amp;AJ391&amp;",0,D,D)")</f>
        <v>5509.01</v>
      </c>
      <c r="AF391" s="9" cm="1">
        <f t="array" aca="1" ref="AF391" ca="1">_xll.FDS($E$9,"P_PRICE("&amp;AK391&amp;",0,D,D)")</f>
        <v>5127.79</v>
      </c>
      <c r="AG391" s="20">
        <f t="shared" ca="1" si="101"/>
        <v>45504</v>
      </c>
      <c r="AH391" s="22">
        <f t="shared" ca="1" si="96"/>
        <v>45497</v>
      </c>
      <c r="AI391" s="22">
        <f t="shared" ca="1" si="97"/>
        <v>45490</v>
      </c>
      <c r="AJ391" s="22">
        <f t="shared" ca="1" si="98"/>
        <v>45475</v>
      </c>
      <c r="AK391" s="22">
        <f t="shared" ca="1" si="99"/>
        <v>45415</v>
      </c>
      <c r="AL391" s="22">
        <f t="shared" ca="1" si="100"/>
        <v>45329</v>
      </c>
    </row>
    <row r="392" spans="4:38" x14ac:dyDescent="0.25">
      <c r="D392" s="6">
        <f ca="1"/>
        <v>45503</v>
      </c>
      <c r="E392" s="28" cm="1">
        <f t="array" aca="1" ref="E392" ca="1">_xll.FDS($E$7,"P_PRICE("&amp;D392&amp;",0,D,D)")</f>
        <v>84.06</v>
      </c>
      <c r="F392" s="29" cm="1">
        <f t="array" aca="1" ref="F392" ca="1">_xll.FDS($E$7,"P_BETA_LOCIDX("&amp;$AG392&amp;","&amp;$AL392&amp;",,"""&amp;$E$9&amp;""")")</f>
        <v>1.2402911000000001</v>
      </c>
      <c r="G392" s="30">
        <f t="shared" ca="1" si="86"/>
        <v>4.8514964935986435E-2</v>
      </c>
      <c r="H392" s="30">
        <f t="shared" ca="1" si="86"/>
        <v>6.8055173154041276E-2</v>
      </c>
      <c r="I392" s="30">
        <f t="shared" ca="1" si="86"/>
        <v>0.16089367625425263</v>
      </c>
      <c r="J392" s="30">
        <f t="shared" ca="1" si="86"/>
        <v>-3.4472709302663704E-2</v>
      </c>
      <c r="K392" s="30">
        <f t="shared" ca="1" si="87"/>
        <v>-2.6633126861588297E-2</v>
      </c>
      <c r="L392" s="30">
        <f t="shared" ca="1" si="87"/>
        <v>-5.0502818717532462E-2</v>
      </c>
      <c r="M392" s="30">
        <f t="shared" ca="1" si="87"/>
        <v>-8.7555183595156901E-3</v>
      </c>
      <c r="N392" s="30">
        <f t="shared" ca="1" si="87"/>
        <v>9.1166612508194841E-2</v>
      </c>
      <c r="O392" s="30">
        <f t="shared" ca="1" si="88"/>
        <v>2.1881838074398141E-2</v>
      </c>
      <c r="P392" s="30">
        <f t="shared" ca="1" si="89"/>
        <v>1.7552354436508821E-2</v>
      </c>
      <c r="Q392" s="30">
        <f t="shared" ca="1" si="90"/>
        <v>0.15213815789473695</v>
      </c>
      <c r="R392" s="30">
        <f t="shared" ca="1" si="91"/>
        <v>5.6693903205531138E-2</v>
      </c>
      <c r="S392" s="9" cm="1">
        <f t="array" aca="1" ref="S392" ca="1">_xll.FDS($E$7,"P_PRICE("&amp;AG392&amp;",0,D,D)")</f>
        <v>84.06</v>
      </c>
      <c r="T392" s="9" cm="1">
        <f t="array" aca="1" ref="T392" ca="1">_xll.FDS($E$7,"P_PRICE("&amp;AH392&amp;",0,D,D)")</f>
        <v>82.26</v>
      </c>
      <c r="U392" s="9" cm="1">
        <f t="array" aca="1" ref="U392" ca="1">_xll.FDS($E$7,"P_PRICE("&amp;AI392&amp;",0,D,D)")</f>
        <v>82.61</v>
      </c>
      <c r="V392" s="9" cm="1">
        <f t="array" aca="1" ref="V392" ca="1">_xll.FDS($E$7,"P_PRICE("&amp;AJ392&amp;",0,D,D)")</f>
        <v>72.959999999999994</v>
      </c>
      <c r="W392" s="9" cm="1">
        <f t="array" aca="1" ref="W392" ca="1">_xll.FDS($E$7,"P_PRICE("&amp;AK392&amp;",0,D,D)")</f>
        <v>79.55</v>
      </c>
      <c r="X392" s="24">
        <f t="shared" ca="1" si="92"/>
        <v>-2.1473287086868798E-2</v>
      </c>
      <c r="Y392" s="24">
        <f t="shared" ca="1" si="93"/>
        <v>-4.0718520609824949E-2</v>
      </c>
      <c r="Z392" s="24">
        <f t="shared" ca="1" si="94"/>
        <v>-7.0592446882152826E-3</v>
      </c>
      <c r="AA392" s="24">
        <f t="shared" ca="1" si="95"/>
        <v>7.3504205995023941E-2</v>
      </c>
      <c r="AB392" s="9" cm="1">
        <f t="array" aca="1" ref="AB392" ca="1">_xll.FDS($E$9,"P_PRICE("&amp;AG392&amp;",0,D,D)")</f>
        <v>5436.44</v>
      </c>
      <c r="AC392" s="9" cm="1">
        <f t="array" aca="1" ref="AC392" ca="1">_xll.FDS($E$9,"P_PRICE("&amp;AH392&amp;",0,D,D)")</f>
        <v>5555.74</v>
      </c>
      <c r="AD392" s="9" cm="1">
        <f t="array" aca="1" ref="AD392" ca="1">_xll.FDS($E$9,"P_PRICE("&amp;AI392&amp;",0,D,D)")</f>
        <v>5667.2</v>
      </c>
      <c r="AE392" s="9" cm="1">
        <f t="array" aca="1" ref="AE392" ca="1">_xll.FDS($E$9,"P_PRICE("&amp;AJ392&amp;",0,D,D)")</f>
        <v>5475.09</v>
      </c>
      <c r="AF392" s="9" cm="1">
        <f t="array" aca="1" ref="AF392" ca="1">_xll.FDS($E$9,"P_PRICE("&amp;AK392&amp;",0,D,D)")</f>
        <v>5064.2</v>
      </c>
      <c r="AG392" s="20">
        <f t="shared" ca="1" si="101"/>
        <v>45503</v>
      </c>
      <c r="AH392" s="22">
        <f t="shared" ca="1" si="96"/>
        <v>45496</v>
      </c>
      <c r="AI392" s="22">
        <f t="shared" ca="1" si="97"/>
        <v>45489</v>
      </c>
      <c r="AJ392" s="22">
        <f t="shared" ca="1" si="98"/>
        <v>45474</v>
      </c>
      <c r="AK392" s="22">
        <f t="shared" ca="1" si="99"/>
        <v>45414</v>
      </c>
      <c r="AL392" s="22">
        <f t="shared" ca="1" si="100"/>
        <v>45328</v>
      </c>
    </row>
    <row r="393" spans="4:38" x14ac:dyDescent="0.25">
      <c r="D393" s="6">
        <f ca="1"/>
        <v>45502</v>
      </c>
      <c r="E393" s="28" cm="1">
        <f t="array" aca="1" ref="E393" ca="1">_xll.FDS($E$7,"P_PRICE("&amp;D393&amp;",0,D,D)")</f>
        <v>82.6</v>
      </c>
      <c r="F393" s="29" cm="1">
        <f t="array" aca="1" ref="F393" ca="1">_xll.FDS($E$7,"P_BETA_LOCIDX("&amp;$AG393&amp;","&amp;$AL393&amp;",,"""&amp;$E$9&amp;""")")</f>
        <v>1.2667124999999999</v>
      </c>
      <c r="G393" s="30">
        <f t="shared" ca="1" si="86"/>
        <v>3.0894260044340285E-2</v>
      </c>
      <c r="H393" s="30">
        <f t="shared" ca="1" si="86"/>
        <v>7.5667943098174165E-2</v>
      </c>
      <c r="I393" s="30">
        <f t="shared" ca="1" si="86"/>
        <v>0.10091724716813953</v>
      </c>
      <c r="J393" s="30">
        <f t="shared" ca="1" si="86"/>
        <v>-4.1720538643784083E-2</v>
      </c>
      <c r="K393" s="30">
        <f t="shared" ca="1" si="87"/>
        <v>-2.2962594394553972E-2</v>
      </c>
      <c r="L393" s="30">
        <f t="shared" ca="1" si="87"/>
        <v>-3.771870962242653E-2</v>
      </c>
      <c r="M393" s="30">
        <f t="shared" ca="1" si="87"/>
        <v>7.0985339200970246E-4</v>
      </c>
      <c r="N393" s="30">
        <f t="shared" ca="1" si="87"/>
        <v>0.11236214590237101</v>
      </c>
      <c r="O393" s="30">
        <f t="shared" ca="1" si="88"/>
        <v>7.9316656497863125E-3</v>
      </c>
      <c r="P393" s="30">
        <f t="shared" ca="1" si="89"/>
        <v>3.7949233475747635E-2</v>
      </c>
      <c r="Q393" s="30">
        <f t="shared" ca="1" si="90"/>
        <v>0.10162710056014923</v>
      </c>
      <c r="R393" s="30">
        <f t="shared" ca="1" si="91"/>
        <v>7.0641607258586925E-2</v>
      </c>
      <c r="S393" s="9" cm="1">
        <f t="array" aca="1" ref="S393" ca="1">_xll.FDS($E$7,"P_PRICE("&amp;AG393&amp;",0,D,D)")</f>
        <v>82.6</v>
      </c>
      <c r="T393" s="9" cm="1">
        <f t="array" aca="1" ref="T393" ca="1">_xll.FDS($E$7,"P_PRICE("&amp;AH393&amp;",0,D,D)")</f>
        <v>81.95</v>
      </c>
      <c r="U393" s="9" cm="1">
        <f t="array" aca="1" ref="U393" ca="1">_xll.FDS($E$7,"P_PRICE("&amp;AI393&amp;",0,D,D)")</f>
        <v>79.58</v>
      </c>
      <c r="V393" s="9" cm="1">
        <f t="array" aca="1" ref="V393" ca="1">_xll.FDS($E$7,"P_PRICE("&amp;AJ393&amp;",0,D,D)")</f>
        <v>74.98</v>
      </c>
      <c r="W393" s="9" cm="1">
        <f t="array" aca="1" ref="W393" ca="1">_xll.FDS($E$7,"P_PRICE("&amp;AK393&amp;",0,D,D)")</f>
        <v>77.150000000000006</v>
      </c>
      <c r="X393" s="24">
        <f t="shared" ca="1" si="92"/>
        <v>-1.8127708058895742E-2</v>
      </c>
      <c r="Y393" s="24">
        <f t="shared" ca="1" si="93"/>
        <v>-2.9776851197431564E-2</v>
      </c>
      <c r="Z393" s="24">
        <f t="shared" ca="1" si="94"/>
        <v>5.6039029535881468E-4</v>
      </c>
      <c r="AA393" s="24">
        <f t="shared" ca="1" si="95"/>
        <v>8.8703747616267314E-2</v>
      </c>
      <c r="AB393" s="9" cm="1">
        <f t="array" aca="1" ref="AB393" ca="1">_xll.FDS($E$9,"P_PRICE("&amp;AG393&amp;",0,D,D)")</f>
        <v>5463.54</v>
      </c>
      <c r="AC393" s="9" cm="1">
        <f t="array" aca="1" ref="AC393" ca="1">_xll.FDS($E$9,"P_PRICE("&amp;AH393&amp;",0,D,D)")</f>
        <v>5564.41</v>
      </c>
      <c r="AD393" s="9" cm="1">
        <f t="array" aca="1" ref="AD393" ca="1">_xll.FDS($E$9,"P_PRICE("&amp;AI393&amp;",0,D,D)")</f>
        <v>5631.22</v>
      </c>
      <c r="AE393" s="9" cm="1">
        <f t="array" aca="1" ref="AE393" ca="1">_xll.FDS($E$9,"P_PRICE("&amp;AJ393&amp;",0,D,D)")</f>
        <v>5460.48</v>
      </c>
      <c r="AF393" s="9" cm="1">
        <f t="array" aca="1" ref="AF393" ca="1">_xll.FDS($E$9,"P_PRICE("&amp;AK393&amp;",0,D,D)")</f>
        <v>5018.3900000000003</v>
      </c>
      <c r="AG393" s="20">
        <f t="shared" ca="1" si="101"/>
        <v>45502</v>
      </c>
      <c r="AH393" s="22">
        <f t="shared" ca="1" si="96"/>
        <v>45495</v>
      </c>
      <c r="AI393" s="22">
        <f t="shared" ca="1" si="97"/>
        <v>45488</v>
      </c>
      <c r="AJ393" s="22">
        <f t="shared" ca="1" si="98"/>
        <v>45471</v>
      </c>
      <c r="AK393" s="22">
        <f t="shared" ca="1" si="99"/>
        <v>45413</v>
      </c>
      <c r="AL393" s="22">
        <f t="shared" ca="1" si="100"/>
        <v>45327</v>
      </c>
    </row>
    <row r="394" spans="4:38" x14ac:dyDescent="0.25">
      <c r="D394" s="6">
        <f ca="1"/>
        <v>45499</v>
      </c>
      <c r="E394" s="28" cm="1">
        <f t="array" aca="1" ref="E394" ca="1">_xll.FDS($E$7,"P_PRICE("&amp;D394&amp;",0,D,D)")</f>
        <v>81.55</v>
      </c>
      <c r="F394" s="29" cm="1">
        <f t="array" aca="1" ref="F394" ca="1">_xll.FDS($E$7,"P_BETA_LOCIDX("&amp;$AG394&amp;","&amp;$AL394&amp;",,"""&amp;$E$9&amp;""")")</f>
        <v>1.245322</v>
      </c>
      <c r="G394" s="30">
        <f t="shared" ca="1" si="86"/>
        <v>3.141751928997686E-2</v>
      </c>
      <c r="H394" s="30">
        <f t="shared" ca="1" si="86"/>
        <v>6.1471165683524037E-2</v>
      </c>
      <c r="I394" s="30">
        <f t="shared" ca="1" si="86"/>
        <v>0.10002974277195703</v>
      </c>
      <c r="J394" s="30">
        <f t="shared" ca="1" si="86"/>
        <v>-5.1363556365067703E-2</v>
      </c>
      <c r="K394" s="30">
        <f t="shared" ca="1" si="87"/>
        <v>-1.0383338746593952E-2</v>
      </c>
      <c r="L394" s="30">
        <f t="shared" ca="1" si="87"/>
        <v>-3.4651724736659312E-2</v>
      </c>
      <c r="M394" s="30">
        <f t="shared" ca="1" si="87"/>
        <v>-5.3988702887355902E-3</v>
      </c>
      <c r="N394" s="30">
        <f t="shared" ca="1" si="87"/>
        <v>0.10470894515349446</v>
      </c>
      <c r="O394" s="30">
        <f t="shared" ca="1" si="88"/>
        <v>2.1034180543382908E-2</v>
      </c>
      <c r="P394" s="30">
        <f t="shared" ca="1" si="89"/>
        <v>2.6819440946864725E-2</v>
      </c>
      <c r="Q394" s="30">
        <f t="shared" ca="1" si="90"/>
        <v>9.463087248322144E-2</v>
      </c>
      <c r="R394" s="30">
        <f t="shared" ca="1" si="91"/>
        <v>5.3345388788426762E-2</v>
      </c>
      <c r="S394" s="9" cm="1">
        <f t="array" aca="1" ref="S394" ca="1">_xll.FDS($E$7,"P_PRICE("&amp;AG394&amp;",0,D,D)")</f>
        <v>81.55</v>
      </c>
      <c r="T394" s="9" cm="1">
        <f t="array" aca="1" ref="T394" ca="1">_xll.FDS($E$7,"P_PRICE("&amp;AH394&amp;",0,D,D)")</f>
        <v>79.87</v>
      </c>
      <c r="U394" s="9" cm="1">
        <f t="array" aca="1" ref="U394" ca="1">_xll.FDS($E$7,"P_PRICE("&amp;AI394&amp;",0,D,D)")</f>
        <v>79.42</v>
      </c>
      <c r="V394" s="9" cm="1">
        <f t="array" aca="1" ref="V394" ca="1">_xll.FDS($E$7,"P_PRICE("&amp;AJ394&amp;",0,D,D)")</f>
        <v>74.5</v>
      </c>
      <c r="W394" s="9" cm="1">
        <f t="array" aca="1" ref="W394" ca="1">_xll.FDS($E$7,"P_PRICE("&amp;AK394&amp;",0,D,D)")</f>
        <v>77.42</v>
      </c>
      <c r="X394" s="24">
        <f t="shared" ca="1" si="92"/>
        <v>-8.3378746594005015E-3</v>
      </c>
      <c r="Y394" s="24">
        <f t="shared" ca="1" si="93"/>
        <v>-2.7825513992894457E-2</v>
      </c>
      <c r="Z394" s="24">
        <f t="shared" ca="1" si="94"/>
        <v>-4.3353207353082901E-3</v>
      </c>
      <c r="AA394" s="24">
        <f t="shared" ca="1" si="95"/>
        <v>8.4081823940711287E-2</v>
      </c>
      <c r="AB394" s="9" cm="1">
        <f t="array" aca="1" ref="AB394" ca="1">_xll.FDS($E$9,"P_PRICE("&amp;AG394&amp;",0,D,D)")</f>
        <v>5459.1</v>
      </c>
      <c r="AC394" s="9" cm="1">
        <f t="array" aca="1" ref="AC394" ca="1">_xll.FDS($E$9,"P_PRICE("&amp;AH394&amp;",0,D,D)")</f>
        <v>5505</v>
      </c>
      <c r="AD394" s="9" cm="1">
        <f t="array" aca="1" ref="AD394" ca="1">_xll.FDS($E$9,"P_PRICE("&amp;AI394&amp;",0,D,D)")</f>
        <v>5615.35</v>
      </c>
      <c r="AE394" s="9" cm="1">
        <f t="array" aca="1" ref="AE394" ca="1">_xll.FDS($E$9,"P_PRICE("&amp;AJ394&amp;",0,D,D)")</f>
        <v>5482.87</v>
      </c>
      <c r="AF394" s="9" cm="1">
        <f t="array" aca="1" ref="AF394" ca="1">_xll.FDS($E$9,"P_PRICE("&amp;AK394&amp;",0,D,D)")</f>
        <v>5035.6899999999996</v>
      </c>
      <c r="AG394" s="20">
        <f t="shared" ca="1" si="101"/>
        <v>45499</v>
      </c>
      <c r="AH394" s="22">
        <f t="shared" ca="1" si="96"/>
        <v>45492</v>
      </c>
      <c r="AI394" s="22">
        <f t="shared" ca="1" si="97"/>
        <v>45485</v>
      </c>
      <c r="AJ394" s="22">
        <f t="shared" ca="1" si="98"/>
        <v>45470</v>
      </c>
      <c r="AK394" s="22">
        <f t="shared" ca="1" si="99"/>
        <v>45412</v>
      </c>
      <c r="AL394" s="22">
        <f t="shared" ca="1" si="100"/>
        <v>45324</v>
      </c>
    </row>
    <row r="395" spans="4:38" x14ac:dyDescent="0.25">
      <c r="D395" s="6">
        <f ca="1"/>
        <v>45498</v>
      </c>
      <c r="E395" s="28" cm="1">
        <f t="array" aca="1" ref="E395" ca="1">_xll.FDS($E$7,"P_PRICE("&amp;D395&amp;",0,D,D)")</f>
        <v>79.56</v>
      </c>
      <c r="F395" s="29" cm="1">
        <f t="array" aca="1" ref="F395" ca="1">_xll.FDS($E$7,"P_BETA_LOCIDX("&amp;$AG395&amp;","&amp;$AL395&amp;",,"""&amp;$E$9&amp;""")")</f>
        <v>1.2350942</v>
      </c>
      <c r="G395" s="30">
        <f t="shared" ca="1" si="86"/>
        <v>3.1503066066594768E-2</v>
      </c>
      <c r="H395" s="30">
        <f t="shared" ca="1" si="86"/>
        <v>4.0357884605047661E-2</v>
      </c>
      <c r="I395" s="30">
        <f t="shared" ca="1" si="86"/>
        <v>0.11179927188484276</v>
      </c>
      <c r="J395" s="30">
        <f t="shared" ca="1" si="86"/>
        <v>-5.945458840451491E-2</v>
      </c>
      <c r="K395" s="30">
        <f t="shared" ca="1" si="87"/>
        <v>-3.2382131745358936E-2</v>
      </c>
      <c r="L395" s="30">
        <f t="shared" ca="1" si="87"/>
        <v>-4.0985946406328827E-2</v>
      </c>
      <c r="M395" s="30">
        <f t="shared" ca="1" si="87"/>
        <v>-1.7739865944248617E-2</v>
      </c>
      <c r="N395" s="30">
        <f t="shared" ca="1" si="87"/>
        <v>6.8331078386762015E-2</v>
      </c>
      <c r="O395" s="30">
        <f t="shared" ca="1" si="88"/>
        <v>-8.7906567876416819E-4</v>
      </c>
      <c r="P395" s="30">
        <f t="shared" ca="1" si="89"/>
        <v>-6.2806180128116562E-4</v>
      </c>
      <c r="Q395" s="30">
        <f t="shared" ca="1" si="90"/>
        <v>9.4059405940594143E-2</v>
      </c>
      <c r="R395" s="30">
        <f t="shared" ca="1" si="91"/>
        <v>8.8764899822471044E-3</v>
      </c>
      <c r="S395" s="9" cm="1">
        <f t="array" aca="1" ref="S395" ca="1">_xll.FDS($E$7,"P_PRICE("&amp;AG395&amp;",0,D,D)")</f>
        <v>79.56</v>
      </c>
      <c r="T395" s="9" cm="1">
        <f t="array" aca="1" ref="T395" ca="1">_xll.FDS($E$7,"P_PRICE("&amp;AH395&amp;",0,D,D)")</f>
        <v>79.63</v>
      </c>
      <c r="U395" s="9" cm="1">
        <f t="array" aca="1" ref="U395" ca="1">_xll.FDS($E$7,"P_PRICE("&amp;AI395&amp;",0,D,D)")</f>
        <v>79.61</v>
      </c>
      <c r="V395" s="9" cm="1">
        <f t="array" aca="1" ref="V395" ca="1">_xll.FDS($E$7,"P_PRICE("&amp;AJ395&amp;",0,D,D)")</f>
        <v>72.72</v>
      </c>
      <c r="W395" s="9" cm="1">
        <f t="array" aca="1" ref="W395" ca="1">_xll.FDS($E$7,"P_PRICE("&amp;AK395&amp;",0,D,D)")</f>
        <v>78.86</v>
      </c>
      <c r="X395" s="24">
        <f t="shared" ca="1" si="92"/>
        <v>-2.6218349778793337E-2</v>
      </c>
      <c r="Y395" s="24">
        <f t="shared" ca="1" si="93"/>
        <v>-3.3184469983203568E-2</v>
      </c>
      <c r="Z395" s="24">
        <f t="shared" ca="1" si="94"/>
        <v>-1.4363168367440005E-2</v>
      </c>
      <c r="AA395" s="24">
        <f t="shared" ca="1" si="95"/>
        <v>5.5324588510546002E-2</v>
      </c>
      <c r="AB395" s="9" cm="1">
        <f t="array" aca="1" ref="AB395" ca="1">_xll.FDS($E$9,"P_PRICE("&amp;AG395&amp;",0,D,D)")</f>
        <v>5399.22</v>
      </c>
      <c r="AC395" s="9" cm="1">
        <f t="array" aca="1" ref="AC395" ca="1">_xll.FDS($E$9,"P_PRICE("&amp;AH395&amp;",0,D,D)")</f>
        <v>5544.59</v>
      </c>
      <c r="AD395" s="9" cm="1">
        <f t="array" aca="1" ref="AD395" ca="1">_xll.FDS($E$9,"P_PRICE("&amp;AI395&amp;",0,D,D)")</f>
        <v>5584.54</v>
      </c>
      <c r="AE395" s="9" cm="1">
        <f t="array" aca="1" ref="AE395" ca="1">_xll.FDS($E$9,"P_PRICE("&amp;AJ395&amp;",0,D,D)")</f>
        <v>5477.9</v>
      </c>
      <c r="AF395" s="9" cm="1">
        <f t="array" aca="1" ref="AF395" ca="1">_xll.FDS($E$9,"P_PRICE("&amp;AK395&amp;",0,D,D)")</f>
        <v>5116.17</v>
      </c>
      <c r="AG395" s="20">
        <f t="shared" ca="1" si="101"/>
        <v>45498</v>
      </c>
      <c r="AH395" s="22">
        <f t="shared" ca="1" si="96"/>
        <v>45491</v>
      </c>
      <c r="AI395" s="22">
        <f t="shared" ca="1" si="97"/>
        <v>45484</v>
      </c>
      <c r="AJ395" s="22">
        <f t="shared" ca="1" si="98"/>
        <v>45469</v>
      </c>
      <c r="AK395" s="22">
        <f t="shared" ca="1" si="99"/>
        <v>45411</v>
      </c>
      <c r="AL395" s="22">
        <f t="shared" ca="1" si="100"/>
        <v>45323</v>
      </c>
    </row>
    <row r="396" spans="4:38" x14ac:dyDescent="0.25">
      <c r="D396" s="6">
        <f ca="1"/>
        <v>45497</v>
      </c>
      <c r="E396" s="28" cm="1">
        <f t="array" aca="1" ref="E396" ca="1">_xll.FDS($E$7,"P_PRICE("&amp;D396&amp;",0,D,D)")</f>
        <v>79.67</v>
      </c>
      <c r="F396" s="29" cm="1">
        <f t="array" aca="1" ref="F396" ca="1">_xll.FDS($E$7,"P_BETA_LOCIDX("&amp;$AG396&amp;","&amp;$AL396&amp;",,"""&amp;$E$9&amp;""")")</f>
        <v>1.2001628</v>
      </c>
      <c r="G396" s="30">
        <f t="shared" ca="1" si="86"/>
        <v>2.0744072371285192E-2</v>
      </c>
      <c r="H396" s="30">
        <f t="shared" ca="1" si="86"/>
        <v>7.7784842354874525E-2</v>
      </c>
      <c r="I396" s="30">
        <f t="shared" ca="1" si="86"/>
        <v>9.9428778091330924E-2</v>
      </c>
      <c r="J396" s="30">
        <f t="shared" ca="1" si="86"/>
        <v>-6.2733789992381467E-2</v>
      </c>
      <c r="K396" s="30">
        <f t="shared" ca="1" si="87"/>
        <v>-3.4607174240328463E-2</v>
      </c>
      <c r="L396" s="30">
        <f t="shared" ca="1" si="87"/>
        <v>-4.4049277284159569E-2</v>
      </c>
      <c r="M396" s="30">
        <f t="shared" ca="1" si="87"/>
        <v>-9.2536275713527745E-3</v>
      </c>
      <c r="N396" s="30">
        <f t="shared" ca="1" si="87"/>
        <v>7.6992224110777469E-2</v>
      </c>
      <c r="O396" s="30">
        <f t="shared" ca="1" si="88"/>
        <v>-1.3863101869043271E-2</v>
      </c>
      <c r="P396" s="30">
        <f t="shared" ca="1" si="89"/>
        <v>3.3735565070714957E-2</v>
      </c>
      <c r="Q396" s="30">
        <f t="shared" ca="1" si="90"/>
        <v>9.0175150519978153E-2</v>
      </c>
      <c r="R396" s="30">
        <f t="shared" ca="1" si="91"/>
        <v>1.4258434118396002E-2</v>
      </c>
      <c r="S396" s="9" cm="1">
        <f t="array" aca="1" ref="S396" ca="1">_xll.FDS($E$7,"P_PRICE("&amp;AG396&amp;",0,D,D)")</f>
        <v>79.67</v>
      </c>
      <c r="T396" s="9" cm="1">
        <f t="array" aca="1" ref="T396" ca="1">_xll.FDS($E$7,"P_PRICE("&amp;AH396&amp;",0,D,D)")</f>
        <v>80.790000000000006</v>
      </c>
      <c r="U396" s="9" cm="1">
        <f t="array" aca="1" ref="U396" ca="1">_xll.FDS($E$7,"P_PRICE("&amp;AI396&amp;",0,D,D)")</f>
        <v>77.069999999999993</v>
      </c>
      <c r="V396" s="9" cm="1">
        <f t="array" aca="1" ref="V396" ca="1">_xll.FDS($E$7,"P_PRICE("&amp;AJ396&amp;",0,D,D)")</f>
        <v>73.08</v>
      </c>
      <c r="W396" s="9" cm="1">
        <f t="array" aca="1" ref="W396" ca="1">_xll.FDS($E$7,"P_PRICE("&amp;AK396&amp;",0,D,D)")</f>
        <v>78.55</v>
      </c>
      <c r="X396" s="24">
        <f t="shared" ca="1" si="92"/>
        <v>-2.8835399864358791E-2</v>
      </c>
      <c r="Y396" s="24">
        <f t="shared" ca="1" si="93"/>
        <v>-3.6702751730148253E-2</v>
      </c>
      <c r="Z396" s="24">
        <f t="shared" ca="1" si="94"/>
        <v>-7.7103102773663501E-3</v>
      </c>
      <c r="AA396" s="24">
        <f t="shared" ca="1" si="95"/>
        <v>6.4151483541047494E-2</v>
      </c>
      <c r="AB396" s="9" cm="1">
        <f t="array" aca="1" ref="AB396" ca="1">_xll.FDS($E$9,"P_PRICE("&amp;AG396&amp;",0,D,D)")</f>
        <v>5427.13</v>
      </c>
      <c r="AC396" s="9" cm="1">
        <f t="array" aca="1" ref="AC396" ca="1">_xll.FDS($E$9,"P_PRICE("&amp;AH396&amp;",0,D,D)")</f>
        <v>5588.27</v>
      </c>
      <c r="AD396" s="9" cm="1">
        <f t="array" aca="1" ref="AD396" ca="1">_xll.FDS($E$9,"P_PRICE("&amp;AI396&amp;",0,D,D)")</f>
        <v>5633.91</v>
      </c>
      <c r="AE396" s="9" cm="1">
        <f t="array" aca="1" ref="AE396" ca="1">_xll.FDS($E$9,"P_PRICE("&amp;AJ396&amp;",0,D,D)")</f>
        <v>5469.3</v>
      </c>
      <c r="AF396" s="9" cm="1">
        <f t="array" aca="1" ref="AF396" ca="1">_xll.FDS($E$9,"P_PRICE("&amp;AK396&amp;",0,D,D)")</f>
        <v>5099.96</v>
      </c>
      <c r="AG396" s="20">
        <f t="shared" ca="1" si="101"/>
        <v>45497</v>
      </c>
      <c r="AH396" s="22">
        <f t="shared" ca="1" si="96"/>
        <v>45490</v>
      </c>
      <c r="AI396" s="22">
        <f t="shared" ca="1" si="97"/>
        <v>45483</v>
      </c>
      <c r="AJ396" s="22">
        <f t="shared" ca="1" si="98"/>
        <v>45468</v>
      </c>
      <c r="AK396" s="22">
        <f t="shared" ca="1" si="99"/>
        <v>45408</v>
      </c>
      <c r="AL396" s="22">
        <f t="shared" ca="1" si="100"/>
        <v>45322</v>
      </c>
    </row>
    <row r="397" spans="4:38" x14ac:dyDescent="0.25">
      <c r="D397" s="6">
        <f ca="1"/>
        <v>45496</v>
      </c>
      <c r="E397" s="28" cm="1">
        <f t="array" aca="1" ref="E397" ca="1">_xll.FDS($E$7,"P_PRICE("&amp;D397&amp;",0,D,D)")</f>
        <v>82.26</v>
      </c>
      <c r="F397" s="29" cm="1">
        <f t="array" aca="1" ref="F397" ca="1">_xll.FDS($E$7,"P_BETA_LOCIDX("&amp;$AG397&amp;","&amp;$AL397&amp;",,"""&amp;$E$9&amp;""")")</f>
        <v>1.1786373999999999</v>
      </c>
      <c r="G397" s="30">
        <f t="shared" ca="1" si="86"/>
        <v>1.8944147399177453E-2</v>
      </c>
      <c r="H397" s="30">
        <f t="shared" ca="1" si="86"/>
        <v>8.8426133323305345E-2</v>
      </c>
      <c r="I397" s="30">
        <f t="shared" ca="1" si="86"/>
        <v>8.6783966628679862E-2</v>
      </c>
      <c r="J397" s="30">
        <f t="shared" ca="1" si="86"/>
        <v>-5.2898228758119559E-2</v>
      </c>
      <c r="K397" s="30">
        <f t="shared" ca="1" si="87"/>
        <v>-2.3180922607989835E-2</v>
      </c>
      <c r="L397" s="30">
        <f t="shared" ca="1" si="87"/>
        <v>-4.4888556846178146E-3</v>
      </c>
      <c r="M397" s="30">
        <f t="shared" ca="1" si="87"/>
        <v>2.333749086119892E-2</v>
      </c>
      <c r="N397" s="30">
        <f t="shared" ca="1" si="87"/>
        <v>0.11844227020889686</v>
      </c>
      <c r="O397" s="30">
        <f t="shared" ca="1" si="88"/>
        <v>-4.2367752088123822E-3</v>
      </c>
      <c r="P397" s="30">
        <f t="shared" ca="1" si="89"/>
        <v>8.3937277638687524E-2</v>
      </c>
      <c r="Q397" s="30">
        <f t="shared" ca="1" si="90"/>
        <v>0.11012145748987878</v>
      </c>
      <c r="R397" s="30">
        <f t="shared" ca="1" si="91"/>
        <v>6.5544041450777302E-2</v>
      </c>
      <c r="S397" s="9" cm="1">
        <f t="array" aca="1" ref="S397" ca="1">_xll.FDS($E$7,"P_PRICE("&amp;AG397&amp;",0,D,D)")</f>
        <v>82.26</v>
      </c>
      <c r="T397" s="9" cm="1">
        <f t="array" aca="1" ref="T397" ca="1">_xll.FDS($E$7,"P_PRICE("&amp;AH397&amp;",0,D,D)")</f>
        <v>82.61</v>
      </c>
      <c r="U397" s="9" cm="1">
        <f t="array" aca="1" ref="U397" ca="1">_xll.FDS($E$7,"P_PRICE("&amp;AI397&amp;",0,D,D)")</f>
        <v>75.89</v>
      </c>
      <c r="V397" s="9" cm="1">
        <f t="array" aca="1" ref="V397" ca="1">_xll.FDS($E$7,"P_PRICE("&amp;AJ397&amp;",0,D,D)")</f>
        <v>74.099999999999994</v>
      </c>
      <c r="W397" s="9" cm="1">
        <f t="array" aca="1" ref="W397" ca="1">_xll.FDS($E$7,"P_PRICE("&amp;AK397&amp;",0,D,D)")</f>
        <v>77.2</v>
      </c>
      <c r="X397" s="24">
        <f t="shared" ca="1" si="92"/>
        <v>-1.9667560700169395E-2</v>
      </c>
      <c r="Y397" s="24">
        <f t="shared" ca="1" si="93"/>
        <v>-3.8085128510412236E-3</v>
      </c>
      <c r="Z397" s="24">
        <f t="shared" ca="1" si="94"/>
        <v>1.9800399055043494E-2</v>
      </c>
      <c r="AA397" s="24">
        <f t="shared" ca="1" si="95"/>
        <v>0.10049084664112717</v>
      </c>
      <c r="AB397" s="9" cm="1">
        <f t="array" aca="1" ref="AB397" ca="1">_xll.FDS($E$9,"P_PRICE("&amp;AG397&amp;",0,D,D)")</f>
        <v>5555.74</v>
      </c>
      <c r="AC397" s="9" cm="1">
        <f t="array" aca="1" ref="AC397" ca="1">_xll.FDS($E$9,"P_PRICE("&amp;AH397&amp;",0,D,D)")</f>
        <v>5667.2</v>
      </c>
      <c r="AD397" s="9" cm="1">
        <f t="array" aca="1" ref="AD397" ca="1">_xll.FDS($E$9,"P_PRICE("&amp;AI397&amp;",0,D,D)")</f>
        <v>5576.98</v>
      </c>
      <c r="AE397" s="9" cm="1">
        <f t="array" aca="1" ref="AE397" ca="1">_xll.FDS($E$9,"P_PRICE("&amp;AJ397&amp;",0,D,D)")</f>
        <v>5447.87</v>
      </c>
      <c r="AF397" s="9" cm="1">
        <f t="array" aca="1" ref="AF397" ca="1">_xll.FDS($E$9,"P_PRICE("&amp;AK397&amp;",0,D,D)")</f>
        <v>5048.42</v>
      </c>
      <c r="AG397" s="20">
        <f t="shared" ca="1" si="101"/>
        <v>45496</v>
      </c>
      <c r="AH397" s="22">
        <f t="shared" ca="1" si="96"/>
        <v>45489</v>
      </c>
      <c r="AI397" s="22">
        <f t="shared" ca="1" si="97"/>
        <v>45482</v>
      </c>
      <c r="AJ397" s="22">
        <f t="shared" ca="1" si="98"/>
        <v>45467</v>
      </c>
      <c r="AK397" s="22">
        <f t="shared" ca="1" si="99"/>
        <v>45407</v>
      </c>
      <c r="AL397" s="22">
        <f t="shared" ca="1" si="100"/>
        <v>45321</v>
      </c>
    </row>
    <row r="398" spans="4:38" x14ac:dyDescent="0.25">
      <c r="D398" s="6">
        <f ca="1"/>
        <v>45495</v>
      </c>
      <c r="E398" s="28" cm="1">
        <f t="array" aca="1" ref="E398" ca="1">_xll.FDS($E$7,"P_PRICE("&amp;D398&amp;",0,D,D)")</f>
        <v>81.95</v>
      </c>
      <c r="F398" s="29" cm="1">
        <f t="array" aca="1" ref="F398" ca="1">_xll.FDS($E$7,"P_BETA_LOCIDX("&amp;$AG398&amp;","&amp;$AL398&amp;",,"""&amp;$E$9&amp;""")")</f>
        <v>1.1832677</v>
      </c>
      <c r="G398" s="30">
        <f t="shared" ca="1" si="86"/>
        <v>4.3819893486884344E-2</v>
      </c>
      <c r="H398" s="30">
        <f t="shared" ca="1" si="86"/>
        <v>0.105793119395515</v>
      </c>
      <c r="I398" s="30">
        <f t="shared" ca="1" si="86"/>
        <v>5.9954847931391414E-2</v>
      </c>
      <c r="J398" s="30">
        <f t="shared" ca="1" si="86"/>
        <v>-5.932246662879459E-2</v>
      </c>
      <c r="K398" s="30">
        <f t="shared" ca="1" si="87"/>
        <v>-1.4038541388367057E-2</v>
      </c>
      <c r="L398" s="30">
        <f t="shared" ca="1" si="87"/>
        <v>-1.7920416641396542E-3</v>
      </c>
      <c r="M398" s="30">
        <f t="shared" ca="1" si="87"/>
        <v>2.1607775798317044E-2</v>
      </c>
      <c r="N398" s="30">
        <f t="shared" ca="1" si="87"/>
        <v>0.11497105609163127</v>
      </c>
      <c r="O398" s="30">
        <f t="shared" ca="1" si="88"/>
        <v>2.9781352098517289E-2</v>
      </c>
      <c r="P398" s="30">
        <f t="shared" ca="1" si="89"/>
        <v>0.10400107773137535</v>
      </c>
      <c r="Q398" s="30">
        <f t="shared" ca="1" si="90"/>
        <v>8.1562623729708461E-2</v>
      </c>
      <c r="R398" s="30">
        <f t="shared" ca="1" si="91"/>
        <v>5.5648589462836684E-2</v>
      </c>
      <c r="S398" s="9" cm="1">
        <f t="array" aca="1" ref="S398" ca="1">_xll.FDS($E$7,"P_PRICE("&amp;AG398&amp;",0,D,D)")</f>
        <v>81.95</v>
      </c>
      <c r="T398" s="9" cm="1">
        <f t="array" aca="1" ref="T398" ca="1">_xll.FDS($E$7,"P_PRICE("&amp;AH398&amp;",0,D,D)")</f>
        <v>79.58</v>
      </c>
      <c r="U398" s="9" cm="1">
        <f t="array" aca="1" ref="U398" ca="1">_xll.FDS($E$7,"P_PRICE("&amp;AI398&amp;",0,D,D)")</f>
        <v>74.23</v>
      </c>
      <c r="V398" s="9" cm="1">
        <f t="array" aca="1" ref="V398" ca="1">_xll.FDS($E$7,"P_PRICE("&amp;AJ398&amp;",0,D,D)")</f>
        <v>75.77</v>
      </c>
      <c r="W398" s="9" cm="1">
        <f t="array" aca="1" ref="W398" ca="1">_xll.FDS($E$7,"P_PRICE("&amp;AK398&amp;",0,D,D)")</f>
        <v>77.63</v>
      </c>
      <c r="X398" s="24">
        <f t="shared" ca="1" si="92"/>
        <v>-1.1864214148976648E-2</v>
      </c>
      <c r="Y398" s="24">
        <f t="shared" ca="1" si="93"/>
        <v>-1.5144854069283342E-3</v>
      </c>
      <c r="Z398" s="24">
        <f t="shared" ca="1" si="94"/>
        <v>1.8261105072264749E-2</v>
      </c>
      <c r="AA398" s="24">
        <f t="shared" ca="1" si="95"/>
        <v>9.7164028132967095E-2</v>
      </c>
      <c r="AB398" s="9" cm="1">
        <f t="array" aca="1" ref="AB398" ca="1">_xll.FDS($E$9,"P_PRICE("&amp;AG398&amp;",0,D,D)")</f>
        <v>5564.41</v>
      </c>
      <c r="AC398" s="9" cm="1">
        <f t="array" aca="1" ref="AC398" ca="1">_xll.FDS($E$9,"P_PRICE("&amp;AH398&amp;",0,D,D)")</f>
        <v>5631.22</v>
      </c>
      <c r="AD398" s="9" cm="1">
        <f t="array" aca="1" ref="AD398" ca="1">_xll.FDS($E$9,"P_PRICE("&amp;AI398&amp;",0,D,D)")</f>
        <v>5572.85</v>
      </c>
      <c r="AE398" s="9" cm="1">
        <f t="array" aca="1" ref="AE398" ca="1">_xll.FDS($E$9,"P_PRICE("&amp;AJ398&amp;",0,D,D)")</f>
        <v>5464.62</v>
      </c>
      <c r="AF398" s="9" cm="1">
        <f t="array" aca="1" ref="AF398" ca="1">_xll.FDS($E$9,"P_PRICE("&amp;AK398&amp;",0,D,D)")</f>
        <v>5071.63</v>
      </c>
      <c r="AG398" s="20">
        <f t="shared" ca="1" si="101"/>
        <v>45495</v>
      </c>
      <c r="AH398" s="22">
        <f t="shared" ca="1" si="96"/>
        <v>45488</v>
      </c>
      <c r="AI398" s="22">
        <f t="shared" ca="1" si="97"/>
        <v>45481</v>
      </c>
      <c r="AJ398" s="22">
        <f t="shared" ca="1" si="98"/>
        <v>45464</v>
      </c>
      <c r="AK398" s="22">
        <f t="shared" ca="1" si="99"/>
        <v>45406</v>
      </c>
      <c r="AL398" s="22">
        <f t="shared" ca="1" si="100"/>
        <v>45320</v>
      </c>
    </row>
    <row r="399" spans="4:38" x14ac:dyDescent="0.25">
      <c r="D399" s="6">
        <f ca="1"/>
        <v>45492</v>
      </c>
      <c r="E399" s="28" cm="1">
        <f t="array" aca="1" ref="E399" ca="1">_xll.FDS($E$7,"P_PRICE("&amp;D399&amp;",0,D,D)")</f>
        <v>79.87</v>
      </c>
      <c r="F399" s="29" cm="1">
        <f t="array" aca="1" ref="F399" ca="1">_xll.FDS($E$7,"P_BETA_LOCIDX("&amp;$AG399&amp;","&amp;$AL399&amp;",,"""&amp;$E$9&amp;""")")</f>
        <v>1.1643167000000001</v>
      </c>
      <c r="G399" s="30">
        <f t="shared" ca="1" si="86"/>
        <v>2.8546638227207807E-2</v>
      </c>
      <c r="H399" s="30">
        <f t="shared" ca="1" si="86"/>
        <v>9.7165443916291977E-2</v>
      </c>
      <c r="I399" s="30">
        <f t="shared" ca="1" si="86"/>
        <v>4.4564804034561173E-2</v>
      </c>
      <c r="J399" s="30">
        <f t="shared" ca="1" si="86"/>
        <v>-8.6052543084444405E-2</v>
      </c>
      <c r="K399" s="30">
        <f t="shared" ca="1" si="87"/>
        <v>-2.288055915392638E-2</v>
      </c>
      <c r="L399" s="30">
        <f t="shared" ca="1" si="87"/>
        <v>-1.3006356092211645E-2</v>
      </c>
      <c r="M399" s="30">
        <f t="shared" ca="1" si="87"/>
        <v>6.7712496708489944E-3</v>
      </c>
      <c r="N399" s="30">
        <f t="shared" ca="1" si="87"/>
        <v>9.9759866348818033E-2</v>
      </c>
      <c r="O399" s="30">
        <f t="shared" ca="1" si="88"/>
        <v>5.666079073281427E-3</v>
      </c>
      <c r="P399" s="30">
        <f t="shared" ca="1" si="89"/>
        <v>8.4159087824080325E-2</v>
      </c>
      <c r="Q399" s="30">
        <f t="shared" ca="1" si="90"/>
        <v>5.1336053705410167E-2</v>
      </c>
      <c r="R399" s="30">
        <f t="shared" ca="1" si="91"/>
        <v>1.3707323264373628E-2</v>
      </c>
      <c r="S399" s="9" cm="1">
        <f t="array" aca="1" ref="S399" ca="1">_xll.FDS($E$7,"P_PRICE("&amp;AG399&amp;",0,D,D)")</f>
        <v>79.87</v>
      </c>
      <c r="T399" s="9" cm="1">
        <f t="array" aca="1" ref="T399" ca="1">_xll.FDS($E$7,"P_PRICE("&amp;AH399&amp;",0,D,D)")</f>
        <v>79.42</v>
      </c>
      <c r="U399" s="9" cm="1">
        <f t="array" aca="1" ref="U399" ca="1">_xll.FDS($E$7,"P_PRICE("&amp;AI399&amp;",0,D,D)")</f>
        <v>73.67</v>
      </c>
      <c r="V399" s="9" cm="1">
        <f t="array" aca="1" ref="V399" ca="1">_xll.FDS($E$7,"P_PRICE("&amp;AJ399&amp;",0,D,D)")</f>
        <v>75.97</v>
      </c>
      <c r="W399" s="9" cm="1">
        <f t="array" aca="1" ref="W399" ca="1">_xll.FDS($E$7,"P_PRICE("&amp;AK399&amp;",0,D,D)")</f>
        <v>78.790000000000006</v>
      </c>
      <c r="X399" s="24">
        <f t="shared" ca="1" si="92"/>
        <v>-1.965149100234187E-2</v>
      </c>
      <c r="Y399" s="24">
        <f t="shared" ca="1" si="93"/>
        <v>-1.1170806097869801E-2</v>
      </c>
      <c r="Z399" s="24">
        <f t="shared" ca="1" si="94"/>
        <v>5.8156424887223501E-3</v>
      </c>
      <c r="AA399" s="24">
        <f t="shared" ca="1" si="95"/>
        <v>8.5681040518286844E-2</v>
      </c>
      <c r="AB399" s="9" cm="1">
        <f t="array" aca="1" ref="AB399" ca="1">_xll.FDS($E$9,"P_PRICE("&amp;AG399&amp;",0,D,D)")</f>
        <v>5505</v>
      </c>
      <c r="AC399" s="9" cm="1">
        <f t="array" aca="1" ref="AC399" ca="1">_xll.FDS($E$9,"P_PRICE("&amp;AH399&amp;",0,D,D)")</f>
        <v>5615.35</v>
      </c>
      <c r="AD399" s="9" cm="1">
        <f t="array" aca="1" ref="AD399" ca="1">_xll.FDS($E$9,"P_PRICE("&amp;AI399&amp;",0,D,D)")</f>
        <v>5567.19</v>
      </c>
      <c r="AE399" s="9" cm="1">
        <f t="array" aca="1" ref="AE399" ca="1">_xll.FDS($E$9,"P_PRICE("&amp;AJ399&amp;",0,D,D)")</f>
        <v>5473.17</v>
      </c>
      <c r="AF399" s="9" cm="1">
        <f t="array" aca="1" ref="AF399" ca="1">_xll.FDS($E$9,"P_PRICE("&amp;AK399&amp;",0,D,D)")</f>
        <v>5070.55</v>
      </c>
      <c r="AG399" s="20">
        <f t="shared" ca="1" si="101"/>
        <v>45492</v>
      </c>
      <c r="AH399" s="22">
        <f t="shared" ca="1" si="96"/>
        <v>45485</v>
      </c>
      <c r="AI399" s="22">
        <f t="shared" ca="1" si="97"/>
        <v>45478</v>
      </c>
      <c r="AJ399" s="22">
        <f t="shared" ca="1" si="98"/>
        <v>45463</v>
      </c>
      <c r="AK399" s="22">
        <f t="shared" ca="1" si="99"/>
        <v>45405</v>
      </c>
      <c r="AL399" s="22">
        <f t="shared" ca="1" si="100"/>
        <v>45317</v>
      </c>
    </row>
    <row r="400" spans="4:38" x14ac:dyDescent="0.25">
      <c r="D400" s="6">
        <f ca="1"/>
        <v>45491</v>
      </c>
      <c r="E400" s="28" cm="1">
        <f t="array" aca="1" ref="E400" ca="1">_xll.FDS($E$7,"P_PRICE("&amp;D400&amp;",0,D,D)")</f>
        <v>79.63</v>
      </c>
      <c r="F400" s="29" cm="1">
        <f t="array" aca="1" ref="F400" ca="1">_xll.FDS($E$7,"P_BETA_LOCIDX("&amp;$AG400&amp;","&amp;$AL400&amp;",,"""&amp;$E$9&amp;""")")</f>
        <v>1.1958572999999999</v>
      </c>
      <c r="G400" s="30">
        <f t="shared" ca="1" si="86"/>
        <v>8.8060025777755117E-3</v>
      </c>
      <c r="H400" s="30">
        <f t="shared" ca="1" si="86"/>
        <v>8.3981975311584647E-2</v>
      </c>
      <c r="I400" s="30">
        <f t="shared" ca="1" si="86"/>
        <v>9.9256943139504738E-3</v>
      </c>
      <c r="J400" s="30">
        <f t="shared" ca="1" si="86"/>
        <v>-0.10128519074370371</v>
      </c>
      <c r="K400" s="30">
        <f t="shared" ca="1" si="87"/>
        <v>-8.5547778572630899E-3</v>
      </c>
      <c r="L400" s="30">
        <f t="shared" ca="1" si="87"/>
        <v>1.6349299372225156E-3</v>
      </c>
      <c r="M400" s="30">
        <f t="shared" ca="1" si="87"/>
        <v>1.2544773071771197E-2</v>
      </c>
      <c r="N400" s="30">
        <f t="shared" ca="1" si="87"/>
        <v>0.1274449845581366</v>
      </c>
      <c r="O400" s="30">
        <f t="shared" ca="1" si="88"/>
        <v>2.5122472051242184E-4</v>
      </c>
      <c r="P400" s="30">
        <f t="shared" ca="1" si="89"/>
        <v>8.5616905248807162E-2</v>
      </c>
      <c r="Q400" s="30">
        <f t="shared" ca="1" si="90"/>
        <v>2.2470467385721671E-2</v>
      </c>
      <c r="R400" s="30">
        <f t="shared" ca="1" si="91"/>
        <v>2.6159793814432897E-2</v>
      </c>
      <c r="S400" s="9" cm="1">
        <f t="array" aca="1" ref="S400" ca="1">_xll.FDS($E$7,"P_PRICE("&amp;AG400&amp;",0,D,D)")</f>
        <v>79.63</v>
      </c>
      <c r="T400" s="9" cm="1">
        <f t="array" aca="1" ref="T400" ca="1">_xll.FDS($E$7,"P_PRICE("&amp;AH400&amp;",0,D,D)")</f>
        <v>79.61</v>
      </c>
      <c r="U400" s="9" cm="1">
        <f t="array" aca="1" ref="U400" ca="1">_xll.FDS($E$7,"P_PRICE("&amp;AI400&amp;",0,D,D)")</f>
        <v>73.349999999999994</v>
      </c>
      <c r="V400" s="9" cm="1">
        <f t="array" aca="1" ref="V400" ca="1">_xll.FDS($E$7,"P_PRICE("&amp;AJ400&amp;",0,D,D)")</f>
        <v>77.88</v>
      </c>
      <c r="W400" s="9" cm="1">
        <f t="array" aca="1" ref="W400" ca="1">_xll.FDS($E$7,"P_PRICE("&amp;AK400&amp;",0,D,D)")</f>
        <v>77.599999999999994</v>
      </c>
      <c r="X400" s="24">
        <f t="shared" ca="1" si="92"/>
        <v>-7.1536778320148153E-3</v>
      </c>
      <c r="Y400" s="24">
        <f t="shared" ca="1" si="93"/>
        <v>1.3671613972858765E-3</v>
      </c>
      <c r="Z400" s="24">
        <f t="shared" ca="1" si="94"/>
        <v>1.0490192326267689E-2</v>
      </c>
      <c r="AA400" s="24">
        <f t="shared" ca="1" si="95"/>
        <v>0.10657206721749879</v>
      </c>
      <c r="AB400" s="9" cm="1">
        <f t="array" aca="1" ref="AB400" ca="1">_xll.FDS($E$9,"P_PRICE("&amp;AG400&amp;",0,D,D)")</f>
        <v>5544.59</v>
      </c>
      <c r="AC400" s="9" cm="1">
        <f t="array" aca="1" ref="AC400" ca="1">_xll.FDS($E$9,"P_PRICE("&amp;AH400&amp;",0,D,D)")</f>
        <v>5584.54</v>
      </c>
      <c r="AD400" s="9" cm="1">
        <f t="array" aca="1" ref="AD400" ca="1">_xll.FDS($E$9,"P_PRICE("&amp;AI400&amp;",0,D,D)")</f>
        <v>5537.02</v>
      </c>
      <c r="AE400" s="9" cm="1">
        <f t="array" aca="1" ref="AE400" ca="1">_xll.FDS($E$9,"P_PRICE("&amp;AJ400&amp;",0,D,D)")</f>
        <v>5487.03</v>
      </c>
      <c r="AF400" s="9" cm="1">
        <f t="array" aca="1" ref="AF400" ca="1">_xll.FDS($E$9,"P_PRICE("&amp;AK400&amp;",0,D,D)")</f>
        <v>5010.6000000000004</v>
      </c>
      <c r="AG400" s="20">
        <f t="shared" ca="1" si="101"/>
        <v>45491</v>
      </c>
      <c r="AH400" s="22">
        <f t="shared" ca="1" si="96"/>
        <v>45484</v>
      </c>
      <c r="AI400" s="22">
        <f t="shared" ca="1" si="97"/>
        <v>45476</v>
      </c>
      <c r="AJ400" s="22">
        <f t="shared" ca="1" si="98"/>
        <v>45461</v>
      </c>
      <c r="AK400" s="22">
        <f t="shared" ca="1" si="99"/>
        <v>45404</v>
      </c>
      <c r="AL400" s="22">
        <f t="shared" ca="1" si="100"/>
        <v>45316</v>
      </c>
    </row>
    <row r="401" spans="4:38" x14ac:dyDescent="0.25">
      <c r="D401" s="6">
        <f ca="1"/>
        <v>45490</v>
      </c>
      <c r="E401" s="28" cm="1">
        <f t="array" aca="1" ref="E401" ca="1">_xll.FDS($E$7,"P_PRICE("&amp;D401&amp;",0,D,D)")</f>
        <v>80.790000000000006</v>
      </c>
      <c r="F401" s="29" cm="1">
        <f t="array" aca="1" ref="F401" ca="1">_xll.FDS($E$7,"P_BETA_LOCIDX("&amp;$AG401&amp;","&amp;$AL401&amp;",,"""&amp;$E$9&amp;""")")</f>
        <v>1.1879208000000001</v>
      </c>
      <c r="G401" s="30">
        <f t="shared" ca="1" si="86"/>
        <v>5.7891090595730055E-2</v>
      </c>
      <c r="H401" s="30">
        <f t="shared" ca="1" si="86"/>
        <v>0.10421362909189137</v>
      </c>
      <c r="I401" s="30">
        <f t="shared" ca="1" si="86"/>
        <v>1.327219725909233E-3</v>
      </c>
      <c r="J401" s="30">
        <f t="shared" ca="1" si="86"/>
        <v>-9.9982775250054667E-2</v>
      </c>
      <c r="K401" s="30">
        <f t="shared" ca="1" si="87"/>
        <v>-9.6232821099376843E-3</v>
      </c>
      <c r="L401" s="30">
        <f t="shared" ca="1" si="87"/>
        <v>1.7091020457033132E-2</v>
      </c>
      <c r="M401" s="30">
        <f t="shared" ca="1" si="87"/>
        <v>2.4968511981407905E-2</v>
      </c>
      <c r="N401" s="30">
        <f t="shared" ca="1" si="87"/>
        <v>0.14852268439995747</v>
      </c>
      <c r="O401" s="30">
        <f t="shared" ca="1" si="88"/>
        <v>4.8267808485792374E-2</v>
      </c>
      <c r="P401" s="30">
        <f t="shared" ca="1" si="89"/>
        <v>0.1213046495489245</v>
      </c>
      <c r="Q401" s="30">
        <f t="shared" ca="1" si="90"/>
        <v>2.6295731707317138E-2</v>
      </c>
      <c r="R401" s="30">
        <f t="shared" ca="1" si="91"/>
        <v>4.8539909149902805E-2</v>
      </c>
      <c r="S401" s="9" cm="1">
        <f t="array" aca="1" ref="S401" ca="1">_xll.FDS($E$7,"P_PRICE("&amp;AG401&amp;",0,D,D)")</f>
        <v>80.790000000000006</v>
      </c>
      <c r="T401" s="9" cm="1">
        <f t="array" aca="1" ref="T401" ca="1">_xll.FDS($E$7,"P_PRICE("&amp;AH401&amp;",0,D,D)")</f>
        <v>77.069999999999993</v>
      </c>
      <c r="U401" s="9" cm="1">
        <f t="array" aca="1" ref="U401" ca="1">_xll.FDS($E$7,"P_PRICE("&amp;AI401&amp;",0,D,D)")</f>
        <v>72.05</v>
      </c>
      <c r="V401" s="9" cm="1">
        <f t="array" aca="1" ref="V401" ca="1">_xll.FDS($E$7,"P_PRICE("&amp;AJ401&amp;",0,D,D)")</f>
        <v>78.72</v>
      </c>
      <c r="W401" s="9" cm="1">
        <f t="array" aca="1" ref="W401" ca="1">_xll.FDS($E$7,"P_PRICE("&amp;AK401&amp;",0,D,D)")</f>
        <v>77.05</v>
      </c>
      <c r="X401" s="24">
        <f t="shared" ca="1" si="92"/>
        <v>-8.1009458795044953E-3</v>
      </c>
      <c r="Y401" s="24">
        <f t="shared" ca="1" si="93"/>
        <v>1.43873400120893E-2</v>
      </c>
      <c r="Z401" s="24">
        <f t="shared" ca="1" si="94"/>
        <v>2.1018667222097553E-2</v>
      </c>
      <c r="AA401" s="24">
        <f t="shared" ca="1" si="95"/>
        <v>0.12502742977474379</v>
      </c>
      <c r="AB401" s="9" cm="1">
        <f t="array" aca="1" ref="AB401" ca="1">_xll.FDS($E$9,"P_PRICE("&amp;AG401&amp;",0,D,D)")</f>
        <v>5588.27</v>
      </c>
      <c r="AC401" s="9" cm="1">
        <f t="array" aca="1" ref="AC401" ca="1">_xll.FDS($E$9,"P_PRICE("&amp;AH401&amp;",0,D,D)")</f>
        <v>5633.91</v>
      </c>
      <c r="AD401" s="9" cm="1">
        <f t="array" aca="1" ref="AD401" ca="1">_xll.FDS($E$9,"P_PRICE("&amp;AI401&amp;",0,D,D)")</f>
        <v>5509.01</v>
      </c>
      <c r="AE401" s="9" cm="1">
        <f t="array" aca="1" ref="AE401" ca="1">_xll.FDS($E$9,"P_PRICE("&amp;AJ401&amp;",0,D,D)")</f>
        <v>5473.23</v>
      </c>
      <c r="AF401" s="9" cm="1">
        <f t="array" aca="1" ref="AF401" ca="1">_xll.FDS($E$9,"P_PRICE("&amp;AK401&amp;",0,D,D)")</f>
        <v>4967.2299999999996</v>
      </c>
      <c r="AG401" s="20">
        <f t="shared" ca="1" si="101"/>
        <v>45490</v>
      </c>
      <c r="AH401" s="22">
        <f t="shared" ca="1" si="96"/>
        <v>45483</v>
      </c>
      <c r="AI401" s="22">
        <f t="shared" ca="1" si="97"/>
        <v>45475</v>
      </c>
      <c r="AJ401" s="22">
        <f t="shared" ca="1" si="98"/>
        <v>45460</v>
      </c>
      <c r="AK401" s="22">
        <f t="shared" ca="1" si="99"/>
        <v>45401</v>
      </c>
      <c r="AL401" s="22">
        <f t="shared" ca="1" si="100"/>
        <v>45315</v>
      </c>
    </row>
    <row r="402" spans="4:38" x14ac:dyDescent="0.25">
      <c r="D402" s="6">
        <f ca="1"/>
        <v>45489</v>
      </c>
      <c r="E402" s="28" cm="1">
        <f t="array" aca="1" ref="E402" ca="1">_xll.FDS($E$7,"P_PRICE("&amp;D402&amp;",0,D,D)")</f>
        <v>82.61</v>
      </c>
      <c r="F402" s="29" cm="1">
        <f t="array" aca="1" ref="F402" ca="1">_xll.FDS($E$7,"P_BETA_LOCIDX("&amp;$AG402&amp;","&amp;$AL402&amp;",,"""&amp;$E$9&amp;""")")</f>
        <v>1.1668270999999999</v>
      </c>
      <c r="G402" s="30">
        <f t="shared" ca="1" si="86"/>
        <v>6.9673204049694779E-2</v>
      </c>
      <c r="H402" s="30">
        <f t="shared" ca="1" si="86"/>
        <v>9.1322616133260509E-2</v>
      </c>
      <c r="I402" s="30">
        <f t="shared" ca="1" si="86"/>
        <v>2.8551885195759734E-2</v>
      </c>
      <c r="J402" s="30">
        <f t="shared" ca="1" si="86"/>
        <v>-8.1856598059603658E-2</v>
      </c>
      <c r="K402" s="30">
        <f t="shared" ca="1" si="87"/>
        <v>1.8876011920788704E-2</v>
      </c>
      <c r="L402" s="30">
        <f t="shared" ca="1" si="87"/>
        <v>4.0941638252704381E-2</v>
      </c>
      <c r="M402" s="30">
        <f t="shared" ca="1" si="87"/>
        <v>5.0612059938139727E-2</v>
      </c>
      <c r="N402" s="30">
        <f t="shared" ca="1" si="87"/>
        <v>0.15276663176455563</v>
      </c>
      <c r="O402" s="30">
        <f t="shared" ca="1" si="88"/>
        <v>8.8549215970483486E-2</v>
      </c>
      <c r="P402" s="30">
        <f t="shared" ca="1" si="89"/>
        <v>0.1322642543859649</v>
      </c>
      <c r="Q402" s="30">
        <f t="shared" ca="1" si="90"/>
        <v>7.916394513389946E-2</v>
      </c>
      <c r="R402" s="30">
        <f t="shared" ca="1" si="91"/>
        <v>7.0910033704951969E-2</v>
      </c>
      <c r="S402" s="9" cm="1">
        <f t="array" aca="1" ref="S402" ca="1">_xll.FDS($E$7,"P_PRICE("&amp;AG402&amp;",0,D,D)")</f>
        <v>82.61</v>
      </c>
      <c r="T402" s="9" cm="1">
        <f t="array" aca="1" ref="T402" ca="1">_xll.FDS($E$7,"P_PRICE("&amp;AH402&amp;",0,D,D)")</f>
        <v>75.89</v>
      </c>
      <c r="U402" s="9" cm="1">
        <f t="array" aca="1" ref="U402" ca="1">_xll.FDS($E$7,"P_PRICE("&amp;AI402&amp;",0,D,D)")</f>
        <v>72.959999999999994</v>
      </c>
      <c r="V402" s="9" cm="1">
        <f t="array" aca="1" ref="V402" ca="1">_xll.FDS($E$7,"P_PRICE("&amp;AJ402&amp;",0,D,D)")</f>
        <v>76.55</v>
      </c>
      <c r="W402" s="9" cm="1">
        <f t="array" aca="1" ref="W402" ca="1">_xll.FDS($E$7,"P_PRICE("&amp;AK402&amp;",0,D,D)")</f>
        <v>77.14</v>
      </c>
      <c r="X402" s="24">
        <f t="shared" ca="1" si="92"/>
        <v>1.6177214191193112E-2</v>
      </c>
      <c r="Y402" s="24">
        <f t="shared" ca="1" si="93"/>
        <v>3.5088007685718292E-2</v>
      </c>
      <c r="Z402" s="24">
        <f t="shared" ca="1" si="94"/>
        <v>4.3375800868988845E-2</v>
      </c>
      <c r="AA402" s="24">
        <f t="shared" ca="1" si="95"/>
        <v>0.1309248231932183</v>
      </c>
      <c r="AB402" s="9" cm="1">
        <f t="array" aca="1" ref="AB402" ca="1">_xll.FDS($E$9,"P_PRICE("&amp;AG402&amp;",0,D,D)")</f>
        <v>5667.2</v>
      </c>
      <c r="AC402" s="9" cm="1">
        <f t="array" aca="1" ref="AC402" ca="1">_xll.FDS($E$9,"P_PRICE("&amp;AH402&amp;",0,D,D)")</f>
        <v>5576.98</v>
      </c>
      <c r="AD402" s="9" cm="1">
        <f t="array" aca="1" ref="AD402" ca="1">_xll.FDS($E$9,"P_PRICE("&amp;AI402&amp;",0,D,D)")</f>
        <v>5475.09</v>
      </c>
      <c r="AE402" s="9" cm="1">
        <f t="array" aca="1" ref="AE402" ca="1">_xll.FDS($E$9,"P_PRICE("&amp;AJ402&amp;",0,D,D)")</f>
        <v>5431.6</v>
      </c>
      <c r="AF402" s="9" cm="1">
        <f t="array" aca="1" ref="AF402" ca="1">_xll.FDS($E$9,"P_PRICE("&amp;AK402&amp;",0,D,D)")</f>
        <v>5011.12</v>
      </c>
      <c r="AG402" s="20">
        <f t="shared" ca="1" si="101"/>
        <v>45489</v>
      </c>
      <c r="AH402" s="22">
        <f t="shared" ca="1" si="96"/>
        <v>45482</v>
      </c>
      <c r="AI402" s="22">
        <f t="shared" ca="1" si="97"/>
        <v>45474</v>
      </c>
      <c r="AJ402" s="22">
        <f t="shared" ca="1" si="98"/>
        <v>45457</v>
      </c>
      <c r="AK402" s="22">
        <f t="shared" ca="1" si="99"/>
        <v>45400</v>
      </c>
      <c r="AL402" s="22">
        <f t="shared" ca="1" si="100"/>
        <v>45314</v>
      </c>
    </row>
    <row r="403" spans="4:38" x14ac:dyDescent="0.25">
      <c r="D403" s="6">
        <f ca="1"/>
        <v>45488</v>
      </c>
      <c r="E403" s="28" cm="1">
        <f t="array" aca="1" ref="E403" ca="1">_xll.FDS($E$7,"P_PRICE("&amp;D403&amp;",0,D,D)")</f>
        <v>79.58</v>
      </c>
      <c r="F403" s="29" cm="1">
        <f t="array" aca="1" ref="F403" ca="1">_xll.FDS($E$7,"P_BETA_LOCIDX("&amp;$AG403&amp;","&amp;$AL403&amp;",,"""&amp;$E$9&amp;""")")</f>
        <v>1.1375971</v>
      </c>
      <c r="G403" s="30">
        <f t="shared" ca="1" si="86"/>
        <v>6.0158100015810165E-2</v>
      </c>
      <c r="H403" s="30">
        <f t="shared" ca="1" si="86"/>
        <v>2.5778950596309073E-2</v>
      </c>
      <c r="I403" s="30">
        <f t="shared" ca="1" si="86"/>
        <v>-3.6672896311271304E-2</v>
      </c>
      <c r="J403" s="30">
        <f t="shared" ca="1" si="86"/>
        <v>-0.1244490879690483</v>
      </c>
      <c r="K403" s="30">
        <f t="shared" ca="1" si="87"/>
        <v>1.1915185717720721E-2</v>
      </c>
      <c r="L403" s="30">
        <f t="shared" ca="1" si="87"/>
        <v>3.5570742655224537E-2</v>
      </c>
      <c r="M403" s="30">
        <f t="shared" ca="1" si="87"/>
        <v>4.1344023694177619E-2</v>
      </c>
      <c r="N403" s="30">
        <f t="shared" ca="1" si="87"/>
        <v>0.13794883325687302</v>
      </c>
      <c r="O403" s="30">
        <f t="shared" ca="1" si="88"/>
        <v>7.207328573353089E-2</v>
      </c>
      <c r="P403" s="30">
        <f t="shared" ca="1" si="89"/>
        <v>6.134969325153361E-2</v>
      </c>
      <c r="Q403" s="30">
        <f t="shared" ca="1" si="90"/>
        <v>4.6711273829063149E-3</v>
      </c>
      <c r="R403" s="30">
        <f t="shared" ca="1" si="91"/>
        <v>1.3499745287824716E-2</v>
      </c>
      <c r="S403" s="9" cm="1">
        <f t="array" aca="1" ref="S403" ca="1">_xll.FDS($E$7,"P_PRICE("&amp;AG403&amp;",0,D,D)")</f>
        <v>79.58</v>
      </c>
      <c r="T403" s="9" cm="1">
        <f t="array" aca="1" ref="T403" ca="1">_xll.FDS($E$7,"P_PRICE("&amp;AH403&amp;",0,D,D)")</f>
        <v>74.23</v>
      </c>
      <c r="U403" s="9" cm="1">
        <f t="array" aca="1" ref="U403" ca="1">_xll.FDS($E$7,"P_PRICE("&amp;AI403&amp;",0,D,D)")</f>
        <v>74.98</v>
      </c>
      <c r="V403" s="9" cm="1">
        <f t="array" aca="1" ref="V403" ca="1">_xll.FDS($E$7,"P_PRICE("&amp;AJ403&amp;",0,D,D)")</f>
        <v>79.209999999999994</v>
      </c>
      <c r="W403" s="9" cm="1">
        <f t="array" aca="1" ref="W403" ca="1">_xll.FDS($E$7,"P_PRICE("&amp;AK403&amp;",0,D,D)")</f>
        <v>78.52</v>
      </c>
      <c r="X403" s="24">
        <f t="shared" ca="1" si="92"/>
        <v>1.047399445526076E-2</v>
      </c>
      <c r="Y403" s="24">
        <f t="shared" ca="1" si="93"/>
        <v>3.1268313408345128E-2</v>
      </c>
      <c r="Z403" s="24">
        <f t="shared" ca="1" si="94"/>
        <v>3.6343292097156032E-2</v>
      </c>
      <c r="AA403" s="24">
        <f t="shared" ca="1" si="95"/>
        <v>0.12126334820726337</v>
      </c>
      <c r="AB403" s="9" cm="1">
        <f t="array" aca="1" ref="AB403" ca="1">_xll.FDS($E$9,"P_PRICE("&amp;AG403&amp;",0,D,D)")</f>
        <v>5631.22</v>
      </c>
      <c r="AC403" s="9" cm="1">
        <f t="array" aca="1" ref="AC403" ca="1">_xll.FDS($E$9,"P_PRICE("&amp;AH403&amp;",0,D,D)")</f>
        <v>5572.85</v>
      </c>
      <c r="AD403" s="9" cm="1">
        <f t="array" aca="1" ref="AD403" ca="1">_xll.FDS($E$9,"P_PRICE("&amp;AI403&amp;",0,D,D)")</f>
        <v>5460.48</v>
      </c>
      <c r="AE403" s="9" cm="1">
        <f t="array" aca="1" ref="AE403" ca="1">_xll.FDS($E$9,"P_PRICE("&amp;AJ403&amp;",0,D,D)")</f>
        <v>5433.74</v>
      </c>
      <c r="AF403" s="9" cm="1">
        <f t="array" aca="1" ref="AF403" ca="1">_xll.FDS($E$9,"P_PRICE("&amp;AK403&amp;",0,D,D)")</f>
        <v>5022.21</v>
      </c>
      <c r="AG403" s="20">
        <f t="shared" ca="1" si="101"/>
        <v>45488</v>
      </c>
      <c r="AH403" s="22">
        <f t="shared" ca="1" si="96"/>
        <v>45481</v>
      </c>
      <c r="AI403" s="22">
        <f t="shared" ca="1" si="97"/>
        <v>45471</v>
      </c>
      <c r="AJ403" s="22">
        <f t="shared" ca="1" si="98"/>
        <v>45456</v>
      </c>
      <c r="AK403" s="22">
        <f t="shared" ca="1" si="99"/>
        <v>45399</v>
      </c>
      <c r="AL403" s="22">
        <f t="shared" ca="1" si="100"/>
        <v>45313</v>
      </c>
    </row>
    <row r="404" spans="4:38" x14ac:dyDescent="0.25">
      <c r="D404" s="6">
        <f ca="1"/>
        <v>45485</v>
      </c>
      <c r="E404" s="28" cm="1">
        <f t="array" aca="1" ref="E404" ca="1">_xll.FDS($E$7,"P_PRICE("&amp;D404&amp;",0,D,D)")</f>
        <v>79.42</v>
      </c>
      <c r="F404" s="29" cm="1">
        <f t="array" aca="1" ref="F404" ca="1">_xll.FDS($E$7,"P_BETA_LOCIDX("&amp;$AG404&amp;","&amp;$AL404&amp;",,"""&amp;$E$9&amp;""")")</f>
        <v>1.1268423999999999</v>
      </c>
      <c r="G404" s="30">
        <f t="shared" ca="1" si="86"/>
        <v>6.8302809708523704E-2</v>
      </c>
      <c r="H404" s="30">
        <f t="shared" ca="1" si="86"/>
        <v>3.8812907393283004E-2</v>
      </c>
      <c r="I404" s="30">
        <f t="shared" ca="1" si="86"/>
        <v>-4.3655378974782298E-2</v>
      </c>
      <c r="J404" s="30">
        <f t="shared" ca="1" si="86"/>
        <v>-0.12264305483631546</v>
      </c>
      <c r="K404" s="30">
        <f t="shared" ca="1" si="87"/>
        <v>9.7479572250992966E-3</v>
      </c>
      <c r="L404" s="30">
        <f t="shared" ca="1" si="87"/>
        <v>2.7227361063092891E-2</v>
      </c>
      <c r="M404" s="30">
        <f t="shared" ca="1" si="87"/>
        <v>4.0392326765946916E-2</v>
      </c>
      <c r="N404" s="30">
        <f t="shared" ca="1" si="87"/>
        <v>0.12580081661476697</v>
      </c>
      <c r="O404" s="30">
        <f t="shared" ca="1" si="88"/>
        <v>7.8050766933623006E-2</v>
      </c>
      <c r="P404" s="30">
        <f t="shared" ca="1" si="89"/>
        <v>6.6040268456375895E-2</v>
      </c>
      <c r="Q404" s="30">
        <f t="shared" ca="1" si="90"/>
        <v>-3.2630522088353819E-3</v>
      </c>
      <c r="R404" s="30">
        <f t="shared" ca="1" si="91"/>
        <v>3.1577617784515066E-3</v>
      </c>
      <c r="S404" s="9" cm="1">
        <f t="array" aca="1" ref="S404" ca="1">_xll.FDS($E$7,"P_PRICE("&amp;AG404&amp;",0,D,D)")</f>
        <v>79.42</v>
      </c>
      <c r="T404" s="9" cm="1">
        <f t="array" aca="1" ref="T404" ca="1">_xll.FDS($E$7,"P_PRICE("&amp;AH404&amp;",0,D,D)")</f>
        <v>73.67</v>
      </c>
      <c r="U404" s="9" cm="1">
        <f t="array" aca="1" ref="U404" ca="1">_xll.FDS($E$7,"P_PRICE("&amp;AI404&amp;",0,D,D)")</f>
        <v>74.5</v>
      </c>
      <c r="V404" s="9" cm="1">
        <f t="array" aca="1" ref="V404" ca="1">_xll.FDS($E$7,"P_PRICE("&amp;AJ404&amp;",0,D,D)")</f>
        <v>79.680000000000007</v>
      </c>
      <c r="W404" s="9" cm="1">
        <f t="array" aca="1" ref="W404" ca="1">_xll.FDS($E$7,"P_PRICE("&amp;AK404&amp;",0,D,D)")</f>
        <v>79.17</v>
      </c>
      <c r="X404" s="24">
        <f t="shared" ca="1" si="92"/>
        <v>8.6506837381157276E-3</v>
      </c>
      <c r="Y404" s="24">
        <f t="shared" ca="1" si="93"/>
        <v>2.4162528019084917E-2</v>
      </c>
      <c r="Z404" s="24">
        <f t="shared" ca="1" si="94"/>
        <v>3.5845586539827501E-2</v>
      </c>
      <c r="AA404" s="24">
        <f t="shared" ca="1" si="95"/>
        <v>0.11164011632395709</v>
      </c>
      <c r="AB404" s="9" cm="1">
        <f t="array" aca="1" ref="AB404" ca="1">_xll.FDS($E$9,"P_PRICE("&amp;AG404&amp;",0,D,D)")</f>
        <v>5615.35</v>
      </c>
      <c r="AC404" s="9" cm="1">
        <f t="array" aca="1" ref="AC404" ca="1">_xll.FDS($E$9,"P_PRICE("&amp;AH404&amp;",0,D,D)")</f>
        <v>5567.19</v>
      </c>
      <c r="AD404" s="9" cm="1">
        <f t="array" aca="1" ref="AD404" ca="1">_xll.FDS($E$9,"P_PRICE("&amp;AI404&amp;",0,D,D)")</f>
        <v>5482.87</v>
      </c>
      <c r="AE404" s="9" cm="1">
        <f t="array" aca="1" ref="AE404" ca="1">_xll.FDS($E$9,"P_PRICE("&amp;AJ404&amp;",0,D,D)")</f>
        <v>5421.03</v>
      </c>
      <c r="AF404" s="9" cm="1">
        <f t="array" aca="1" ref="AF404" ca="1">_xll.FDS($E$9,"P_PRICE("&amp;AK404&amp;",0,D,D)")</f>
        <v>5051.41</v>
      </c>
      <c r="AG404" s="20">
        <f t="shared" ca="1" si="101"/>
        <v>45485</v>
      </c>
      <c r="AH404" s="22">
        <f t="shared" ca="1" si="96"/>
        <v>45478</v>
      </c>
      <c r="AI404" s="22">
        <f t="shared" ca="1" si="97"/>
        <v>45470</v>
      </c>
      <c r="AJ404" s="22">
        <f t="shared" ca="1" si="98"/>
        <v>45455</v>
      </c>
      <c r="AK404" s="22">
        <f t="shared" ca="1" si="99"/>
        <v>45398</v>
      </c>
      <c r="AL404" s="22">
        <f t="shared" ca="1" si="100"/>
        <v>45310</v>
      </c>
    </row>
    <row r="405" spans="4:38" x14ac:dyDescent="0.25">
      <c r="D405" s="6">
        <f ca="1"/>
        <v>45484</v>
      </c>
      <c r="E405" s="28" cm="1">
        <f t="array" aca="1" ref="E405" ca="1">_xll.FDS($E$7,"P_PRICE("&amp;D405&amp;",0,D,D)")</f>
        <v>79.61</v>
      </c>
      <c r="F405" s="29" cm="1">
        <f t="array" aca="1" ref="F405" ca="1">_xll.FDS($E$7,"P_BETA_LOCIDX("&amp;$AG405&amp;","&amp;$AL405&amp;",,"""&amp;$E$9&amp;""")")</f>
        <v>1.1449317999999999</v>
      </c>
      <c r="G405" s="30">
        <f t="shared" ca="1" si="86"/>
        <v>7.5518167593190896E-2</v>
      </c>
      <c r="H405" s="30">
        <f t="shared" ca="1" si="86"/>
        <v>7.2458227704644038E-2</v>
      </c>
      <c r="I405" s="30">
        <f t="shared" ca="1" si="86"/>
        <v>-2.6272294792913563E-2</v>
      </c>
      <c r="J405" s="30">
        <f t="shared" ref="J405:J468" ca="1" si="102">+R405-N405</f>
        <v>-0.12695013071393343</v>
      </c>
      <c r="K405" s="30">
        <f t="shared" ca="1" si="87"/>
        <v>9.8260723522760138E-3</v>
      </c>
      <c r="L405" s="30">
        <f t="shared" ca="1" si="87"/>
        <v>2.2288746992825809E-2</v>
      </c>
      <c r="M405" s="30">
        <f t="shared" ca="1" si="87"/>
        <v>4.4563417842286755E-2</v>
      </c>
      <c r="N405" s="30">
        <f t="shared" ref="N405:N468" ca="1" si="103">+AA405*$F405</f>
        <v>0.11823390608437298</v>
      </c>
      <c r="O405" s="30">
        <f t="shared" ca="1" si="88"/>
        <v>8.5344239945466915E-2</v>
      </c>
      <c r="P405" s="30">
        <f t="shared" ca="1" si="89"/>
        <v>9.4746974697469843E-2</v>
      </c>
      <c r="Q405" s="30">
        <f t="shared" ca="1" si="90"/>
        <v>1.8291123049373192E-2</v>
      </c>
      <c r="R405" s="30">
        <f t="shared" ca="1" si="91"/>
        <v>-8.716224629560454E-3</v>
      </c>
      <c r="S405" s="9" cm="1">
        <f t="array" aca="1" ref="S405" ca="1">_xll.FDS($E$7,"P_PRICE("&amp;AG405&amp;",0,D,D)")</f>
        <v>79.61</v>
      </c>
      <c r="T405" s="9" cm="1">
        <f t="array" aca="1" ref="T405" ca="1">_xll.FDS($E$7,"P_PRICE("&amp;AH405&amp;",0,D,D)")</f>
        <v>73.349999999999994</v>
      </c>
      <c r="U405" s="9" cm="1">
        <f t="array" aca="1" ref="U405" ca="1">_xll.FDS($E$7,"P_PRICE("&amp;AI405&amp;",0,D,D)")</f>
        <v>72.72</v>
      </c>
      <c r="V405" s="9" cm="1">
        <f t="array" aca="1" ref="V405" ca="1">_xll.FDS($E$7,"P_PRICE("&amp;AJ405&amp;",0,D,D)")</f>
        <v>78.180000000000007</v>
      </c>
      <c r="W405" s="9" cm="1">
        <f t="array" aca="1" ref="W405" ca="1">_xll.FDS($E$7,"P_PRICE("&amp;AK405&amp;",0,D,D)")</f>
        <v>80.31</v>
      </c>
      <c r="X405" s="24">
        <f t="shared" ca="1" si="92"/>
        <v>8.5822337647325497E-3</v>
      </c>
      <c r="Y405" s="24">
        <f t="shared" ca="1" si="93"/>
        <v>1.9467314116723644E-2</v>
      </c>
      <c r="Z405" s="24">
        <f t="shared" ca="1" si="94"/>
        <v>3.8922333926166397E-2</v>
      </c>
      <c r="AA405" s="24">
        <f t="shared" ca="1" si="95"/>
        <v>0.10326720428620551</v>
      </c>
      <c r="AB405" s="9" cm="1">
        <f t="array" aca="1" ref="AB405" ca="1">_xll.FDS($E$9,"P_PRICE("&amp;AG405&amp;",0,D,D)")</f>
        <v>5584.54</v>
      </c>
      <c r="AC405" s="9" cm="1">
        <f t="array" aca="1" ref="AC405" ca="1">_xll.FDS($E$9,"P_PRICE("&amp;AH405&amp;",0,D,D)")</f>
        <v>5537.02</v>
      </c>
      <c r="AD405" s="9" cm="1">
        <f t="array" aca="1" ref="AD405" ca="1">_xll.FDS($E$9,"P_PRICE("&amp;AI405&amp;",0,D,D)")</f>
        <v>5477.9</v>
      </c>
      <c r="AE405" s="9" cm="1">
        <f t="array" aca="1" ref="AE405" ca="1">_xll.FDS($E$9,"P_PRICE("&amp;AJ405&amp;",0,D,D)")</f>
        <v>5375.32</v>
      </c>
      <c r="AF405" s="9" cm="1">
        <f t="array" aca="1" ref="AF405" ca="1">_xll.FDS($E$9,"P_PRICE("&amp;AK405&amp;",0,D,D)")</f>
        <v>5061.82</v>
      </c>
      <c r="AG405" s="20">
        <f t="shared" ca="1" si="101"/>
        <v>45484</v>
      </c>
      <c r="AH405" s="22">
        <f t="shared" ca="1" si="96"/>
        <v>45476</v>
      </c>
      <c r="AI405" s="22">
        <f t="shared" ca="1" si="97"/>
        <v>45469</v>
      </c>
      <c r="AJ405" s="22">
        <f t="shared" ca="1" si="98"/>
        <v>45454</v>
      </c>
      <c r="AK405" s="22">
        <f t="shared" ca="1" si="99"/>
        <v>45397</v>
      </c>
      <c r="AL405" s="22">
        <f t="shared" ca="1" si="100"/>
        <v>45309</v>
      </c>
    </row>
    <row r="406" spans="4:38" x14ac:dyDescent="0.25">
      <c r="D406" s="6">
        <f ca="1"/>
        <v>45483</v>
      </c>
      <c r="E406" s="28" cm="1">
        <f t="array" aca="1" ref="E406" ca="1">_xll.FDS($E$7,"P_PRICE("&amp;D406&amp;",0,D,D)")</f>
        <v>77.069999999999993</v>
      </c>
      <c r="F406" s="29" cm="1">
        <f t="array" aca="1" ref="F406" ca="1">_xll.FDS($E$7,"P_BETA_LOCIDX("&amp;$AG406&amp;","&amp;$AL406&amp;",,"""&amp;$E$9&amp;""")")</f>
        <v>1.2034686999999999</v>
      </c>
      <c r="G406" s="30">
        <f t="shared" ref="G406:J469" ca="1" si="104">+O406-K406</f>
        <v>4.2388855260222735E-2</v>
      </c>
      <c r="H406" s="30">
        <f t="shared" ca="1" si="104"/>
        <v>1.8376798528065931E-2</v>
      </c>
      <c r="I406" s="30">
        <f t="shared" ca="1" si="104"/>
        <v>-9.0903504142590588E-2</v>
      </c>
      <c r="J406" s="30">
        <f t="shared" ca="1" si="102"/>
        <v>-0.18505270878484392</v>
      </c>
      <c r="K406" s="30">
        <f t="shared" ref="K406:N469" ca="1" si="105">+X406*$F406</f>
        <v>2.7284982352546065E-2</v>
      </c>
      <c r="L406" s="30">
        <f t="shared" ca="1" si="105"/>
        <v>3.6220902621359262E-2</v>
      </c>
      <c r="M406" s="30">
        <f t="shared" ca="1" si="105"/>
        <v>6.1313980093232592E-2</v>
      </c>
      <c r="N406" s="30">
        <f t="shared" ca="1" si="103"/>
        <v>0.11991442639765314</v>
      </c>
      <c r="O406" s="30">
        <f t="shared" ref="O406:O469" ca="1" si="106">+S406/T406-1</f>
        <v>6.9673837612768796E-2</v>
      </c>
      <c r="P406" s="30">
        <f t="shared" ref="P406:P469" ca="1" si="107">+S406/U406-1</f>
        <v>5.4597701149425193E-2</v>
      </c>
      <c r="Q406" s="30">
        <f t="shared" ref="Q406:Q469" ca="1" si="108">+S406/V406-1</f>
        <v>-2.9589524049357996E-2</v>
      </c>
      <c r="R406" s="30">
        <f t="shared" ref="R406:R469" ca="1" si="109">+S406/W406-1</f>
        <v>-6.5138282387190771E-2</v>
      </c>
      <c r="S406" s="9" cm="1">
        <f t="array" aca="1" ref="S406" ca="1">_xll.FDS($E$7,"P_PRICE("&amp;AG406&amp;",0,D,D)")</f>
        <v>77.069999999999993</v>
      </c>
      <c r="T406" s="9" cm="1">
        <f t="array" aca="1" ref="T406" ca="1">_xll.FDS($E$7,"P_PRICE("&amp;AH406&amp;",0,D,D)")</f>
        <v>72.05</v>
      </c>
      <c r="U406" s="9" cm="1">
        <f t="array" aca="1" ref="U406" ca="1">_xll.FDS($E$7,"P_PRICE("&amp;AI406&amp;",0,D,D)")</f>
        <v>73.08</v>
      </c>
      <c r="V406" s="9" cm="1">
        <f t="array" aca="1" ref="V406" ca="1">_xll.FDS($E$7,"P_PRICE("&amp;AJ406&amp;",0,D,D)")</f>
        <v>79.42</v>
      </c>
      <c r="W406" s="9" cm="1">
        <f t="array" aca="1" ref="W406" ca="1">_xll.FDS($E$7,"P_PRICE("&amp;AK406&amp;",0,D,D)")</f>
        <v>82.44</v>
      </c>
      <c r="X406" s="24">
        <f t="shared" ref="X406:X469" ca="1" si="110">+AB406/AC406-1</f>
        <v>2.2671950132600927E-2</v>
      </c>
      <c r="Y406" s="24">
        <f t="shared" ref="Y406:Y469" ca="1" si="111">+AB406/AD406-1</f>
        <v>3.0097087378640808E-2</v>
      </c>
      <c r="Z406" s="24">
        <f t="shared" ref="Z406:Z469" ca="1" si="112">+AB406/AE406-1</f>
        <v>5.0947714795767096E-2</v>
      </c>
      <c r="AA406" s="24">
        <f t="shared" ref="AA406:AA469" ca="1" si="113">+AB406/AF406-1</f>
        <v>9.9640669007555527E-2</v>
      </c>
      <c r="AB406" s="9" cm="1">
        <f t="array" aca="1" ref="AB406" ca="1">_xll.FDS($E$9,"P_PRICE("&amp;AG406&amp;",0,D,D)")</f>
        <v>5633.91</v>
      </c>
      <c r="AC406" s="9" cm="1">
        <f t="array" aca="1" ref="AC406" ca="1">_xll.FDS($E$9,"P_PRICE("&amp;AH406&amp;",0,D,D)")</f>
        <v>5509.01</v>
      </c>
      <c r="AD406" s="9" cm="1">
        <f t="array" aca="1" ref="AD406" ca="1">_xll.FDS($E$9,"P_PRICE("&amp;AI406&amp;",0,D,D)")</f>
        <v>5469.3</v>
      </c>
      <c r="AE406" s="9" cm="1">
        <f t="array" aca="1" ref="AE406" ca="1">_xll.FDS($E$9,"P_PRICE("&amp;AJ406&amp;",0,D,D)")</f>
        <v>5360.79</v>
      </c>
      <c r="AF406" s="9" cm="1">
        <f t="array" aca="1" ref="AF406" ca="1">_xll.FDS($E$9,"P_PRICE("&amp;AK406&amp;",0,D,D)")</f>
        <v>5123.41</v>
      </c>
      <c r="AG406" s="20">
        <f t="shared" ca="1" si="101"/>
        <v>45483</v>
      </c>
      <c r="AH406" s="22">
        <f t="shared" ref="AH406:AH469" ca="1" si="114">+WORKDAY($AG406, -5, $AN$2:$AN$100)</f>
        <v>45475</v>
      </c>
      <c r="AI406" s="22">
        <f t="shared" ref="AI406:AI469" ca="1" si="115">+WORKDAY($AG406, -10, $AN$2:$AN$100)</f>
        <v>45468</v>
      </c>
      <c r="AJ406" s="22">
        <f t="shared" ref="AJ406:AJ469" ca="1" si="116">+WORKDAY($AG406, -20, $AN$2:$AN$100)</f>
        <v>45453</v>
      </c>
      <c r="AK406" s="22">
        <f t="shared" ref="AK406:AK469" ca="1" si="117">+WORKDAY($AG406, -60, $AN$2:$AN$100)</f>
        <v>45394</v>
      </c>
      <c r="AL406" s="22">
        <f t="shared" ref="AL406:AL469" ca="1" si="118">+WORKDAY($AG406, -120, $AN$2:$AN$100)</f>
        <v>45308</v>
      </c>
    </row>
    <row r="407" spans="4:38" x14ac:dyDescent="0.25">
      <c r="D407" s="6">
        <f ca="1"/>
        <v>45482</v>
      </c>
      <c r="E407" s="28" cm="1">
        <f t="array" aca="1" ref="E407" ca="1">_xll.FDS($E$7,"P_PRICE("&amp;D407&amp;",0,D,D)")</f>
        <v>75.89</v>
      </c>
      <c r="F407" s="29" cm="1">
        <f t="array" aca="1" ref="F407" ca="1">_xll.FDS($E$7,"P_BETA_LOCIDX("&amp;$AG407&amp;","&amp;$AL407&amp;",,"""&amp;$E$9&amp;""")")</f>
        <v>1.2116297</v>
      </c>
      <c r="G407" s="30">
        <f t="shared" ca="1" si="104"/>
        <v>1.7610877839431927E-2</v>
      </c>
      <c r="H407" s="30">
        <f t="shared" ca="1" si="104"/>
        <v>-4.5580736358026321E-3</v>
      </c>
      <c r="I407" s="30">
        <f t="shared" ca="1" si="104"/>
        <v>-7.6916632371622537E-2</v>
      </c>
      <c r="J407" s="30">
        <f t="shared" ca="1" si="102"/>
        <v>-0.17877557223072735</v>
      </c>
      <c r="K407" s="30">
        <f t="shared" ca="1" si="105"/>
        <v>2.2548113388638279E-2</v>
      </c>
      <c r="L407" s="30">
        <f t="shared" ca="1" si="105"/>
        <v>2.8714618844979615E-2</v>
      </c>
      <c r="M407" s="30">
        <f t="shared" ca="1" si="105"/>
        <v>5.2115809960931278E-2</v>
      </c>
      <c r="N407" s="30">
        <f t="shared" ca="1" si="103"/>
        <v>8.807343947251986E-2</v>
      </c>
      <c r="O407" s="30">
        <f t="shared" ca="1" si="106"/>
        <v>4.0158991228070207E-2</v>
      </c>
      <c r="P407" s="30">
        <f t="shared" ca="1" si="107"/>
        <v>2.4156545209176983E-2</v>
      </c>
      <c r="Q407" s="30">
        <f t="shared" ca="1" si="108"/>
        <v>-2.4800822410691259E-2</v>
      </c>
      <c r="R407" s="30">
        <f t="shared" ca="1" si="109"/>
        <v>-9.0702132758207488E-2</v>
      </c>
      <c r="S407" s="9" cm="1">
        <f t="array" aca="1" ref="S407" ca="1">_xll.FDS($E$7,"P_PRICE("&amp;AG407&amp;",0,D,D)")</f>
        <v>75.89</v>
      </c>
      <c r="T407" s="9" cm="1">
        <f t="array" aca="1" ref="T407" ca="1">_xll.FDS($E$7,"P_PRICE("&amp;AH407&amp;",0,D,D)")</f>
        <v>72.959999999999994</v>
      </c>
      <c r="U407" s="9" cm="1">
        <f t="array" aca="1" ref="U407" ca="1">_xll.FDS($E$7,"P_PRICE("&amp;AI407&amp;",0,D,D)")</f>
        <v>74.099999999999994</v>
      </c>
      <c r="V407" s="9" cm="1">
        <f t="array" aca="1" ref="V407" ca="1">_xll.FDS($E$7,"P_PRICE("&amp;AJ407&amp;",0,D,D)")</f>
        <v>77.819999999999993</v>
      </c>
      <c r="W407" s="9" cm="1">
        <f t="array" aca="1" ref="W407" ca="1">_xll.FDS($E$7,"P_PRICE("&amp;AK407&amp;",0,D,D)")</f>
        <v>83.46</v>
      </c>
      <c r="X407" s="24">
        <f t="shared" ca="1" si="110"/>
        <v>1.8609739748570275E-2</v>
      </c>
      <c r="Y407" s="24">
        <f t="shared" ca="1" si="111"/>
        <v>2.3699170501498612E-2</v>
      </c>
      <c r="Z407" s="24">
        <f t="shared" ca="1" si="112"/>
        <v>4.30129848756029E-2</v>
      </c>
      <c r="AA407" s="24">
        <f t="shared" ca="1" si="113"/>
        <v>7.2690063203732835E-2</v>
      </c>
      <c r="AB407" s="9" cm="1">
        <f t="array" aca="1" ref="AB407" ca="1">_xll.FDS($E$9,"P_PRICE("&amp;AG407&amp;",0,D,D)")</f>
        <v>5576.98</v>
      </c>
      <c r="AC407" s="9" cm="1">
        <f t="array" aca="1" ref="AC407" ca="1">_xll.FDS($E$9,"P_PRICE("&amp;AH407&amp;",0,D,D)")</f>
        <v>5475.09</v>
      </c>
      <c r="AD407" s="9" cm="1">
        <f t="array" aca="1" ref="AD407" ca="1">_xll.FDS($E$9,"P_PRICE("&amp;AI407&amp;",0,D,D)")</f>
        <v>5447.87</v>
      </c>
      <c r="AE407" s="9" cm="1">
        <f t="array" aca="1" ref="AE407" ca="1">_xll.FDS($E$9,"P_PRICE("&amp;AJ407&amp;",0,D,D)")</f>
        <v>5346.99</v>
      </c>
      <c r="AF407" s="9" cm="1">
        <f t="array" aca="1" ref="AF407" ca="1">_xll.FDS($E$9,"P_PRICE("&amp;AK407&amp;",0,D,D)")</f>
        <v>5199.0600000000004</v>
      </c>
      <c r="AG407" s="20">
        <f t="shared" ref="AG407:AG470" ca="1" si="119">+WORKDAY(D407, 0, $AN$2:$AN$59)</f>
        <v>45482</v>
      </c>
      <c r="AH407" s="22">
        <f t="shared" ca="1" si="114"/>
        <v>45474</v>
      </c>
      <c r="AI407" s="22">
        <f t="shared" ca="1" si="115"/>
        <v>45467</v>
      </c>
      <c r="AJ407" s="22">
        <f t="shared" ca="1" si="116"/>
        <v>45450</v>
      </c>
      <c r="AK407" s="22">
        <f t="shared" ca="1" si="117"/>
        <v>45393</v>
      </c>
      <c r="AL407" s="22">
        <f t="shared" ca="1" si="118"/>
        <v>45307</v>
      </c>
    </row>
    <row r="408" spans="4:38" x14ac:dyDescent="0.25">
      <c r="D408" s="6">
        <f ca="1"/>
        <v>45481</v>
      </c>
      <c r="E408" s="28" cm="1">
        <f t="array" aca="1" ref="E408" ca="1">_xll.FDS($E$7,"P_PRICE("&amp;D408&amp;",0,D,D)")</f>
        <v>74.23</v>
      </c>
      <c r="F408" s="29" cm="1">
        <f t="array" aca="1" ref="F408" ca="1">_xll.FDS($E$7,"P_BETA_LOCIDX("&amp;$AG408&amp;","&amp;$AL408&amp;",,"""&amp;$E$9&amp;""")")</f>
        <v>1.2140172</v>
      </c>
      <c r="G408" s="30">
        <f t="shared" ca="1" si="104"/>
        <v>-3.4985656559138711E-2</v>
      </c>
      <c r="H408" s="30">
        <f t="shared" ca="1" si="104"/>
        <v>-4.4368988510968446E-2</v>
      </c>
      <c r="I408" s="30">
        <f t="shared" ca="1" si="104"/>
        <v>-9.032983622565427E-2</v>
      </c>
      <c r="J408" s="30">
        <f t="shared" ca="1" si="102"/>
        <v>-0.20745585715366513</v>
      </c>
      <c r="K408" s="30">
        <f t="shared" ca="1" si="105"/>
        <v>2.49829891811712E-2</v>
      </c>
      <c r="L408" s="30">
        <f t="shared" ca="1" si="105"/>
        <v>2.4044321756316277E-2</v>
      </c>
      <c r="M408" s="30">
        <f t="shared" ca="1" si="105"/>
        <v>4.9869650082944965E-2</v>
      </c>
      <c r="N408" s="30">
        <f t="shared" ca="1" si="103"/>
        <v>9.6970536602436846E-2</v>
      </c>
      <c r="O408" s="30">
        <f t="shared" ca="1" si="106"/>
        <v>-1.0002667377967511E-2</v>
      </c>
      <c r="P408" s="30">
        <f t="shared" ca="1" si="107"/>
        <v>-2.0324666754652165E-2</v>
      </c>
      <c r="Q408" s="30">
        <f t="shared" ca="1" si="108"/>
        <v>-4.0460186142709298E-2</v>
      </c>
      <c r="R408" s="30">
        <f t="shared" ca="1" si="109"/>
        <v>-0.11048532055122828</v>
      </c>
      <c r="S408" s="9" cm="1">
        <f t="array" aca="1" ref="S408" ca="1">_xll.FDS($E$7,"P_PRICE("&amp;AG408&amp;",0,D,D)")</f>
        <v>74.23</v>
      </c>
      <c r="T408" s="9" cm="1">
        <f t="array" aca="1" ref="T408" ca="1">_xll.FDS($E$7,"P_PRICE("&amp;AH408&amp;",0,D,D)")</f>
        <v>74.98</v>
      </c>
      <c r="U408" s="9" cm="1">
        <f t="array" aca="1" ref="U408" ca="1">_xll.FDS($E$7,"P_PRICE("&amp;AI408&amp;",0,D,D)")</f>
        <v>75.77</v>
      </c>
      <c r="V408" s="9" cm="1">
        <f t="array" aca="1" ref="V408" ca="1">_xll.FDS($E$7,"P_PRICE("&amp;AJ408&amp;",0,D,D)")</f>
        <v>77.36</v>
      </c>
      <c r="W408" s="9" cm="1">
        <f t="array" aca="1" ref="W408" ca="1">_xll.FDS($E$7,"P_PRICE("&amp;AK408&amp;",0,D,D)")</f>
        <v>83.45</v>
      </c>
      <c r="X408" s="24">
        <f t="shared" ca="1" si="110"/>
        <v>2.0578776957337341E-2</v>
      </c>
      <c r="Y408" s="24">
        <f t="shared" ca="1" si="111"/>
        <v>1.9805585749786969E-2</v>
      </c>
      <c r="Z408" s="24">
        <f t="shared" ca="1" si="112"/>
        <v>4.1078207197513317E-2</v>
      </c>
      <c r="AA408" s="24">
        <f t="shared" ca="1" si="113"/>
        <v>7.987575184473239E-2</v>
      </c>
      <c r="AB408" s="9" cm="1">
        <f t="array" aca="1" ref="AB408" ca="1">_xll.FDS($E$9,"P_PRICE("&amp;AG408&amp;",0,D,D)")</f>
        <v>5572.85</v>
      </c>
      <c r="AC408" s="9" cm="1">
        <f t="array" aca="1" ref="AC408" ca="1">_xll.FDS($E$9,"P_PRICE("&amp;AH408&amp;",0,D,D)")</f>
        <v>5460.48</v>
      </c>
      <c r="AD408" s="9" cm="1">
        <f t="array" aca="1" ref="AD408" ca="1">_xll.FDS($E$9,"P_PRICE("&amp;AI408&amp;",0,D,D)")</f>
        <v>5464.62</v>
      </c>
      <c r="AE408" s="9" cm="1">
        <f t="array" aca="1" ref="AE408" ca="1">_xll.FDS($E$9,"P_PRICE("&amp;AJ408&amp;",0,D,D)")</f>
        <v>5352.96</v>
      </c>
      <c r="AF408" s="9" cm="1">
        <f t="array" aca="1" ref="AF408" ca="1">_xll.FDS($E$9,"P_PRICE("&amp;AK408&amp;",0,D,D)")</f>
        <v>5160.6400000000003</v>
      </c>
      <c r="AG408" s="20">
        <f t="shared" ca="1" si="119"/>
        <v>45481</v>
      </c>
      <c r="AH408" s="22">
        <f t="shared" ca="1" si="114"/>
        <v>45471</v>
      </c>
      <c r="AI408" s="22">
        <f t="shared" ca="1" si="115"/>
        <v>45464</v>
      </c>
      <c r="AJ408" s="22">
        <f t="shared" ca="1" si="116"/>
        <v>45449</v>
      </c>
      <c r="AK408" s="22">
        <f t="shared" ca="1" si="117"/>
        <v>45392</v>
      </c>
      <c r="AL408" s="22">
        <f t="shared" ca="1" si="118"/>
        <v>45303</v>
      </c>
    </row>
    <row r="409" spans="4:38" x14ac:dyDescent="0.25">
      <c r="D409" s="6">
        <f ca="1"/>
        <v>45478</v>
      </c>
      <c r="E409" s="28" cm="1">
        <f t="array" aca="1" ref="E409" ca="1">_xll.FDS($E$7,"P_PRICE("&amp;D409&amp;",0,D,D)")</f>
        <v>73.67</v>
      </c>
      <c r="F409" s="29" cm="1">
        <f t="array" aca="1" ref="F409" ca="1">_xll.FDS($E$7,"P_BETA_LOCIDX("&amp;$AG409&amp;","&amp;$AL409&amp;",,"""&amp;$E$9&amp;""")")</f>
        <v>1.2169517999999999</v>
      </c>
      <c r="G409" s="30">
        <f t="shared" ca="1" si="104"/>
        <v>-2.9856206560785314E-2</v>
      </c>
      <c r="H409" s="30">
        <f t="shared" ca="1" si="104"/>
        <v>-5.1180325907585901E-2</v>
      </c>
      <c r="I409" s="30">
        <f t="shared" ca="1" si="104"/>
        <v>-0.10878213548700141</v>
      </c>
      <c r="J409" s="30">
        <f t="shared" ca="1" si="102"/>
        <v>-0.20622222959312037</v>
      </c>
      <c r="K409" s="30">
        <f t="shared" ca="1" si="105"/>
        <v>1.8715266963469878E-2</v>
      </c>
      <c r="L409" s="30">
        <f t="shared" ca="1" si="105"/>
        <v>2.09052173120877E-2</v>
      </c>
      <c r="M409" s="30">
        <f t="shared" ca="1" si="105"/>
        <v>4.8450502833940125E-2</v>
      </c>
      <c r="N409" s="30">
        <f t="shared" ca="1" si="103"/>
        <v>8.3454904039417091E-2</v>
      </c>
      <c r="O409" s="30">
        <f t="shared" ca="1" si="106"/>
        <v>-1.1140939597315436E-2</v>
      </c>
      <c r="P409" s="30">
        <f t="shared" ca="1" si="107"/>
        <v>-3.0275108595498201E-2</v>
      </c>
      <c r="Q409" s="30">
        <f t="shared" ca="1" si="108"/>
        <v>-6.0331632653061296E-2</v>
      </c>
      <c r="R409" s="30">
        <f t="shared" ca="1" si="109"/>
        <v>-0.12276732555370329</v>
      </c>
      <c r="S409" s="9" cm="1">
        <f t="array" aca="1" ref="S409" ca="1">_xll.FDS($E$7,"P_PRICE("&amp;AG409&amp;",0,D,D)")</f>
        <v>73.67</v>
      </c>
      <c r="T409" s="9" cm="1">
        <f t="array" aca="1" ref="T409" ca="1">_xll.FDS($E$7,"P_PRICE("&amp;AH409&amp;",0,D,D)")</f>
        <v>74.5</v>
      </c>
      <c r="U409" s="9" cm="1">
        <f t="array" aca="1" ref="U409" ca="1">_xll.FDS($E$7,"P_PRICE("&amp;AI409&amp;",0,D,D)")</f>
        <v>75.97</v>
      </c>
      <c r="V409" s="9" cm="1">
        <f t="array" aca="1" ref="V409" ca="1">_xll.FDS($E$7,"P_PRICE("&amp;AJ409&amp;",0,D,D)")</f>
        <v>78.400000000000006</v>
      </c>
      <c r="W409" s="9" cm="1">
        <f t="array" aca="1" ref="W409" ca="1">_xll.FDS($E$7,"P_PRICE("&amp;AK409&amp;",0,D,D)")</f>
        <v>83.98</v>
      </c>
      <c r="X409" s="24">
        <f t="shared" ca="1" si="110"/>
        <v>1.5378807084610813E-2</v>
      </c>
      <c r="Y409" s="24">
        <f t="shared" ca="1" si="111"/>
        <v>1.7178344542559287E-2</v>
      </c>
      <c r="Z409" s="24">
        <f t="shared" ca="1" si="112"/>
        <v>3.9813000674258525E-2</v>
      </c>
      <c r="AA409" s="24">
        <f t="shared" ca="1" si="113"/>
        <v>6.8577000370447783E-2</v>
      </c>
      <c r="AB409" s="9" cm="1">
        <f t="array" aca="1" ref="AB409" ca="1">_xll.FDS($E$9,"P_PRICE("&amp;AG409&amp;",0,D,D)")</f>
        <v>5567.19</v>
      </c>
      <c r="AC409" s="9" cm="1">
        <f t="array" aca="1" ref="AC409" ca="1">_xll.FDS($E$9,"P_PRICE("&amp;AH409&amp;",0,D,D)")</f>
        <v>5482.87</v>
      </c>
      <c r="AD409" s="9" cm="1">
        <f t="array" aca="1" ref="AD409" ca="1">_xll.FDS($E$9,"P_PRICE("&amp;AI409&amp;",0,D,D)")</f>
        <v>5473.17</v>
      </c>
      <c r="AE409" s="9" cm="1">
        <f t="array" aca="1" ref="AE409" ca="1">_xll.FDS($E$9,"P_PRICE("&amp;AJ409&amp;",0,D,D)")</f>
        <v>5354.03</v>
      </c>
      <c r="AF409" s="9" cm="1">
        <f t="array" aca="1" ref="AF409" ca="1">_xll.FDS($E$9,"P_PRICE("&amp;AK409&amp;",0,D,D)")</f>
        <v>5209.91</v>
      </c>
      <c r="AG409" s="20">
        <f t="shared" ca="1" si="119"/>
        <v>45478</v>
      </c>
      <c r="AH409" s="22">
        <f t="shared" ca="1" si="114"/>
        <v>45470</v>
      </c>
      <c r="AI409" s="22">
        <f t="shared" ca="1" si="115"/>
        <v>45463</v>
      </c>
      <c r="AJ409" s="22">
        <f t="shared" ca="1" si="116"/>
        <v>45448</v>
      </c>
      <c r="AK409" s="22">
        <f t="shared" ca="1" si="117"/>
        <v>45391</v>
      </c>
      <c r="AL409" s="22">
        <f t="shared" ca="1" si="118"/>
        <v>45302</v>
      </c>
    </row>
    <row r="410" spans="4:38" x14ac:dyDescent="0.25">
      <c r="D410" s="6">
        <f ca="1"/>
        <v>45476</v>
      </c>
      <c r="E410" s="28" cm="1">
        <f t="array" aca="1" ref="E410" ca="1">_xll.FDS($E$7,"P_PRICE("&amp;D410&amp;",0,D,D)")</f>
        <v>73.349999999999994</v>
      </c>
      <c r="F410" s="29" cm="1">
        <f t="array" aca="1" ref="F410" ca="1">_xll.FDS($E$7,"P_BETA_LOCIDX("&amp;$AG410&amp;","&amp;$AL410&amp;",,"""&amp;$E$9&amp;""")")</f>
        <v>1.2158258</v>
      </c>
      <c r="G410" s="30">
        <f t="shared" ca="1" si="104"/>
        <v>-4.458381284900375E-3</v>
      </c>
      <c r="H410" s="30">
        <f t="shared" ca="1" si="104"/>
        <v>-6.9243282366487469E-2</v>
      </c>
      <c r="I410" s="30">
        <f t="shared" ca="1" si="104"/>
        <v>-0.10286335695315484</v>
      </c>
      <c r="J410" s="30">
        <f t="shared" ca="1" si="102"/>
        <v>-0.22221225301737563</v>
      </c>
      <c r="K410" s="30">
        <f t="shared" ca="1" si="105"/>
        <v>1.3121747621533935E-2</v>
      </c>
      <c r="L410" s="30">
        <f t="shared" ca="1" si="105"/>
        <v>1.1076872505162321E-2</v>
      </c>
      <c r="M410" s="30">
        <f t="shared" ca="1" si="105"/>
        <v>5.6451500478895786E-2</v>
      </c>
      <c r="N410" s="30">
        <f t="shared" ca="1" si="103"/>
        <v>7.8204784234553751E-2</v>
      </c>
      <c r="O410" s="30">
        <f t="shared" ca="1" si="106"/>
        <v>8.66336633663356E-3</v>
      </c>
      <c r="P410" s="30">
        <f t="shared" ca="1" si="107"/>
        <v>-5.8166409861325152E-2</v>
      </c>
      <c r="Q410" s="30">
        <f t="shared" ca="1" si="108"/>
        <v>-4.641185647425905E-2</v>
      </c>
      <c r="R410" s="30">
        <f t="shared" ca="1" si="109"/>
        <v>-0.14400746878282189</v>
      </c>
      <c r="S410" s="9" cm="1">
        <f t="array" aca="1" ref="S410" ca="1">_xll.FDS($E$7,"P_PRICE("&amp;AG410&amp;",0,D,D)")</f>
        <v>73.349999999999994</v>
      </c>
      <c r="T410" s="9" cm="1">
        <f t="array" aca="1" ref="T410" ca="1">_xll.FDS($E$7,"P_PRICE("&amp;AH410&amp;",0,D,D)")</f>
        <v>72.72</v>
      </c>
      <c r="U410" s="9" cm="1">
        <f t="array" aca="1" ref="U410" ca="1">_xll.FDS($E$7,"P_PRICE("&amp;AI410&amp;",0,D,D)")</f>
        <v>77.88</v>
      </c>
      <c r="V410" s="9" cm="1">
        <f t="array" aca="1" ref="V410" ca="1">_xll.FDS($E$7,"P_PRICE("&amp;AJ410&amp;",0,D,D)")</f>
        <v>76.92</v>
      </c>
      <c r="W410" s="9" cm="1">
        <f t="array" aca="1" ref="W410" ca="1">_xll.FDS($E$7,"P_PRICE("&amp;AK410&amp;",0,D,D)")</f>
        <v>85.69</v>
      </c>
      <c r="X410" s="24">
        <f t="shared" ca="1" si="110"/>
        <v>1.0792456963435004E-2</v>
      </c>
      <c r="Y410" s="24">
        <f t="shared" ca="1" si="111"/>
        <v>9.1105753021216707E-3</v>
      </c>
      <c r="Z410" s="24">
        <f t="shared" ca="1" si="112"/>
        <v>4.6430582801332054E-2</v>
      </c>
      <c r="AA410" s="24">
        <f t="shared" ca="1" si="113"/>
        <v>6.4322359530907924E-2</v>
      </c>
      <c r="AB410" s="9" cm="1">
        <f t="array" aca="1" ref="AB410" ca="1">_xll.FDS($E$9,"P_PRICE("&amp;AG410&amp;",0,D,D)")</f>
        <v>5537.02</v>
      </c>
      <c r="AC410" s="9" cm="1">
        <f t="array" aca="1" ref="AC410" ca="1">_xll.FDS($E$9,"P_PRICE("&amp;AH410&amp;",0,D,D)")</f>
        <v>5477.9</v>
      </c>
      <c r="AD410" s="9" cm="1">
        <f t="array" aca="1" ref="AD410" ca="1">_xll.FDS($E$9,"P_PRICE("&amp;AI410&amp;",0,D,D)")</f>
        <v>5487.03</v>
      </c>
      <c r="AE410" s="9" cm="1">
        <f t="array" aca="1" ref="AE410" ca="1">_xll.FDS($E$9,"P_PRICE("&amp;AJ410&amp;",0,D,D)")</f>
        <v>5291.34</v>
      </c>
      <c r="AF410" s="9" cm="1">
        <f t="array" aca="1" ref="AF410" ca="1">_xll.FDS($E$9,"P_PRICE("&amp;AK410&amp;",0,D,D)")</f>
        <v>5202.3900000000003</v>
      </c>
      <c r="AG410" s="20">
        <f t="shared" ca="1" si="119"/>
        <v>45476</v>
      </c>
      <c r="AH410" s="22">
        <f t="shared" ca="1" si="114"/>
        <v>45469</v>
      </c>
      <c r="AI410" s="22">
        <f t="shared" ca="1" si="115"/>
        <v>45461</v>
      </c>
      <c r="AJ410" s="22">
        <f t="shared" ca="1" si="116"/>
        <v>45447</v>
      </c>
      <c r="AK410" s="22">
        <f t="shared" ca="1" si="117"/>
        <v>45390</v>
      </c>
      <c r="AL410" s="22">
        <f t="shared" ca="1" si="118"/>
        <v>45301</v>
      </c>
    </row>
    <row r="411" spans="4:38" x14ac:dyDescent="0.25">
      <c r="D411" s="6">
        <f ca="1"/>
        <v>45475</v>
      </c>
      <c r="E411" s="28" cm="1">
        <f t="array" aca="1" ref="E411" ca="1">_xll.FDS($E$7,"P_PRICE("&amp;D411&amp;",0,D,D)")</f>
        <v>72.05</v>
      </c>
      <c r="F411" s="29" cm="1">
        <f t="array" aca="1" ref="F411" ca="1">_xll.FDS($E$7,"P_BETA_LOCIDX("&amp;$AG411&amp;","&amp;$AL411&amp;",,"""&amp;$E$9&amp;""")")</f>
        <v>1.2037605</v>
      </c>
      <c r="G411" s="30">
        <f t="shared" ca="1" si="104"/>
        <v>-2.2834078945599454E-2</v>
      </c>
      <c r="H411" s="30">
        <f t="shared" ca="1" si="104"/>
        <v>-9.260000235755049E-2</v>
      </c>
      <c r="I411" s="30">
        <f t="shared" ca="1" si="104"/>
        <v>-0.13914631547371081</v>
      </c>
      <c r="J411" s="30">
        <f t="shared" ca="1" si="102"/>
        <v>-0.23655793831718672</v>
      </c>
      <c r="K411" s="30">
        <f t="shared" ca="1" si="105"/>
        <v>8.7399355411112312E-3</v>
      </c>
      <c r="L411" s="30">
        <f t="shared" ca="1" si="105"/>
        <v>7.8693113006399282E-3</v>
      </c>
      <c r="M411" s="30">
        <f t="shared" ca="1" si="105"/>
        <v>5.1402582883181447E-2</v>
      </c>
      <c r="N411" s="30">
        <f t="shared" ca="1" si="103"/>
        <v>7.0469975354223696E-2</v>
      </c>
      <c r="O411" s="30">
        <f t="shared" ca="1" si="106"/>
        <v>-1.4094143404488224E-2</v>
      </c>
      <c r="P411" s="30">
        <f t="shared" ca="1" si="107"/>
        <v>-8.4730691056910556E-2</v>
      </c>
      <c r="Q411" s="30">
        <f t="shared" ca="1" si="108"/>
        <v>-8.7743732590529366E-2</v>
      </c>
      <c r="R411" s="30">
        <f t="shared" ca="1" si="109"/>
        <v>-0.16608796296296302</v>
      </c>
      <c r="S411" s="9" cm="1">
        <f t="array" aca="1" ref="S411" ca="1">_xll.FDS($E$7,"P_PRICE("&amp;AG411&amp;",0,D,D)")</f>
        <v>72.05</v>
      </c>
      <c r="T411" s="9" cm="1">
        <f t="array" aca="1" ref="T411" ca="1">_xll.FDS($E$7,"P_PRICE("&amp;AH411&amp;",0,D,D)")</f>
        <v>73.08</v>
      </c>
      <c r="U411" s="9" cm="1">
        <f t="array" aca="1" ref="U411" ca="1">_xll.FDS($E$7,"P_PRICE("&amp;AI411&amp;",0,D,D)")</f>
        <v>78.72</v>
      </c>
      <c r="V411" s="9" cm="1">
        <f t="array" aca="1" ref="V411" ca="1">_xll.FDS($E$7,"P_PRICE("&amp;AJ411&amp;",0,D,D)")</f>
        <v>78.98</v>
      </c>
      <c r="W411" s="9" cm="1">
        <f t="array" aca="1" ref="W411" ca="1">_xll.FDS($E$7,"P_PRICE("&amp;AK411&amp;",0,D,D)")</f>
        <v>86.4</v>
      </c>
      <c r="X411" s="24">
        <f t="shared" ca="1" si="110"/>
        <v>7.2605269412904239E-3</v>
      </c>
      <c r="Y411" s="24">
        <f t="shared" ca="1" si="111"/>
        <v>6.5372732371928866E-3</v>
      </c>
      <c r="Z411" s="24">
        <f t="shared" ca="1" si="112"/>
        <v>4.270166937956632E-2</v>
      </c>
      <c r="AA411" s="24">
        <f t="shared" ca="1" si="113"/>
        <v>5.85415249580159E-2</v>
      </c>
      <c r="AB411" s="9" cm="1">
        <f t="array" aca="1" ref="AB411" ca="1">_xll.FDS($E$9,"P_PRICE("&amp;AG411&amp;",0,D,D)")</f>
        <v>5509.01</v>
      </c>
      <c r="AC411" s="9" cm="1">
        <f t="array" aca="1" ref="AC411" ca="1">_xll.FDS($E$9,"P_PRICE("&amp;AH411&amp;",0,D,D)")</f>
        <v>5469.3</v>
      </c>
      <c r="AD411" s="9" cm="1">
        <f t="array" aca="1" ref="AD411" ca="1">_xll.FDS($E$9,"P_PRICE("&amp;AI411&amp;",0,D,D)")</f>
        <v>5473.23</v>
      </c>
      <c r="AE411" s="9" cm="1">
        <f t="array" aca="1" ref="AE411" ca="1">_xll.FDS($E$9,"P_PRICE("&amp;AJ411&amp;",0,D,D)")</f>
        <v>5283.4</v>
      </c>
      <c r="AF411" s="9" cm="1">
        <f t="array" aca="1" ref="AF411" ca="1">_xll.FDS($E$9,"P_PRICE("&amp;AK411&amp;",0,D,D)")</f>
        <v>5204.34</v>
      </c>
      <c r="AG411" s="20">
        <f t="shared" ca="1" si="119"/>
        <v>45475</v>
      </c>
      <c r="AH411" s="22">
        <f t="shared" ca="1" si="114"/>
        <v>45468</v>
      </c>
      <c r="AI411" s="22">
        <f t="shared" ca="1" si="115"/>
        <v>45460</v>
      </c>
      <c r="AJ411" s="22">
        <f t="shared" ca="1" si="116"/>
        <v>45446</v>
      </c>
      <c r="AK411" s="22">
        <f t="shared" ca="1" si="117"/>
        <v>45387</v>
      </c>
      <c r="AL411" s="22">
        <f t="shared" ca="1" si="118"/>
        <v>45300</v>
      </c>
    </row>
    <row r="412" spans="4:38" x14ac:dyDescent="0.25">
      <c r="D412" s="6">
        <f ca="1"/>
        <v>45474</v>
      </c>
      <c r="E412" s="28" cm="1">
        <f t="array" aca="1" ref="E412" ca="1">_xll.FDS($E$7,"P_PRICE("&amp;D412&amp;",0,D,D)")</f>
        <v>72.959999999999994</v>
      </c>
      <c r="F412" s="29" cm="1">
        <f t="array" aca="1" ref="F412" ca="1">_xll.FDS($E$7,"P_BETA_LOCIDX("&amp;$AG412&amp;","&amp;$AL412&amp;",,"""&amp;$E$9&amp;""")")</f>
        <v>1.2545211000000001</v>
      </c>
      <c r="G412" s="30">
        <f t="shared" ca="1" si="104"/>
        <v>-2.1652765017774932E-2</v>
      </c>
      <c r="H412" s="30">
        <f t="shared" ca="1" si="104"/>
        <v>-5.6942213422817106E-2</v>
      </c>
      <c r="I412" s="30">
        <f t="shared" ca="1" si="104"/>
        <v>-0.15459899289490603</v>
      </c>
      <c r="J412" s="30">
        <f t="shared" ca="1" si="102"/>
        <v>-0.21617505232030657</v>
      </c>
      <c r="K412" s="30">
        <f t="shared" ca="1" si="105"/>
        <v>6.2681496331594908E-3</v>
      </c>
      <c r="L412" s="30">
        <f t="shared" ca="1" si="105"/>
        <v>1.0044760777487255E-2</v>
      </c>
      <c r="M412" s="30">
        <f t="shared" ca="1" si="105"/>
        <v>4.6966898961442086E-2</v>
      </c>
      <c r="N412" s="30">
        <f t="shared" ca="1" si="103"/>
        <v>7.9913657742349847E-2</v>
      </c>
      <c r="O412" s="30">
        <f t="shared" ca="1" si="106"/>
        <v>-1.5384615384615441E-2</v>
      </c>
      <c r="P412" s="30">
        <f t="shared" ca="1" si="107"/>
        <v>-4.6897452645329851E-2</v>
      </c>
      <c r="Q412" s="30">
        <f t="shared" ca="1" si="108"/>
        <v>-0.10763209393346396</v>
      </c>
      <c r="R412" s="30">
        <f t="shared" ca="1" si="109"/>
        <v>-0.13626139457795672</v>
      </c>
      <c r="S412" s="9" cm="1">
        <f t="array" aca="1" ref="S412" ca="1">_xll.FDS($E$7,"P_PRICE("&amp;AG412&amp;",0,D,D)")</f>
        <v>72.959999999999994</v>
      </c>
      <c r="T412" s="9" cm="1">
        <f t="array" aca="1" ref="T412" ca="1">_xll.FDS($E$7,"P_PRICE("&amp;AH412&amp;",0,D,D)")</f>
        <v>74.099999999999994</v>
      </c>
      <c r="U412" s="9" cm="1">
        <f t="array" aca="1" ref="U412" ca="1">_xll.FDS($E$7,"P_PRICE("&amp;AI412&amp;",0,D,D)")</f>
        <v>76.55</v>
      </c>
      <c r="V412" s="9" cm="1">
        <f t="array" aca="1" ref="V412" ca="1">_xll.FDS($E$7,"P_PRICE("&amp;AJ412&amp;",0,D,D)")</f>
        <v>81.760000000000005</v>
      </c>
      <c r="W412" s="9" cm="1">
        <f t="array" aca="1" ref="W412" ca="1">_xll.FDS($E$7,"P_PRICE("&amp;AK412&amp;",0,D,D)")</f>
        <v>84.47</v>
      </c>
      <c r="X412" s="24">
        <f t="shared" ca="1" si="110"/>
        <v>4.9964481531314942E-3</v>
      </c>
      <c r="Y412" s="24">
        <f t="shared" ca="1" si="111"/>
        <v>8.0068488106634916E-3</v>
      </c>
      <c r="Z412" s="24">
        <f t="shared" ca="1" si="112"/>
        <v>3.7438110017792514E-2</v>
      </c>
      <c r="AA412" s="24">
        <f t="shared" ca="1" si="113"/>
        <v>6.3700529024461883E-2</v>
      </c>
      <c r="AB412" s="9" cm="1">
        <f t="array" aca="1" ref="AB412" ca="1">_xll.FDS($E$9,"P_PRICE("&amp;AG412&amp;",0,D,D)")</f>
        <v>5475.09</v>
      </c>
      <c r="AC412" s="9" cm="1">
        <f t="array" aca="1" ref="AC412" ca="1">_xll.FDS($E$9,"P_PRICE("&amp;AH412&amp;",0,D,D)")</f>
        <v>5447.87</v>
      </c>
      <c r="AD412" s="9" cm="1">
        <f t="array" aca="1" ref="AD412" ca="1">_xll.FDS($E$9,"P_PRICE("&amp;AI412&amp;",0,D,D)")</f>
        <v>5431.6</v>
      </c>
      <c r="AE412" s="9" cm="1">
        <f t="array" aca="1" ref="AE412" ca="1">_xll.FDS($E$9,"P_PRICE("&amp;AJ412&amp;",0,D,D)")</f>
        <v>5277.51</v>
      </c>
      <c r="AF412" s="9" cm="1">
        <f t="array" aca="1" ref="AF412" ca="1">_xll.FDS($E$9,"P_PRICE("&amp;AK412&amp;",0,D,D)")</f>
        <v>5147.21</v>
      </c>
      <c r="AG412" s="20">
        <f t="shared" ca="1" si="119"/>
        <v>45474</v>
      </c>
      <c r="AH412" s="22">
        <f t="shared" ca="1" si="114"/>
        <v>45467</v>
      </c>
      <c r="AI412" s="22">
        <f t="shared" ca="1" si="115"/>
        <v>45457</v>
      </c>
      <c r="AJ412" s="22">
        <f t="shared" ca="1" si="116"/>
        <v>45443</v>
      </c>
      <c r="AK412" s="22">
        <f t="shared" ca="1" si="117"/>
        <v>45386</v>
      </c>
      <c r="AL412" s="22">
        <f t="shared" ca="1" si="118"/>
        <v>45299</v>
      </c>
    </row>
    <row r="413" spans="4:38" x14ac:dyDescent="0.25">
      <c r="D413" s="6">
        <f ca="1"/>
        <v>45471</v>
      </c>
      <c r="E413" s="28" cm="1">
        <f t="array" aca="1" ref="E413" ca="1">_xll.FDS($E$7,"P_PRICE("&amp;D413&amp;",0,D,D)")</f>
        <v>74.98</v>
      </c>
      <c r="F413" s="29" cm="1">
        <f t="array" aca="1" ref="F413" ca="1">_xll.FDS($E$7,"P_BETA_LOCIDX("&amp;$AG413&amp;","&amp;$AL413&amp;",,"""&amp;$E$9&amp;""")")</f>
        <v>1.2629406000000001</v>
      </c>
      <c r="G413" s="30">
        <f t="shared" ca="1" si="104"/>
        <v>-9.4694853913010156E-3</v>
      </c>
      <c r="H413" s="30">
        <f t="shared" ca="1" si="104"/>
        <v>-5.9617410308373114E-2</v>
      </c>
      <c r="I413" s="30">
        <f t="shared" ca="1" si="104"/>
        <v>-0.11655727857482331</v>
      </c>
      <c r="J413" s="30">
        <f t="shared" ca="1" si="102"/>
        <v>-0.18327802405564708</v>
      </c>
      <c r="K413" s="30">
        <f t="shared" ca="1" si="105"/>
        <v>-9.5680469712442341E-4</v>
      </c>
      <c r="L413" s="30">
        <f t="shared" ca="1" si="105"/>
        <v>6.2150621200131326E-3</v>
      </c>
      <c r="M413" s="30">
        <f t="shared" ca="1" si="105"/>
        <v>5.4276138004538309E-2</v>
      </c>
      <c r="N413" s="30">
        <f t="shared" ca="1" si="103"/>
        <v>6.0339668692446766E-2</v>
      </c>
      <c r="O413" s="30">
        <f t="shared" ca="1" si="106"/>
        <v>-1.0426290088425438E-2</v>
      </c>
      <c r="P413" s="30">
        <f t="shared" ca="1" si="107"/>
        <v>-5.3402348188359983E-2</v>
      </c>
      <c r="Q413" s="30">
        <f t="shared" ca="1" si="108"/>
        <v>-6.2281140570284999E-2</v>
      </c>
      <c r="R413" s="30">
        <f t="shared" ca="1" si="109"/>
        <v>-0.1229383553632003</v>
      </c>
      <c r="S413" s="9" cm="1">
        <f t="array" aca="1" ref="S413" ca="1">_xll.FDS($E$7,"P_PRICE("&amp;AG413&amp;",0,D,D)")</f>
        <v>74.98</v>
      </c>
      <c r="T413" s="9" cm="1">
        <f t="array" aca="1" ref="T413" ca="1">_xll.FDS($E$7,"P_PRICE("&amp;AH413&amp;",0,D,D)")</f>
        <v>75.77</v>
      </c>
      <c r="U413" s="9" cm="1">
        <f t="array" aca="1" ref="U413" ca="1">_xll.FDS($E$7,"P_PRICE("&amp;AI413&amp;",0,D,D)")</f>
        <v>79.209999999999994</v>
      </c>
      <c r="V413" s="9" cm="1">
        <f t="array" aca="1" ref="V413" ca="1">_xll.FDS($E$7,"P_PRICE("&amp;AJ413&amp;",0,D,D)")</f>
        <v>79.959999999999994</v>
      </c>
      <c r="W413" s="9" cm="1">
        <f t="array" aca="1" ref="W413" ca="1">_xll.FDS($E$7,"P_PRICE("&amp;AK413&amp;",0,D,D)")</f>
        <v>85.49</v>
      </c>
      <c r="X413" s="24">
        <f t="shared" ca="1" si="110"/>
        <v>-7.5760071148589514E-4</v>
      </c>
      <c r="Y413" s="24">
        <f t="shared" ca="1" si="111"/>
        <v>4.9211040646037763E-3</v>
      </c>
      <c r="Z413" s="24">
        <f t="shared" ca="1" si="112"/>
        <v>4.2976002200371344E-2</v>
      </c>
      <c r="AA413" s="24">
        <f t="shared" ca="1" si="113"/>
        <v>4.7777123241145913E-2</v>
      </c>
      <c r="AB413" s="9" cm="1">
        <f t="array" aca="1" ref="AB413" ca="1">_xll.FDS($E$9,"P_PRICE("&amp;AG413&amp;",0,D,D)")</f>
        <v>5460.48</v>
      </c>
      <c r="AC413" s="9" cm="1">
        <f t="array" aca="1" ref="AC413" ca="1">_xll.FDS($E$9,"P_PRICE("&amp;AH413&amp;",0,D,D)")</f>
        <v>5464.62</v>
      </c>
      <c r="AD413" s="9" cm="1">
        <f t="array" aca="1" ref="AD413" ca="1">_xll.FDS($E$9,"P_PRICE("&amp;AI413&amp;",0,D,D)")</f>
        <v>5433.74</v>
      </c>
      <c r="AE413" s="9" cm="1">
        <f t="array" aca="1" ref="AE413" ca="1">_xll.FDS($E$9,"P_PRICE("&amp;AJ413&amp;",0,D,D)")</f>
        <v>5235.4799999999996</v>
      </c>
      <c r="AF413" s="9" cm="1">
        <f t="array" aca="1" ref="AF413" ca="1">_xll.FDS($E$9,"P_PRICE("&amp;AK413&amp;",0,D,D)")</f>
        <v>5211.49</v>
      </c>
      <c r="AG413" s="20">
        <f t="shared" ca="1" si="119"/>
        <v>45471</v>
      </c>
      <c r="AH413" s="22">
        <f t="shared" ca="1" si="114"/>
        <v>45464</v>
      </c>
      <c r="AI413" s="22">
        <f t="shared" ca="1" si="115"/>
        <v>45456</v>
      </c>
      <c r="AJ413" s="22">
        <f t="shared" ca="1" si="116"/>
        <v>45442</v>
      </c>
      <c r="AK413" s="22">
        <f t="shared" ca="1" si="117"/>
        <v>45385</v>
      </c>
      <c r="AL413" s="22">
        <f t="shared" ca="1" si="118"/>
        <v>45296</v>
      </c>
    </row>
    <row r="414" spans="4:38" x14ac:dyDescent="0.25">
      <c r="D414" s="6">
        <f ca="1"/>
        <v>45470</v>
      </c>
      <c r="E414" s="28" cm="1">
        <f t="array" aca="1" ref="E414" ca="1">_xll.FDS($E$7,"P_PRICE("&amp;D414&amp;",0,D,D)")</f>
        <v>74.5</v>
      </c>
      <c r="F414" s="29" cm="1">
        <f t="array" aca="1" ref="F414" ca="1">_xll.FDS($E$7,"P_BETA_LOCIDX("&amp;$AG414&amp;","&amp;$AL414&amp;",,"""&amp;$E$9&amp;""")")</f>
        <v>1.2726468</v>
      </c>
      <c r="G414" s="30">
        <f t="shared" ca="1" si="104"/>
        <v>-2.1605232179021532E-2</v>
      </c>
      <c r="H414" s="30">
        <f t="shared" ca="1" si="104"/>
        <v>-7.9527664691774039E-2</v>
      </c>
      <c r="I414" s="30">
        <f t="shared" ca="1" si="104"/>
        <v>-9.8389363801217558E-2</v>
      </c>
      <c r="J414" s="30">
        <f t="shared" ca="1" si="102"/>
        <v>-0.18492590339384499</v>
      </c>
      <c r="K414" s="30">
        <f t="shared" ca="1" si="105"/>
        <v>2.2554888592900392E-3</v>
      </c>
      <c r="L414" s="30">
        <f t="shared" ca="1" si="105"/>
        <v>1.4517624531131434E-2</v>
      </c>
      <c r="M414" s="30">
        <f t="shared" ca="1" si="105"/>
        <v>5.2172490161478749E-2</v>
      </c>
      <c r="N414" s="30">
        <f t="shared" ca="1" si="103"/>
        <v>6.7731923064422023E-2</v>
      </c>
      <c r="O414" s="30">
        <f t="shared" ca="1" si="106"/>
        <v>-1.9349743319731494E-2</v>
      </c>
      <c r="P414" s="30">
        <f t="shared" ca="1" si="107"/>
        <v>-6.5010040160642601E-2</v>
      </c>
      <c r="Q414" s="30">
        <f t="shared" ca="1" si="108"/>
        <v>-4.6216873639738809E-2</v>
      </c>
      <c r="R414" s="30">
        <f t="shared" ca="1" si="109"/>
        <v>-0.11719398032942296</v>
      </c>
      <c r="S414" s="9" cm="1">
        <f t="array" aca="1" ref="S414" ca="1">_xll.FDS($E$7,"P_PRICE("&amp;AG414&amp;",0,D,D)")</f>
        <v>74.5</v>
      </c>
      <c r="T414" s="9" cm="1">
        <f t="array" aca="1" ref="T414" ca="1">_xll.FDS($E$7,"P_PRICE("&amp;AH414&amp;",0,D,D)")</f>
        <v>75.97</v>
      </c>
      <c r="U414" s="9" cm="1">
        <f t="array" aca="1" ref="U414" ca="1">_xll.FDS($E$7,"P_PRICE("&amp;AI414&amp;",0,D,D)")</f>
        <v>79.680000000000007</v>
      </c>
      <c r="V414" s="9" cm="1">
        <f t="array" aca="1" ref="V414" ca="1">_xll.FDS($E$7,"P_PRICE("&amp;AJ414&amp;",0,D,D)")</f>
        <v>78.11</v>
      </c>
      <c r="W414" s="9" cm="1">
        <f t="array" aca="1" ref="W414" ca="1">_xll.FDS($E$7,"P_PRICE("&amp;AK414&amp;",0,D,D)")</f>
        <v>84.39</v>
      </c>
      <c r="X414" s="24">
        <f t="shared" ca="1" si="110"/>
        <v>1.7722818768648452E-3</v>
      </c>
      <c r="Y414" s="24">
        <f t="shared" ca="1" si="111"/>
        <v>1.1407426264012477E-2</v>
      </c>
      <c r="Z414" s="24">
        <f t="shared" ca="1" si="112"/>
        <v>4.0995262913071207E-2</v>
      </c>
      <c r="AA414" s="24">
        <f t="shared" ca="1" si="113"/>
        <v>5.3221304657680379E-2</v>
      </c>
      <c r="AB414" s="9" cm="1">
        <f t="array" aca="1" ref="AB414" ca="1">_xll.FDS($E$9,"P_PRICE("&amp;AG414&amp;",0,D,D)")</f>
        <v>5482.87</v>
      </c>
      <c r="AC414" s="9" cm="1">
        <f t="array" aca="1" ref="AC414" ca="1">_xll.FDS($E$9,"P_PRICE("&amp;AH414&amp;",0,D,D)")</f>
        <v>5473.17</v>
      </c>
      <c r="AD414" s="9" cm="1">
        <f t="array" aca="1" ref="AD414" ca="1">_xll.FDS($E$9,"P_PRICE("&amp;AI414&amp;",0,D,D)")</f>
        <v>5421.03</v>
      </c>
      <c r="AE414" s="9" cm="1">
        <f t="array" aca="1" ref="AE414" ca="1">_xll.FDS($E$9,"P_PRICE("&amp;AJ414&amp;",0,D,D)")</f>
        <v>5266.95</v>
      </c>
      <c r="AF414" s="9" cm="1">
        <f t="array" aca="1" ref="AF414" ca="1">_xll.FDS($E$9,"P_PRICE("&amp;AK414&amp;",0,D,D)")</f>
        <v>5205.8100000000004</v>
      </c>
      <c r="AG414" s="20">
        <f t="shared" ca="1" si="119"/>
        <v>45470</v>
      </c>
      <c r="AH414" s="22">
        <f t="shared" ca="1" si="114"/>
        <v>45463</v>
      </c>
      <c r="AI414" s="22">
        <f t="shared" ca="1" si="115"/>
        <v>45455</v>
      </c>
      <c r="AJ414" s="22">
        <f t="shared" ca="1" si="116"/>
        <v>45441</v>
      </c>
      <c r="AK414" s="22">
        <f t="shared" ca="1" si="117"/>
        <v>45384</v>
      </c>
      <c r="AL414" s="22">
        <f t="shared" ca="1" si="118"/>
        <v>45295</v>
      </c>
    </row>
    <row r="415" spans="4:38" x14ac:dyDescent="0.25">
      <c r="D415" s="6">
        <f ca="1"/>
        <v>45469</v>
      </c>
      <c r="E415" s="28" cm="1">
        <f t="array" aca="1" ref="E415" ca="1">_xll.FDS($E$7,"P_PRICE("&amp;D415&amp;",0,D,D)")</f>
        <v>72.72</v>
      </c>
      <c r="F415" s="29" cm="1">
        <f t="array" aca="1" ref="F415" ca="1">_xll.FDS($E$7,"P_BETA_LOCIDX("&amp;$AG415&amp;","&amp;$AL415&amp;",,"""&amp;$E$9&amp;""")")</f>
        <v>1.3034714000000001</v>
      </c>
      <c r="G415" s="30">
        <f t="shared" ca="1" si="104"/>
        <v>-6.4086900989569581E-2</v>
      </c>
      <c r="H415" s="30">
        <f t="shared" ca="1" si="104"/>
        <v>-9.4713649511636647E-2</v>
      </c>
      <c r="I415" s="30">
        <f t="shared" ca="1" si="104"/>
        <v>-0.12461626753035715</v>
      </c>
      <c r="J415" s="30">
        <f t="shared" ca="1" si="102"/>
        <v>-0.20125807781227678</v>
      </c>
      <c r="K415" s="30">
        <f t="shared" ca="1" si="105"/>
        <v>-2.1688771306153259E-3</v>
      </c>
      <c r="L415" s="30">
        <f t="shared" ca="1" si="105"/>
        <v>2.4874816050393222E-2</v>
      </c>
      <c r="M415" s="30">
        <f t="shared" ca="1" si="105"/>
        <v>4.2218791189663103E-2</v>
      </c>
      <c r="N415" s="30">
        <f t="shared" ca="1" si="103"/>
        <v>5.819892155491168E-2</v>
      </c>
      <c r="O415" s="30">
        <f t="shared" ca="1" si="106"/>
        <v>-6.6255778120184905E-2</v>
      </c>
      <c r="P415" s="30">
        <f t="shared" ca="1" si="107"/>
        <v>-6.9838833461243421E-2</v>
      </c>
      <c r="Q415" s="30">
        <f t="shared" ca="1" si="108"/>
        <v>-8.2397476340694054E-2</v>
      </c>
      <c r="R415" s="30">
        <f t="shared" ca="1" si="109"/>
        <v>-0.14305915625736509</v>
      </c>
      <c r="S415" s="9" cm="1">
        <f t="array" aca="1" ref="S415" ca="1">_xll.FDS($E$7,"P_PRICE("&amp;AG415&amp;",0,D,D)")</f>
        <v>72.72</v>
      </c>
      <c r="T415" s="9" cm="1">
        <f t="array" aca="1" ref="T415" ca="1">_xll.FDS($E$7,"P_PRICE("&amp;AH415&amp;",0,D,D)")</f>
        <v>77.88</v>
      </c>
      <c r="U415" s="9" cm="1">
        <f t="array" aca="1" ref="U415" ca="1">_xll.FDS($E$7,"P_PRICE("&amp;AI415&amp;",0,D,D)")</f>
        <v>78.180000000000007</v>
      </c>
      <c r="V415" s="9" cm="1">
        <f t="array" aca="1" ref="V415" ca="1">_xll.FDS($E$7,"P_PRICE("&amp;AJ415&amp;",0,D,D)")</f>
        <v>79.25</v>
      </c>
      <c r="W415" s="9" cm="1">
        <f t="array" aca="1" ref="W415" ca="1">_xll.FDS($E$7,"P_PRICE("&amp;AK415&amp;",0,D,D)")</f>
        <v>84.86</v>
      </c>
      <c r="X415" s="24">
        <f t="shared" ca="1" si="110"/>
        <v>-1.663923834934411E-3</v>
      </c>
      <c r="Y415" s="24">
        <f t="shared" ca="1" si="111"/>
        <v>1.9083515027942477E-2</v>
      </c>
      <c r="Z415" s="24">
        <f t="shared" ca="1" si="112"/>
        <v>3.2389503283051013E-2</v>
      </c>
      <c r="AA415" s="24">
        <f t="shared" ca="1" si="113"/>
        <v>4.4649174162863625E-2</v>
      </c>
      <c r="AB415" s="9" cm="1">
        <f t="array" aca="1" ref="AB415" ca="1">_xll.FDS($E$9,"P_PRICE("&amp;AG415&amp;",0,D,D)")</f>
        <v>5477.9</v>
      </c>
      <c r="AC415" s="9" cm="1">
        <f t="array" aca="1" ref="AC415" ca="1">_xll.FDS($E$9,"P_PRICE("&amp;AH415&amp;",0,D,D)")</f>
        <v>5487.03</v>
      </c>
      <c r="AD415" s="9" cm="1">
        <f t="array" aca="1" ref="AD415" ca="1">_xll.FDS($E$9,"P_PRICE("&amp;AI415&amp;",0,D,D)")</f>
        <v>5375.32</v>
      </c>
      <c r="AE415" s="9" cm="1">
        <f t="array" aca="1" ref="AE415" ca="1">_xll.FDS($E$9,"P_PRICE("&amp;AJ415&amp;",0,D,D)")</f>
        <v>5306.04</v>
      </c>
      <c r="AF415" s="9" cm="1">
        <f t="array" aca="1" ref="AF415" ca="1">_xll.FDS($E$9,"P_PRICE("&amp;AK415&amp;",0,D,D)")</f>
        <v>5243.77</v>
      </c>
      <c r="AG415" s="20">
        <f t="shared" ca="1" si="119"/>
        <v>45469</v>
      </c>
      <c r="AH415" s="22">
        <f t="shared" ca="1" si="114"/>
        <v>45461</v>
      </c>
      <c r="AI415" s="22">
        <f t="shared" ca="1" si="115"/>
        <v>45454</v>
      </c>
      <c r="AJ415" s="22">
        <f t="shared" ca="1" si="116"/>
        <v>45440</v>
      </c>
      <c r="AK415" s="22">
        <f t="shared" ca="1" si="117"/>
        <v>45383</v>
      </c>
      <c r="AL415" s="22">
        <f t="shared" ca="1" si="118"/>
        <v>45294</v>
      </c>
    </row>
    <row r="416" spans="4:38" x14ac:dyDescent="0.25">
      <c r="D416" s="6">
        <f ca="1"/>
        <v>45468</v>
      </c>
      <c r="E416" s="28" cm="1">
        <f t="array" aca="1" ref="E416" ca="1">_xll.FDS($E$7,"P_PRICE("&amp;D416&amp;",0,D,D)")</f>
        <v>73.08</v>
      </c>
      <c r="F416" s="29" cm="1">
        <f t="array" aca="1" ref="F416" ca="1">_xll.FDS($E$7,"P_BETA_LOCIDX("&amp;$AG416&amp;","&amp;$AL416&amp;",,"""&amp;$E$9&amp;""")")</f>
        <v>1.3093379999999999</v>
      </c>
      <c r="G416" s="30">
        <f t="shared" ca="1" si="104"/>
        <v>-7.0706183943997566E-2</v>
      </c>
      <c r="H416" s="30">
        <f t="shared" ca="1" si="104"/>
        <v>-0.10633161840969164</v>
      </c>
      <c r="I416" s="30">
        <f t="shared" ca="1" si="104"/>
        <v>-0.14875037204053682</v>
      </c>
      <c r="J416" s="30">
        <f t="shared" ca="1" si="102"/>
        <v>-0.20635753634016213</v>
      </c>
      <c r="K416" s="30">
        <f t="shared" ca="1" si="105"/>
        <v>-9.4015751941707007E-4</v>
      </c>
      <c r="L416" s="30">
        <f t="shared" ca="1" si="105"/>
        <v>2.6502859910573013E-2</v>
      </c>
      <c r="M416" s="30">
        <f t="shared" ca="1" si="105"/>
        <v>4.0622473578247387E-2</v>
      </c>
      <c r="N416" s="30">
        <f t="shared" ca="1" si="103"/>
        <v>5.3563657369607956E-2</v>
      </c>
      <c r="O416" s="30">
        <f t="shared" ca="1" si="106"/>
        <v>-7.1646341463414642E-2</v>
      </c>
      <c r="P416" s="30">
        <f t="shared" ca="1" si="107"/>
        <v>-7.9828758499118635E-2</v>
      </c>
      <c r="Q416" s="30">
        <f t="shared" ca="1" si="108"/>
        <v>-0.10812789846228943</v>
      </c>
      <c r="R416" s="30">
        <f t="shared" ca="1" si="109"/>
        <v>-0.15279387897055419</v>
      </c>
      <c r="S416" s="9" cm="1">
        <f t="array" aca="1" ref="S416" ca="1">_xll.FDS($E$7,"P_PRICE("&amp;AG416&amp;",0,D,D)")</f>
        <v>73.08</v>
      </c>
      <c r="T416" s="9" cm="1">
        <f t="array" aca="1" ref="T416" ca="1">_xll.FDS($E$7,"P_PRICE("&amp;AH416&amp;",0,D,D)")</f>
        <v>78.72</v>
      </c>
      <c r="U416" s="9" cm="1">
        <f t="array" aca="1" ref="U416" ca="1">_xll.FDS($E$7,"P_PRICE("&amp;AI416&amp;",0,D,D)")</f>
        <v>79.42</v>
      </c>
      <c r="V416" s="9" cm="1">
        <f t="array" aca="1" ref="V416" ca="1">_xll.FDS($E$7,"P_PRICE("&amp;AJ416&amp;",0,D,D)")</f>
        <v>81.94</v>
      </c>
      <c r="W416" s="9" cm="1">
        <f t="array" aca="1" ref="W416" ca="1">_xll.FDS($E$7,"P_PRICE("&amp;AK416&amp;",0,D,D)")</f>
        <v>86.26</v>
      </c>
      <c r="X416" s="24">
        <f t="shared" ca="1" si="110"/>
        <v>-7.1804035277145406E-4</v>
      </c>
      <c r="Y416" s="24">
        <f t="shared" ca="1" si="111"/>
        <v>2.0241419641508163E-2</v>
      </c>
      <c r="Z416" s="24">
        <f t="shared" ca="1" si="112"/>
        <v>3.102520019906807E-2</v>
      </c>
      <c r="AA416" s="24">
        <f t="shared" ca="1" si="113"/>
        <v>4.0908961146478573E-2</v>
      </c>
      <c r="AB416" s="9" cm="1">
        <f t="array" aca="1" ref="AB416" ca="1">_xll.FDS($E$9,"P_PRICE("&amp;AG416&amp;",0,D,D)")</f>
        <v>5469.3</v>
      </c>
      <c r="AC416" s="9" cm="1">
        <f t="array" aca="1" ref="AC416" ca="1">_xll.FDS($E$9,"P_PRICE("&amp;AH416&amp;",0,D,D)")</f>
        <v>5473.23</v>
      </c>
      <c r="AD416" s="9" cm="1">
        <f t="array" aca="1" ref="AD416" ca="1">_xll.FDS($E$9,"P_PRICE("&amp;AI416&amp;",0,D,D)")</f>
        <v>5360.79</v>
      </c>
      <c r="AE416" s="9" cm="1">
        <f t="array" aca="1" ref="AE416" ca="1">_xll.FDS($E$9,"P_PRICE("&amp;AJ416&amp;",0,D,D)")</f>
        <v>5304.72</v>
      </c>
      <c r="AF416" s="9" cm="1">
        <f t="array" aca="1" ref="AF416" ca="1">_xll.FDS($E$9,"P_PRICE("&amp;AK416&amp;",0,D,D)")</f>
        <v>5254.35</v>
      </c>
      <c r="AG416" s="20">
        <f t="shared" ca="1" si="119"/>
        <v>45468</v>
      </c>
      <c r="AH416" s="22">
        <f t="shared" ca="1" si="114"/>
        <v>45460</v>
      </c>
      <c r="AI416" s="22">
        <f t="shared" ca="1" si="115"/>
        <v>45453</v>
      </c>
      <c r="AJ416" s="22">
        <f t="shared" ca="1" si="116"/>
        <v>45436</v>
      </c>
      <c r="AK416" s="22">
        <f t="shared" ca="1" si="117"/>
        <v>45379</v>
      </c>
      <c r="AL416" s="22">
        <f t="shared" ca="1" si="118"/>
        <v>45293</v>
      </c>
    </row>
    <row r="417" spans="4:38" x14ac:dyDescent="0.25">
      <c r="D417" s="6">
        <f ca="1"/>
        <v>45467</v>
      </c>
      <c r="E417" s="28" cm="1">
        <f t="array" aca="1" ref="E417" ca="1">_xll.FDS($E$7,"P_PRICE("&amp;D417&amp;",0,D,D)")</f>
        <v>74.099999999999994</v>
      </c>
      <c r="F417" s="29" cm="1">
        <f t="array" aca="1" ref="F417" ca="1">_xll.FDS($E$7,"P_BETA_LOCIDX("&amp;$AG417&amp;","&amp;$AL417&amp;",,"""&amp;$E$9&amp;""")")</f>
        <v>1.3127899999999999</v>
      </c>
      <c r="G417" s="30">
        <f t="shared" ca="1" si="104"/>
        <v>-3.5937601309478984E-2</v>
      </c>
      <c r="H417" s="30">
        <f t="shared" ca="1" si="104"/>
        <v>-7.2570622720784045E-2</v>
      </c>
      <c r="I417" s="30">
        <f t="shared" ca="1" si="104"/>
        <v>-0.12333781577161823</v>
      </c>
      <c r="J417" s="30">
        <f t="shared" ca="1" si="102"/>
        <v>-0.1884427820534616</v>
      </c>
      <c r="K417" s="30">
        <f t="shared" ca="1" si="105"/>
        <v>3.9323759665658162E-3</v>
      </c>
      <c r="L417" s="30">
        <f t="shared" ca="1" si="105"/>
        <v>2.47680012867054E-2</v>
      </c>
      <c r="M417" s="30">
        <f t="shared" ca="1" si="105"/>
        <v>4.4864989008777729E-2</v>
      </c>
      <c r="N417" s="30">
        <f t="shared" ca="1" si="103"/>
        <v>4.9870357036023778E-2</v>
      </c>
      <c r="O417" s="30">
        <f t="shared" ca="1" si="106"/>
        <v>-3.2005225342913168E-2</v>
      </c>
      <c r="P417" s="30">
        <f t="shared" ca="1" si="107"/>
        <v>-4.7802621434078651E-2</v>
      </c>
      <c r="Q417" s="30">
        <f t="shared" ca="1" si="108"/>
        <v>-7.8472826762840509E-2</v>
      </c>
      <c r="R417" s="30">
        <f t="shared" ca="1" si="109"/>
        <v>-0.13857242501743783</v>
      </c>
      <c r="S417" s="9" cm="1">
        <f t="array" aca="1" ref="S417" ca="1">_xll.FDS($E$7,"P_PRICE("&amp;AG417&amp;",0,D,D)")</f>
        <v>74.099999999999994</v>
      </c>
      <c r="T417" s="9" cm="1">
        <f t="array" aca="1" ref="T417" ca="1">_xll.FDS($E$7,"P_PRICE("&amp;AH417&amp;",0,D,D)")</f>
        <v>76.55</v>
      </c>
      <c r="U417" s="9" cm="1">
        <f t="array" aca="1" ref="U417" ca="1">_xll.FDS($E$7,"P_PRICE("&amp;AI417&amp;",0,D,D)")</f>
        <v>77.819999999999993</v>
      </c>
      <c r="V417" s="9" cm="1">
        <f t="array" aca="1" ref="V417" ca="1">_xll.FDS($E$7,"P_PRICE("&amp;AJ417&amp;",0,D,D)")</f>
        <v>80.41</v>
      </c>
      <c r="W417" s="9" cm="1">
        <f t="array" aca="1" ref="W417" ca="1">_xll.FDS($E$7,"P_PRICE("&amp;AK417&amp;",0,D,D)")</f>
        <v>86.02</v>
      </c>
      <c r="X417" s="24">
        <f t="shared" ca="1" si="110"/>
        <v>2.9954341262241613E-3</v>
      </c>
      <c r="Y417" s="24">
        <f t="shared" ca="1" si="111"/>
        <v>1.8866689483242105E-2</v>
      </c>
      <c r="Z417" s="24">
        <f t="shared" ca="1" si="112"/>
        <v>3.4175297655205883E-2</v>
      </c>
      <c r="AA417" s="24">
        <f t="shared" ca="1" si="113"/>
        <v>3.7988068949355025E-2</v>
      </c>
      <c r="AB417" s="9" cm="1">
        <f t="array" aca="1" ref="AB417" ca="1">_xll.FDS($E$9,"P_PRICE("&amp;AG417&amp;",0,D,D)")</f>
        <v>5447.87</v>
      </c>
      <c r="AC417" s="9" cm="1">
        <f t="array" aca="1" ref="AC417" ca="1">_xll.FDS($E$9,"P_PRICE("&amp;AH417&amp;",0,D,D)")</f>
        <v>5431.6</v>
      </c>
      <c r="AD417" s="9" cm="1">
        <f t="array" aca="1" ref="AD417" ca="1">_xll.FDS($E$9,"P_PRICE("&amp;AI417&amp;",0,D,D)")</f>
        <v>5346.99</v>
      </c>
      <c r="AE417" s="9" cm="1">
        <f t="array" aca="1" ref="AE417" ca="1">_xll.FDS($E$9,"P_PRICE("&amp;AJ417&amp;",0,D,D)")</f>
        <v>5267.84</v>
      </c>
      <c r="AF417" s="9" cm="1">
        <f t="array" aca="1" ref="AF417" ca="1">_xll.FDS($E$9,"P_PRICE("&amp;AK417&amp;",0,D,D)")</f>
        <v>5248.49</v>
      </c>
      <c r="AG417" s="20">
        <f t="shared" ca="1" si="119"/>
        <v>45467</v>
      </c>
      <c r="AH417" s="22">
        <f t="shared" ca="1" si="114"/>
        <v>45457</v>
      </c>
      <c r="AI417" s="22">
        <f t="shared" ca="1" si="115"/>
        <v>45450</v>
      </c>
      <c r="AJ417" s="22">
        <f t="shared" ca="1" si="116"/>
        <v>45435</v>
      </c>
      <c r="AK417" s="22">
        <f t="shared" ca="1" si="117"/>
        <v>45378</v>
      </c>
      <c r="AL417" s="22">
        <f t="shared" ca="1" si="118"/>
        <v>45289</v>
      </c>
    </row>
    <row r="418" spans="4:38" x14ac:dyDescent="0.25">
      <c r="D418" s="6">
        <f ca="1"/>
        <v>45464</v>
      </c>
      <c r="E418" s="28" cm="1">
        <f t="array" aca="1" ref="E418" ca="1">_xll.FDS($E$7,"P_PRICE("&amp;D418&amp;",0,D,D)")</f>
        <v>75.77</v>
      </c>
      <c r="F418" s="29" cm="1">
        <f t="array" aca="1" ref="F418" ca="1">_xll.FDS($E$7,"P_BETA_LOCIDX("&amp;$AG418&amp;","&amp;$AL418&amp;",,"""&amp;$E$9&amp;""")")</f>
        <v>1.2999384</v>
      </c>
      <c r="G418" s="30">
        <f t="shared" ca="1" si="104"/>
        <v>-5.0816423216281992E-2</v>
      </c>
      <c r="H418" s="30">
        <f t="shared" ca="1" si="104"/>
        <v>-4.7669305766783368E-2</v>
      </c>
      <c r="I418" s="30">
        <f t="shared" ca="1" si="104"/>
        <v>-9.443170781734922E-2</v>
      </c>
      <c r="J418" s="30">
        <f t="shared" ca="1" si="102"/>
        <v>-0.19628999336946268</v>
      </c>
      <c r="K418" s="30">
        <f t="shared" ca="1" si="105"/>
        <v>7.3875632238568105E-3</v>
      </c>
      <c r="L418" s="30">
        <f t="shared" ca="1" si="105"/>
        <v>2.7116048269368597E-2</v>
      </c>
      <c r="M418" s="30">
        <f t="shared" ca="1" si="105"/>
        <v>3.8606162646009579E-2</v>
      </c>
      <c r="N418" s="30">
        <f t="shared" ca="1" si="103"/>
        <v>6.5212011718086479E-2</v>
      </c>
      <c r="O418" s="30">
        <f t="shared" ca="1" si="106"/>
        <v>-4.3428859992425184E-2</v>
      </c>
      <c r="P418" s="30">
        <f t="shared" ca="1" si="107"/>
        <v>-2.0553257497414767E-2</v>
      </c>
      <c r="Q418" s="30">
        <f t="shared" ca="1" si="108"/>
        <v>-5.5825545171339641E-2</v>
      </c>
      <c r="R418" s="30">
        <f t="shared" ca="1" si="109"/>
        <v>-0.13107798165137619</v>
      </c>
      <c r="S418" s="9" cm="1">
        <f t="array" aca="1" ref="S418" ca="1">_xll.FDS($E$7,"P_PRICE("&amp;AG418&amp;",0,D,D)")</f>
        <v>75.77</v>
      </c>
      <c r="T418" s="9" cm="1">
        <f t="array" aca="1" ref="T418" ca="1">_xll.FDS($E$7,"P_PRICE("&amp;AH418&amp;",0,D,D)")</f>
        <v>79.209999999999994</v>
      </c>
      <c r="U418" s="9" cm="1">
        <f t="array" aca="1" ref="U418" ca="1">_xll.FDS($E$7,"P_PRICE("&amp;AI418&amp;",0,D,D)")</f>
        <v>77.36</v>
      </c>
      <c r="V418" s="9" cm="1">
        <f t="array" aca="1" ref="V418" ca="1">_xll.FDS($E$7,"P_PRICE("&amp;AJ418&amp;",0,D,D)")</f>
        <v>80.25</v>
      </c>
      <c r="W418" s="9" cm="1">
        <f t="array" aca="1" ref="W418" ca="1">_xll.FDS($E$7,"P_PRICE("&amp;AK418&amp;",0,D,D)")</f>
        <v>87.2</v>
      </c>
      <c r="X418" s="24">
        <f t="shared" ca="1" si="110"/>
        <v>5.6830102286822282E-3</v>
      </c>
      <c r="Y418" s="24">
        <f t="shared" ca="1" si="111"/>
        <v>2.0859487087517836E-2</v>
      </c>
      <c r="Z418" s="24">
        <f t="shared" ca="1" si="112"/>
        <v>2.9698455439126636E-2</v>
      </c>
      <c r="AA418" s="24">
        <f t="shared" ca="1" si="113"/>
        <v>5.0165463008159827E-2</v>
      </c>
      <c r="AB418" s="9" cm="1">
        <f t="array" aca="1" ref="AB418" ca="1">_xll.FDS($E$9,"P_PRICE("&amp;AG418&amp;",0,D,D)")</f>
        <v>5464.62</v>
      </c>
      <c r="AC418" s="9" cm="1">
        <f t="array" aca="1" ref="AC418" ca="1">_xll.FDS($E$9,"P_PRICE("&amp;AH418&amp;",0,D,D)")</f>
        <v>5433.74</v>
      </c>
      <c r="AD418" s="9" cm="1">
        <f t="array" aca="1" ref="AD418" ca="1">_xll.FDS($E$9,"P_PRICE("&amp;AI418&amp;",0,D,D)")</f>
        <v>5352.96</v>
      </c>
      <c r="AE418" s="9" cm="1">
        <f t="array" aca="1" ref="AE418" ca="1">_xll.FDS($E$9,"P_PRICE("&amp;AJ418&amp;",0,D,D)")</f>
        <v>5307.01</v>
      </c>
      <c r="AF418" s="9" cm="1">
        <f t="array" aca="1" ref="AF418" ca="1">_xll.FDS($E$9,"P_PRICE("&amp;AK418&amp;",0,D,D)")</f>
        <v>5203.58</v>
      </c>
      <c r="AG418" s="20">
        <f t="shared" ca="1" si="119"/>
        <v>45464</v>
      </c>
      <c r="AH418" s="22">
        <f t="shared" ca="1" si="114"/>
        <v>45456</v>
      </c>
      <c r="AI418" s="22">
        <f t="shared" ca="1" si="115"/>
        <v>45449</v>
      </c>
      <c r="AJ418" s="22">
        <f t="shared" ca="1" si="116"/>
        <v>45434</v>
      </c>
      <c r="AK418" s="22">
        <f t="shared" ca="1" si="117"/>
        <v>45377</v>
      </c>
      <c r="AL418" s="22">
        <f t="shared" ca="1" si="118"/>
        <v>45288</v>
      </c>
    </row>
    <row r="419" spans="4:38" x14ac:dyDescent="0.25">
      <c r="D419" s="6">
        <f ca="1"/>
        <v>45463</v>
      </c>
      <c r="E419" s="28" cm="1">
        <f t="array" aca="1" ref="E419" ca="1">_xll.FDS($E$7,"P_PRICE("&amp;D419&amp;",0,D,D)")</f>
        <v>75.97</v>
      </c>
      <c r="F419" s="29" cm="1">
        <f t="array" aca="1" ref="F419" ca="1">_xll.FDS($E$7,"P_BETA_LOCIDX("&amp;$AG419&amp;","&amp;$AL419&amp;",,"""&amp;$E$9&amp;""")")</f>
        <v>1.2999719000000001</v>
      </c>
      <c r="G419" s="30">
        <f t="shared" ca="1" si="104"/>
        <v>-5.906450263870415E-2</v>
      </c>
      <c r="H419" s="30">
        <f t="shared" ca="1" si="104"/>
        <v>-5.9922388497339218E-2</v>
      </c>
      <c r="I419" s="30">
        <f t="shared" ca="1" si="104"/>
        <v>-0.10044431414949742</v>
      </c>
      <c r="J419" s="30">
        <f t="shared" ca="1" si="102"/>
        <v>-0.18970039332133745</v>
      </c>
      <c r="K419" s="30">
        <f t="shared" ca="1" si="105"/>
        <v>1.250325765878439E-2</v>
      </c>
      <c r="L419" s="30">
        <f t="shared" ca="1" si="105"/>
        <v>2.8927490538155468E-2</v>
      </c>
      <c r="M419" s="30">
        <f t="shared" ca="1" si="105"/>
        <v>3.7073583043591894E-2</v>
      </c>
      <c r="N419" s="30">
        <f t="shared" ca="1" si="103"/>
        <v>6.3521419316276501E-2</v>
      </c>
      <c r="O419" s="30">
        <f t="shared" ca="1" si="106"/>
        <v>-4.6561244979919758E-2</v>
      </c>
      <c r="P419" s="30">
        <f t="shared" ca="1" si="107"/>
        <v>-3.0994897959183754E-2</v>
      </c>
      <c r="Q419" s="30">
        <f t="shared" ca="1" si="108"/>
        <v>-6.337073110590552E-2</v>
      </c>
      <c r="R419" s="30">
        <f t="shared" ca="1" si="109"/>
        <v>-0.12617897400506095</v>
      </c>
      <c r="S419" s="9" cm="1">
        <f t="array" aca="1" ref="S419" ca="1">_xll.FDS($E$7,"P_PRICE("&amp;AG419&amp;",0,D,D)")</f>
        <v>75.97</v>
      </c>
      <c r="T419" s="9" cm="1">
        <f t="array" aca="1" ref="T419" ca="1">_xll.FDS($E$7,"P_PRICE("&amp;AH419&amp;",0,D,D)")</f>
        <v>79.680000000000007</v>
      </c>
      <c r="U419" s="9" cm="1">
        <f t="array" aca="1" ref="U419" ca="1">_xll.FDS($E$7,"P_PRICE("&amp;AI419&amp;",0,D,D)")</f>
        <v>78.400000000000006</v>
      </c>
      <c r="V419" s="9" cm="1">
        <f t="array" aca="1" ref="V419" ca="1">_xll.FDS($E$7,"P_PRICE("&amp;AJ419&amp;",0,D,D)")</f>
        <v>81.11</v>
      </c>
      <c r="W419" s="9" cm="1">
        <f t="array" aca="1" ref="W419" ca="1">_xll.FDS($E$7,"P_PRICE("&amp;AK419&amp;",0,D,D)")</f>
        <v>86.94</v>
      </c>
      <c r="X419" s="24">
        <f t="shared" ca="1" si="110"/>
        <v>9.6180984056535301E-3</v>
      </c>
      <c r="Y419" s="24">
        <f t="shared" ca="1" si="111"/>
        <v>2.2252396792696416E-2</v>
      </c>
      <c r="Z419" s="24">
        <f t="shared" ca="1" si="112"/>
        <v>2.8518757246669635E-2</v>
      </c>
      <c r="AA419" s="24">
        <f t="shared" ca="1" si="113"/>
        <v>4.8863686450665966E-2</v>
      </c>
      <c r="AB419" s="9" cm="1">
        <f t="array" aca="1" ref="AB419" ca="1">_xll.FDS($E$9,"P_PRICE("&amp;AG419&amp;",0,D,D)")</f>
        <v>5473.17</v>
      </c>
      <c r="AC419" s="9" cm="1">
        <f t="array" aca="1" ref="AC419" ca="1">_xll.FDS($E$9,"P_PRICE("&amp;AH419&amp;",0,D,D)")</f>
        <v>5421.03</v>
      </c>
      <c r="AD419" s="9" cm="1">
        <f t="array" aca="1" ref="AD419" ca="1">_xll.FDS($E$9,"P_PRICE("&amp;AI419&amp;",0,D,D)")</f>
        <v>5354.03</v>
      </c>
      <c r="AE419" s="9" cm="1">
        <f t="array" aca="1" ref="AE419" ca="1">_xll.FDS($E$9,"P_PRICE("&amp;AJ419&amp;",0,D,D)")</f>
        <v>5321.41</v>
      </c>
      <c r="AF419" s="9" cm="1">
        <f t="array" aca="1" ref="AF419" ca="1">_xll.FDS($E$9,"P_PRICE("&amp;AK419&amp;",0,D,D)")</f>
        <v>5218.1899999999996</v>
      </c>
      <c r="AG419" s="20">
        <f t="shared" ca="1" si="119"/>
        <v>45463</v>
      </c>
      <c r="AH419" s="22">
        <f t="shared" ca="1" si="114"/>
        <v>45455</v>
      </c>
      <c r="AI419" s="22">
        <f t="shared" ca="1" si="115"/>
        <v>45448</v>
      </c>
      <c r="AJ419" s="22">
        <f t="shared" ca="1" si="116"/>
        <v>45433</v>
      </c>
      <c r="AK419" s="22">
        <f t="shared" ca="1" si="117"/>
        <v>45376</v>
      </c>
      <c r="AL419" s="22">
        <f t="shared" ca="1" si="118"/>
        <v>45287</v>
      </c>
    </row>
    <row r="420" spans="4:38" x14ac:dyDescent="0.25">
      <c r="D420" s="6">
        <f ca="1"/>
        <v>45461</v>
      </c>
      <c r="E420" s="28" cm="1">
        <f t="array" aca="1" ref="E420" ca="1">_xll.FDS($E$7,"P_PRICE("&amp;D420&amp;",0,D,D)")</f>
        <v>77.88</v>
      </c>
      <c r="F420" s="29" cm="1">
        <f t="array" aca="1" ref="F420" ca="1">_xll.FDS($E$7,"P_BETA_LOCIDX("&amp;$AG420&amp;","&amp;$AL420&amp;",,"""&amp;$E$9&amp;""")")</f>
        <v>1.2880672</v>
      </c>
      <c r="G420" s="30">
        <f t="shared" ca="1" si="104"/>
        <v>-3.0605934997330813E-2</v>
      </c>
      <c r="H420" s="30">
        <f t="shared" ca="1" si="104"/>
        <v>-3.5156180783206259E-2</v>
      </c>
      <c r="I420" s="30">
        <f t="shared" ca="1" si="104"/>
        <v>-9.1915111604118416E-2</v>
      </c>
      <c r="J420" s="30">
        <f t="shared" ca="1" si="102"/>
        <v>-0.16020798086999913</v>
      </c>
      <c r="K420" s="30">
        <f t="shared" ca="1" si="105"/>
        <v>2.6768636455504129E-2</v>
      </c>
      <c r="L420" s="30">
        <f t="shared" ca="1" si="105"/>
        <v>4.7636680003175003E-2</v>
      </c>
      <c r="M420" s="30">
        <f t="shared" ca="1" si="105"/>
        <v>4.3411751799597935E-2</v>
      </c>
      <c r="N420" s="30">
        <f t="shared" ca="1" si="103"/>
        <v>6.2223269264717586E-2</v>
      </c>
      <c r="O420" s="30">
        <f t="shared" ca="1" si="106"/>
        <v>-3.8372985418266836E-3</v>
      </c>
      <c r="P420" s="30">
        <f t="shared" ca="1" si="107"/>
        <v>1.2480499219968744E-2</v>
      </c>
      <c r="Q420" s="30">
        <f t="shared" ca="1" si="108"/>
        <v>-4.8503359804520474E-2</v>
      </c>
      <c r="R420" s="30">
        <f t="shared" ca="1" si="109"/>
        <v>-9.7984711605281549E-2</v>
      </c>
      <c r="S420" s="9" cm="1">
        <f t="array" aca="1" ref="S420" ca="1">_xll.FDS($E$7,"P_PRICE("&amp;AG420&amp;",0,D,D)")</f>
        <v>77.88</v>
      </c>
      <c r="T420" s="9" cm="1">
        <f t="array" aca="1" ref="T420" ca="1">_xll.FDS($E$7,"P_PRICE("&amp;AH420&amp;",0,D,D)")</f>
        <v>78.180000000000007</v>
      </c>
      <c r="U420" s="9" cm="1">
        <f t="array" aca="1" ref="U420" ca="1">_xll.FDS($E$7,"P_PRICE("&amp;AI420&amp;",0,D,D)")</f>
        <v>76.92</v>
      </c>
      <c r="V420" s="9" cm="1">
        <f t="array" aca="1" ref="V420" ca="1">_xll.FDS($E$7,"P_PRICE("&amp;AJ420&amp;",0,D,D)")</f>
        <v>81.849999999999994</v>
      </c>
      <c r="W420" s="9" cm="1">
        <f t="array" aca="1" ref="W420" ca="1">_xll.FDS($E$7,"P_PRICE("&amp;AK420&amp;",0,D,D)")</f>
        <v>86.34</v>
      </c>
      <c r="X420" s="24">
        <f t="shared" ca="1" si="110"/>
        <v>2.0782018558895166E-2</v>
      </c>
      <c r="Y420" s="24">
        <f t="shared" ca="1" si="111"/>
        <v>3.6983070450963274E-2</v>
      </c>
      <c r="Z420" s="24">
        <f t="shared" ca="1" si="112"/>
        <v>3.3703017823602632E-2</v>
      </c>
      <c r="AA420" s="24">
        <f t="shared" ca="1" si="113"/>
        <v>4.8307471275347735E-2</v>
      </c>
      <c r="AB420" s="9" cm="1">
        <f t="array" aca="1" ref="AB420" ca="1">_xll.FDS($E$9,"P_PRICE("&amp;AG420&amp;",0,D,D)")</f>
        <v>5487.03</v>
      </c>
      <c r="AC420" s="9" cm="1">
        <f t="array" aca="1" ref="AC420" ca="1">_xll.FDS($E$9,"P_PRICE("&amp;AH420&amp;",0,D,D)")</f>
        <v>5375.32</v>
      </c>
      <c r="AD420" s="9" cm="1">
        <f t="array" aca="1" ref="AD420" ca="1">_xll.FDS($E$9,"P_PRICE("&amp;AI420&amp;",0,D,D)")</f>
        <v>5291.34</v>
      </c>
      <c r="AE420" s="9" cm="1">
        <f t="array" aca="1" ref="AE420" ca="1">_xll.FDS($E$9,"P_PRICE("&amp;AJ420&amp;",0,D,D)")</f>
        <v>5308.13</v>
      </c>
      <c r="AF420" s="9" cm="1">
        <f t="array" aca="1" ref="AF420" ca="1">_xll.FDS($E$9,"P_PRICE("&amp;AK420&amp;",0,D,D)")</f>
        <v>5234.18</v>
      </c>
      <c r="AG420" s="20">
        <f t="shared" ca="1" si="119"/>
        <v>45461</v>
      </c>
      <c r="AH420" s="22">
        <f t="shared" ca="1" si="114"/>
        <v>45454</v>
      </c>
      <c r="AI420" s="22">
        <f t="shared" ca="1" si="115"/>
        <v>45447</v>
      </c>
      <c r="AJ420" s="22">
        <f t="shared" ca="1" si="116"/>
        <v>45432</v>
      </c>
      <c r="AK420" s="22">
        <f t="shared" ca="1" si="117"/>
        <v>45373</v>
      </c>
      <c r="AL420" s="22">
        <f t="shared" ca="1" si="118"/>
        <v>45286</v>
      </c>
    </row>
    <row r="421" spans="4:38" x14ac:dyDescent="0.25">
      <c r="D421" s="6">
        <f ca="1"/>
        <v>45460</v>
      </c>
      <c r="E421" s="28" cm="1">
        <f t="array" aca="1" ref="E421" ca="1">_xll.FDS($E$7,"P_PRICE("&amp;D421&amp;",0,D,D)")</f>
        <v>78.72</v>
      </c>
      <c r="F421" s="29" cm="1">
        <f t="array" aca="1" ref="F421" ca="1">_xll.FDS($E$7,"P_BETA_LOCIDX("&amp;$AG421&amp;","&amp;$AL421&amp;",,"""&amp;$E$9&amp;""")")</f>
        <v>1.2911250000000001</v>
      </c>
      <c r="G421" s="30">
        <f t="shared" ca="1" si="104"/>
        <v>-3.5894628621146021E-2</v>
      </c>
      <c r="H421" s="30">
        <f t="shared" ca="1" si="104"/>
        <v>-4.9681467815403162E-2</v>
      </c>
      <c r="I421" s="30">
        <f t="shared" ca="1" si="104"/>
        <v>-8.0440669506738158E-2</v>
      </c>
      <c r="J421" s="30">
        <f t="shared" ca="1" si="102"/>
        <v>-0.1391632811881777</v>
      </c>
      <c r="K421" s="30">
        <f t="shared" ca="1" si="105"/>
        <v>2.7080727840486225E-2</v>
      </c>
      <c r="L421" s="30">
        <f t="shared" ca="1" si="105"/>
        <v>4.6389495164098953E-2</v>
      </c>
      <c r="M421" s="30">
        <f t="shared" ca="1" si="105"/>
        <v>4.1378169506738158E-2</v>
      </c>
      <c r="N421" s="30">
        <f t="shared" ca="1" si="103"/>
        <v>5.707372894937171E-2</v>
      </c>
      <c r="O421" s="30">
        <f t="shared" ca="1" si="106"/>
        <v>-8.8139007806598002E-3</v>
      </c>
      <c r="P421" s="30">
        <f t="shared" ca="1" si="107"/>
        <v>-3.2919726513042091E-3</v>
      </c>
      <c r="Q421" s="30">
        <f t="shared" ca="1" si="108"/>
        <v>-3.90625E-2</v>
      </c>
      <c r="R421" s="30">
        <f t="shared" ca="1" si="109"/>
        <v>-8.2089552238805985E-2</v>
      </c>
      <c r="S421" s="9" cm="1">
        <f t="array" aca="1" ref="S421" ca="1">_xll.FDS($E$7,"P_PRICE("&amp;AG421&amp;",0,D,D)")</f>
        <v>78.72</v>
      </c>
      <c r="T421" s="9" cm="1">
        <f t="array" aca="1" ref="T421" ca="1">_xll.FDS($E$7,"P_PRICE("&amp;AH421&amp;",0,D,D)")</f>
        <v>79.42</v>
      </c>
      <c r="U421" s="9" cm="1">
        <f t="array" aca="1" ref="U421" ca="1">_xll.FDS($E$7,"P_PRICE("&amp;AI421&amp;",0,D,D)")</f>
        <v>78.98</v>
      </c>
      <c r="V421" s="9" cm="1">
        <f t="array" aca="1" ref="V421" ca="1">_xll.FDS($E$7,"P_PRICE("&amp;AJ421&amp;",0,D,D)")</f>
        <v>81.92</v>
      </c>
      <c r="W421" s="9" cm="1">
        <f t="array" aca="1" ref="W421" ca="1">_xll.FDS($E$7,"P_PRICE("&amp;AK421&amp;",0,D,D)")</f>
        <v>85.76</v>
      </c>
      <c r="X421" s="24">
        <f t="shared" ca="1" si="110"/>
        <v>2.0974520546412023E-2</v>
      </c>
      <c r="Y421" s="24">
        <f t="shared" ca="1" si="111"/>
        <v>3.592951508498321E-2</v>
      </c>
      <c r="Z421" s="24">
        <f t="shared" ca="1" si="112"/>
        <v>3.2048151423555549E-2</v>
      </c>
      <c r="AA421" s="24">
        <f t="shared" ca="1" si="113"/>
        <v>4.4204650168939263E-2</v>
      </c>
      <c r="AB421" s="9" cm="1">
        <f t="array" aca="1" ref="AB421" ca="1">_xll.FDS($E$9,"P_PRICE("&amp;AG421&amp;",0,D,D)")</f>
        <v>5473.23</v>
      </c>
      <c r="AC421" s="9" cm="1">
        <f t="array" aca="1" ref="AC421" ca="1">_xll.FDS($E$9,"P_PRICE("&amp;AH421&amp;",0,D,D)")</f>
        <v>5360.79</v>
      </c>
      <c r="AD421" s="9" cm="1">
        <f t="array" aca="1" ref="AD421" ca="1">_xll.FDS($E$9,"P_PRICE("&amp;AI421&amp;",0,D,D)")</f>
        <v>5283.4</v>
      </c>
      <c r="AE421" s="9" cm="1">
        <f t="array" aca="1" ref="AE421" ca="1">_xll.FDS($E$9,"P_PRICE("&amp;AJ421&amp;",0,D,D)")</f>
        <v>5303.27</v>
      </c>
      <c r="AF421" s="9" cm="1">
        <f t="array" aca="1" ref="AF421" ca="1">_xll.FDS($E$9,"P_PRICE("&amp;AK421&amp;",0,D,D)")</f>
        <v>5241.53</v>
      </c>
      <c r="AG421" s="20">
        <f t="shared" ca="1" si="119"/>
        <v>45460</v>
      </c>
      <c r="AH421" s="22">
        <f t="shared" ca="1" si="114"/>
        <v>45453</v>
      </c>
      <c r="AI421" s="22">
        <f t="shared" ca="1" si="115"/>
        <v>45446</v>
      </c>
      <c r="AJ421" s="22">
        <f t="shared" ca="1" si="116"/>
        <v>45429</v>
      </c>
      <c r="AK421" s="22">
        <f t="shared" ca="1" si="117"/>
        <v>45372</v>
      </c>
      <c r="AL421" s="22">
        <f t="shared" ca="1" si="118"/>
        <v>45282</v>
      </c>
    </row>
    <row r="422" spans="4:38" x14ac:dyDescent="0.25">
      <c r="D422" s="6">
        <f ca="1"/>
        <v>45457</v>
      </c>
      <c r="E422" s="28" cm="1">
        <f t="array" aca="1" ref="E422" ca="1">_xll.FDS($E$7,"P_PRICE("&amp;D422&amp;",0,D,D)")</f>
        <v>76.55</v>
      </c>
      <c r="F422" s="29" cm="1">
        <f t="array" aca="1" ref="F422" ca="1">_xll.FDS($E$7,"P_BETA_LOCIDX("&amp;$AG422&amp;","&amp;$AL422&amp;",,"""&amp;$E$9&amp;""")")</f>
        <v>1.2776803999999999</v>
      </c>
      <c r="G422" s="30">
        <f t="shared" ca="1" si="104"/>
        <v>-3.6537542869238708E-2</v>
      </c>
      <c r="H422" s="30">
        <f t="shared" ca="1" si="104"/>
        <v>-0.10102814167533314</v>
      </c>
      <c r="I422" s="30">
        <f t="shared" ca="1" si="104"/>
        <v>-0.1088173874035689</v>
      </c>
      <c r="J422" s="30">
        <f t="shared" ca="1" si="102"/>
        <v>-0.1612245872617119</v>
      </c>
      <c r="K422" s="30">
        <f t="shared" ca="1" si="105"/>
        <v>2.0217830712980771E-2</v>
      </c>
      <c r="L422" s="30">
        <f t="shared" ca="1" si="105"/>
        <v>3.7305049698816421E-2</v>
      </c>
      <c r="M422" s="30">
        <f t="shared" ca="1" si="105"/>
        <v>3.2441904778086242E-2</v>
      </c>
      <c r="N422" s="30">
        <f t="shared" ca="1" si="103"/>
        <v>5.0616942321546968E-2</v>
      </c>
      <c r="O422" s="30">
        <f t="shared" ca="1" si="106"/>
        <v>-1.6319712156257937E-2</v>
      </c>
      <c r="P422" s="30">
        <f t="shared" ca="1" si="107"/>
        <v>-6.372309197651671E-2</v>
      </c>
      <c r="Q422" s="30">
        <f t="shared" ca="1" si="108"/>
        <v>-7.637548262548266E-2</v>
      </c>
      <c r="R422" s="30">
        <f t="shared" ca="1" si="109"/>
        <v>-0.11060764494016495</v>
      </c>
      <c r="S422" s="9" cm="1">
        <f t="array" aca="1" ref="S422" ca="1">_xll.FDS($E$7,"P_PRICE("&amp;AG422&amp;",0,D,D)")</f>
        <v>76.55</v>
      </c>
      <c r="T422" s="9" cm="1">
        <f t="array" aca="1" ref="T422" ca="1">_xll.FDS($E$7,"P_PRICE("&amp;AH422&amp;",0,D,D)")</f>
        <v>77.819999999999993</v>
      </c>
      <c r="U422" s="9" cm="1">
        <f t="array" aca="1" ref="U422" ca="1">_xll.FDS($E$7,"P_PRICE("&amp;AI422&amp;",0,D,D)")</f>
        <v>81.760000000000005</v>
      </c>
      <c r="V422" s="9" cm="1">
        <f t="array" aca="1" ref="V422" ca="1">_xll.FDS($E$7,"P_PRICE("&amp;AJ422&amp;",0,D,D)")</f>
        <v>82.88</v>
      </c>
      <c r="W422" s="9" cm="1">
        <f t="array" aca="1" ref="W422" ca="1">_xll.FDS($E$7,"P_PRICE("&amp;AK422&amp;",0,D,D)")</f>
        <v>86.07</v>
      </c>
      <c r="X422" s="24">
        <f t="shared" ca="1" si="110"/>
        <v>1.5823856038631234E-2</v>
      </c>
      <c r="Y422" s="24">
        <f t="shared" ca="1" si="111"/>
        <v>2.9197481388003155E-2</v>
      </c>
      <c r="Z422" s="24">
        <f t="shared" ca="1" si="112"/>
        <v>2.5391251817032057E-2</v>
      </c>
      <c r="AA422" s="24">
        <f t="shared" ca="1" si="113"/>
        <v>3.9616278313064024E-2</v>
      </c>
      <c r="AB422" s="9" cm="1">
        <f t="array" aca="1" ref="AB422" ca="1">_xll.FDS($E$9,"P_PRICE("&amp;AG422&amp;",0,D,D)")</f>
        <v>5431.6</v>
      </c>
      <c r="AC422" s="9" cm="1">
        <f t="array" aca="1" ref="AC422" ca="1">_xll.FDS($E$9,"P_PRICE("&amp;AH422&amp;",0,D,D)")</f>
        <v>5346.99</v>
      </c>
      <c r="AD422" s="9" cm="1">
        <f t="array" aca="1" ref="AD422" ca="1">_xll.FDS($E$9,"P_PRICE("&amp;AI422&amp;",0,D,D)")</f>
        <v>5277.51</v>
      </c>
      <c r="AE422" s="9" cm="1">
        <f t="array" aca="1" ref="AE422" ca="1">_xll.FDS($E$9,"P_PRICE("&amp;AJ422&amp;",0,D,D)")</f>
        <v>5297.1</v>
      </c>
      <c r="AF422" s="9" cm="1">
        <f t="array" aca="1" ref="AF422" ca="1">_xll.FDS($E$9,"P_PRICE("&amp;AK422&amp;",0,D,D)")</f>
        <v>5224.62</v>
      </c>
      <c r="AG422" s="20">
        <f t="shared" ca="1" si="119"/>
        <v>45457</v>
      </c>
      <c r="AH422" s="22">
        <f t="shared" ca="1" si="114"/>
        <v>45450</v>
      </c>
      <c r="AI422" s="22">
        <f t="shared" ca="1" si="115"/>
        <v>45443</v>
      </c>
      <c r="AJ422" s="22">
        <f t="shared" ca="1" si="116"/>
        <v>45428</v>
      </c>
      <c r="AK422" s="22">
        <f t="shared" ca="1" si="117"/>
        <v>45371</v>
      </c>
      <c r="AL422" s="22">
        <f t="shared" ca="1" si="118"/>
        <v>45281</v>
      </c>
    </row>
    <row r="423" spans="4:38" x14ac:dyDescent="0.25">
      <c r="D423" s="6">
        <f ca="1"/>
        <v>45456</v>
      </c>
      <c r="E423" s="28" cm="1">
        <f t="array" aca="1" ref="E423" ca="1">_xll.FDS($E$7,"P_PRICE("&amp;D423&amp;",0,D,D)")</f>
        <v>79.209999999999994</v>
      </c>
      <c r="F423" s="29" cm="1">
        <f t="array" aca="1" ref="F423" ca="1">_xll.FDS($E$7,"P_BETA_LOCIDX("&amp;$AG423&amp;","&amp;$AL423&amp;",,"""&amp;$E$9&amp;""")")</f>
        <v>1.2647957000000001</v>
      </c>
      <c r="G423" s="30">
        <f t="shared" ca="1" si="104"/>
        <v>4.8274946136398489E-3</v>
      </c>
      <c r="H423" s="30">
        <f t="shared" ca="1" si="104"/>
        <v>-5.7275660316015872E-2</v>
      </c>
      <c r="I423" s="30">
        <f t="shared" ca="1" si="104"/>
        <v>-0.10500660623844778</v>
      </c>
      <c r="J423" s="30">
        <f t="shared" ca="1" si="102"/>
        <v>-0.12869740608579666</v>
      </c>
      <c r="K423" s="30">
        <f t="shared" ca="1" si="105"/>
        <v>1.9086672914798597E-2</v>
      </c>
      <c r="L423" s="30">
        <f t="shared" ca="1" si="105"/>
        <v>4.7895970471093438E-2</v>
      </c>
      <c r="M423" s="30">
        <f t="shared" ca="1" si="105"/>
        <v>2.992486873260931E-2</v>
      </c>
      <c r="N423" s="30">
        <f t="shared" ca="1" si="103"/>
        <v>6.2337198636480184E-2</v>
      </c>
      <c r="O423" s="30">
        <f t="shared" ca="1" si="106"/>
        <v>2.3914167528438446E-2</v>
      </c>
      <c r="P423" s="30">
        <f t="shared" ca="1" si="107"/>
        <v>-9.3796898449224342E-3</v>
      </c>
      <c r="Q423" s="30">
        <f t="shared" ca="1" si="108"/>
        <v>-7.5081737505838464E-2</v>
      </c>
      <c r="R423" s="30">
        <f t="shared" ca="1" si="109"/>
        <v>-6.6360207449316477E-2</v>
      </c>
      <c r="S423" s="9" cm="1">
        <f t="array" aca="1" ref="S423" ca="1">_xll.FDS($E$7,"P_PRICE("&amp;AG423&amp;",0,D,D)")</f>
        <v>79.209999999999994</v>
      </c>
      <c r="T423" s="9" cm="1">
        <f t="array" aca="1" ref="T423" ca="1">_xll.FDS($E$7,"P_PRICE("&amp;AH423&amp;",0,D,D)")</f>
        <v>77.36</v>
      </c>
      <c r="U423" s="9" cm="1">
        <f t="array" aca="1" ref="U423" ca="1">_xll.FDS($E$7,"P_PRICE("&amp;AI423&amp;",0,D,D)")</f>
        <v>79.959999999999994</v>
      </c>
      <c r="V423" s="9" cm="1">
        <f t="array" aca="1" ref="V423" ca="1">_xll.FDS($E$7,"P_PRICE("&amp;AJ423&amp;",0,D,D)")</f>
        <v>85.64</v>
      </c>
      <c r="W423" s="9" cm="1">
        <f t="array" aca="1" ref="W423" ca="1">_xll.FDS($E$7,"P_PRICE("&amp;AK423&amp;",0,D,D)")</f>
        <v>84.84</v>
      </c>
      <c r="X423" s="24">
        <f t="shared" ca="1" si="110"/>
        <v>1.5090716164514628E-2</v>
      </c>
      <c r="Y423" s="24">
        <f t="shared" ca="1" si="111"/>
        <v>3.7868543094425E-2</v>
      </c>
      <c r="Z423" s="24">
        <f t="shared" ca="1" si="112"/>
        <v>2.3659843825061477E-2</v>
      </c>
      <c r="AA423" s="24">
        <f t="shared" ca="1" si="113"/>
        <v>4.9286377741859955E-2</v>
      </c>
      <c r="AB423" s="9" cm="1">
        <f t="array" aca="1" ref="AB423" ca="1">_xll.FDS($E$9,"P_PRICE("&amp;AG423&amp;",0,D,D)")</f>
        <v>5433.74</v>
      </c>
      <c r="AC423" s="9" cm="1">
        <f t="array" aca="1" ref="AC423" ca="1">_xll.FDS($E$9,"P_PRICE("&amp;AH423&amp;",0,D,D)")</f>
        <v>5352.96</v>
      </c>
      <c r="AD423" s="9" cm="1">
        <f t="array" aca="1" ref="AD423" ca="1">_xll.FDS($E$9,"P_PRICE("&amp;AI423&amp;",0,D,D)")</f>
        <v>5235.4799999999996</v>
      </c>
      <c r="AE423" s="9" cm="1">
        <f t="array" aca="1" ref="AE423" ca="1">_xll.FDS($E$9,"P_PRICE("&amp;AJ423&amp;",0,D,D)")</f>
        <v>5308.15</v>
      </c>
      <c r="AF423" s="9" cm="1">
        <f t="array" aca="1" ref="AF423" ca="1">_xll.FDS($E$9,"P_PRICE("&amp;AK423&amp;",0,D,D)")</f>
        <v>5178.51</v>
      </c>
      <c r="AG423" s="20">
        <f t="shared" ca="1" si="119"/>
        <v>45456</v>
      </c>
      <c r="AH423" s="22">
        <f t="shared" ca="1" si="114"/>
        <v>45449</v>
      </c>
      <c r="AI423" s="22">
        <f t="shared" ca="1" si="115"/>
        <v>45442</v>
      </c>
      <c r="AJ423" s="22">
        <f t="shared" ca="1" si="116"/>
        <v>45427</v>
      </c>
      <c r="AK423" s="22">
        <f t="shared" ca="1" si="117"/>
        <v>45370</v>
      </c>
      <c r="AL423" s="22">
        <f t="shared" ca="1" si="118"/>
        <v>45280</v>
      </c>
    </row>
    <row r="424" spans="4:38" x14ac:dyDescent="0.25">
      <c r="D424" s="6">
        <f ca="1"/>
        <v>45455</v>
      </c>
      <c r="E424" s="28" cm="1">
        <f t="array" aca="1" ref="E424" ca="1">_xll.FDS($E$7,"P_PRICE("&amp;D424&amp;",0,D,D)")</f>
        <v>79.680000000000007</v>
      </c>
      <c r="F424" s="29" cm="1">
        <f t="array" aca="1" ref="F424" ca="1">_xll.FDS($E$7,"P_BETA_LOCIDX("&amp;$AG424&amp;","&amp;$AL424&amp;",,"""&amp;$E$9&amp;""")")</f>
        <v>1.278786</v>
      </c>
      <c r="G424" s="30">
        <f t="shared" ca="1" si="104"/>
        <v>3.238817664221634E-4</v>
      </c>
      <c r="H424" s="30">
        <f t="shared" ca="1" si="104"/>
        <v>-1.730990300059259E-2</v>
      </c>
      <c r="I424" s="30">
        <f t="shared" ca="1" si="104"/>
        <v>-7.7261554978008101E-2</v>
      </c>
      <c r="J424" s="30">
        <f t="shared" ca="1" si="102"/>
        <v>-0.12203049322496605</v>
      </c>
      <c r="K424" s="30">
        <f t="shared" ca="1" si="105"/>
        <v>1.6002648845822708E-2</v>
      </c>
      <c r="L424" s="30">
        <f t="shared" ca="1" si="105"/>
        <v>3.74097621735539E-2</v>
      </c>
      <c r="M424" s="30">
        <f t="shared" ca="1" si="105"/>
        <v>4.2494746982853798E-2</v>
      </c>
      <c r="N424" s="30">
        <f t="shared" ca="1" si="103"/>
        <v>6.7450521701473018E-2</v>
      </c>
      <c r="O424" s="30">
        <f t="shared" ca="1" si="106"/>
        <v>1.6326530612244872E-2</v>
      </c>
      <c r="P424" s="30">
        <f t="shared" ca="1" si="107"/>
        <v>2.009985917296131E-2</v>
      </c>
      <c r="Q424" s="30">
        <f t="shared" ca="1" si="108"/>
        <v>-3.4766807995154303E-2</v>
      </c>
      <c r="R424" s="30">
        <f t="shared" ca="1" si="109"/>
        <v>-5.4579971523493032E-2</v>
      </c>
      <c r="S424" s="9" cm="1">
        <f t="array" aca="1" ref="S424" ca="1">_xll.FDS($E$7,"P_PRICE("&amp;AG424&amp;",0,D,D)")</f>
        <v>79.680000000000007</v>
      </c>
      <c r="T424" s="9" cm="1">
        <f t="array" aca="1" ref="T424" ca="1">_xll.FDS($E$7,"P_PRICE("&amp;AH424&amp;",0,D,D)")</f>
        <v>78.400000000000006</v>
      </c>
      <c r="U424" s="9" cm="1">
        <f t="array" aca="1" ref="U424" ca="1">_xll.FDS($E$7,"P_PRICE("&amp;AI424&amp;",0,D,D)")</f>
        <v>78.11</v>
      </c>
      <c r="V424" s="9" cm="1">
        <f t="array" aca="1" ref="V424" ca="1">_xll.FDS($E$7,"P_PRICE("&amp;AJ424&amp;",0,D,D)")</f>
        <v>82.55</v>
      </c>
      <c r="W424" s="9" cm="1">
        <f t="array" aca="1" ref="W424" ca="1">_xll.FDS($E$7,"P_PRICE("&amp;AK424&amp;",0,D,D)")</f>
        <v>84.28</v>
      </c>
      <c r="X424" s="24">
        <f t="shared" ca="1" si="110"/>
        <v>1.2513938098964728E-2</v>
      </c>
      <c r="Y424" s="24">
        <f t="shared" ca="1" si="111"/>
        <v>2.9254122404807292E-2</v>
      </c>
      <c r="Z424" s="24">
        <f t="shared" ca="1" si="112"/>
        <v>3.3230538168899093E-2</v>
      </c>
      <c r="AA424" s="24">
        <f t="shared" ca="1" si="113"/>
        <v>5.2745746122864201E-2</v>
      </c>
      <c r="AB424" s="9" cm="1">
        <f t="array" aca="1" ref="AB424" ca="1">_xll.FDS($E$9,"P_PRICE("&amp;AG424&amp;",0,D,D)")</f>
        <v>5421.03</v>
      </c>
      <c r="AC424" s="9" cm="1">
        <f t="array" aca="1" ref="AC424" ca="1">_xll.FDS($E$9,"P_PRICE("&amp;AH424&amp;",0,D,D)")</f>
        <v>5354.03</v>
      </c>
      <c r="AD424" s="9" cm="1">
        <f t="array" aca="1" ref="AD424" ca="1">_xll.FDS($E$9,"P_PRICE("&amp;AI424&amp;",0,D,D)")</f>
        <v>5266.95</v>
      </c>
      <c r="AE424" s="9" cm="1">
        <f t="array" aca="1" ref="AE424" ca="1">_xll.FDS($E$9,"P_PRICE("&amp;AJ424&amp;",0,D,D)")</f>
        <v>5246.68</v>
      </c>
      <c r="AF424" s="9" cm="1">
        <f t="array" aca="1" ref="AF424" ca="1">_xll.FDS($E$9,"P_PRICE("&amp;AK424&amp;",0,D,D)")</f>
        <v>5149.42</v>
      </c>
      <c r="AG424" s="20">
        <f t="shared" ca="1" si="119"/>
        <v>45455</v>
      </c>
      <c r="AH424" s="22">
        <f t="shared" ca="1" si="114"/>
        <v>45448</v>
      </c>
      <c r="AI424" s="22">
        <f t="shared" ca="1" si="115"/>
        <v>45441</v>
      </c>
      <c r="AJ424" s="22">
        <f t="shared" ca="1" si="116"/>
        <v>45426</v>
      </c>
      <c r="AK424" s="22">
        <f t="shared" ca="1" si="117"/>
        <v>45369</v>
      </c>
      <c r="AL424" s="22">
        <f t="shared" ca="1" si="118"/>
        <v>45279</v>
      </c>
    </row>
    <row r="425" spans="4:38" x14ac:dyDescent="0.25">
      <c r="D425" s="6">
        <f ca="1"/>
        <v>45454</v>
      </c>
      <c r="E425" s="28" cm="1">
        <f t="array" aca="1" ref="E425" ca="1">_xll.FDS($E$7,"P_PRICE("&amp;D425&amp;",0,D,D)")</f>
        <v>78.180000000000007</v>
      </c>
      <c r="F425" s="29" cm="1">
        <f t="array" aca="1" ref="F425" ca="1">_xll.FDS($E$7,"P_BETA_LOCIDX("&amp;$AG425&amp;","&amp;$AL425&amp;",,"""&amp;$E$9&amp;""")")</f>
        <v>1.2637664</v>
      </c>
      <c r="G425" s="30">
        <f t="shared" ca="1" si="104"/>
        <v>-3.6768542651483271E-3</v>
      </c>
      <c r="H425" s="30">
        <f t="shared" ca="1" si="104"/>
        <v>-3.0002345504418281E-2</v>
      </c>
      <c r="I425" s="30">
        <f t="shared" ca="1" si="104"/>
        <v>-8.5227754752932053E-2</v>
      </c>
      <c r="J425" s="30">
        <f t="shared" ca="1" si="102"/>
        <v>-0.12636492468102539</v>
      </c>
      <c r="K425" s="30">
        <f t="shared" ca="1" si="105"/>
        <v>2.0057509491357456E-2</v>
      </c>
      <c r="L425" s="30">
        <f t="shared" ca="1" si="105"/>
        <v>1.6500768217352146E-2</v>
      </c>
      <c r="M425" s="30">
        <f t="shared" ca="1" si="105"/>
        <v>3.7249186803589643E-2</v>
      </c>
      <c r="N425" s="30">
        <f t="shared" ca="1" si="103"/>
        <v>6.3774996623471469E-2</v>
      </c>
      <c r="O425" s="30">
        <f t="shared" ca="1" si="106"/>
        <v>1.6380655226209129E-2</v>
      </c>
      <c r="P425" s="30">
        <f t="shared" ca="1" si="107"/>
        <v>-1.3501577287066135E-2</v>
      </c>
      <c r="Q425" s="30">
        <f t="shared" ca="1" si="108"/>
        <v>-4.797856794934241E-2</v>
      </c>
      <c r="R425" s="30">
        <f t="shared" ca="1" si="109"/>
        <v>-6.2589928057553923E-2</v>
      </c>
      <c r="S425" s="9" cm="1">
        <f t="array" aca="1" ref="S425" ca="1">_xll.FDS($E$7,"P_PRICE("&amp;AG425&amp;",0,D,D)")</f>
        <v>78.180000000000007</v>
      </c>
      <c r="T425" s="9" cm="1">
        <f t="array" aca="1" ref="T425" ca="1">_xll.FDS($E$7,"P_PRICE("&amp;AH425&amp;",0,D,D)")</f>
        <v>76.92</v>
      </c>
      <c r="U425" s="9" cm="1">
        <f t="array" aca="1" ref="U425" ca="1">_xll.FDS($E$7,"P_PRICE("&amp;AI425&amp;",0,D,D)")</f>
        <v>79.25</v>
      </c>
      <c r="V425" s="9" cm="1">
        <f t="array" aca="1" ref="V425" ca="1">_xll.FDS($E$7,"P_PRICE("&amp;AJ425&amp;",0,D,D)")</f>
        <v>82.12</v>
      </c>
      <c r="W425" s="9" cm="1">
        <f t="array" aca="1" ref="W425" ca="1">_xll.FDS($E$7,"P_PRICE("&amp;AK425&amp;",0,D,D)")</f>
        <v>83.4</v>
      </c>
      <c r="X425" s="24">
        <f t="shared" ca="1" si="110"/>
        <v>1.5871215986876575E-2</v>
      </c>
      <c r="Y425" s="24">
        <f t="shared" ca="1" si="111"/>
        <v>1.3056818267483727E-2</v>
      </c>
      <c r="Z425" s="24">
        <f t="shared" ca="1" si="112"/>
        <v>2.9474740587809301E-2</v>
      </c>
      <c r="AA425" s="24">
        <f t="shared" ca="1" si="113"/>
        <v>5.0464228692479463E-2</v>
      </c>
      <c r="AB425" s="9" cm="1">
        <f t="array" aca="1" ref="AB425" ca="1">_xll.FDS($E$9,"P_PRICE("&amp;AG425&amp;",0,D,D)")</f>
        <v>5375.32</v>
      </c>
      <c r="AC425" s="9" cm="1">
        <f t="array" aca="1" ref="AC425" ca="1">_xll.FDS($E$9,"P_PRICE("&amp;AH425&amp;",0,D,D)")</f>
        <v>5291.34</v>
      </c>
      <c r="AD425" s="9" cm="1">
        <f t="array" aca="1" ref="AD425" ca="1">_xll.FDS($E$9,"P_PRICE("&amp;AI425&amp;",0,D,D)")</f>
        <v>5306.04</v>
      </c>
      <c r="AE425" s="9" cm="1">
        <f t="array" aca="1" ref="AE425" ca="1">_xll.FDS($E$9,"P_PRICE("&amp;AJ425&amp;",0,D,D)")</f>
        <v>5221.42</v>
      </c>
      <c r="AF425" s="9" cm="1">
        <f t="array" aca="1" ref="AF425" ca="1">_xll.FDS($E$9,"P_PRICE("&amp;AK425&amp;",0,D,D)")</f>
        <v>5117.09</v>
      </c>
      <c r="AG425" s="20">
        <f t="shared" ca="1" si="119"/>
        <v>45454</v>
      </c>
      <c r="AH425" s="22">
        <f t="shared" ca="1" si="114"/>
        <v>45447</v>
      </c>
      <c r="AI425" s="22">
        <f t="shared" ca="1" si="115"/>
        <v>45440</v>
      </c>
      <c r="AJ425" s="22">
        <f t="shared" ca="1" si="116"/>
        <v>45425</v>
      </c>
      <c r="AK425" s="22">
        <f t="shared" ca="1" si="117"/>
        <v>45366</v>
      </c>
      <c r="AL425" s="22">
        <f t="shared" ca="1" si="118"/>
        <v>45278</v>
      </c>
    </row>
    <row r="426" spans="4:38" x14ac:dyDescent="0.25">
      <c r="D426" s="6">
        <f ca="1"/>
        <v>45453</v>
      </c>
      <c r="E426" s="28" cm="1">
        <f t="array" aca="1" ref="E426" ca="1">_xll.FDS($E$7,"P_PRICE("&amp;D426&amp;",0,D,D)")</f>
        <v>79.42</v>
      </c>
      <c r="F426" s="29" cm="1">
        <f t="array" aca="1" ref="F426" ca="1">_xll.FDS($E$7,"P_BETA_LOCIDX("&amp;$AG426&amp;","&amp;$AL426&amp;",,"""&amp;$E$9&amp;""")")</f>
        <v>1.2701055999999999</v>
      </c>
      <c r="G426" s="30">
        <f t="shared" ca="1" si="104"/>
        <v>-1.3033177328442568E-2</v>
      </c>
      <c r="H426" s="30">
        <f t="shared" ca="1" si="104"/>
        <v>-4.4179013401968982E-2</v>
      </c>
      <c r="I426" s="30">
        <f t="shared" ca="1" si="104"/>
        <v>-8.5514922947371674E-2</v>
      </c>
      <c r="J426" s="30">
        <f t="shared" ca="1" si="102"/>
        <v>-0.1126475742228315</v>
      </c>
      <c r="K426" s="30">
        <f t="shared" ca="1" si="105"/>
        <v>1.8604207969111008E-2</v>
      </c>
      <c r="L426" s="30">
        <f t="shared" ca="1" si="105"/>
        <v>1.3424803004116892E-2</v>
      </c>
      <c r="M426" s="30">
        <f t="shared" ca="1" si="105"/>
        <v>3.3587025131924624E-2</v>
      </c>
      <c r="N426" s="30">
        <f t="shared" ca="1" si="103"/>
        <v>5.186233297401404E-2</v>
      </c>
      <c r="O426" s="30">
        <f t="shared" ca="1" si="106"/>
        <v>5.5710306406684396E-3</v>
      </c>
      <c r="P426" s="30">
        <f t="shared" ca="1" si="107"/>
        <v>-3.0754210397852089E-2</v>
      </c>
      <c r="Q426" s="30">
        <f t="shared" ca="1" si="108"/>
        <v>-5.1927897815447044E-2</v>
      </c>
      <c r="R426" s="30">
        <f t="shared" ca="1" si="109"/>
        <v>-6.0785241248817456E-2</v>
      </c>
      <c r="S426" s="9" cm="1">
        <f t="array" aca="1" ref="S426" ca="1">_xll.FDS($E$7,"P_PRICE("&amp;AG426&amp;",0,D,D)")</f>
        <v>79.42</v>
      </c>
      <c r="T426" s="9" cm="1">
        <f t="array" aca="1" ref="T426" ca="1">_xll.FDS($E$7,"P_PRICE("&amp;AH426&amp;",0,D,D)")</f>
        <v>78.98</v>
      </c>
      <c r="U426" s="9" cm="1">
        <f t="array" aca="1" ref="U426" ca="1">_xll.FDS($E$7,"P_PRICE("&amp;AI426&amp;",0,D,D)")</f>
        <v>81.94</v>
      </c>
      <c r="V426" s="9" cm="1">
        <f t="array" aca="1" ref="V426" ca="1">_xll.FDS($E$7,"P_PRICE("&amp;AJ426&amp;",0,D,D)")</f>
        <v>83.77</v>
      </c>
      <c r="W426" s="9" cm="1">
        <f t="array" aca="1" ref="W426" ca="1">_xll.FDS($E$7,"P_PRICE("&amp;AK426&amp;",0,D,D)")</f>
        <v>84.56</v>
      </c>
      <c r="X426" s="24">
        <f t="shared" ca="1" si="110"/>
        <v>1.4647764696975596E-2</v>
      </c>
      <c r="Y426" s="24">
        <f t="shared" ca="1" si="111"/>
        <v>1.0569832149481817E-2</v>
      </c>
      <c r="Z426" s="24">
        <f t="shared" ca="1" si="112"/>
        <v>2.6444277650554904E-2</v>
      </c>
      <c r="AA426" s="24">
        <f t="shared" ca="1" si="113"/>
        <v>4.0833087401562551E-2</v>
      </c>
      <c r="AB426" s="9" cm="1">
        <f t="array" aca="1" ref="AB426" ca="1">_xll.FDS($E$9,"P_PRICE("&amp;AG426&amp;",0,D,D)")</f>
        <v>5360.79</v>
      </c>
      <c r="AC426" s="9" cm="1">
        <f t="array" aca="1" ref="AC426" ca="1">_xll.FDS($E$9,"P_PRICE("&amp;AH426&amp;",0,D,D)")</f>
        <v>5283.4</v>
      </c>
      <c r="AD426" s="9" cm="1">
        <f t="array" aca="1" ref="AD426" ca="1">_xll.FDS($E$9,"P_PRICE("&amp;AI426&amp;",0,D,D)")</f>
        <v>5304.72</v>
      </c>
      <c r="AE426" s="9" cm="1">
        <f t="array" aca="1" ref="AE426" ca="1">_xll.FDS($E$9,"P_PRICE("&amp;AJ426&amp;",0,D,D)")</f>
        <v>5222.68</v>
      </c>
      <c r="AF426" s="9" cm="1">
        <f t="array" aca="1" ref="AF426" ca="1">_xll.FDS($E$9,"P_PRICE("&amp;AK426&amp;",0,D,D)")</f>
        <v>5150.4799999999996</v>
      </c>
      <c r="AG426" s="20">
        <f t="shared" ca="1" si="119"/>
        <v>45453</v>
      </c>
      <c r="AH426" s="22">
        <f t="shared" ca="1" si="114"/>
        <v>45446</v>
      </c>
      <c r="AI426" s="22">
        <f t="shared" ca="1" si="115"/>
        <v>45436</v>
      </c>
      <c r="AJ426" s="22">
        <f t="shared" ca="1" si="116"/>
        <v>45422</v>
      </c>
      <c r="AK426" s="22">
        <f t="shared" ca="1" si="117"/>
        <v>45365</v>
      </c>
      <c r="AL426" s="22">
        <f t="shared" ca="1" si="118"/>
        <v>45275</v>
      </c>
    </row>
    <row r="427" spans="4:38" x14ac:dyDescent="0.25">
      <c r="D427" s="6">
        <f ca="1"/>
        <v>45450</v>
      </c>
      <c r="E427" s="28" cm="1">
        <f t="array" aca="1" ref="E427" ca="1">_xll.FDS($E$7,"P_PRICE("&amp;D427&amp;",0,D,D)")</f>
        <v>77.819999999999993</v>
      </c>
      <c r="F427" s="29" cm="1">
        <f t="array" aca="1" ref="F427" ca="1">_xll.FDS($E$7,"P_BETA_LOCIDX("&amp;$AG427&amp;","&amp;$AL427&amp;",,"""&amp;$E$9&amp;""")")</f>
        <v>1.2651378</v>
      </c>
      <c r="G427" s="30">
        <f t="shared" ca="1" si="104"/>
        <v>-6.4845741977042404E-2</v>
      </c>
      <c r="H427" s="30">
        <f t="shared" ca="1" si="104"/>
        <v>-5.1218788658212056E-2</v>
      </c>
      <c r="I427" s="30">
        <f t="shared" ca="1" si="104"/>
        <v>-6.3374612904172289E-2</v>
      </c>
      <c r="J427" s="30">
        <f t="shared" ca="1" si="102"/>
        <v>-0.12583515081498331</v>
      </c>
      <c r="K427" s="30">
        <f t="shared" ca="1" si="105"/>
        <v>1.6655918102286834E-2</v>
      </c>
      <c r="L427" s="30">
        <f t="shared" ca="1" si="105"/>
        <v>1.9008864519423293E-2</v>
      </c>
      <c r="M427" s="30">
        <f t="shared" ca="1" si="105"/>
        <v>3.2249114896204127E-2</v>
      </c>
      <c r="N427" s="30">
        <f t="shared" ca="1" si="103"/>
        <v>4.4498826886285377E-2</v>
      </c>
      <c r="O427" s="30">
        <f t="shared" ca="1" si="106"/>
        <v>-4.8189823874755566E-2</v>
      </c>
      <c r="P427" s="30">
        <f t="shared" ca="1" si="107"/>
        <v>-3.2209924138788759E-2</v>
      </c>
      <c r="Q427" s="30">
        <f t="shared" ca="1" si="108"/>
        <v>-3.1125498007968155E-2</v>
      </c>
      <c r="R427" s="30">
        <f t="shared" ca="1" si="109"/>
        <v>-8.133632392869794E-2</v>
      </c>
      <c r="S427" s="9" cm="1">
        <f t="array" aca="1" ref="S427" ca="1">_xll.FDS($E$7,"P_PRICE("&amp;AG427&amp;",0,D,D)")</f>
        <v>77.819999999999993</v>
      </c>
      <c r="T427" s="9" cm="1">
        <f t="array" aca="1" ref="T427" ca="1">_xll.FDS($E$7,"P_PRICE("&amp;AH427&amp;",0,D,D)")</f>
        <v>81.760000000000005</v>
      </c>
      <c r="U427" s="9" cm="1">
        <f t="array" aca="1" ref="U427" ca="1">_xll.FDS($E$7,"P_PRICE("&amp;AI427&amp;",0,D,D)")</f>
        <v>80.41</v>
      </c>
      <c r="V427" s="9" cm="1">
        <f t="array" aca="1" ref="V427" ca="1">_xll.FDS($E$7,"P_PRICE("&amp;AJ427&amp;",0,D,D)")</f>
        <v>80.319999999999993</v>
      </c>
      <c r="W427" s="9" cm="1">
        <f t="array" aca="1" ref="W427" ca="1">_xll.FDS($E$7,"P_PRICE("&amp;AK427&amp;",0,D,D)")</f>
        <v>84.71</v>
      </c>
      <c r="X427" s="24">
        <f t="shared" ca="1" si="110"/>
        <v>1.3165299544671605E-2</v>
      </c>
      <c r="Y427" s="24">
        <f t="shared" ca="1" si="111"/>
        <v>1.5025133641112687E-2</v>
      </c>
      <c r="Z427" s="24">
        <f t="shared" ca="1" si="112"/>
        <v>2.5490594697434643E-2</v>
      </c>
      <c r="AA427" s="24">
        <f t="shared" ca="1" si="113"/>
        <v>3.5173106744803118E-2</v>
      </c>
      <c r="AB427" s="9" cm="1">
        <f t="array" aca="1" ref="AB427" ca="1">_xll.FDS($E$9,"P_PRICE("&amp;AG427&amp;",0,D,D)")</f>
        <v>5346.99</v>
      </c>
      <c r="AC427" s="9" cm="1">
        <f t="array" aca="1" ref="AC427" ca="1">_xll.FDS($E$9,"P_PRICE("&amp;AH427&amp;",0,D,D)")</f>
        <v>5277.51</v>
      </c>
      <c r="AD427" s="9" cm="1">
        <f t="array" aca="1" ref="AD427" ca="1">_xll.FDS($E$9,"P_PRICE("&amp;AI427&amp;",0,D,D)")</f>
        <v>5267.84</v>
      </c>
      <c r="AE427" s="9" cm="1">
        <f t="array" aca="1" ref="AE427" ca="1">_xll.FDS($E$9,"P_PRICE("&amp;AJ427&amp;",0,D,D)")</f>
        <v>5214.08</v>
      </c>
      <c r="AF427" s="9" cm="1">
        <f t="array" aca="1" ref="AF427" ca="1">_xll.FDS($E$9,"P_PRICE("&amp;AK427&amp;",0,D,D)")</f>
        <v>5165.3100000000004</v>
      </c>
      <c r="AG427" s="20">
        <f t="shared" ca="1" si="119"/>
        <v>45450</v>
      </c>
      <c r="AH427" s="22">
        <f t="shared" ca="1" si="114"/>
        <v>45443</v>
      </c>
      <c r="AI427" s="22">
        <f t="shared" ca="1" si="115"/>
        <v>45435</v>
      </c>
      <c r="AJ427" s="22">
        <f t="shared" ca="1" si="116"/>
        <v>45421</v>
      </c>
      <c r="AK427" s="22">
        <f t="shared" ca="1" si="117"/>
        <v>45364</v>
      </c>
      <c r="AL427" s="22">
        <f t="shared" ca="1" si="118"/>
        <v>45274</v>
      </c>
    </row>
    <row r="428" spans="4:38" x14ac:dyDescent="0.25">
      <c r="D428" s="6">
        <f ca="1"/>
        <v>45449</v>
      </c>
      <c r="E428" s="28" cm="1">
        <f t="array" aca="1" ref="E428" ca="1">_xll.FDS($E$7,"P_PRICE("&amp;D428&amp;",0,D,D)")</f>
        <v>77.36</v>
      </c>
      <c r="F428" s="29" cm="1">
        <f t="array" aca="1" ref="F428" ca="1">_xll.FDS($E$7,"P_BETA_LOCIDX("&amp;$AG428&amp;","&amp;$AL428&amp;",,"""&amp;$E$9&amp;""")")</f>
        <v>1.2799757</v>
      </c>
      <c r="G428" s="30">
        <f t="shared" ca="1" si="104"/>
        <v>-6.1237893057667199E-2</v>
      </c>
      <c r="H428" s="30">
        <f t="shared" ca="1" si="104"/>
        <v>-4.7094950712497655E-2</v>
      </c>
      <c r="I428" s="30">
        <f t="shared" ca="1" si="104"/>
        <v>-7.1116115767634852E-2</v>
      </c>
      <c r="J428" s="30">
        <f t="shared" ca="1" si="102"/>
        <v>-0.12167734014681031</v>
      </c>
      <c r="K428" s="30">
        <f t="shared" ca="1" si="105"/>
        <v>2.8721634928602753E-2</v>
      </c>
      <c r="L428" s="30">
        <f t="shared" ca="1" si="105"/>
        <v>1.1082489653307562E-2</v>
      </c>
      <c r="M428" s="30">
        <f t="shared" ca="1" si="105"/>
        <v>4.0782698871169552E-2</v>
      </c>
      <c r="N428" s="30">
        <f t="shared" ca="1" si="103"/>
        <v>4.3947249541183224E-2</v>
      </c>
      <c r="O428" s="30">
        <f t="shared" ca="1" si="106"/>
        <v>-3.2516258129064446E-2</v>
      </c>
      <c r="P428" s="30">
        <f t="shared" ca="1" si="107"/>
        <v>-3.6012461059190093E-2</v>
      </c>
      <c r="Q428" s="30">
        <f t="shared" ca="1" si="108"/>
        <v>-3.0333416896465293E-2</v>
      </c>
      <c r="R428" s="30">
        <f t="shared" ca="1" si="109"/>
        <v>-7.7730090605627078E-2</v>
      </c>
      <c r="S428" s="9" cm="1">
        <f t="array" aca="1" ref="S428" ca="1">_xll.FDS($E$7,"P_PRICE("&amp;AG428&amp;",0,D,D)")</f>
        <v>77.36</v>
      </c>
      <c r="T428" s="9" cm="1">
        <f t="array" aca="1" ref="T428" ca="1">_xll.FDS($E$7,"P_PRICE("&amp;AH428&amp;",0,D,D)")</f>
        <v>79.959999999999994</v>
      </c>
      <c r="U428" s="9" cm="1">
        <f t="array" aca="1" ref="U428" ca="1">_xll.FDS($E$7,"P_PRICE("&amp;AI428&amp;",0,D,D)")</f>
        <v>80.25</v>
      </c>
      <c r="V428" s="9" cm="1">
        <f t="array" aca="1" ref="V428" ca="1">_xll.FDS($E$7,"P_PRICE("&amp;AJ428&amp;",0,D,D)")</f>
        <v>79.78</v>
      </c>
      <c r="W428" s="9" cm="1">
        <f t="array" aca="1" ref="W428" ca="1">_xll.FDS($E$7,"P_PRICE("&amp;AK428&amp;",0,D,D)")</f>
        <v>83.88</v>
      </c>
      <c r="X428" s="24">
        <f t="shared" ca="1" si="110"/>
        <v>2.243920328222071E-2</v>
      </c>
      <c r="Y428" s="24">
        <f t="shared" ca="1" si="111"/>
        <v>8.6583594151885546E-3</v>
      </c>
      <c r="Z428" s="24">
        <f t="shared" ca="1" si="112"/>
        <v>3.1862088374935205E-2</v>
      </c>
      <c r="AA428" s="24">
        <f t="shared" ca="1" si="113"/>
        <v>3.4334440521943677E-2</v>
      </c>
      <c r="AB428" s="9" cm="1">
        <f t="array" aca="1" ref="AB428" ca="1">_xll.FDS($E$9,"P_PRICE("&amp;AG428&amp;",0,D,D)")</f>
        <v>5352.96</v>
      </c>
      <c r="AC428" s="9" cm="1">
        <f t="array" aca="1" ref="AC428" ca="1">_xll.FDS($E$9,"P_PRICE("&amp;AH428&amp;",0,D,D)")</f>
        <v>5235.4799999999996</v>
      </c>
      <c r="AD428" s="9" cm="1">
        <f t="array" aca="1" ref="AD428" ca="1">_xll.FDS($E$9,"P_PRICE("&amp;AI428&amp;",0,D,D)")</f>
        <v>5307.01</v>
      </c>
      <c r="AE428" s="9" cm="1">
        <f t="array" aca="1" ref="AE428" ca="1">_xll.FDS($E$9,"P_PRICE("&amp;AJ428&amp;",0,D,D)")</f>
        <v>5187.67</v>
      </c>
      <c r="AF428" s="9" cm="1">
        <f t="array" aca="1" ref="AF428" ca="1">_xll.FDS($E$9,"P_PRICE("&amp;AK428&amp;",0,D,D)")</f>
        <v>5175.2700000000004</v>
      </c>
      <c r="AG428" s="20">
        <f t="shared" ca="1" si="119"/>
        <v>45449</v>
      </c>
      <c r="AH428" s="22">
        <f t="shared" ca="1" si="114"/>
        <v>45442</v>
      </c>
      <c r="AI428" s="22">
        <f t="shared" ca="1" si="115"/>
        <v>45434</v>
      </c>
      <c r="AJ428" s="22">
        <f t="shared" ca="1" si="116"/>
        <v>45420</v>
      </c>
      <c r="AK428" s="22">
        <f t="shared" ca="1" si="117"/>
        <v>45363</v>
      </c>
      <c r="AL428" s="22">
        <f t="shared" ca="1" si="118"/>
        <v>45273</v>
      </c>
    </row>
    <row r="429" spans="4:38" x14ac:dyDescent="0.25">
      <c r="D429" s="6">
        <f ca="1"/>
        <v>45448</v>
      </c>
      <c r="E429" s="28" cm="1">
        <f t="array" aca="1" ref="E429" ca="1">_xll.FDS($E$7,"P_PRICE("&amp;D429&amp;",0,D,D)")</f>
        <v>78.400000000000006</v>
      </c>
      <c r="F429" s="29" cm="1">
        <f t="array" aca="1" ref="F429" ca="1">_xll.FDS($E$7,"P_BETA_LOCIDX("&amp;$AG429&amp;","&amp;$AL429&amp;",,"""&amp;$E$9&amp;""")")</f>
        <v>1.2760651000000001</v>
      </c>
      <c r="G429" s="30">
        <f t="shared" ca="1" si="104"/>
        <v>-1.7384838665793698E-2</v>
      </c>
      <c r="H429" s="30">
        <f t="shared" ca="1" si="104"/>
        <v>-4.1233637314819944E-2</v>
      </c>
      <c r="I429" s="30">
        <f t="shared" ca="1" si="104"/>
        <v>-7.2414608492363558E-2</v>
      </c>
      <c r="J429" s="30">
        <f t="shared" ca="1" si="102"/>
        <v>-0.10613658387572862</v>
      </c>
      <c r="K429" s="30">
        <f t="shared" ca="1" si="105"/>
        <v>2.1097551506659304E-2</v>
      </c>
      <c r="L429" s="30">
        <f t="shared" ca="1" si="105"/>
        <v>7.8222207200721681E-3</v>
      </c>
      <c r="M429" s="30">
        <f t="shared" ca="1" si="105"/>
        <v>4.0913681994525476E-2</v>
      </c>
      <c r="N429" s="30">
        <f t="shared" ca="1" si="103"/>
        <v>5.8864740395354345E-2</v>
      </c>
      <c r="O429" s="30">
        <f t="shared" ca="1" si="106"/>
        <v>3.7127128408656063E-3</v>
      </c>
      <c r="P429" s="30">
        <f t="shared" ca="1" si="107"/>
        <v>-3.3411416594747778E-2</v>
      </c>
      <c r="Q429" s="30">
        <f t="shared" ca="1" si="108"/>
        <v>-3.1500926497838089E-2</v>
      </c>
      <c r="R429" s="30">
        <f t="shared" ca="1" si="109"/>
        <v>-4.7271843480374276E-2</v>
      </c>
      <c r="S429" s="9" cm="1">
        <f t="array" aca="1" ref="S429" ca="1">_xll.FDS($E$7,"P_PRICE("&amp;AG429&amp;",0,D,D)")</f>
        <v>78.400000000000006</v>
      </c>
      <c r="T429" s="9" cm="1">
        <f t="array" aca="1" ref="T429" ca="1">_xll.FDS($E$7,"P_PRICE("&amp;AH429&amp;",0,D,D)")</f>
        <v>78.11</v>
      </c>
      <c r="U429" s="9" cm="1">
        <f t="array" aca="1" ref="U429" ca="1">_xll.FDS($E$7,"P_PRICE("&amp;AI429&amp;",0,D,D)")</f>
        <v>81.11</v>
      </c>
      <c r="V429" s="9" cm="1">
        <f t="array" aca="1" ref="V429" ca="1">_xll.FDS($E$7,"P_PRICE("&amp;AJ429&amp;",0,D,D)")</f>
        <v>80.95</v>
      </c>
      <c r="W429" s="9" cm="1">
        <f t="array" aca="1" ref="W429" ca="1">_xll.FDS($E$7,"P_PRICE("&amp;AK429&amp;",0,D,D)")</f>
        <v>82.29</v>
      </c>
      <c r="X429" s="24">
        <f t="shared" ca="1" si="110"/>
        <v>1.6533287766164362E-2</v>
      </c>
      <c r="Y429" s="24">
        <f t="shared" ca="1" si="111"/>
        <v>6.1299542790349548E-3</v>
      </c>
      <c r="Z429" s="24">
        <f t="shared" ca="1" si="112"/>
        <v>3.206237831794434E-2</v>
      </c>
      <c r="AA429" s="24">
        <f t="shared" ca="1" si="113"/>
        <v>4.6129888197204316E-2</v>
      </c>
      <c r="AB429" s="9" cm="1">
        <f t="array" aca="1" ref="AB429" ca="1">_xll.FDS($E$9,"P_PRICE("&amp;AG429&amp;",0,D,D)")</f>
        <v>5354.03</v>
      </c>
      <c r="AC429" s="9" cm="1">
        <f t="array" aca="1" ref="AC429" ca="1">_xll.FDS($E$9,"P_PRICE("&amp;AH429&amp;",0,D,D)")</f>
        <v>5266.95</v>
      </c>
      <c r="AD429" s="9" cm="1">
        <f t="array" aca="1" ref="AD429" ca="1">_xll.FDS($E$9,"P_PRICE("&amp;AI429&amp;",0,D,D)")</f>
        <v>5321.41</v>
      </c>
      <c r="AE429" s="9" cm="1">
        <f t="array" aca="1" ref="AE429" ca="1">_xll.FDS($E$9,"P_PRICE("&amp;AJ429&amp;",0,D,D)")</f>
        <v>5187.7</v>
      </c>
      <c r="AF429" s="9" cm="1">
        <f t="array" aca="1" ref="AF429" ca="1">_xll.FDS($E$9,"P_PRICE("&amp;AK429&amp;",0,D,D)")</f>
        <v>5117.9399999999996</v>
      </c>
      <c r="AG429" s="20">
        <f t="shared" ca="1" si="119"/>
        <v>45448</v>
      </c>
      <c r="AH429" s="22">
        <f t="shared" ca="1" si="114"/>
        <v>45441</v>
      </c>
      <c r="AI429" s="22">
        <f t="shared" ca="1" si="115"/>
        <v>45433</v>
      </c>
      <c r="AJ429" s="22">
        <f t="shared" ca="1" si="116"/>
        <v>45419</v>
      </c>
      <c r="AK429" s="22">
        <f t="shared" ca="1" si="117"/>
        <v>45362</v>
      </c>
      <c r="AL429" s="22">
        <f t="shared" ca="1" si="118"/>
        <v>45272</v>
      </c>
    </row>
    <row r="430" spans="4:38" x14ac:dyDescent="0.25">
      <c r="D430" s="6">
        <f ca="1"/>
        <v>45447</v>
      </c>
      <c r="E430" s="28" cm="1">
        <f t="array" aca="1" ref="E430" ca="1">_xll.FDS($E$7,"P_PRICE("&amp;D430&amp;",0,D,D)")</f>
        <v>76.92</v>
      </c>
      <c r="F430" s="29" cm="1">
        <f t="array" aca="1" ref="F430" ca="1">_xll.FDS($E$7,"P_BETA_LOCIDX("&amp;$AG430&amp;","&amp;$AL430&amp;",,"""&amp;$E$9&amp;""")")</f>
        <v>1.2691233</v>
      </c>
      <c r="G430" s="30">
        <f t="shared" ca="1" si="104"/>
        <v>-2.5884616616027416E-2</v>
      </c>
      <c r="H430" s="30">
        <f t="shared" ca="1" si="104"/>
        <v>-5.6217802946382525E-2</v>
      </c>
      <c r="I430" s="30">
        <f t="shared" ca="1" si="104"/>
        <v>-9.0415594820272213E-2</v>
      </c>
      <c r="J430" s="30">
        <f t="shared" ca="1" si="102"/>
        <v>-9.3885669609275677E-2</v>
      </c>
      <c r="K430" s="30">
        <f t="shared" ca="1" si="105"/>
        <v>-3.5160142987990597E-3</v>
      </c>
      <c r="L430" s="30">
        <f t="shared" ca="1" si="105"/>
        <v>-4.0143290023039613E-3</v>
      </c>
      <c r="M430" s="30">
        <f t="shared" ca="1" si="105"/>
        <v>2.7093626968348203E-2</v>
      </c>
      <c r="N430" s="30">
        <f t="shared" ca="1" si="103"/>
        <v>4.1526423582418412E-2</v>
      </c>
      <c r="O430" s="30">
        <f t="shared" ca="1" si="106"/>
        <v>-2.9400630914826476E-2</v>
      </c>
      <c r="P430" s="30">
        <f t="shared" ca="1" si="107"/>
        <v>-6.0232131948686485E-2</v>
      </c>
      <c r="Q430" s="30">
        <f t="shared" ca="1" si="108"/>
        <v>-6.332196785192401E-2</v>
      </c>
      <c r="R430" s="30">
        <f t="shared" ca="1" si="109"/>
        <v>-5.2359246026857265E-2</v>
      </c>
      <c r="S430" s="9" cm="1">
        <f t="array" aca="1" ref="S430" ca="1">_xll.FDS($E$7,"P_PRICE("&amp;AG430&amp;",0,D,D)")</f>
        <v>76.92</v>
      </c>
      <c r="T430" s="9" cm="1">
        <f t="array" aca="1" ref="T430" ca="1">_xll.FDS($E$7,"P_PRICE("&amp;AH430&amp;",0,D,D)")</f>
        <v>79.25</v>
      </c>
      <c r="U430" s="9" cm="1">
        <f t="array" aca="1" ref="U430" ca="1">_xll.FDS($E$7,"P_PRICE("&amp;AI430&amp;",0,D,D)")</f>
        <v>81.849999999999994</v>
      </c>
      <c r="V430" s="9" cm="1">
        <f t="array" aca="1" ref="V430" ca="1">_xll.FDS($E$7,"P_PRICE("&amp;AJ430&amp;",0,D,D)")</f>
        <v>82.12</v>
      </c>
      <c r="W430" s="9" cm="1">
        <f t="array" aca="1" ref="W430" ca="1">_xll.FDS($E$7,"P_PRICE("&amp;AK430&amp;",0,D,D)")</f>
        <v>81.17</v>
      </c>
      <c r="X430" s="24">
        <f t="shared" ca="1" si="110"/>
        <v>-2.7704276635682756E-3</v>
      </c>
      <c r="Y430" s="24">
        <f t="shared" ca="1" si="111"/>
        <v>-3.1630724944565758E-3</v>
      </c>
      <c r="Z430" s="24">
        <f t="shared" ca="1" si="112"/>
        <v>2.1348301593980823E-2</v>
      </c>
      <c r="AA430" s="24">
        <f t="shared" ca="1" si="113"/>
        <v>3.272055881600977E-2</v>
      </c>
      <c r="AB430" s="9" cm="1">
        <f t="array" aca="1" ref="AB430" ca="1">_xll.FDS($E$9,"P_PRICE("&amp;AG430&amp;",0,D,D)")</f>
        <v>5291.34</v>
      </c>
      <c r="AC430" s="9" cm="1">
        <f t="array" aca="1" ref="AC430" ca="1">_xll.FDS($E$9,"P_PRICE("&amp;AH430&amp;",0,D,D)")</f>
        <v>5306.04</v>
      </c>
      <c r="AD430" s="9" cm="1">
        <f t="array" aca="1" ref="AD430" ca="1">_xll.FDS($E$9,"P_PRICE("&amp;AI430&amp;",0,D,D)")</f>
        <v>5308.13</v>
      </c>
      <c r="AE430" s="9" cm="1">
        <f t="array" aca="1" ref="AE430" ca="1">_xll.FDS($E$9,"P_PRICE("&amp;AJ430&amp;",0,D,D)")</f>
        <v>5180.74</v>
      </c>
      <c r="AF430" s="9" cm="1">
        <f t="array" aca="1" ref="AF430" ca="1">_xll.FDS($E$9,"P_PRICE("&amp;AK430&amp;",0,D,D)")</f>
        <v>5123.6899999999996</v>
      </c>
      <c r="AG430" s="20">
        <f t="shared" ca="1" si="119"/>
        <v>45447</v>
      </c>
      <c r="AH430" s="22">
        <f t="shared" ca="1" si="114"/>
        <v>45440</v>
      </c>
      <c r="AI430" s="22">
        <f t="shared" ca="1" si="115"/>
        <v>45432</v>
      </c>
      <c r="AJ430" s="22">
        <f t="shared" ca="1" si="116"/>
        <v>45418</v>
      </c>
      <c r="AK430" s="22">
        <f t="shared" ca="1" si="117"/>
        <v>45359</v>
      </c>
      <c r="AL430" s="22">
        <f t="shared" ca="1" si="118"/>
        <v>45271</v>
      </c>
    </row>
    <row r="431" spans="4:38" x14ac:dyDescent="0.25">
      <c r="D431" s="6">
        <f ca="1"/>
        <v>45446</v>
      </c>
      <c r="E431" s="28" cm="1">
        <f t="array" aca="1" ref="E431" ca="1">_xll.FDS($E$7,"P_PRICE("&amp;D431&amp;",0,D,D)")</f>
        <v>78.98</v>
      </c>
      <c r="F431" s="29" cm="1">
        <f t="array" aca="1" ref="F431" ca="1">_xll.FDS($E$7,"P_BETA_LOCIDX("&amp;$AG431&amp;","&amp;$AL431&amp;",,"""&amp;$E$9&amp;""")")</f>
        <v>1.2753972</v>
      </c>
      <c r="G431" s="30">
        <f t="shared" ca="1" si="104"/>
        <v>-3.0998092401128691E-2</v>
      </c>
      <c r="H431" s="30">
        <f t="shared" ca="1" si="104"/>
        <v>-3.1110083878537292E-2</v>
      </c>
      <c r="I431" s="30">
        <f t="shared" ca="1" si="104"/>
        <v>-5.6853895975995161E-2</v>
      </c>
      <c r="J431" s="30">
        <f t="shared" ca="1" si="102"/>
        <v>-7.4415771122379709E-2</v>
      </c>
      <c r="K431" s="30">
        <f t="shared" ca="1" si="105"/>
        <v>-5.1259007646022054E-3</v>
      </c>
      <c r="L431" s="30">
        <f t="shared" ca="1" si="105"/>
        <v>-4.7785879964627083E-3</v>
      </c>
      <c r="M431" s="30">
        <f t="shared" ca="1" si="105"/>
        <v>3.8703721933230406E-2</v>
      </c>
      <c r="N431" s="30">
        <f t="shared" ca="1" si="103"/>
        <v>3.1169253860114467E-2</v>
      </c>
      <c r="O431" s="30">
        <f t="shared" ca="1" si="106"/>
        <v>-3.6123993165730894E-2</v>
      </c>
      <c r="P431" s="30">
        <f t="shared" ca="1" si="107"/>
        <v>-3.5888671875E-2</v>
      </c>
      <c r="Q431" s="30">
        <f t="shared" ca="1" si="108"/>
        <v>-1.8150174042764755E-2</v>
      </c>
      <c r="R431" s="30">
        <f t="shared" ca="1" si="109"/>
        <v>-4.3246517262265249E-2</v>
      </c>
      <c r="S431" s="9" cm="1">
        <f t="array" aca="1" ref="S431" ca="1">_xll.FDS($E$7,"P_PRICE("&amp;AG431&amp;",0,D,D)")</f>
        <v>78.98</v>
      </c>
      <c r="T431" s="9" cm="1">
        <f t="array" aca="1" ref="T431" ca="1">_xll.FDS($E$7,"P_PRICE("&amp;AH431&amp;",0,D,D)")</f>
        <v>81.94</v>
      </c>
      <c r="U431" s="9" cm="1">
        <f t="array" aca="1" ref="U431" ca="1">_xll.FDS($E$7,"P_PRICE("&amp;AI431&amp;",0,D,D)")</f>
        <v>81.92</v>
      </c>
      <c r="V431" s="9" cm="1">
        <f t="array" aca="1" ref="V431" ca="1">_xll.FDS($E$7,"P_PRICE("&amp;AJ431&amp;",0,D,D)")</f>
        <v>80.44</v>
      </c>
      <c r="W431" s="9" cm="1">
        <f t="array" aca="1" ref="W431" ca="1">_xll.FDS($E$7,"P_PRICE("&amp;AK431&amp;",0,D,D)")</f>
        <v>82.55</v>
      </c>
      <c r="X431" s="24">
        <f t="shared" ca="1" si="110"/>
        <v>-4.0190622690736699E-3</v>
      </c>
      <c r="Y431" s="24">
        <f t="shared" ca="1" si="111"/>
        <v>-3.7467449328434377E-3</v>
      </c>
      <c r="Z431" s="24">
        <f t="shared" ca="1" si="112"/>
        <v>3.0346406541609472E-2</v>
      </c>
      <c r="AA431" s="24">
        <f t="shared" ca="1" si="113"/>
        <v>2.4438860192036227E-2</v>
      </c>
      <c r="AB431" s="9" cm="1">
        <f t="array" aca="1" ref="AB431" ca="1">_xll.FDS($E$9,"P_PRICE("&amp;AG431&amp;",0,D,D)")</f>
        <v>5283.4</v>
      </c>
      <c r="AC431" s="9" cm="1">
        <f t="array" aca="1" ref="AC431" ca="1">_xll.FDS($E$9,"P_PRICE("&amp;AH431&amp;",0,D,D)")</f>
        <v>5304.72</v>
      </c>
      <c r="AD431" s="9" cm="1">
        <f t="array" aca="1" ref="AD431" ca="1">_xll.FDS($E$9,"P_PRICE("&amp;AI431&amp;",0,D,D)")</f>
        <v>5303.27</v>
      </c>
      <c r="AE431" s="9" cm="1">
        <f t="array" aca="1" ref="AE431" ca="1">_xll.FDS($E$9,"P_PRICE("&amp;AJ431&amp;",0,D,D)")</f>
        <v>5127.79</v>
      </c>
      <c r="AF431" s="9" cm="1">
        <f t="array" aca="1" ref="AF431" ca="1">_xll.FDS($E$9,"P_PRICE("&amp;AK431&amp;",0,D,D)")</f>
        <v>5157.3599999999997</v>
      </c>
      <c r="AG431" s="20">
        <f t="shared" ca="1" si="119"/>
        <v>45446</v>
      </c>
      <c r="AH431" s="22">
        <f t="shared" ca="1" si="114"/>
        <v>45436</v>
      </c>
      <c r="AI431" s="22">
        <f t="shared" ca="1" si="115"/>
        <v>45429</v>
      </c>
      <c r="AJ431" s="22">
        <f t="shared" ca="1" si="116"/>
        <v>45415</v>
      </c>
      <c r="AK431" s="22">
        <f t="shared" ca="1" si="117"/>
        <v>45358</v>
      </c>
      <c r="AL431" s="22">
        <f t="shared" ca="1" si="118"/>
        <v>45268</v>
      </c>
    </row>
    <row r="432" spans="4:38" x14ac:dyDescent="0.25">
      <c r="D432" s="6">
        <f ca="1"/>
        <v>45443</v>
      </c>
      <c r="E432" s="28" cm="1">
        <f t="array" aca="1" ref="E432" ca="1">_xll.FDS($E$7,"P_PRICE("&amp;D432&amp;",0,D,D)")</f>
        <v>81.760000000000005</v>
      </c>
      <c r="F432" s="29" cm="1">
        <f t="array" aca="1" ref="F432" ca="1">_xll.FDS($E$7,"P_BETA_LOCIDX("&amp;$AG432&amp;","&amp;$AL432&amp;",,"""&amp;$E$9&amp;""")")</f>
        <v>1.2813843</v>
      </c>
      <c r="G432" s="30">
        <f t="shared" ca="1" si="104"/>
        <v>1.4436761735597181E-2</v>
      </c>
      <c r="H432" s="30">
        <f t="shared" ca="1" si="104"/>
        <v>-8.7746340441810615E-3</v>
      </c>
      <c r="I432" s="30">
        <f t="shared" ca="1" si="104"/>
        <v>-2.619212892723978E-2</v>
      </c>
      <c r="J432" s="30">
        <f t="shared" ca="1" si="102"/>
        <v>-5.2933237721380866E-2</v>
      </c>
      <c r="K432" s="30">
        <f t="shared" ca="1" si="105"/>
        <v>2.3521948618409941E-3</v>
      </c>
      <c r="L432" s="30">
        <f t="shared" ca="1" si="105"/>
        <v>-4.7388794693323149E-3</v>
      </c>
      <c r="M432" s="30">
        <f t="shared" ca="1" si="105"/>
        <v>5.3973398568974554E-2</v>
      </c>
      <c r="N432" s="30">
        <f t="shared" ca="1" si="103"/>
        <v>4.336328011992735E-2</v>
      </c>
      <c r="O432" s="30">
        <f t="shared" ca="1" si="106"/>
        <v>1.6788956597438176E-2</v>
      </c>
      <c r="P432" s="30">
        <f t="shared" ca="1" si="107"/>
        <v>-1.3513513513513375E-2</v>
      </c>
      <c r="Q432" s="30">
        <f t="shared" ca="1" si="108"/>
        <v>2.7781269641734774E-2</v>
      </c>
      <c r="R432" s="30">
        <f t="shared" ca="1" si="109"/>
        <v>-9.5699576014535159E-3</v>
      </c>
      <c r="S432" s="9" cm="1">
        <f t="array" aca="1" ref="S432" ca="1">_xll.FDS($E$7,"P_PRICE("&amp;AG432&amp;",0,D,D)")</f>
        <v>81.760000000000005</v>
      </c>
      <c r="T432" s="9" cm="1">
        <f t="array" aca="1" ref="T432" ca="1">_xll.FDS($E$7,"P_PRICE("&amp;AH432&amp;",0,D,D)")</f>
        <v>80.41</v>
      </c>
      <c r="U432" s="9" cm="1">
        <f t="array" aca="1" ref="U432" ca="1">_xll.FDS($E$7,"P_PRICE("&amp;AI432&amp;",0,D,D)")</f>
        <v>82.88</v>
      </c>
      <c r="V432" s="9" cm="1">
        <f t="array" aca="1" ref="V432" ca="1">_xll.FDS($E$7,"P_PRICE("&amp;AJ432&amp;",0,D,D)")</f>
        <v>79.55</v>
      </c>
      <c r="W432" s="9" cm="1">
        <f t="array" aca="1" ref="W432" ca="1">_xll.FDS($E$7,"P_PRICE("&amp;AK432&amp;",0,D,D)")</f>
        <v>82.55</v>
      </c>
      <c r="X432" s="24">
        <f t="shared" ca="1" si="110"/>
        <v>1.8356669906451906E-3</v>
      </c>
      <c r="Y432" s="24">
        <f t="shared" ca="1" si="111"/>
        <v>-3.6982499858413398E-3</v>
      </c>
      <c r="Z432" s="24">
        <f t="shared" ca="1" si="112"/>
        <v>4.2121164251017085E-2</v>
      </c>
      <c r="AA432" s="24">
        <f t="shared" ca="1" si="113"/>
        <v>3.3840964119762784E-2</v>
      </c>
      <c r="AB432" s="9" cm="1">
        <f t="array" aca="1" ref="AB432" ca="1">_xll.FDS($E$9,"P_PRICE("&amp;AG432&amp;",0,D,D)")</f>
        <v>5277.51</v>
      </c>
      <c r="AC432" s="9" cm="1">
        <f t="array" aca="1" ref="AC432" ca="1">_xll.FDS($E$9,"P_PRICE("&amp;AH432&amp;",0,D,D)")</f>
        <v>5267.84</v>
      </c>
      <c r="AD432" s="9" cm="1">
        <f t="array" aca="1" ref="AD432" ca="1">_xll.FDS($E$9,"P_PRICE("&amp;AI432&amp;",0,D,D)")</f>
        <v>5297.1</v>
      </c>
      <c r="AE432" s="9" cm="1">
        <f t="array" aca="1" ref="AE432" ca="1">_xll.FDS($E$9,"P_PRICE("&amp;AJ432&amp;",0,D,D)")</f>
        <v>5064.2</v>
      </c>
      <c r="AF432" s="9" cm="1">
        <f t="array" aca="1" ref="AF432" ca="1">_xll.FDS($E$9,"P_PRICE("&amp;AK432&amp;",0,D,D)")</f>
        <v>5104.76</v>
      </c>
      <c r="AG432" s="20">
        <f t="shared" ca="1" si="119"/>
        <v>45443</v>
      </c>
      <c r="AH432" s="22">
        <f t="shared" ca="1" si="114"/>
        <v>45435</v>
      </c>
      <c r="AI432" s="22">
        <f t="shared" ca="1" si="115"/>
        <v>45428</v>
      </c>
      <c r="AJ432" s="22">
        <f t="shared" ca="1" si="116"/>
        <v>45414</v>
      </c>
      <c r="AK432" s="22">
        <f t="shared" ca="1" si="117"/>
        <v>45357</v>
      </c>
      <c r="AL432" s="22">
        <f t="shared" ca="1" si="118"/>
        <v>45267</v>
      </c>
    </row>
    <row r="433" spans="4:38" x14ac:dyDescent="0.25">
      <c r="D433" s="6">
        <f ca="1"/>
        <v>45442</v>
      </c>
      <c r="E433" s="28" cm="1">
        <f t="array" aca="1" ref="E433" ca="1">_xll.FDS($E$7,"P_PRICE("&amp;D433&amp;",0,D,D)")</f>
        <v>79.959999999999994</v>
      </c>
      <c r="F433" s="29" cm="1">
        <f t="array" aca="1" ref="F433" ca="1">_xll.FDS($E$7,"P_BETA_LOCIDX("&amp;$AG433&amp;","&amp;$AL433&amp;",,"""&amp;$E$9&amp;""")")</f>
        <v>1.2661606999999999</v>
      </c>
      <c r="G433" s="30">
        <f t="shared" ca="1" si="104"/>
        <v>1.3452112358690628E-2</v>
      </c>
      <c r="H433" s="30">
        <f t="shared" ca="1" si="104"/>
        <v>-4.8990067346472953E-2</v>
      </c>
      <c r="I433" s="30">
        <f t="shared" ca="1" si="104"/>
        <v>-1.8350157773385244E-2</v>
      </c>
      <c r="J433" s="30">
        <f t="shared" ca="1" si="102"/>
        <v>-5.9437515941530197E-2</v>
      </c>
      <c r="K433" s="30">
        <f t="shared" ca="1" si="105"/>
        <v>-1.7065819523799743E-2</v>
      </c>
      <c r="L433" s="30">
        <f t="shared" ca="1" si="105"/>
        <v>-1.7334080248109097E-2</v>
      </c>
      <c r="M433" s="30">
        <f t="shared" ca="1" si="105"/>
        <v>5.4772711240656545E-2</v>
      </c>
      <c r="N433" s="30">
        <f t="shared" ca="1" si="103"/>
        <v>3.9099363527905953E-2</v>
      </c>
      <c r="O433" s="30">
        <f t="shared" ca="1" si="106"/>
        <v>-3.6137071651091146E-3</v>
      </c>
      <c r="P433" s="30">
        <f t="shared" ca="1" si="107"/>
        <v>-6.632414759458205E-2</v>
      </c>
      <c r="Q433" s="30">
        <f t="shared" ca="1" si="108"/>
        <v>3.6422553467271301E-2</v>
      </c>
      <c r="R433" s="30">
        <f t="shared" ca="1" si="109"/>
        <v>-2.0338152413624244E-2</v>
      </c>
      <c r="S433" s="9" cm="1">
        <f t="array" aca="1" ref="S433" ca="1">_xll.FDS($E$7,"P_PRICE("&amp;AG433&amp;",0,D,D)")</f>
        <v>79.959999999999994</v>
      </c>
      <c r="T433" s="9" cm="1">
        <f t="array" aca="1" ref="T433" ca="1">_xll.FDS($E$7,"P_PRICE("&amp;AH433&amp;",0,D,D)")</f>
        <v>80.25</v>
      </c>
      <c r="U433" s="9" cm="1">
        <f t="array" aca="1" ref="U433" ca="1">_xll.FDS($E$7,"P_PRICE("&amp;AI433&amp;",0,D,D)")</f>
        <v>85.64</v>
      </c>
      <c r="V433" s="9" cm="1">
        <f t="array" aca="1" ref="V433" ca="1">_xll.FDS($E$7,"P_PRICE("&amp;AJ433&amp;",0,D,D)")</f>
        <v>77.150000000000006</v>
      </c>
      <c r="W433" s="9" cm="1">
        <f t="array" aca="1" ref="W433" ca="1">_xll.FDS($E$7,"P_PRICE("&amp;AK433&amp;",0,D,D)")</f>
        <v>81.62</v>
      </c>
      <c r="X433" s="24">
        <f t="shared" ca="1" si="110"/>
        <v>-1.3478399324666879E-2</v>
      </c>
      <c r="Y433" s="24">
        <f t="shared" ca="1" si="111"/>
        <v>-1.3690268737695854E-2</v>
      </c>
      <c r="Z433" s="24">
        <f t="shared" ca="1" si="112"/>
        <v>4.3258893788645114E-2</v>
      </c>
      <c r="AA433" s="24">
        <f t="shared" ca="1" si="113"/>
        <v>3.0880253610703567E-2</v>
      </c>
      <c r="AB433" s="9" cm="1">
        <f t="array" aca="1" ref="AB433" ca="1">_xll.FDS($E$9,"P_PRICE("&amp;AG433&amp;",0,D,D)")</f>
        <v>5235.4799999999996</v>
      </c>
      <c r="AC433" s="9" cm="1">
        <f t="array" aca="1" ref="AC433" ca="1">_xll.FDS($E$9,"P_PRICE("&amp;AH433&amp;",0,D,D)")</f>
        <v>5307.01</v>
      </c>
      <c r="AD433" s="9" cm="1">
        <f t="array" aca="1" ref="AD433" ca="1">_xll.FDS($E$9,"P_PRICE("&amp;AI433&amp;",0,D,D)")</f>
        <v>5308.15</v>
      </c>
      <c r="AE433" s="9" cm="1">
        <f t="array" aca="1" ref="AE433" ca="1">_xll.FDS($E$9,"P_PRICE("&amp;AJ433&amp;",0,D,D)")</f>
        <v>5018.3900000000003</v>
      </c>
      <c r="AF433" s="9" cm="1">
        <f t="array" aca="1" ref="AF433" ca="1">_xll.FDS($E$9,"P_PRICE("&amp;AK433&amp;",0,D,D)")</f>
        <v>5078.6499999999996</v>
      </c>
      <c r="AG433" s="20">
        <f t="shared" ca="1" si="119"/>
        <v>45442</v>
      </c>
      <c r="AH433" s="22">
        <f t="shared" ca="1" si="114"/>
        <v>45434</v>
      </c>
      <c r="AI433" s="22">
        <f t="shared" ca="1" si="115"/>
        <v>45427</v>
      </c>
      <c r="AJ433" s="22">
        <f t="shared" ca="1" si="116"/>
        <v>45413</v>
      </c>
      <c r="AK433" s="22">
        <f t="shared" ca="1" si="117"/>
        <v>45356</v>
      </c>
      <c r="AL433" s="22">
        <f t="shared" ca="1" si="118"/>
        <v>45266</v>
      </c>
    </row>
    <row r="434" spans="4:38" x14ac:dyDescent="0.25">
      <c r="D434" s="6">
        <f ca="1"/>
        <v>45441</v>
      </c>
      <c r="E434" s="28" cm="1">
        <f t="array" aca="1" ref="E434" ca="1">_xll.FDS($E$7,"P_PRICE("&amp;D434&amp;",0,D,D)")</f>
        <v>78.11</v>
      </c>
      <c r="F434" s="29" cm="1">
        <f t="array" aca="1" ref="F434" ca="1">_xll.FDS($E$7,"P_BETA_LOCIDX("&amp;$AG434&amp;","&amp;$AL434&amp;",,"""&amp;$E$9&amp;""")")</f>
        <v>1.3029869000000001</v>
      </c>
      <c r="G434" s="30">
        <f t="shared" ca="1" si="104"/>
        <v>-2.365187113753222E-2</v>
      </c>
      <c r="H434" s="30">
        <f t="shared" ca="1" si="104"/>
        <v>-5.881953824461731E-2</v>
      </c>
      <c r="I434" s="30">
        <f t="shared" ca="1" si="104"/>
        <v>-5.0926196285072417E-2</v>
      </c>
      <c r="J434" s="30">
        <f t="shared" ca="1" si="102"/>
        <v>-9.9423593798872223E-2</v>
      </c>
      <c r="K434" s="30">
        <f t="shared" ca="1" si="105"/>
        <v>-1.3334936900934104E-2</v>
      </c>
      <c r="L434" s="30">
        <f t="shared" ca="1" si="105"/>
        <v>5.0339537503714489E-3</v>
      </c>
      <c r="M434" s="30">
        <f t="shared" ca="1" si="105"/>
        <v>5.9838622014857873E-2</v>
      </c>
      <c r="N434" s="30">
        <f t="shared" ca="1" si="103"/>
        <v>3.4536726804977776E-2</v>
      </c>
      <c r="O434" s="30">
        <f t="shared" ca="1" si="106"/>
        <v>-3.6986808038466323E-2</v>
      </c>
      <c r="P434" s="30">
        <f t="shared" ca="1" si="107"/>
        <v>-5.3785584494245864E-2</v>
      </c>
      <c r="Q434" s="30">
        <f t="shared" ca="1" si="108"/>
        <v>8.9124257297854559E-3</v>
      </c>
      <c r="R434" s="30">
        <f t="shared" ca="1" si="109"/>
        <v>-6.4886866993894454E-2</v>
      </c>
      <c r="S434" s="9" cm="1">
        <f t="array" aca="1" ref="S434" ca="1">_xll.FDS($E$7,"P_PRICE("&amp;AG434&amp;",0,D,D)")</f>
        <v>78.11</v>
      </c>
      <c r="T434" s="9" cm="1">
        <f t="array" aca="1" ref="T434" ca="1">_xll.FDS($E$7,"P_PRICE("&amp;AH434&amp;",0,D,D)")</f>
        <v>81.11</v>
      </c>
      <c r="U434" s="9" cm="1">
        <f t="array" aca="1" ref="U434" ca="1">_xll.FDS($E$7,"P_PRICE("&amp;AI434&amp;",0,D,D)")</f>
        <v>82.55</v>
      </c>
      <c r="V434" s="9" cm="1">
        <f t="array" aca="1" ref="V434" ca="1">_xll.FDS($E$7,"P_PRICE("&amp;AJ434&amp;",0,D,D)")</f>
        <v>77.42</v>
      </c>
      <c r="W434" s="9" cm="1">
        <f t="array" aca="1" ref="W434" ca="1">_xll.FDS($E$7,"P_PRICE("&amp;AK434&amp;",0,D,D)")</f>
        <v>83.53</v>
      </c>
      <c r="X434" s="24">
        <f t="shared" ca="1" si="110"/>
        <v>-1.0234129676157222E-2</v>
      </c>
      <c r="Y434" s="24">
        <f t="shared" ca="1" si="111"/>
        <v>3.8633955186897495E-3</v>
      </c>
      <c r="Z434" s="24">
        <f t="shared" ca="1" si="112"/>
        <v>4.5924193109583733E-2</v>
      </c>
      <c r="AA434" s="24">
        <f t="shared" ca="1" si="113"/>
        <v>2.6505812763718328E-2</v>
      </c>
      <c r="AB434" s="9" cm="1">
        <f t="array" aca="1" ref="AB434" ca="1">_xll.FDS($E$9,"P_PRICE("&amp;AG434&amp;",0,D,D)")</f>
        <v>5266.95</v>
      </c>
      <c r="AC434" s="9" cm="1">
        <f t="array" aca="1" ref="AC434" ca="1">_xll.FDS($E$9,"P_PRICE("&amp;AH434&amp;",0,D,D)")</f>
        <v>5321.41</v>
      </c>
      <c r="AD434" s="9" cm="1">
        <f t="array" aca="1" ref="AD434" ca="1">_xll.FDS($E$9,"P_PRICE("&amp;AI434&amp;",0,D,D)")</f>
        <v>5246.68</v>
      </c>
      <c r="AE434" s="9" cm="1">
        <f t="array" aca="1" ref="AE434" ca="1">_xll.FDS($E$9,"P_PRICE("&amp;AJ434&amp;",0,D,D)")</f>
        <v>5035.6899999999996</v>
      </c>
      <c r="AF434" s="9" cm="1">
        <f t="array" aca="1" ref="AF434" ca="1">_xll.FDS($E$9,"P_PRICE("&amp;AK434&amp;",0,D,D)")</f>
        <v>5130.95</v>
      </c>
      <c r="AG434" s="20">
        <f t="shared" ca="1" si="119"/>
        <v>45441</v>
      </c>
      <c r="AH434" s="22">
        <f t="shared" ca="1" si="114"/>
        <v>45433</v>
      </c>
      <c r="AI434" s="22">
        <f t="shared" ca="1" si="115"/>
        <v>45426</v>
      </c>
      <c r="AJ434" s="22">
        <f t="shared" ca="1" si="116"/>
        <v>45412</v>
      </c>
      <c r="AK434" s="22">
        <f t="shared" ca="1" si="117"/>
        <v>45355</v>
      </c>
      <c r="AL434" s="22">
        <f t="shared" ca="1" si="118"/>
        <v>45265</v>
      </c>
    </row>
    <row r="435" spans="4:38" x14ac:dyDescent="0.25">
      <c r="D435" s="6">
        <f ca="1"/>
        <v>45440</v>
      </c>
      <c r="E435" s="28" cm="1">
        <f t="array" aca="1" ref="E435" ca="1">_xll.FDS($E$7,"P_PRICE("&amp;D435&amp;",0,D,D)")</f>
        <v>79.25</v>
      </c>
      <c r="F435" s="29" cm="1">
        <f t="array" aca="1" ref="F435" ca="1">_xll.FDS($E$7,"P_BETA_LOCIDX("&amp;$AG435&amp;","&amp;$AL435&amp;",,"""&amp;$E$9&amp;""")")</f>
        <v>1.3147686000000001</v>
      </c>
      <c r="G435" s="30">
        <f t="shared" ca="1" si="104"/>
        <v>-3.1247753291718052E-2</v>
      </c>
      <c r="H435" s="30">
        <f t="shared" ca="1" si="104"/>
        <v>-5.6256415141526364E-2</v>
      </c>
      <c r="I435" s="30">
        <f t="shared" ca="1" si="104"/>
        <v>-4.3847884947957771E-2</v>
      </c>
      <c r="J435" s="30">
        <f t="shared" ca="1" si="102"/>
        <v>-9.5276600319053759E-2</v>
      </c>
      <c r="K435" s="30">
        <f t="shared" ca="1" si="105"/>
        <v>-5.1767126539856449E-4</v>
      </c>
      <c r="L435" s="30">
        <f t="shared" ca="1" si="105"/>
        <v>2.1307559807868266E-2</v>
      </c>
      <c r="M435" s="30">
        <f t="shared" ca="1" si="105"/>
        <v>4.8793357938066828E-2</v>
      </c>
      <c r="N435" s="30">
        <f t="shared" ca="1" si="103"/>
        <v>4.3243107496087327E-2</v>
      </c>
      <c r="O435" s="30">
        <f t="shared" ca="1" si="106"/>
        <v>-3.1765424557116617E-2</v>
      </c>
      <c r="P435" s="30">
        <f t="shared" ca="1" si="107"/>
        <v>-3.4948855333658102E-2</v>
      </c>
      <c r="Q435" s="30">
        <f t="shared" ca="1" si="108"/>
        <v>4.9454729901090566E-3</v>
      </c>
      <c r="R435" s="30">
        <f t="shared" ca="1" si="109"/>
        <v>-5.2033492822966432E-2</v>
      </c>
      <c r="S435" s="9" cm="1">
        <f t="array" aca="1" ref="S435" ca="1">_xll.FDS($E$7,"P_PRICE("&amp;AG435&amp;",0,D,D)")</f>
        <v>79.25</v>
      </c>
      <c r="T435" s="9" cm="1">
        <f t="array" aca="1" ref="T435" ca="1">_xll.FDS($E$7,"P_PRICE("&amp;AH435&amp;",0,D,D)")</f>
        <v>81.849999999999994</v>
      </c>
      <c r="U435" s="9" cm="1">
        <f t="array" aca="1" ref="U435" ca="1">_xll.FDS($E$7,"P_PRICE("&amp;AI435&amp;",0,D,D)")</f>
        <v>82.12</v>
      </c>
      <c r="V435" s="9" cm="1">
        <f t="array" aca="1" ref="V435" ca="1">_xll.FDS($E$7,"P_PRICE("&amp;AJ435&amp;",0,D,D)")</f>
        <v>78.86</v>
      </c>
      <c r="W435" s="9" cm="1">
        <f t="array" aca="1" ref="W435" ca="1">_xll.FDS($E$7,"P_PRICE("&amp;AK435&amp;",0,D,D)")</f>
        <v>83.6</v>
      </c>
      <c r="X435" s="24">
        <f t="shared" ca="1" si="110"/>
        <v>-3.9373564701694619E-4</v>
      </c>
      <c r="Y435" s="24">
        <f t="shared" ca="1" si="111"/>
        <v>1.6206319353738952E-2</v>
      </c>
      <c r="Z435" s="24">
        <f t="shared" ca="1" si="112"/>
        <v>3.7111745700396881E-2</v>
      </c>
      <c r="AA435" s="24">
        <f t="shared" ca="1" si="113"/>
        <v>3.2890280081291356E-2</v>
      </c>
      <c r="AB435" s="9" cm="1">
        <f t="array" aca="1" ref="AB435" ca="1">_xll.FDS($E$9,"P_PRICE("&amp;AG435&amp;",0,D,D)")</f>
        <v>5306.04</v>
      </c>
      <c r="AC435" s="9" cm="1">
        <f t="array" aca="1" ref="AC435" ca="1">_xll.FDS($E$9,"P_PRICE("&amp;AH435&amp;",0,D,D)")</f>
        <v>5308.13</v>
      </c>
      <c r="AD435" s="9" cm="1">
        <f t="array" aca="1" ref="AD435" ca="1">_xll.FDS($E$9,"P_PRICE("&amp;AI435&amp;",0,D,D)")</f>
        <v>5221.42</v>
      </c>
      <c r="AE435" s="9" cm="1">
        <f t="array" aca="1" ref="AE435" ca="1">_xll.FDS($E$9,"P_PRICE("&amp;AJ435&amp;",0,D,D)")</f>
        <v>5116.17</v>
      </c>
      <c r="AF435" s="9" cm="1">
        <f t="array" aca="1" ref="AF435" ca="1">_xll.FDS($E$9,"P_PRICE("&amp;AK435&amp;",0,D,D)")</f>
        <v>5137.08</v>
      </c>
      <c r="AG435" s="20">
        <f t="shared" ca="1" si="119"/>
        <v>45440</v>
      </c>
      <c r="AH435" s="22">
        <f t="shared" ca="1" si="114"/>
        <v>45432</v>
      </c>
      <c r="AI435" s="22">
        <f t="shared" ca="1" si="115"/>
        <v>45425</v>
      </c>
      <c r="AJ435" s="22">
        <f t="shared" ca="1" si="116"/>
        <v>45411</v>
      </c>
      <c r="AK435" s="22">
        <f t="shared" ca="1" si="117"/>
        <v>45352</v>
      </c>
      <c r="AL435" s="22">
        <f t="shared" ca="1" si="118"/>
        <v>45264</v>
      </c>
    </row>
    <row r="436" spans="4:38" x14ac:dyDescent="0.25">
      <c r="D436" s="6">
        <f ca="1"/>
        <v>45436</v>
      </c>
      <c r="E436" s="28" cm="1">
        <f t="array" aca="1" ref="E436" ca="1">_xll.FDS($E$7,"P_PRICE("&amp;D436&amp;",0,D,D)")</f>
        <v>81.94</v>
      </c>
      <c r="F436" s="29" cm="1">
        <f t="array" aca="1" ref="F436" ca="1">_xll.FDS($E$7,"P_BETA_LOCIDX("&amp;$AG436&amp;","&amp;$AL436&amp;",,"""&amp;$E$9&amp;""")")</f>
        <v>1.3245800000000001</v>
      </c>
      <c r="G436" s="30">
        <f t="shared" ca="1" si="104"/>
        <v>-1.1802102243646572E-4</v>
      </c>
      <c r="H436" s="30">
        <f t="shared" ca="1" si="104"/>
        <v>-4.2652575463475326E-2</v>
      </c>
      <c r="I436" s="30">
        <f t="shared" ca="1" si="104"/>
        <v>-1.0023780800437671E-2</v>
      </c>
      <c r="J436" s="30">
        <f t="shared" ca="1" si="102"/>
        <v>-8.2289130130130228E-2</v>
      </c>
      <c r="K436" s="30">
        <f t="shared" ca="1" si="105"/>
        <v>3.6216164743646572E-4</v>
      </c>
      <c r="L436" s="30">
        <f t="shared" ca="1" si="105"/>
        <v>2.0807046037666577E-2</v>
      </c>
      <c r="M436" s="30">
        <f t="shared" ca="1" si="105"/>
        <v>5.3181005498082495E-2</v>
      </c>
      <c r="N436" s="30">
        <f t="shared" ca="1" si="103"/>
        <v>5.4178585710725591E-2</v>
      </c>
      <c r="O436" s="30">
        <f t="shared" ca="1" si="106"/>
        <v>2.44140625E-4</v>
      </c>
      <c r="P436" s="30">
        <f t="shared" ca="1" si="107"/>
        <v>-2.1845529425808752E-2</v>
      </c>
      <c r="Q436" s="30">
        <f t="shared" ca="1" si="108"/>
        <v>4.3157224697644825E-2</v>
      </c>
      <c r="R436" s="30">
        <f t="shared" ca="1" si="109"/>
        <v>-2.8110544419404637E-2</v>
      </c>
      <c r="S436" s="9" cm="1">
        <f t="array" aca="1" ref="S436" ca="1">_xll.FDS($E$7,"P_PRICE("&amp;AG436&amp;",0,D,D)")</f>
        <v>81.94</v>
      </c>
      <c r="T436" s="9" cm="1">
        <f t="array" aca="1" ref="T436" ca="1">_xll.FDS($E$7,"P_PRICE("&amp;AH436&amp;",0,D,D)")</f>
        <v>81.92</v>
      </c>
      <c r="U436" s="9" cm="1">
        <f t="array" aca="1" ref="U436" ca="1">_xll.FDS($E$7,"P_PRICE("&amp;AI436&amp;",0,D,D)")</f>
        <v>83.77</v>
      </c>
      <c r="V436" s="9" cm="1">
        <f t="array" aca="1" ref="V436" ca="1">_xll.FDS($E$7,"P_PRICE("&amp;AJ436&amp;",0,D,D)")</f>
        <v>78.55</v>
      </c>
      <c r="W436" s="9" cm="1">
        <f t="array" aca="1" ref="W436" ca="1">_xll.FDS($E$7,"P_PRICE("&amp;AK436&amp;",0,D,D)")</f>
        <v>84.31</v>
      </c>
      <c r="X436" s="24">
        <f t="shared" ca="1" si="110"/>
        <v>2.7341621301579799E-4</v>
      </c>
      <c r="Y436" s="24">
        <f t="shared" ca="1" si="111"/>
        <v>1.5708410241485282E-2</v>
      </c>
      <c r="Z436" s="24">
        <f t="shared" ca="1" si="112"/>
        <v>4.0149334504584466E-2</v>
      </c>
      <c r="AA436" s="24">
        <f t="shared" ca="1" si="113"/>
        <v>4.0902463958934598E-2</v>
      </c>
      <c r="AB436" s="9" cm="1">
        <f t="array" aca="1" ref="AB436" ca="1">_xll.FDS($E$9,"P_PRICE("&amp;AG436&amp;",0,D,D)")</f>
        <v>5304.72</v>
      </c>
      <c r="AC436" s="9" cm="1">
        <f t="array" aca="1" ref="AC436" ca="1">_xll.FDS($E$9,"P_PRICE("&amp;AH436&amp;",0,D,D)")</f>
        <v>5303.27</v>
      </c>
      <c r="AD436" s="9" cm="1">
        <f t="array" aca="1" ref="AD436" ca="1">_xll.FDS($E$9,"P_PRICE("&amp;AI436&amp;",0,D,D)")</f>
        <v>5222.68</v>
      </c>
      <c r="AE436" s="9" cm="1">
        <f t="array" aca="1" ref="AE436" ca="1">_xll.FDS($E$9,"P_PRICE("&amp;AJ436&amp;",0,D,D)")</f>
        <v>5099.96</v>
      </c>
      <c r="AF436" s="9" cm="1">
        <f t="array" aca="1" ref="AF436" ca="1">_xll.FDS($E$9,"P_PRICE("&amp;AK436&amp;",0,D,D)")</f>
        <v>5096.2700000000004</v>
      </c>
      <c r="AG436" s="20">
        <f t="shared" ca="1" si="119"/>
        <v>45436</v>
      </c>
      <c r="AH436" s="22">
        <f t="shared" ca="1" si="114"/>
        <v>45429</v>
      </c>
      <c r="AI436" s="22">
        <f t="shared" ca="1" si="115"/>
        <v>45422</v>
      </c>
      <c r="AJ436" s="22">
        <f t="shared" ca="1" si="116"/>
        <v>45408</v>
      </c>
      <c r="AK436" s="22">
        <f t="shared" ca="1" si="117"/>
        <v>45351</v>
      </c>
      <c r="AL436" s="22">
        <f t="shared" ca="1" si="118"/>
        <v>45261</v>
      </c>
    </row>
    <row r="437" spans="4:38" x14ac:dyDescent="0.25">
      <c r="D437" s="6">
        <f ca="1"/>
        <v>45435</v>
      </c>
      <c r="E437" s="28" cm="1">
        <f t="array" aca="1" ref="E437" ca="1">_xll.FDS($E$7,"P_PRICE("&amp;D437&amp;",0,D,D)")</f>
        <v>80.41</v>
      </c>
      <c r="F437" s="29" cm="1">
        <f t="array" aca="1" ref="F437" ca="1">_xll.FDS($E$7,"P_BETA_LOCIDX("&amp;$AG437&amp;","&amp;$AL437&amp;",,"""&amp;$E$9&amp;""")")</f>
        <v>1.3147053</v>
      </c>
      <c r="G437" s="30">
        <f t="shared" ca="1" si="104"/>
        <v>-2.2539984442421911E-2</v>
      </c>
      <c r="H437" s="30">
        <f t="shared" ca="1" si="104"/>
        <v>-1.2434808596814425E-2</v>
      </c>
      <c r="I437" s="30">
        <f t="shared" ca="1" si="104"/>
        <v>-1.556086139208001E-2</v>
      </c>
      <c r="J437" s="30">
        <f t="shared" ca="1" si="102"/>
        <v>-3.7624891662706043E-2</v>
      </c>
      <c r="K437" s="30">
        <f t="shared" ca="1" si="105"/>
        <v>-7.2621391097016175E-3</v>
      </c>
      <c r="L437" s="30">
        <f t="shared" ca="1" si="105"/>
        <v>1.3555326525101359E-2</v>
      </c>
      <c r="M437" s="30">
        <f t="shared" ca="1" si="105"/>
        <v>5.714117227290904E-2</v>
      </c>
      <c r="N437" s="30">
        <f t="shared" ca="1" si="103"/>
        <v>5.1366697008142385E-2</v>
      </c>
      <c r="O437" s="30">
        <f t="shared" ca="1" si="106"/>
        <v>-2.9802123552123527E-2</v>
      </c>
      <c r="P437" s="30">
        <f t="shared" ca="1" si="107"/>
        <v>1.1205179282869349E-3</v>
      </c>
      <c r="Q437" s="30">
        <f t="shared" ca="1" si="108"/>
        <v>4.158031088082903E-2</v>
      </c>
      <c r="R437" s="30">
        <f t="shared" ca="1" si="109"/>
        <v>1.3741805345436342E-2</v>
      </c>
      <c r="S437" s="9" cm="1">
        <f t="array" aca="1" ref="S437" ca="1">_xll.FDS($E$7,"P_PRICE("&amp;AG437&amp;",0,D,D)")</f>
        <v>80.41</v>
      </c>
      <c r="T437" s="9" cm="1">
        <f t="array" aca="1" ref="T437" ca="1">_xll.FDS($E$7,"P_PRICE("&amp;AH437&amp;",0,D,D)")</f>
        <v>82.88</v>
      </c>
      <c r="U437" s="9" cm="1">
        <f t="array" aca="1" ref="U437" ca="1">_xll.FDS($E$7,"P_PRICE("&amp;AI437&amp;",0,D,D)")</f>
        <v>80.319999999999993</v>
      </c>
      <c r="V437" s="9" cm="1">
        <f t="array" aca="1" ref="V437" ca="1">_xll.FDS($E$7,"P_PRICE("&amp;AJ437&amp;",0,D,D)")</f>
        <v>77.2</v>
      </c>
      <c r="W437" s="9" cm="1">
        <f t="array" aca="1" ref="W437" ca="1">_xll.FDS($E$7,"P_PRICE("&amp;AK437&amp;",0,D,D)")</f>
        <v>79.319999999999993</v>
      </c>
      <c r="X437" s="24">
        <f t="shared" ca="1" si="110"/>
        <v>-5.5237771610882058E-3</v>
      </c>
      <c r="Y437" s="24">
        <f t="shared" ca="1" si="111"/>
        <v>1.0310543758438762E-2</v>
      </c>
      <c r="Z437" s="24">
        <f t="shared" ca="1" si="112"/>
        <v>4.3463103307569417E-2</v>
      </c>
      <c r="AA437" s="24">
        <f t="shared" ca="1" si="113"/>
        <v>3.9070883039828308E-2</v>
      </c>
      <c r="AB437" s="9" cm="1">
        <f t="array" aca="1" ref="AB437" ca="1">_xll.FDS($E$9,"P_PRICE("&amp;AG437&amp;",0,D,D)")</f>
        <v>5267.84</v>
      </c>
      <c r="AC437" s="9" cm="1">
        <f t="array" aca="1" ref="AC437" ca="1">_xll.FDS($E$9,"P_PRICE("&amp;AH437&amp;",0,D,D)")</f>
        <v>5297.1</v>
      </c>
      <c r="AD437" s="9" cm="1">
        <f t="array" aca="1" ref="AD437" ca="1">_xll.FDS($E$9,"P_PRICE("&amp;AI437&amp;",0,D,D)")</f>
        <v>5214.08</v>
      </c>
      <c r="AE437" s="9" cm="1">
        <f t="array" aca="1" ref="AE437" ca="1">_xll.FDS($E$9,"P_PRICE("&amp;AJ437&amp;",0,D,D)")</f>
        <v>5048.42</v>
      </c>
      <c r="AF437" s="9" cm="1">
        <f t="array" aca="1" ref="AF437" ca="1">_xll.FDS($E$9,"P_PRICE("&amp;AK437&amp;",0,D,D)")</f>
        <v>5069.76</v>
      </c>
      <c r="AG437" s="20">
        <f t="shared" ca="1" si="119"/>
        <v>45435</v>
      </c>
      <c r="AH437" s="22">
        <f t="shared" ca="1" si="114"/>
        <v>45428</v>
      </c>
      <c r="AI437" s="22">
        <f t="shared" ca="1" si="115"/>
        <v>45421</v>
      </c>
      <c r="AJ437" s="22">
        <f t="shared" ca="1" si="116"/>
        <v>45407</v>
      </c>
      <c r="AK437" s="22">
        <f t="shared" ca="1" si="117"/>
        <v>45350</v>
      </c>
      <c r="AL437" s="22">
        <f t="shared" ca="1" si="118"/>
        <v>45260</v>
      </c>
    </row>
    <row r="438" spans="4:38" x14ac:dyDescent="0.25">
      <c r="D438" s="6">
        <f ca="1"/>
        <v>45434</v>
      </c>
      <c r="E438" s="28" cm="1">
        <f t="array" aca="1" ref="E438" ca="1">_xll.FDS($E$7,"P_PRICE("&amp;D438&amp;",0,D,D)")</f>
        <v>80.25</v>
      </c>
      <c r="F438" s="29" cm="1">
        <f t="array" aca="1" ref="F438" ca="1">_xll.FDS($E$7,"P_BETA_LOCIDX("&amp;$AG438&amp;","&amp;$AL438&amp;",,"""&amp;$E$9&amp;""")")</f>
        <v>1.3258418000000001</v>
      </c>
      <c r="G438" s="30">
        <f t="shared" ca="1" si="104"/>
        <v>-6.265313628898439E-2</v>
      </c>
      <c r="H438" s="30">
        <f t="shared" ca="1" si="104"/>
        <v>-2.4609189625866654E-2</v>
      </c>
      <c r="I438" s="30">
        <f t="shared" ca="1" si="104"/>
        <v>-2.7783956443786291E-2</v>
      </c>
      <c r="J438" s="30">
        <f t="shared" ca="1" si="102"/>
        <v>-3.5755542515853708E-2</v>
      </c>
      <c r="K438" s="30">
        <f t="shared" ca="1" si="105"/>
        <v>-2.8474320657844912E-4</v>
      </c>
      <c r="L438" s="30">
        <f t="shared" ca="1" si="105"/>
        <v>3.0500390428072718E-2</v>
      </c>
      <c r="M438" s="30">
        <f t="shared" ca="1" si="105"/>
        <v>6.1533795423562195E-2</v>
      </c>
      <c r="N438" s="30">
        <f t="shared" ca="1" si="103"/>
        <v>5.9744313729328244E-2</v>
      </c>
      <c r="O438" s="30">
        <f t="shared" ca="1" si="106"/>
        <v>-6.2937879495562843E-2</v>
      </c>
      <c r="P438" s="30">
        <f t="shared" ca="1" si="107"/>
        <v>5.8912008022060647E-3</v>
      </c>
      <c r="Q438" s="30">
        <f t="shared" ca="1" si="108"/>
        <v>3.3749838979775904E-2</v>
      </c>
      <c r="R438" s="30">
        <f t="shared" ca="1" si="109"/>
        <v>2.3988771213474536E-2</v>
      </c>
      <c r="S438" s="9" cm="1">
        <f t="array" aca="1" ref="S438" ca="1">_xll.FDS($E$7,"P_PRICE("&amp;AG438&amp;",0,D,D)")</f>
        <v>80.25</v>
      </c>
      <c r="T438" s="9" cm="1">
        <f t="array" aca="1" ref="T438" ca="1">_xll.FDS($E$7,"P_PRICE("&amp;AH438&amp;",0,D,D)")</f>
        <v>85.64</v>
      </c>
      <c r="U438" s="9" cm="1">
        <f t="array" aca="1" ref="U438" ca="1">_xll.FDS($E$7,"P_PRICE("&amp;AI438&amp;",0,D,D)")</f>
        <v>79.78</v>
      </c>
      <c r="V438" s="9" cm="1">
        <f t="array" aca="1" ref="V438" ca="1">_xll.FDS($E$7,"P_PRICE("&amp;AJ438&amp;",0,D,D)")</f>
        <v>77.63</v>
      </c>
      <c r="W438" s="9" cm="1">
        <f t="array" aca="1" ref="W438" ca="1">_xll.FDS($E$7,"P_PRICE("&amp;AK438&amp;",0,D,D)")</f>
        <v>78.37</v>
      </c>
      <c r="X438" s="24">
        <f t="shared" ca="1" si="110"/>
        <v>-2.1476408918352785E-4</v>
      </c>
      <c r="Y438" s="24">
        <f t="shared" ca="1" si="111"/>
        <v>2.3004547320858881E-2</v>
      </c>
      <c r="Z438" s="24">
        <f t="shared" ca="1" si="112"/>
        <v>4.6411114375457307E-2</v>
      </c>
      <c r="AA438" s="24">
        <f t="shared" ca="1" si="113"/>
        <v>4.5061419642470346E-2</v>
      </c>
      <c r="AB438" s="9" cm="1">
        <f t="array" aca="1" ref="AB438" ca="1">_xll.FDS($E$9,"P_PRICE("&amp;AG438&amp;",0,D,D)")</f>
        <v>5307.01</v>
      </c>
      <c r="AC438" s="9" cm="1">
        <f t="array" aca="1" ref="AC438" ca="1">_xll.FDS($E$9,"P_PRICE("&amp;AH438&amp;",0,D,D)")</f>
        <v>5308.15</v>
      </c>
      <c r="AD438" s="9" cm="1">
        <f t="array" aca="1" ref="AD438" ca="1">_xll.FDS($E$9,"P_PRICE("&amp;AI438&amp;",0,D,D)")</f>
        <v>5187.67</v>
      </c>
      <c r="AE438" s="9" cm="1">
        <f t="array" aca="1" ref="AE438" ca="1">_xll.FDS($E$9,"P_PRICE("&amp;AJ438&amp;",0,D,D)")</f>
        <v>5071.63</v>
      </c>
      <c r="AF438" s="9" cm="1">
        <f t="array" aca="1" ref="AF438" ca="1">_xll.FDS($E$9,"P_PRICE("&amp;AK438&amp;",0,D,D)")</f>
        <v>5078.18</v>
      </c>
      <c r="AG438" s="20">
        <f t="shared" ca="1" si="119"/>
        <v>45434</v>
      </c>
      <c r="AH438" s="22">
        <f t="shared" ca="1" si="114"/>
        <v>45427</v>
      </c>
      <c r="AI438" s="22">
        <f t="shared" ca="1" si="115"/>
        <v>45420</v>
      </c>
      <c r="AJ438" s="22">
        <f t="shared" ca="1" si="116"/>
        <v>45406</v>
      </c>
      <c r="AK438" s="22">
        <f t="shared" ca="1" si="117"/>
        <v>45349</v>
      </c>
      <c r="AL438" s="22">
        <f t="shared" ca="1" si="118"/>
        <v>45259</v>
      </c>
    </row>
    <row r="439" spans="4:38" x14ac:dyDescent="0.25">
      <c r="D439" s="6">
        <f ca="1"/>
        <v>45433</v>
      </c>
      <c r="E439" s="28" cm="1">
        <f t="array" aca="1" ref="E439" ca="1">_xll.FDS($E$7,"P_PRICE("&amp;D439&amp;",0,D,D)")</f>
        <v>81.11</v>
      </c>
      <c r="F439" s="29" cm="1">
        <f t="array" aca="1" ref="F439" ca="1">_xll.FDS($E$7,"P_BETA_LOCIDX("&amp;$AG439&amp;","&amp;$AL439&amp;",,"""&amp;$E$9&amp;""")")</f>
        <v>1.3209054</v>
      </c>
      <c r="G439" s="30">
        <f t="shared" ca="1" si="104"/>
        <v>-3.6258015856746609E-2</v>
      </c>
      <c r="H439" s="30">
        <f t="shared" ca="1" si="104"/>
        <v>-3.2069052371151485E-2</v>
      </c>
      <c r="I439" s="30">
        <f t="shared" ca="1" si="104"/>
        <v>-3.5905010893727635E-2</v>
      </c>
      <c r="J439" s="30">
        <f t="shared" ca="1" si="102"/>
        <v>-4.4350014788314546E-2</v>
      </c>
      <c r="K439" s="30">
        <f t="shared" ca="1" si="105"/>
        <v>1.8814042507261496E-2</v>
      </c>
      <c r="L439" s="30">
        <f t="shared" ca="1" si="105"/>
        <v>3.4045581092584321E-2</v>
      </c>
      <c r="M439" s="30">
        <f t="shared" ca="1" si="105"/>
        <v>6.5350371980159888E-2</v>
      </c>
      <c r="N439" s="30">
        <f t="shared" ca="1" si="103"/>
        <v>6.5629289530193174E-2</v>
      </c>
      <c r="O439" s="30">
        <f t="shared" ca="1" si="106"/>
        <v>-1.7443973349485109E-2</v>
      </c>
      <c r="P439" s="30">
        <f t="shared" ca="1" si="107"/>
        <v>1.9765287214328353E-3</v>
      </c>
      <c r="Q439" s="30">
        <f t="shared" ca="1" si="108"/>
        <v>2.9445361086432253E-2</v>
      </c>
      <c r="R439" s="30">
        <f t="shared" ca="1" si="109"/>
        <v>2.1279274741878629E-2</v>
      </c>
      <c r="S439" s="9" cm="1">
        <f t="array" aca="1" ref="S439" ca="1">_xll.FDS($E$7,"P_PRICE("&amp;AG439&amp;",0,D,D)")</f>
        <v>81.11</v>
      </c>
      <c r="T439" s="9" cm="1">
        <f t="array" aca="1" ref="T439" ca="1">_xll.FDS($E$7,"P_PRICE("&amp;AH439&amp;",0,D,D)")</f>
        <v>82.55</v>
      </c>
      <c r="U439" s="9" cm="1">
        <f t="array" aca="1" ref="U439" ca="1">_xll.FDS($E$7,"P_PRICE("&amp;AI439&amp;",0,D,D)")</f>
        <v>80.95</v>
      </c>
      <c r="V439" s="9" cm="1">
        <f t="array" aca="1" ref="V439" ca="1">_xll.FDS($E$7,"P_PRICE("&amp;AJ439&amp;",0,D,D)")</f>
        <v>78.790000000000006</v>
      </c>
      <c r="W439" s="9" cm="1">
        <f t="array" aca="1" ref="W439" ca="1">_xll.FDS($E$7,"P_PRICE("&amp;AK439&amp;",0,D,D)")</f>
        <v>79.42</v>
      </c>
      <c r="X439" s="24">
        <f t="shared" ca="1" si="110"/>
        <v>1.4243292901415572E-2</v>
      </c>
      <c r="Y439" s="24">
        <f t="shared" ca="1" si="111"/>
        <v>2.5774427973861203E-2</v>
      </c>
      <c r="Z439" s="24">
        <f t="shared" ca="1" si="112"/>
        <v>4.9473922947214755E-2</v>
      </c>
      <c r="AA439" s="24">
        <f t="shared" ca="1" si="113"/>
        <v>4.9685079287429046E-2</v>
      </c>
      <c r="AB439" s="9" cm="1">
        <f t="array" aca="1" ref="AB439" ca="1">_xll.FDS($E$9,"P_PRICE("&amp;AG439&amp;",0,D,D)")</f>
        <v>5321.41</v>
      </c>
      <c r="AC439" s="9" cm="1">
        <f t="array" aca="1" ref="AC439" ca="1">_xll.FDS($E$9,"P_PRICE("&amp;AH439&amp;",0,D,D)")</f>
        <v>5246.68</v>
      </c>
      <c r="AD439" s="9" cm="1">
        <f t="array" aca="1" ref="AD439" ca="1">_xll.FDS($E$9,"P_PRICE("&amp;AI439&amp;",0,D,D)")</f>
        <v>5187.7</v>
      </c>
      <c r="AE439" s="9" cm="1">
        <f t="array" aca="1" ref="AE439" ca="1">_xll.FDS($E$9,"P_PRICE("&amp;AJ439&amp;",0,D,D)")</f>
        <v>5070.55</v>
      </c>
      <c r="AF439" s="9" cm="1">
        <f t="array" aca="1" ref="AF439" ca="1">_xll.FDS($E$9,"P_PRICE("&amp;AK439&amp;",0,D,D)")</f>
        <v>5069.53</v>
      </c>
      <c r="AG439" s="20">
        <f t="shared" ca="1" si="119"/>
        <v>45433</v>
      </c>
      <c r="AH439" s="22">
        <f t="shared" ca="1" si="114"/>
        <v>45426</v>
      </c>
      <c r="AI439" s="22">
        <f t="shared" ca="1" si="115"/>
        <v>45419</v>
      </c>
      <c r="AJ439" s="22">
        <f t="shared" ca="1" si="116"/>
        <v>45405</v>
      </c>
      <c r="AK439" s="22">
        <f t="shared" ca="1" si="117"/>
        <v>45348</v>
      </c>
      <c r="AL439" s="22">
        <f t="shared" ca="1" si="118"/>
        <v>45258</v>
      </c>
    </row>
    <row r="440" spans="4:38" x14ac:dyDescent="0.25">
      <c r="D440" s="6">
        <f ca="1"/>
        <v>45432</v>
      </c>
      <c r="E440" s="28" cm="1">
        <f t="array" aca="1" ref="E440" ca="1">_xll.FDS($E$7,"P_PRICE("&amp;D440&amp;",0,D,D)")</f>
        <v>81.849999999999994</v>
      </c>
      <c r="F440" s="29" cm="1">
        <f t="array" aca="1" ref="F440" ca="1">_xll.FDS($E$7,"P_BETA_LOCIDX("&amp;$AG440&amp;","&amp;$AL440&amp;",,"""&amp;$E$9&amp;""")")</f>
        <v>1.3206296</v>
      </c>
      <c r="G440" s="30">
        <f t="shared" ca="1" si="104"/>
        <v>-2.5219030482430686E-2</v>
      </c>
      <c r="H440" s="30">
        <f t="shared" ca="1" si="104"/>
        <v>-3.576103252830827E-2</v>
      </c>
      <c r="I440" s="30">
        <f t="shared" ca="1" si="104"/>
        <v>-2.3651095171300707E-2</v>
      </c>
      <c r="J440" s="30">
        <f t="shared" ca="1" si="102"/>
        <v>-2.2415291595411446E-2</v>
      </c>
      <c r="K440" s="30">
        <f t="shared" ca="1" si="105"/>
        <v>2.1931159074734533E-2</v>
      </c>
      <c r="L440" s="30">
        <f t="shared" ca="1" si="105"/>
        <v>3.2473161120612118E-2</v>
      </c>
      <c r="M440" s="30">
        <f t="shared" ca="1" si="105"/>
        <v>7.8419136408414136E-2</v>
      </c>
      <c r="N440" s="30">
        <f t="shared" ca="1" si="103"/>
        <v>5.6919841645967528E-2</v>
      </c>
      <c r="O440" s="30">
        <f t="shared" ca="1" si="106"/>
        <v>-3.2878714076961524E-3</v>
      </c>
      <c r="P440" s="30">
        <f t="shared" ca="1" si="107"/>
        <v>-3.2878714076961524E-3</v>
      </c>
      <c r="Q440" s="30">
        <f t="shared" ca="1" si="108"/>
        <v>5.476804123711343E-2</v>
      </c>
      <c r="R440" s="30">
        <f t="shared" ca="1" si="109"/>
        <v>3.4504550050556082E-2</v>
      </c>
      <c r="S440" s="9" cm="1">
        <f t="array" aca="1" ref="S440" ca="1">_xll.FDS($E$7,"P_PRICE("&amp;AG440&amp;",0,D,D)")</f>
        <v>81.849999999999994</v>
      </c>
      <c r="T440" s="9" cm="1">
        <f t="array" aca="1" ref="T440" ca="1">_xll.FDS($E$7,"P_PRICE("&amp;AH440&amp;",0,D,D)")</f>
        <v>82.12</v>
      </c>
      <c r="U440" s="9" cm="1">
        <f t="array" aca="1" ref="U440" ca="1">_xll.FDS($E$7,"P_PRICE("&amp;AI440&amp;",0,D,D)")</f>
        <v>82.12</v>
      </c>
      <c r="V440" s="9" cm="1">
        <f t="array" aca="1" ref="V440" ca="1">_xll.FDS($E$7,"P_PRICE("&amp;AJ440&amp;",0,D,D)")</f>
        <v>77.599999999999994</v>
      </c>
      <c r="W440" s="9" cm="1">
        <f t="array" aca="1" ref="W440" ca="1">_xll.FDS($E$7,"P_PRICE("&amp;AK440&amp;",0,D,D)")</f>
        <v>79.12</v>
      </c>
      <c r="X440" s="24">
        <f t="shared" ca="1" si="110"/>
        <v>1.6606593608635256E-2</v>
      </c>
      <c r="Y440" s="24">
        <f t="shared" ca="1" si="111"/>
        <v>2.4589151356755989E-2</v>
      </c>
      <c r="Z440" s="24">
        <f t="shared" ca="1" si="112"/>
        <v>5.9380114157985053E-2</v>
      </c>
      <c r="AA440" s="24">
        <f t="shared" ca="1" si="113"/>
        <v>4.3100534507152899E-2</v>
      </c>
      <c r="AB440" s="9" cm="1">
        <f t="array" aca="1" ref="AB440" ca="1">_xll.FDS($E$9,"P_PRICE("&amp;AG440&amp;",0,D,D)")</f>
        <v>5308.13</v>
      </c>
      <c r="AC440" s="9" cm="1">
        <f t="array" aca="1" ref="AC440" ca="1">_xll.FDS($E$9,"P_PRICE("&amp;AH440&amp;",0,D,D)")</f>
        <v>5221.42</v>
      </c>
      <c r="AD440" s="9" cm="1">
        <f t="array" aca="1" ref="AD440" ca="1">_xll.FDS($E$9,"P_PRICE("&amp;AI440&amp;",0,D,D)")</f>
        <v>5180.74</v>
      </c>
      <c r="AE440" s="9" cm="1">
        <f t="array" aca="1" ref="AE440" ca="1">_xll.FDS($E$9,"P_PRICE("&amp;AJ440&amp;",0,D,D)")</f>
        <v>5010.6000000000004</v>
      </c>
      <c r="AF440" s="9" cm="1">
        <f t="array" aca="1" ref="AF440" ca="1">_xll.FDS($E$9,"P_PRICE("&amp;AK440&amp;",0,D,D)")</f>
        <v>5088.8</v>
      </c>
      <c r="AG440" s="20">
        <f t="shared" ca="1" si="119"/>
        <v>45432</v>
      </c>
      <c r="AH440" s="22">
        <f t="shared" ca="1" si="114"/>
        <v>45425</v>
      </c>
      <c r="AI440" s="22">
        <f t="shared" ca="1" si="115"/>
        <v>45418</v>
      </c>
      <c r="AJ440" s="22">
        <f t="shared" ca="1" si="116"/>
        <v>45404</v>
      </c>
      <c r="AK440" s="22">
        <f t="shared" ca="1" si="117"/>
        <v>45345</v>
      </c>
      <c r="AL440" s="22">
        <f t="shared" ca="1" si="118"/>
        <v>45257</v>
      </c>
    </row>
    <row r="441" spans="4:38" x14ac:dyDescent="0.25">
      <c r="D441" s="6">
        <f ca="1"/>
        <v>45429</v>
      </c>
      <c r="E441" s="28" cm="1">
        <f t="array" aca="1" ref="E441" ca="1">_xll.FDS($E$7,"P_PRICE("&amp;D441&amp;",0,D,D)")</f>
        <v>81.92</v>
      </c>
      <c r="F441" s="29" cm="1">
        <f t="array" aca="1" ref="F441" ca="1">_xll.FDS($E$7,"P_BETA_LOCIDX("&amp;$AG441&amp;","&amp;$AL441&amp;",,"""&amp;$E$9&amp;""")")</f>
        <v>1.3196087999999999</v>
      </c>
      <c r="G441" s="30">
        <f t="shared" ca="1" si="104"/>
        <v>-4.2446864867913339E-2</v>
      </c>
      <c r="H441" s="30">
        <f t="shared" ca="1" si="104"/>
        <v>-2.6760014726364939E-2</v>
      </c>
      <c r="I441" s="30">
        <f t="shared" ca="1" si="104"/>
        <v>-2.6067655292766959E-2</v>
      </c>
      <c r="J441" s="30">
        <f t="shared" ca="1" si="102"/>
        <v>-8.1217001181164358E-3</v>
      </c>
      <c r="K441" s="30">
        <f t="shared" ca="1" si="105"/>
        <v>2.0362586486631317E-2</v>
      </c>
      <c r="L441" s="30">
        <f t="shared" ca="1" si="105"/>
        <v>4.5158821290263634E-2</v>
      </c>
      <c r="M441" s="30">
        <f t="shared" ca="1" si="105"/>
        <v>8.9273365870314161E-2</v>
      </c>
      <c r="N441" s="30">
        <f t="shared" ca="1" si="103"/>
        <v>5.609406803419683E-2</v>
      </c>
      <c r="O441" s="30">
        <f t="shared" ca="1" si="106"/>
        <v>-2.2084278381282019E-2</v>
      </c>
      <c r="P441" s="30">
        <f t="shared" ca="1" si="107"/>
        <v>1.8398806563898695E-2</v>
      </c>
      <c r="Q441" s="30">
        <f t="shared" ca="1" si="108"/>
        <v>6.3205710577547203E-2</v>
      </c>
      <c r="R441" s="30">
        <f t="shared" ca="1" si="109"/>
        <v>4.7972367916080394E-2</v>
      </c>
      <c r="S441" s="9" cm="1">
        <f t="array" aca="1" ref="S441" ca="1">_xll.FDS($E$7,"P_PRICE("&amp;AG441&amp;",0,D,D)")</f>
        <v>81.92</v>
      </c>
      <c r="T441" s="9" cm="1">
        <f t="array" aca="1" ref="T441" ca="1">_xll.FDS($E$7,"P_PRICE("&amp;AH441&amp;",0,D,D)")</f>
        <v>83.77</v>
      </c>
      <c r="U441" s="9" cm="1">
        <f t="array" aca="1" ref="U441" ca="1">_xll.FDS($E$7,"P_PRICE("&amp;AI441&amp;",0,D,D)")</f>
        <v>80.44</v>
      </c>
      <c r="V441" s="9" cm="1">
        <f t="array" aca="1" ref="V441" ca="1">_xll.FDS($E$7,"P_PRICE("&amp;AJ441&amp;",0,D,D)")</f>
        <v>77.05</v>
      </c>
      <c r="W441" s="9" cm="1">
        <f t="array" aca="1" ref="W441" ca="1">_xll.FDS($E$7,"P_PRICE("&amp;AK441&amp;",0,D,D)")</f>
        <v>78.17</v>
      </c>
      <c r="X441" s="24">
        <f t="shared" ca="1" si="110"/>
        <v>1.5430775004403818E-2</v>
      </c>
      <c r="Y441" s="24">
        <f t="shared" ca="1" si="111"/>
        <v>3.4221370219919445E-2</v>
      </c>
      <c r="Z441" s="24">
        <f t="shared" ca="1" si="112"/>
        <v>6.76513871916542E-2</v>
      </c>
      <c r="AA441" s="24">
        <f t="shared" ca="1" si="113"/>
        <v>4.2508103942772157E-2</v>
      </c>
      <c r="AB441" s="9" cm="1">
        <f t="array" aca="1" ref="AB441" ca="1">_xll.FDS($E$9,"P_PRICE("&amp;AG441&amp;",0,D,D)")</f>
        <v>5303.27</v>
      </c>
      <c r="AC441" s="9" cm="1">
        <f t="array" aca="1" ref="AC441" ca="1">_xll.FDS($E$9,"P_PRICE("&amp;AH441&amp;",0,D,D)")</f>
        <v>5222.68</v>
      </c>
      <c r="AD441" s="9" cm="1">
        <f t="array" aca="1" ref="AD441" ca="1">_xll.FDS($E$9,"P_PRICE("&amp;AI441&amp;",0,D,D)")</f>
        <v>5127.79</v>
      </c>
      <c r="AE441" s="9" cm="1">
        <f t="array" aca="1" ref="AE441" ca="1">_xll.FDS($E$9,"P_PRICE("&amp;AJ441&amp;",0,D,D)")</f>
        <v>4967.2299999999996</v>
      </c>
      <c r="AF441" s="9" cm="1">
        <f t="array" aca="1" ref="AF441" ca="1">_xll.FDS($E$9,"P_PRICE("&amp;AK441&amp;",0,D,D)")</f>
        <v>5087.03</v>
      </c>
      <c r="AG441" s="20">
        <f t="shared" ca="1" si="119"/>
        <v>45429</v>
      </c>
      <c r="AH441" s="22">
        <f t="shared" ca="1" si="114"/>
        <v>45422</v>
      </c>
      <c r="AI441" s="22">
        <f t="shared" ca="1" si="115"/>
        <v>45415</v>
      </c>
      <c r="AJ441" s="22">
        <f t="shared" ca="1" si="116"/>
        <v>45401</v>
      </c>
      <c r="AK441" s="22">
        <f t="shared" ca="1" si="117"/>
        <v>45344</v>
      </c>
      <c r="AL441" s="22">
        <f t="shared" ca="1" si="118"/>
        <v>45254</v>
      </c>
    </row>
    <row r="442" spans="4:38" x14ac:dyDescent="0.25">
      <c r="D442" s="6">
        <f ca="1"/>
        <v>45428</v>
      </c>
      <c r="E442" s="28" cm="1">
        <f t="array" aca="1" ref="E442" ca="1">_xll.FDS($E$7,"P_PRICE("&amp;D442&amp;",0,D,D)")</f>
        <v>82.88</v>
      </c>
      <c r="F442" s="29" cm="1">
        <f t="array" aca="1" ref="F442" ca="1">_xll.FDS($E$7,"P_BETA_LOCIDX("&amp;$AG442&amp;","&amp;$AL442&amp;",,"""&amp;$E$9&amp;""")")</f>
        <v>1.317088</v>
      </c>
      <c r="G442" s="30">
        <f t="shared" ca="1" si="104"/>
        <v>1.09014765736365E-2</v>
      </c>
      <c r="H442" s="30">
        <f t="shared" ca="1" si="104"/>
        <v>-1.8711746723695716E-2</v>
      </c>
      <c r="I442" s="30">
        <f t="shared" ca="1" si="104"/>
        <v>-7.5483495241639165E-4</v>
      </c>
      <c r="J442" s="30">
        <f t="shared" ca="1" si="102"/>
        <v>-1.6417698394225397E-2</v>
      </c>
      <c r="K442" s="30">
        <f t="shared" ca="1" si="105"/>
        <v>2.0971033386522835E-2</v>
      </c>
      <c r="L442" s="30">
        <f t="shared" ca="1" si="105"/>
        <v>6.0572211839974771E-2</v>
      </c>
      <c r="M442" s="30">
        <f t="shared" ca="1" si="105"/>
        <v>7.5164998291799165E-2</v>
      </c>
      <c r="N442" s="30">
        <f t="shared" ca="1" si="103"/>
        <v>8.3358996025533136E-2</v>
      </c>
      <c r="O442" s="30">
        <f t="shared" ca="1" si="106"/>
        <v>3.1872509960159334E-2</v>
      </c>
      <c r="P442" s="30">
        <f t="shared" ca="1" si="107"/>
        <v>4.1860465116279055E-2</v>
      </c>
      <c r="Q442" s="30">
        <f t="shared" ca="1" si="108"/>
        <v>7.4410163339382773E-2</v>
      </c>
      <c r="R442" s="30">
        <f t="shared" ca="1" si="109"/>
        <v>6.6941297631307739E-2</v>
      </c>
      <c r="S442" s="9" cm="1">
        <f t="array" aca="1" ref="S442" ca="1">_xll.FDS($E$7,"P_PRICE("&amp;AG442&amp;",0,D,D)")</f>
        <v>82.88</v>
      </c>
      <c r="T442" s="9" cm="1">
        <f t="array" aca="1" ref="T442" ca="1">_xll.FDS($E$7,"P_PRICE("&amp;AH442&amp;",0,D,D)")</f>
        <v>80.319999999999993</v>
      </c>
      <c r="U442" s="9" cm="1">
        <f t="array" aca="1" ref="U442" ca="1">_xll.FDS($E$7,"P_PRICE("&amp;AI442&amp;",0,D,D)")</f>
        <v>79.55</v>
      </c>
      <c r="V442" s="9" cm="1">
        <f t="array" aca="1" ref="V442" ca="1">_xll.FDS($E$7,"P_PRICE("&amp;AJ442&amp;",0,D,D)")</f>
        <v>77.14</v>
      </c>
      <c r="W442" s="9" cm="1">
        <f t="array" aca="1" ref="W442" ca="1">_xll.FDS($E$7,"P_PRICE("&amp;AK442&amp;",0,D,D)")</f>
        <v>77.680000000000007</v>
      </c>
      <c r="X442" s="24">
        <f t="shared" ca="1" si="110"/>
        <v>1.5922272001964055E-2</v>
      </c>
      <c r="Y442" s="24">
        <f t="shared" ca="1" si="111"/>
        <v>4.5989494885668059E-2</v>
      </c>
      <c r="Z442" s="24">
        <f t="shared" ca="1" si="112"/>
        <v>5.7069078369705872E-2</v>
      </c>
      <c r="AA442" s="24">
        <f t="shared" ca="1" si="113"/>
        <v>6.3290376972178874E-2</v>
      </c>
      <c r="AB442" s="9" cm="1">
        <f t="array" aca="1" ref="AB442" ca="1">_xll.FDS($E$9,"P_PRICE("&amp;AG442&amp;",0,D,D)")</f>
        <v>5297.1</v>
      </c>
      <c r="AC442" s="9" cm="1">
        <f t="array" aca="1" ref="AC442" ca="1">_xll.FDS($E$9,"P_PRICE("&amp;AH442&amp;",0,D,D)")</f>
        <v>5214.08</v>
      </c>
      <c r="AD442" s="9" cm="1">
        <f t="array" aca="1" ref="AD442" ca="1">_xll.FDS($E$9,"P_PRICE("&amp;AI442&amp;",0,D,D)")</f>
        <v>5064.2</v>
      </c>
      <c r="AE442" s="9" cm="1">
        <f t="array" aca="1" ref="AE442" ca="1">_xll.FDS($E$9,"P_PRICE("&amp;AJ442&amp;",0,D,D)")</f>
        <v>5011.12</v>
      </c>
      <c r="AF442" s="9" cm="1">
        <f t="array" aca="1" ref="AF442" ca="1">_xll.FDS($E$9,"P_PRICE("&amp;AK442&amp;",0,D,D)")</f>
        <v>4981.8</v>
      </c>
      <c r="AG442" s="20">
        <f t="shared" ca="1" si="119"/>
        <v>45428</v>
      </c>
      <c r="AH442" s="22">
        <f t="shared" ca="1" si="114"/>
        <v>45421</v>
      </c>
      <c r="AI442" s="22">
        <f t="shared" ca="1" si="115"/>
        <v>45414</v>
      </c>
      <c r="AJ442" s="22">
        <f t="shared" ca="1" si="116"/>
        <v>45400</v>
      </c>
      <c r="AK442" s="22">
        <f t="shared" ca="1" si="117"/>
        <v>45343</v>
      </c>
      <c r="AL442" s="22">
        <f t="shared" ca="1" si="118"/>
        <v>45252</v>
      </c>
    </row>
    <row r="443" spans="4:38" x14ac:dyDescent="0.25">
      <c r="D443" s="6">
        <f ca="1"/>
        <v>45427</v>
      </c>
      <c r="E443" s="28" cm="1">
        <f t="array" aca="1" ref="E443" ca="1">_xll.FDS($E$7,"P_PRICE("&amp;D443&amp;",0,D,D)")</f>
        <v>85.64</v>
      </c>
      <c r="F443" s="29" cm="1">
        <f t="array" aca="1" ref="F443" ca="1">_xll.FDS($E$7,"P_BETA_LOCIDX("&amp;$AG443&amp;","&amp;$AL443&amp;",,"""&amp;$E$9&amp;""")")</f>
        <v>1.2747132000000001</v>
      </c>
      <c r="G443" s="30">
        <f t="shared" ca="1" si="104"/>
        <v>4.3847672286435546E-2</v>
      </c>
      <c r="H443" s="30">
        <f t="shared" ca="1" si="104"/>
        <v>3.6443893021638307E-2</v>
      </c>
      <c r="I443" s="30">
        <f t="shared" ca="1" si="104"/>
        <v>1.8101618124577529E-2</v>
      </c>
      <c r="J443" s="30">
        <f t="shared" ca="1" si="102"/>
        <v>1.8671221017631787E-2</v>
      </c>
      <c r="K443" s="30">
        <f t="shared" ca="1" si="105"/>
        <v>2.9604320694261388E-2</v>
      </c>
      <c r="L443" s="30">
        <f t="shared" ca="1" si="105"/>
        <v>7.360147314816079E-2</v>
      </c>
      <c r="M443" s="30">
        <f t="shared" ca="1" si="105"/>
        <v>7.2575916261566148E-2</v>
      </c>
      <c r="N443" s="30">
        <f t="shared" ca="1" si="103"/>
        <v>8.5221534847281857E-2</v>
      </c>
      <c r="O443" s="30">
        <f t="shared" ca="1" si="106"/>
        <v>7.3451992980696934E-2</v>
      </c>
      <c r="P443" s="30">
        <f t="shared" ca="1" si="107"/>
        <v>0.1100453661697991</v>
      </c>
      <c r="Q443" s="30">
        <f t="shared" ca="1" si="108"/>
        <v>9.0677534386143677E-2</v>
      </c>
      <c r="R443" s="30">
        <f t="shared" ca="1" si="109"/>
        <v>0.10389275586491364</v>
      </c>
      <c r="S443" s="9" cm="1">
        <f t="array" aca="1" ref="S443" ca="1">_xll.FDS($E$7,"P_PRICE("&amp;AG443&amp;",0,D,D)")</f>
        <v>85.64</v>
      </c>
      <c r="T443" s="9" cm="1">
        <f t="array" aca="1" ref="T443" ca="1">_xll.FDS($E$7,"P_PRICE("&amp;AH443&amp;",0,D,D)")</f>
        <v>79.78</v>
      </c>
      <c r="U443" s="9" cm="1">
        <f t="array" aca="1" ref="U443" ca="1">_xll.FDS($E$7,"P_PRICE("&amp;AI443&amp;",0,D,D)")</f>
        <v>77.150000000000006</v>
      </c>
      <c r="V443" s="9" cm="1">
        <f t="array" aca="1" ref="V443" ca="1">_xll.FDS($E$7,"P_PRICE("&amp;AJ443&amp;",0,D,D)")</f>
        <v>78.52</v>
      </c>
      <c r="W443" s="9" cm="1">
        <f t="array" aca="1" ref="W443" ca="1">_xll.FDS($E$7,"P_PRICE("&amp;AK443&amp;",0,D,D)")</f>
        <v>77.58</v>
      </c>
      <c r="X443" s="24">
        <f t="shared" ca="1" si="110"/>
        <v>2.3224299155497397E-2</v>
      </c>
      <c r="Y443" s="24">
        <f t="shared" ca="1" si="111"/>
        <v>5.7739633627517772E-2</v>
      </c>
      <c r="Z443" s="24">
        <f t="shared" ca="1" si="112"/>
        <v>5.6935094311070245E-2</v>
      </c>
      <c r="AA443" s="24">
        <f t="shared" ca="1" si="113"/>
        <v>6.6855458033447723E-2</v>
      </c>
      <c r="AB443" s="9" cm="1">
        <f t="array" aca="1" ref="AB443" ca="1">_xll.FDS($E$9,"P_PRICE("&amp;AG443&amp;",0,D,D)")</f>
        <v>5308.15</v>
      </c>
      <c r="AC443" s="9" cm="1">
        <f t="array" aca="1" ref="AC443" ca="1">_xll.FDS($E$9,"P_PRICE("&amp;AH443&amp;",0,D,D)")</f>
        <v>5187.67</v>
      </c>
      <c r="AD443" s="9" cm="1">
        <f t="array" aca="1" ref="AD443" ca="1">_xll.FDS($E$9,"P_PRICE("&amp;AI443&amp;",0,D,D)")</f>
        <v>5018.3900000000003</v>
      </c>
      <c r="AE443" s="9" cm="1">
        <f t="array" aca="1" ref="AE443" ca="1">_xll.FDS($E$9,"P_PRICE("&amp;AJ443&amp;",0,D,D)")</f>
        <v>5022.21</v>
      </c>
      <c r="AF443" s="9" cm="1">
        <f t="array" aca="1" ref="AF443" ca="1">_xll.FDS($E$9,"P_PRICE("&amp;AK443&amp;",0,D,D)")</f>
        <v>4975.51</v>
      </c>
      <c r="AG443" s="20">
        <f t="shared" ca="1" si="119"/>
        <v>45427</v>
      </c>
      <c r="AH443" s="22">
        <f t="shared" ca="1" si="114"/>
        <v>45420</v>
      </c>
      <c r="AI443" s="22">
        <f t="shared" ca="1" si="115"/>
        <v>45413</v>
      </c>
      <c r="AJ443" s="22">
        <f t="shared" ca="1" si="116"/>
        <v>45399</v>
      </c>
      <c r="AK443" s="22">
        <f t="shared" ca="1" si="117"/>
        <v>45342</v>
      </c>
      <c r="AL443" s="22">
        <f t="shared" ca="1" si="118"/>
        <v>45251</v>
      </c>
    </row>
    <row r="444" spans="4:38" x14ac:dyDescent="0.25">
      <c r="D444" s="6">
        <f ca="1"/>
        <v>45426</v>
      </c>
      <c r="E444" s="28" cm="1">
        <f t="array" aca="1" ref="E444" ca="1">_xll.FDS($E$7,"P_PRICE("&amp;D444&amp;",0,D,D)")</f>
        <v>82.55</v>
      </c>
      <c r="F444" s="29" cm="1">
        <f t="array" aca="1" ref="F444" ca="1">_xll.FDS($E$7,"P_BETA_LOCIDX("&amp;$AG444&amp;","&amp;$AL444&amp;",,"""&amp;$E$9&amp;""")")</f>
        <v>1.1981306</v>
      </c>
      <c r="G444" s="30">
        <f t="shared" ca="1" si="104"/>
        <v>6.1435005289006382E-3</v>
      </c>
      <c r="H444" s="30">
        <f t="shared" ca="1" si="104"/>
        <v>1.6061563104380623E-2</v>
      </c>
      <c r="I444" s="30">
        <f t="shared" ca="1" si="104"/>
        <v>-3.6226364583581833E-3</v>
      </c>
      <c r="J444" s="30">
        <f t="shared" ca="1" si="102"/>
        <v>6.2138009625443275E-3</v>
      </c>
      <c r="K444" s="30">
        <f t="shared" ca="1" si="105"/>
        <v>1.3621786685429047E-2</v>
      </c>
      <c r="L444" s="30">
        <f t="shared" ca="1" si="105"/>
        <v>5.0200384712720751E-2</v>
      </c>
      <c r="M444" s="30">
        <f t="shared" ca="1" si="105"/>
        <v>4.6315575703021514E-2</v>
      </c>
      <c r="N444" s="30">
        <f t="shared" ca="1" si="103"/>
        <v>5.7711962666789227E-2</v>
      </c>
      <c r="O444" s="30">
        <f t="shared" ca="1" si="106"/>
        <v>1.9765287214329685E-2</v>
      </c>
      <c r="P444" s="30">
        <f t="shared" ca="1" si="107"/>
        <v>6.6261947817101374E-2</v>
      </c>
      <c r="Q444" s="30">
        <f t="shared" ca="1" si="108"/>
        <v>4.269293924466333E-2</v>
      </c>
      <c r="R444" s="30">
        <f t="shared" ca="1" si="109"/>
        <v>6.3925763629333554E-2</v>
      </c>
      <c r="S444" s="9" cm="1">
        <f t="array" aca="1" ref="S444" ca="1">_xll.FDS($E$7,"P_PRICE("&amp;AG444&amp;",0,D,D)")</f>
        <v>82.55</v>
      </c>
      <c r="T444" s="9" cm="1">
        <f t="array" aca="1" ref="T444" ca="1">_xll.FDS($E$7,"P_PRICE("&amp;AH444&amp;",0,D,D)")</f>
        <v>80.95</v>
      </c>
      <c r="U444" s="9" cm="1">
        <f t="array" aca="1" ref="U444" ca="1">_xll.FDS($E$7,"P_PRICE("&amp;AI444&amp;",0,D,D)")</f>
        <v>77.42</v>
      </c>
      <c r="V444" s="9" cm="1">
        <f t="array" aca="1" ref="V444" ca="1">_xll.FDS($E$7,"P_PRICE("&amp;AJ444&amp;",0,D,D)")</f>
        <v>79.17</v>
      </c>
      <c r="W444" s="9" cm="1">
        <f t="array" aca="1" ref="W444" ca="1">_xll.FDS($E$7,"P_PRICE("&amp;AK444&amp;",0,D,D)")</f>
        <v>77.59</v>
      </c>
      <c r="X444" s="24">
        <f t="shared" ca="1" si="110"/>
        <v>1.136920022360588E-2</v>
      </c>
      <c r="Y444" s="24">
        <f t="shared" ca="1" si="111"/>
        <v>4.1898925469995296E-2</v>
      </c>
      <c r="Z444" s="24">
        <f t="shared" ca="1" si="112"/>
        <v>3.8656533522323455E-2</v>
      </c>
      <c r="AA444" s="24">
        <f t="shared" ca="1" si="113"/>
        <v>4.8168340468717874E-2</v>
      </c>
      <c r="AB444" s="9" cm="1">
        <f t="array" aca="1" ref="AB444" ca="1">_xll.FDS($E$9,"P_PRICE("&amp;AG444&amp;",0,D,D)")</f>
        <v>5246.68</v>
      </c>
      <c r="AC444" s="9" cm="1">
        <f t="array" aca="1" ref="AC444" ca="1">_xll.FDS($E$9,"P_PRICE("&amp;AH444&amp;",0,D,D)")</f>
        <v>5187.7</v>
      </c>
      <c r="AD444" s="9" cm="1">
        <f t="array" aca="1" ref="AD444" ca="1">_xll.FDS($E$9,"P_PRICE("&amp;AI444&amp;",0,D,D)")</f>
        <v>5035.6899999999996</v>
      </c>
      <c r="AE444" s="9" cm="1">
        <f t="array" aca="1" ref="AE444" ca="1">_xll.FDS($E$9,"P_PRICE("&amp;AJ444&amp;",0,D,D)")</f>
        <v>5051.41</v>
      </c>
      <c r="AF444" s="9" cm="1">
        <f t="array" aca="1" ref="AF444" ca="1">_xll.FDS($E$9,"P_PRICE("&amp;AK444&amp;",0,D,D)")</f>
        <v>5005.57</v>
      </c>
      <c r="AG444" s="20">
        <f t="shared" ca="1" si="119"/>
        <v>45426</v>
      </c>
      <c r="AH444" s="22">
        <f t="shared" ca="1" si="114"/>
        <v>45419</v>
      </c>
      <c r="AI444" s="22">
        <f t="shared" ca="1" si="115"/>
        <v>45412</v>
      </c>
      <c r="AJ444" s="22">
        <f t="shared" ca="1" si="116"/>
        <v>45398</v>
      </c>
      <c r="AK444" s="22">
        <f t="shared" ca="1" si="117"/>
        <v>45338</v>
      </c>
      <c r="AL444" s="22">
        <f t="shared" ca="1" si="118"/>
        <v>45250</v>
      </c>
    </row>
    <row r="445" spans="4:38" x14ac:dyDescent="0.25">
      <c r="D445" s="6">
        <f ca="1"/>
        <v>45425</v>
      </c>
      <c r="E445" s="28" cm="1">
        <f t="array" aca="1" ref="E445" ca="1">_xll.FDS($E$7,"P_PRICE("&amp;D445&amp;",0,D,D)")</f>
        <v>82.12</v>
      </c>
      <c r="F445" s="29" cm="1">
        <f t="array" aca="1" ref="F445" ca="1">_xll.FDS($E$7,"P_BETA_LOCIDX("&amp;$AG445&amp;","&amp;$AL445&amp;",,"""&amp;$E$9&amp;""")")</f>
        <v>1.1993669</v>
      </c>
      <c r="G445" s="30">
        <f t="shared" ca="1" si="104"/>
        <v>-9.417620936777546E-3</v>
      </c>
      <c r="H445" s="30">
        <f t="shared" ca="1" si="104"/>
        <v>1.6665670708351038E-2</v>
      </c>
      <c r="I445" s="30">
        <f t="shared" ca="1" si="104"/>
        <v>-1.5278565018830882E-2</v>
      </c>
      <c r="J445" s="30">
        <f t="shared" ca="1" si="102"/>
        <v>3.2688359592209573E-2</v>
      </c>
      <c r="K445" s="30">
        <f t="shared" ca="1" si="105"/>
        <v>9.417620936777546E-3</v>
      </c>
      <c r="L445" s="30">
        <f t="shared" ca="1" si="105"/>
        <v>2.4673411208970791E-2</v>
      </c>
      <c r="M445" s="30">
        <f t="shared" ca="1" si="105"/>
        <v>3.7816231560980164E-2</v>
      </c>
      <c r="N445" s="30">
        <f t="shared" ca="1" si="103"/>
        <v>4.5709539291572329E-2</v>
      </c>
      <c r="O445" s="30">
        <f t="shared" ca="1" si="106"/>
        <v>0</v>
      </c>
      <c r="P445" s="30">
        <f t="shared" ca="1" si="107"/>
        <v>4.1339081917321829E-2</v>
      </c>
      <c r="Q445" s="30">
        <f t="shared" ca="1" si="108"/>
        <v>2.2537666542149282E-2</v>
      </c>
      <c r="R445" s="30">
        <f t="shared" ca="1" si="109"/>
        <v>7.8397898883781902E-2</v>
      </c>
      <c r="S445" s="9" cm="1">
        <f t="array" aca="1" ref="S445" ca="1">_xll.FDS($E$7,"P_PRICE("&amp;AG445&amp;",0,D,D)")</f>
        <v>82.12</v>
      </c>
      <c r="T445" s="9" cm="1">
        <f t="array" aca="1" ref="T445" ca="1">_xll.FDS($E$7,"P_PRICE("&amp;AH445&amp;",0,D,D)")</f>
        <v>82.12</v>
      </c>
      <c r="U445" s="9" cm="1">
        <f t="array" aca="1" ref="U445" ca="1">_xll.FDS($E$7,"P_PRICE("&amp;AI445&amp;",0,D,D)")</f>
        <v>78.86</v>
      </c>
      <c r="V445" s="9" cm="1">
        <f t="array" aca="1" ref="V445" ca="1">_xll.FDS($E$7,"P_PRICE("&amp;AJ445&amp;",0,D,D)")</f>
        <v>80.31</v>
      </c>
      <c r="W445" s="9" cm="1">
        <f t="array" aca="1" ref="W445" ca="1">_xll.FDS($E$7,"P_PRICE("&amp;AK445&amp;",0,D,D)")</f>
        <v>76.150000000000006</v>
      </c>
      <c r="X445" s="24">
        <f t="shared" ca="1" si="110"/>
        <v>7.8521601161225529E-3</v>
      </c>
      <c r="Y445" s="24">
        <f t="shared" ca="1" si="111"/>
        <v>2.0572029467355479E-2</v>
      </c>
      <c r="Z445" s="24">
        <f t="shared" ca="1" si="112"/>
        <v>3.1530161088304309E-2</v>
      </c>
      <c r="AA445" s="24">
        <f t="shared" ca="1" si="113"/>
        <v>3.8111389676980689E-2</v>
      </c>
      <c r="AB445" s="9" cm="1">
        <f t="array" aca="1" ref="AB445" ca="1">_xll.FDS($E$9,"P_PRICE("&amp;AG445&amp;",0,D,D)")</f>
        <v>5221.42</v>
      </c>
      <c r="AC445" s="9" cm="1">
        <f t="array" aca="1" ref="AC445" ca="1">_xll.FDS($E$9,"P_PRICE("&amp;AH445&amp;",0,D,D)")</f>
        <v>5180.74</v>
      </c>
      <c r="AD445" s="9" cm="1">
        <f t="array" aca="1" ref="AD445" ca="1">_xll.FDS($E$9,"P_PRICE("&amp;AI445&amp;",0,D,D)")</f>
        <v>5116.17</v>
      </c>
      <c r="AE445" s="9" cm="1">
        <f t="array" aca="1" ref="AE445" ca="1">_xll.FDS($E$9,"P_PRICE("&amp;AJ445&amp;",0,D,D)")</f>
        <v>5061.82</v>
      </c>
      <c r="AF445" s="9" cm="1">
        <f t="array" aca="1" ref="AF445" ca="1">_xll.FDS($E$9,"P_PRICE("&amp;AK445&amp;",0,D,D)")</f>
        <v>5029.7299999999996</v>
      </c>
      <c r="AG445" s="20">
        <f t="shared" ca="1" si="119"/>
        <v>45425</v>
      </c>
      <c r="AH445" s="22">
        <f t="shared" ca="1" si="114"/>
        <v>45418</v>
      </c>
      <c r="AI445" s="22">
        <f t="shared" ca="1" si="115"/>
        <v>45411</v>
      </c>
      <c r="AJ445" s="22">
        <f t="shared" ca="1" si="116"/>
        <v>45397</v>
      </c>
      <c r="AK445" s="22">
        <f t="shared" ca="1" si="117"/>
        <v>45337</v>
      </c>
      <c r="AL445" s="22">
        <f t="shared" ca="1" si="118"/>
        <v>45247</v>
      </c>
    </row>
    <row r="446" spans="4:38" x14ac:dyDescent="0.25">
      <c r="D446" s="6">
        <f ca="1"/>
        <v>45422</v>
      </c>
      <c r="E446" s="28" cm="1">
        <f t="array" aca="1" ref="E446" ca="1">_xll.FDS($E$7,"P_PRICE("&amp;D446&amp;",0,D,D)")</f>
        <v>83.77</v>
      </c>
      <c r="F446" s="29" cm="1">
        <f t="array" aca="1" ref="F446" ca="1">_xll.FDS($E$7,"P_BETA_LOCIDX("&amp;$AG446&amp;","&amp;$AL446&amp;",,"""&amp;$E$9&amp;""")")</f>
        <v>1.1939256</v>
      </c>
      <c r="G446" s="30">
        <f t="shared" ca="1" si="104"/>
        <v>1.930366425188236E-2</v>
      </c>
      <c r="H446" s="30">
        <f t="shared" ca="1" si="104"/>
        <v>3.7725134880443802E-2</v>
      </c>
      <c r="I446" s="30">
        <f t="shared" ca="1" si="104"/>
        <v>-7.0002794402675671E-3</v>
      </c>
      <c r="J446" s="30">
        <f t="shared" ca="1" si="102"/>
        <v>6.765084681200928E-2</v>
      </c>
      <c r="K446" s="30">
        <f t="shared" ca="1" si="105"/>
        <v>2.2093650516889482E-2</v>
      </c>
      <c r="L446" s="30">
        <f t="shared" ca="1" si="105"/>
        <v>2.8729352707080123E-2</v>
      </c>
      <c r="M446" s="30">
        <f t="shared" ca="1" si="105"/>
        <v>2.3133224612514072E-2</v>
      </c>
      <c r="N446" s="30">
        <f t="shared" ca="1" si="103"/>
        <v>5.3018049509060965E-2</v>
      </c>
      <c r="O446" s="30">
        <f t="shared" ca="1" si="106"/>
        <v>4.1397314768771842E-2</v>
      </c>
      <c r="P446" s="30">
        <f t="shared" ca="1" si="107"/>
        <v>6.6454487587523925E-2</v>
      </c>
      <c r="Q446" s="30">
        <f t="shared" ca="1" si="108"/>
        <v>1.6132945172246504E-2</v>
      </c>
      <c r="R446" s="30">
        <f t="shared" ca="1" si="109"/>
        <v>0.12066889632107025</v>
      </c>
      <c r="S446" s="9" cm="1">
        <f t="array" aca="1" ref="S446" ca="1">_xll.FDS($E$7,"P_PRICE("&amp;AG446&amp;",0,D,D)")</f>
        <v>83.77</v>
      </c>
      <c r="T446" s="9" cm="1">
        <f t="array" aca="1" ref="T446" ca="1">_xll.FDS($E$7,"P_PRICE("&amp;AH446&amp;",0,D,D)")</f>
        <v>80.44</v>
      </c>
      <c r="U446" s="9" cm="1">
        <f t="array" aca="1" ref="U446" ca="1">_xll.FDS($E$7,"P_PRICE("&amp;AI446&amp;",0,D,D)")</f>
        <v>78.55</v>
      </c>
      <c r="V446" s="9" cm="1">
        <f t="array" aca="1" ref="V446" ca="1">_xll.FDS($E$7,"P_PRICE("&amp;AJ446&amp;",0,D,D)")</f>
        <v>82.44</v>
      </c>
      <c r="W446" s="9" cm="1">
        <f t="array" aca="1" ref="W446" ca="1">_xll.FDS($E$7,"P_PRICE("&amp;AK446&amp;",0,D,D)")</f>
        <v>74.75</v>
      </c>
      <c r="X446" s="24">
        <f t="shared" ca="1" si="110"/>
        <v>1.8505047983634393E-2</v>
      </c>
      <c r="Y446" s="24">
        <f t="shared" ca="1" si="111"/>
        <v>2.4062933826932031E-2</v>
      </c>
      <c r="Z446" s="24">
        <f t="shared" ca="1" si="112"/>
        <v>1.9375767311224479E-2</v>
      </c>
      <c r="AA446" s="24">
        <f t="shared" ca="1" si="113"/>
        <v>4.4406493594794316E-2</v>
      </c>
      <c r="AB446" s="9" cm="1">
        <f t="array" aca="1" ref="AB446" ca="1">_xll.FDS($E$9,"P_PRICE("&amp;AG446&amp;",0,D,D)")</f>
        <v>5222.68</v>
      </c>
      <c r="AC446" s="9" cm="1">
        <f t="array" aca="1" ref="AC446" ca="1">_xll.FDS($E$9,"P_PRICE("&amp;AH446&amp;",0,D,D)")</f>
        <v>5127.79</v>
      </c>
      <c r="AD446" s="9" cm="1">
        <f t="array" aca="1" ref="AD446" ca="1">_xll.FDS($E$9,"P_PRICE("&amp;AI446&amp;",0,D,D)")</f>
        <v>5099.96</v>
      </c>
      <c r="AE446" s="9" cm="1">
        <f t="array" aca="1" ref="AE446" ca="1">_xll.FDS($E$9,"P_PRICE("&amp;AJ446&amp;",0,D,D)")</f>
        <v>5123.41</v>
      </c>
      <c r="AF446" s="9" cm="1">
        <f t="array" aca="1" ref="AF446" ca="1">_xll.FDS($E$9,"P_PRICE("&amp;AK446&amp;",0,D,D)")</f>
        <v>5000.62</v>
      </c>
      <c r="AG446" s="20">
        <f t="shared" ca="1" si="119"/>
        <v>45422</v>
      </c>
      <c r="AH446" s="22">
        <f t="shared" ca="1" si="114"/>
        <v>45415</v>
      </c>
      <c r="AI446" s="22">
        <f t="shared" ca="1" si="115"/>
        <v>45408</v>
      </c>
      <c r="AJ446" s="22">
        <f t="shared" ca="1" si="116"/>
        <v>45394</v>
      </c>
      <c r="AK446" s="22">
        <f t="shared" ca="1" si="117"/>
        <v>45336</v>
      </c>
      <c r="AL446" s="22">
        <f t="shared" ca="1" si="118"/>
        <v>45246</v>
      </c>
    </row>
    <row r="447" spans="4:38" x14ac:dyDescent="0.25">
      <c r="D447" s="6">
        <f ca="1"/>
        <v>45421</v>
      </c>
      <c r="E447" s="28" cm="1">
        <f t="array" aca="1" ref="E447" ca="1">_xll.FDS($E$7,"P_PRICE("&amp;D447&amp;",0,D,D)")</f>
        <v>80.319999999999993</v>
      </c>
      <c r="F447" s="29" cm="1">
        <f t="array" aca="1" ref="F447" ca="1">_xll.FDS($E$7,"P_BETA_LOCIDX("&amp;$AG447&amp;","&amp;$AL447&amp;",,"""&amp;$E$9&amp;""")")</f>
        <v>1.1898906</v>
      </c>
      <c r="G447" s="30">
        <f t="shared" ca="1" si="104"/>
        <v>-2.553654045930185E-2</v>
      </c>
      <c r="H447" s="30">
        <f t="shared" ca="1" si="104"/>
        <v>1.3691674881298049E-3</v>
      </c>
      <c r="I447" s="30">
        <f t="shared" ca="1" si="104"/>
        <v>-4.1060387964548389E-2</v>
      </c>
      <c r="J447" s="30">
        <f t="shared" ca="1" si="102"/>
        <v>4.6407975257489437E-2</v>
      </c>
      <c r="K447" s="30">
        <f t="shared" ca="1" si="105"/>
        <v>3.521598734805096E-2</v>
      </c>
      <c r="L447" s="30">
        <f t="shared" ca="1" si="105"/>
        <v>3.9045340283890798E-2</v>
      </c>
      <c r="M447" s="30">
        <f t="shared" ca="1" si="105"/>
        <v>3.4375746408004384E-3</v>
      </c>
      <c r="N447" s="30">
        <f t="shared" ca="1" si="103"/>
        <v>6.2677912618787607E-2</v>
      </c>
      <c r="O447" s="30">
        <f t="shared" ca="1" si="106"/>
        <v>9.6794468887491103E-3</v>
      </c>
      <c r="P447" s="30">
        <f t="shared" ca="1" si="107"/>
        <v>4.0414507772020603E-2</v>
      </c>
      <c r="Q447" s="30">
        <f t="shared" ca="1" si="108"/>
        <v>-3.762281332374795E-2</v>
      </c>
      <c r="R447" s="30">
        <f t="shared" ca="1" si="109"/>
        <v>0.10908588787627704</v>
      </c>
      <c r="S447" s="9" cm="1">
        <f t="array" aca="1" ref="S447" ca="1">_xll.FDS($E$7,"P_PRICE("&amp;AG447&amp;",0,D,D)")</f>
        <v>80.319999999999993</v>
      </c>
      <c r="T447" s="9" cm="1">
        <f t="array" aca="1" ref="T447" ca="1">_xll.FDS($E$7,"P_PRICE("&amp;AH447&amp;",0,D,D)")</f>
        <v>79.55</v>
      </c>
      <c r="U447" s="9" cm="1">
        <f t="array" aca="1" ref="U447" ca="1">_xll.FDS($E$7,"P_PRICE("&amp;AI447&amp;",0,D,D)")</f>
        <v>77.2</v>
      </c>
      <c r="V447" s="9" cm="1">
        <f t="array" aca="1" ref="V447" ca="1">_xll.FDS($E$7,"P_PRICE("&amp;AJ447&amp;",0,D,D)")</f>
        <v>83.46</v>
      </c>
      <c r="W447" s="9" cm="1">
        <f t="array" aca="1" ref="W447" ca="1">_xll.FDS($E$7,"P_PRICE("&amp;AK447&amp;",0,D,D)")</f>
        <v>72.42</v>
      </c>
      <c r="X447" s="24">
        <f t="shared" ca="1" si="110"/>
        <v>2.9595987520240064E-2</v>
      </c>
      <c r="Y447" s="24">
        <f t="shared" ca="1" si="111"/>
        <v>3.2814227025485199E-2</v>
      </c>
      <c r="Z447" s="24">
        <f t="shared" ca="1" si="112"/>
        <v>2.8889837778367511E-3</v>
      </c>
      <c r="AA447" s="24">
        <f t="shared" ca="1" si="113"/>
        <v>5.2675357397383937E-2</v>
      </c>
      <c r="AB447" s="9" cm="1">
        <f t="array" aca="1" ref="AB447" ca="1">_xll.FDS($E$9,"P_PRICE("&amp;AG447&amp;",0,D,D)")</f>
        <v>5214.08</v>
      </c>
      <c r="AC447" s="9" cm="1">
        <f t="array" aca="1" ref="AC447" ca="1">_xll.FDS($E$9,"P_PRICE("&amp;AH447&amp;",0,D,D)")</f>
        <v>5064.2</v>
      </c>
      <c r="AD447" s="9" cm="1">
        <f t="array" aca="1" ref="AD447" ca="1">_xll.FDS($E$9,"P_PRICE("&amp;AI447&amp;",0,D,D)")</f>
        <v>5048.42</v>
      </c>
      <c r="AE447" s="9" cm="1">
        <f t="array" aca="1" ref="AE447" ca="1">_xll.FDS($E$9,"P_PRICE("&amp;AJ447&amp;",0,D,D)")</f>
        <v>5199.0600000000004</v>
      </c>
      <c r="AF447" s="9" cm="1">
        <f t="array" aca="1" ref="AF447" ca="1">_xll.FDS($E$9,"P_PRICE("&amp;AK447&amp;",0,D,D)")</f>
        <v>4953.17</v>
      </c>
      <c r="AG447" s="20">
        <f t="shared" ca="1" si="119"/>
        <v>45421</v>
      </c>
      <c r="AH447" s="22">
        <f t="shared" ca="1" si="114"/>
        <v>45414</v>
      </c>
      <c r="AI447" s="22">
        <f t="shared" ca="1" si="115"/>
        <v>45407</v>
      </c>
      <c r="AJ447" s="22">
        <f t="shared" ca="1" si="116"/>
        <v>45393</v>
      </c>
      <c r="AK447" s="22">
        <f t="shared" ca="1" si="117"/>
        <v>45335</v>
      </c>
      <c r="AL447" s="22">
        <f t="shared" ca="1" si="118"/>
        <v>45245</v>
      </c>
    </row>
    <row r="448" spans="4:38" x14ac:dyDescent="0.25">
      <c r="D448" s="6">
        <f ca="1"/>
        <v>45420</v>
      </c>
      <c r="E448" s="28" cm="1">
        <f t="array" aca="1" ref="E448" ca="1">_xll.FDS($E$7,"P_PRICE("&amp;D448&amp;",0,D,D)")</f>
        <v>79.78</v>
      </c>
      <c r="F448" s="29" cm="1">
        <f t="array" aca="1" ref="F448" ca="1">_xll.FDS($E$7,"P_BETA_LOCIDX("&amp;$AG448&amp;","&amp;$AL448&amp;",,"""&amp;$E$9&amp;""")")</f>
        <v>1.1406072</v>
      </c>
      <c r="G448" s="30">
        <f t="shared" ca="1" si="104"/>
        <v>-4.385450566489521E-3</v>
      </c>
      <c r="H448" s="30">
        <f t="shared" ca="1" si="104"/>
        <v>1.5981371671865002E-3</v>
      </c>
      <c r="I448" s="30">
        <f t="shared" ca="1" si="104"/>
        <v>-4.9952614139249854E-2</v>
      </c>
      <c r="J448" s="30">
        <f t="shared" ca="1" si="102"/>
        <v>4.2779345389469203E-2</v>
      </c>
      <c r="K448" s="30">
        <f t="shared" ca="1" si="105"/>
        <v>3.8474886729807686E-2</v>
      </c>
      <c r="L448" s="30">
        <f t="shared" ca="1" si="105"/>
        <v>2.6097341384919689E-2</v>
      </c>
      <c r="M448" s="30">
        <f t="shared" ca="1" si="105"/>
        <v>5.9741839415266701E-3</v>
      </c>
      <c r="N448" s="30">
        <f t="shared" ca="1" si="103"/>
        <v>3.7664858294171155E-2</v>
      </c>
      <c r="O448" s="30">
        <f t="shared" ca="1" si="106"/>
        <v>3.4089436163318165E-2</v>
      </c>
      <c r="P448" s="30">
        <f t="shared" ca="1" si="107"/>
        <v>2.769547855210619E-2</v>
      </c>
      <c r="Q448" s="30">
        <f t="shared" ca="1" si="108"/>
        <v>-4.3978430197723184E-2</v>
      </c>
      <c r="R448" s="30">
        <f t="shared" ca="1" si="109"/>
        <v>8.0444203683640358E-2</v>
      </c>
      <c r="S448" s="9" cm="1">
        <f t="array" aca="1" ref="S448" ca="1">_xll.FDS($E$7,"P_PRICE("&amp;AG448&amp;",0,D,D)")</f>
        <v>79.78</v>
      </c>
      <c r="T448" s="9" cm="1">
        <f t="array" aca="1" ref="T448" ca="1">_xll.FDS($E$7,"P_PRICE("&amp;AH448&amp;",0,D,D)")</f>
        <v>77.150000000000006</v>
      </c>
      <c r="U448" s="9" cm="1">
        <f t="array" aca="1" ref="U448" ca="1">_xll.FDS($E$7,"P_PRICE("&amp;AI448&amp;",0,D,D)")</f>
        <v>77.63</v>
      </c>
      <c r="V448" s="9" cm="1">
        <f t="array" aca="1" ref="V448" ca="1">_xll.FDS($E$7,"P_PRICE("&amp;AJ448&amp;",0,D,D)")</f>
        <v>83.45</v>
      </c>
      <c r="W448" s="9" cm="1">
        <f t="array" aca="1" ref="W448" ca="1">_xll.FDS($E$7,"P_PRICE("&amp;AK448&amp;",0,D,D)")</f>
        <v>73.84</v>
      </c>
      <c r="X448" s="24">
        <f t="shared" ca="1" si="110"/>
        <v>3.3731933946943071E-2</v>
      </c>
      <c r="Y448" s="24">
        <f t="shared" ca="1" si="111"/>
        <v>2.2880217996975372E-2</v>
      </c>
      <c r="Z448" s="24">
        <f t="shared" ca="1" si="112"/>
        <v>5.2377224530291144E-3</v>
      </c>
      <c r="AA448" s="24">
        <f t="shared" ca="1" si="113"/>
        <v>3.3021760948178436E-2</v>
      </c>
      <c r="AB448" s="9" cm="1">
        <f t="array" aca="1" ref="AB448" ca="1">_xll.FDS($E$9,"P_PRICE("&amp;AG448&amp;",0,D,D)")</f>
        <v>5187.67</v>
      </c>
      <c r="AC448" s="9" cm="1">
        <f t="array" aca="1" ref="AC448" ca="1">_xll.FDS($E$9,"P_PRICE("&amp;AH448&amp;",0,D,D)")</f>
        <v>5018.3900000000003</v>
      </c>
      <c r="AD448" s="9" cm="1">
        <f t="array" aca="1" ref="AD448" ca="1">_xll.FDS($E$9,"P_PRICE("&amp;AI448&amp;",0,D,D)")</f>
        <v>5071.63</v>
      </c>
      <c r="AE448" s="9" cm="1">
        <f t="array" aca="1" ref="AE448" ca="1">_xll.FDS($E$9,"P_PRICE("&amp;AJ448&amp;",0,D,D)")</f>
        <v>5160.6400000000003</v>
      </c>
      <c r="AF448" s="9" cm="1">
        <f t="array" aca="1" ref="AF448" ca="1">_xll.FDS($E$9,"P_PRICE("&amp;AK448&amp;",0,D,D)")</f>
        <v>5021.84</v>
      </c>
      <c r="AG448" s="20">
        <f t="shared" ca="1" si="119"/>
        <v>45420</v>
      </c>
      <c r="AH448" s="22">
        <f t="shared" ca="1" si="114"/>
        <v>45413</v>
      </c>
      <c r="AI448" s="22">
        <f t="shared" ca="1" si="115"/>
        <v>45406</v>
      </c>
      <c r="AJ448" s="22">
        <f t="shared" ca="1" si="116"/>
        <v>45392</v>
      </c>
      <c r="AK448" s="22">
        <f t="shared" ca="1" si="117"/>
        <v>45334</v>
      </c>
      <c r="AL448" s="22">
        <f t="shared" ca="1" si="118"/>
        <v>45244</v>
      </c>
    </row>
    <row r="449" spans="4:38" x14ac:dyDescent="0.25">
      <c r="D449" s="6">
        <f ca="1"/>
        <v>45419</v>
      </c>
      <c r="E449" s="28" cm="1">
        <f t="array" aca="1" ref="E449" ca="1">_xll.FDS($E$7,"P_PRICE("&amp;D449&amp;",0,D,D)")</f>
        <v>80.95</v>
      </c>
      <c r="F449" s="29" cm="1">
        <f t="array" aca="1" ref="F449" ca="1">_xll.FDS($E$7,"P_BETA_LOCIDX("&amp;$AG449&amp;","&amp;$AL449&amp;",,"""&amp;$E$9&amp;""")")</f>
        <v>1.1380119</v>
      </c>
      <c r="G449" s="30">
        <f t="shared" ca="1" si="104"/>
        <v>1.1242824651225156E-2</v>
      </c>
      <c r="H449" s="30">
        <f t="shared" ca="1" si="104"/>
        <v>1.1220167183717059E-3</v>
      </c>
      <c r="I449" s="30">
        <f t="shared" ca="1" si="104"/>
        <v>-3.1228640755985054E-2</v>
      </c>
      <c r="J449" s="30">
        <f t="shared" ca="1" si="102"/>
        <v>6.0561746099172142E-2</v>
      </c>
      <c r="K449" s="30">
        <f t="shared" ca="1" si="105"/>
        <v>3.4352628719996794E-2</v>
      </c>
      <c r="L449" s="30">
        <f t="shared" ca="1" si="105"/>
        <v>2.6292629810375549E-2</v>
      </c>
      <c r="M449" s="30">
        <f t="shared" ca="1" si="105"/>
        <v>-4.8513782961702445E-3</v>
      </c>
      <c r="N449" s="30">
        <f t="shared" ca="1" si="103"/>
        <v>3.6470372074021984E-2</v>
      </c>
      <c r="O449" s="30">
        <f t="shared" ca="1" si="106"/>
        <v>4.559545337122195E-2</v>
      </c>
      <c r="P449" s="30">
        <f t="shared" ca="1" si="107"/>
        <v>2.7414646528747255E-2</v>
      </c>
      <c r="Q449" s="30">
        <f t="shared" ca="1" si="108"/>
        <v>-3.6080019052155299E-2</v>
      </c>
      <c r="R449" s="30">
        <f t="shared" ca="1" si="109"/>
        <v>9.7032118173194126E-2</v>
      </c>
      <c r="S449" s="9" cm="1">
        <f t="array" aca="1" ref="S449" ca="1">_xll.FDS($E$7,"P_PRICE("&amp;AG449&amp;",0,D,D)")</f>
        <v>80.95</v>
      </c>
      <c r="T449" s="9" cm="1">
        <f t="array" aca="1" ref="T449" ca="1">_xll.FDS($E$7,"P_PRICE("&amp;AH449&amp;",0,D,D)")</f>
        <v>77.42</v>
      </c>
      <c r="U449" s="9" cm="1">
        <f t="array" aca="1" ref="U449" ca="1">_xll.FDS($E$7,"P_PRICE("&amp;AI449&amp;",0,D,D)")</f>
        <v>78.790000000000006</v>
      </c>
      <c r="V449" s="9" cm="1">
        <f t="array" aca="1" ref="V449" ca="1">_xll.FDS($E$7,"P_PRICE("&amp;AJ449&amp;",0,D,D)")</f>
        <v>83.98</v>
      </c>
      <c r="W449" s="9" cm="1">
        <f t="array" aca="1" ref="W449" ca="1">_xll.FDS($E$7,"P_PRICE("&amp;AK449&amp;",0,D,D)")</f>
        <v>73.790000000000006</v>
      </c>
      <c r="X449" s="24">
        <f t="shared" ca="1" si="110"/>
        <v>3.0186528559144943E-2</v>
      </c>
      <c r="Y449" s="24">
        <f t="shared" ca="1" si="111"/>
        <v>2.310400252438094E-2</v>
      </c>
      <c r="Z449" s="24">
        <f t="shared" ca="1" si="112"/>
        <v>-4.2630294957111126E-3</v>
      </c>
      <c r="AA449" s="24">
        <f t="shared" ca="1" si="113"/>
        <v>3.2047443505662798E-2</v>
      </c>
      <c r="AB449" s="9" cm="1">
        <f t="array" aca="1" ref="AB449" ca="1">_xll.FDS($E$9,"P_PRICE("&amp;AG449&amp;",0,D,D)")</f>
        <v>5187.7</v>
      </c>
      <c r="AC449" s="9" cm="1">
        <f t="array" aca="1" ref="AC449" ca="1">_xll.FDS($E$9,"P_PRICE("&amp;AH449&amp;",0,D,D)")</f>
        <v>5035.6899999999996</v>
      </c>
      <c r="AD449" s="9" cm="1">
        <f t="array" aca="1" ref="AD449" ca="1">_xll.FDS($E$9,"P_PRICE("&amp;AI449&amp;",0,D,D)")</f>
        <v>5070.55</v>
      </c>
      <c r="AE449" s="9" cm="1">
        <f t="array" aca="1" ref="AE449" ca="1">_xll.FDS($E$9,"P_PRICE("&amp;AJ449&amp;",0,D,D)")</f>
        <v>5209.91</v>
      </c>
      <c r="AF449" s="9" cm="1">
        <f t="array" aca="1" ref="AF449" ca="1">_xll.FDS($E$9,"P_PRICE("&amp;AK449&amp;",0,D,D)")</f>
        <v>5026.6099999999997</v>
      </c>
      <c r="AG449" s="20">
        <f t="shared" ca="1" si="119"/>
        <v>45419</v>
      </c>
      <c r="AH449" s="22">
        <f t="shared" ca="1" si="114"/>
        <v>45412</v>
      </c>
      <c r="AI449" s="22">
        <f t="shared" ca="1" si="115"/>
        <v>45405</v>
      </c>
      <c r="AJ449" s="22">
        <f t="shared" ca="1" si="116"/>
        <v>45391</v>
      </c>
      <c r="AK449" s="22">
        <f t="shared" ca="1" si="117"/>
        <v>45331</v>
      </c>
      <c r="AL449" s="22">
        <f t="shared" ca="1" si="118"/>
        <v>45243</v>
      </c>
    </row>
    <row r="450" spans="4:38" x14ac:dyDescent="0.25">
      <c r="D450" s="6">
        <f ca="1"/>
        <v>45418</v>
      </c>
      <c r="E450" s="28" cm="1">
        <f t="array" aca="1" ref="E450" ca="1">_xll.FDS($E$7,"P_PRICE("&amp;D450&amp;",0,D,D)")</f>
        <v>82.12</v>
      </c>
      <c r="F450" s="29" cm="1">
        <f t="array" aca="1" ref="F450" ca="1">_xll.FDS($E$7,"P_BETA_LOCIDX("&amp;$AG450&amp;","&amp;$AL450&amp;",,"""&amp;$E$9&amp;""")")</f>
        <v>1.1521693</v>
      </c>
      <c r="G450" s="30">
        <f t="shared" ca="1" si="104"/>
        <v>2.6797819273391109E-2</v>
      </c>
      <c r="H450" s="30">
        <f t="shared" ca="1" si="104"/>
        <v>1.9124346661173477E-2</v>
      </c>
      <c r="I450" s="30">
        <f t="shared" ca="1" si="104"/>
        <v>-3.6866995379394016E-2</v>
      </c>
      <c r="J450" s="30">
        <f t="shared" ca="1" si="102"/>
        <v>5.7919138815340589E-2</v>
      </c>
      <c r="K450" s="30">
        <f t="shared" ca="1" si="105"/>
        <v>1.4541262643930719E-2</v>
      </c>
      <c r="L450" s="30">
        <f t="shared" ca="1" si="105"/>
        <v>3.9123076019239131E-2</v>
      </c>
      <c r="M450" s="30">
        <f t="shared" ca="1" si="105"/>
        <v>-4.7948087984562467E-3</v>
      </c>
      <c r="N450" s="30">
        <f t="shared" ca="1" si="103"/>
        <v>4.2147840421096004E-2</v>
      </c>
      <c r="O450" s="30">
        <f t="shared" ca="1" si="106"/>
        <v>4.1339081917321829E-2</v>
      </c>
      <c r="P450" s="30">
        <f t="shared" ca="1" si="107"/>
        <v>5.8247422680412608E-2</v>
      </c>
      <c r="Q450" s="30">
        <f t="shared" ca="1" si="108"/>
        <v>-4.1661804177850259E-2</v>
      </c>
      <c r="R450" s="30">
        <f t="shared" ca="1" si="109"/>
        <v>0.10006697923643659</v>
      </c>
      <c r="S450" s="9" cm="1">
        <f t="array" aca="1" ref="S450" ca="1">_xll.FDS($E$7,"P_PRICE("&amp;AG450&amp;",0,D,D)")</f>
        <v>82.12</v>
      </c>
      <c r="T450" s="9" cm="1">
        <f t="array" aca="1" ref="T450" ca="1">_xll.FDS($E$7,"P_PRICE("&amp;AH450&amp;",0,D,D)")</f>
        <v>78.86</v>
      </c>
      <c r="U450" s="9" cm="1">
        <f t="array" aca="1" ref="U450" ca="1">_xll.FDS($E$7,"P_PRICE("&amp;AI450&amp;",0,D,D)")</f>
        <v>77.599999999999994</v>
      </c>
      <c r="V450" s="9" cm="1">
        <f t="array" aca="1" ref="V450" ca="1">_xll.FDS($E$7,"P_PRICE("&amp;AJ450&amp;",0,D,D)")</f>
        <v>85.69</v>
      </c>
      <c r="W450" s="9" cm="1">
        <f t="array" aca="1" ref="W450" ca="1">_xll.FDS($E$7,"P_PRICE("&amp;AK450&amp;",0,D,D)")</f>
        <v>74.650000000000006</v>
      </c>
      <c r="X450" s="24">
        <f t="shared" ca="1" si="110"/>
        <v>1.2620769051849168E-2</v>
      </c>
      <c r="Y450" s="24">
        <f t="shared" ca="1" si="111"/>
        <v>3.3956013251905892E-2</v>
      </c>
      <c r="Z450" s="24">
        <f t="shared" ca="1" si="112"/>
        <v>-4.161548826597139E-3</v>
      </c>
      <c r="AA450" s="24">
        <f t="shared" ca="1" si="113"/>
        <v>3.6581290979629477E-2</v>
      </c>
      <c r="AB450" s="9" cm="1">
        <f t="array" aca="1" ref="AB450" ca="1">_xll.FDS($E$9,"P_PRICE("&amp;AG450&amp;",0,D,D)")</f>
        <v>5180.74</v>
      </c>
      <c r="AC450" s="9" cm="1">
        <f t="array" aca="1" ref="AC450" ca="1">_xll.FDS($E$9,"P_PRICE("&amp;AH450&amp;",0,D,D)")</f>
        <v>5116.17</v>
      </c>
      <c r="AD450" s="9" cm="1">
        <f t="array" aca="1" ref="AD450" ca="1">_xll.FDS($E$9,"P_PRICE("&amp;AI450&amp;",0,D,D)")</f>
        <v>5010.6000000000004</v>
      </c>
      <c r="AE450" s="9" cm="1">
        <f t="array" aca="1" ref="AE450" ca="1">_xll.FDS($E$9,"P_PRICE("&amp;AJ450&amp;",0,D,D)")</f>
        <v>5202.3900000000003</v>
      </c>
      <c r="AF450" s="9" cm="1">
        <f t="array" aca="1" ref="AF450" ca="1">_xll.FDS($E$9,"P_PRICE("&amp;AK450&amp;",0,D,D)")</f>
        <v>4997.91</v>
      </c>
      <c r="AG450" s="20">
        <f t="shared" ca="1" si="119"/>
        <v>45418</v>
      </c>
      <c r="AH450" s="22">
        <f t="shared" ca="1" si="114"/>
        <v>45411</v>
      </c>
      <c r="AI450" s="22">
        <f t="shared" ca="1" si="115"/>
        <v>45404</v>
      </c>
      <c r="AJ450" s="22">
        <f t="shared" ca="1" si="116"/>
        <v>45390</v>
      </c>
      <c r="AK450" s="22">
        <f t="shared" ca="1" si="117"/>
        <v>45330</v>
      </c>
      <c r="AL450" s="22">
        <f t="shared" ca="1" si="118"/>
        <v>45240</v>
      </c>
    </row>
    <row r="451" spans="4:38" x14ac:dyDescent="0.25">
      <c r="D451" s="6">
        <f ca="1"/>
        <v>45415</v>
      </c>
      <c r="E451" s="28" cm="1">
        <f t="array" aca="1" ref="E451" ca="1">_xll.FDS($E$7,"P_PRICE("&amp;D451&amp;",0,D,D)")</f>
        <v>80.44</v>
      </c>
      <c r="F451" s="29" cm="1">
        <f t="array" aca="1" ref="F451" ca="1">_xll.FDS($E$7,"P_BETA_LOCIDX("&amp;$AG451&amp;","&amp;$AL451&amp;",,"""&amp;$E$9&amp;""")")</f>
        <v>1.1422755</v>
      </c>
      <c r="G451" s="30">
        <f t="shared" ca="1" si="104"/>
        <v>1.782781806565981E-2</v>
      </c>
      <c r="H451" s="30">
        <f t="shared" ca="1" si="104"/>
        <v>7.0746617725199468E-3</v>
      </c>
      <c r="I451" s="30">
        <f t="shared" ca="1" si="104"/>
        <v>-5.2179890977210042E-2</v>
      </c>
      <c r="J451" s="30">
        <f t="shared" ca="1" si="102"/>
        <v>4.6343726009109576E-2</v>
      </c>
      <c r="K451" s="30">
        <f t="shared" ca="1" si="105"/>
        <v>6.233289509133373E-3</v>
      </c>
      <c r="L451" s="30">
        <f t="shared" ca="1" si="105"/>
        <v>3.6922742510413248E-2</v>
      </c>
      <c r="M451" s="30">
        <f t="shared" ca="1" si="105"/>
        <v>-1.6801590504271491E-2</v>
      </c>
      <c r="N451" s="30">
        <f t="shared" ca="1" si="103"/>
        <v>3.0352834023014755E-2</v>
      </c>
      <c r="O451" s="30">
        <f t="shared" ca="1" si="106"/>
        <v>2.4061107574793184E-2</v>
      </c>
      <c r="P451" s="30">
        <f t="shared" ca="1" si="107"/>
        <v>4.3997404282933195E-2</v>
      </c>
      <c r="Q451" s="30">
        <f t="shared" ca="1" si="108"/>
        <v>-6.8981481481481532E-2</v>
      </c>
      <c r="R451" s="30">
        <f t="shared" ca="1" si="109"/>
        <v>7.6696560032124328E-2</v>
      </c>
      <c r="S451" s="9" cm="1">
        <f t="array" aca="1" ref="S451" ca="1">_xll.FDS($E$7,"P_PRICE("&amp;AG451&amp;",0,D,D)")</f>
        <v>80.44</v>
      </c>
      <c r="T451" s="9" cm="1">
        <f t="array" aca="1" ref="T451" ca="1">_xll.FDS($E$7,"P_PRICE("&amp;AH451&amp;",0,D,D)")</f>
        <v>78.55</v>
      </c>
      <c r="U451" s="9" cm="1">
        <f t="array" aca="1" ref="U451" ca="1">_xll.FDS($E$7,"P_PRICE("&amp;AI451&amp;",0,D,D)")</f>
        <v>77.05</v>
      </c>
      <c r="V451" s="9" cm="1">
        <f t="array" aca="1" ref="V451" ca="1">_xll.FDS($E$7,"P_PRICE("&amp;AJ451&amp;",0,D,D)")</f>
        <v>86.4</v>
      </c>
      <c r="W451" s="9" cm="1">
        <f t="array" aca="1" ref="W451" ca="1">_xll.FDS($E$7,"P_PRICE("&amp;AK451&amp;",0,D,D)")</f>
        <v>74.709999999999994</v>
      </c>
      <c r="X451" s="24">
        <f t="shared" ca="1" si="110"/>
        <v>5.4569055443571823E-3</v>
      </c>
      <c r="Y451" s="24">
        <f t="shared" ca="1" si="111"/>
        <v>3.2323850516283725E-2</v>
      </c>
      <c r="Z451" s="24">
        <f t="shared" ca="1" si="112"/>
        <v>-1.4708877590626335E-2</v>
      </c>
      <c r="AA451" s="24">
        <f t="shared" ca="1" si="113"/>
        <v>2.6572253386345723E-2</v>
      </c>
      <c r="AB451" s="9" cm="1">
        <f t="array" aca="1" ref="AB451" ca="1">_xll.FDS($E$9,"P_PRICE("&amp;AG451&amp;",0,D,D)")</f>
        <v>5127.79</v>
      </c>
      <c r="AC451" s="9" cm="1">
        <f t="array" aca="1" ref="AC451" ca="1">_xll.FDS($E$9,"P_PRICE("&amp;AH451&amp;",0,D,D)")</f>
        <v>5099.96</v>
      </c>
      <c r="AD451" s="9" cm="1">
        <f t="array" aca="1" ref="AD451" ca="1">_xll.FDS($E$9,"P_PRICE("&amp;AI451&amp;",0,D,D)")</f>
        <v>4967.2299999999996</v>
      </c>
      <c r="AE451" s="9" cm="1">
        <f t="array" aca="1" ref="AE451" ca="1">_xll.FDS($E$9,"P_PRICE("&amp;AJ451&amp;",0,D,D)")</f>
        <v>5204.34</v>
      </c>
      <c r="AF451" s="9" cm="1">
        <f t="array" aca="1" ref="AF451" ca="1">_xll.FDS($E$9,"P_PRICE("&amp;AK451&amp;",0,D,D)")</f>
        <v>4995.0600000000004</v>
      </c>
      <c r="AG451" s="20">
        <f t="shared" ca="1" si="119"/>
        <v>45415</v>
      </c>
      <c r="AH451" s="22">
        <f t="shared" ca="1" si="114"/>
        <v>45408</v>
      </c>
      <c r="AI451" s="22">
        <f t="shared" ca="1" si="115"/>
        <v>45401</v>
      </c>
      <c r="AJ451" s="22">
        <f t="shared" ca="1" si="116"/>
        <v>45387</v>
      </c>
      <c r="AK451" s="22">
        <f t="shared" ca="1" si="117"/>
        <v>45329</v>
      </c>
      <c r="AL451" s="22">
        <f t="shared" ca="1" si="118"/>
        <v>45239</v>
      </c>
    </row>
    <row r="452" spans="4:38" x14ac:dyDescent="0.25">
      <c r="D452" s="6">
        <f ca="1"/>
        <v>45414</v>
      </c>
      <c r="E452" s="28" cm="1">
        <f t="array" aca="1" ref="E452" ca="1">_xll.FDS($E$7,"P_PRICE("&amp;D452&amp;",0,D,D)")</f>
        <v>79.55</v>
      </c>
      <c r="F452" s="29" cm="1">
        <f t="array" aca="1" ref="F452" ca="1">_xll.FDS($E$7,"P_BETA_LOCIDX("&amp;$AG452&amp;","&amp;$AL452&amp;",,"""&amp;$E$9&amp;""")")</f>
        <v>1.1499484</v>
      </c>
      <c r="G452" s="30">
        <f t="shared" ca="1" si="104"/>
        <v>2.6845985804930233E-2</v>
      </c>
      <c r="H452" s="30">
        <f t="shared" ca="1" si="104"/>
        <v>1.9061135648799694E-2</v>
      </c>
      <c r="I452" s="30">
        <f t="shared" ca="1" si="104"/>
        <v>-3.9700102136297336E-2</v>
      </c>
      <c r="J452" s="30">
        <f t="shared" ca="1" si="102"/>
        <v>5.840951433100923E-2</v>
      </c>
      <c r="K452" s="30">
        <f t="shared" ca="1" si="105"/>
        <v>3.5944287028416727E-3</v>
      </c>
      <c r="L452" s="30">
        <f t="shared" ca="1" si="105"/>
        <v>1.2180762199268716E-2</v>
      </c>
      <c r="M452" s="30">
        <f t="shared" ca="1" si="105"/>
        <v>-1.8545428821439208E-2</v>
      </c>
      <c r="N452" s="30">
        <f t="shared" ca="1" si="103"/>
        <v>2.5525626696378628E-2</v>
      </c>
      <c r="O452" s="30">
        <f t="shared" ca="1" si="106"/>
        <v>3.0440414507771907E-2</v>
      </c>
      <c r="P452" s="30">
        <f t="shared" ca="1" si="107"/>
        <v>3.1241897848068412E-2</v>
      </c>
      <c r="Q452" s="30">
        <f t="shared" ca="1" si="108"/>
        <v>-5.8245530957736547E-2</v>
      </c>
      <c r="R452" s="30">
        <f t="shared" ca="1" si="109"/>
        <v>8.3935141027387861E-2</v>
      </c>
      <c r="S452" s="9" cm="1">
        <f t="array" aca="1" ref="S452" ca="1">_xll.FDS($E$7,"P_PRICE("&amp;AG452&amp;",0,D,D)")</f>
        <v>79.55</v>
      </c>
      <c r="T452" s="9" cm="1">
        <f t="array" aca="1" ref="T452" ca="1">_xll.FDS($E$7,"P_PRICE("&amp;AH452&amp;",0,D,D)")</f>
        <v>77.2</v>
      </c>
      <c r="U452" s="9" cm="1">
        <f t="array" aca="1" ref="U452" ca="1">_xll.FDS($E$7,"P_PRICE("&amp;AI452&amp;",0,D,D)")</f>
        <v>77.14</v>
      </c>
      <c r="V452" s="9" cm="1">
        <f t="array" aca="1" ref="V452" ca="1">_xll.FDS($E$7,"P_PRICE("&amp;AJ452&amp;",0,D,D)")</f>
        <v>84.47</v>
      </c>
      <c r="W452" s="9" cm="1">
        <f t="array" aca="1" ref="W452" ca="1">_xll.FDS($E$7,"P_PRICE("&amp;AK452&amp;",0,D,D)")</f>
        <v>73.39</v>
      </c>
      <c r="X452" s="24">
        <f t="shared" ca="1" si="110"/>
        <v>3.1257304265492891E-3</v>
      </c>
      <c r="Y452" s="24">
        <f t="shared" ca="1" si="111"/>
        <v>1.0592442408084324E-2</v>
      </c>
      <c r="Z452" s="24">
        <f t="shared" ca="1" si="112"/>
        <v>-1.6127183464439976E-2</v>
      </c>
      <c r="AA452" s="24">
        <f t="shared" ca="1" si="113"/>
        <v>2.2197193105689461E-2</v>
      </c>
      <c r="AB452" s="9" cm="1">
        <f t="array" aca="1" ref="AB452" ca="1">_xll.FDS($E$9,"P_PRICE("&amp;AG452&amp;",0,D,D)")</f>
        <v>5064.2</v>
      </c>
      <c r="AC452" s="9" cm="1">
        <f t="array" aca="1" ref="AC452" ca="1">_xll.FDS($E$9,"P_PRICE("&amp;AH452&amp;",0,D,D)")</f>
        <v>5048.42</v>
      </c>
      <c r="AD452" s="9" cm="1">
        <f t="array" aca="1" ref="AD452" ca="1">_xll.FDS($E$9,"P_PRICE("&amp;AI452&amp;",0,D,D)")</f>
        <v>5011.12</v>
      </c>
      <c r="AE452" s="9" cm="1">
        <f t="array" aca="1" ref="AE452" ca="1">_xll.FDS($E$9,"P_PRICE("&amp;AJ452&amp;",0,D,D)")</f>
        <v>5147.21</v>
      </c>
      <c r="AF452" s="9" cm="1">
        <f t="array" aca="1" ref="AF452" ca="1">_xll.FDS($E$9,"P_PRICE("&amp;AK452&amp;",0,D,D)")</f>
        <v>4954.2299999999996</v>
      </c>
      <c r="AG452" s="20">
        <f t="shared" ca="1" si="119"/>
        <v>45414</v>
      </c>
      <c r="AH452" s="22">
        <f t="shared" ca="1" si="114"/>
        <v>45407</v>
      </c>
      <c r="AI452" s="22">
        <f t="shared" ca="1" si="115"/>
        <v>45400</v>
      </c>
      <c r="AJ452" s="22">
        <f t="shared" ca="1" si="116"/>
        <v>45386</v>
      </c>
      <c r="AK452" s="22">
        <f t="shared" ca="1" si="117"/>
        <v>45328</v>
      </c>
      <c r="AL452" s="22">
        <f t="shared" ca="1" si="118"/>
        <v>45238</v>
      </c>
    </row>
    <row r="453" spans="4:38" x14ac:dyDescent="0.25">
      <c r="D453" s="6">
        <f ca="1"/>
        <v>45413</v>
      </c>
      <c r="E453" s="28" cm="1">
        <f t="array" aca="1" ref="E453" ca="1">_xll.FDS($E$7,"P_PRICE("&amp;D453&amp;",0,D,D)")</f>
        <v>77.150000000000006</v>
      </c>
      <c r="F453" s="29" cm="1">
        <f t="array" aca="1" ref="F453" ca="1">_xll.FDS($E$7,"P_BETA_LOCIDX("&amp;$AG453&amp;","&amp;$AL453&amp;",,"""&amp;$E$9&amp;""")")</f>
        <v>1.1251476</v>
      </c>
      <c r="G453" s="30">
        <f t="shared" ca="1" si="104"/>
        <v>5.6281854647781248E-3</v>
      </c>
      <c r="H453" s="30">
        <f t="shared" ca="1" si="104"/>
        <v>-1.6591972751260446E-2</v>
      </c>
      <c r="I453" s="30">
        <f t="shared" ca="1" si="104"/>
        <v>-5.586546467963753E-2</v>
      </c>
      <c r="J453" s="30">
        <f t="shared" ca="1" si="102"/>
        <v>4.5467659928586257E-2</v>
      </c>
      <c r="K453" s="30">
        <f t="shared" ca="1" si="105"/>
        <v>-1.181136207175988E-2</v>
      </c>
      <c r="L453" s="30">
        <f t="shared" ca="1" si="105"/>
        <v>-8.5581125281487108E-4</v>
      </c>
      <c r="M453" s="30">
        <f t="shared" ca="1" si="105"/>
        <v>-4.1689804942540334E-2</v>
      </c>
      <c r="N453" s="30">
        <f t="shared" ca="1" si="103"/>
        <v>1.7204516379953794E-2</v>
      </c>
      <c r="O453" s="30">
        <f t="shared" ca="1" si="106"/>
        <v>-6.1831766069817551E-3</v>
      </c>
      <c r="P453" s="30">
        <f t="shared" ca="1" si="107"/>
        <v>-1.7447784004075317E-2</v>
      </c>
      <c r="Q453" s="30">
        <f t="shared" ca="1" si="108"/>
        <v>-9.7555269622177865E-2</v>
      </c>
      <c r="R453" s="30">
        <f t="shared" ca="1" si="109"/>
        <v>6.2672176308540051E-2</v>
      </c>
      <c r="S453" s="9" cm="1">
        <f t="array" aca="1" ref="S453" ca="1">_xll.FDS($E$7,"P_PRICE("&amp;AG453&amp;",0,D,D)")</f>
        <v>77.150000000000006</v>
      </c>
      <c r="T453" s="9" cm="1">
        <f t="array" aca="1" ref="T453" ca="1">_xll.FDS($E$7,"P_PRICE("&amp;AH453&amp;",0,D,D)")</f>
        <v>77.63</v>
      </c>
      <c r="U453" s="9" cm="1">
        <f t="array" aca="1" ref="U453" ca="1">_xll.FDS($E$7,"P_PRICE("&amp;AI453&amp;",0,D,D)")</f>
        <v>78.52</v>
      </c>
      <c r="V453" s="9" cm="1">
        <f t="array" aca="1" ref="V453" ca="1">_xll.FDS($E$7,"P_PRICE("&amp;AJ453&amp;",0,D,D)")</f>
        <v>85.49</v>
      </c>
      <c r="W453" s="9" cm="1">
        <f t="array" aca="1" ref="W453" ca="1">_xll.FDS($E$7,"P_PRICE("&amp;AK453&amp;",0,D,D)")</f>
        <v>72.599999999999994</v>
      </c>
      <c r="X453" s="24">
        <f t="shared" ca="1" si="110"/>
        <v>-1.0497611221638725E-2</v>
      </c>
      <c r="Y453" s="24">
        <f t="shared" ca="1" si="111"/>
        <v>-7.6062132009602212E-4</v>
      </c>
      <c r="Z453" s="24">
        <f t="shared" ca="1" si="112"/>
        <v>-3.7052743073477945E-2</v>
      </c>
      <c r="AA453" s="24">
        <f t="shared" ca="1" si="113"/>
        <v>1.5290897283124272E-2</v>
      </c>
      <c r="AB453" s="9" cm="1">
        <f t="array" aca="1" ref="AB453" ca="1">_xll.FDS($E$9,"P_PRICE("&amp;AG453&amp;",0,D,D)")</f>
        <v>5018.3900000000003</v>
      </c>
      <c r="AC453" s="9" cm="1">
        <f t="array" aca="1" ref="AC453" ca="1">_xll.FDS($E$9,"P_PRICE("&amp;AH453&amp;",0,D,D)")</f>
        <v>5071.63</v>
      </c>
      <c r="AD453" s="9" cm="1">
        <f t="array" aca="1" ref="AD453" ca="1">_xll.FDS($E$9,"P_PRICE("&amp;AI453&amp;",0,D,D)")</f>
        <v>5022.21</v>
      </c>
      <c r="AE453" s="9" cm="1">
        <f t="array" aca="1" ref="AE453" ca="1">_xll.FDS($E$9,"P_PRICE("&amp;AJ453&amp;",0,D,D)")</f>
        <v>5211.49</v>
      </c>
      <c r="AF453" s="9" cm="1">
        <f t="array" aca="1" ref="AF453" ca="1">_xll.FDS($E$9,"P_PRICE("&amp;AK453&amp;",0,D,D)")</f>
        <v>4942.8100000000004</v>
      </c>
      <c r="AG453" s="20">
        <f t="shared" ca="1" si="119"/>
        <v>45413</v>
      </c>
      <c r="AH453" s="22">
        <f t="shared" ca="1" si="114"/>
        <v>45406</v>
      </c>
      <c r="AI453" s="22">
        <f t="shared" ca="1" si="115"/>
        <v>45399</v>
      </c>
      <c r="AJ453" s="22">
        <f t="shared" ca="1" si="116"/>
        <v>45385</v>
      </c>
      <c r="AK453" s="22">
        <f t="shared" ca="1" si="117"/>
        <v>45327</v>
      </c>
      <c r="AL453" s="22">
        <f t="shared" ca="1" si="118"/>
        <v>45237</v>
      </c>
    </row>
    <row r="454" spans="4:38" x14ac:dyDescent="0.25">
      <c r="D454" s="6">
        <f ca="1"/>
        <v>45412</v>
      </c>
      <c r="E454" s="28" cm="1">
        <f t="array" aca="1" ref="E454" ca="1">_xll.FDS($E$7,"P_PRICE("&amp;D454&amp;",0,D,D)")</f>
        <v>77.42</v>
      </c>
      <c r="F454" s="29" cm="1">
        <f t="array" aca="1" ref="F454" ca="1">_xll.FDS($E$7,"P_BETA_LOCIDX("&amp;$AG454&amp;","&amp;$AL454&amp;",,"""&amp;$E$9&amp;""")")</f>
        <v>1.1255054</v>
      </c>
      <c r="G454" s="30">
        <f t="shared" ca="1" si="104"/>
        <v>-9.650150711711894E-3</v>
      </c>
      <c r="H454" s="30">
        <f t="shared" ca="1" si="104"/>
        <v>-1.8601756952813416E-2</v>
      </c>
      <c r="I454" s="30">
        <f t="shared" ca="1" si="104"/>
        <v>-4.5812477061851438E-2</v>
      </c>
      <c r="J454" s="30">
        <f t="shared" ca="1" si="102"/>
        <v>3.9721367584732589E-2</v>
      </c>
      <c r="K454" s="30">
        <f t="shared" ca="1" si="105"/>
        <v>-7.7378426884658208E-3</v>
      </c>
      <c r="L454" s="30">
        <f t="shared" ca="1" si="105"/>
        <v>-3.5025754963465758E-3</v>
      </c>
      <c r="M454" s="30">
        <f t="shared" ca="1" si="105"/>
        <v>-3.6780247194577058E-2</v>
      </c>
      <c r="N454" s="30">
        <f t="shared" ca="1" si="103"/>
        <v>1.7495619988666177E-2</v>
      </c>
      <c r="O454" s="30">
        <f t="shared" ca="1" si="106"/>
        <v>-1.7387993400177715E-2</v>
      </c>
      <c r="P454" s="30">
        <f t="shared" ca="1" si="107"/>
        <v>-2.2104332449159991E-2</v>
      </c>
      <c r="Q454" s="30">
        <f t="shared" ca="1" si="108"/>
        <v>-8.2592724256428496E-2</v>
      </c>
      <c r="R454" s="30">
        <f t="shared" ca="1" si="109"/>
        <v>5.721698757339877E-2</v>
      </c>
      <c r="S454" s="9" cm="1">
        <f t="array" aca="1" ref="S454" ca="1">_xll.FDS($E$7,"P_PRICE("&amp;AG454&amp;",0,D,D)")</f>
        <v>77.42</v>
      </c>
      <c r="T454" s="9" cm="1">
        <f t="array" aca="1" ref="T454" ca="1">_xll.FDS($E$7,"P_PRICE("&amp;AH454&amp;",0,D,D)")</f>
        <v>78.790000000000006</v>
      </c>
      <c r="U454" s="9" cm="1">
        <f t="array" aca="1" ref="U454" ca="1">_xll.FDS($E$7,"P_PRICE("&amp;AI454&amp;",0,D,D)")</f>
        <v>79.17</v>
      </c>
      <c r="V454" s="9" cm="1">
        <f t="array" aca="1" ref="V454" ca="1">_xll.FDS($E$7,"P_PRICE("&amp;AJ454&amp;",0,D,D)")</f>
        <v>84.39</v>
      </c>
      <c r="W454" s="9" cm="1">
        <f t="array" aca="1" ref="W454" ca="1">_xll.FDS($E$7,"P_PRICE("&amp;AK454&amp;",0,D,D)")</f>
        <v>73.23</v>
      </c>
      <c r="X454" s="24">
        <f t="shared" ca="1" si="110"/>
        <v>-6.8749938369605523E-3</v>
      </c>
      <c r="Y454" s="24">
        <f t="shared" ca="1" si="111"/>
        <v>-3.1120023914115169E-3</v>
      </c>
      <c r="Z454" s="24">
        <f t="shared" ca="1" si="112"/>
        <v>-3.2678872260032743E-2</v>
      </c>
      <c r="AA454" s="24">
        <f t="shared" ca="1" si="113"/>
        <v>1.5544678851532989E-2</v>
      </c>
      <c r="AB454" s="9" cm="1">
        <f t="array" aca="1" ref="AB454" ca="1">_xll.FDS($E$9,"P_PRICE("&amp;AG454&amp;",0,D,D)")</f>
        <v>5035.6899999999996</v>
      </c>
      <c r="AC454" s="9" cm="1">
        <f t="array" aca="1" ref="AC454" ca="1">_xll.FDS($E$9,"P_PRICE("&amp;AH454&amp;",0,D,D)")</f>
        <v>5070.55</v>
      </c>
      <c r="AD454" s="9" cm="1">
        <f t="array" aca="1" ref="AD454" ca="1">_xll.FDS($E$9,"P_PRICE("&amp;AI454&amp;",0,D,D)")</f>
        <v>5051.41</v>
      </c>
      <c r="AE454" s="9" cm="1">
        <f t="array" aca="1" ref="AE454" ca="1">_xll.FDS($E$9,"P_PRICE("&amp;AJ454&amp;",0,D,D)")</f>
        <v>5205.8100000000004</v>
      </c>
      <c r="AF454" s="9" cm="1">
        <f t="array" aca="1" ref="AF454" ca="1">_xll.FDS($E$9,"P_PRICE("&amp;AK454&amp;",0,D,D)")</f>
        <v>4958.6099999999997</v>
      </c>
      <c r="AG454" s="20">
        <f t="shared" ca="1" si="119"/>
        <v>45412</v>
      </c>
      <c r="AH454" s="22">
        <f t="shared" ca="1" si="114"/>
        <v>45405</v>
      </c>
      <c r="AI454" s="22">
        <f t="shared" ca="1" si="115"/>
        <v>45398</v>
      </c>
      <c r="AJ454" s="22">
        <f t="shared" ca="1" si="116"/>
        <v>45384</v>
      </c>
      <c r="AK454" s="22">
        <f t="shared" ca="1" si="117"/>
        <v>45324</v>
      </c>
      <c r="AL454" s="22">
        <f t="shared" ca="1" si="118"/>
        <v>45236</v>
      </c>
    </row>
    <row r="455" spans="4:38" x14ac:dyDescent="0.25">
      <c r="D455" s="6">
        <f ca="1"/>
        <v>45411</v>
      </c>
      <c r="E455" s="28" cm="1">
        <f t="array" aca="1" ref="E455" ca="1">_xll.FDS($E$7,"P_PRICE("&amp;D455&amp;",0,D,D)")</f>
        <v>78.86</v>
      </c>
      <c r="F455" s="29" cm="1">
        <f t="array" aca="1" ref="F455" ca="1">_xll.FDS($E$7,"P_BETA_LOCIDX("&amp;$AG455&amp;","&amp;$AL455&amp;",,"""&amp;$E$9&amp;""")")</f>
        <v>1.1065147</v>
      </c>
      <c r="G455" s="30">
        <f t="shared" ca="1" si="104"/>
        <v>-7.0764132971355143E-3</v>
      </c>
      <c r="H455" s="30">
        <f t="shared" ca="1" si="104"/>
        <v>-2.9935955837844561E-2</v>
      </c>
      <c r="I455" s="30">
        <f t="shared" ca="1" si="104"/>
        <v>-4.3779162123650447E-2</v>
      </c>
      <c r="J455" s="30">
        <f t="shared" ca="1" si="102"/>
        <v>2.9964687547327735E-2</v>
      </c>
      <c r="K455" s="30">
        <f t="shared" ca="1" si="105"/>
        <v>2.3313526699197534E-2</v>
      </c>
      <c r="L455" s="30">
        <f t="shared" ca="1" si="105"/>
        <v>1.1880919105183605E-2</v>
      </c>
      <c r="M455" s="30">
        <f t="shared" ca="1" si="105"/>
        <v>-2.6925527954124687E-2</v>
      </c>
      <c r="N455" s="30">
        <f t="shared" ca="1" si="103"/>
        <v>4.7357716824256817E-2</v>
      </c>
      <c r="O455" s="30">
        <f t="shared" ca="1" si="106"/>
        <v>1.623711340206202E-2</v>
      </c>
      <c r="P455" s="30">
        <f t="shared" ca="1" si="107"/>
        <v>-1.8055036732660956E-2</v>
      </c>
      <c r="Q455" s="30">
        <f t="shared" ca="1" si="108"/>
        <v>-7.0704690077775134E-2</v>
      </c>
      <c r="R455" s="30">
        <f t="shared" ca="1" si="109"/>
        <v>7.7322404371584552E-2</v>
      </c>
      <c r="S455" s="9" cm="1">
        <f t="array" aca="1" ref="S455" ca="1">_xll.FDS($E$7,"P_PRICE("&amp;AG455&amp;",0,D,D)")</f>
        <v>78.86</v>
      </c>
      <c r="T455" s="9" cm="1">
        <f t="array" aca="1" ref="T455" ca="1">_xll.FDS($E$7,"P_PRICE("&amp;AH455&amp;",0,D,D)")</f>
        <v>77.599999999999994</v>
      </c>
      <c r="U455" s="9" cm="1">
        <f t="array" aca="1" ref="U455" ca="1">_xll.FDS($E$7,"P_PRICE("&amp;AI455&amp;",0,D,D)")</f>
        <v>80.31</v>
      </c>
      <c r="V455" s="9" cm="1">
        <f t="array" aca="1" ref="V455" ca="1">_xll.FDS($E$7,"P_PRICE("&amp;AJ455&amp;",0,D,D)")</f>
        <v>84.86</v>
      </c>
      <c r="W455" s="9" cm="1">
        <f t="array" aca="1" ref="W455" ca="1">_xll.FDS($E$7,"P_PRICE("&amp;AK455&amp;",0,D,D)")</f>
        <v>73.2</v>
      </c>
      <c r="X455" s="24">
        <f t="shared" ca="1" si="110"/>
        <v>2.106933301401015E-2</v>
      </c>
      <c r="Y455" s="24">
        <f t="shared" ca="1" si="111"/>
        <v>1.0737244706449545E-2</v>
      </c>
      <c r="Z455" s="24">
        <f t="shared" ca="1" si="112"/>
        <v>-2.4333637821643661E-2</v>
      </c>
      <c r="AA455" s="24">
        <f t="shared" ca="1" si="113"/>
        <v>4.2798994739298823E-2</v>
      </c>
      <c r="AB455" s="9" cm="1">
        <f t="array" aca="1" ref="AB455" ca="1">_xll.FDS($E$9,"P_PRICE("&amp;AG455&amp;",0,D,D)")</f>
        <v>5116.17</v>
      </c>
      <c r="AC455" s="9" cm="1">
        <f t="array" aca="1" ref="AC455" ca="1">_xll.FDS($E$9,"P_PRICE("&amp;AH455&amp;",0,D,D)")</f>
        <v>5010.6000000000004</v>
      </c>
      <c r="AD455" s="9" cm="1">
        <f t="array" aca="1" ref="AD455" ca="1">_xll.FDS($E$9,"P_PRICE("&amp;AI455&amp;",0,D,D)")</f>
        <v>5061.82</v>
      </c>
      <c r="AE455" s="9" cm="1">
        <f t="array" aca="1" ref="AE455" ca="1">_xll.FDS($E$9,"P_PRICE("&amp;AJ455&amp;",0,D,D)")</f>
        <v>5243.77</v>
      </c>
      <c r="AF455" s="9" cm="1">
        <f t="array" aca="1" ref="AF455" ca="1">_xll.FDS($E$9,"P_PRICE("&amp;AK455&amp;",0,D,D)")</f>
        <v>4906.1899999999996</v>
      </c>
      <c r="AG455" s="20">
        <f t="shared" ca="1" si="119"/>
        <v>45411</v>
      </c>
      <c r="AH455" s="22">
        <f t="shared" ca="1" si="114"/>
        <v>45404</v>
      </c>
      <c r="AI455" s="22">
        <f t="shared" ca="1" si="115"/>
        <v>45397</v>
      </c>
      <c r="AJ455" s="22">
        <f t="shared" ca="1" si="116"/>
        <v>45383</v>
      </c>
      <c r="AK455" s="22">
        <f t="shared" ca="1" si="117"/>
        <v>45323</v>
      </c>
      <c r="AL455" s="22">
        <f t="shared" ca="1" si="118"/>
        <v>45233</v>
      </c>
    </row>
    <row r="456" spans="4:38" x14ac:dyDescent="0.25">
      <c r="D456" s="6">
        <f ca="1"/>
        <v>45408</v>
      </c>
      <c r="E456" s="28" cm="1">
        <f t="array" aca="1" ref="E456" ca="1">_xll.FDS($E$7,"P_PRICE("&amp;D456&amp;",0,D,D)")</f>
        <v>78.55</v>
      </c>
      <c r="F456" s="29" cm="1">
        <f t="array" aca="1" ref="F456" ca="1">_xll.FDS($E$7,"P_BETA_LOCIDX("&amp;$AG456&amp;","&amp;$AL456&amp;",,"""&amp;$E$9&amp;""")")</f>
        <v>1.0450113000000001</v>
      </c>
      <c r="G456" s="30">
        <f t="shared" ca="1" si="104"/>
        <v>-8.4560050983374102E-3</v>
      </c>
      <c r="H456" s="30">
        <f t="shared" ca="1" si="104"/>
        <v>-4.240278430939929E-2</v>
      </c>
      <c r="I456" s="30">
        <f t="shared" ca="1" si="104"/>
        <v>-5.8675089121115881E-2</v>
      </c>
      <c r="J456" s="30">
        <f t="shared" ca="1" si="102"/>
        <v>3.9776547020665617E-2</v>
      </c>
      <c r="K456" s="30">
        <f t="shared" ca="1" si="105"/>
        <v>2.7923883099635199E-2</v>
      </c>
      <c r="L456" s="30">
        <f t="shared" ca="1" si="105"/>
        <v>-4.7830478109306051E-3</v>
      </c>
      <c r="M456" s="30">
        <f t="shared" ca="1" si="105"/>
        <v>-3.0705852219018642E-2</v>
      </c>
      <c r="N456" s="30">
        <f t="shared" ca="1" si="103"/>
        <v>5.4844411730727696E-2</v>
      </c>
      <c r="O456" s="30">
        <f t="shared" ca="1" si="106"/>
        <v>1.9467878001297789E-2</v>
      </c>
      <c r="P456" s="30">
        <f t="shared" ca="1" si="107"/>
        <v>-4.7185832120329896E-2</v>
      </c>
      <c r="Q456" s="30">
        <f t="shared" ca="1" si="108"/>
        <v>-8.9380941340134523E-2</v>
      </c>
      <c r="R456" s="30">
        <f t="shared" ca="1" si="109"/>
        <v>9.4620958751393314E-2</v>
      </c>
      <c r="S456" s="9" cm="1">
        <f t="array" aca="1" ref="S456" ca="1">_xll.FDS($E$7,"P_PRICE("&amp;AG456&amp;",0,D,D)")</f>
        <v>78.55</v>
      </c>
      <c r="T456" s="9" cm="1">
        <f t="array" aca="1" ref="T456" ca="1">_xll.FDS($E$7,"P_PRICE("&amp;AH456&amp;",0,D,D)")</f>
        <v>77.05</v>
      </c>
      <c r="U456" s="9" cm="1">
        <f t="array" aca="1" ref="U456" ca="1">_xll.FDS($E$7,"P_PRICE("&amp;AI456&amp;",0,D,D)")</f>
        <v>82.44</v>
      </c>
      <c r="V456" s="9" cm="1">
        <f t="array" aca="1" ref="V456" ca="1">_xll.FDS($E$7,"P_PRICE("&amp;AJ456&amp;",0,D,D)")</f>
        <v>86.26</v>
      </c>
      <c r="W456" s="9" cm="1">
        <f t="array" aca="1" ref="W456" ca="1">_xll.FDS($E$7,"P_PRICE("&amp;AK456&amp;",0,D,D)")</f>
        <v>71.760000000000005</v>
      </c>
      <c r="X456" s="24">
        <f t="shared" ca="1" si="110"/>
        <v>2.6721130287907124E-2</v>
      </c>
      <c r="Y456" s="24">
        <f t="shared" ca="1" si="111"/>
        <v>-4.5770297516692926E-3</v>
      </c>
      <c r="Z456" s="24">
        <f t="shared" ca="1" si="112"/>
        <v>-2.9383272907210323E-2</v>
      </c>
      <c r="AA456" s="24">
        <f t="shared" ca="1" si="113"/>
        <v>5.2482123141374348E-2</v>
      </c>
      <c r="AB456" s="9" cm="1">
        <f t="array" aca="1" ref="AB456" ca="1">_xll.FDS($E$9,"P_PRICE("&amp;AG456&amp;",0,D,D)")</f>
        <v>5099.96</v>
      </c>
      <c r="AC456" s="9" cm="1">
        <f t="array" aca="1" ref="AC456" ca="1">_xll.FDS($E$9,"P_PRICE("&amp;AH456&amp;",0,D,D)")</f>
        <v>4967.2299999999996</v>
      </c>
      <c r="AD456" s="9" cm="1">
        <f t="array" aca="1" ref="AD456" ca="1">_xll.FDS($E$9,"P_PRICE("&amp;AI456&amp;",0,D,D)")</f>
        <v>5123.41</v>
      </c>
      <c r="AE456" s="9" cm="1">
        <f t="array" aca="1" ref="AE456" ca="1">_xll.FDS($E$9,"P_PRICE("&amp;AJ456&amp;",0,D,D)")</f>
        <v>5254.35</v>
      </c>
      <c r="AF456" s="9" cm="1">
        <f t="array" aca="1" ref="AF456" ca="1">_xll.FDS($E$9,"P_PRICE("&amp;AK456&amp;",0,D,D)")</f>
        <v>4845.6499999999996</v>
      </c>
      <c r="AG456" s="20">
        <f t="shared" ca="1" si="119"/>
        <v>45408</v>
      </c>
      <c r="AH456" s="22">
        <f t="shared" ca="1" si="114"/>
        <v>45401</v>
      </c>
      <c r="AI456" s="22">
        <f t="shared" ca="1" si="115"/>
        <v>45394</v>
      </c>
      <c r="AJ456" s="22">
        <f t="shared" ca="1" si="116"/>
        <v>45379</v>
      </c>
      <c r="AK456" s="22">
        <f t="shared" ca="1" si="117"/>
        <v>45322</v>
      </c>
      <c r="AL456" s="22">
        <f t="shared" ca="1" si="118"/>
        <v>45232</v>
      </c>
    </row>
    <row r="457" spans="4:38" x14ac:dyDescent="0.25">
      <c r="D457" s="6">
        <f ca="1"/>
        <v>45407</v>
      </c>
      <c r="E457" s="28" cm="1">
        <f t="array" aca="1" ref="E457" ca="1">_xll.FDS($E$7,"P_PRICE("&amp;D457&amp;",0,D,D)")</f>
        <v>77.2</v>
      </c>
      <c r="F457" s="29" cm="1">
        <f t="array" aca="1" ref="F457" ca="1">_xll.FDS($E$7,"P_BETA_LOCIDX("&amp;$AG457&amp;","&amp;$AL457&amp;",,"""&amp;$E$9&amp;""")")</f>
        <v>1.1061383</v>
      </c>
      <c r="G457" s="30">
        <f t="shared" ca="1" si="104"/>
        <v>-7.4556738720334415E-3</v>
      </c>
      <c r="H457" s="30">
        <f t="shared" ca="1" si="104"/>
        <v>-4.2956221606316201E-2</v>
      </c>
      <c r="I457" s="30">
        <f t="shared" ca="1" si="104"/>
        <v>-6.0368816340094937E-2</v>
      </c>
      <c r="J457" s="30">
        <f t="shared" ca="1" si="102"/>
        <v>4.2414771447198643E-2</v>
      </c>
      <c r="K457" s="30">
        <f t="shared" ca="1" si="105"/>
        <v>8.2334804574625831E-3</v>
      </c>
      <c r="L457" s="30">
        <f t="shared" ca="1" si="105"/>
        <v>-3.20497692875251E-2</v>
      </c>
      <c r="M457" s="30">
        <f t="shared" ca="1" si="105"/>
        <v>-4.2165478010056108E-2</v>
      </c>
      <c r="N457" s="30">
        <f t="shared" ca="1" si="103"/>
        <v>2.772662029108806E-2</v>
      </c>
      <c r="O457" s="30">
        <f t="shared" ca="1" si="106"/>
        <v>7.7780658542914161E-4</v>
      </c>
      <c r="P457" s="30">
        <f t="shared" ca="1" si="107"/>
        <v>-7.5005990893841301E-2</v>
      </c>
      <c r="Q457" s="30">
        <f t="shared" ca="1" si="108"/>
        <v>-0.10253429435015105</v>
      </c>
      <c r="R457" s="30">
        <f t="shared" ca="1" si="109"/>
        <v>7.0141391738286707E-2</v>
      </c>
      <c r="S457" s="9" cm="1">
        <f t="array" aca="1" ref="S457" ca="1">_xll.FDS($E$7,"P_PRICE("&amp;AG457&amp;",0,D,D)")</f>
        <v>77.2</v>
      </c>
      <c r="T457" s="9" cm="1">
        <f t="array" aca="1" ref="T457" ca="1">_xll.FDS($E$7,"P_PRICE("&amp;AH457&amp;",0,D,D)")</f>
        <v>77.14</v>
      </c>
      <c r="U457" s="9" cm="1">
        <f t="array" aca="1" ref="U457" ca="1">_xll.FDS($E$7,"P_PRICE("&amp;AI457&amp;",0,D,D)")</f>
        <v>83.46</v>
      </c>
      <c r="V457" s="9" cm="1">
        <f t="array" aca="1" ref="V457" ca="1">_xll.FDS($E$7,"P_PRICE("&amp;AJ457&amp;",0,D,D)")</f>
        <v>86.02</v>
      </c>
      <c r="W457" s="9" cm="1">
        <f t="array" aca="1" ref="W457" ca="1">_xll.FDS($E$7,"P_PRICE("&amp;AK457&amp;",0,D,D)")</f>
        <v>72.14</v>
      </c>
      <c r="X457" s="24">
        <f t="shared" ca="1" si="110"/>
        <v>7.4434457765928386E-3</v>
      </c>
      <c r="Y457" s="24">
        <f t="shared" ca="1" si="111"/>
        <v>-2.8974468461606562E-2</v>
      </c>
      <c r="Z457" s="24">
        <f t="shared" ca="1" si="112"/>
        <v>-3.8119535333019483E-2</v>
      </c>
      <c r="AA457" s="24">
        <f t="shared" ca="1" si="113"/>
        <v>2.5066142534878377E-2</v>
      </c>
      <c r="AB457" s="9" cm="1">
        <f t="array" aca="1" ref="AB457" ca="1">_xll.FDS($E$9,"P_PRICE("&amp;AG457&amp;",0,D,D)")</f>
        <v>5048.42</v>
      </c>
      <c r="AC457" s="9" cm="1">
        <f t="array" aca="1" ref="AC457" ca="1">_xll.FDS($E$9,"P_PRICE("&amp;AH457&amp;",0,D,D)")</f>
        <v>5011.12</v>
      </c>
      <c r="AD457" s="9" cm="1">
        <f t="array" aca="1" ref="AD457" ca="1">_xll.FDS($E$9,"P_PRICE("&amp;AI457&amp;",0,D,D)")</f>
        <v>5199.0600000000004</v>
      </c>
      <c r="AE457" s="9" cm="1">
        <f t="array" aca="1" ref="AE457" ca="1">_xll.FDS($E$9,"P_PRICE("&amp;AJ457&amp;",0,D,D)")</f>
        <v>5248.49</v>
      </c>
      <c r="AF457" s="9" cm="1">
        <f t="array" aca="1" ref="AF457" ca="1">_xll.FDS($E$9,"P_PRICE("&amp;AK457&amp;",0,D,D)")</f>
        <v>4924.97</v>
      </c>
      <c r="AG457" s="20">
        <f t="shared" ca="1" si="119"/>
        <v>45407</v>
      </c>
      <c r="AH457" s="22">
        <f t="shared" ca="1" si="114"/>
        <v>45400</v>
      </c>
      <c r="AI457" s="22">
        <f t="shared" ca="1" si="115"/>
        <v>45393</v>
      </c>
      <c r="AJ457" s="22">
        <f t="shared" ca="1" si="116"/>
        <v>45378</v>
      </c>
      <c r="AK457" s="22">
        <f t="shared" ca="1" si="117"/>
        <v>45321</v>
      </c>
      <c r="AL457" s="22">
        <f t="shared" ca="1" si="118"/>
        <v>45231</v>
      </c>
    </row>
    <row r="458" spans="4:38" x14ac:dyDescent="0.25">
      <c r="D458" s="6">
        <f ca="1"/>
        <v>45406</v>
      </c>
      <c r="E458" s="28" cm="1">
        <f t="array" aca="1" ref="E458" ca="1">_xll.FDS($E$7,"P_PRICE("&amp;D458&amp;",0,D,D)")</f>
        <v>77.63</v>
      </c>
      <c r="F458" s="29" cm="1">
        <f t="array" aca="1" ref="F458" ca="1">_xll.FDS($E$7,"P_BETA_LOCIDX("&amp;$AG458&amp;","&amp;$AL458&amp;",,"""&amp;$E$9&amp;""")")</f>
        <v>1.0985289</v>
      </c>
      <c r="G458" s="30">
        <f t="shared" ca="1" si="104"/>
        <v>-2.2144534126247187E-2</v>
      </c>
      <c r="H458" s="30">
        <f t="shared" ca="1" si="104"/>
        <v>-5.0795087219450363E-2</v>
      </c>
      <c r="I458" s="30">
        <f t="shared" ca="1" si="104"/>
        <v>-8.1891713364354385E-2</v>
      </c>
      <c r="J458" s="30">
        <f t="shared" ca="1" si="102"/>
        <v>6.5675825273060651E-2</v>
      </c>
      <c r="K458" s="30">
        <f t="shared" ca="1" si="105"/>
        <v>1.0809842327979227E-2</v>
      </c>
      <c r="L458" s="30">
        <f t="shared" ca="1" si="105"/>
        <v>-1.8947273475576672E-2</v>
      </c>
      <c r="M458" s="30">
        <f t="shared" ca="1" si="105"/>
        <v>-2.7855993057664091E-2</v>
      </c>
      <c r="N458" s="30">
        <f t="shared" ca="1" si="103"/>
        <v>3.2033450745038876E-2</v>
      </c>
      <c r="O458" s="30">
        <f t="shared" ca="1" si="106"/>
        <v>-1.133469179826796E-2</v>
      </c>
      <c r="P458" s="30">
        <f t="shared" ca="1" si="107"/>
        <v>-6.9742360695027039E-2</v>
      </c>
      <c r="Q458" s="30">
        <f t="shared" ca="1" si="108"/>
        <v>-0.10974770642201848</v>
      </c>
      <c r="R458" s="30">
        <f t="shared" ca="1" si="109"/>
        <v>9.7709276018099533E-2</v>
      </c>
      <c r="S458" s="9" cm="1">
        <f t="array" aca="1" ref="S458" ca="1">_xll.FDS($E$7,"P_PRICE("&amp;AG458&amp;",0,D,D)")</f>
        <v>77.63</v>
      </c>
      <c r="T458" s="9" cm="1">
        <f t="array" aca="1" ref="T458" ca="1">_xll.FDS($E$7,"P_PRICE("&amp;AH458&amp;",0,D,D)")</f>
        <v>78.52</v>
      </c>
      <c r="U458" s="9" cm="1">
        <f t="array" aca="1" ref="U458" ca="1">_xll.FDS($E$7,"P_PRICE("&amp;AI458&amp;",0,D,D)")</f>
        <v>83.45</v>
      </c>
      <c r="V458" s="9" cm="1">
        <f t="array" aca="1" ref="V458" ca="1">_xll.FDS($E$7,"P_PRICE("&amp;AJ458&amp;",0,D,D)")</f>
        <v>87.2</v>
      </c>
      <c r="W458" s="9" cm="1">
        <f t="array" aca="1" ref="W458" ca="1">_xll.FDS($E$7,"P_PRICE("&amp;AK458&amp;",0,D,D)")</f>
        <v>70.72</v>
      </c>
      <c r="X458" s="24">
        <f t="shared" ca="1" si="110"/>
        <v>9.840289434332794E-3</v>
      </c>
      <c r="Y458" s="24">
        <f t="shared" ca="1" si="111"/>
        <v>-1.7247860730452036E-2</v>
      </c>
      <c r="Z458" s="24">
        <f t="shared" ca="1" si="112"/>
        <v>-2.5357542307411385E-2</v>
      </c>
      <c r="AA458" s="24">
        <f t="shared" ca="1" si="113"/>
        <v>2.9160316806448039E-2</v>
      </c>
      <c r="AB458" s="9" cm="1">
        <f t="array" aca="1" ref="AB458" ca="1">_xll.FDS($E$9,"P_PRICE("&amp;AG458&amp;",0,D,D)")</f>
        <v>5071.63</v>
      </c>
      <c r="AC458" s="9" cm="1">
        <f t="array" aca="1" ref="AC458" ca="1">_xll.FDS($E$9,"P_PRICE("&amp;AH458&amp;",0,D,D)")</f>
        <v>5022.21</v>
      </c>
      <c r="AD458" s="9" cm="1">
        <f t="array" aca="1" ref="AD458" ca="1">_xll.FDS($E$9,"P_PRICE("&amp;AI458&amp;",0,D,D)")</f>
        <v>5160.6400000000003</v>
      </c>
      <c r="AE458" s="9" cm="1">
        <f t="array" aca="1" ref="AE458" ca="1">_xll.FDS($E$9,"P_PRICE("&amp;AJ458&amp;",0,D,D)")</f>
        <v>5203.58</v>
      </c>
      <c r="AF458" s="9" cm="1">
        <f t="array" aca="1" ref="AF458" ca="1">_xll.FDS($E$9,"P_PRICE("&amp;AK458&amp;",0,D,D)")</f>
        <v>4927.93</v>
      </c>
      <c r="AG458" s="20">
        <f t="shared" ca="1" si="119"/>
        <v>45406</v>
      </c>
      <c r="AH458" s="22">
        <f t="shared" ca="1" si="114"/>
        <v>45399</v>
      </c>
      <c r="AI458" s="22">
        <f t="shared" ca="1" si="115"/>
        <v>45392</v>
      </c>
      <c r="AJ458" s="22">
        <f t="shared" ca="1" si="116"/>
        <v>45377</v>
      </c>
      <c r="AK458" s="22">
        <f t="shared" ca="1" si="117"/>
        <v>45320</v>
      </c>
      <c r="AL458" s="22">
        <f t="shared" ca="1" si="118"/>
        <v>45230</v>
      </c>
    </row>
    <row r="459" spans="4:38" x14ac:dyDescent="0.25">
      <c r="D459" s="6">
        <f ca="1"/>
        <v>45405</v>
      </c>
      <c r="E459" s="28" cm="1">
        <f t="array" aca="1" ref="E459" ca="1">_xll.FDS($E$7,"P_PRICE("&amp;D459&amp;",0,D,D)")</f>
        <v>78.790000000000006</v>
      </c>
      <c r="F459" s="29" cm="1">
        <f t="array" aca="1" ref="F459" ca="1">_xll.FDS($E$7,"P_BETA_LOCIDX("&amp;$AG459&amp;","&amp;$AL459&amp;",,"""&amp;$E$9&amp;""")")</f>
        <v>1.1064627</v>
      </c>
      <c r="G459" s="30">
        <f t="shared" ca="1" si="104"/>
        <v>-8.9922305266128752E-3</v>
      </c>
      <c r="H459" s="30">
        <f t="shared" ca="1" si="104"/>
        <v>-3.2203632976063296E-2</v>
      </c>
      <c r="I459" s="30">
        <f t="shared" ca="1" si="104"/>
        <v>-6.2437290823816369E-2</v>
      </c>
      <c r="J459" s="30">
        <f t="shared" ca="1" si="102"/>
        <v>8.575038676353916E-2</v>
      </c>
      <c r="K459" s="30">
        <f t="shared" ca="1" si="105"/>
        <v>4.1924326233667361E-3</v>
      </c>
      <c r="L459" s="30">
        <f t="shared" ca="1" si="105"/>
        <v>-2.9596795697430369E-2</v>
      </c>
      <c r="M459" s="30">
        <f t="shared" ca="1" si="105"/>
        <v>-3.1305520310299054E-2</v>
      </c>
      <c r="N459" s="30">
        <f t="shared" ca="1" si="103"/>
        <v>4.0625596081349989E-2</v>
      </c>
      <c r="O459" s="30">
        <f t="shared" ca="1" si="106"/>
        <v>-4.7997979032461391E-3</v>
      </c>
      <c r="P459" s="30">
        <f t="shared" ca="1" si="107"/>
        <v>-6.1800428673493668E-2</v>
      </c>
      <c r="Q459" s="30">
        <f t="shared" ca="1" si="108"/>
        <v>-9.3742811134115422E-2</v>
      </c>
      <c r="R459" s="30">
        <f t="shared" ca="1" si="109"/>
        <v>0.12637598284488916</v>
      </c>
      <c r="S459" s="9" cm="1">
        <f t="array" aca="1" ref="S459" ca="1">_xll.FDS($E$7,"P_PRICE("&amp;AG459&amp;",0,D,D)")</f>
        <v>78.790000000000006</v>
      </c>
      <c r="T459" s="9" cm="1">
        <f t="array" aca="1" ref="T459" ca="1">_xll.FDS($E$7,"P_PRICE("&amp;AH459&amp;",0,D,D)")</f>
        <v>79.17</v>
      </c>
      <c r="U459" s="9" cm="1">
        <f t="array" aca="1" ref="U459" ca="1">_xll.FDS($E$7,"P_PRICE("&amp;AI459&amp;",0,D,D)")</f>
        <v>83.98</v>
      </c>
      <c r="V459" s="9" cm="1">
        <f t="array" aca="1" ref="V459" ca="1">_xll.FDS($E$7,"P_PRICE("&amp;AJ459&amp;",0,D,D)")</f>
        <v>86.94</v>
      </c>
      <c r="W459" s="9" cm="1">
        <f t="array" aca="1" ref="W459" ca="1">_xll.FDS($E$7,"P_PRICE("&amp;AK459&amp;",0,D,D)")</f>
        <v>69.95</v>
      </c>
      <c r="X459" s="24">
        <f t="shared" ca="1" si="110"/>
        <v>3.7890410796195262E-3</v>
      </c>
      <c r="Y459" s="24">
        <f t="shared" ca="1" si="111"/>
        <v>-2.6749022535897837E-2</v>
      </c>
      <c r="Z459" s="24">
        <f t="shared" ca="1" si="112"/>
        <v>-2.8293335428568045E-2</v>
      </c>
      <c r="AA459" s="24">
        <f t="shared" ca="1" si="113"/>
        <v>3.6716643119871994E-2</v>
      </c>
      <c r="AB459" s="9" cm="1">
        <f t="array" aca="1" ref="AB459" ca="1">_xll.FDS($E$9,"P_PRICE("&amp;AG459&amp;",0,D,D)")</f>
        <v>5070.55</v>
      </c>
      <c r="AC459" s="9" cm="1">
        <f t="array" aca="1" ref="AC459" ca="1">_xll.FDS($E$9,"P_PRICE("&amp;AH459&amp;",0,D,D)")</f>
        <v>5051.41</v>
      </c>
      <c r="AD459" s="9" cm="1">
        <f t="array" aca="1" ref="AD459" ca="1">_xll.FDS($E$9,"P_PRICE("&amp;AI459&amp;",0,D,D)")</f>
        <v>5209.91</v>
      </c>
      <c r="AE459" s="9" cm="1">
        <f t="array" aca="1" ref="AE459" ca="1">_xll.FDS($E$9,"P_PRICE("&amp;AJ459&amp;",0,D,D)")</f>
        <v>5218.1899999999996</v>
      </c>
      <c r="AF459" s="9" cm="1">
        <f t="array" aca="1" ref="AF459" ca="1">_xll.FDS($E$9,"P_PRICE("&amp;AK459&amp;",0,D,D)")</f>
        <v>4890.97</v>
      </c>
      <c r="AG459" s="20">
        <f t="shared" ca="1" si="119"/>
        <v>45405</v>
      </c>
      <c r="AH459" s="22">
        <f t="shared" ca="1" si="114"/>
        <v>45398</v>
      </c>
      <c r="AI459" s="22">
        <f t="shared" ca="1" si="115"/>
        <v>45391</v>
      </c>
      <c r="AJ459" s="22">
        <f t="shared" ca="1" si="116"/>
        <v>45376</v>
      </c>
      <c r="AK459" s="22">
        <f t="shared" ca="1" si="117"/>
        <v>45317</v>
      </c>
      <c r="AL459" s="22">
        <f t="shared" ca="1" si="118"/>
        <v>45229</v>
      </c>
    </row>
    <row r="460" spans="4:38" x14ac:dyDescent="0.25">
      <c r="D460" s="6">
        <f ca="1"/>
        <v>45404</v>
      </c>
      <c r="E460" s="28" cm="1">
        <f t="array" aca="1" ref="E460" ca="1">_xll.FDS($E$7,"P_PRICE("&amp;D460&amp;",0,D,D)")</f>
        <v>77.599999999999994</v>
      </c>
      <c r="F460" s="29" cm="1">
        <f t="array" aca="1" ref="F460" ca="1">_xll.FDS($E$7,"P_BETA_LOCIDX("&amp;$AG460&amp;","&amp;$AL460&amp;",,"""&amp;$E$9&amp;""")")</f>
        <v>1.1004086</v>
      </c>
      <c r="G460" s="30">
        <f t="shared" ca="1" si="104"/>
        <v>-2.2609327439545877E-2</v>
      </c>
      <c r="H460" s="30">
        <f t="shared" ca="1" si="104"/>
        <v>-5.3842696445179444E-2</v>
      </c>
      <c r="I460" s="30">
        <f t="shared" ca="1" si="104"/>
        <v>-5.4223330331769931E-2</v>
      </c>
      <c r="J460" s="30">
        <f t="shared" ca="1" si="102"/>
        <v>6.8164439901777799E-2</v>
      </c>
      <c r="K460" s="30">
        <f t="shared" ca="1" si="105"/>
        <v>-1.1134913626323942E-2</v>
      </c>
      <c r="L460" s="30">
        <f t="shared" ca="1" si="105"/>
        <v>-4.0567386411630074E-2</v>
      </c>
      <c r="M460" s="30">
        <f t="shared" ca="1" si="105"/>
        <v>-4.7004374092598972E-2</v>
      </c>
      <c r="N460" s="30">
        <f t="shared" ca="1" si="103"/>
        <v>2.6180504393808136E-2</v>
      </c>
      <c r="O460" s="30">
        <f t="shared" ca="1" si="106"/>
        <v>-3.3744241065869818E-2</v>
      </c>
      <c r="P460" s="30">
        <f t="shared" ca="1" si="107"/>
        <v>-9.4410082856809519E-2</v>
      </c>
      <c r="Q460" s="30">
        <f t="shared" ca="1" si="108"/>
        <v>-0.1012277044243689</v>
      </c>
      <c r="R460" s="30">
        <f t="shared" ca="1" si="109"/>
        <v>9.4344944295585931E-2</v>
      </c>
      <c r="S460" s="9" cm="1">
        <f t="array" aca="1" ref="S460" ca="1">_xll.FDS($E$7,"P_PRICE("&amp;AG460&amp;",0,D,D)")</f>
        <v>77.599999999999994</v>
      </c>
      <c r="T460" s="9" cm="1">
        <f t="array" aca="1" ref="T460" ca="1">_xll.FDS($E$7,"P_PRICE("&amp;AH460&amp;",0,D,D)")</f>
        <v>80.31</v>
      </c>
      <c r="U460" s="9" cm="1">
        <f t="array" aca="1" ref="U460" ca="1">_xll.FDS($E$7,"P_PRICE("&amp;AI460&amp;",0,D,D)")</f>
        <v>85.69</v>
      </c>
      <c r="V460" s="9" cm="1">
        <f t="array" aca="1" ref="V460" ca="1">_xll.FDS($E$7,"P_PRICE("&amp;AJ460&amp;",0,D,D)")</f>
        <v>86.34</v>
      </c>
      <c r="W460" s="9" cm="1">
        <f t="array" aca="1" ref="W460" ca="1">_xll.FDS($E$7,"P_PRICE("&amp;AK460&amp;",0,D,D)")</f>
        <v>70.91</v>
      </c>
      <c r="X460" s="24">
        <f t="shared" ca="1" si="110"/>
        <v>-1.0118890043501971E-2</v>
      </c>
      <c r="Y460" s="24">
        <f t="shared" ca="1" si="111"/>
        <v>-3.6865748242634666E-2</v>
      </c>
      <c r="Z460" s="24">
        <f t="shared" ca="1" si="112"/>
        <v>-4.2715382352154441E-2</v>
      </c>
      <c r="AA460" s="24">
        <f t="shared" ca="1" si="113"/>
        <v>2.3791621034048749E-2</v>
      </c>
      <c r="AB460" s="9" cm="1">
        <f t="array" aca="1" ref="AB460" ca="1">_xll.FDS($E$9,"P_PRICE("&amp;AG460&amp;",0,D,D)")</f>
        <v>5010.6000000000004</v>
      </c>
      <c r="AC460" s="9" cm="1">
        <f t="array" aca="1" ref="AC460" ca="1">_xll.FDS($E$9,"P_PRICE("&amp;AH460&amp;",0,D,D)")</f>
        <v>5061.82</v>
      </c>
      <c r="AD460" s="9" cm="1">
        <f t="array" aca="1" ref="AD460" ca="1">_xll.FDS($E$9,"P_PRICE("&amp;AI460&amp;",0,D,D)")</f>
        <v>5202.3900000000003</v>
      </c>
      <c r="AE460" s="9" cm="1">
        <f t="array" aca="1" ref="AE460" ca="1">_xll.FDS($E$9,"P_PRICE("&amp;AJ460&amp;",0,D,D)")</f>
        <v>5234.18</v>
      </c>
      <c r="AF460" s="9" cm="1">
        <f t="array" aca="1" ref="AF460" ca="1">_xll.FDS($E$9,"P_PRICE("&amp;AK460&amp;",0,D,D)")</f>
        <v>4894.16</v>
      </c>
      <c r="AG460" s="20">
        <f t="shared" ca="1" si="119"/>
        <v>45404</v>
      </c>
      <c r="AH460" s="22">
        <f t="shared" ca="1" si="114"/>
        <v>45397</v>
      </c>
      <c r="AI460" s="22">
        <f t="shared" ca="1" si="115"/>
        <v>45390</v>
      </c>
      <c r="AJ460" s="22">
        <f t="shared" ca="1" si="116"/>
        <v>45373</v>
      </c>
      <c r="AK460" s="22">
        <f t="shared" ca="1" si="117"/>
        <v>45316</v>
      </c>
      <c r="AL460" s="22">
        <f t="shared" ca="1" si="118"/>
        <v>45226</v>
      </c>
    </row>
    <row r="461" spans="4:38" x14ac:dyDescent="0.25">
      <c r="D461" s="6">
        <f ca="1"/>
        <v>45401</v>
      </c>
      <c r="E461" s="28" cm="1">
        <f t="array" aca="1" ref="E461" ca="1">_xll.FDS($E$7,"P_PRICE("&amp;D461&amp;",0,D,D)")</f>
        <v>77.05</v>
      </c>
      <c r="F461" s="29" cm="1">
        <f t="array" aca="1" ref="F461" ca="1">_xll.FDS($E$7,"P_BETA_LOCIDX("&amp;$AG461&amp;","&amp;$AL461&amp;",,"""&amp;$E$9&amp;""")")</f>
        <v>1.1291671999999999</v>
      </c>
      <c r="G461" s="30">
        <f t="shared" ca="1" si="104"/>
        <v>-3.0959797637822487E-2</v>
      </c>
      <c r="H461" s="30">
        <f t="shared" ca="1" si="104"/>
        <v>-5.67726764664363E-2</v>
      </c>
      <c r="I461" s="30">
        <f t="shared" ca="1" si="104"/>
        <v>-4.2470867793373383E-2</v>
      </c>
      <c r="J461" s="30">
        <f t="shared" ca="1" si="102"/>
        <v>9.2002365349422049E-2</v>
      </c>
      <c r="K461" s="30">
        <f t="shared" ca="1" si="105"/>
        <v>-3.4421085428650119E-2</v>
      </c>
      <c r="L461" s="30">
        <f t="shared" ca="1" si="105"/>
        <v>-5.144491612615637E-2</v>
      </c>
      <c r="M461" s="30">
        <f t="shared" ca="1" si="105"/>
        <v>-5.9091632206626728E-2</v>
      </c>
      <c r="N461" s="30">
        <f t="shared" ca="1" si="103"/>
        <v>2.2886941552618192E-2</v>
      </c>
      <c r="O461" s="30">
        <f t="shared" ca="1" si="106"/>
        <v>-6.5380883066472606E-2</v>
      </c>
      <c r="P461" s="30">
        <f t="shared" ca="1" si="107"/>
        <v>-0.10821759259259267</v>
      </c>
      <c r="Q461" s="30">
        <f t="shared" ca="1" si="108"/>
        <v>-0.10156250000000011</v>
      </c>
      <c r="R461" s="30">
        <f t="shared" ca="1" si="109"/>
        <v>0.11488930690204024</v>
      </c>
      <c r="S461" s="9" cm="1">
        <f t="array" aca="1" ref="S461" ca="1">_xll.FDS($E$7,"P_PRICE("&amp;AG461&amp;",0,D,D)")</f>
        <v>77.05</v>
      </c>
      <c r="T461" s="9" cm="1">
        <f t="array" aca="1" ref="T461" ca="1">_xll.FDS($E$7,"P_PRICE("&amp;AH461&amp;",0,D,D)")</f>
        <v>82.44</v>
      </c>
      <c r="U461" s="9" cm="1">
        <f t="array" aca="1" ref="U461" ca="1">_xll.FDS($E$7,"P_PRICE("&amp;AI461&amp;",0,D,D)")</f>
        <v>86.4</v>
      </c>
      <c r="V461" s="9" cm="1">
        <f t="array" aca="1" ref="V461" ca="1">_xll.FDS($E$7,"P_PRICE("&amp;AJ461&amp;",0,D,D)")</f>
        <v>85.76</v>
      </c>
      <c r="W461" s="9" cm="1">
        <f t="array" aca="1" ref="W461" ca="1">_xll.FDS($E$7,"P_PRICE("&amp;AK461&amp;",0,D,D)")</f>
        <v>69.11</v>
      </c>
      <c r="X461" s="24">
        <f t="shared" ca="1" si="110"/>
        <v>-3.0483603693633787E-2</v>
      </c>
      <c r="Y461" s="24">
        <f t="shared" ca="1" si="111"/>
        <v>-4.5560051802918444E-2</v>
      </c>
      <c r="Z461" s="24">
        <f t="shared" ca="1" si="112"/>
        <v>-5.2332048085196536E-2</v>
      </c>
      <c r="AA461" s="24">
        <f t="shared" ca="1" si="113"/>
        <v>2.0268868554292219E-2</v>
      </c>
      <c r="AB461" s="9" cm="1">
        <f t="array" aca="1" ref="AB461" ca="1">_xll.FDS($E$9,"P_PRICE("&amp;AG461&amp;",0,D,D)")</f>
        <v>4967.2299999999996</v>
      </c>
      <c r="AC461" s="9" cm="1">
        <f t="array" aca="1" ref="AC461" ca="1">_xll.FDS($E$9,"P_PRICE("&amp;AH461&amp;",0,D,D)")</f>
        <v>5123.41</v>
      </c>
      <c r="AD461" s="9" cm="1">
        <f t="array" aca="1" ref="AD461" ca="1">_xll.FDS($E$9,"P_PRICE("&amp;AI461&amp;",0,D,D)")</f>
        <v>5204.34</v>
      </c>
      <c r="AE461" s="9" cm="1">
        <f t="array" aca="1" ref="AE461" ca="1">_xll.FDS($E$9,"P_PRICE("&amp;AJ461&amp;",0,D,D)")</f>
        <v>5241.53</v>
      </c>
      <c r="AF461" s="9" cm="1">
        <f t="array" aca="1" ref="AF461" ca="1">_xll.FDS($E$9,"P_PRICE("&amp;AK461&amp;",0,D,D)")</f>
        <v>4868.55</v>
      </c>
      <c r="AG461" s="20">
        <f t="shared" ca="1" si="119"/>
        <v>45401</v>
      </c>
      <c r="AH461" s="22">
        <f t="shared" ca="1" si="114"/>
        <v>45394</v>
      </c>
      <c r="AI461" s="22">
        <f t="shared" ca="1" si="115"/>
        <v>45387</v>
      </c>
      <c r="AJ461" s="22">
        <f t="shared" ca="1" si="116"/>
        <v>45372</v>
      </c>
      <c r="AK461" s="22">
        <f t="shared" ca="1" si="117"/>
        <v>45315</v>
      </c>
      <c r="AL461" s="22">
        <f t="shared" ca="1" si="118"/>
        <v>45225</v>
      </c>
    </row>
    <row r="462" spans="4:38" x14ac:dyDescent="0.25">
      <c r="D462" s="6">
        <f ca="1"/>
        <v>45400</v>
      </c>
      <c r="E462" s="28" cm="1">
        <f t="array" aca="1" ref="E462" ca="1">_xll.FDS($E$7,"P_PRICE("&amp;D462&amp;",0,D,D)")</f>
        <v>77.14</v>
      </c>
      <c r="F462" s="29" cm="1">
        <f t="array" aca="1" ref="F462" ca="1">_xll.FDS($E$7,"P_BETA_LOCIDX("&amp;$AG462&amp;","&amp;$AL462&amp;",,"""&amp;$E$9&amp;""")")</f>
        <v>1.1470966</v>
      </c>
      <c r="G462" s="30">
        <f t="shared" ca="1" si="104"/>
        <v>-3.4258684069181346E-2</v>
      </c>
      <c r="H462" s="30">
        <f t="shared" ca="1" si="104"/>
        <v>-5.644763371304308E-2</v>
      </c>
      <c r="I462" s="30">
        <f t="shared" ca="1" si="104"/>
        <v>-5.6877556190087296E-2</v>
      </c>
      <c r="J462" s="30">
        <f t="shared" ca="1" si="102"/>
        <v>7.8420574835286014E-2</v>
      </c>
      <c r="K462" s="30">
        <f t="shared" ca="1" si="105"/>
        <v>-4.1466214085623308E-2</v>
      </c>
      <c r="L462" s="30">
        <f t="shared" ca="1" si="105"/>
        <v>-3.032873659594236E-2</v>
      </c>
      <c r="M462" s="30">
        <f t="shared" ca="1" si="105"/>
        <v>-4.6875203191811134E-2</v>
      </c>
      <c r="N462" s="30">
        <f t="shared" ca="1" si="103"/>
        <v>3.4550136461785022E-2</v>
      </c>
      <c r="O462" s="30">
        <f t="shared" ca="1" si="106"/>
        <v>-7.5724898154804654E-2</v>
      </c>
      <c r="P462" s="30">
        <f t="shared" ca="1" si="107"/>
        <v>-8.677637030898544E-2</v>
      </c>
      <c r="Q462" s="30">
        <f t="shared" ca="1" si="108"/>
        <v>-0.10375275938189843</v>
      </c>
      <c r="R462" s="30">
        <f t="shared" ca="1" si="109"/>
        <v>0.11297071129707104</v>
      </c>
      <c r="S462" s="9" cm="1">
        <f t="array" aca="1" ref="S462" ca="1">_xll.FDS($E$7,"P_PRICE("&amp;AG462&amp;",0,D,D)")</f>
        <v>77.14</v>
      </c>
      <c r="T462" s="9" cm="1">
        <f t="array" aca="1" ref="T462" ca="1">_xll.FDS($E$7,"P_PRICE("&amp;AH462&amp;",0,D,D)")</f>
        <v>83.46</v>
      </c>
      <c r="U462" s="9" cm="1">
        <f t="array" aca="1" ref="U462" ca="1">_xll.FDS($E$7,"P_PRICE("&amp;AI462&amp;",0,D,D)")</f>
        <v>84.47</v>
      </c>
      <c r="V462" s="9" cm="1">
        <f t="array" aca="1" ref="V462" ca="1">_xll.FDS($E$7,"P_PRICE("&amp;AJ462&amp;",0,D,D)")</f>
        <v>86.07</v>
      </c>
      <c r="W462" s="9" cm="1">
        <f t="array" aca="1" ref="W462" ca="1">_xll.FDS($E$7,"P_PRICE("&amp;AK462&amp;",0,D,D)")</f>
        <v>69.31</v>
      </c>
      <c r="X462" s="24">
        <f t="shared" ca="1" si="110"/>
        <v>-3.6148842290721905E-2</v>
      </c>
      <c r="Y462" s="24">
        <f t="shared" ca="1" si="111"/>
        <v>-2.6439566289310212E-2</v>
      </c>
      <c r="Z462" s="24">
        <f t="shared" ca="1" si="112"/>
        <v>-4.0864215962117867E-2</v>
      </c>
      <c r="AA462" s="24">
        <f t="shared" ca="1" si="113"/>
        <v>3.0119639847058233E-2</v>
      </c>
      <c r="AB462" s="9" cm="1">
        <f t="array" aca="1" ref="AB462" ca="1">_xll.FDS($E$9,"P_PRICE("&amp;AG462&amp;",0,D,D)")</f>
        <v>5011.12</v>
      </c>
      <c r="AC462" s="9" cm="1">
        <f t="array" aca="1" ref="AC462" ca="1">_xll.FDS($E$9,"P_PRICE("&amp;AH462&amp;",0,D,D)")</f>
        <v>5199.0600000000004</v>
      </c>
      <c r="AD462" s="9" cm="1">
        <f t="array" aca="1" ref="AD462" ca="1">_xll.FDS($E$9,"P_PRICE("&amp;AI462&amp;",0,D,D)")</f>
        <v>5147.21</v>
      </c>
      <c r="AE462" s="9" cm="1">
        <f t="array" aca="1" ref="AE462" ca="1">_xll.FDS($E$9,"P_PRICE("&amp;AJ462&amp;",0,D,D)")</f>
        <v>5224.62</v>
      </c>
      <c r="AF462" s="9" cm="1">
        <f t="array" aca="1" ref="AF462" ca="1">_xll.FDS($E$9,"P_PRICE("&amp;AK462&amp;",0,D,D)")</f>
        <v>4864.6000000000004</v>
      </c>
      <c r="AG462" s="20">
        <f t="shared" ca="1" si="119"/>
        <v>45400</v>
      </c>
      <c r="AH462" s="22">
        <f t="shared" ca="1" si="114"/>
        <v>45393</v>
      </c>
      <c r="AI462" s="22">
        <f t="shared" ca="1" si="115"/>
        <v>45386</v>
      </c>
      <c r="AJ462" s="22">
        <f t="shared" ca="1" si="116"/>
        <v>45371</v>
      </c>
      <c r="AK462" s="22">
        <f t="shared" ca="1" si="117"/>
        <v>45314</v>
      </c>
      <c r="AL462" s="22">
        <f t="shared" ca="1" si="118"/>
        <v>45224</v>
      </c>
    </row>
    <row r="463" spans="4:38" x14ac:dyDescent="0.25">
      <c r="D463" s="6">
        <f ca="1"/>
        <v>45399</v>
      </c>
      <c r="E463" s="28" cm="1">
        <f t="array" aca="1" ref="E463" ca="1">_xll.FDS($E$7,"P_PRICE("&amp;D463&amp;",0,D,D)")</f>
        <v>78.52</v>
      </c>
      <c r="F463" s="29" cm="1">
        <f t="array" aca="1" ref="F463" ca="1">_xll.FDS($E$7,"P_BETA_LOCIDX("&amp;$AG463&amp;","&amp;$AL463&amp;",,"""&amp;$E$9&amp;""")")</f>
        <v>1.1226084000000001</v>
      </c>
      <c r="G463" s="30">
        <f t="shared" ca="1" si="104"/>
        <v>-2.8964228138146593E-2</v>
      </c>
      <c r="H463" s="30">
        <f t="shared" ca="1" si="104"/>
        <v>-4.0757150073408722E-2</v>
      </c>
      <c r="I463" s="30">
        <f t="shared" ca="1" si="104"/>
        <v>-4.061011752897626E-2</v>
      </c>
      <c r="J463" s="30">
        <f t="shared" ca="1" si="102"/>
        <v>7.7805691816001318E-2</v>
      </c>
      <c r="K463" s="30">
        <f t="shared" ca="1" si="105"/>
        <v>-3.0113063653345422E-2</v>
      </c>
      <c r="L463" s="30">
        <f t="shared" ca="1" si="105"/>
        <v>-4.0772853435773658E-2</v>
      </c>
      <c r="M463" s="30">
        <f t="shared" ca="1" si="105"/>
        <v>-3.3883046073098326E-2</v>
      </c>
      <c r="N463" s="30">
        <f t="shared" ca="1" si="103"/>
        <v>3.9757644363901792E-2</v>
      </c>
      <c r="O463" s="30">
        <f t="shared" ca="1" si="106"/>
        <v>-5.9077291791492015E-2</v>
      </c>
      <c r="P463" s="30">
        <f t="shared" ca="1" si="107"/>
        <v>-8.153000350918238E-2</v>
      </c>
      <c r="Q463" s="30">
        <f t="shared" ca="1" si="108"/>
        <v>-7.4493163602074586E-2</v>
      </c>
      <c r="R463" s="30">
        <f t="shared" ca="1" si="109"/>
        <v>0.11756333617990311</v>
      </c>
      <c r="S463" s="9" cm="1">
        <f t="array" aca="1" ref="S463" ca="1">_xll.FDS($E$7,"P_PRICE("&amp;AG463&amp;",0,D,D)")</f>
        <v>78.52</v>
      </c>
      <c r="T463" s="9" cm="1">
        <f t="array" aca="1" ref="T463" ca="1">_xll.FDS($E$7,"P_PRICE("&amp;AH463&amp;",0,D,D)")</f>
        <v>83.45</v>
      </c>
      <c r="U463" s="9" cm="1">
        <f t="array" aca="1" ref="U463" ca="1">_xll.FDS($E$7,"P_PRICE("&amp;AI463&amp;",0,D,D)")</f>
        <v>85.49</v>
      </c>
      <c r="V463" s="9" cm="1">
        <f t="array" aca="1" ref="V463" ca="1">_xll.FDS($E$7,"P_PRICE("&amp;AJ463&amp;",0,D,D)")</f>
        <v>84.84</v>
      </c>
      <c r="W463" s="9" cm="1">
        <f t="array" aca="1" ref="W463" ca="1">_xll.FDS($E$7,"P_PRICE("&amp;AK463&amp;",0,D,D)")</f>
        <v>70.260000000000005</v>
      </c>
      <c r="X463" s="24">
        <f t="shared" ca="1" si="110"/>
        <v>-2.6824192348235965E-2</v>
      </c>
      <c r="Y463" s="24">
        <f t="shared" ca="1" si="111"/>
        <v>-3.6319747327539731E-2</v>
      </c>
      <c r="Z463" s="24">
        <f t="shared" ca="1" si="112"/>
        <v>-3.0182426991547828E-2</v>
      </c>
      <c r="AA463" s="24">
        <f t="shared" ca="1" si="113"/>
        <v>3.5415416777481612E-2</v>
      </c>
      <c r="AB463" s="9" cm="1">
        <f t="array" aca="1" ref="AB463" ca="1">_xll.FDS($E$9,"P_PRICE("&amp;AG463&amp;",0,D,D)")</f>
        <v>5022.21</v>
      </c>
      <c r="AC463" s="9" cm="1">
        <f t="array" aca="1" ref="AC463" ca="1">_xll.FDS($E$9,"P_PRICE("&amp;AH463&amp;",0,D,D)")</f>
        <v>5160.6400000000003</v>
      </c>
      <c r="AD463" s="9" cm="1">
        <f t="array" aca="1" ref="AD463" ca="1">_xll.FDS($E$9,"P_PRICE("&amp;AI463&amp;",0,D,D)")</f>
        <v>5211.49</v>
      </c>
      <c r="AE463" s="9" cm="1">
        <f t="array" aca="1" ref="AE463" ca="1">_xll.FDS($E$9,"P_PRICE("&amp;AJ463&amp;",0,D,D)")</f>
        <v>5178.51</v>
      </c>
      <c r="AF463" s="9" cm="1">
        <f t="array" aca="1" ref="AF463" ca="1">_xll.FDS($E$9,"P_PRICE("&amp;AK463&amp;",0,D,D)")</f>
        <v>4850.43</v>
      </c>
      <c r="AG463" s="20">
        <f t="shared" ca="1" si="119"/>
        <v>45399</v>
      </c>
      <c r="AH463" s="22">
        <f t="shared" ca="1" si="114"/>
        <v>45392</v>
      </c>
      <c r="AI463" s="22">
        <f t="shared" ca="1" si="115"/>
        <v>45385</v>
      </c>
      <c r="AJ463" s="22">
        <f t="shared" ca="1" si="116"/>
        <v>45370</v>
      </c>
      <c r="AK463" s="22">
        <f t="shared" ca="1" si="117"/>
        <v>45313</v>
      </c>
      <c r="AL463" s="22">
        <f t="shared" ca="1" si="118"/>
        <v>45223</v>
      </c>
    </row>
    <row r="464" spans="4:38" x14ac:dyDescent="0.25">
      <c r="D464" s="6">
        <f ca="1"/>
        <v>45398</v>
      </c>
      <c r="E464" s="28" cm="1">
        <f t="array" aca="1" ref="E464" ca="1">_xll.FDS($E$7,"P_PRICE("&amp;D464&amp;",0,D,D)")</f>
        <v>79.17</v>
      </c>
      <c r="F464" s="29" cm="1">
        <f t="array" aca="1" ref="F464" ca="1">_xll.FDS($E$7,"P_BETA_LOCIDX("&amp;$AG464&amp;","&amp;$AL464&amp;",,"""&amp;$E$9&amp;""")")</f>
        <v>1.1203907</v>
      </c>
      <c r="G464" s="30">
        <f t="shared" ca="1" si="104"/>
        <v>-2.3190130349018769E-2</v>
      </c>
      <c r="H464" s="30">
        <f t="shared" ca="1" si="104"/>
        <v>-2.8625812678407594E-2</v>
      </c>
      <c r="I464" s="30">
        <f t="shared" ca="1" si="104"/>
        <v>-3.9306596071951222E-2</v>
      </c>
      <c r="J464" s="30">
        <f t="shared" ca="1" si="102"/>
        <v>8.4282239856274976E-2</v>
      </c>
      <c r="K464" s="30">
        <f t="shared" ca="1" si="105"/>
        <v>-3.4085411446646861E-2</v>
      </c>
      <c r="L464" s="30">
        <f t="shared" ca="1" si="105"/>
        <v>-3.3229857424685191E-2</v>
      </c>
      <c r="M464" s="30">
        <f t="shared" ca="1" si="105"/>
        <v>-2.1324633163929161E-2</v>
      </c>
      <c r="N464" s="30">
        <f t="shared" ca="1" si="103"/>
        <v>4.8984293209857248E-2</v>
      </c>
      <c r="O464" s="30">
        <f t="shared" ca="1" si="106"/>
        <v>-5.727554179566563E-2</v>
      </c>
      <c r="P464" s="30">
        <f t="shared" ca="1" si="107"/>
        <v>-6.1855670103092786E-2</v>
      </c>
      <c r="Q464" s="30">
        <f t="shared" ca="1" si="108"/>
        <v>-6.0631229235880379E-2</v>
      </c>
      <c r="R464" s="30">
        <f t="shared" ca="1" si="109"/>
        <v>0.13326653306613223</v>
      </c>
      <c r="S464" s="9" cm="1">
        <f t="array" aca="1" ref="S464" ca="1">_xll.FDS($E$7,"P_PRICE("&amp;AG464&amp;",0,D,D)")</f>
        <v>79.17</v>
      </c>
      <c r="T464" s="9" cm="1">
        <f t="array" aca="1" ref="T464" ca="1">_xll.FDS($E$7,"P_PRICE("&amp;AH464&amp;",0,D,D)")</f>
        <v>83.98</v>
      </c>
      <c r="U464" s="9" cm="1">
        <f t="array" aca="1" ref="U464" ca="1">_xll.FDS($E$7,"P_PRICE("&amp;AI464&amp;",0,D,D)")</f>
        <v>84.39</v>
      </c>
      <c r="V464" s="9" cm="1">
        <f t="array" aca="1" ref="V464" ca="1">_xll.FDS($E$7,"P_PRICE("&amp;AJ464&amp;",0,D,D)")</f>
        <v>84.28</v>
      </c>
      <c r="W464" s="9" cm="1">
        <f t="array" aca="1" ref="W464" ca="1">_xll.FDS($E$7,"P_PRICE("&amp;AK464&amp;",0,D,D)")</f>
        <v>69.86</v>
      </c>
      <c r="X464" s="24">
        <f t="shared" ca="1" si="110"/>
        <v>-3.0422790412886203E-2</v>
      </c>
      <c r="Y464" s="24">
        <f t="shared" ca="1" si="111"/>
        <v>-2.9659169274330099E-2</v>
      </c>
      <c r="Z464" s="24">
        <f t="shared" ca="1" si="112"/>
        <v>-1.9033211507315406E-2</v>
      </c>
      <c r="AA464" s="24">
        <f t="shared" ca="1" si="113"/>
        <v>4.3720724573898417E-2</v>
      </c>
      <c r="AB464" s="9" cm="1">
        <f t="array" aca="1" ref="AB464" ca="1">_xll.FDS($E$9,"P_PRICE("&amp;AG464&amp;",0,D,D)")</f>
        <v>5051.41</v>
      </c>
      <c r="AC464" s="9" cm="1">
        <f t="array" aca="1" ref="AC464" ca="1">_xll.FDS($E$9,"P_PRICE("&amp;AH464&amp;",0,D,D)")</f>
        <v>5209.91</v>
      </c>
      <c r="AD464" s="9" cm="1">
        <f t="array" aca="1" ref="AD464" ca="1">_xll.FDS($E$9,"P_PRICE("&amp;AI464&amp;",0,D,D)")</f>
        <v>5205.8100000000004</v>
      </c>
      <c r="AE464" s="9" cm="1">
        <f t="array" aca="1" ref="AE464" ca="1">_xll.FDS($E$9,"P_PRICE("&amp;AJ464&amp;",0,D,D)")</f>
        <v>5149.42</v>
      </c>
      <c r="AF464" s="9" cm="1">
        <f t="array" aca="1" ref="AF464" ca="1">_xll.FDS($E$9,"P_PRICE("&amp;AK464&amp;",0,D,D)")</f>
        <v>4839.8100000000004</v>
      </c>
      <c r="AG464" s="20">
        <f t="shared" ca="1" si="119"/>
        <v>45398</v>
      </c>
      <c r="AH464" s="22">
        <f t="shared" ca="1" si="114"/>
        <v>45391</v>
      </c>
      <c r="AI464" s="22">
        <f t="shared" ca="1" si="115"/>
        <v>45384</v>
      </c>
      <c r="AJ464" s="22">
        <f t="shared" ca="1" si="116"/>
        <v>45369</v>
      </c>
      <c r="AK464" s="22">
        <f t="shared" ca="1" si="117"/>
        <v>45310</v>
      </c>
      <c r="AL464" s="22">
        <f t="shared" ca="1" si="118"/>
        <v>45222</v>
      </c>
    </row>
    <row r="465" spans="4:38" x14ac:dyDescent="0.25">
      <c r="D465" s="6">
        <f ca="1"/>
        <v>45397</v>
      </c>
      <c r="E465" s="28" cm="1">
        <f t="array" aca="1" ref="E465" ca="1">_xll.FDS($E$7,"P_PRICE("&amp;D465&amp;",0,D,D)")</f>
        <v>80.31</v>
      </c>
      <c r="F465" s="29" cm="1">
        <f t="array" aca="1" ref="F465" ca="1">_xll.FDS($E$7,"P_BETA_LOCIDX("&amp;$AG465&amp;","&amp;$AL465&amp;",,"""&amp;$E$9&amp;""")")</f>
        <v>1.0695498999999999</v>
      </c>
      <c r="G465" s="30">
        <f t="shared" ca="1" si="104"/>
        <v>-3.3884924910240075E-2</v>
      </c>
      <c r="H465" s="30">
        <f t="shared" ca="1" si="104"/>
        <v>-1.6506140553633454E-2</v>
      </c>
      <c r="I465" s="30">
        <f t="shared" ca="1" si="104"/>
        <v>-2.5498086257395525E-2</v>
      </c>
      <c r="J465" s="30">
        <f t="shared" ca="1" si="102"/>
        <v>9.6373000638429893E-2</v>
      </c>
      <c r="K465" s="30">
        <f t="shared" ca="1" si="105"/>
        <v>-2.8899530685512004E-2</v>
      </c>
      <c r="L465" s="30">
        <f t="shared" ca="1" si="105"/>
        <v>-3.7111582755346061E-2</v>
      </c>
      <c r="M465" s="30">
        <f t="shared" ca="1" si="105"/>
        <v>-1.1552273454834725E-2</v>
      </c>
      <c r="N465" s="30">
        <f t="shared" ca="1" si="103"/>
        <v>6.2836006289976556E-2</v>
      </c>
      <c r="O465" s="30">
        <f t="shared" ca="1" si="106"/>
        <v>-6.2784455595752076E-2</v>
      </c>
      <c r="P465" s="30">
        <f t="shared" ca="1" si="107"/>
        <v>-5.3617723308979515E-2</v>
      </c>
      <c r="Q465" s="30">
        <f t="shared" ca="1" si="108"/>
        <v>-3.7050359712230252E-2</v>
      </c>
      <c r="R465" s="30">
        <f t="shared" ca="1" si="109"/>
        <v>0.15920900692840645</v>
      </c>
      <c r="S465" s="9" cm="1">
        <f t="array" aca="1" ref="S465" ca="1">_xll.FDS($E$7,"P_PRICE("&amp;AG465&amp;",0,D,D)")</f>
        <v>80.31</v>
      </c>
      <c r="T465" s="9" cm="1">
        <f t="array" aca="1" ref="T465" ca="1">_xll.FDS($E$7,"P_PRICE("&amp;AH465&amp;",0,D,D)")</f>
        <v>85.69</v>
      </c>
      <c r="U465" s="9" cm="1">
        <f t="array" aca="1" ref="U465" ca="1">_xll.FDS($E$7,"P_PRICE("&amp;AI465&amp;",0,D,D)")</f>
        <v>84.86</v>
      </c>
      <c r="V465" s="9" cm="1">
        <f t="array" aca="1" ref="V465" ca="1">_xll.FDS($E$7,"P_PRICE("&amp;AJ465&amp;",0,D,D)")</f>
        <v>83.4</v>
      </c>
      <c r="W465" s="9" cm="1">
        <f t="array" aca="1" ref="W465" ca="1">_xll.FDS($E$7,"P_PRICE("&amp;AK465&amp;",0,D,D)")</f>
        <v>69.28</v>
      </c>
      <c r="X465" s="24">
        <f t="shared" ca="1" si="110"/>
        <v>-2.7020273374353088E-2</v>
      </c>
      <c r="Y465" s="24">
        <f t="shared" ca="1" si="111"/>
        <v>-3.4698318194734123E-2</v>
      </c>
      <c r="Z465" s="24">
        <f t="shared" ca="1" si="112"/>
        <v>-1.0801060759142445E-2</v>
      </c>
      <c r="AA465" s="24">
        <f t="shared" ca="1" si="113"/>
        <v>5.8749952938125238E-2</v>
      </c>
      <c r="AB465" s="9" cm="1">
        <f t="array" aca="1" ref="AB465" ca="1">_xll.FDS($E$9,"P_PRICE("&amp;AG465&amp;",0,D,D)")</f>
        <v>5061.82</v>
      </c>
      <c r="AC465" s="9" cm="1">
        <f t="array" aca="1" ref="AC465" ca="1">_xll.FDS($E$9,"P_PRICE("&amp;AH465&amp;",0,D,D)")</f>
        <v>5202.3900000000003</v>
      </c>
      <c r="AD465" s="9" cm="1">
        <f t="array" aca="1" ref="AD465" ca="1">_xll.FDS($E$9,"P_PRICE("&amp;AI465&amp;",0,D,D)")</f>
        <v>5243.77</v>
      </c>
      <c r="AE465" s="9" cm="1">
        <f t="array" aca="1" ref="AE465" ca="1">_xll.FDS($E$9,"P_PRICE("&amp;AJ465&amp;",0,D,D)")</f>
        <v>5117.09</v>
      </c>
      <c r="AF465" s="9" cm="1">
        <f t="array" aca="1" ref="AF465" ca="1">_xll.FDS($E$9,"P_PRICE("&amp;AK465&amp;",0,D,D)")</f>
        <v>4780.9399999999996</v>
      </c>
      <c r="AG465" s="20">
        <f t="shared" ca="1" si="119"/>
        <v>45397</v>
      </c>
      <c r="AH465" s="22">
        <f t="shared" ca="1" si="114"/>
        <v>45390</v>
      </c>
      <c r="AI465" s="22">
        <f t="shared" ca="1" si="115"/>
        <v>45383</v>
      </c>
      <c r="AJ465" s="22">
        <f t="shared" ca="1" si="116"/>
        <v>45366</v>
      </c>
      <c r="AK465" s="22">
        <f t="shared" ca="1" si="117"/>
        <v>45309</v>
      </c>
      <c r="AL465" s="22">
        <f t="shared" ca="1" si="118"/>
        <v>45219</v>
      </c>
    </row>
    <row r="466" spans="4:38" x14ac:dyDescent="0.25">
      <c r="D466" s="6">
        <f ca="1"/>
        <v>45394</v>
      </c>
      <c r="E466" s="28" cm="1">
        <f t="array" aca="1" ref="E466" ca="1">_xll.FDS($E$7,"P_PRICE("&amp;D466&amp;",0,D,D)")</f>
        <v>82.44</v>
      </c>
      <c r="F466" s="29" cm="1">
        <f t="array" aca="1" ref="F466" ca="1">_xll.FDS($E$7,"P_BETA_LOCIDX("&amp;$AG466&amp;","&amp;$AL466&amp;",,"""&amp;$E$9&amp;""")")</f>
        <v>1.0537941</v>
      </c>
      <c r="G466" s="30">
        <f t="shared" ca="1" si="104"/>
        <v>-2.94463262367562E-2</v>
      </c>
      <c r="H466" s="30">
        <f t="shared" ca="1" si="104"/>
        <v>-1.8023851150799339E-2</v>
      </c>
      <c r="I466" s="30">
        <f t="shared" ca="1" si="104"/>
        <v>-1.9532402567235582E-2</v>
      </c>
      <c r="J466" s="30">
        <f t="shared" ca="1" si="102"/>
        <v>0.12621084826108292</v>
      </c>
      <c r="K466" s="30">
        <f t="shared" ca="1" si="105"/>
        <v>-1.6387007096577193E-2</v>
      </c>
      <c r="L466" s="30">
        <f t="shared" ca="1" si="105"/>
        <v>-2.626086946130364E-2</v>
      </c>
      <c r="M466" s="30">
        <f t="shared" ca="1" si="105"/>
        <v>-5.5385529672961759E-3</v>
      </c>
      <c r="N466" s="30">
        <f t="shared" ca="1" si="103"/>
        <v>8.5429363379128487E-2</v>
      </c>
      <c r="O466" s="30">
        <f t="shared" ca="1" si="106"/>
        <v>-4.5833333333333393E-2</v>
      </c>
      <c r="P466" s="30">
        <f t="shared" ca="1" si="107"/>
        <v>-4.4284720612102979E-2</v>
      </c>
      <c r="Q466" s="30">
        <f t="shared" ca="1" si="108"/>
        <v>-2.5070955534531758E-2</v>
      </c>
      <c r="R466" s="30">
        <f t="shared" ca="1" si="109"/>
        <v>0.21164021164021141</v>
      </c>
      <c r="S466" s="9" cm="1">
        <f t="array" aca="1" ref="S466" ca="1">_xll.FDS($E$7,"P_PRICE("&amp;AG466&amp;",0,D,D)")</f>
        <v>82.44</v>
      </c>
      <c r="T466" s="9" cm="1">
        <f t="array" aca="1" ref="T466" ca="1">_xll.FDS($E$7,"P_PRICE("&amp;AH466&amp;",0,D,D)")</f>
        <v>86.4</v>
      </c>
      <c r="U466" s="9" cm="1">
        <f t="array" aca="1" ref="U466" ca="1">_xll.FDS($E$7,"P_PRICE("&amp;AI466&amp;",0,D,D)")</f>
        <v>86.26</v>
      </c>
      <c r="V466" s="9" cm="1">
        <f t="array" aca="1" ref="V466" ca="1">_xll.FDS($E$7,"P_PRICE("&amp;AJ466&amp;",0,D,D)")</f>
        <v>84.56</v>
      </c>
      <c r="W466" s="9" cm="1">
        <f t="array" aca="1" ref="W466" ca="1">_xll.FDS($E$7,"P_PRICE("&amp;AK466&amp;",0,D,D)")</f>
        <v>68.040000000000006</v>
      </c>
      <c r="X466" s="24">
        <f t="shared" ca="1" si="110"/>
        <v>-1.5550482866223292E-2</v>
      </c>
      <c r="Y466" s="24">
        <f t="shared" ca="1" si="111"/>
        <v>-2.4920304128959958E-2</v>
      </c>
      <c r="Z466" s="24">
        <f t="shared" ca="1" si="112"/>
        <v>-5.2558208167005072E-3</v>
      </c>
      <c r="AA466" s="24">
        <f t="shared" ca="1" si="113"/>
        <v>8.1068363714627445E-2</v>
      </c>
      <c r="AB466" s="9" cm="1">
        <f t="array" aca="1" ref="AB466" ca="1">_xll.FDS($E$9,"P_PRICE("&amp;AG466&amp;",0,D,D)")</f>
        <v>5123.41</v>
      </c>
      <c r="AC466" s="9" cm="1">
        <f t="array" aca="1" ref="AC466" ca="1">_xll.FDS($E$9,"P_PRICE("&amp;AH466&amp;",0,D,D)")</f>
        <v>5204.34</v>
      </c>
      <c r="AD466" s="9" cm="1">
        <f t="array" aca="1" ref="AD466" ca="1">_xll.FDS($E$9,"P_PRICE("&amp;AI466&amp;",0,D,D)")</f>
        <v>5254.35</v>
      </c>
      <c r="AE466" s="9" cm="1">
        <f t="array" aca="1" ref="AE466" ca="1">_xll.FDS($E$9,"P_PRICE("&amp;AJ466&amp;",0,D,D)")</f>
        <v>5150.4799999999996</v>
      </c>
      <c r="AF466" s="9" cm="1">
        <f t="array" aca="1" ref="AF466" ca="1">_xll.FDS($E$9,"P_PRICE("&amp;AK466&amp;",0,D,D)")</f>
        <v>4739.21</v>
      </c>
      <c r="AG466" s="20">
        <f t="shared" ca="1" si="119"/>
        <v>45394</v>
      </c>
      <c r="AH466" s="22">
        <f t="shared" ca="1" si="114"/>
        <v>45387</v>
      </c>
      <c r="AI466" s="22">
        <f t="shared" ca="1" si="115"/>
        <v>45379</v>
      </c>
      <c r="AJ466" s="22">
        <f t="shared" ca="1" si="116"/>
        <v>45365</v>
      </c>
      <c r="AK466" s="22">
        <f t="shared" ca="1" si="117"/>
        <v>45308</v>
      </c>
      <c r="AL466" s="22">
        <f t="shared" ca="1" si="118"/>
        <v>45218</v>
      </c>
    </row>
    <row r="467" spans="4:38" x14ac:dyDescent="0.25">
      <c r="D467" s="6">
        <f ca="1"/>
        <v>45393</v>
      </c>
      <c r="E467" s="28" cm="1">
        <f t="array" aca="1" ref="E467" ca="1">_xll.FDS($E$7,"P_PRICE("&amp;D467&amp;",0,D,D)")</f>
        <v>83.46</v>
      </c>
      <c r="F467" s="29" cm="1">
        <f t="array" aca="1" ref="F467" ca="1">_xll.FDS($E$7,"P_BETA_LOCIDX("&amp;$AG467&amp;","&amp;$AL467&amp;",,"""&amp;$E$9&amp;""")")</f>
        <v>1.1273607000000001</v>
      </c>
      <c r="G467" s="30">
        <f t="shared" ca="1" si="104"/>
        <v>-2.3313283813664668E-2</v>
      </c>
      <c r="H467" s="30">
        <f t="shared" ca="1" si="104"/>
        <v>-1.9143097626255969E-2</v>
      </c>
      <c r="I467" s="30">
        <f t="shared" ca="1" si="104"/>
        <v>-2.2122372359208657E-2</v>
      </c>
      <c r="J467" s="30">
        <f t="shared" ca="1" si="102"/>
        <v>0.13786098730873053</v>
      </c>
      <c r="K467" s="30">
        <f t="shared" ca="1" si="105"/>
        <v>1.1356376035755305E-2</v>
      </c>
      <c r="L467" s="30">
        <f t="shared" ca="1" si="105"/>
        <v>-1.061742318285821E-2</v>
      </c>
      <c r="M467" s="30">
        <f t="shared" ca="1" si="105"/>
        <v>7.366145231360692E-3</v>
      </c>
      <c r="N467" s="30">
        <f t="shared" ca="1" si="103"/>
        <v>0.10244217809474677</v>
      </c>
      <c r="O467" s="30">
        <f t="shared" ca="1" si="106"/>
        <v>-1.1956907777909365E-2</v>
      </c>
      <c r="P467" s="30">
        <f t="shared" ca="1" si="107"/>
        <v>-2.9760520809114177E-2</v>
      </c>
      <c r="Q467" s="30">
        <f t="shared" ca="1" si="108"/>
        <v>-1.4756227127847965E-2</v>
      </c>
      <c r="R467" s="30">
        <f t="shared" ca="1" si="109"/>
        <v>0.24030316540347729</v>
      </c>
      <c r="S467" s="9" cm="1">
        <f t="array" aca="1" ref="S467" ca="1">_xll.FDS($E$7,"P_PRICE("&amp;AG467&amp;",0,D,D)")</f>
        <v>83.46</v>
      </c>
      <c r="T467" s="9" cm="1">
        <f t="array" aca="1" ref="T467" ca="1">_xll.FDS($E$7,"P_PRICE("&amp;AH467&amp;",0,D,D)")</f>
        <v>84.47</v>
      </c>
      <c r="U467" s="9" cm="1">
        <f t="array" aca="1" ref="U467" ca="1">_xll.FDS($E$7,"P_PRICE("&amp;AI467&amp;",0,D,D)")</f>
        <v>86.02</v>
      </c>
      <c r="V467" s="9" cm="1">
        <f t="array" aca="1" ref="V467" ca="1">_xll.FDS($E$7,"P_PRICE("&amp;AJ467&amp;",0,D,D)")</f>
        <v>84.71</v>
      </c>
      <c r="W467" s="9" cm="1">
        <f t="array" aca="1" ref="W467" ca="1">_xll.FDS($E$7,"P_PRICE("&amp;AK467&amp;",0,D,D)")</f>
        <v>67.290000000000006</v>
      </c>
      <c r="X467" s="24">
        <f t="shared" ca="1" si="110"/>
        <v>1.0073418415024848E-2</v>
      </c>
      <c r="Y467" s="24">
        <f t="shared" ca="1" si="111"/>
        <v>-9.4179468761490526E-3</v>
      </c>
      <c r="Z467" s="24">
        <f t="shared" ca="1" si="112"/>
        <v>6.533973759561329E-3</v>
      </c>
      <c r="AA467" s="24">
        <f t="shared" ca="1" si="113"/>
        <v>9.0869034280463001E-2</v>
      </c>
      <c r="AB467" s="9" cm="1">
        <f t="array" aca="1" ref="AB467" ca="1">_xll.FDS($E$9,"P_PRICE("&amp;AG467&amp;",0,D,D)")</f>
        <v>5199.0600000000004</v>
      </c>
      <c r="AC467" s="9" cm="1">
        <f t="array" aca="1" ref="AC467" ca="1">_xll.FDS($E$9,"P_PRICE("&amp;AH467&amp;",0,D,D)")</f>
        <v>5147.21</v>
      </c>
      <c r="AD467" s="9" cm="1">
        <f t="array" aca="1" ref="AD467" ca="1">_xll.FDS($E$9,"P_PRICE("&amp;AI467&amp;",0,D,D)")</f>
        <v>5248.49</v>
      </c>
      <c r="AE467" s="9" cm="1">
        <f t="array" aca="1" ref="AE467" ca="1">_xll.FDS($E$9,"P_PRICE("&amp;AJ467&amp;",0,D,D)")</f>
        <v>5165.3100000000004</v>
      </c>
      <c r="AF467" s="9" cm="1">
        <f t="array" aca="1" ref="AF467" ca="1">_xll.FDS($E$9,"P_PRICE("&amp;AK467&amp;",0,D,D)")</f>
        <v>4765.9799999999996</v>
      </c>
      <c r="AG467" s="20">
        <f t="shared" ca="1" si="119"/>
        <v>45393</v>
      </c>
      <c r="AH467" s="22">
        <f t="shared" ca="1" si="114"/>
        <v>45386</v>
      </c>
      <c r="AI467" s="22">
        <f t="shared" ca="1" si="115"/>
        <v>45378</v>
      </c>
      <c r="AJ467" s="22">
        <f t="shared" ca="1" si="116"/>
        <v>45364</v>
      </c>
      <c r="AK467" s="22">
        <f t="shared" ca="1" si="117"/>
        <v>45307</v>
      </c>
      <c r="AL467" s="22">
        <f t="shared" ca="1" si="118"/>
        <v>45217</v>
      </c>
    </row>
    <row r="468" spans="4:38" x14ac:dyDescent="0.25">
      <c r="D468" s="6">
        <f ca="1"/>
        <v>45392</v>
      </c>
      <c r="E468" s="28" cm="1">
        <f t="array" aca="1" ref="E468" ca="1">_xll.FDS($E$7,"P_PRICE("&amp;D468&amp;",0,D,D)")</f>
        <v>83.45</v>
      </c>
      <c r="F468" s="29" cm="1">
        <f t="array" aca="1" ref="F468" ca="1">_xll.FDS($E$7,"P_BETA_LOCIDX("&amp;$AG468&amp;","&amp;$AL468&amp;",,"""&amp;$E$9&amp;""")")</f>
        <v>1.1393740999999999</v>
      </c>
      <c r="G468" s="30">
        <f t="shared" ca="1" si="104"/>
        <v>-1.2745240750500327E-2</v>
      </c>
      <c r="H468" s="30">
        <f t="shared" ca="1" si="104"/>
        <v>-3.3602459418136797E-2</v>
      </c>
      <c r="I468" s="30">
        <f t="shared" ca="1" si="104"/>
        <v>-1.9054679261666565E-3</v>
      </c>
      <c r="J468" s="30">
        <f t="shared" ca="1" si="102"/>
        <v>0.12548669934000242</v>
      </c>
      <c r="K468" s="30">
        <f t="shared" ca="1" si="105"/>
        <v>-1.1117199300967544E-2</v>
      </c>
      <c r="L468" s="30">
        <f t="shared" ca="1" si="105"/>
        <v>-9.4021277378265409E-3</v>
      </c>
      <c r="M468" s="30">
        <f t="shared" ca="1" si="105"/>
        <v>-3.2209030800326253E-3</v>
      </c>
      <c r="N468" s="30">
        <f t="shared" ca="1" si="103"/>
        <v>8.9745570938139535E-2</v>
      </c>
      <c r="O468" s="30">
        <f t="shared" ca="1" si="106"/>
        <v>-2.386244005146787E-2</v>
      </c>
      <c r="P468" s="30">
        <f t="shared" ca="1" si="107"/>
        <v>-4.3004587155963336E-2</v>
      </c>
      <c r="Q468" s="30">
        <f t="shared" ca="1" si="108"/>
        <v>-5.1263710061992818E-3</v>
      </c>
      <c r="R468" s="30">
        <f t="shared" ca="1" si="109"/>
        <v>0.21523227027814196</v>
      </c>
      <c r="S468" s="9" cm="1">
        <f t="array" aca="1" ref="S468" ca="1">_xll.FDS($E$7,"P_PRICE("&amp;AG468&amp;",0,D,D)")</f>
        <v>83.45</v>
      </c>
      <c r="T468" s="9" cm="1">
        <f t="array" aca="1" ref="T468" ca="1">_xll.FDS($E$7,"P_PRICE("&amp;AH468&amp;",0,D,D)")</f>
        <v>85.49</v>
      </c>
      <c r="U468" s="9" cm="1">
        <f t="array" aca="1" ref="U468" ca="1">_xll.FDS($E$7,"P_PRICE("&amp;AI468&amp;",0,D,D)")</f>
        <v>87.2</v>
      </c>
      <c r="V468" s="9" cm="1">
        <f t="array" aca="1" ref="V468" ca="1">_xll.FDS($E$7,"P_PRICE("&amp;AJ468&amp;",0,D,D)")</f>
        <v>83.88</v>
      </c>
      <c r="W468" s="9" cm="1">
        <f t="array" aca="1" ref="W468" ca="1">_xll.FDS($E$7,"P_PRICE("&amp;AK468&amp;",0,D,D)")</f>
        <v>68.67</v>
      </c>
      <c r="X468" s="24">
        <f t="shared" ca="1" si="110"/>
        <v>-9.7572863039168123E-3</v>
      </c>
      <c r="Y468" s="24">
        <f t="shared" ca="1" si="111"/>
        <v>-8.2520111154242848E-3</v>
      </c>
      <c r="Z468" s="24">
        <f t="shared" ca="1" si="112"/>
        <v>-2.8269056493671618E-3</v>
      </c>
      <c r="AA468" s="24">
        <f t="shared" ca="1" si="113"/>
        <v>7.8767431116908426E-2</v>
      </c>
      <c r="AB468" s="9" cm="1">
        <f t="array" aca="1" ref="AB468" ca="1">_xll.FDS($E$9,"P_PRICE("&amp;AG468&amp;",0,D,D)")</f>
        <v>5160.6400000000003</v>
      </c>
      <c r="AC468" s="9" cm="1">
        <f t="array" aca="1" ref="AC468" ca="1">_xll.FDS($E$9,"P_PRICE("&amp;AH468&amp;",0,D,D)")</f>
        <v>5211.49</v>
      </c>
      <c r="AD468" s="9" cm="1">
        <f t="array" aca="1" ref="AD468" ca="1">_xll.FDS($E$9,"P_PRICE("&amp;AI468&amp;",0,D,D)")</f>
        <v>5203.58</v>
      </c>
      <c r="AE468" s="9" cm="1">
        <f t="array" aca="1" ref="AE468" ca="1">_xll.FDS($E$9,"P_PRICE("&amp;AJ468&amp;",0,D,D)")</f>
        <v>5175.2700000000004</v>
      </c>
      <c r="AF468" s="9" cm="1">
        <f t="array" aca="1" ref="AF468" ca="1">_xll.FDS($E$9,"P_PRICE("&amp;AK468&amp;",0,D,D)")</f>
        <v>4783.83</v>
      </c>
      <c r="AG468" s="20">
        <f t="shared" ca="1" si="119"/>
        <v>45392</v>
      </c>
      <c r="AH468" s="22">
        <f t="shared" ca="1" si="114"/>
        <v>45385</v>
      </c>
      <c r="AI468" s="22">
        <f t="shared" ca="1" si="115"/>
        <v>45377</v>
      </c>
      <c r="AJ468" s="22">
        <f t="shared" ca="1" si="116"/>
        <v>45363</v>
      </c>
      <c r="AK468" s="22">
        <f t="shared" ca="1" si="117"/>
        <v>45303</v>
      </c>
      <c r="AL468" s="22">
        <f t="shared" ca="1" si="118"/>
        <v>45216</v>
      </c>
    </row>
    <row r="469" spans="4:38" x14ac:dyDescent="0.25">
      <c r="D469" s="6">
        <f ca="1"/>
        <v>45391</v>
      </c>
      <c r="E469" s="28" cm="1">
        <f t="array" aca="1" ref="E469" ca="1">_xll.FDS($E$7,"P_PRICE("&amp;D469&amp;",0,D,D)")</f>
        <v>83.98</v>
      </c>
      <c r="F469" s="29" cm="1">
        <f t="array" aca="1" ref="F469" ca="1">_xll.FDS($E$7,"P_BETA_LOCIDX("&amp;$AG469&amp;","&amp;$AL469&amp;",,"""&amp;$E$9&amp;""")")</f>
        <v>1.1515815</v>
      </c>
      <c r="G469" s="30">
        <f t="shared" ca="1" si="104"/>
        <v>-5.7653599073902318E-3</v>
      </c>
      <c r="H469" s="30">
        <f t="shared" ca="1" si="104"/>
        <v>-3.221918871470833E-2</v>
      </c>
      <c r="I469" s="30">
        <f t="shared" ca="1" si="104"/>
        <v>-1.5693385290797141E-4</v>
      </c>
      <c r="J469" s="30">
        <f t="shared" ca="1" si="104"/>
        <v>0.11855108344855647</v>
      </c>
      <c r="K469" s="30">
        <f t="shared" ca="1" si="105"/>
        <v>9.069643628944904E-4</v>
      </c>
      <c r="L469" s="30">
        <f t="shared" ca="1" si="105"/>
        <v>-1.8272801143691402E-3</v>
      </c>
      <c r="M469" s="30">
        <f t="shared" ca="1" si="105"/>
        <v>2.0694058655435645E-2</v>
      </c>
      <c r="N469" s="30">
        <f t="shared" ca="1" si="105"/>
        <v>0.10350945205784645</v>
      </c>
      <c r="O469" s="30">
        <f t="shared" ca="1" si="106"/>
        <v>-4.8583955444957416E-3</v>
      </c>
      <c r="P469" s="30">
        <f t="shared" ca="1" si="107"/>
        <v>-3.404646882907747E-2</v>
      </c>
      <c r="Q469" s="30">
        <f t="shared" ca="1" si="108"/>
        <v>2.0537124802527673E-2</v>
      </c>
      <c r="R469" s="30">
        <f t="shared" ca="1" si="109"/>
        <v>0.22206053550640292</v>
      </c>
      <c r="S469" s="9" cm="1">
        <f t="array" aca="1" ref="S469" ca="1">_xll.FDS($E$7,"P_PRICE("&amp;AG469&amp;",0,D,D)")</f>
        <v>83.98</v>
      </c>
      <c r="T469" s="9" cm="1">
        <f t="array" aca="1" ref="T469" ca="1">_xll.FDS($E$7,"P_PRICE("&amp;AH469&amp;",0,D,D)")</f>
        <v>84.39</v>
      </c>
      <c r="U469" s="9" cm="1">
        <f t="array" aca="1" ref="U469" ca="1">_xll.FDS($E$7,"P_PRICE("&amp;AI469&amp;",0,D,D)")</f>
        <v>86.94</v>
      </c>
      <c r="V469" s="9" cm="1">
        <f t="array" aca="1" ref="V469" ca="1">_xll.FDS($E$7,"P_PRICE("&amp;AJ469&amp;",0,D,D)")</f>
        <v>82.29</v>
      </c>
      <c r="W469" s="9" cm="1">
        <f t="array" aca="1" ref="W469" ca="1">_xll.FDS($E$7,"P_PRICE("&amp;AK469&amp;",0,D,D)")</f>
        <v>68.72</v>
      </c>
      <c r="X469" s="24">
        <f t="shared" ca="1" si="110"/>
        <v>7.8758156751779218E-4</v>
      </c>
      <c r="Y469" s="24">
        <f t="shared" ca="1" si="111"/>
        <v>-1.5867570939348541E-3</v>
      </c>
      <c r="Z469" s="24">
        <f t="shared" ca="1" si="112"/>
        <v>1.797012079078697E-2</v>
      </c>
      <c r="AA469" s="24">
        <f t="shared" ca="1" si="113"/>
        <v>8.9884608304185543E-2</v>
      </c>
      <c r="AB469" s="9" cm="1">
        <f t="array" aca="1" ref="AB469" ca="1">_xll.FDS($E$9,"P_PRICE("&amp;AG469&amp;",0,D,D)")</f>
        <v>5209.91</v>
      </c>
      <c r="AC469" s="9" cm="1">
        <f t="array" aca="1" ref="AC469" ca="1">_xll.FDS($E$9,"P_PRICE("&amp;AH469&amp;",0,D,D)")</f>
        <v>5205.8100000000004</v>
      </c>
      <c r="AD469" s="9" cm="1">
        <f t="array" aca="1" ref="AD469" ca="1">_xll.FDS($E$9,"P_PRICE("&amp;AI469&amp;",0,D,D)")</f>
        <v>5218.1899999999996</v>
      </c>
      <c r="AE469" s="9" cm="1">
        <f t="array" aca="1" ref="AE469" ca="1">_xll.FDS($E$9,"P_PRICE("&amp;AJ469&amp;",0,D,D)")</f>
        <v>5117.9399999999996</v>
      </c>
      <c r="AF469" s="9" cm="1">
        <f t="array" aca="1" ref="AF469" ca="1">_xll.FDS($E$9,"P_PRICE("&amp;AK469&amp;",0,D,D)")</f>
        <v>4780.24</v>
      </c>
      <c r="AG469" s="20">
        <f t="shared" ca="1" si="119"/>
        <v>45391</v>
      </c>
      <c r="AH469" s="22">
        <f t="shared" ca="1" si="114"/>
        <v>45384</v>
      </c>
      <c r="AI469" s="22">
        <f t="shared" ca="1" si="115"/>
        <v>45376</v>
      </c>
      <c r="AJ469" s="22">
        <f t="shared" ca="1" si="116"/>
        <v>45362</v>
      </c>
      <c r="AK469" s="22">
        <f t="shared" ca="1" si="117"/>
        <v>45302</v>
      </c>
      <c r="AL469" s="22">
        <f t="shared" ca="1" si="118"/>
        <v>45215</v>
      </c>
    </row>
    <row r="470" spans="4:38" x14ac:dyDescent="0.25">
      <c r="D470" s="6">
        <f ca="1"/>
        <v>45390</v>
      </c>
      <c r="E470" s="28" cm="1">
        <f t="array" aca="1" ref="E470" ca="1">_xll.FDS($E$7,"P_PRICE("&amp;D470&amp;",0,D,D)")</f>
        <v>85.69</v>
      </c>
      <c r="F470" s="29" cm="1">
        <f t="array" aca="1" ref="F470" ca="1">_xll.FDS($E$7,"P_BETA_LOCIDX("&amp;$AG470&amp;","&amp;$AL470&amp;",,"""&amp;$E$9&amp;""")")</f>
        <v>1.1573323</v>
      </c>
      <c r="G470" s="30">
        <f t="shared" ref="G470:J533" ca="1" si="120">+O470-K470</f>
        <v>1.8913636040990226E-2</v>
      </c>
      <c r="H470" s="30">
        <f t="shared" ca="1" si="120"/>
        <v>-4.9927252298279795E-4</v>
      </c>
      <c r="I470" s="30">
        <f t="shared" ca="1" si="120"/>
        <v>3.7908946532540184E-2</v>
      </c>
      <c r="J470" s="30">
        <f t="shared" ca="1" si="120"/>
        <v>0.13479070172692947</v>
      </c>
      <c r="K470" s="30">
        <f t="shared" ref="K470:N533" ca="1" si="121">+X470*$F470</f>
        <v>-9.1328205802314079E-3</v>
      </c>
      <c r="L470" s="30">
        <f t="shared" ca="1" si="121"/>
        <v>-7.029103664184265E-3</v>
      </c>
      <c r="M470" s="30">
        <f t="shared" ca="1" si="121"/>
        <v>1.7776651594846753E-2</v>
      </c>
      <c r="N470" s="30">
        <f t="shared" ca="1" si="121"/>
        <v>0.10136048119286295</v>
      </c>
      <c r="O470" s="30">
        <f t="shared" ref="O470:O533" ca="1" si="122">+S470/T470-1</f>
        <v>9.7808154607588182E-3</v>
      </c>
      <c r="P470" s="30">
        <f t="shared" ref="P470:P533" ca="1" si="123">+S470/U470-1</f>
        <v>-7.5283761871670629E-3</v>
      </c>
      <c r="Q470" s="30">
        <f t="shared" ref="Q470:Q533" ca="1" si="124">+S470/V470-1</f>
        <v>5.5685598127386937E-2</v>
      </c>
      <c r="R470" s="30">
        <f t="shared" ref="R470:R533" ca="1" si="125">+S470/W470-1</f>
        <v>0.23615118291979242</v>
      </c>
      <c r="S470" s="9" cm="1">
        <f t="array" aca="1" ref="S470" ca="1">_xll.FDS($E$7,"P_PRICE("&amp;AG470&amp;",0,D,D)")</f>
        <v>85.69</v>
      </c>
      <c r="T470" s="9" cm="1">
        <f t="array" aca="1" ref="T470" ca="1">_xll.FDS($E$7,"P_PRICE("&amp;AH470&amp;",0,D,D)")</f>
        <v>84.86</v>
      </c>
      <c r="U470" s="9" cm="1">
        <f t="array" aca="1" ref="U470" ca="1">_xll.FDS($E$7,"P_PRICE("&amp;AI470&amp;",0,D,D)")</f>
        <v>86.34</v>
      </c>
      <c r="V470" s="9" cm="1">
        <f t="array" aca="1" ref="V470" ca="1">_xll.FDS($E$7,"P_PRICE("&amp;AJ470&amp;",0,D,D)")</f>
        <v>81.17</v>
      </c>
      <c r="W470" s="9" cm="1">
        <f t="array" aca="1" ref="W470" ca="1">_xll.FDS($E$7,"P_PRICE("&amp;AK470&amp;",0,D,D)")</f>
        <v>69.319999999999993</v>
      </c>
      <c r="X470" s="24">
        <f t="shared" ref="X470:X533" ca="1" si="126">+AB470/AC470-1</f>
        <v>-7.891269067865303E-3</v>
      </c>
      <c r="Y470" s="24">
        <f t="shared" ref="Y470:Y533" ca="1" si="127">+AB470/AD470-1</f>
        <v>-6.0735396948519149E-3</v>
      </c>
      <c r="Z470" s="24">
        <f t="shared" ref="Z470:Z533" ca="1" si="128">+AB470/AE470-1</f>
        <v>1.5360023732895689E-2</v>
      </c>
      <c r="AA470" s="24">
        <f t="shared" ref="AA470:AA533" ca="1" si="129">+AB470/AF470-1</f>
        <v>8.7581139135979313E-2</v>
      </c>
      <c r="AB470" s="9" cm="1">
        <f t="array" aca="1" ref="AB470" ca="1">_xll.FDS($E$9,"P_PRICE("&amp;AG470&amp;",0,D,D)")</f>
        <v>5202.3900000000003</v>
      </c>
      <c r="AC470" s="9" cm="1">
        <f t="array" aca="1" ref="AC470" ca="1">_xll.FDS($E$9,"P_PRICE("&amp;AH470&amp;",0,D,D)")</f>
        <v>5243.77</v>
      </c>
      <c r="AD470" s="9" cm="1">
        <f t="array" aca="1" ref="AD470" ca="1">_xll.FDS($E$9,"P_PRICE("&amp;AI470&amp;",0,D,D)")</f>
        <v>5234.18</v>
      </c>
      <c r="AE470" s="9" cm="1">
        <f t="array" aca="1" ref="AE470" ca="1">_xll.FDS($E$9,"P_PRICE("&amp;AJ470&amp;",0,D,D)")</f>
        <v>5123.6899999999996</v>
      </c>
      <c r="AF470" s="9" cm="1">
        <f t="array" aca="1" ref="AF470" ca="1">_xll.FDS($E$9,"P_PRICE("&amp;AK470&amp;",0,D,D)")</f>
        <v>4783.45</v>
      </c>
      <c r="AG470" s="20">
        <f t="shared" ca="1" si="119"/>
        <v>45390</v>
      </c>
      <c r="AH470" s="22">
        <f t="shared" ref="AH470:AH533" ca="1" si="130">+WORKDAY($AG470, -5, $AN$2:$AN$100)</f>
        <v>45383</v>
      </c>
      <c r="AI470" s="22">
        <f t="shared" ref="AI470:AI533" ca="1" si="131">+WORKDAY($AG470, -10, $AN$2:$AN$100)</f>
        <v>45373</v>
      </c>
      <c r="AJ470" s="22">
        <f t="shared" ref="AJ470:AJ533" ca="1" si="132">+WORKDAY($AG470, -20, $AN$2:$AN$100)</f>
        <v>45359</v>
      </c>
      <c r="AK470" s="22">
        <f t="shared" ref="AK470:AK533" ca="1" si="133">+WORKDAY($AG470, -60, $AN$2:$AN$100)</f>
        <v>45301</v>
      </c>
      <c r="AL470" s="22">
        <f t="shared" ref="AL470:AL533" ca="1" si="134">+WORKDAY($AG470, -120, $AN$2:$AN$100)</f>
        <v>45212</v>
      </c>
    </row>
    <row r="471" spans="4:38" x14ac:dyDescent="0.25">
      <c r="D471" s="6">
        <f ca="1"/>
        <v>45387</v>
      </c>
      <c r="E471" s="28" cm="1">
        <f t="array" aca="1" ref="E471" ca="1">_xll.FDS($E$7,"P_PRICE("&amp;D471&amp;",0,D,D)")</f>
        <v>86.4</v>
      </c>
      <c r="F471" s="29" cm="1">
        <f t="array" aca="1" ref="F471" ca="1">_xll.FDS($E$7,"P_BETA_LOCIDX("&amp;$AG471&amp;","&amp;$AL471&amp;",,"""&amp;$E$9&amp;""")")</f>
        <v>1.1701695000000001</v>
      </c>
      <c r="G471" s="30">
        <f t="shared" ca="1" si="120"/>
        <v>1.2760472363519492E-2</v>
      </c>
      <c r="H471" s="30">
        <f t="shared" ca="1" si="120"/>
        <v>1.5765339362244848E-2</v>
      </c>
      <c r="I471" s="30">
        <f t="shared" ca="1" si="120"/>
        <v>3.5978962203927461E-2</v>
      </c>
      <c r="J471" s="30">
        <f t="shared" ca="1" si="120"/>
        <v>0.14036749249450031</v>
      </c>
      <c r="K471" s="30">
        <f t="shared" ca="1" si="121"/>
        <v>-1.1137472131662362E-2</v>
      </c>
      <c r="L471" s="30">
        <f t="shared" ca="1" si="121"/>
        <v>-8.3026527950807606E-3</v>
      </c>
      <c r="M471" s="30">
        <f t="shared" ca="1" si="121"/>
        <v>1.065943876518219E-2</v>
      </c>
      <c r="N471" s="30">
        <f t="shared" ca="1" si="121"/>
        <v>0.11017527780510893</v>
      </c>
      <c r="O471" s="30">
        <f t="shared" ca="1" si="122"/>
        <v>1.6230002318571302E-3</v>
      </c>
      <c r="P471" s="30">
        <f t="shared" ca="1" si="123"/>
        <v>7.4626865671640896E-3</v>
      </c>
      <c r="Q471" s="30">
        <f t="shared" ca="1" si="124"/>
        <v>4.663840096910965E-2</v>
      </c>
      <c r="R471" s="30">
        <f t="shared" ca="1" si="125"/>
        <v>0.25054277029960925</v>
      </c>
      <c r="S471" s="9" cm="1">
        <f t="array" aca="1" ref="S471" ca="1">_xll.FDS($E$7,"P_PRICE("&amp;AG471&amp;",0,D,D)")</f>
        <v>86.4</v>
      </c>
      <c r="T471" s="9" cm="1">
        <f t="array" aca="1" ref="T471" ca="1">_xll.FDS($E$7,"P_PRICE("&amp;AH471&amp;",0,D,D)")</f>
        <v>86.26</v>
      </c>
      <c r="U471" s="9" cm="1">
        <f t="array" aca="1" ref="U471" ca="1">_xll.FDS($E$7,"P_PRICE("&amp;AI471&amp;",0,D,D)")</f>
        <v>85.76</v>
      </c>
      <c r="V471" s="9" cm="1">
        <f t="array" aca="1" ref="V471" ca="1">_xll.FDS($E$7,"P_PRICE("&amp;AJ471&amp;",0,D,D)")</f>
        <v>82.55</v>
      </c>
      <c r="W471" s="9" cm="1">
        <f t="array" aca="1" ref="W471" ca="1">_xll.FDS($E$7,"P_PRICE("&amp;AK471&amp;",0,D,D)")</f>
        <v>69.09</v>
      </c>
      <c r="X471" s="24">
        <f t="shared" ca="1" si="126"/>
        <v>-9.5178280853007724E-3</v>
      </c>
      <c r="Y471" s="24">
        <f t="shared" ca="1" si="127"/>
        <v>-7.0952565376902754E-3</v>
      </c>
      <c r="Z471" s="24">
        <f t="shared" ca="1" si="128"/>
        <v>9.109311740890691E-3</v>
      </c>
      <c r="AA471" s="24">
        <f t="shared" ca="1" si="129"/>
        <v>9.4153263954588562E-2</v>
      </c>
      <c r="AB471" s="9" cm="1">
        <f t="array" aca="1" ref="AB471" ca="1">_xll.FDS($E$9,"P_PRICE("&amp;AG471&amp;",0,D,D)")</f>
        <v>5204.34</v>
      </c>
      <c r="AC471" s="9" cm="1">
        <f t="array" aca="1" ref="AC471" ca="1">_xll.FDS($E$9,"P_PRICE("&amp;AH471&amp;",0,D,D)")</f>
        <v>5254.35</v>
      </c>
      <c r="AD471" s="9" cm="1">
        <f t="array" aca="1" ref="AD471" ca="1">_xll.FDS($E$9,"P_PRICE("&amp;AI471&amp;",0,D,D)")</f>
        <v>5241.53</v>
      </c>
      <c r="AE471" s="9" cm="1">
        <f t="array" aca="1" ref="AE471" ca="1">_xll.FDS($E$9,"P_PRICE("&amp;AJ471&amp;",0,D,D)")</f>
        <v>5157.3599999999997</v>
      </c>
      <c r="AF471" s="9" cm="1">
        <f t="array" aca="1" ref="AF471" ca="1">_xll.FDS($E$9,"P_PRICE("&amp;AK471&amp;",0,D,D)")</f>
        <v>4756.5</v>
      </c>
      <c r="AG471" s="20">
        <f t="shared" ref="AG471:AG534" ca="1" si="135">+WORKDAY(D471, 0, $AN$2:$AN$59)</f>
        <v>45387</v>
      </c>
      <c r="AH471" s="22">
        <f t="shared" ca="1" si="130"/>
        <v>45379</v>
      </c>
      <c r="AI471" s="22">
        <f t="shared" ca="1" si="131"/>
        <v>45372</v>
      </c>
      <c r="AJ471" s="22">
        <f t="shared" ca="1" si="132"/>
        <v>45358</v>
      </c>
      <c r="AK471" s="22">
        <f t="shared" ca="1" si="133"/>
        <v>45300</v>
      </c>
      <c r="AL471" s="22">
        <f t="shared" ca="1" si="134"/>
        <v>45211</v>
      </c>
    </row>
    <row r="472" spans="4:38" x14ac:dyDescent="0.25">
      <c r="D472" s="6">
        <f ca="1"/>
        <v>45386</v>
      </c>
      <c r="E472" s="28" cm="1">
        <f t="array" aca="1" ref="E472" ca="1">_xll.FDS($E$7,"P_PRICE("&amp;D472&amp;",0,D,D)")</f>
        <v>84.47</v>
      </c>
      <c r="F472" s="29" cm="1">
        <f t="array" aca="1" ref="F472" ca="1">_xll.FDS($E$7,"P_BETA_LOCIDX("&amp;$AG472&amp;","&amp;$AL472&amp;",,"""&amp;$E$9&amp;""")")</f>
        <v>1.1680964</v>
      </c>
      <c r="G472" s="30">
        <f t="shared" ca="1" si="120"/>
        <v>4.5216660751999371E-3</v>
      </c>
      <c r="H472" s="30">
        <f t="shared" ca="1" si="120"/>
        <v>-1.28255001970419E-3</v>
      </c>
      <c r="I472" s="30">
        <f t="shared" ca="1" si="120"/>
        <v>1.3545012435587518E-2</v>
      </c>
      <c r="J472" s="30">
        <f t="shared" ca="1" si="120"/>
        <v>0.13189764385263375</v>
      </c>
      <c r="K472" s="30">
        <f t="shared" ca="1" si="121"/>
        <v>-2.2540731408843218E-2</v>
      </c>
      <c r="L472" s="30">
        <f t="shared" ca="1" si="121"/>
        <v>-1.7306970138306663E-2</v>
      </c>
      <c r="M472" s="30">
        <f t="shared" ca="1" si="121"/>
        <v>9.7136186970592942E-3</v>
      </c>
      <c r="N472" s="30">
        <f t="shared" ca="1" si="121"/>
        <v>9.4082036844027869E-2</v>
      </c>
      <c r="O472" s="30">
        <f t="shared" ca="1" si="122"/>
        <v>-1.801906533364328E-2</v>
      </c>
      <c r="P472" s="30">
        <f t="shared" ca="1" si="123"/>
        <v>-1.8589520158010853E-2</v>
      </c>
      <c r="Q472" s="30">
        <f t="shared" ca="1" si="124"/>
        <v>2.3258631132646812E-2</v>
      </c>
      <c r="R472" s="30">
        <f t="shared" ca="1" si="125"/>
        <v>0.22597968069666163</v>
      </c>
      <c r="S472" s="9" cm="1">
        <f t="array" aca="1" ref="S472" ca="1">_xll.FDS($E$7,"P_PRICE("&amp;AG472&amp;",0,D,D)")</f>
        <v>84.47</v>
      </c>
      <c r="T472" s="9" cm="1">
        <f t="array" aca="1" ref="T472" ca="1">_xll.FDS($E$7,"P_PRICE("&amp;AH472&amp;",0,D,D)")</f>
        <v>86.02</v>
      </c>
      <c r="U472" s="9" cm="1">
        <f t="array" aca="1" ref="U472" ca="1">_xll.FDS($E$7,"P_PRICE("&amp;AI472&amp;",0,D,D)")</f>
        <v>86.07</v>
      </c>
      <c r="V472" s="9" cm="1">
        <f t="array" aca="1" ref="V472" ca="1">_xll.FDS($E$7,"P_PRICE("&amp;AJ472&amp;",0,D,D)")</f>
        <v>82.55</v>
      </c>
      <c r="W472" s="9" cm="1">
        <f t="array" aca="1" ref="W472" ca="1">_xll.FDS($E$7,"P_PRICE("&amp;AK472&amp;",0,D,D)")</f>
        <v>68.900000000000006</v>
      </c>
      <c r="X472" s="24">
        <f t="shared" ca="1" si="126"/>
        <v>-1.9296978750078519E-2</v>
      </c>
      <c r="Y472" s="24">
        <f t="shared" ca="1" si="127"/>
        <v>-1.4816388560316307E-2</v>
      </c>
      <c r="Z472" s="24">
        <f t="shared" ca="1" si="128"/>
        <v>8.3157680282717195E-3</v>
      </c>
      <c r="AA472" s="24">
        <f t="shared" ca="1" si="129"/>
        <v>8.054304151954228E-2</v>
      </c>
      <c r="AB472" s="9" cm="1">
        <f t="array" aca="1" ref="AB472" ca="1">_xll.FDS($E$9,"P_PRICE("&amp;AG472&amp;",0,D,D)")</f>
        <v>5147.21</v>
      </c>
      <c r="AC472" s="9" cm="1">
        <f t="array" aca="1" ref="AC472" ca="1">_xll.FDS($E$9,"P_PRICE("&amp;AH472&amp;",0,D,D)")</f>
        <v>5248.49</v>
      </c>
      <c r="AD472" s="9" cm="1">
        <f t="array" aca="1" ref="AD472" ca="1">_xll.FDS($E$9,"P_PRICE("&amp;AI472&amp;",0,D,D)")</f>
        <v>5224.62</v>
      </c>
      <c r="AE472" s="9" cm="1">
        <f t="array" aca="1" ref="AE472" ca="1">_xll.FDS($E$9,"P_PRICE("&amp;AJ472&amp;",0,D,D)")</f>
        <v>5104.76</v>
      </c>
      <c r="AF472" s="9" cm="1">
        <f t="array" aca="1" ref="AF472" ca="1">_xll.FDS($E$9,"P_PRICE("&amp;AK472&amp;",0,D,D)")</f>
        <v>4763.54</v>
      </c>
      <c r="AG472" s="20">
        <f t="shared" ca="1" si="135"/>
        <v>45386</v>
      </c>
      <c r="AH472" s="22">
        <f t="shared" ca="1" si="130"/>
        <v>45378</v>
      </c>
      <c r="AI472" s="22">
        <f t="shared" ca="1" si="131"/>
        <v>45371</v>
      </c>
      <c r="AJ472" s="22">
        <f t="shared" ca="1" si="132"/>
        <v>45357</v>
      </c>
      <c r="AK472" s="22">
        <f t="shared" ca="1" si="133"/>
        <v>45299</v>
      </c>
      <c r="AL472" s="22">
        <f t="shared" ca="1" si="134"/>
        <v>45210</v>
      </c>
    </row>
    <row r="473" spans="4:38" x14ac:dyDescent="0.25">
      <c r="D473" s="6">
        <f ca="1"/>
        <v>45385</v>
      </c>
      <c r="E473" s="28" cm="1">
        <f t="array" aca="1" ref="E473" ca="1">_xll.FDS($E$7,"P_PRICE("&amp;D473&amp;",0,D,D)")</f>
        <v>85.49</v>
      </c>
      <c r="F473" s="29" cm="1">
        <f t="array" aca="1" ref="F473" ca="1">_xll.FDS($E$7,"P_BETA_LOCIDX("&amp;$AG473&amp;","&amp;$AL473&amp;",,"""&amp;$E$9&amp;""")")</f>
        <v>1.1723015000000001</v>
      </c>
      <c r="G473" s="30">
        <f t="shared" ca="1" si="120"/>
        <v>-2.1392115823656167E-2</v>
      </c>
      <c r="H473" s="30">
        <f t="shared" ca="1" si="120"/>
        <v>1.9552913309387517E-4</v>
      </c>
      <c r="I473" s="30">
        <f t="shared" ca="1" si="120"/>
        <v>1.6751477882071222E-2</v>
      </c>
      <c r="J473" s="30">
        <f t="shared" ca="1" si="120"/>
        <v>0.15010811422797274</v>
      </c>
      <c r="K473" s="30">
        <f t="shared" ca="1" si="121"/>
        <v>1.7820240805368269E-3</v>
      </c>
      <c r="L473" s="30">
        <f t="shared" ca="1" si="121"/>
        <v>7.4659513006637085E-3</v>
      </c>
      <c r="M473" s="30">
        <f t="shared" ca="1" si="121"/>
        <v>3.0663371419570304E-2</v>
      </c>
      <c r="N473" s="30">
        <f t="shared" ca="1" si="121"/>
        <v>0.12834261105989911</v>
      </c>
      <c r="O473" s="30">
        <f t="shared" ca="1" si="122"/>
        <v>-1.961009174311934E-2</v>
      </c>
      <c r="P473" s="30">
        <f t="shared" ca="1" si="123"/>
        <v>7.6614804337575837E-3</v>
      </c>
      <c r="Q473" s="30">
        <f t="shared" ca="1" si="124"/>
        <v>4.7414849301641526E-2</v>
      </c>
      <c r="R473" s="30">
        <f t="shared" ca="1" si="125"/>
        <v>0.27845072528787185</v>
      </c>
      <c r="S473" s="9" cm="1">
        <f t="array" aca="1" ref="S473" ca="1">_xll.FDS($E$7,"P_PRICE("&amp;AG473&amp;",0,D,D)")</f>
        <v>85.49</v>
      </c>
      <c r="T473" s="9" cm="1">
        <f t="array" aca="1" ref="T473" ca="1">_xll.FDS($E$7,"P_PRICE("&amp;AH473&amp;",0,D,D)")</f>
        <v>87.2</v>
      </c>
      <c r="U473" s="9" cm="1">
        <f t="array" aca="1" ref="U473" ca="1">_xll.FDS($E$7,"P_PRICE("&amp;AI473&amp;",0,D,D)")</f>
        <v>84.84</v>
      </c>
      <c r="V473" s="9" cm="1">
        <f t="array" aca="1" ref="V473" ca="1">_xll.FDS($E$7,"P_PRICE("&amp;AJ473&amp;",0,D,D)")</f>
        <v>81.62</v>
      </c>
      <c r="W473" s="9" cm="1">
        <f t="array" aca="1" ref="W473" ca="1">_xll.FDS($E$7,"P_PRICE("&amp;AK473&amp;",0,D,D)")</f>
        <v>66.87</v>
      </c>
      <c r="X473" s="24">
        <f t="shared" ca="1" si="126"/>
        <v>1.5201073107360408E-3</v>
      </c>
      <c r="Y473" s="24">
        <f t="shared" ca="1" si="127"/>
        <v>6.3686272692338175E-3</v>
      </c>
      <c r="Z473" s="24">
        <f t="shared" ca="1" si="128"/>
        <v>2.6156557352839949E-2</v>
      </c>
      <c r="AA473" s="24">
        <f t="shared" ca="1" si="129"/>
        <v>0.10947918352053554</v>
      </c>
      <c r="AB473" s="9" cm="1">
        <f t="array" aca="1" ref="AB473" ca="1">_xll.FDS($E$9,"P_PRICE("&amp;AG473&amp;",0,D,D)")</f>
        <v>5211.49</v>
      </c>
      <c r="AC473" s="9" cm="1">
        <f t="array" aca="1" ref="AC473" ca="1">_xll.FDS($E$9,"P_PRICE("&amp;AH473&amp;",0,D,D)")</f>
        <v>5203.58</v>
      </c>
      <c r="AD473" s="9" cm="1">
        <f t="array" aca="1" ref="AD473" ca="1">_xll.FDS($E$9,"P_PRICE("&amp;AI473&amp;",0,D,D)")</f>
        <v>5178.51</v>
      </c>
      <c r="AE473" s="9" cm="1">
        <f t="array" aca="1" ref="AE473" ca="1">_xll.FDS($E$9,"P_PRICE("&amp;AJ473&amp;",0,D,D)")</f>
        <v>5078.6499999999996</v>
      </c>
      <c r="AF473" s="9" cm="1">
        <f t="array" aca="1" ref="AF473" ca="1">_xll.FDS($E$9,"P_PRICE("&amp;AK473&amp;",0,D,D)")</f>
        <v>4697.24</v>
      </c>
      <c r="AG473" s="20">
        <f t="shared" ca="1" si="135"/>
        <v>45385</v>
      </c>
      <c r="AH473" s="22">
        <f t="shared" ca="1" si="130"/>
        <v>45377</v>
      </c>
      <c r="AI473" s="22">
        <f t="shared" ca="1" si="131"/>
        <v>45370</v>
      </c>
      <c r="AJ473" s="22">
        <f t="shared" ca="1" si="132"/>
        <v>45356</v>
      </c>
      <c r="AK473" s="22">
        <f t="shared" ca="1" si="133"/>
        <v>45296</v>
      </c>
      <c r="AL473" s="22">
        <f t="shared" ca="1" si="134"/>
        <v>45209</v>
      </c>
    </row>
    <row r="474" spans="4:38" x14ac:dyDescent="0.25">
      <c r="D474" s="6">
        <f ca="1"/>
        <v>45384</v>
      </c>
      <c r="E474" s="28" cm="1">
        <f t="array" aca="1" ref="E474" ca="1">_xll.FDS($E$7,"P_PRICE("&amp;D474&amp;",0,D,D)")</f>
        <v>84.39</v>
      </c>
      <c r="F474" s="29" cm="1">
        <f t="array" aca="1" ref="F474" ca="1">_xll.FDS($E$7,"P_BETA_LOCIDX("&amp;$AG474&amp;","&amp;$AL474&amp;",,"""&amp;$E$9&amp;""")")</f>
        <v>1.1695601</v>
      </c>
      <c r="G474" s="30">
        <f t="shared" ca="1" si="120"/>
        <v>-2.655582638564883E-2</v>
      </c>
      <c r="H474" s="30">
        <f t="shared" ca="1" si="120"/>
        <v>-1.1502384519857529E-2</v>
      </c>
      <c r="I474" s="30">
        <f t="shared" ca="1" si="120"/>
        <v>-6.768051954446859E-3</v>
      </c>
      <c r="J474" s="30">
        <f t="shared" ca="1" si="120"/>
        <v>0.14597136143901354</v>
      </c>
      <c r="K474" s="30">
        <f t="shared" ca="1" si="121"/>
        <v>-2.7747464231848342E-3</v>
      </c>
      <c r="L474" s="30">
        <f t="shared" ca="1" si="121"/>
        <v>1.2807557751940986E-2</v>
      </c>
      <c r="M474" s="30">
        <f t="shared" ca="1" si="121"/>
        <v>1.7063754097389479E-2</v>
      </c>
      <c r="N474" s="30">
        <f t="shared" ca="1" si="121"/>
        <v>0.12899464551067688</v>
      </c>
      <c r="O474" s="30">
        <f t="shared" ca="1" si="122"/>
        <v>-2.9330572808833666E-2</v>
      </c>
      <c r="P474" s="30">
        <f t="shared" ca="1" si="123"/>
        <v>1.3051732320834564E-3</v>
      </c>
      <c r="Q474" s="30">
        <f t="shared" ca="1" si="124"/>
        <v>1.029570214294262E-2</v>
      </c>
      <c r="R474" s="30">
        <f t="shared" ca="1" si="125"/>
        <v>0.27496600694969042</v>
      </c>
      <c r="S474" s="9" cm="1">
        <f t="array" aca="1" ref="S474" ca="1">_xll.FDS($E$7,"P_PRICE("&amp;AG474&amp;",0,D,D)")</f>
        <v>84.39</v>
      </c>
      <c r="T474" s="9" cm="1">
        <f t="array" aca="1" ref="T474" ca="1">_xll.FDS($E$7,"P_PRICE("&amp;AH474&amp;",0,D,D)")</f>
        <v>86.94</v>
      </c>
      <c r="U474" s="9" cm="1">
        <f t="array" aca="1" ref="U474" ca="1">_xll.FDS($E$7,"P_PRICE("&amp;AI474&amp;",0,D,D)")</f>
        <v>84.28</v>
      </c>
      <c r="V474" s="9" cm="1">
        <f t="array" aca="1" ref="V474" ca="1">_xll.FDS($E$7,"P_PRICE("&amp;AJ474&amp;",0,D,D)")</f>
        <v>83.53</v>
      </c>
      <c r="W474" s="9" cm="1">
        <f t="array" aca="1" ref="W474" ca="1">_xll.FDS($E$7,"P_PRICE("&amp;AK474&amp;",0,D,D)")</f>
        <v>66.19</v>
      </c>
      <c r="X474" s="24">
        <f t="shared" ca="1" si="126"/>
        <v>-2.3724701476947052E-3</v>
      </c>
      <c r="Y474" s="24">
        <f t="shared" ca="1" si="127"/>
        <v>1.0950747851214304E-2</v>
      </c>
      <c r="Z474" s="24">
        <f t="shared" ca="1" si="128"/>
        <v>1.4589890760970281E-2</v>
      </c>
      <c r="AA474" s="24">
        <f t="shared" ca="1" si="129"/>
        <v>0.11029330216606814</v>
      </c>
      <c r="AB474" s="9" cm="1">
        <f t="array" aca="1" ref="AB474" ca="1">_xll.FDS($E$9,"P_PRICE("&amp;AG474&amp;",0,D,D)")</f>
        <v>5205.8100000000004</v>
      </c>
      <c r="AC474" s="9" cm="1">
        <f t="array" aca="1" ref="AC474" ca="1">_xll.FDS($E$9,"P_PRICE("&amp;AH474&amp;",0,D,D)")</f>
        <v>5218.1899999999996</v>
      </c>
      <c r="AD474" s="9" cm="1">
        <f t="array" aca="1" ref="AD474" ca="1">_xll.FDS($E$9,"P_PRICE("&amp;AI474&amp;",0,D,D)")</f>
        <v>5149.42</v>
      </c>
      <c r="AE474" s="9" cm="1">
        <f t="array" aca="1" ref="AE474" ca="1">_xll.FDS($E$9,"P_PRICE("&amp;AJ474&amp;",0,D,D)")</f>
        <v>5130.95</v>
      </c>
      <c r="AF474" s="9" cm="1">
        <f t="array" aca="1" ref="AF474" ca="1">_xll.FDS($E$9,"P_PRICE("&amp;AK474&amp;",0,D,D)")</f>
        <v>4688.68</v>
      </c>
      <c r="AG474" s="20">
        <f t="shared" ca="1" si="135"/>
        <v>45384</v>
      </c>
      <c r="AH474" s="22">
        <f t="shared" ca="1" si="130"/>
        <v>45376</v>
      </c>
      <c r="AI474" s="22">
        <f t="shared" ca="1" si="131"/>
        <v>45369</v>
      </c>
      <c r="AJ474" s="22">
        <f t="shared" ca="1" si="132"/>
        <v>45355</v>
      </c>
      <c r="AK474" s="22">
        <f t="shared" ca="1" si="133"/>
        <v>45295</v>
      </c>
      <c r="AL474" s="22">
        <f t="shared" ca="1" si="134"/>
        <v>45208</v>
      </c>
    </row>
    <row r="475" spans="4:38" x14ac:dyDescent="0.25">
      <c r="D475" s="6">
        <f ca="1"/>
        <v>45383</v>
      </c>
      <c r="E475" s="28" cm="1">
        <f t="array" aca="1" ref="E475" ca="1">_xll.FDS($E$7,"P_PRICE("&amp;D475&amp;",0,D,D)")</f>
        <v>84.86</v>
      </c>
      <c r="F475" s="29" cm="1">
        <f t="array" aca="1" ref="F475" ca="1">_xll.FDS($E$7,"P_BETA_LOCIDX("&amp;$AG475&amp;","&amp;$AL475&amp;",,"""&amp;$E$9&amp;""")")</f>
        <v>1.1825858</v>
      </c>
      <c r="G475" s="30">
        <f t="shared" ca="1" si="120"/>
        <v>-1.9308252580565011E-2</v>
      </c>
      <c r="H475" s="30">
        <f t="shared" ca="1" si="120"/>
        <v>-1.1770403910503609E-2</v>
      </c>
      <c r="I475" s="30">
        <f t="shared" ca="1" si="120"/>
        <v>-9.4888903910093497E-3</v>
      </c>
      <c r="J475" s="30">
        <f t="shared" ca="1" si="120"/>
        <v>0.14369668322490367</v>
      </c>
      <c r="K475" s="30">
        <f t="shared" ca="1" si="121"/>
        <v>2.166719108246173E-3</v>
      </c>
      <c r="L475" s="30">
        <f t="shared" ca="1" si="121"/>
        <v>2.9276399114340386E-2</v>
      </c>
      <c r="M475" s="30">
        <f t="shared" ca="1" si="121"/>
        <v>2.4560660725937697E-2</v>
      </c>
      <c r="N475" s="30">
        <f t="shared" ca="1" si="121"/>
        <v>0.13547123959692323</v>
      </c>
      <c r="O475" s="30">
        <f t="shared" ca="1" si="122"/>
        <v>-1.7141533472318837E-2</v>
      </c>
      <c r="P475" s="30">
        <f t="shared" ca="1" si="123"/>
        <v>1.7505995203836777E-2</v>
      </c>
      <c r="Q475" s="30">
        <f t="shared" ca="1" si="124"/>
        <v>1.5071770334928347E-2</v>
      </c>
      <c r="R475" s="30">
        <f t="shared" ca="1" si="125"/>
        <v>0.2791679228218269</v>
      </c>
      <c r="S475" s="9" cm="1">
        <f t="array" aca="1" ref="S475" ca="1">_xll.FDS($E$7,"P_PRICE("&amp;AG475&amp;",0,D,D)")</f>
        <v>84.86</v>
      </c>
      <c r="T475" s="9" cm="1">
        <f t="array" aca="1" ref="T475" ca="1">_xll.FDS($E$7,"P_PRICE("&amp;AH475&amp;",0,D,D)")</f>
        <v>86.34</v>
      </c>
      <c r="U475" s="9" cm="1">
        <f t="array" aca="1" ref="U475" ca="1">_xll.FDS($E$7,"P_PRICE("&amp;AI475&amp;",0,D,D)")</f>
        <v>83.4</v>
      </c>
      <c r="V475" s="9" cm="1">
        <f t="array" aca="1" ref="V475" ca="1">_xll.FDS($E$7,"P_PRICE("&amp;AJ475&amp;",0,D,D)")</f>
        <v>83.6</v>
      </c>
      <c r="W475" s="9" cm="1">
        <f t="array" aca="1" ref="W475" ca="1">_xll.FDS($E$7,"P_PRICE("&amp;AK475&amp;",0,D,D)")</f>
        <v>66.34</v>
      </c>
      <c r="X475" s="24">
        <f t="shared" ca="1" si="126"/>
        <v>1.8321876588118791E-3</v>
      </c>
      <c r="Y475" s="24">
        <f t="shared" ca="1" si="127"/>
        <v>2.4756257951296545E-2</v>
      </c>
      <c r="Z475" s="24">
        <f t="shared" ca="1" si="128"/>
        <v>2.0768607847259535E-2</v>
      </c>
      <c r="AA475" s="24">
        <f t="shared" ca="1" si="129"/>
        <v>0.11455510424437976</v>
      </c>
      <c r="AB475" s="9" cm="1">
        <f t="array" aca="1" ref="AB475" ca="1">_xll.FDS($E$9,"P_PRICE("&amp;AG475&amp;",0,D,D)")</f>
        <v>5243.77</v>
      </c>
      <c r="AC475" s="9" cm="1">
        <f t="array" aca="1" ref="AC475" ca="1">_xll.FDS($E$9,"P_PRICE("&amp;AH475&amp;",0,D,D)")</f>
        <v>5234.18</v>
      </c>
      <c r="AD475" s="9" cm="1">
        <f t="array" aca="1" ref="AD475" ca="1">_xll.FDS($E$9,"P_PRICE("&amp;AI475&amp;",0,D,D)")</f>
        <v>5117.09</v>
      </c>
      <c r="AE475" s="9" cm="1">
        <f t="array" aca="1" ref="AE475" ca="1">_xll.FDS($E$9,"P_PRICE("&amp;AJ475&amp;",0,D,D)")</f>
        <v>5137.08</v>
      </c>
      <c r="AF475" s="9" cm="1">
        <f t="array" aca="1" ref="AF475" ca="1">_xll.FDS($E$9,"P_PRICE("&amp;AK475&amp;",0,D,D)")</f>
        <v>4704.8100000000004</v>
      </c>
      <c r="AG475" s="20">
        <f t="shared" ca="1" si="135"/>
        <v>45383</v>
      </c>
      <c r="AH475" s="22">
        <f t="shared" ca="1" si="130"/>
        <v>45373</v>
      </c>
      <c r="AI475" s="22">
        <f t="shared" ca="1" si="131"/>
        <v>45366</v>
      </c>
      <c r="AJ475" s="22">
        <f t="shared" ca="1" si="132"/>
        <v>45352</v>
      </c>
      <c r="AK475" s="22">
        <f t="shared" ca="1" si="133"/>
        <v>45294</v>
      </c>
      <c r="AL475" s="22">
        <f t="shared" ca="1" si="134"/>
        <v>45205</v>
      </c>
    </row>
    <row r="476" spans="4:38" x14ac:dyDescent="0.25">
      <c r="D476" s="6">
        <f ca="1"/>
        <v>45379</v>
      </c>
      <c r="E476" s="28" cm="1">
        <f t="array" aca="1" ref="E476" ca="1">_xll.FDS($E$7,"P_PRICE("&amp;D476&amp;",0,D,D)")</f>
        <v>86.26</v>
      </c>
      <c r="F476" s="29" cm="1">
        <f t="array" aca="1" ref="F476" ca="1">_xll.FDS($E$7,"P_BETA_LOCIDX("&amp;$AG476&amp;","&amp;$AL476&amp;",,"""&amp;$E$9&amp;""")")</f>
        <v>1.1654608</v>
      </c>
      <c r="G476" s="30">
        <f t="shared" ca="1" si="120"/>
        <v>2.9796807269755476E-3</v>
      </c>
      <c r="H476" s="30">
        <f t="shared" ca="1" si="120"/>
        <v>-3.3998408962158007E-3</v>
      </c>
      <c r="I476" s="30">
        <f t="shared" ca="1" si="120"/>
        <v>-1.3022225374705987E-2</v>
      </c>
      <c r="J476" s="30">
        <f t="shared" ca="1" si="120"/>
        <v>0.13763110639101134</v>
      </c>
      <c r="K476" s="30">
        <f t="shared" ca="1" si="121"/>
        <v>2.8505431536214043E-3</v>
      </c>
      <c r="L476" s="30">
        <f t="shared" ca="1" si="121"/>
        <v>2.3503909013529046E-2</v>
      </c>
      <c r="M476" s="30">
        <f t="shared" ca="1" si="121"/>
        <v>3.6151154327380586E-2</v>
      </c>
      <c r="N476" s="30">
        <f t="shared" ca="1" si="121"/>
        <v>0.12569636871150786</v>
      </c>
      <c r="O476" s="30">
        <f t="shared" ca="1" si="122"/>
        <v>5.830223880596952E-3</v>
      </c>
      <c r="P476" s="30">
        <f t="shared" ca="1" si="123"/>
        <v>2.0104068117313245E-2</v>
      </c>
      <c r="Q476" s="30">
        <f t="shared" ca="1" si="124"/>
        <v>2.3128928952674599E-2</v>
      </c>
      <c r="R476" s="30">
        <f t="shared" ca="1" si="125"/>
        <v>0.26332747510251919</v>
      </c>
      <c r="S476" s="9" cm="1">
        <f t="array" aca="1" ref="S476" ca="1">_xll.FDS($E$7,"P_PRICE("&amp;AG476&amp;",0,D,D)")</f>
        <v>86.26</v>
      </c>
      <c r="T476" s="9" cm="1">
        <f t="array" aca="1" ref="T476" ca="1">_xll.FDS($E$7,"P_PRICE("&amp;AH476&amp;",0,D,D)")</f>
        <v>85.76</v>
      </c>
      <c r="U476" s="9" cm="1">
        <f t="array" aca="1" ref="U476" ca="1">_xll.FDS($E$7,"P_PRICE("&amp;AI476&amp;",0,D,D)")</f>
        <v>84.56</v>
      </c>
      <c r="V476" s="9" cm="1">
        <f t="array" aca="1" ref="V476" ca="1">_xll.FDS($E$7,"P_PRICE("&amp;AJ476&amp;",0,D,D)")</f>
        <v>84.31</v>
      </c>
      <c r="W476" s="9" cm="1">
        <f t="array" aca="1" ref="W476" ca="1">_xll.FDS($E$7,"P_PRICE("&amp;AK476&amp;",0,D,D)")</f>
        <v>68.28</v>
      </c>
      <c r="X476" s="24">
        <f t="shared" ca="1" si="126"/>
        <v>2.4458507344231606E-3</v>
      </c>
      <c r="Y476" s="24">
        <f t="shared" ca="1" si="127"/>
        <v>2.016705239123362E-2</v>
      </c>
      <c r="Z476" s="24">
        <f t="shared" ca="1" si="128"/>
        <v>3.1018764704381807E-2</v>
      </c>
      <c r="AA476" s="24">
        <f t="shared" ca="1" si="129"/>
        <v>0.10785121963047395</v>
      </c>
      <c r="AB476" s="9" cm="1">
        <f t="array" aca="1" ref="AB476" ca="1">_xll.FDS($E$9,"P_PRICE("&amp;AG476&amp;",0,D,D)")</f>
        <v>5254.35</v>
      </c>
      <c r="AC476" s="9" cm="1">
        <f t="array" aca="1" ref="AC476" ca="1">_xll.FDS($E$9,"P_PRICE("&amp;AH476&amp;",0,D,D)")</f>
        <v>5241.53</v>
      </c>
      <c r="AD476" s="9" cm="1">
        <f t="array" aca="1" ref="AD476" ca="1">_xll.FDS($E$9,"P_PRICE("&amp;AI476&amp;",0,D,D)")</f>
        <v>5150.4799999999996</v>
      </c>
      <c r="AE476" s="9" cm="1">
        <f t="array" aca="1" ref="AE476" ca="1">_xll.FDS($E$9,"P_PRICE("&amp;AJ476&amp;",0,D,D)")</f>
        <v>5096.2700000000004</v>
      </c>
      <c r="AF476" s="9" cm="1">
        <f t="array" aca="1" ref="AF476" ca="1">_xll.FDS($E$9,"P_PRICE("&amp;AK476&amp;",0,D,D)")</f>
        <v>4742.83</v>
      </c>
      <c r="AG476" s="20">
        <f t="shared" ca="1" si="135"/>
        <v>45379</v>
      </c>
      <c r="AH476" s="22">
        <f t="shared" ca="1" si="130"/>
        <v>45372</v>
      </c>
      <c r="AI476" s="22">
        <f t="shared" ca="1" si="131"/>
        <v>45365</v>
      </c>
      <c r="AJ476" s="22">
        <f t="shared" ca="1" si="132"/>
        <v>45351</v>
      </c>
      <c r="AK476" s="22">
        <f t="shared" ca="1" si="133"/>
        <v>45293</v>
      </c>
      <c r="AL476" s="22">
        <f t="shared" ca="1" si="134"/>
        <v>45204</v>
      </c>
    </row>
    <row r="477" spans="4:38" x14ac:dyDescent="0.25">
      <c r="D477" s="6">
        <f ca="1"/>
        <v>45378</v>
      </c>
      <c r="E477" s="28" cm="1">
        <f t="array" aca="1" ref="E477" ca="1">_xll.FDS($E$7,"P_PRICE("&amp;D477&amp;",0,D,D)")</f>
        <v>86.02</v>
      </c>
      <c r="F477" s="29" cm="1">
        <f t="array" aca="1" ref="F477" ca="1">_xll.FDS($E$7,"P_BETA_LOCIDX("&amp;$AG477&amp;","&amp;$AL477&amp;",,"""&amp;$E$9&amp;""")")</f>
        <v>1.1743756999999999</v>
      </c>
      <c r="G477" s="30">
        <f t="shared" ca="1" si="120"/>
        <v>-5.94635538981744E-3</v>
      </c>
      <c r="H477" s="30">
        <f t="shared" ca="1" si="120"/>
        <v>-3.4471309133545375E-3</v>
      </c>
      <c r="I477" s="30">
        <f t="shared" ca="1" si="120"/>
        <v>4.3066379143807072E-2</v>
      </c>
      <c r="J477" s="30">
        <f t="shared" ca="1" si="120"/>
        <v>0.12593207054329067</v>
      </c>
      <c r="K477" s="30">
        <f t="shared" ca="1" si="121"/>
        <v>5.3654328848796425E-3</v>
      </c>
      <c r="L477" s="30">
        <f t="shared" ca="1" si="121"/>
        <v>1.8911656943339142E-2</v>
      </c>
      <c r="M477" s="30">
        <f t="shared" ca="1" si="121"/>
        <v>4.1401598667589738E-2</v>
      </c>
      <c r="N477" s="30">
        <f t="shared" ca="1" si="121"/>
        <v>0.1178504627129269</v>
      </c>
      <c r="O477" s="30">
        <f t="shared" ca="1" si="122"/>
        <v>-5.8092250493779751E-4</v>
      </c>
      <c r="P477" s="30">
        <f t="shared" ca="1" si="123"/>
        <v>1.5464526029984604E-2</v>
      </c>
      <c r="Q477" s="30">
        <f t="shared" ca="1" si="124"/>
        <v>8.446797781139681E-2</v>
      </c>
      <c r="R477" s="30">
        <f t="shared" ca="1" si="125"/>
        <v>0.24378253325621757</v>
      </c>
      <c r="S477" s="9" cm="1">
        <f t="array" aca="1" ref="S477" ca="1">_xll.FDS($E$7,"P_PRICE("&amp;AG477&amp;",0,D,D)")</f>
        <v>86.02</v>
      </c>
      <c r="T477" s="9" cm="1">
        <f t="array" aca="1" ref="T477" ca="1">_xll.FDS($E$7,"P_PRICE("&amp;AH477&amp;",0,D,D)")</f>
        <v>86.07</v>
      </c>
      <c r="U477" s="9" cm="1">
        <f t="array" aca="1" ref="U477" ca="1">_xll.FDS($E$7,"P_PRICE("&amp;AI477&amp;",0,D,D)")</f>
        <v>84.71</v>
      </c>
      <c r="V477" s="9" cm="1">
        <f t="array" aca="1" ref="V477" ca="1">_xll.FDS($E$7,"P_PRICE("&amp;AJ477&amp;",0,D,D)")</f>
        <v>79.319999999999993</v>
      </c>
      <c r="W477" s="9" cm="1">
        <f t="array" aca="1" ref="W477" ca="1">_xll.FDS($E$7,"P_PRICE("&amp;AK477&amp;",0,D,D)")</f>
        <v>69.16</v>
      </c>
      <c r="X477" s="24">
        <f t="shared" ca="1" si="126"/>
        <v>4.568753325600694E-3</v>
      </c>
      <c r="Y477" s="24">
        <f t="shared" ca="1" si="127"/>
        <v>1.6103583328009208E-2</v>
      </c>
      <c r="Z477" s="24">
        <f t="shared" ca="1" si="128"/>
        <v>3.5254134317995289E-2</v>
      </c>
      <c r="AA477" s="24">
        <f t="shared" ca="1" si="129"/>
        <v>0.10035158485732198</v>
      </c>
      <c r="AB477" s="9" cm="1">
        <f t="array" aca="1" ref="AB477" ca="1">_xll.FDS($E$9,"P_PRICE("&amp;AG477&amp;",0,D,D)")</f>
        <v>5248.49</v>
      </c>
      <c r="AC477" s="9" cm="1">
        <f t="array" aca="1" ref="AC477" ca="1">_xll.FDS($E$9,"P_PRICE("&amp;AH477&amp;",0,D,D)")</f>
        <v>5224.62</v>
      </c>
      <c r="AD477" s="9" cm="1">
        <f t="array" aca="1" ref="AD477" ca="1">_xll.FDS($E$9,"P_PRICE("&amp;AI477&amp;",0,D,D)")</f>
        <v>5165.3100000000004</v>
      </c>
      <c r="AE477" s="9" cm="1">
        <f t="array" aca="1" ref="AE477" ca="1">_xll.FDS($E$9,"P_PRICE("&amp;AJ477&amp;",0,D,D)")</f>
        <v>5069.76</v>
      </c>
      <c r="AF477" s="9" cm="1">
        <f t="array" aca="1" ref="AF477" ca="1">_xll.FDS($E$9,"P_PRICE("&amp;AK477&amp;",0,D,D)")</f>
        <v>4769.83</v>
      </c>
      <c r="AG477" s="20">
        <f t="shared" ca="1" si="135"/>
        <v>45378</v>
      </c>
      <c r="AH477" s="22">
        <f t="shared" ca="1" si="130"/>
        <v>45371</v>
      </c>
      <c r="AI477" s="22">
        <f t="shared" ca="1" si="131"/>
        <v>45364</v>
      </c>
      <c r="AJ477" s="22">
        <f t="shared" ca="1" si="132"/>
        <v>45350</v>
      </c>
      <c r="AK477" s="22">
        <f t="shared" ca="1" si="133"/>
        <v>45289</v>
      </c>
      <c r="AL477" s="22">
        <f t="shared" ca="1" si="134"/>
        <v>45203</v>
      </c>
    </row>
    <row r="478" spans="4:38" x14ac:dyDescent="0.25">
      <c r="D478" s="6">
        <f ca="1"/>
        <v>45377</v>
      </c>
      <c r="E478" s="28" cm="1">
        <f t="array" aca="1" ref="E478" ca="1">_xll.FDS($E$7,"P_PRICE("&amp;D478&amp;",0,D,D)")</f>
        <v>87.2</v>
      </c>
      <c r="F478" s="29" cm="1">
        <f t="array" aca="1" ref="F478" ca="1">_xll.FDS($E$7,"P_BETA_LOCIDX("&amp;$AG478&amp;","&amp;$AL478&amp;",,"""&amp;$E$9&amp;""")")</f>
        <v>1.1966262999999999</v>
      </c>
      <c r="G478" s="30">
        <f t="shared" ca="1" si="120"/>
        <v>2.2024006996117933E-2</v>
      </c>
      <c r="H478" s="30">
        <f t="shared" ca="1" si="120"/>
        <v>3.3034512657800837E-2</v>
      </c>
      <c r="I478" s="30">
        <f t="shared" ca="1" si="120"/>
        <v>8.3121310888881514E-2</v>
      </c>
      <c r="J478" s="30">
        <f t="shared" ca="1" si="120"/>
        <v>0.16010825696167985</v>
      </c>
      <c r="K478" s="30">
        <f t="shared" ca="1" si="121"/>
        <v>5.7930604249099189E-3</v>
      </c>
      <c r="L478" s="30">
        <f t="shared" ca="1" si="121"/>
        <v>6.5458402272731636E-3</v>
      </c>
      <c r="M478" s="30">
        <f t="shared" ca="1" si="121"/>
        <v>2.9549353906320758E-2</v>
      </c>
      <c r="N478" s="30">
        <f t="shared" ca="1" si="121"/>
        <v>0.10512679817471016</v>
      </c>
      <c r="O478" s="30">
        <f t="shared" ca="1" si="122"/>
        <v>2.7817067421027852E-2</v>
      </c>
      <c r="P478" s="30">
        <f t="shared" ca="1" si="123"/>
        <v>3.9580352885073999E-2</v>
      </c>
      <c r="Q478" s="30">
        <f t="shared" ca="1" si="124"/>
        <v>0.11267066479520227</v>
      </c>
      <c r="R478" s="30">
        <f t="shared" ca="1" si="125"/>
        <v>0.26523505513639001</v>
      </c>
      <c r="S478" s="9" cm="1">
        <f t="array" aca="1" ref="S478" ca="1">_xll.FDS($E$7,"P_PRICE("&amp;AG478&amp;",0,D,D)")</f>
        <v>87.2</v>
      </c>
      <c r="T478" s="9" cm="1">
        <f t="array" aca="1" ref="T478" ca="1">_xll.FDS($E$7,"P_PRICE("&amp;AH478&amp;",0,D,D)")</f>
        <v>84.84</v>
      </c>
      <c r="U478" s="9" cm="1">
        <f t="array" aca="1" ref="U478" ca="1">_xll.FDS($E$7,"P_PRICE("&amp;AI478&amp;",0,D,D)")</f>
        <v>83.88</v>
      </c>
      <c r="V478" s="9" cm="1">
        <f t="array" aca="1" ref="V478" ca="1">_xll.FDS($E$7,"P_PRICE("&amp;AJ478&amp;",0,D,D)")</f>
        <v>78.37</v>
      </c>
      <c r="W478" s="9" cm="1">
        <f t="array" aca="1" ref="W478" ca="1">_xll.FDS($E$7,"P_PRICE("&amp;AK478&amp;",0,D,D)")</f>
        <v>68.92</v>
      </c>
      <c r="X478" s="24">
        <f t="shared" ca="1" si="126"/>
        <v>4.8411608744600709E-3</v>
      </c>
      <c r="Y478" s="24">
        <f t="shared" ca="1" si="127"/>
        <v>5.4702459968272166E-3</v>
      </c>
      <c r="Z478" s="24">
        <f t="shared" ca="1" si="128"/>
        <v>2.4693886392368913E-2</v>
      </c>
      <c r="AA478" s="24">
        <f t="shared" ca="1" si="129"/>
        <v>8.7852655565660021E-2</v>
      </c>
      <c r="AB478" s="9" cm="1">
        <f t="array" aca="1" ref="AB478" ca="1">_xll.FDS($E$9,"P_PRICE("&amp;AG478&amp;",0,D,D)")</f>
        <v>5203.58</v>
      </c>
      <c r="AC478" s="9" cm="1">
        <f t="array" aca="1" ref="AC478" ca="1">_xll.FDS($E$9,"P_PRICE("&amp;AH478&amp;",0,D,D)")</f>
        <v>5178.51</v>
      </c>
      <c r="AD478" s="9" cm="1">
        <f t="array" aca="1" ref="AD478" ca="1">_xll.FDS($E$9,"P_PRICE("&amp;AI478&amp;",0,D,D)")</f>
        <v>5175.2700000000004</v>
      </c>
      <c r="AE478" s="9" cm="1">
        <f t="array" aca="1" ref="AE478" ca="1">_xll.FDS($E$9,"P_PRICE("&amp;AJ478&amp;",0,D,D)")</f>
        <v>5078.18</v>
      </c>
      <c r="AF478" s="9" cm="1">
        <f t="array" aca="1" ref="AF478" ca="1">_xll.FDS($E$9,"P_PRICE("&amp;AK478&amp;",0,D,D)")</f>
        <v>4783.3500000000004</v>
      </c>
      <c r="AG478" s="20">
        <f t="shared" ca="1" si="135"/>
        <v>45377</v>
      </c>
      <c r="AH478" s="22">
        <f t="shared" ca="1" si="130"/>
        <v>45370</v>
      </c>
      <c r="AI478" s="22">
        <f t="shared" ca="1" si="131"/>
        <v>45363</v>
      </c>
      <c r="AJ478" s="22">
        <f t="shared" ca="1" si="132"/>
        <v>45349</v>
      </c>
      <c r="AK478" s="22">
        <f t="shared" ca="1" si="133"/>
        <v>45288</v>
      </c>
      <c r="AL478" s="22">
        <f t="shared" ca="1" si="134"/>
        <v>45202</v>
      </c>
    </row>
    <row r="479" spans="4:38" x14ac:dyDescent="0.25">
      <c r="D479" s="6">
        <f ca="1"/>
        <v>45376</v>
      </c>
      <c r="E479" s="28" cm="1">
        <f t="array" aca="1" ref="E479" ca="1">_xll.FDS($E$7,"P_PRICE("&amp;D479&amp;",0,D,D)")</f>
        <v>86.94</v>
      </c>
      <c r="F479" s="29" cm="1">
        <f t="array" aca="1" ref="F479" ca="1">_xll.FDS($E$7,"P_BETA_LOCIDX("&amp;$AG479&amp;","&amp;$AL479&amp;",,"""&amp;$E$9&amp;""")")</f>
        <v>1.2031254</v>
      </c>
      <c r="G479" s="30">
        <f t="shared" ca="1" si="120"/>
        <v>1.5493839856403711E-2</v>
      </c>
      <c r="H479" s="30">
        <f t="shared" ca="1" si="120"/>
        <v>3.294070229978513E-2</v>
      </c>
      <c r="I479" s="30">
        <f t="shared" ca="1" si="120"/>
        <v>5.940576612991965E-2</v>
      </c>
      <c r="J479" s="30">
        <f t="shared" ca="1" si="120"/>
        <v>0.14959404281681427</v>
      </c>
      <c r="K479" s="30">
        <f t="shared" ca="1" si="121"/>
        <v>1.6067621937616152E-2</v>
      </c>
      <c r="L479" s="30">
        <f t="shared" ca="1" si="121"/>
        <v>2.3566771269299791E-2</v>
      </c>
      <c r="M479" s="30">
        <f t="shared" ca="1" si="121"/>
        <v>3.5280710828025315E-2</v>
      </c>
      <c r="N479" s="30">
        <f t="shared" ca="1" si="121"/>
        <v>0.1098583691779705</v>
      </c>
      <c r="O479" s="30">
        <f t="shared" ca="1" si="122"/>
        <v>3.1561461794019863E-2</v>
      </c>
      <c r="P479" s="30">
        <f t="shared" ca="1" si="123"/>
        <v>5.6507473569084921E-2</v>
      </c>
      <c r="Q479" s="30">
        <f t="shared" ca="1" si="124"/>
        <v>9.4686476957944965E-2</v>
      </c>
      <c r="R479" s="30">
        <f t="shared" ca="1" si="125"/>
        <v>0.25945241199478475</v>
      </c>
      <c r="S479" s="9" cm="1">
        <f t="array" aca="1" ref="S479" ca="1">_xll.FDS($E$7,"P_PRICE("&amp;AG479&amp;",0,D,D)")</f>
        <v>86.94</v>
      </c>
      <c r="T479" s="9" cm="1">
        <f t="array" aca="1" ref="T479" ca="1">_xll.FDS($E$7,"P_PRICE("&amp;AH479&amp;",0,D,D)")</f>
        <v>84.28</v>
      </c>
      <c r="U479" s="9" cm="1">
        <f t="array" aca="1" ref="U479" ca="1">_xll.FDS($E$7,"P_PRICE("&amp;AI479&amp;",0,D,D)")</f>
        <v>82.29</v>
      </c>
      <c r="V479" s="9" cm="1">
        <f t="array" aca="1" ref="V479" ca="1">_xll.FDS($E$7,"P_PRICE("&amp;AJ479&amp;",0,D,D)")</f>
        <v>79.42</v>
      </c>
      <c r="W479" s="9" cm="1">
        <f t="array" aca="1" ref="W479" ca="1">_xll.FDS($E$7,"P_PRICE("&amp;AK479&amp;",0,D,D)")</f>
        <v>69.03</v>
      </c>
      <c r="X479" s="24">
        <f t="shared" ca="1" si="126"/>
        <v>1.3354902105479738E-2</v>
      </c>
      <c r="Y479" s="24">
        <f t="shared" ca="1" si="127"/>
        <v>1.9587959217966633E-2</v>
      </c>
      <c r="Z479" s="24">
        <f t="shared" ca="1" si="128"/>
        <v>2.9324217432385113E-2</v>
      </c>
      <c r="AA479" s="24">
        <f t="shared" ca="1" si="129"/>
        <v>9.1310821945884024E-2</v>
      </c>
      <c r="AB479" s="9" cm="1">
        <f t="array" aca="1" ref="AB479" ca="1">_xll.FDS($E$9,"P_PRICE("&amp;AG479&amp;",0,D,D)")</f>
        <v>5218.1899999999996</v>
      </c>
      <c r="AC479" s="9" cm="1">
        <f t="array" aca="1" ref="AC479" ca="1">_xll.FDS($E$9,"P_PRICE("&amp;AH479&amp;",0,D,D)")</f>
        <v>5149.42</v>
      </c>
      <c r="AD479" s="9" cm="1">
        <f t="array" aca="1" ref="AD479" ca="1">_xll.FDS($E$9,"P_PRICE("&amp;AI479&amp;",0,D,D)")</f>
        <v>5117.9399999999996</v>
      </c>
      <c r="AE479" s="9" cm="1">
        <f t="array" aca="1" ref="AE479" ca="1">_xll.FDS($E$9,"P_PRICE("&amp;AJ479&amp;",0,D,D)")</f>
        <v>5069.53</v>
      </c>
      <c r="AF479" s="9" cm="1">
        <f t="array" aca="1" ref="AF479" ca="1">_xll.FDS($E$9,"P_PRICE("&amp;AK479&amp;",0,D,D)")</f>
        <v>4781.58</v>
      </c>
      <c r="AG479" s="20">
        <f t="shared" ca="1" si="135"/>
        <v>45376</v>
      </c>
      <c r="AH479" s="22">
        <f t="shared" ca="1" si="130"/>
        <v>45369</v>
      </c>
      <c r="AI479" s="22">
        <f t="shared" ca="1" si="131"/>
        <v>45362</v>
      </c>
      <c r="AJ479" s="22">
        <f t="shared" ca="1" si="132"/>
        <v>45348</v>
      </c>
      <c r="AK479" s="22">
        <f t="shared" ca="1" si="133"/>
        <v>45287</v>
      </c>
      <c r="AL479" s="22">
        <f t="shared" ca="1" si="134"/>
        <v>45201</v>
      </c>
    </row>
    <row r="480" spans="4:38" x14ac:dyDescent="0.25">
      <c r="D480" s="6">
        <f ca="1"/>
        <v>45373</v>
      </c>
      <c r="E480" s="28" cm="1">
        <f t="array" aca="1" ref="E480" ca="1">_xll.FDS($E$7,"P_PRICE("&amp;D480&amp;",0,D,D)")</f>
        <v>86.34</v>
      </c>
      <c r="F480" s="29" cm="1">
        <f t="array" aca="1" ref="F480" ca="1">_xll.FDS($E$7,"P_BETA_LOCIDX("&amp;$AG480&amp;","&amp;$AL480&amp;",,"""&amp;$E$9&amp;""")")</f>
        <v>1.2261469</v>
      </c>
      <c r="G480" s="30">
        <f t="shared" ca="1" si="120"/>
        <v>7.194926291755839E-3</v>
      </c>
      <c r="H480" s="30">
        <f t="shared" ca="1" si="120"/>
        <v>3.7252193239146469E-2</v>
      </c>
      <c r="I480" s="30">
        <f t="shared" ca="1" si="120"/>
        <v>5.6224465281741347E-2</v>
      </c>
      <c r="J480" s="30">
        <f t="shared" ca="1" si="120"/>
        <v>0.13586762039831812</v>
      </c>
      <c r="K480" s="30">
        <f t="shared" ca="1" si="121"/>
        <v>2.8056872269395287E-2</v>
      </c>
      <c r="L480" s="30">
        <f t="shared" ca="1" si="121"/>
        <v>2.6441289574701096E-2</v>
      </c>
      <c r="M480" s="30">
        <f t="shared" ca="1" si="121"/>
        <v>3.5029326427055425E-2</v>
      </c>
      <c r="N480" s="30">
        <f t="shared" ca="1" si="121"/>
        <v>0.11798076763537356</v>
      </c>
      <c r="O480" s="30">
        <f t="shared" ca="1" si="122"/>
        <v>3.5251798561151126E-2</v>
      </c>
      <c r="P480" s="30">
        <f t="shared" ca="1" si="123"/>
        <v>6.3693482813847568E-2</v>
      </c>
      <c r="Q480" s="30">
        <f t="shared" ca="1" si="124"/>
        <v>9.1253791708796772E-2</v>
      </c>
      <c r="R480" s="30">
        <f t="shared" ca="1" si="125"/>
        <v>0.2538483880336917</v>
      </c>
      <c r="S480" s="9" cm="1">
        <f t="array" aca="1" ref="S480" ca="1">_xll.FDS($E$7,"P_PRICE("&amp;AG480&amp;",0,D,D)")</f>
        <v>86.34</v>
      </c>
      <c r="T480" s="9" cm="1">
        <f t="array" aca="1" ref="T480" ca="1">_xll.FDS($E$7,"P_PRICE("&amp;AH480&amp;",0,D,D)")</f>
        <v>83.4</v>
      </c>
      <c r="U480" s="9" cm="1">
        <f t="array" aca="1" ref="U480" ca="1">_xll.FDS($E$7,"P_PRICE("&amp;AI480&amp;",0,D,D)")</f>
        <v>81.17</v>
      </c>
      <c r="V480" s="9" cm="1">
        <f t="array" aca="1" ref="V480" ca="1">_xll.FDS($E$7,"P_PRICE("&amp;AJ480&amp;",0,D,D)")</f>
        <v>79.12</v>
      </c>
      <c r="W480" s="9" cm="1">
        <f t="array" aca="1" ref="W480" ca="1">_xll.FDS($E$7,"P_PRICE("&amp;AK480&amp;",0,D,D)")</f>
        <v>68.86</v>
      </c>
      <c r="X480" s="24">
        <f t="shared" ca="1" si="126"/>
        <v>2.2882145907146434E-2</v>
      </c>
      <c r="Y480" s="24">
        <f t="shared" ca="1" si="127"/>
        <v>2.1564536496158082E-2</v>
      </c>
      <c r="Z480" s="24">
        <f t="shared" ca="1" si="128"/>
        <v>2.8568621285961271E-2</v>
      </c>
      <c r="AA480" s="24">
        <f t="shared" ca="1" si="129"/>
        <v>9.6220744541599013E-2</v>
      </c>
      <c r="AB480" s="9" cm="1">
        <f t="array" aca="1" ref="AB480" ca="1">_xll.FDS($E$9,"P_PRICE("&amp;AG480&amp;",0,D,D)")</f>
        <v>5234.18</v>
      </c>
      <c r="AC480" s="9" cm="1">
        <f t="array" aca="1" ref="AC480" ca="1">_xll.FDS($E$9,"P_PRICE("&amp;AH480&amp;",0,D,D)")</f>
        <v>5117.09</v>
      </c>
      <c r="AD480" s="9" cm="1">
        <f t="array" aca="1" ref="AD480" ca="1">_xll.FDS($E$9,"P_PRICE("&amp;AI480&amp;",0,D,D)")</f>
        <v>5123.6899999999996</v>
      </c>
      <c r="AE480" s="9" cm="1">
        <f t="array" aca="1" ref="AE480" ca="1">_xll.FDS($E$9,"P_PRICE("&amp;AJ480&amp;",0,D,D)")</f>
        <v>5088.8</v>
      </c>
      <c r="AF480" s="9" cm="1">
        <f t="array" aca="1" ref="AF480" ca="1">_xll.FDS($E$9,"P_PRICE("&amp;AK480&amp;",0,D,D)")</f>
        <v>4774.75</v>
      </c>
      <c r="AG480" s="20">
        <f t="shared" ca="1" si="135"/>
        <v>45373</v>
      </c>
      <c r="AH480" s="22">
        <f t="shared" ca="1" si="130"/>
        <v>45366</v>
      </c>
      <c r="AI480" s="22">
        <f t="shared" ca="1" si="131"/>
        <v>45359</v>
      </c>
      <c r="AJ480" s="22">
        <f t="shared" ca="1" si="132"/>
        <v>45345</v>
      </c>
      <c r="AK480" s="22">
        <f t="shared" ca="1" si="133"/>
        <v>45286</v>
      </c>
      <c r="AL480" s="22">
        <f t="shared" ca="1" si="134"/>
        <v>45198</v>
      </c>
    </row>
    <row r="481" spans="4:38" x14ac:dyDescent="0.25">
      <c r="D481" s="6">
        <f ca="1"/>
        <v>45372</v>
      </c>
      <c r="E481" s="28" cm="1">
        <f t="array" aca="1" ref="E481" ca="1">_xll.FDS($E$7,"P_PRICE("&amp;D481&amp;",0,D,D)")</f>
        <v>85.76</v>
      </c>
      <c r="F481" s="29" cm="1">
        <f t="array" aca="1" ref="F481" ca="1">_xll.FDS($E$7,"P_BETA_LOCIDX("&amp;$AG481&amp;","&amp;$AL481&amp;",,"""&amp;$E$9&amp;""")")</f>
        <v>1.2211345</v>
      </c>
      <c r="G481" s="30">
        <f t="shared" ca="1" si="120"/>
        <v>-7.3960648184326593E-3</v>
      </c>
      <c r="H481" s="30">
        <f t="shared" ca="1" si="120"/>
        <v>1.8956162611160142E-2</v>
      </c>
      <c r="I481" s="30">
        <f t="shared" ca="1" si="120"/>
        <v>6.0008561825764695E-2</v>
      </c>
      <c r="J481" s="30">
        <f t="shared" ca="1" si="120"/>
        <v>0.13113784103225104</v>
      </c>
      <c r="K481" s="30">
        <f t="shared" ca="1" si="121"/>
        <v>2.1587171724771394E-2</v>
      </c>
      <c r="L481" s="30">
        <f t="shared" ca="1" si="121"/>
        <v>1.9929361313734052E-2</v>
      </c>
      <c r="M481" s="30">
        <f t="shared" ca="1" si="121"/>
        <v>3.7087510836381898E-2</v>
      </c>
      <c r="N481" s="30">
        <f t="shared" ca="1" si="121"/>
        <v>0.12505082163070511</v>
      </c>
      <c r="O481" s="30">
        <f t="shared" ca="1" si="122"/>
        <v>1.4191106906338735E-2</v>
      </c>
      <c r="P481" s="30">
        <f t="shared" ca="1" si="123"/>
        <v>3.8885523924894194E-2</v>
      </c>
      <c r="Q481" s="30">
        <f t="shared" ca="1" si="124"/>
        <v>9.7096072662146593E-2</v>
      </c>
      <c r="R481" s="30">
        <f t="shared" ca="1" si="125"/>
        <v>0.25618866266295615</v>
      </c>
      <c r="S481" s="9" cm="1">
        <f t="array" aca="1" ref="S481" ca="1">_xll.FDS($E$7,"P_PRICE("&amp;AG481&amp;",0,D,D)")</f>
        <v>85.76</v>
      </c>
      <c r="T481" s="9" cm="1">
        <f t="array" aca="1" ref="T481" ca="1">_xll.FDS($E$7,"P_PRICE("&amp;AH481&amp;",0,D,D)")</f>
        <v>84.56</v>
      </c>
      <c r="U481" s="9" cm="1">
        <f t="array" aca="1" ref="U481" ca="1">_xll.FDS($E$7,"P_PRICE("&amp;AI481&amp;",0,D,D)")</f>
        <v>82.55</v>
      </c>
      <c r="V481" s="9" cm="1">
        <f t="array" aca="1" ref="V481" ca="1">_xll.FDS($E$7,"P_PRICE("&amp;AJ481&amp;",0,D,D)")</f>
        <v>78.17</v>
      </c>
      <c r="W481" s="9" cm="1">
        <f t="array" aca="1" ref="W481" ca="1">_xll.FDS($E$7,"P_PRICE("&amp;AK481&amp;",0,D,D)")</f>
        <v>68.27</v>
      </c>
      <c r="X481" s="24">
        <f t="shared" ca="1" si="126"/>
        <v>1.7677963995588852E-2</v>
      </c>
      <c r="Y481" s="24">
        <f t="shared" ca="1" si="127"/>
        <v>1.6320365458296404E-2</v>
      </c>
      <c r="Z481" s="24">
        <f t="shared" ca="1" si="128"/>
        <v>3.0371356174427877E-2</v>
      </c>
      <c r="AA481" s="24">
        <f t="shared" ca="1" si="129"/>
        <v>0.10240544479801783</v>
      </c>
      <c r="AB481" s="9" cm="1">
        <f t="array" aca="1" ref="AB481" ca="1">_xll.FDS($E$9,"P_PRICE("&amp;AG481&amp;",0,D,D)")</f>
        <v>5241.53</v>
      </c>
      <c r="AC481" s="9" cm="1">
        <f t="array" aca="1" ref="AC481" ca="1">_xll.FDS($E$9,"P_PRICE("&amp;AH481&amp;",0,D,D)")</f>
        <v>5150.4799999999996</v>
      </c>
      <c r="AD481" s="9" cm="1">
        <f t="array" aca="1" ref="AD481" ca="1">_xll.FDS($E$9,"P_PRICE("&amp;AI481&amp;",0,D,D)")</f>
        <v>5157.3599999999997</v>
      </c>
      <c r="AE481" s="9" cm="1">
        <f t="array" aca="1" ref="AE481" ca="1">_xll.FDS($E$9,"P_PRICE("&amp;AJ481&amp;",0,D,D)")</f>
        <v>5087.03</v>
      </c>
      <c r="AF481" s="9" cm="1">
        <f t="array" aca="1" ref="AF481" ca="1">_xll.FDS($E$9,"P_PRICE("&amp;AK481&amp;",0,D,D)")</f>
        <v>4754.63</v>
      </c>
      <c r="AG481" s="20">
        <f t="shared" ca="1" si="135"/>
        <v>45372</v>
      </c>
      <c r="AH481" s="22">
        <f t="shared" ca="1" si="130"/>
        <v>45365</v>
      </c>
      <c r="AI481" s="22">
        <f t="shared" ca="1" si="131"/>
        <v>45358</v>
      </c>
      <c r="AJ481" s="22">
        <f t="shared" ca="1" si="132"/>
        <v>45344</v>
      </c>
      <c r="AK481" s="22">
        <f t="shared" ca="1" si="133"/>
        <v>45282</v>
      </c>
      <c r="AL481" s="22">
        <f t="shared" ca="1" si="134"/>
        <v>45197</v>
      </c>
    </row>
    <row r="482" spans="4:38" x14ac:dyDescent="0.25">
      <c r="D482" s="6">
        <f ca="1"/>
        <v>45371</v>
      </c>
      <c r="E482" s="28" cm="1">
        <f t="array" aca="1" ref="E482" ca="1">_xll.FDS($E$7,"P_PRICE("&amp;D482&amp;",0,D,D)")</f>
        <v>86.07</v>
      </c>
      <c r="F482" s="29" cm="1">
        <f t="array" aca="1" ref="F482" ca="1">_xll.FDS($E$7,"P_BETA_LOCIDX("&amp;$AG482&amp;","&amp;$AL482&amp;",,"""&amp;$E$9&amp;""")")</f>
        <v>1.2213233999999999</v>
      </c>
      <c r="G482" s="30">
        <f t="shared" ca="1" si="120"/>
        <v>2.0310880848913044E-3</v>
      </c>
      <c r="H482" s="30">
        <f t="shared" ca="1" si="120"/>
        <v>1.3964094039144979E-2</v>
      </c>
      <c r="I482" s="30">
        <f t="shared" ca="1" si="120"/>
        <v>4.8478173776780514E-2</v>
      </c>
      <c r="J482" s="30">
        <f t="shared" ca="1" si="120"/>
        <v>0.13740582528633685</v>
      </c>
      <c r="K482" s="30">
        <f t="shared" ca="1" si="121"/>
        <v>1.4023687030207259E-2</v>
      </c>
      <c r="L482" s="30">
        <f t="shared" ca="1" si="121"/>
        <v>2.8676729704040917E-2</v>
      </c>
      <c r="M482" s="30">
        <f t="shared" ca="1" si="121"/>
        <v>5.9529035286041171E-2</v>
      </c>
      <c r="N482" s="30">
        <f t="shared" ca="1" si="121"/>
        <v>0.12295440315120862</v>
      </c>
      <c r="O482" s="30">
        <f t="shared" ca="1" si="122"/>
        <v>1.6054775115098563E-2</v>
      </c>
      <c r="P482" s="30">
        <f t="shared" ca="1" si="123"/>
        <v>4.2640823743185896E-2</v>
      </c>
      <c r="Q482" s="30">
        <f t="shared" ca="1" si="124"/>
        <v>0.10800720906282169</v>
      </c>
      <c r="R482" s="30">
        <f t="shared" ca="1" si="125"/>
        <v>0.26036022843754547</v>
      </c>
      <c r="S482" s="9" cm="1">
        <f t="array" aca="1" ref="S482" ca="1">_xll.FDS($E$7,"P_PRICE("&amp;AG482&amp;",0,D,D)")</f>
        <v>86.07</v>
      </c>
      <c r="T482" s="9" cm="1">
        <f t="array" aca="1" ref="T482" ca="1">_xll.FDS($E$7,"P_PRICE("&amp;AH482&amp;",0,D,D)")</f>
        <v>84.71</v>
      </c>
      <c r="U482" s="9" cm="1">
        <f t="array" aca="1" ref="U482" ca="1">_xll.FDS($E$7,"P_PRICE("&amp;AI482&amp;",0,D,D)")</f>
        <v>82.55</v>
      </c>
      <c r="V482" s="9" cm="1">
        <f t="array" aca="1" ref="V482" ca="1">_xll.FDS($E$7,"P_PRICE("&amp;AJ482&amp;",0,D,D)")</f>
        <v>77.680000000000007</v>
      </c>
      <c r="W482" s="9" cm="1">
        <f t="array" aca="1" ref="W482" ca="1">_xll.FDS($E$7,"P_PRICE("&amp;AK482&amp;",0,D,D)")</f>
        <v>68.290000000000006</v>
      </c>
      <c r="X482" s="24">
        <f t="shared" ca="1" si="126"/>
        <v>1.1482369886802513E-2</v>
      </c>
      <c r="Y482" s="24">
        <f t="shared" ca="1" si="127"/>
        <v>2.3480046074644045E-2</v>
      </c>
      <c r="Z482" s="24">
        <f t="shared" ca="1" si="128"/>
        <v>4.8741418764302047E-2</v>
      </c>
      <c r="AA482" s="24">
        <f t="shared" ca="1" si="129"/>
        <v>0.100673092115658</v>
      </c>
      <c r="AB482" s="9" cm="1">
        <f t="array" aca="1" ref="AB482" ca="1">_xll.FDS($E$9,"P_PRICE("&amp;AG482&amp;",0,D,D)")</f>
        <v>5224.62</v>
      </c>
      <c r="AC482" s="9" cm="1">
        <f t="array" aca="1" ref="AC482" ca="1">_xll.FDS($E$9,"P_PRICE("&amp;AH482&amp;",0,D,D)")</f>
        <v>5165.3100000000004</v>
      </c>
      <c r="AD482" s="9" cm="1">
        <f t="array" aca="1" ref="AD482" ca="1">_xll.FDS($E$9,"P_PRICE("&amp;AI482&amp;",0,D,D)")</f>
        <v>5104.76</v>
      </c>
      <c r="AE482" s="9" cm="1">
        <f t="array" aca="1" ref="AE482" ca="1">_xll.FDS($E$9,"P_PRICE("&amp;AJ482&amp;",0,D,D)")</f>
        <v>4981.8</v>
      </c>
      <c r="AF482" s="9" cm="1">
        <f t="array" aca="1" ref="AF482" ca="1">_xll.FDS($E$9,"P_PRICE("&amp;AK482&amp;",0,D,D)")</f>
        <v>4746.75</v>
      </c>
      <c r="AG482" s="20">
        <f t="shared" ca="1" si="135"/>
        <v>45371</v>
      </c>
      <c r="AH482" s="22">
        <f t="shared" ca="1" si="130"/>
        <v>45364</v>
      </c>
      <c r="AI482" s="22">
        <f t="shared" ca="1" si="131"/>
        <v>45357</v>
      </c>
      <c r="AJ482" s="22">
        <f t="shared" ca="1" si="132"/>
        <v>45343</v>
      </c>
      <c r="AK482" s="22">
        <f t="shared" ca="1" si="133"/>
        <v>45281</v>
      </c>
      <c r="AL482" s="22">
        <f t="shared" ca="1" si="134"/>
        <v>45196</v>
      </c>
    </row>
    <row r="483" spans="4:38" x14ac:dyDescent="0.25">
      <c r="D483" s="6">
        <f ca="1"/>
        <v>45370</v>
      </c>
      <c r="E483" s="28" cm="1">
        <f t="array" aca="1" ref="E483" ca="1">_xll.FDS($E$7,"P_PRICE("&amp;D483&amp;",0,D,D)")</f>
        <v>84.84</v>
      </c>
      <c r="F483" s="29" cm="1">
        <f t="array" aca="1" ref="F483" ca="1">_xll.FDS($E$7,"P_BETA_LOCIDX("&amp;$AG483&amp;","&amp;$AL483&amp;",,"""&amp;$E$9&amp;""")")</f>
        <v>1.2026079000000001</v>
      </c>
      <c r="G483" s="30">
        <f t="shared" ca="1" si="120"/>
        <v>1.069202347779255E-2</v>
      </c>
      <c r="H483" s="30">
        <f t="shared" ca="1" si="120"/>
        <v>1.5804589784439462E-2</v>
      </c>
      <c r="I483" s="30">
        <f t="shared" ca="1" si="120"/>
        <v>4.451461277692368E-2</v>
      </c>
      <c r="J483" s="30">
        <f t="shared" ca="1" si="120"/>
        <v>0.14185488024596338</v>
      </c>
      <c r="K483" s="30">
        <f t="shared" ca="1" si="121"/>
        <v>7.528978383734839E-4</v>
      </c>
      <c r="L483" s="30">
        <f t="shared" ca="1" si="121"/>
        <v>2.3646525138373484E-2</v>
      </c>
      <c r="M483" s="30">
        <f t="shared" ca="1" si="121"/>
        <v>4.9066207021993734E-2</v>
      </c>
      <c r="N483" s="30">
        <f t="shared" ca="1" si="121"/>
        <v>0.12290361707067367</v>
      </c>
      <c r="O483" s="30">
        <f t="shared" ca="1" si="122"/>
        <v>1.1444921316166035E-2</v>
      </c>
      <c r="P483" s="30">
        <f t="shared" ca="1" si="123"/>
        <v>3.9451114922812947E-2</v>
      </c>
      <c r="Q483" s="30">
        <f t="shared" ca="1" si="124"/>
        <v>9.3580819798917414E-2</v>
      </c>
      <c r="R483" s="30">
        <f t="shared" ca="1" si="125"/>
        <v>0.26475849731663703</v>
      </c>
      <c r="S483" s="9" cm="1">
        <f t="array" aca="1" ref="S483" ca="1">_xll.FDS($E$7,"P_PRICE("&amp;AG483&amp;",0,D,D)")</f>
        <v>84.84</v>
      </c>
      <c r="T483" s="9" cm="1">
        <f t="array" aca="1" ref="T483" ca="1">_xll.FDS($E$7,"P_PRICE("&amp;AH483&amp;",0,D,D)")</f>
        <v>83.88</v>
      </c>
      <c r="U483" s="9" cm="1">
        <f t="array" aca="1" ref="U483" ca="1">_xll.FDS($E$7,"P_PRICE("&amp;AI483&amp;",0,D,D)")</f>
        <v>81.62</v>
      </c>
      <c r="V483" s="9" cm="1">
        <f t="array" aca="1" ref="V483" ca="1">_xll.FDS($E$7,"P_PRICE("&amp;AJ483&amp;",0,D,D)")</f>
        <v>77.58</v>
      </c>
      <c r="W483" s="9" cm="1">
        <f t="array" aca="1" ref="W483" ca="1">_xll.FDS($E$7,"P_PRICE("&amp;AK483&amp;",0,D,D)")</f>
        <v>67.08</v>
      </c>
      <c r="X483" s="24">
        <f t="shared" ca="1" si="126"/>
        <v>6.2605429281936686E-4</v>
      </c>
      <c r="Y483" s="24">
        <f t="shared" ca="1" si="127"/>
        <v>1.9662705640278499E-2</v>
      </c>
      <c r="Z483" s="24">
        <f t="shared" ca="1" si="128"/>
        <v>4.0799837604587275E-2</v>
      </c>
      <c r="AA483" s="24">
        <f t="shared" ca="1" si="129"/>
        <v>0.10219758000148982</v>
      </c>
      <c r="AB483" s="9" cm="1">
        <f t="array" aca="1" ref="AB483" ca="1">_xll.FDS($E$9,"P_PRICE("&amp;AG483&amp;",0,D,D)")</f>
        <v>5178.51</v>
      </c>
      <c r="AC483" s="9" cm="1">
        <f t="array" aca="1" ref="AC483" ca="1">_xll.FDS($E$9,"P_PRICE("&amp;AH483&amp;",0,D,D)")</f>
        <v>5175.2700000000004</v>
      </c>
      <c r="AD483" s="9" cm="1">
        <f t="array" aca="1" ref="AD483" ca="1">_xll.FDS($E$9,"P_PRICE("&amp;AI483&amp;",0,D,D)")</f>
        <v>5078.6499999999996</v>
      </c>
      <c r="AE483" s="9" cm="1">
        <f t="array" aca="1" ref="AE483" ca="1">_xll.FDS($E$9,"P_PRICE("&amp;AJ483&amp;",0,D,D)")</f>
        <v>4975.51</v>
      </c>
      <c r="AF483" s="9" cm="1">
        <f t="array" aca="1" ref="AF483" ca="1">_xll.FDS($E$9,"P_PRICE("&amp;AK483&amp;",0,D,D)")</f>
        <v>4698.3500000000004</v>
      </c>
      <c r="AG483" s="20">
        <f t="shared" ca="1" si="135"/>
        <v>45370</v>
      </c>
      <c r="AH483" s="22">
        <f t="shared" ca="1" si="130"/>
        <v>45363</v>
      </c>
      <c r="AI483" s="22">
        <f t="shared" ca="1" si="131"/>
        <v>45356</v>
      </c>
      <c r="AJ483" s="22">
        <f t="shared" ca="1" si="132"/>
        <v>45342</v>
      </c>
      <c r="AK483" s="22">
        <f t="shared" ca="1" si="133"/>
        <v>45280</v>
      </c>
      <c r="AL483" s="22">
        <f t="shared" ca="1" si="134"/>
        <v>45195</v>
      </c>
    </row>
    <row r="484" spans="4:38" x14ac:dyDescent="0.25">
      <c r="D484" s="6">
        <f ca="1"/>
        <v>45369</v>
      </c>
      <c r="E484" s="28" cm="1">
        <f t="array" aca="1" ref="E484" ca="1">_xll.FDS($E$7,"P_PRICE("&amp;D484&amp;",0,D,D)")</f>
        <v>84.28</v>
      </c>
      <c r="F484" s="29" cm="1">
        <f t="array" aca="1" ref="F484" ca="1">_xll.FDS($E$7,"P_BETA_LOCIDX("&amp;$AG484&amp;","&amp;$AL484&amp;",,"""&amp;$E$9&amp;""")")</f>
        <v>1.2137144</v>
      </c>
      <c r="G484" s="30">
        <f t="shared" ca="1" si="120"/>
        <v>1.671731744987362E-2</v>
      </c>
      <c r="H484" s="30">
        <f t="shared" ca="1" si="120"/>
        <v>4.6097740661083077E-3</v>
      </c>
      <c r="I484" s="30">
        <f t="shared" ca="1" si="120"/>
        <v>5.1342744052748614E-2</v>
      </c>
      <c r="J484" s="30">
        <f t="shared" ca="1" si="120"/>
        <v>0.13751968434187106</v>
      </c>
      <c r="K484" s="30">
        <f t="shared" ca="1" si="121"/>
        <v>7.4654508087239344E-3</v>
      </c>
      <c r="L484" s="30">
        <f t="shared" ca="1" si="121"/>
        <v>4.3690359422719925E-3</v>
      </c>
      <c r="M484" s="30">
        <f t="shared" ca="1" si="121"/>
        <v>3.4879707294074434E-2</v>
      </c>
      <c r="N484" s="30">
        <f t="shared" ca="1" si="121"/>
        <v>9.6990349347890345E-2</v>
      </c>
      <c r="O484" s="30">
        <f t="shared" ca="1" si="122"/>
        <v>2.4182768258597553E-2</v>
      </c>
      <c r="P484" s="30">
        <f t="shared" ca="1" si="123"/>
        <v>8.9788100083803002E-3</v>
      </c>
      <c r="Q484" s="30">
        <f t="shared" ca="1" si="124"/>
        <v>8.6222451346823048E-2</v>
      </c>
      <c r="R484" s="30">
        <f t="shared" ca="1" si="125"/>
        <v>0.23451003368976142</v>
      </c>
      <c r="S484" s="9" cm="1">
        <f t="array" aca="1" ref="S484" ca="1">_xll.FDS($E$7,"P_PRICE("&amp;AG484&amp;",0,D,D)")</f>
        <v>84.28</v>
      </c>
      <c r="T484" s="9" cm="1">
        <f t="array" aca="1" ref="T484" ca="1">_xll.FDS($E$7,"P_PRICE("&amp;AH484&amp;",0,D,D)")</f>
        <v>82.29</v>
      </c>
      <c r="U484" s="9" cm="1">
        <f t="array" aca="1" ref="U484" ca="1">_xll.FDS($E$7,"P_PRICE("&amp;AI484&amp;",0,D,D)")</f>
        <v>83.53</v>
      </c>
      <c r="V484" s="9" cm="1">
        <f t="array" aca="1" ref="V484" ca="1">_xll.FDS($E$7,"P_PRICE("&amp;AJ484&amp;",0,D,D)")</f>
        <v>77.59</v>
      </c>
      <c r="W484" s="9" cm="1">
        <f t="array" aca="1" ref="W484" ca="1">_xll.FDS($E$7,"P_PRICE("&amp;AK484&amp;",0,D,D)")</f>
        <v>68.27</v>
      </c>
      <c r="X484" s="24">
        <f t="shared" ca="1" si="126"/>
        <v>6.1509122811131967E-3</v>
      </c>
      <c r="Y484" s="24">
        <f t="shared" ca="1" si="127"/>
        <v>3.5997232481315145E-3</v>
      </c>
      <c r="Z484" s="24">
        <f t="shared" ca="1" si="128"/>
        <v>2.8737985883725559E-2</v>
      </c>
      <c r="AA484" s="24">
        <f t="shared" ca="1" si="129"/>
        <v>7.9912003472884852E-2</v>
      </c>
      <c r="AB484" s="9" cm="1">
        <f t="array" aca="1" ref="AB484" ca="1">_xll.FDS($E$9,"P_PRICE("&amp;AG484&amp;",0,D,D)")</f>
        <v>5149.42</v>
      </c>
      <c r="AC484" s="9" cm="1">
        <f t="array" aca="1" ref="AC484" ca="1">_xll.FDS($E$9,"P_PRICE("&amp;AH484&amp;",0,D,D)")</f>
        <v>5117.9399999999996</v>
      </c>
      <c r="AD484" s="9" cm="1">
        <f t="array" aca="1" ref="AD484" ca="1">_xll.FDS($E$9,"P_PRICE("&amp;AI484&amp;",0,D,D)")</f>
        <v>5130.95</v>
      </c>
      <c r="AE484" s="9" cm="1">
        <f t="array" aca="1" ref="AE484" ca="1">_xll.FDS($E$9,"P_PRICE("&amp;AJ484&amp;",0,D,D)")</f>
        <v>5005.57</v>
      </c>
      <c r="AF484" s="9" cm="1">
        <f t="array" aca="1" ref="AF484" ca="1">_xll.FDS($E$9,"P_PRICE("&amp;AK484&amp;",0,D,D)")</f>
        <v>4768.37</v>
      </c>
      <c r="AG484" s="20">
        <f t="shared" ca="1" si="135"/>
        <v>45369</v>
      </c>
      <c r="AH484" s="22">
        <f t="shared" ca="1" si="130"/>
        <v>45362</v>
      </c>
      <c r="AI484" s="22">
        <f t="shared" ca="1" si="131"/>
        <v>45355</v>
      </c>
      <c r="AJ484" s="22">
        <f t="shared" ca="1" si="132"/>
        <v>45338</v>
      </c>
      <c r="AK484" s="22">
        <f t="shared" ca="1" si="133"/>
        <v>45279</v>
      </c>
      <c r="AL484" s="22">
        <f t="shared" ca="1" si="134"/>
        <v>45194</v>
      </c>
    </row>
    <row r="485" spans="4:38" x14ac:dyDescent="0.25">
      <c r="D485" s="6">
        <f ca="1"/>
        <v>45366</v>
      </c>
      <c r="E485" s="28" cm="1">
        <f t="array" aca="1" ref="E485" ca="1">_xll.FDS($E$7,"P_PRICE("&amp;D485&amp;",0,D,D)")</f>
        <v>83.4</v>
      </c>
      <c r="F485" s="29" cm="1">
        <f t="array" aca="1" ref="F485" ca="1">_xll.FDS($E$7,"P_BETA_LOCIDX("&amp;$AG485&amp;","&amp;$AL485&amp;",,"""&amp;$E$9&amp;""")")</f>
        <v>1.2009145999999999</v>
      </c>
      <c r="G485" s="30">
        <f t="shared" ca="1" si="120"/>
        <v>2.9020143478581076E-2</v>
      </c>
      <c r="H485" s="30">
        <f t="shared" ca="1" si="120"/>
        <v>2.2807933266038236E-3</v>
      </c>
      <c r="I485" s="30">
        <f t="shared" ca="1" si="120"/>
        <v>7.4348472521913539E-2</v>
      </c>
      <c r="J485" s="30">
        <f t="shared" ca="1" si="120"/>
        <v>0.15367851659453824</v>
      </c>
      <c r="K485" s="30">
        <f t="shared" ca="1" si="121"/>
        <v>-1.546939092724091E-3</v>
      </c>
      <c r="L485" s="30">
        <f t="shared" ca="1" si="121"/>
        <v>-4.673137824211325E-3</v>
      </c>
      <c r="M485" s="30">
        <f t="shared" ca="1" si="121"/>
        <v>2.085835610579503E-2</v>
      </c>
      <c r="N485" s="30">
        <f t="shared" ca="1" si="121"/>
        <v>9.5385434281603829E-2</v>
      </c>
      <c r="O485" s="30">
        <f t="shared" ca="1" si="122"/>
        <v>2.7473204385856986E-2</v>
      </c>
      <c r="P485" s="30">
        <f t="shared" ca="1" si="123"/>
        <v>-2.3923444976075015E-3</v>
      </c>
      <c r="Q485" s="30">
        <f t="shared" ca="1" si="124"/>
        <v>9.5206828627708573E-2</v>
      </c>
      <c r="R485" s="30">
        <f t="shared" ca="1" si="125"/>
        <v>0.24906395087614208</v>
      </c>
      <c r="S485" s="9" cm="1">
        <f t="array" aca="1" ref="S485" ca="1">_xll.FDS($E$7,"P_PRICE("&amp;AG485&amp;",0,D,D)")</f>
        <v>83.4</v>
      </c>
      <c r="T485" s="9" cm="1">
        <f t="array" aca="1" ref="T485" ca="1">_xll.FDS($E$7,"P_PRICE("&amp;AH485&amp;",0,D,D)")</f>
        <v>81.17</v>
      </c>
      <c r="U485" s="9" cm="1">
        <f t="array" aca="1" ref="U485" ca="1">_xll.FDS($E$7,"P_PRICE("&amp;AI485&amp;",0,D,D)")</f>
        <v>83.6</v>
      </c>
      <c r="V485" s="9" cm="1">
        <f t="array" aca="1" ref="V485" ca="1">_xll.FDS($E$7,"P_PRICE("&amp;AJ485&amp;",0,D,D)")</f>
        <v>76.150000000000006</v>
      </c>
      <c r="W485" s="9" cm="1">
        <f t="array" aca="1" ref="W485" ca="1">_xll.FDS($E$7,"P_PRICE("&amp;AK485&amp;",0,D,D)")</f>
        <v>66.77</v>
      </c>
      <c r="X485" s="24">
        <f t="shared" ca="1" si="126"/>
        <v>-1.2881341377014577E-3</v>
      </c>
      <c r="Y485" s="24">
        <f t="shared" ca="1" si="127"/>
        <v>-3.8913156890684197E-3</v>
      </c>
      <c r="Z485" s="24">
        <f t="shared" ca="1" si="128"/>
        <v>1.7368725557833198E-2</v>
      </c>
      <c r="AA485" s="24">
        <f t="shared" ca="1" si="129"/>
        <v>7.9427325041767194E-2</v>
      </c>
      <c r="AB485" s="9" cm="1">
        <f t="array" aca="1" ref="AB485" ca="1">_xll.FDS($E$9,"P_PRICE("&amp;AG485&amp;",0,D,D)")</f>
        <v>5117.09</v>
      </c>
      <c r="AC485" s="9" cm="1">
        <f t="array" aca="1" ref="AC485" ca="1">_xll.FDS($E$9,"P_PRICE("&amp;AH485&amp;",0,D,D)")</f>
        <v>5123.6899999999996</v>
      </c>
      <c r="AD485" s="9" cm="1">
        <f t="array" aca="1" ref="AD485" ca="1">_xll.FDS($E$9,"P_PRICE("&amp;AI485&amp;",0,D,D)")</f>
        <v>5137.08</v>
      </c>
      <c r="AE485" s="9" cm="1">
        <f t="array" aca="1" ref="AE485" ca="1">_xll.FDS($E$9,"P_PRICE("&amp;AJ485&amp;",0,D,D)")</f>
        <v>5029.7299999999996</v>
      </c>
      <c r="AF485" s="9" cm="1">
        <f t="array" aca="1" ref="AF485" ca="1">_xll.FDS($E$9,"P_PRICE("&amp;AK485&amp;",0,D,D)")</f>
        <v>4740.5600000000004</v>
      </c>
      <c r="AG485" s="20">
        <f t="shared" ca="1" si="135"/>
        <v>45366</v>
      </c>
      <c r="AH485" s="22">
        <f t="shared" ca="1" si="130"/>
        <v>45359</v>
      </c>
      <c r="AI485" s="22">
        <f t="shared" ca="1" si="131"/>
        <v>45352</v>
      </c>
      <c r="AJ485" s="22">
        <f t="shared" ca="1" si="132"/>
        <v>45337</v>
      </c>
      <c r="AK485" s="22">
        <f t="shared" ca="1" si="133"/>
        <v>45278</v>
      </c>
      <c r="AL485" s="22">
        <f t="shared" ca="1" si="134"/>
        <v>45191</v>
      </c>
    </row>
    <row r="486" spans="4:38" x14ac:dyDescent="0.25">
      <c r="D486" s="6">
        <f ca="1"/>
        <v>45365</v>
      </c>
      <c r="E486" s="28" cm="1">
        <f t="array" aca="1" ref="E486" ca="1">_xll.FDS($E$7,"P_PRICE("&amp;D486&amp;",0,D,D)")</f>
        <v>84.56</v>
      </c>
      <c r="F486" s="29" cm="1">
        <f t="array" aca="1" ref="F486" ca="1">_xll.FDS($E$7,"P_BETA_LOCIDX("&amp;$AG486&amp;","&amp;$AL486&amp;",,"""&amp;$E$9&amp;""")")</f>
        <v>1.2177387</v>
      </c>
      <c r="G486" s="30">
        <f t="shared" ca="1" si="120"/>
        <v>2.5973362197689167E-2</v>
      </c>
      <c r="H486" s="30">
        <f t="shared" ca="1" si="120"/>
        <v>-9.9880724649884303E-3</v>
      </c>
      <c r="I486" s="30">
        <f t="shared" ca="1" si="120"/>
        <v>9.4743919076430705E-2</v>
      </c>
      <c r="J486" s="30">
        <f t="shared" ca="1" si="120"/>
        <v>0.15268611150353281</v>
      </c>
      <c r="K486" s="30">
        <f t="shared" ca="1" si="121"/>
        <v>-1.6244827306994521E-3</v>
      </c>
      <c r="L486" s="30">
        <f t="shared" ca="1" si="121"/>
        <v>1.2953319766613493E-2</v>
      </c>
      <c r="M486" s="30">
        <f t="shared" ca="1" si="121"/>
        <v>3.6493539117549212E-2</v>
      </c>
      <c r="N486" s="30">
        <f t="shared" ca="1" si="121"/>
        <v>0.11128997220349249</v>
      </c>
      <c r="O486" s="30">
        <f t="shared" ca="1" si="122"/>
        <v>2.4348879466989715E-2</v>
      </c>
      <c r="P486" s="30">
        <f t="shared" ca="1" si="123"/>
        <v>2.9652473016250624E-3</v>
      </c>
      <c r="Q486" s="30">
        <f t="shared" ca="1" si="124"/>
        <v>0.13123745819397992</v>
      </c>
      <c r="R486" s="30">
        <f t="shared" ca="1" si="125"/>
        <v>0.2639760837070253</v>
      </c>
      <c r="S486" s="9" cm="1">
        <f t="array" aca="1" ref="S486" ca="1">_xll.FDS($E$7,"P_PRICE("&amp;AG486&amp;",0,D,D)")</f>
        <v>84.56</v>
      </c>
      <c r="T486" s="9" cm="1">
        <f t="array" aca="1" ref="T486" ca="1">_xll.FDS($E$7,"P_PRICE("&amp;AH486&amp;",0,D,D)")</f>
        <v>82.55</v>
      </c>
      <c r="U486" s="9" cm="1">
        <f t="array" aca="1" ref="U486" ca="1">_xll.FDS($E$7,"P_PRICE("&amp;AI486&amp;",0,D,D)")</f>
        <v>84.31</v>
      </c>
      <c r="V486" s="9" cm="1">
        <f t="array" aca="1" ref="V486" ca="1">_xll.FDS($E$7,"P_PRICE("&amp;AJ486&amp;",0,D,D)")</f>
        <v>74.75</v>
      </c>
      <c r="W486" s="9" cm="1">
        <f t="array" aca="1" ref="W486" ca="1">_xll.FDS($E$7,"P_PRICE("&amp;AK486&amp;",0,D,D)")</f>
        <v>66.900000000000006</v>
      </c>
      <c r="X486" s="24">
        <f t="shared" ca="1" si="126"/>
        <v>-1.3340158530721347E-3</v>
      </c>
      <c r="Y486" s="24">
        <f t="shared" ca="1" si="127"/>
        <v>1.0637191514578204E-2</v>
      </c>
      <c r="Z486" s="24">
        <f t="shared" ca="1" si="128"/>
        <v>2.9968283932792161E-2</v>
      </c>
      <c r="AA486" s="24">
        <f t="shared" ca="1" si="129"/>
        <v>9.1390683570697462E-2</v>
      </c>
      <c r="AB486" s="9" cm="1">
        <f t="array" aca="1" ref="AB486" ca="1">_xll.FDS($E$9,"P_PRICE("&amp;AG486&amp;",0,D,D)")</f>
        <v>5150.4799999999996</v>
      </c>
      <c r="AC486" s="9" cm="1">
        <f t="array" aca="1" ref="AC486" ca="1">_xll.FDS($E$9,"P_PRICE("&amp;AH486&amp;",0,D,D)")</f>
        <v>5157.3599999999997</v>
      </c>
      <c r="AD486" s="9" cm="1">
        <f t="array" aca="1" ref="AD486" ca="1">_xll.FDS($E$9,"P_PRICE("&amp;AI486&amp;",0,D,D)")</f>
        <v>5096.2700000000004</v>
      </c>
      <c r="AE486" s="9" cm="1">
        <f t="array" aca="1" ref="AE486" ca="1">_xll.FDS($E$9,"P_PRICE("&amp;AJ486&amp;",0,D,D)")</f>
        <v>5000.62</v>
      </c>
      <c r="AF486" s="9" cm="1">
        <f t="array" aca="1" ref="AF486" ca="1">_xll.FDS($E$9,"P_PRICE("&amp;AK486&amp;",0,D,D)")</f>
        <v>4719.1899999999996</v>
      </c>
      <c r="AG486" s="20">
        <f t="shared" ca="1" si="135"/>
        <v>45365</v>
      </c>
      <c r="AH486" s="22">
        <f t="shared" ca="1" si="130"/>
        <v>45358</v>
      </c>
      <c r="AI486" s="22">
        <f t="shared" ca="1" si="131"/>
        <v>45351</v>
      </c>
      <c r="AJ486" s="22">
        <f t="shared" ca="1" si="132"/>
        <v>45336</v>
      </c>
      <c r="AK486" s="22">
        <f t="shared" ca="1" si="133"/>
        <v>45275</v>
      </c>
      <c r="AL486" s="22">
        <f t="shared" ca="1" si="134"/>
        <v>45190</v>
      </c>
    </row>
    <row r="487" spans="4:38" x14ac:dyDescent="0.25">
      <c r="D487" s="6">
        <f ca="1"/>
        <v>45364</v>
      </c>
      <c r="E487" s="28" cm="1">
        <f t="array" aca="1" ref="E487" ca="1">_xll.FDS($E$7,"P_PRICE("&amp;D487&amp;",0,D,D)")</f>
        <v>84.71</v>
      </c>
      <c r="F487" s="29" cm="1">
        <f t="array" aca="1" ref="F487" ca="1">_xll.FDS($E$7,"P_BETA_LOCIDX("&amp;$AG487&amp;","&amp;$AL487&amp;",,"""&amp;$E$9&amp;""")")</f>
        <v>1.1649651999999999</v>
      </c>
      <c r="G487" s="30">
        <f t="shared" ca="1" si="120"/>
        <v>1.2347750576574782E-2</v>
      </c>
      <c r="H487" s="30">
        <f t="shared" ca="1" si="120"/>
        <v>4.5996444346015478E-2</v>
      </c>
      <c r="I487" s="30">
        <f t="shared" ca="1" si="120"/>
        <v>0.11981004654806016</v>
      </c>
      <c r="J487" s="30">
        <f t="shared" ca="1" si="120"/>
        <v>0.14978499246093357</v>
      </c>
      <c r="K487" s="30">
        <f t="shared" ca="1" si="121"/>
        <v>1.3818209447652881E-2</v>
      </c>
      <c r="L487" s="30">
        <f t="shared" ca="1" si="121"/>
        <v>2.1956152729123199E-2</v>
      </c>
      <c r="M487" s="30">
        <f t="shared" ca="1" si="121"/>
        <v>4.9894454970857212E-2</v>
      </c>
      <c r="N487" s="30">
        <f t="shared" ca="1" si="121"/>
        <v>0.11003059349980403</v>
      </c>
      <c r="O487" s="30">
        <f t="shared" ca="1" si="122"/>
        <v>2.6165960024227664E-2</v>
      </c>
      <c r="P487" s="30">
        <f t="shared" ca="1" si="123"/>
        <v>6.7952597075138677E-2</v>
      </c>
      <c r="Q487" s="30">
        <f t="shared" ca="1" si="124"/>
        <v>0.16970450151891736</v>
      </c>
      <c r="R487" s="30">
        <f t="shared" ca="1" si="125"/>
        <v>0.25981558596073762</v>
      </c>
      <c r="S487" s="9" cm="1">
        <f t="array" aca="1" ref="S487" ca="1">_xll.FDS($E$7,"P_PRICE("&amp;AG487&amp;",0,D,D)")</f>
        <v>84.71</v>
      </c>
      <c r="T487" s="9" cm="1">
        <f t="array" aca="1" ref="T487" ca="1">_xll.FDS($E$7,"P_PRICE("&amp;AH487&amp;",0,D,D)")</f>
        <v>82.55</v>
      </c>
      <c r="U487" s="9" cm="1">
        <f t="array" aca="1" ref="U487" ca="1">_xll.FDS($E$7,"P_PRICE("&amp;AI487&amp;",0,D,D)")</f>
        <v>79.319999999999993</v>
      </c>
      <c r="V487" s="9" cm="1">
        <f t="array" aca="1" ref="V487" ca="1">_xll.FDS($E$7,"P_PRICE("&amp;AJ487&amp;",0,D,D)")</f>
        <v>72.42</v>
      </c>
      <c r="W487" s="9" cm="1">
        <f t="array" aca="1" ref="W487" ca="1">_xll.FDS($E$7,"P_PRICE("&amp;AK487&amp;",0,D,D)")</f>
        <v>67.239999999999995</v>
      </c>
      <c r="X487" s="24">
        <f t="shared" ca="1" si="126"/>
        <v>1.1861478306521844E-2</v>
      </c>
      <c r="Y487" s="24">
        <f t="shared" ca="1" si="127"/>
        <v>1.8847046014012436E-2</v>
      </c>
      <c r="Z487" s="24">
        <f t="shared" ca="1" si="128"/>
        <v>4.2829137703733311E-2</v>
      </c>
      <c r="AA487" s="24">
        <f t="shared" ca="1" si="129"/>
        <v>9.4449682702800075E-2</v>
      </c>
      <c r="AB487" s="9" cm="1">
        <f t="array" aca="1" ref="AB487" ca="1">_xll.FDS($E$9,"P_PRICE("&amp;AG487&amp;",0,D,D)")</f>
        <v>5165.3100000000004</v>
      </c>
      <c r="AC487" s="9" cm="1">
        <f t="array" aca="1" ref="AC487" ca="1">_xll.FDS($E$9,"P_PRICE("&amp;AH487&amp;",0,D,D)")</f>
        <v>5104.76</v>
      </c>
      <c r="AD487" s="9" cm="1">
        <f t="array" aca="1" ref="AD487" ca="1">_xll.FDS($E$9,"P_PRICE("&amp;AI487&amp;",0,D,D)")</f>
        <v>5069.76</v>
      </c>
      <c r="AE487" s="9" cm="1">
        <f t="array" aca="1" ref="AE487" ca="1">_xll.FDS($E$9,"P_PRICE("&amp;AJ487&amp;",0,D,D)")</f>
        <v>4953.17</v>
      </c>
      <c r="AF487" s="9" cm="1">
        <f t="array" aca="1" ref="AF487" ca="1">_xll.FDS($E$9,"P_PRICE("&amp;AK487&amp;",0,D,D)")</f>
        <v>4719.55</v>
      </c>
      <c r="AG487" s="20">
        <f t="shared" ca="1" si="135"/>
        <v>45364</v>
      </c>
      <c r="AH487" s="22">
        <f t="shared" ca="1" si="130"/>
        <v>45357</v>
      </c>
      <c r="AI487" s="22">
        <f t="shared" ca="1" si="131"/>
        <v>45350</v>
      </c>
      <c r="AJ487" s="22">
        <f t="shared" ca="1" si="132"/>
        <v>45335</v>
      </c>
      <c r="AK487" s="22">
        <f t="shared" ca="1" si="133"/>
        <v>45274</v>
      </c>
      <c r="AL487" s="22">
        <f t="shared" ca="1" si="134"/>
        <v>45189</v>
      </c>
    </row>
    <row r="488" spans="4:38" x14ac:dyDescent="0.25">
      <c r="D488" s="6">
        <f ca="1"/>
        <v>45363</v>
      </c>
      <c r="E488" s="28" cm="1">
        <f t="array" aca="1" ref="E488" ca="1">_xll.FDS($E$7,"P_PRICE("&amp;D488&amp;",0,D,D)")</f>
        <v>83.88</v>
      </c>
      <c r="F488" s="29" cm="1">
        <f t="array" aca="1" ref="F488" ca="1">_xll.FDS($E$7,"P_BETA_LOCIDX("&amp;$AG488&amp;","&amp;$AL488&amp;",,"""&amp;$E$9&amp;""")")</f>
        <v>1.1680942000000001</v>
      </c>
      <c r="G488" s="30">
        <f t="shared" ca="1" si="120"/>
        <v>5.4666024239530368E-3</v>
      </c>
      <c r="H488" s="30">
        <f t="shared" ca="1" si="120"/>
        <v>4.7974659001637637E-2</v>
      </c>
      <c r="I488" s="30">
        <f t="shared" ca="1" si="120"/>
        <v>0.1002814118036774</v>
      </c>
      <c r="J488" s="30">
        <f t="shared" ca="1" si="120"/>
        <v>0.13314792608278528</v>
      </c>
      <c r="K488" s="30">
        <f t="shared" ca="1" si="121"/>
        <v>2.2222689416282127E-2</v>
      </c>
      <c r="L488" s="30">
        <f t="shared" ca="1" si="121"/>
        <v>2.2332856629343509E-2</v>
      </c>
      <c r="M488" s="30">
        <f t="shared" ca="1" si="121"/>
        <v>3.5688252335000656E-2</v>
      </c>
      <c r="N488" s="30">
        <f t="shared" ca="1" si="121"/>
        <v>0.11618183263035139</v>
      </c>
      <c r="O488" s="30">
        <f t="shared" ca="1" si="122"/>
        <v>2.7689291840235164E-2</v>
      </c>
      <c r="P488" s="30">
        <f t="shared" ca="1" si="123"/>
        <v>7.0307515630981143E-2</v>
      </c>
      <c r="Q488" s="30">
        <f t="shared" ca="1" si="124"/>
        <v>0.13596966413867806</v>
      </c>
      <c r="R488" s="30">
        <f t="shared" ca="1" si="125"/>
        <v>0.24932975871313667</v>
      </c>
      <c r="S488" s="9" cm="1">
        <f t="array" aca="1" ref="S488" ca="1">_xll.FDS($E$7,"P_PRICE("&amp;AG488&amp;",0,D,D)")</f>
        <v>83.88</v>
      </c>
      <c r="T488" s="9" cm="1">
        <f t="array" aca="1" ref="T488" ca="1">_xll.FDS($E$7,"P_PRICE("&amp;AH488&amp;",0,D,D)")</f>
        <v>81.62</v>
      </c>
      <c r="U488" s="9" cm="1">
        <f t="array" aca="1" ref="U488" ca="1">_xll.FDS($E$7,"P_PRICE("&amp;AI488&amp;",0,D,D)")</f>
        <v>78.37</v>
      </c>
      <c r="V488" s="9" cm="1">
        <f t="array" aca="1" ref="V488" ca="1">_xll.FDS($E$7,"P_PRICE("&amp;AJ488&amp;",0,D,D)")</f>
        <v>73.84</v>
      </c>
      <c r="W488" s="9" cm="1">
        <f t="array" aca="1" ref="W488" ca="1">_xll.FDS($E$7,"P_PRICE("&amp;AK488&amp;",0,D,D)")</f>
        <v>67.14</v>
      </c>
      <c r="X488" s="24">
        <f t="shared" ca="1" si="126"/>
        <v>1.9024740826794728E-2</v>
      </c>
      <c r="Y488" s="24">
        <f t="shared" ca="1" si="127"/>
        <v>1.9119054464394658E-2</v>
      </c>
      <c r="Z488" s="24">
        <f t="shared" ca="1" si="128"/>
        <v>3.0552546476988462E-2</v>
      </c>
      <c r="AA488" s="24">
        <f t="shared" ca="1" si="129"/>
        <v>9.946272537809997E-2</v>
      </c>
      <c r="AB488" s="9" cm="1">
        <f t="array" aca="1" ref="AB488" ca="1">_xll.FDS($E$9,"P_PRICE("&amp;AG488&amp;",0,D,D)")</f>
        <v>5175.2700000000004</v>
      </c>
      <c r="AC488" s="9" cm="1">
        <f t="array" aca="1" ref="AC488" ca="1">_xll.FDS($E$9,"P_PRICE("&amp;AH488&amp;",0,D,D)")</f>
        <v>5078.6499999999996</v>
      </c>
      <c r="AD488" s="9" cm="1">
        <f t="array" aca="1" ref="AD488" ca="1">_xll.FDS($E$9,"P_PRICE("&amp;AI488&amp;",0,D,D)")</f>
        <v>5078.18</v>
      </c>
      <c r="AE488" s="9" cm="1">
        <f t="array" aca="1" ref="AE488" ca="1">_xll.FDS($E$9,"P_PRICE("&amp;AJ488&amp;",0,D,D)")</f>
        <v>5021.84</v>
      </c>
      <c r="AF488" s="9" cm="1">
        <f t="array" aca="1" ref="AF488" ca="1">_xll.FDS($E$9,"P_PRICE("&amp;AK488&amp;",0,D,D)")</f>
        <v>4707.09</v>
      </c>
      <c r="AG488" s="20">
        <f t="shared" ca="1" si="135"/>
        <v>45363</v>
      </c>
      <c r="AH488" s="22">
        <f t="shared" ca="1" si="130"/>
        <v>45356</v>
      </c>
      <c r="AI488" s="22">
        <f t="shared" ca="1" si="131"/>
        <v>45349</v>
      </c>
      <c r="AJ488" s="22">
        <f t="shared" ca="1" si="132"/>
        <v>45334</v>
      </c>
      <c r="AK488" s="22">
        <f t="shared" ca="1" si="133"/>
        <v>45273</v>
      </c>
      <c r="AL488" s="22">
        <f t="shared" ca="1" si="134"/>
        <v>45188</v>
      </c>
    </row>
    <row r="489" spans="4:38" x14ac:dyDescent="0.25">
      <c r="D489" s="6">
        <f ca="1"/>
        <v>45362</v>
      </c>
      <c r="E489" s="28" cm="1">
        <f t="array" aca="1" ref="E489" ca="1">_xll.FDS($E$7,"P_PRICE("&amp;D489&amp;",0,D,D)")</f>
        <v>82.29</v>
      </c>
      <c r="F489" s="29" cm="1">
        <f t="array" aca="1" ref="F489" ca="1">_xll.FDS($E$7,"P_BETA_LOCIDX("&amp;$AG489&amp;","&amp;$AL489&amp;",,"""&amp;$E$9&amp;""")")</f>
        <v>1.1642342000000001</v>
      </c>
      <c r="G489" s="30">
        <f t="shared" ca="1" si="120"/>
        <v>-1.1892941997615172E-2</v>
      </c>
      <c r="H489" s="30">
        <f t="shared" ca="1" si="120"/>
        <v>2.5019477844843818E-2</v>
      </c>
      <c r="I489" s="30">
        <f t="shared" ca="1" si="120"/>
        <v>9.40384364937734E-2</v>
      </c>
      <c r="J489" s="30">
        <f t="shared" ca="1" si="120"/>
        <v>0.13494937234479709</v>
      </c>
      <c r="K489" s="30">
        <f t="shared" ca="1" si="121"/>
        <v>-2.9520238829066933E-3</v>
      </c>
      <c r="L489" s="30">
        <f t="shared" ca="1" si="121"/>
        <v>1.1117515355861361E-2</v>
      </c>
      <c r="M489" s="30">
        <f t="shared" ca="1" si="121"/>
        <v>2.1153323907364917E-2</v>
      </c>
      <c r="N489" s="30">
        <f t="shared" ca="1" si="121"/>
        <v>0.1188979535732283</v>
      </c>
      <c r="O489" s="30">
        <f t="shared" ca="1" si="122"/>
        <v>-1.4844965880521865E-2</v>
      </c>
      <c r="P489" s="30">
        <f t="shared" ca="1" si="123"/>
        <v>3.6136993200705181E-2</v>
      </c>
      <c r="Q489" s="30">
        <f t="shared" ca="1" si="124"/>
        <v>0.11519176040113832</v>
      </c>
      <c r="R489" s="30">
        <f t="shared" ca="1" si="125"/>
        <v>0.25384732591802539</v>
      </c>
      <c r="S489" s="9" cm="1">
        <f t="array" aca="1" ref="S489" ca="1">_xll.FDS($E$7,"P_PRICE("&amp;AG489&amp;",0,D,D)")</f>
        <v>82.29</v>
      </c>
      <c r="T489" s="9" cm="1">
        <f t="array" aca="1" ref="T489" ca="1">_xll.FDS($E$7,"P_PRICE("&amp;AH489&amp;",0,D,D)")</f>
        <v>83.53</v>
      </c>
      <c r="U489" s="9" cm="1">
        <f t="array" aca="1" ref="U489" ca="1">_xll.FDS($E$7,"P_PRICE("&amp;AI489&amp;",0,D,D)")</f>
        <v>79.42</v>
      </c>
      <c r="V489" s="9" cm="1">
        <f t="array" aca="1" ref="V489" ca="1">_xll.FDS($E$7,"P_PRICE("&amp;AJ489&amp;",0,D,D)")</f>
        <v>73.790000000000006</v>
      </c>
      <c r="W489" s="9" cm="1">
        <f t="array" aca="1" ref="W489" ca="1">_xll.FDS($E$7,"P_PRICE("&amp;AK489&amp;",0,D,D)")</f>
        <v>65.63</v>
      </c>
      <c r="X489" s="24">
        <f t="shared" ca="1" si="126"/>
        <v>-2.5355928239410019E-3</v>
      </c>
      <c r="Y489" s="24">
        <f t="shared" ca="1" si="127"/>
        <v>9.5492087037654105E-3</v>
      </c>
      <c r="Z489" s="24">
        <f t="shared" ca="1" si="128"/>
        <v>1.8169302969595735E-2</v>
      </c>
      <c r="AA489" s="24">
        <f t="shared" ca="1" si="129"/>
        <v>0.10212546030105307</v>
      </c>
      <c r="AB489" s="9" cm="1">
        <f t="array" aca="1" ref="AB489" ca="1">_xll.FDS($E$9,"P_PRICE("&amp;AG489&amp;",0,D,D)")</f>
        <v>5117.9399999999996</v>
      </c>
      <c r="AC489" s="9" cm="1">
        <f t="array" aca="1" ref="AC489" ca="1">_xll.FDS($E$9,"P_PRICE("&amp;AH489&amp;",0,D,D)")</f>
        <v>5130.95</v>
      </c>
      <c r="AD489" s="9" cm="1">
        <f t="array" aca="1" ref="AD489" ca="1">_xll.FDS($E$9,"P_PRICE("&amp;AI489&amp;",0,D,D)")</f>
        <v>5069.53</v>
      </c>
      <c r="AE489" s="9" cm="1">
        <f t="array" aca="1" ref="AE489" ca="1">_xll.FDS($E$9,"P_PRICE("&amp;AJ489&amp;",0,D,D)")</f>
        <v>5026.6099999999997</v>
      </c>
      <c r="AF489" s="9" cm="1">
        <f t="array" aca="1" ref="AF489" ca="1">_xll.FDS($E$9,"P_PRICE("&amp;AK489&amp;",0,D,D)")</f>
        <v>4643.7</v>
      </c>
      <c r="AG489" s="20">
        <f t="shared" ca="1" si="135"/>
        <v>45362</v>
      </c>
      <c r="AH489" s="22">
        <f t="shared" ca="1" si="130"/>
        <v>45355</v>
      </c>
      <c r="AI489" s="22">
        <f t="shared" ca="1" si="131"/>
        <v>45348</v>
      </c>
      <c r="AJ489" s="22">
        <f t="shared" ca="1" si="132"/>
        <v>45331</v>
      </c>
      <c r="AK489" s="22">
        <f t="shared" ca="1" si="133"/>
        <v>45272</v>
      </c>
      <c r="AL489" s="22">
        <f t="shared" ca="1" si="134"/>
        <v>45187</v>
      </c>
    </row>
    <row r="490" spans="4:38" x14ac:dyDescent="0.25">
      <c r="D490" s="6">
        <f ca="1"/>
        <v>45359</v>
      </c>
      <c r="E490" s="28" cm="1">
        <f t="array" aca="1" ref="E490" ca="1">_xll.FDS($E$7,"P_PRICE("&amp;D490&amp;",0,D,D)")</f>
        <v>81.17</v>
      </c>
      <c r="F490" s="29" cm="1">
        <f t="array" aca="1" ref="F490" ca="1">_xll.FDS($E$7,"P_BETA_LOCIDX("&amp;$AG490&amp;","&amp;$AL490&amp;",,"""&amp;$E$9&amp;""")")</f>
        <v>1.177443</v>
      </c>
      <c r="G490" s="30">
        <f t="shared" ca="1" si="120"/>
        <v>-2.599793440086751E-2</v>
      </c>
      <c r="H490" s="30">
        <f t="shared" ca="1" si="120"/>
        <v>1.7837186209714515E-2</v>
      </c>
      <c r="I490" s="30">
        <f t="shared" ca="1" si="120"/>
        <v>5.770878196996336E-2</v>
      </c>
      <c r="J490" s="30">
        <f t="shared" ca="1" si="120"/>
        <v>0.11459116121856899</v>
      </c>
      <c r="K490" s="30">
        <f t="shared" ca="1" si="121"/>
        <v>-3.0690512450653983E-3</v>
      </c>
      <c r="L490" s="30">
        <f t="shared" ca="1" si="121"/>
        <v>8.0728239015090009E-3</v>
      </c>
      <c r="M490" s="30">
        <f t="shared" ca="1" si="121"/>
        <v>2.9632142343499489E-2</v>
      </c>
      <c r="N490" s="30">
        <f t="shared" ca="1" si="121"/>
        <v>0.12768003559808233</v>
      </c>
      <c r="O490" s="30">
        <f t="shared" ca="1" si="122"/>
        <v>-2.9066985645932908E-2</v>
      </c>
      <c r="P490" s="30">
        <f t="shared" ca="1" si="123"/>
        <v>2.5910010111223514E-2</v>
      </c>
      <c r="Q490" s="30">
        <f t="shared" ca="1" si="124"/>
        <v>8.7340924313462853E-2</v>
      </c>
      <c r="R490" s="30">
        <f t="shared" ca="1" si="125"/>
        <v>0.24227119681665132</v>
      </c>
      <c r="S490" s="9" cm="1">
        <f t="array" aca="1" ref="S490" ca="1">_xll.FDS($E$7,"P_PRICE("&amp;AG490&amp;",0,D,D)")</f>
        <v>81.17</v>
      </c>
      <c r="T490" s="9" cm="1">
        <f t="array" aca="1" ref="T490" ca="1">_xll.FDS($E$7,"P_PRICE("&amp;AH490&amp;",0,D,D)")</f>
        <v>83.6</v>
      </c>
      <c r="U490" s="9" cm="1">
        <f t="array" aca="1" ref="U490" ca="1">_xll.FDS($E$7,"P_PRICE("&amp;AI490&amp;",0,D,D)")</f>
        <v>79.12</v>
      </c>
      <c r="V490" s="9" cm="1">
        <f t="array" aca="1" ref="V490" ca="1">_xll.FDS($E$7,"P_PRICE("&amp;AJ490&amp;",0,D,D)")</f>
        <v>74.650000000000006</v>
      </c>
      <c r="W490" s="9" cm="1">
        <f t="array" aca="1" ref="W490" ca="1">_xll.FDS($E$7,"P_PRICE("&amp;AK490&amp;",0,D,D)")</f>
        <v>65.34</v>
      </c>
      <c r="X490" s="24">
        <f t="shared" ca="1" si="126"/>
        <v>-2.6065391233931479E-3</v>
      </c>
      <c r="Y490" s="24">
        <f t="shared" ca="1" si="127"/>
        <v>6.856233296651304E-3</v>
      </c>
      <c r="Z490" s="24">
        <f t="shared" ca="1" si="128"/>
        <v>2.5166519605194893E-2</v>
      </c>
      <c r="AA490" s="24">
        <f t="shared" ca="1" si="129"/>
        <v>0.108438400498438</v>
      </c>
      <c r="AB490" s="9" cm="1">
        <f t="array" aca="1" ref="AB490" ca="1">_xll.FDS($E$9,"P_PRICE("&amp;AG490&amp;",0,D,D)")</f>
        <v>5123.6899999999996</v>
      </c>
      <c r="AC490" s="9" cm="1">
        <f t="array" aca="1" ref="AC490" ca="1">_xll.FDS($E$9,"P_PRICE("&amp;AH490&amp;",0,D,D)")</f>
        <v>5137.08</v>
      </c>
      <c r="AD490" s="9" cm="1">
        <f t="array" aca="1" ref="AD490" ca="1">_xll.FDS($E$9,"P_PRICE("&amp;AI490&amp;",0,D,D)")</f>
        <v>5088.8</v>
      </c>
      <c r="AE490" s="9" cm="1">
        <f t="array" aca="1" ref="AE490" ca="1">_xll.FDS($E$9,"P_PRICE("&amp;AJ490&amp;",0,D,D)")</f>
        <v>4997.91</v>
      </c>
      <c r="AF490" s="9" cm="1">
        <f t="array" aca="1" ref="AF490" ca="1">_xll.FDS($E$9,"P_PRICE("&amp;AK490&amp;",0,D,D)")</f>
        <v>4622.4399999999996</v>
      </c>
      <c r="AG490" s="20">
        <f t="shared" ca="1" si="135"/>
        <v>45359</v>
      </c>
      <c r="AH490" s="22">
        <f t="shared" ca="1" si="130"/>
        <v>45352</v>
      </c>
      <c r="AI490" s="22">
        <f t="shared" ca="1" si="131"/>
        <v>45345</v>
      </c>
      <c r="AJ490" s="22">
        <f t="shared" ca="1" si="132"/>
        <v>45330</v>
      </c>
      <c r="AK490" s="22">
        <f t="shared" ca="1" si="133"/>
        <v>45271</v>
      </c>
      <c r="AL490" s="22">
        <f t="shared" ca="1" si="134"/>
        <v>45184</v>
      </c>
    </row>
    <row r="491" spans="4:38" x14ac:dyDescent="0.25">
      <c r="D491" s="6">
        <f ca="1"/>
        <v>45358</v>
      </c>
      <c r="E491" s="28" cm="1">
        <f t="array" aca="1" ref="E491" ca="1">_xll.FDS($E$7,"P_PRICE("&amp;D491&amp;",0,D,D)")</f>
        <v>82.55</v>
      </c>
      <c r="F491" s="29" cm="1">
        <f t="array" aca="1" ref="F491" ca="1">_xll.FDS($E$7,"P_BETA_LOCIDX("&amp;$AG491&amp;","&amp;$AL491&amp;",,"""&amp;$E$9&amp;""")")</f>
        <v>1.1861864</v>
      </c>
      <c r="G491" s="30">
        <f t="shared" ca="1" si="120"/>
        <v>-3.5094392815058731E-2</v>
      </c>
      <c r="H491" s="30">
        <f t="shared" ca="1" si="120"/>
        <v>3.9632276634468666E-2</v>
      </c>
      <c r="I491" s="30">
        <f t="shared" ca="1" si="120"/>
        <v>6.6397408111544237E-2</v>
      </c>
      <c r="J491" s="30">
        <f t="shared" ca="1" si="120"/>
        <v>0.12851535839301481</v>
      </c>
      <c r="K491" s="30">
        <f t="shared" ca="1" si="121"/>
        <v>1.4219051811618937E-2</v>
      </c>
      <c r="L491" s="30">
        <f t="shared" ca="1" si="121"/>
        <v>1.6399449091513026E-2</v>
      </c>
      <c r="M491" s="30">
        <f t="shared" ca="1" si="121"/>
        <v>3.8541689733456418E-2</v>
      </c>
      <c r="N491" s="30">
        <f t="shared" ca="1" si="121"/>
        <v>0.14246231674170401</v>
      </c>
      <c r="O491" s="30">
        <f t="shared" ca="1" si="122"/>
        <v>-2.0875341003439796E-2</v>
      </c>
      <c r="P491" s="30">
        <f t="shared" ca="1" si="123"/>
        <v>5.6031725725981696E-2</v>
      </c>
      <c r="Q491" s="30">
        <f t="shared" ca="1" si="124"/>
        <v>0.10493909784500066</v>
      </c>
      <c r="R491" s="30">
        <f t="shared" ca="1" si="125"/>
        <v>0.27097767513471882</v>
      </c>
      <c r="S491" s="9" cm="1">
        <f t="array" aca="1" ref="S491" ca="1">_xll.FDS($E$7,"P_PRICE("&amp;AG491&amp;",0,D,D)")</f>
        <v>82.55</v>
      </c>
      <c r="T491" s="9" cm="1">
        <f t="array" aca="1" ref="T491" ca="1">_xll.FDS($E$7,"P_PRICE("&amp;AH491&amp;",0,D,D)")</f>
        <v>84.31</v>
      </c>
      <c r="U491" s="9" cm="1">
        <f t="array" aca="1" ref="U491" ca="1">_xll.FDS($E$7,"P_PRICE("&amp;AI491&amp;",0,D,D)")</f>
        <v>78.17</v>
      </c>
      <c r="V491" s="9" cm="1">
        <f t="array" aca="1" ref="V491" ca="1">_xll.FDS($E$7,"P_PRICE("&amp;AJ491&amp;",0,D,D)")</f>
        <v>74.709999999999994</v>
      </c>
      <c r="W491" s="9" cm="1">
        <f t="array" aca="1" ref="W491" ca="1">_xll.FDS($E$7,"P_PRICE("&amp;AK491&amp;",0,D,D)")</f>
        <v>64.95</v>
      </c>
      <c r="X491" s="24">
        <f t="shared" ca="1" si="126"/>
        <v>1.1987198480457151E-2</v>
      </c>
      <c r="Y491" s="24">
        <f t="shared" ca="1" si="127"/>
        <v>1.3825355855970889E-2</v>
      </c>
      <c r="Z491" s="24">
        <f t="shared" ca="1" si="128"/>
        <v>3.2492102196970407E-2</v>
      </c>
      <c r="AA491" s="24">
        <f t="shared" ca="1" si="129"/>
        <v>0.12010112132604456</v>
      </c>
      <c r="AB491" s="9" cm="1">
        <f t="array" aca="1" ref="AB491" ca="1">_xll.FDS($E$9,"P_PRICE("&amp;AG491&amp;",0,D,D)")</f>
        <v>5157.3599999999997</v>
      </c>
      <c r="AC491" s="9" cm="1">
        <f t="array" aca="1" ref="AC491" ca="1">_xll.FDS($E$9,"P_PRICE("&amp;AH491&amp;",0,D,D)")</f>
        <v>5096.2700000000004</v>
      </c>
      <c r="AD491" s="9" cm="1">
        <f t="array" aca="1" ref="AD491" ca="1">_xll.FDS($E$9,"P_PRICE("&amp;AI491&amp;",0,D,D)")</f>
        <v>5087.03</v>
      </c>
      <c r="AE491" s="9" cm="1">
        <f t="array" aca="1" ref="AE491" ca="1">_xll.FDS($E$9,"P_PRICE("&amp;AJ491&amp;",0,D,D)")</f>
        <v>4995.0600000000004</v>
      </c>
      <c r="AF491" s="9" cm="1">
        <f t="array" aca="1" ref="AF491" ca="1">_xll.FDS($E$9,"P_PRICE("&amp;AK491&amp;",0,D,D)")</f>
        <v>4604.37</v>
      </c>
      <c r="AG491" s="20">
        <f t="shared" ca="1" si="135"/>
        <v>45358</v>
      </c>
      <c r="AH491" s="22">
        <f t="shared" ca="1" si="130"/>
        <v>45351</v>
      </c>
      <c r="AI491" s="22">
        <f t="shared" ca="1" si="131"/>
        <v>45344</v>
      </c>
      <c r="AJ491" s="22">
        <f t="shared" ca="1" si="132"/>
        <v>45329</v>
      </c>
      <c r="AK491" s="22">
        <f t="shared" ca="1" si="133"/>
        <v>45268</v>
      </c>
      <c r="AL491" s="22">
        <f t="shared" ca="1" si="134"/>
        <v>45183</v>
      </c>
    </row>
    <row r="492" spans="4:38" x14ac:dyDescent="0.25">
      <c r="D492" s="6">
        <f ca="1"/>
        <v>45357</v>
      </c>
      <c r="E492" s="28" cm="1">
        <f t="array" aca="1" ref="E492" ca="1">_xll.FDS($E$7,"P_PRICE("&amp;D492&amp;",0,D,D)")</f>
        <v>82.55</v>
      </c>
      <c r="F492" s="29" cm="1">
        <f t="array" aca="1" ref="F492" ca="1">_xll.FDS($E$7,"P_BETA_LOCIDX("&amp;$AG492&amp;","&amp;$AL492&amp;",,"""&amp;$E$9&amp;""")")</f>
        <v>1.2052909999999999</v>
      </c>
      <c r="G492" s="30">
        <f t="shared" ca="1" si="120"/>
        <v>3.2400186401146606E-2</v>
      </c>
      <c r="H492" s="30">
        <f t="shared" ca="1" si="120"/>
        <v>3.2944297986057358E-2</v>
      </c>
      <c r="I492" s="30">
        <f t="shared" ca="1" si="120"/>
        <v>8.819091864752604E-2</v>
      </c>
      <c r="J492" s="30">
        <f t="shared" ca="1" si="120"/>
        <v>0.15358503236187365</v>
      </c>
      <c r="K492" s="30">
        <f t="shared" ca="1" si="121"/>
        <v>8.3209432004670639E-3</v>
      </c>
      <c r="L492" s="30">
        <f t="shared" ca="1" si="121"/>
        <v>2.9748801910955861E-2</v>
      </c>
      <c r="M492" s="30">
        <f t="shared" ca="1" si="121"/>
        <v>3.6621726126966354E-2</v>
      </c>
      <c r="N492" s="30">
        <f t="shared" ca="1" si="121"/>
        <v>0.13646028721931086</v>
      </c>
      <c r="O492" s="30">
        <f t="shared" ca="1" si="122"/>
        <v>4.072112960161367E-2</v>
      </c>
      <c r="P492" s="30">
        <f t="shared" ca="1" si="123"/>
        <v>6.2693099897013216E-2</v>
      </c>
      <c r="Q492" s="30">
        <f t="shared" ca="1" si="124"/>
        <v>0.12481264477449239</v>
      </c>
      <c r="R492" s="30">
        <f t="shared" ca="1" si="125"/>
        <v>0.29004531958118451</v>
      </c>
      <c r="S492" s="9" cm="1">
        <f t="array" aca="1" ref="S492" ca="1">_xll.FDS($E$7,"P_PRICE("&amp;AG492&amp;",0,D,D)")</f>
        <v>82.55</v>
      </c>
      <c r="T492" s="9" cm="1">
        <f t="array" aca="1" ref="T492" ca="1">_xll.FDS($E$7,"P_PRICE("&amp;AH492&amp;",0,D,D)")</f>
        <v>79.319999999999993</v>
      </c>
      <c r="U492" s="9" cm="1">
        <f t="array" aca="1" ref="U492" ca="1">_xll.FDS($E$7,"P_PRICE("&amp;AI492&amp;",0,D,D)")</f>
        <v>77.680000000000007</v>
      </c>
      <c r="V492" s="9" cm="1">
        <f t="array" aca="1" ref="V492" ca="1">_xll.FDS($E$7,"P_PRICE("&amp;AJ492&amp;",0,D,D)")</f>
        <v>73.39</v>
      </c>
      <c r="W492" s="9" cm="1">
        <f t="array" aca="1" ref="W492" ca="1">_xll.FDS($E$7,"P_PRICE("&amp;AK492&amp;",0,D,D)")</f>
        <v>63.99</v>
      </c>
      <c r="X492" s="24">
        <f t="shared" ca="1" si="126"/>
        <v>6.9036798586126213E-3</v>
      </c>
      <c r="Y492" s="24">
        <f t="shared" ca="1" si="127"/>
        <v>2.4681841904532487E-2</v>
      </c>
      <c r="Z492" s="24">
        <f t="shared" ca="1" si="128"/>
        <v>3.0384136384463467E-2</v>
      </c>
      <c r="AA492" s="24">
        <f t="shared" ca="1" si="129"/>
        <v>0.11321771026192917</v>
      </c>
      <c r="AB492" s="9" cm="1">
        <f t="array" aca="1" ref="AB492" ca="1">_xll.FDS($E$9,"P_PRICE("&amp;AG492&amp;",0,D,D)")</f>
        <v>5104.76</v>
      </c>
      <c r="AC492" s="9" cm="1">
        <f t="array" aca="1" ref="AC492" ca="1">_xll.FDS($E$9,"P_PRICE("&amp;AH492&amp;",0,D,D)")</f>
        <v>5069.76</v>
      </c>
      <c r="AD492" s="9" cm="1">
        <f t="array" aca="1" ref="AD492" ca="1">_xll.FDS($E$9,"P_PRICE("&amp;AI492&amp;",0,D,D)")</f>
        <v>4981.8</v>
      </c>
      <c r="AE492" s="9" cm="1">
        <f t="array" aca="1" ref="AE492" ca="1">_xll.FDS($E$9,"P_PRICE("&amp;AJ492&amp;",0,D,D)")</f>
        <v>4954.2299999999996</v>
      </c>
      <c r="AF492" s="9" cm="1">
        <f t="array" aca="1" ref="AF492" ca="1">_xll.FDS($E$9,"P_PRICE("&amp;AK492&amp;",0,D,D)")</f>
        <v>4585.59</v>
      </c>
      <c r="AG492" s="20">
        <f t="shared" ca="1" si="135"/>
        <v>45357</v>
      </c>
      <c r="AH492" s="22">
        <f t="shared" ca="1" si="130"/>
        <v>45350</v>
      </c>
      <c r="AI492" s="22">
        <f t="shared" ca="1" si="131"/>
        <v>45343</v>
      </c>
      <c r="AJ492" s="22">
        <f t="shared" ca="1" si="132"/>
        <v>45328</v>
      </c>
      <c r="AK492" s="22">
        <f t="shared" ca="1" si="133"/>
        <v>45267</v>
      </c>
      <c r="AL492" s="22">
        <f t="shared" ca="1" si="134"/>
        <v>45182</v>
      </c>
    </row>
    <row r="493" spans="4:38" x14ac:dyDescent="0.25">
      <c r="D493" s="6">
        <f ca="1"/>
        <v>45356</v>
      </c>
      <c r="E493" s="28" cm="1">
        <f t="array" aca="1" ref="E493" ca="1">_xll.FDS($E$7,"P_PRICE("&amp;D493&amp;",0,D,D)")</f>
        <v>81.62</v>
      </c>
      <c r="F493" s="29" cm="1">
        <f t="array" aca="1" ref="F493" ca="1">_xll.FDS($E$7,"P_BETA_LOCIDX("&amp;$AG493&amp;","&amp;$AL493&amp;",,"""&amp;$E$9&amp;""")")</f>
        <v>1.2176986999999999</v>
      </c>
      <c r="G493" s="30">
        <f t="shared" ca="1" si="120"/>
        <v>4.1357248758562143E-2</v>
      </c>
      <c r="H493" s="30">
        <f t="shared" ca="1" si="120"/>
        <v>2.6832951438428624E-2</v>
      </c>
      <c r="I493" s="30">
        <f t="shared" ca="1" si="120"/>
        <v>9.0777210850042644E-2</v>
      </c>
      <c r="J493" s="30">
        <f t="shared" ca="1" si="120"/>
        <v>0.15490687529918898</v>
      </c>
      <c r="K493" s="30">
        <f t="shared" ca="1" si="121"/>
        <v>1.1270147749767606E-4</v>
      </c>
      <c r="L493" s="30">
        <f t="shared" ca="1" si="121"/>
        <v>2.5242325694853126E-2</v>
      </c>
      <c r="M493" s="30">
        <f t="shared" ca="1" si="121"/>
        <v>3.346521339238185E-2</v>
      </c>
      <c r="N493" s="30">
        <f t="shared" ca="1" si="121"/>
        <v>0.14167771564600554</v>
      </c>
      <c r="O493" s="30">
        <f t="shared" ca="1" si="122"/>
        <v>4.1469950236059816E-2</v>
      </c>
      <c r="P493" s="30">
        <f t="shared" ca="1" si="123"/>
        <v>5.207527713328175E-2</v>
      </c>
      <c r="Q493" s="30">
        <f t="shared" ca="1" si="124"/>
        <v>0.12424242424242449</v>
      </c>
      <c r="R493" s="30">
        <f t="shared" ca="1" si="125"/>
        <v>0.29658459094519452</v>
      </c>
      <c r="S493" s="9" cm="1">
        <f t="array" aca="1" ref="S493" ca="1">_xll.FDS($E$7,"P_PRICE("&amp;AG493&amp;",0,D,D)")</f>
        <v>81.62</v>
      </c>
      <c r="T493" s="9" cm="1">
        <f t="array" aca="1" ref="T493" ca="1">_xll.FDS($E$7,"P_PRICE("&amp;AH493&amp;",0,D,D)")</f>
        <v>78.37</v>
      </c>
      <c r="U493" s="9" cm="1">
        <f t="array" aca="1" ref="U493" ca="1">_xll.FDS($E$7,"P_PRICE("&amp;AI493&amp;",0,D,D)")</f>
        <v>77.58</v>
      </c>
      <c r="V493" s="9" cm="1">
        <f t="array" aca="1" ref="V493" ca="1">_xll.FDS($E$7,"P_PRICE("&amp;AJ493&amp;",0,D,D)")</f>
        <v>72.599999999999994</v>
      </c>
      <c r="W493" s="9" cm="1">
        <f t="array" aca="1" ref="W493" ca="1">_xll.FDS($E$7,"P_PRICE("&amp;AK493&amp;",0,D,D)")</f>
        <v>62.95</v>
      </c>
      <c r="X493" s="24">
        <f t="shared" ca="1" si="126"/>
        <v>9.2552843735216328E-5</v>
      </c>
      <c r="Y493" s="24">
        <f t="shared" ca="1" si="127"/>
        <v>2.0729533253877275E-2</v>
      </c>
      <c r="Z493" s="24">
        <f t="shared" ca="1" si="128"/>
        <v>2.7482343039687773E-2</v>
      </c>
      <c r="AA493" s="24">
        <f t="shared" ca="1" si="129"/>
        <v>0.11634874509269455</v>
      </c>
      <c r="AB493" s="9" cm="1">
        <f t="array" aca="1" ref="AB493" ca="1">_xll.FDS($E$9,"P_PRICE("&amp;AG493&amp;",0,D,D)")</f>
        <v>5078.6499999999996</v>
      </c>
      <c r="AC493" s="9" cm="1">
        <f t="array" aca="1" ref="AC493" ca="1">_xll.FDS($E$9,"P_PRICE("&amp;AH493&amp;",0,D,D)")</f>
        <v>5078.18</v>
      </c>
      <c r="AD493" s="9" cm="1">
        <f t="array" aca="1" ref="AD493" ca="1">_xll.FDS($E$9,"P_PRICE("&amp;AI493&amp;",0,D,D)")</f>
        <v>4975.51</v>
      </c>
      <c r="AE493" s="9" cm="1">
        <f t="array" aca="1" ref="AE493" ca="1">_xll.FDS($E$9,"P_PRICE("&amp;AJ493&amp;",0,D,D)")</f>
        <v>4942.8100000000004</v>
      </c>
      <c r="AF493" s="9" cm="1">
        <f t="array" aca="1" ref="AF493" ca="1">_xll.FDS($E$9,"P_PRICE("&amp;AK493&amp;",0,D,D)")</f>
        <v>4549.34</v>
      </c>
      <c r="AG493" s="20">
        <f t="shared" ca="1" si="135"/>
        <v>45356</v>
      </c>
      <c r="AH493" s="22">
        <f t="shared" ca="1" si="130"/>
        <v>45349</v>
      </c>
      <c r="AI493" s="22">
        <f t="shared" ca="1" si="131"/>
        <v>45342</v>
      </c>
      <c r="AJ493" s="22">
        <f t="shared" ca="1" si="132"/>
        <v>45327</v>
      </c>
      <c r="AK493" s="22">
        <f t="shared" ca="1" si="133"/>
        <v>45266</v>
      </c>
      <c r="AL493" s="22">
        <f t="shared" ca="1" si="134"/>
        <v>45181</v>
      </c>
    </row>
    <row r="494" spans="4:38" x14ac:dyDescent="0.25">
      <c r="D494" s="6">
        <f ca="1"/>
        <v>45355</v>
      </c>
      <c r="E494" s="28" cm="1">
        <f t="array" aca="1" ref="E494" ca="1">_xll.FDS($E$7,"P_PRICE("&amp;D494&amp;",0,D,D)")</f>
        <v>83.53</v>
      </c>
      <c r="F494" s="29" cm="1">
        <f t="array" aca="1" ref="F494" ca="1">_xll.FDS($E$7,"P_BETA_LOCIDX("&amp;$AG494&amp;","&amp;$AL494&amp;",,"""&amp;$E$9&amp;""")")</f>
        <v>1.1853461000000001</v>
      </c>
      <c r="G494" s="30">
        <f t="shared" ca="1" si="120"/>
        <v>3.7389102641979463E-2</v>
      </c>
      <c r="H494" s="30">
        <f t="shared" ca="1" si="120"/>
        <v>4.6865593845078109E-2</v>
      </c>
      <c r="I494" s="30">
        <f t="shared" ca="1" si="120"/>
        <v>9.9455195316214301E-2</v>
      </c>
      <c r="J494" s="30">
        <f t="shared" ca="1" si="120"/>
        <v>0.17766319152258669</v>
      </c>
      <c r="K494" s="30">
        <f t="shared" ca="1" si="121"/>
        <v>1.4361086227322918E-2</v>
      </c>
      <c r="L494" s="30">
        <f t="shared" ca="1" si="121"/>
        <v>2.9690663404567323E-2</v>
      </c>
      <c r="M494" s="30">
        <f t="shared" ca="1" si="121"/>
        <v>4.1197542632713656E-2</v>
      </c>
      <c r="N494" s="30">
        <f t="shared" ca="1" si="121"/>
        <v>0.14631842204533207</v>
      </c>
      <c r="O494" s="30">
        <f t="shared" ca="1" si="122"/>
        <v>5.1750188869302383E-2</v>
      </c>
      <c r="P494" s="30">
        <f t="shared" ca="1" si="123"/>
        <v>7.6556257249645432E-2</v>
      </c>
      <c r="Q494" s="30">
        <f t="shared" ca="1" si="124"/>
        <v>0.14065273794892796</v>
      </c>
      <c r="R494" s="30">
        <f t="shared" ca="1" si="125"/>
        <v>0.32398161356791877</v>
      </c>
      <c r="S494" s="9" cm="1">
        <f t="array" aca="1" ref="S494" ca="1">_xll.FDS($E$7,"P_PRICE("&amp;AG494&amp;",0,D,D)")</f>
        <v>83.53</v>
      </c>
      <c r="T494" s="9" cm="1">
        <f t="array" aca="1" ref="T494" ca="1">_xll.FDS($E$7,"P_PRICE("&amp;AH494&amp;",0,D,D)")</f>
        <v>79.42</v>
      </c>
      <c r="U494" s="9" cm="1">
        <f t="array" aca="1" ref="U494" ca="1">_xll.FDS($E$7,"P_PRICE("&amp;AI494&amp;",0,D,D)")</f>
        <v>77.59</v>
      </c>
      <c r="V494" s="9" cm="1">
        <f t="array" aca="1" ref="V494" ca="1">_xll.FDS($E$7,"P_PRICE("&amp;AJ494&amp;",0,D,D)")</f>
        <v>73.23</v>
      </c>
      <c r="W494" s="9" cm="1">
        <f t="array" aca="1" ref="W494" ca="1">_xll.FDS($E$7,"P_PRICE("&amp;AK494&amp;",0,D,D)")</f>
        <v>63.09</v>
      </c>
      <c r="X494" s="24">
        <f t="shared" ca="1" si="126"/>
        <v>1.2115521557225284E-2</v>
      </c>
      <c r="Y494" s="24">
        <f t="shared" ca="1" si="127"/>
        <v>2.5048096420587473E-2</v>
      </c>
      <c r="Z494" s="24">
        <f t="shared" ca="1" si="128"/>
        <v>3.4755707748744147E-2</v>
      </c>
      <c r="AA494" s="24">
        <f t="shared" ca="1" si="129"/>
        <v>0.12343940900074002</v>
      </c>
      <c r="AB494" s="9" cm="1">
        <f t="array" aca="1" ref="AB494" ca="1">_xll.FDS($E$9,"P_PRICE("&amp;AG494&amp;",0,D,D)")</f>
        <v>5130.95</v>
      </c>
      <c r="AC494" s="9" cm="1">
        <f t="array" aca="1" ref="AC494" ca="1">_xll.FDS($E$9,"P_PRICE("&amp;AH494&amp;",0,D,D)")</f>
        <v>5069.53</v>
      </c>
      <c r="AD494" s="9" cm="1">
        <f t="array" aca="1" ref="AD494" ca="1">_xll.FDS($E$9,"P_PRICE("&amp;AI494&amp;",0,D,D)")</f>
        <v>5005.57</v>
      </c>
      <c r="AE494" s="9" cm="1">
        <f t="array" aca="1" ref="AE494" ca="1">_xll.FDS($E$9,"P_PRICE("&amp;AJ494&amp;",0,D,D)")</f>
        <v>4958.6099999999997</v>
      </c>
      <c r="AF494" s="9" cm="1">
        <f t="array" aca="1" ref="AF494" ca="1">_xll.FDS($E$9,"P_PRICE("&amp;AK494&amp;",0,D,D)")</f>
        <v>4567.18</v>
      </c>
      <c r="AG494" s="20">
        <f t="shared" ca="1" si="135"/>
        <v>45355</v>
      </c>
      <c r="AH494" s="22">
        <f t="shared" ca="1" si="130"/>
        <v>45348</v>
      </c>
      <c r="AI494" s="22">
        <f t="shared" ca="1" si="131"/>
        <v>45338</v>
      </c>
      <c r="AJ494" s="22">
        <f t="shared" ca="1" si="132"/>
        <v>45324</v>
      </c>
      <c r="AK494" s="22">
        <f t="shared" ca="1" si="133"/>
        <v>45265</v>
      </c>
      <c r="AL494" s="22">
        <f t="shared" ca="1" si="134"/>
        <v>45180</v>
      </c>
    </row>
    <row r="495" spans="4:38" x14ac:dyDescent="0.25">
      <c r="D495" s="6">
        <f ca="1"/>
        <v>45352</v>
      </c>
      <c r="E495" s="28" cm="1">
        <f t="array" aca="1" ref="E495" ca="1">_xll.FDS($E$7,"P_PRICE("&amp;D495&amp;",0,D,D)")</f>
        <v>83.6</v>
      </c>
      <c r="F495" s="29" cm="1">
        <f t="array" aca="1" ref="F495" ca="1">_xll.FDS($E$7,"P_BETA_LOCIDX("&amp;$AG495&amp;","&amp;$AL495&amp;",,"""&amp;$E$9&amp;""")")</f>
        <v>1.1845011999999999</v>
      </c>
      <c r="G495" s="30">
        <f t="shared" ca="1" si="120"/>
        <v>4.5384893902352112E-2</v>
      </c>
      <c r="H495" s="30">
        <f t="shared" ca="1" si="120"/>
        <v>7.2552303488961953E-2</v>
      </c>
      <c r="I495" s="30">
        <f t="shared" ca="1" si="120"/>
        <v>8.6332741877483271E-2</v>
      </c>
      <c r="J495" s="30">
        <f t="shared" ca="1" si="120"/>
        <v>0.18078126607711437</v>
      </c>
      <c r="K495" s="30">
        <f t="shared" ca="1" si="121"/>
        <v>1.1237957462662989E-2</v>
      </c>
      <c r="L495" s="30">
        <f t="shared" ca="1" si="121"/>
        <v>2.5280920411234933E-2</v>
      </c>
      <c r="M495" s="30">
        <f t="shared" ca="1" si="121"/>
        <v>5.5743760854757109E-2</v>
      </c>
      <c r="N495" s="30">
        <f t="shared" ca="1" si="121"/>
        <v>0.14704592579073822</v>
      </c>
      <c r="O495" s="30">
        <f t="shared" ca="1" si="122"/>
        <v>5.6622851365015103E-2</v>
      </c>
      <c r="P495" s="30">
        <f t="shared" ca="1" si="123"/>
        <v>9.7833223900196886E-2</v>
      </c>
      <c r="Q495" s="30">
        <f t="shared" ca="1" si="124"/>
        <v>0.14207650273224037</v>
      </c>
      <c r="R495" s="30">
        <f t="shared" ca="1" si="125"/>
        <v>0.32782719186785259</v>
      </c>
      <c r="S495" s="9" cm="1">
        <f t="array" aca="1" ref="S495" ca="1">_xll.FDS($E$7,"P_PRICE("&amp;AG495&amp;",0,D,D)")</f>
        <v>83.6</v>
      </c>
      <c r="T495" s="9" cm="1">
        <f t="array" aca="1" ref="T495" ca="1">_xll.FDS($E$7,"P_PRICE("&amp;AH495&amp;",0,D,D)")</f>
        <v>79.12</v>
      </c>
      <c r="U495" s="9" cm="1">
        <f t="array" aca="1" ref="U495" ca="1">_xll.FDS($E$7,"P_PRICE("&amp;AI495&amp;",0,D,D)")</f>
        <v>76.150000000000006</v>
      </c>
      <c r="V495" s="9" cm="1">
        <f t="array" aca="1" ref="V495" ca="1">_xll.FDS($E$7,"P_PRICE("&amp;AJ495&amp;",0,D,D)")</f>
        <v>73.2</v>
      </c>
      <c r="W495" s="9" cm="1">
        <f t="array" aca="1" ref="W495" ca="1">_xll.FDS($E$7,"P_PRICE("&amp;AK495&amp;",0,D,D)")</f>
        <v>62.96</v>
      </c>
      <c r="X495" s="24">
        <f t="shared" ca="1" si="126"/>
        <v>9.4875019650997316E-3</v>
      </c>
      <c r="Y495" s="24">
        <f t="shared" ca="1" si="127"/>
        <v>2.1343093963294368E-2</v>
      </c>
      <c r="Z495" s="24">
        <f t="shared" ca="1" si="128"/>
        <v>4.7060957688145111E-2</v>
      </c>
      <c r="AA495" s="24">
        <f t="shared" ca="1" si="129"/>
        <v>0.12414164358021607</v>
      </c>
      <c r="AB495" s="9" cm="1">
        <f t="array" aca="1" ref="AB495" ca="1">_xll.FDS($E$9,"P_PRICE("&amp;AG495&amp;",0,D,D)")</f>
        <v>5137.08</v>
      </c>
      <c r="AC495" s="9" cm="1">
        <f t="array" aca="1" ref="AC495" ca="1">_xll.FDS($E$9,"P_PRICE("&amp;AH495&amp;",0,D,D)")</f>
        <v>5088.8</v>
      </c>
      <c r="AD495" s="9" cm="1">
        <f t="array" aca="1" ref="AD495" ca="1">_xll.FDS($E$9,"P_PRICE("&amp;AI495&amp;",0,D,D)")</f>
        <v>5029.7299999999996</v>
      </c>
      <c r="AE495" s="9" cm="1">
        <f t="array" aca="1" ref="AE495" ca="1">_xll.FDS($E$9,"P_PRICE("&amp;AJ495&amp;",0,D,D)")</f>
        <v>4906.1899999999996</v>
      </c>
      <c r="AF495" s="9" cm="1">
        <f t="array" aca="1" ref="AF495" ca="1">_xll.FDS($E$9,"P_PRICE("&amp;AK495&amp;",0,D,D)")</f>
        <v>4569.78</v>
      </c>
      <c r="AG495" s="20">
        <f t="shared" ca="1" si="135"/>
        <v>45352</v>
      </c>
      <c r="AH495" s="22">
        <f t="shared" ca="1" si="130"/>
        <v>45345</v>
      </c>
      <c r="AI495" s="22">
        <f t="shared" ca="1" si="131"/>
        <v>45337</v>
      </c>
      <c r="AJ495" s="22">
        <f t="shared" ca="1" si="132"/>
        <v>45323</v>
      </c>
      <c r="AK495" s="22">
        <f t="shared" ca="1" si="133"/>
        <v>45264</v>
      </c>
      <c r="AL495" s="22">
        <f t="shared" ca="1" si="134"/>
        <v>45177</v>
      </c>
    </row>
    <row r="496" spans="4:38" x14ac:dyDescent="0.25">
      <c r="D496" s="6">
        <f ca="1"/>
        <v>45351</v>
      </c>
      <c r="E496" s="28" cm="1">
        <f t="array" aca="1" ref="E496" ca="1">_xll.FDS($E$7,"P_PRICE("&amp;D496&amp;",0,D,D)")</f>
        <v>84.31</v>
      </c>
      <c r="F496" s="29" cm="1">
        <f t="array" aca="1" ref="F496" ca="1">_xll.FDS($E$7,"P_BETA_LOCIDX("&amp;$AG496&amp;","&amp;$AL496&amp;",,"""&amp;$E$9&amp;""")")</f>
        <v>1.2046798000000001</v>
      </c>
      <c r="G496" s="30">
        <f t="shared" ca="1" si="120"/>
        <v>7.6358595930290443E-2</v>
      </c>
      <c r="H496" s="30">
        <f t="shared" ca="1" si="120"/>
        <v>0.10485030930537162</v>
      </c>
      <c r="I496" s="30">
        <f t="shared" ca="1" si="120"/>
        <v>0.11258173666710683</v>
      </c>
      <c r="J496" s="30">
        <f t="shared" ca="1" si="120"/>
        <v>0.17580797651608421</v>
      </c>
      <c r="K496" s="30">
        <f t="shared" ca="1" si="121"/>
        <v>2.1881611376383483E-3</v>
      </c>
      <c r="L496" s="30">
        <f t="shared" ca="1" si="121"/>
        <v>2.3042667283257136E-2</v>
      </c>
      <c r="M496" s="30">
        <f t="shared" ca="1" si="121"/>
        <v>6.2306780612714739E-2</v>
      </c>
      <c r="N496" s="30">
        <f t="shared" ca="1" si="121"/>
        <v>0.13152649394445254</v>
      </c>
      <c r="O496" s="30">
        <f t="shared" ca="1" si="122"/>
        <v>7.8546757067928796E-2</v>
      </c>
      <c r="P496" s="30">
        <f t="shared" ca="1" si="123"/>
        <v>0.12789297658862875</v>
      </c>
      <c r="Q496" s="30">
        <f t="shared" ca="1" si="124"/>
        <v>0.17488851727982158</v>
      </c>
      <c r="R496" s="30">
        <f t="shared" ca="1" si="125"/>
        <v>0.30733447046053675</v>
      </c>
      <c r="S496" s="9" cm="1">
        <f t="array" aca="1" ref="S496" ca="1">_xll.FDS($E$7,"P_PRICE("&amp;AG496&amp;",0,D,D)")</f>
        <v>84.31</v>
      </c>
      <c r="T496" s="9" cm="1">
        <f t="array" aca="1" ref="T496" ca="1">_xll.FDS($E$7,"P_PRICE("&amp;AH496&amp;",0,D,D)")</f>
        <v>78.17</v>
      </c>
      <c r="U496" s="9" cm="1">
        <f t="array" aca="1" ref="U496" ca="1">_xll.FDS($E$7,"P_PRICE("&amp;AI496&amp;",0,D,D)")</f>
        <v>74.75</v>
      </c>
      <c r="V496" s="9" cm="1">
        <f t="array" aca="1" ref="V496" ca="1">_xll.FDS($E$7,"P_PRICE("&amp;AJ496&amp;",0,D,D)")</f>
        <v>71.760000000000005</v>
      </c>
      <c r="W496" s="9" cm="1">
        <f t="array" aca="1" ref="W496" ca="1">_xll.FDS($E$7,"P_PRICE("&amp;AK496&amp;",0,D,D)")</f>
        <v>64.489999999999995</v>
      </c>
      <c r="X496" s="24">
        <f t="shared" ca="1" si="126"/>
        <v>1.8163840197522596E-3</v>
      </c>
      <c r="Y496" s="24">
        <f t="shared" ca="1" si="127"/>
        <v>1.9127628174106626E-2</v>
      </c>
      <c r="Z496" s="24">
        <f t="shared" ca="1" si="128"/>
        <v>5.1720615397315317E-2</v>
      </c>
      <c r="AA496" s="24">
        <f t="shared" ca="1" si="129"/>
        <v>0.10917962926285685</v>
      </c>
      <c r="AB496" s="9" cm="1">
        <f t="array" aca="1" ref="AB496" ca="1">_xll.FDS($E$9,"P_PRICE("&amp;AG496&amp;",0,D,D)")</f>
        <v>5096.2700000000004</v>
      </c>
      <c r="AC496" s="9" cm="1">
        <f t="array" aca="1" ref="AC496" ca="1">_xll.FDS($E$9,"P_PRICE("&amp;AH496&amp;",0,D,D)")</f>
        <v>5087.03</v>
      </c>
      <c r="AD496" s="9" cm="1">
        <f t="array" aca="1" ref="AD496" ca="1">_xll.FDS($E$9,"P_PRICE("&amp;AI496&amp;",0,D,D)")</f>
        <v>5000.62</v>
      </c>
      <c r="AE496" s="9" cm="1">
        <f t="array" aca="1" ref="AE496" ca="1">_xll.FDS($E$9,"P_PRICE("&amp;AJ496&amp;",0,D,D)")</f>
        <v>4845.6499999999996</v>
      </c>
      <c r="AF496" s="9" cm="1">
        <f t="array" aca="1" ref="AF496" ca="1">_xll.FDS($E$9,"P_PRICE("&amp;AK496&amp;",0,D,D)")</f>
        <v>4594.63</v>
      </c>
      <c r="AG496" s="20">
        <f t="shared" ca="1" si="135"/>
        <v>45351</v>
      </c>
      <c r="AH496" s="22">
        <f t="shared" ca="1" si="130"/>
        <v>45344</v>
      </c>
      <c r="AI496" s="22">
        <f t="shared" ca="1" si="131"/>
        <v>45336</v>
      </c>
      <c r="AJ496" s="22">
        <f t="shared" ca="1" si="132"/>
        <v>45322</v>
      </c>
      <c r="AK496" s="22">
        <f t="shared" ca="1" si="133"/>
        <v>45261</v>
      </c>
      <c r="AL496" s="22">
        <f t="shared" ca="1" si="134"/>
        <v>45176</v>
      </c>
    </row>
    <row r="497" spans="4:38" x14ac:dyDescent="0.25">
      <c r="D497" s="6">
        <f ca="1"/>
        <v>45350</v>
      </c>
      <c r="E497" s="28" cm="1">
        <f t="array" aca="1" ref="E497" ca="1">_xll.FDS($E$7,"P_PRICE("&amp;D497&amp;",0,D,D)")</f>
        <v>79.319999999999993</v>
      </c>
      <c r="F497" s="29" cm="1">
        <f t="array" aca="1" ref="F497" ca="1">_xll.FDS($E$7,"P_BETA_LOCIDX("&amp;$AG497&amp;","&amp;$AL497&amp;",,"""&amp;$E$9&amp;""")")</f>
        <v>1.1711973</v>
      </c>
      <c r="G497" s="30">
        <f t="shared" ca="1" si="120"/>
        <v>4.3328103849621033E-4</v>
      </c>
      <c r="H497" s="30">
        <f t="shared" ca="1" si="120"/>
        <v>6.7709365402549182E-2</v>
      </c>
      <c r="I497" s="30">
        <f t="shared" ca="1" si="120"/>
        <v>6.5096472879083725E-2</v>
      </c>
      <c r="J497" s="30">
        <f t="shared" ca="1" si="120"/>
        <v>0.13535973067866172</v>
      </c>
      <c r="K497" s="30">
        <f t="shared" ca="1" si="121"/>
        <v>2.0678974368300632E-2</v>
      </c>
      <c r="L497" s="30">
        <f t="shared" ca="1" si="121"/>
        <v>2.7568182236224533E-2</v>
      </c>
      <c r="M497" s="30">
        <f t="shared" ca="1" si="121"/>
        <v>3.4432221326627252E-2</v>
      </c>
      <c r="N497" s="30">
        <f t="shared" ca="1" si="121"/>
        <v>0.12870401434125842</v>
      </c>
      <c r="O497" s="30">
        <f t="shared" ca="1" si="122"/>
        <v>2.1112255406796843E-2</v>
      </c>
      <c r="P497" s="30">
        <f t="shared" ca="1" si="123"/>
        <v>9.5277547638773719E-2</v>
      </c>
      <c r="Q497" s="30">
        <f t="shared" ca="1" si="124"/>
        <v>9.9528694205710977E-2</v>
      </c>
      <c r="R497" s="30">
        <f t="shared" ca="1" si="125"/>
        <v>0.26406374501992014</v>
      </c>
      <c r="S497" s="9" cm="1">
        <f t="array" aca="1" ref="S497" ca="1">_xll.FDS($E$7,"P_PRICE("&amp;AG497&amp;",0,D,D)")</f>
        <v>79.319999999999993</v>
      </c>
      <c r="T497" s="9" cm="1">
        <f t="array" aca="1" ref="T497" ca="1">_xll.FDS($E$7,"P_PRICE("&amp;AH497&amp;",0,D,D)")</f>
        <v>77.680000000000007</v>
      </c>
      <c r="U497" s="9" cm="1">
        <f t="array" aca="1" ref="U497" ca="1">_xll.FDS($E$7,"P_PRICE("&amp;AI497&amp;",0,D,D)")</f>
        <v>72.42</v>
      </c>
      <c r="V497" s="9" cm="1">
        <f t="array" aca="1" ref="V497" ca="1">_xll.FDS($E$7,"P_PRICE("&amp;AJ497&amp;",0,D,D)")</f>
        <v>72.14</v>
      </c>
      <c r="W497" s="9" cm="1">
        <f t="array" aca="1" ref="W497" ca="1">_xll.FDS($E$7,"P_PRICE("&amp;AK497&amp;",0,D,D)")</f>
        <v>62.75</v>
      </c>
      <c r="X497" s="24">
        <f t="shared" ca="1" si="126"/>
        <v>1.7656268818499354E-2</v>
      </c>
      <c r="Y497" s="24">
        <f t="shared" ca="1" si="127"/>
        <v>2.3538461227860186E-2</v>
      </c>
      <c r="Z497" s="24">
        <f t="shared" ca="1" si="128"/>
        <v>2.9399163852774635E-2</v>
      </c>
      <c r="AA497" s="24">
        <f t="shared" ca="1" si="129"/>
        <v>0.10989097596217001</v>
      </c>
      <c r="AB497" s="9" cm="1">
        <f t="array" aca="1" ref="AB497" ca="1">_xll.FDS($E$9,"P_PRICE("&amp;AG497&amp;",0,D,D)")</f>
        <v>5069.76</v>
      </c>
      <c r="AC497" s="9" cm="1">
        <f t="array" aca="1" ref="AC497" ca="1">_xll.FDS($E$9,"P_PRICE("&amp;AH497&amp;",0,D,D)")</f>
        <v>4981.8</v>
      </c>
      <c r="AD497" s="9" cm="1">
        <f t="array" aca="1" ref="AD497" ca="1">_xll.FDS($E$9,"P_PRICE("&amp;AI497&amp;",0,D,D)")</f>
        <v>4953.17</v>
      </c>
      <c r="AE497" s="9" cm="1">
        <f t="array" aca="1" ref="AE497" ca="1">_xll.FDS($E$9,"P_PRICE("&amp;AJ497&amp;",0,D,D)")</f>
        <v>4924.97</v>
      </c>
      <c r="AF497" s="9" cm="1">
        <f t="array" aca="1" ref="AF497" ca="1">_xll.FDS($E$9,"P_PRICE("&amp;AK497&amp;",0,D,D)")</f>
        <v>4567.8</v>
      </c>
      <c r="AG497" s="20">
        <f t="shared" ca="1" si="135"/>
        <v>45350</v>
      </c>
      <c r="AH497" s="22">
        <f t="shared" ca="1" si="130"/>
        <v>45343</v>
      </c>
      <c r="AI497" s="22">
        <f t="shared" ca="1" si="131"/>
        <v>45335</v>
      </c>
      <c r="AJ497" s="22">
        <f t="shared" ca="1" si="132"/>
        <v>45321</v>
      </c>
      <c r="AK497" s="22">
        <f t="shared" ca="1" si="133"/>
        <v>45260</v>
      </c>
      <c r="AL497" s="22">
        <f t="shared" ca="1" si="134"/>
        <v>45175</v>
      </c>
    </row>
    <row r="498" spans="4:38" x14ac:dyDescent="0.25">
      <c r="D498" s="6">
        <f ca="1"/>
        <v>45349</v>
      </c>
      <c r="E498" s="28" cm="1">
        <f t="array" aca="1" ref="E498" ca="1">_xll.FDS($E$7,"P_PRICE("&amp;D498&amp;",0,D,D)")</f>
        <v>78.37</v>
      </c>
      <c r="F498" s="29" cm="1">
        <f t="array" aca="1" ref="F498" ca="1">_xll.FDS($E$7,"P_BETA_LOCIDX("&amp;$AG498&amp;","&amp;$AL498&amp;",,"""&amp;$E$9&amp;""")")</f>
        <v>1.1964505000000001</v>
      </c>
      <c r="G498" s="30">
        <f t="shared" ca="1" si="120"/>
        <v>-1.4505803642635859E-2</v>
      </c>
      <c r="H498" s="30">
        <f t="shared" ca="1" si="120"/>
        <v>4.7925889715907319E-2</v>
      </c>
      <c r="I498" s="30">
        <f t="shared" ca="1" si="120"/>
        <v>7.1693928959327524E-2</v>
      </c>
      <c r="J498" s="30">
        <f t="shared" ca="1" si="120"/>
        <v>0.11480088992313289</v>
      </c>
      <c r="K498" s="30">
        <f t="shared" ca="1" si="121"/>
        <v>2.4688840507807272E-2</v>
      </c>
      <c r="L498" s="30">
        <f t="shared" ca="1" si="121"/>
        <v>1.3422972689293221E-2</v>
      </c>
      <c r="M498" s="30">
        <f t="shared" ca="1" si="121"/>
        <v>3.6479147963749577E-2</v>
      </c>
      <c r="N498" s="30">
        <f t="shared" ca="1" si="121"/>
        <v>0.13871798403719979</v>
      </c>
      <c r="O498" s="30">
        <f t="shared" ca="1" si="122"/>
        <v>1.0183036865171413E-2</v>
      </c>
      <c r="P498" s="30">
        <f t="shared" ca="1" si="123"/>
        <v>6.1348862405200544E-2</v>
      </c>
      <c r="Q498" s="30">
        <f t="shared" ca="1" si="124"/>
        <v>0.10817307692307709</v>
      </c>
      <c r="R498" s="30">
        <f t="shared" ca="1" si="125"/>
        <v>0.25351887396033268</v>
      </c>
      <c r="S498" s="9" cm="1">
        <f t="array" aca="1" ref="S498" ca="1">_xll.FDS($E$7,"P_PRICE("&amp;AG498&amp;",0,D,D)")</f>
        <v>78.37</v>
      </c>
      <c r="T498" s="9" cm="1">
        <f t="array" aca="1" ref="T498" ca="1">_xll.FDS($E$7,"P_PRICE("&amp;AH498&amp;",0,D,D)")</f>
        <v>77.58</v>
      </c>
      <c r="U498" s="9" cm="1">
        <f t="array" aca="1" ref="U498" ca="1">_xll.FDS($E$7,"P_PRICE("&amp;AI498&amp;",0,D,D)")</f>
        <v>73.84</v>
      </c>
      <c r="V498" s="9" cm="1">
        <f t="array" aca="1" ref="V498" ca="1">_xll.FDS($E$7,"P_PRICE("&amp;AJ498&amp;",0,D,D)")</f>
        <v>70.72</v>
      </c>
      <c r="W498" s="9" cm="1">
        <f t="array" aca="1" ref="W498" ca="1">_xll.FDS($E$7,"P_PRICE("&amp;AK498&amp;",0,D,D)")</f>
        <v>62.52</v>
      </c>
      <c r="X498" s="24">
        <f t="shared" ca="1" si="126"/>
        <v>2.0635070575679704E-2</v>
      </c>
      <c r="Y498" s="24">
        <f t="shared" ca="1" si="127"/>
        <v>1.1218995427970668E-2</v>
      </c>
      <c r="Z498" s="24">
        <f t="shared" ca="1" si="128"/>
        <v>3.0489475296930024E-2</v>
      </c>
      <c r="AA498" s="24">
        <f t="shared" ca="1" si="129"/>
        <v>0.11594126463000332</v>
      </c>
      <c r="AB498" s="9" cm="1">
        <f t="array" aca="1" ref="AB498" ca="1">_xll.FDS($E$9,"P_PRICE("&amp;AG498&amp;",0,D,D)")</f>
        <v>5078.18</v>
      </c>
      <c r="AC498" s="9" cm="1">
        <f t="array" aca="1" ref="AC498" ca="1">_xll.FDS($E$9,"P_PRICE("&amp;AH498&amp;",0,D,D)")</f>
        <v>4975.51</v>
      </c>
      <c r="AD498" s="9" cm="1">
        <f t="array" aca="1" ref="AD498" ca="1">_xll.FDS($E$9,"P_PRICE("&amp;AI498&amp;",0,D,D)")</f>
        <v>5021.84</v>
      </c>
      <c r="AE498" s="9" cm="1">
        <f t="array" aca="1" ref="AE498" ca="1">_xll.FDS($E$9,"P_PRICE("&amp;AJ498&amp;",0,D,D)")</f>
        <v>4927.93</v>
      </c>
      <c r="AF498" s="9" cm="1">
        <f t="array" aca="1" ref="AF498" ca="1">_xll.FDS($E$9,"P_PRICE("&amp;AK498&amp;",0,D,D)")</f>
        <v>4550.58</v>
      </c>
      <c r="AG498" s="20">
        <f t="shared" ca="1" si="135"/>
        <v>45349</v>
      </c>
      <c r="AH498" s="22">
        <f t="shared" ca="1" si="130"/>
        <v>45342</v>
      </c>
      <c r="AI498" s="22">
        <f t="shared" ca="1" si="131"/>
        <v>45334</v>
      </c>
      <c r="AJ498" s="22">
        <f t="shared" ca="1" si="132"/>
        <v>45320</v>
      </c>
      <c r="AK498" s="22">
        <f t="shared" ca="1" si="133"/>
        <v>45259</v>
      </c>
      <c r="AL498" s="22">
        <f t="shared" ca="1" si="134"/>
        <v>45174</v>
      </c>
    </row>
    <row r="499" spans="4:38" x14ac:dyDescent="0.25">
      <c r="D499" s="6">
        <f ca="1"/>
        <v>45348</v>
      </c>
      <c r="E499" s="28" cm="1">
        <f t="array" aca="1" ref="E499" ca="1">_xll.FDS($E$7,"P_PRICE("&amp;D499&amp;",0,D,D)")</f>
        <v>79.42</v>
      </c>
      <c r="F499" s="29" cm="1">
        <f t="array" aca="1" ref="F499" ca="1">_xll.FDS($E$7,"P_BETA_LOCIDX("&amp;$AG499&amp;","&amp;$AL499&amp;",,"""&amp;$E$9&amp;""")")</f>
        <v>1.1969365000000001</v>
      </c>
      <c r="G499" s="30">
        <f t="shared" ca="1" si="120"/>
        <v>8.2913395989470742E-3</v>
      </c>
      <c r="H499" s="30">
        <f t="shared" ca="1" si="120"/>
        <v>6.6077489818300042E-2</v>
      </c>
      <c r="I499" s="30">
        <f t="shared" ca="1" si="120"/>
        <v>9.168454392471366E-2</v>
      </c>
      <c r="J499" s="30">
        <f t="shared" ca="1" si="120"/>
        <v>0.15258489755578525</v>
      </c>
      <c r="K499" s="30">
        <f t="shared" ca="1" si="121"/>
        <v>1.5294173998165954E-2</v>
      </c>
      <c r="L499" s="30">
        <f t="shared" ca="1" si="121"/>
        <v>1.0220111482689238E-2</v>
      </c>
      <c r="M499" s="30">
        <f t="shared" ca="1" si="121"/>
        <v>4.3697872086723086E-2</v>
      </c>
      <c r="N499" s="30">
        <f t="shared" ca="1" si="121"/>
        <v>0.13523738232097809</v>
      </c>
      <c r="O499" s="30">
        <f t="shared" ca="1" si="122"/>
        <v>2.3585513597113028E-2</v>
      </c>
      <c r="P499" s="30">
        <f t="shared" ca="1" si="123"/>
        <v>7.6297601300989282E-2</v>
      </c>
      <c r="Q499" s="30">
        <f t="shared" ca="1" si="124"/>
        <v>0.13538241601143675</v>
      </c>
      <c r="R499" s="30">
        <f t="shared" ca="1" si="125"/>
        <v>0.28782227987676334</v>
      </c>
      <c r="S499" s="9" cm="1">
        <f t="array" aca="1" ref="S499" ca="1">_xll.FDS($E$7,"P_PRICE("&amp;AG499&amp;",0,D,D)")</f>
        <v>79.42</v>
      </c>
      <c r="T499" s="9" cm="1">
        <f t="array" aca="1" ref="T499" ca="1">_xll.FDS($E$7,"P_PRICE("&amp;AH499&amp;",0,D,D)")</f>
        <v>77.59</v>
      </c>
      <c r="U499" s="9" cm="1">
        <f t="array" aca="1" ref="U499" ca="1">_xll.FDS($E$7,"P_PRICE("&amp;AI499&amp;",0,D,D)")</f>
        <v>73.790000000000006</v>
      </c>
      <c r="V499" s="9" cm="1">
        <f t="array" aca="1" ref="V499" ca="1">_xll.FDS($E$7,"P_PRICE("&amp;AJ499&amp;",0,D,D)")</f>
        <v>69.95</v>
      </c>
      <c r="W499" s="9" cm="1">
        <f t="array" aca="1" ref="W499" ca="1">_xll.FDS($E$7,"P_PRICE("&amp;AK499&amp;",0,D,D)")</f>
        <v>61.67</v>
      </c>
      <c r="X499" s="24">
        <f t="shared" ca="1" si="126"/>
        <v>1.2777765569155886E-2</v>
      </c>
      <c r="Y499" s="24">
        <f t="shared" ca="1" si="127"/>
        <v>8.5385577954129044E-3</v>
      </c>
      <c r="Z499" s="24">
        <f t="shared" ca="1" si="128"/>
        <v>3.6508095531152307E-2</v>
      </c>
      <c r="AA499" s="24">
        <f t="shared" ca="1" si="129"/>
        <v>0.1129862631150258</v>
      </c>
      <c r="AB499" s="9" cm="1">
        <f t="array" aca="1" ref="AB499" ca="1">_xll.FDS($E$9,"P_PRICE("&amp;AG499&amp;",0,D,D)")</f>
        <v>5069.53</v>
      </c>
      <c r="AC499" s="9" cm="1">
        <f t="array" aca="1" ref="AC499" ca="1">_xll.FDS($E$9,"P_PRICE("&amp;AH499&amp;",0,D,D)")</f>
        <v>5005.57</v>
      </c>
      <c r="AD499" s="9" cm="1">
        <f t="array" aca="1" ref="AD499" ca="1">_xll.FDS($E$9,"P_PRICE("&amp;AI499&amp;",0,D,D)")</f>
        <v>5026.6099999999997</v>
      </c>
      <c r="AE499" s="9" cm="1">
        <f t="array" aca="1" ref="AE499" ca="1">_xll.FDS($E$9,"P_PRICE("&amp;AJ499&amp;",0,D,D)")</f>
        <v>4890.97</v>
      </c>
      <c r="AF499" s="9" cm="1">
        <f t="array" aca="1" ref="AF499" ca="1">_xll.FDS($E$9,"P_PRICE("&amp;AK499&amp;",0,D,D)")</f>
        <v>4554.8900000000003</v>
      </c>
      <c r="AG499" s="20">
        <f t="shared" ca="1" si="135"/>
        <v>45348</v>
      </c>
      <c r="AH499" s="22">
        <f t="shared" ca="1" si="130"/>
        <v>45338</v>
      </c>
      <c r="AI499" s="22">
        <f t="shared" ca="1" si="131"/>
        <v>45331</v>
      </c>
      <c r="AJ499" s="22">
        <f t="shared" ca="1" si="132"/>
        <v>45317</v>
      </c>
      <c r="AK499" s="22">
        <f t="shared" ca="1" si="133"/>
        <v>45258</v>
      </c>
      <c r="AL499" s="22">
        <f t="shared" ca="1" si="134"/>
        <v>45170</v>
      </c>
    </row>
    <row r="500" spans="4:38" x14ac:dyDescent="0.25">
      <c r="D500" s="6">
        <f ca="1"/>
        <v>45345</v>
      </c>
      <c r="E500" s="28" cm="1">
        <f t="array" aca="1" ref="E500" ca="1">_xll.FDS($E$7,"P_PRICE("&amp;D500&amp;",0,D,D)")</f>
        <v>79.12</v>
      </c>
      <c r="F500" s="29" cm="1">
        <f t="array" aca="1" ref="F500" ca="1">_xll.FDS($E$7,"P_BETA_LOCIDX("&amp;$AG500&amp;","&amp;$AL500&amp;",,"""&amp;$E$9&amp;""")")</f>
        <v>1.2000451999999999</v>
      </c>
      <c r="G500" s="30">
        <f t="shared" ca="1" si="120"/>
        <v>2.4908435955870355E-2</v>
      </c>
      <c r="H500" s="30">
        <f t="shared" ca="1" si="120"/>
        <v>3.8055893487468878E-2</v>
      </c>
      <c r="I500" s="30">
        <f t="shared" ca="1" si="120"/>
        <v>6.8054951544018694E-2</v>
      </c>
      <c r="J500" s="30">
        <f t="shared" ca="1" si="120"/>
        <v>0.13476719031769954</v>
      </c>
      <c r="K500" s="30">
        <f t="shared" ca="1" si="121"/>
        <v>1.409353384058396E-2</v>
      </c>
      <c r="L500" s="30">
        <f t="shared" ca="1" si="121"/>
        <v>2.1823543886944931E-2</v>
      </c>
      <c r="M500" s="30">
        <f t="shared" ca="1" si="121"/>
        <v>4.7725615371790264E-2</v>
      </c>
      <c r="N500" s="30">
        <f t="shared" ca="1" si="121"/>
        <v>0.14197962265632028</v>
      </c>
      <c r="O500" s="30">
        <f t="shared" ca="1" si="122"/>
        <v>3.9001969796454317E-2</v>
      </c>
      <c r="P500" s="30">
        <f t="shared" ca="1" si="123"/>
        <v>5.9879437374413813E-2</v>
      </c>
      <c r="Q500" s="30">
        <f t="shared" ca="1" si="124"/>
        <v>0.11578056691580896</v>
      </c>
      <c r="R500" s="30">
        <f t="shared" ca="1" si="125"/>
        <v>0.27674681297401982</v>
      </c>
      <c r="S500" s="9" cm="1">
        <f t="array" aca="1" ref="S500" ca="1">_xll.FDS($E$7,"P_PRICE("&amp;AG500&amp;",0,D,D)")</f>
        <v>79.12</v>
      </c>
      <c r="T500" s="9" cm="1">
        <f t="array" aca="1" ref="T500" ca="1">_xll.FDS($E$7,"P_PRICE("&amp;AH500&amp;",0,D,D)")</f>
        <v>76.150000000000006</v>
      </c>
      <c r="U500" s="9" cm="1">
        <f t="array" aca="1" ref="U500" ca="1">_xll.FDS($E$7,"P_PRICE("&amp;AI500&amp;",0,D,D)")</f>
        <v>74.650000000000006</v>
      </c>
      <c r="V500" s="9" cm="1">
        <f t="array" aca="1" ref="V500" ca="1">_xll.FDS($E$7,"P_PRICE("&amp;AJ500&amp;",0,D,D)")</f>
        <v>70.91</v>
      </c>
      <c r="W500" s="9" cm="1">
        <f t="array" aca="1" ref="W500" ca="1">_xll.FDS($E$7,"P_PRICE("&amp;AK500&amp;",0,D,D)")</f>
        <v>61.97</v>
      </c>
      <c r="X500" s="24">
        <f t="shared" ca="1" si="126"/>
        <v>1.174416917011456E-2</v>
      </c>
      <c r="Y500" s="24">
        <f t="shared" ca="1" si="127"/>
        <v>1.8185601581461208E-2</v>
      </c>
      <c r="Z500" s="24">
        <f t="shared" ca="1" si="128"/>
        <v>3.9769848145545073E-2</v>
      </c>
      <c r="AA500" s="24">
        <f t="shared" ca="1" si="129"/>
        <v>0.11831189579885848</v>
      </c>
      <c r="AB500" s="9" cm="1">
        <f t="array" aca="1" ref="AB500" ca="1">_xll.FDS($E$9,"P_PRICE("&amp;AG500&amp;",0,D,D)")</f>
        <v>5088.8</v>
      </c>
      <c r="AC500" s="9" cm="1">
        <f t="array" aca="1" ref="AC500" ca="1">_xll.FDS($E$9,"P_PRICE("&amp;AH500&amp;",0,D,D)")</f>
        <v>5029.7299999999996</v>
      </c>
      <c r="AD500" s="9" cm="1">
        <f t="array" aca="1" ref="AD500" ca="1">_xll.FDS($E$9,"P_PRICE("&amp;AI500&amp;",0,D,D)")</f>
        <v>4997.91</v>
      </c>
      <c r="AE500" s="9" cm="1">
        <f t="array" aca="1" ref="AE500" ca="1">_xll.FDS($E$9,"P_PRICE("&amp;AJ500&amp;",0,D,D)")</f>
        <v>4894.16</v>
      </c>
      <c r="AF500" s="9" cm="1">
        <f t="array" aca="1" ref="AF500" ca="1">_xll.FDS($E$9,"P_PRICE("&amp;AK500&amp;",0,D,D)")</f>
        <v>4550.43</v>
      </c>
      <c r="AG500" s="20">
        <f t="shared" ca="1" si="135"/>
        <v>45345</v>
      </c>
      <c r="AH500" s="22">
        <f t="shared" ca="1" si="130"/>
        <v>45337</v>
      </c>
      <c r="AI500" s="22">
        <f t="shared" ca="1" si="131"/>
        <v>45330</v>
      </c>
      <c r="AJ500" s="22">
        <f t="shared" ca="1" si="132"/>
        <v>45316</v>
      </c>
      <c r="AK500" s="22">
        <f t="shared" ca="1" si="133"/>
        <v>45257</v>
      </c>
      <c r="AL500" s="22">
        <f t="shared" ca="1" si="134"/>
        <v>45169</v>
      </c>
    </row>
    <row r="501" spans="4:38" x14ac:dyDescent="0.25">
      <c r="D501" s="6">
        <f ca="1"/>
        <v>45344</v>
      </c>
      <c r="E501" s="28" cm="1">
        <f t="array" aca="1" ref="E501" ca="1">_xll.FDS($E$7,"P_PRICE("&amp;D501&amp;",0,D,D)")</f>
        <v>78.17</v>
      </c>
      <c r="F501" s="29" cm="1">
        <f t="array" aca="1" ref="F501" ca="1">_xll.FDS($E$7,"P_BETA_LOCIDX("&amp;$AG501&amp;","&amp;$AL501&amp;",,"""&amp;$E$9&amp;""")")</f>
        <v>1.1954438999999999</v>
      </c>
      <c r="G501" s="30">
        <f t="shared" ca="1" si="120"/>
        <v>2.5095408361803948E-2</v>
      </c>
      <c r="H501" s="30">
        <f t="shared" ca="1" si="120"/>
        <v>2.4301666268104389E-2</v>
      </c>
      <c r="I501" s="30">
        <f t="shared" ca="1" si="120"/>
        <v>7.744887254662508E-2</v>
      </c>
      <c r="J501" s="30">
        <f t="shared" ca="1" si="120"/>
        <v>0.12734738217830105</v>
      </c>
      <c r="K501" s="30">
        <f t="shared" ca="1" si="121"/>
        <v>2.0657099999400089E-2</v>
      </c>
      <c r="L501" s="30">
        <f t="shared" ca="1" si="121"/>
        <v>2.2010741709408848E-2</v>
      </c>
      <c r="M501" s="30">
        <f t="shared" ca="1" si="121"/>
        <v>5.3646482684166552E-2</v>
      </c>
      <c r="N501" s="30">
        <f t="shared" ca="1" si="121"/>
        <v>0.13835857637092192</v>
      </c>
      <c r="O501" s="30">
        <f t="shared" ca="1" si="122"/>
        <v>4.5752508361204036E-2</v>
      </c>
      <c r="P501" s="30">
        <f t="shared" ca="1" si="123"/>
        <v>4.6312407977513237E-2</v>
      </c>
      <c r="Q501" s="30">
        <f t="shared" ca="1" si="124"/>
        <v>0.13109535523079163</v>
      </c>
      <c r="R501" s="30">
        <f t="shared" ca="1" si="125"/>
        <v>0.26570595854922296</v>
      </c>
      <c r="S501" s="9" cm="1">
        <f t="array" aca="1" ref="S501" ca="1">_xll.FDS($E$7,"P_PRICE("&amp;AG501&amp;",0,D,D)")</f>
        <v>78.17</v>
      </c>
      <c r="T501" s="9" cm="1">
        <f t="array" aca="1" ref="T501" ca="1">_xll.FDS($E$7,"P_PRICE("&amp;AH501&amp;",0,D,D)")</f>
        <v>74.75</v>
      </c>
      <c r="U501" s="9" cm="1">
        <f t="array" aca="1" ref="U501" ca="1">_xll.FDS($E$7,"P_PRICE("&amp;AI501&amp;",0,D,D)")</f>
        <v>74.709999999999994</v>
      </c>
      <c r="V501" s="9" cm="1">
        <f t="array" aca="1" ref="V501" ca="1">_xll.FDS($E$7,"P_PRICE("&amp;AJ501&amp;",0,D,D)")</f>
        <v>69.11</v>
      </c>
      <c r="W501" s="9" cm="1">
        <f t="array" aca="1" ref="W501" ca="1">_xll.FDS($E$7,"P_PRICE("&amp;AK501&amp;",0,D,D)")</f>
        <v>61.76</v>
      </c>
      <c r="X501" s="24">
        <f t="shared" ca="1" si="126"/>
        <v>1.72798572976951E-2</v>
      </c>
      <c r="Y501" s="24">
        <f t="shared" ca="1" si="127"/>
        <v>1.8412191244949971E-2</v>
      </c>
      <c r="Z501" s="24">
        <f t="shared" ca="1" si="128"/>
        <v>4.4875784371116501E-2</v>
      </c>
      <c r="AA501" s="24">
        <f t="shared" ca="1" si="129"/>
        <v>0.11573824281584599</v>
      </c>
      <c r="AB501" s="9" cm="1">
        <f t="array" aca="1" ref="AB501" ca="1">_xll.FDS($E$9,"P_PRICE("&amp;AG501&amp;",0,D,D)")</f>
        <v>5087.03</v>
      </c>
      <c r="AC501" s="9" cm="1">
        <f t="array" aca="1" ref="AC501" ca="1">_xll.FDS($E$9,"P_PRICE("&amp;AH501&amp;",0,D,D)")</f>
        <v>5000.62</v>
      </c>
      <c r="AD501" s="9" cm="1">
        <f t="array" aca="1" ref="AD501" ca="1">_xll.FDS($E$9,"P_PRICE("&amp;AI501&amp;",0,D,D)")</f>
        <v>4995.0600000000004</v>
      </c>
      <c r="AE501" s="9" cm="1">
        <f t="array" aca="1" ref="AE501" ca="1">_xll.FDS($E$9,"P_PRICE("&amp;AJ501&amp;",0,D,D)")</f>
        <v>4868.55</v>
      </c>
      <c r="AF501" s="9" cm="1">
        <f t="array" aca="1" ref="AF501" ca="1">_xll.FDS($E$9,"P_PRICE("&amp;AK501&amp;",0,D,D)")</f>
        <v>4559.34</v>
      </c>
      <c r="AG501" s="20">
        <f t="shared" ca="1" si="135"/>
        <v>45344</v>
      </c>
      <c r="AH501" s="22">
        <f t="shared" ca="1" si="130"/>
        <v>45336</v>
      </c>
      <c r="AI501" s="22">
        <f t="shared" ca="1" si="131"/>
        <v>45329</v>
      </c>
      <c r="AJ501" s="22">
        <f t="shared" ca="1" si="132"/>
        <v>45315</v>
      </c>
      <c r="AK501" s="22">
        <f t="shared" ca="1" si="133"/>
        <v>45254</v>
      </c>
      <c r="AL501" s="22">
        <f t="shared" ca="1" si="134"/>
        <v>45168</v>
      </c>
    </row>
    <row r="502" spans="4:38" x14ac:dyDescent="0.25">
      <c r="D502" s="6">
        <f ca="1"/>
        <v>45343</v>
      </c>
      <c r="E502" s="28" cm="1">
        <f t="array" aca="1" ref="E502" ca="1">_xll.FDS($E$7,"P_PRICE("&amp;D502&amp;",0,D,D)")</f>
        <v>77.680000000000007</v>
      </c>
      <c r="F502" s="29" cm="1">
        <f t="array" aca="1" ref="F502" ca="1">_xll.FDS($E$7,"P_BETA_LOCIDX("&amp;$AG502&amp;","&amp;$AL502&amp;",,"""&amp;$E$9&amp;""")")</f>
        <v>1.2300241999999999</v>
      </c>
      <c r="G502" s="30">
        <f t="shared" ca="1" si="120"/>
        <v>6.5522161554048303E-2</v>
      </c>
      <c r="H502" s="30">
        <f t="shared" ca="1" si="120"/>
        <v>5.1609817673441603E-2</v>
      </c>
      <c r="I502" s="30">
        <f t="shared" ca="1" si="120"/>
        <v>9.1127531742254075E-2</v>
      </c>
      <c r="J502" s="30">
        <f t="shared" ca="1" si="120"/>
        <v>0.15388511330473975</v>
      </c>
      <c r="K502" s="30">
        <f t="shared" ca="1" si="121"/>
        <v>7.1097080952199597E-3</v>
      </c>
      <c r="L502" s="30">
        <f t="shared" ca="1" si="121"/>
        <v>6.845012684918027E-3</v>
      </c>
      <c r="M502" s="30">
        <f t="shared" ca="1" si="121"/>
        <v>2.9634263092546236E-2</v>
      </c>
      <c r="N502" s="30">
        <f t="shared" ca="1" si="121"/>
        <v>0.11477404070473295</v>
      </c>
      <c r="O502" s="30">
        <f t="shared" ca="1" si="122"/>
        <v>7.2631869649268266E-2</v>
      </c>
      <c r="P502" s="30">
        <f t="shared" ca="1" si="123"/>
        <v>5.8454830358359633E-2</v>
      </c>
      <c r="Q502" s="30">
        <f t="shared" ca="1" si="124"/>
        <v>0.12076179483480032</v>
      </c>
      <c r="R502" s="30">
        <f t="shared" ca="1" si="125"/>
        <v>0.26865915400947271</v>
      </c>
      <c r="S502" s="9" cm="1">
        <f t="array" aca="1" ref="S502" ca="1">_xll.FDS($E$7,"P_PRICE("&amp;AG502&amp;",0,D,D)")</f>
        <v>77.680000000000007</v>
      </c>
      <c r="T502" s="9" cm="1">
        <f t="array" aca="1" ref="T502" ca="1">_xll.FDS($E$7,"P_PRICE("&amp;AH502&amp;",0,D,D)")</f>
        <v>72.42</v>
      </c>
      <c r="U502" s="9" cm="1">
        <f t="array" aca="1" ref="U502" ca="1">_xll.FDS($E$7,"P_PRICE("&amp;AI502&amp;",0,D,D)")</f>
        <v>73.39</v>
      </c>
      <c r="V502" s="9" cm="1">
        <f t="array" aca="1" ref="V502" ca="1">_xll.FDS($E$7,"P_PRICE("&amp;AJ502&amp;",0,D,D)")</f>
        <v>69.31</v>
      </c>
      <c r="W502" s="9" cm="1">
        <f t="array" aca="1" ref="W502" ca="1">_xll.FDS($E$7,"P_PRICE("&amp;AK502&amp;",0,D,D)")</f>
        <v>61.23</v>
      </c>
      <c r="X502" s="24">
        <f t="shared" ca="1" si="126"/>
        <v>5.780136760902721E-3</v>
      </c>
      <c r="Y502" s="24">
        <f t="shared" ca="1" si="127"/>
        <v>5.5649414742555692E-3</v>
      </c>
      <c r="Z502" s="24">
        <f t="shared" ca="1" si="128"/>
        <v>2.4092422809686376E-2</v>
      </c>
      <c r="AA502" s="24">
        <f t="shared" ca="1" si="129"/>
        <v>9.3310392352226046E-2</v>
      </c>
      <c r="AB502" s="9" cm="1">
        <f t="array" aca="1" ref="AB502" ca="1">_xll.FDS($E$9,"P_PRICE("&amp;AG502&amp;",0,D,D)")</f>
        <v>4981.8</v>
      </c>
      <c r="AC502" s="9" cm="1">
        <f t="array" aca="1" ref="AC502" ca="1">_xll.FDS($E$9,"P_PRICE("&amp;AH502&amp;",0,D,D)")</f>
        <v>4953.17</v>
      </c>
      <c r="AD502" s="9" cm="1">
        <f t="array" aca="1" ref="AD502" ca="1">_xll.FDS($E$9,"P_PRICE("&amp;AI502&amp;",0,D,D)")</f>
        <v>4954.2299999999996</v>
      </c>
      <c r="AE502" s="9" cm="1">
        <f t="array" aca="1" ref="AE502" ca="1">_xll.FDS($E$9,"P_PRICE("&amp;AJ502&amp;",0,D,D)")</f>
        <v>4864.6000000000004</v>
      </c>
      <c r="AF502" s="9" cm="1">
        <f t="array" aca="1" ref="AF502" ca="1">_xll.FDS($E$9,"P_PRICE("&amp;AK502&amp;",0,D,D)")</f>
        <v>4556.62</v>
      </c>
      <c r="AG502" s="20">
        <f t="shared" ca="1" si="135"/>
        <v>45343</v>
      </c>
      <c r="AH502" s="22">
        <f t="shared" ca="1" si="130"/>
        <v>45335</v>
      </c>
      <c r="AI502" s="22">
        <f t="shared" ca="1" si="131"/>
        <v>45328</v>
      </c>
      <c r="AJ502" s="22">
        <f t="shared" ca="1" si="132"/>
        <v>45314</v>
      </c>
      <c r="AK502" s="22">
        <f t="shared" ca="1" si="133"/>
        <v>45252</v>
      </c>
      <c r="AL502" s="22">
        <f t="shared" ca="1" si="134"/>
        <v>45167</v>
      </c>
    </row>
    <row r="503" spans="4:38" x14ac:dyDescent="0.25">
      <c r="D503" s="6">
        <f ca="1"/>
        <v>45342</v>
      </c>
      <c r="E503" s="28" cm="1">
        <f t="array" aca="1" ref="E503" ca="1">_xll.FDS($E$7,"P_PRICE("&amp;D503&amp;",0,D,D)")</f>
        <v>77.58</v>
      </c>
      <c r="F503" s="29" cm="1">
        <f t="array" aca="1" ref="F503" ca="1">_xll.FDS($E$7,"P_BETA_LOCIDX("&amp;$AG503&amp;","&amp;$AL503&amp;",,"""&amp;$E$9&amp;""")")</f>
        <v>1.2254316000000001</v>
      </c>
      <c r="G503" s="30">
        <f t="shared" ca="1" si="120"/>
        <v>6.1955521097247918E-2</v>
      </c>
      <c r="H503" s="30">
        <f t="shared" ca="1" si="120"/>
        <v>6.0487990207664877E-2</v>
      </c>
      <c r="I503" s="30">
        <f t="shared" ca="1" si="120"/>
        <v>7.2583757475469995E-2</v>
      </c>
      <c r="J503" s="30">
        <f t="shared" ca="1" si="120"/>
        <v>0.15101064959937877</v>
      </c>
      <c r="K503" s="30">
        <f t="shared" ca="1" si="121"/>
        <v>-1.1305466926066963E-2</v>
      </c>
      <c r="L503" s="30">
        <f t="shared" ca="1" si="121"/>
        <v>8.1070511146493184E-3</v>
      </c>
      <c r="M503" s="30">
        <f t="shared" ca="1" si="121"/>
        <v>3.1600700252967212E-2</v>
      </c>
      <c r="N503" s="30">
        <f t="shared" ca="1" si="121"/>
        <v>0.11808799263847486</v>
      </c>
      <c r="O503" s="30">
        <f t="shared" ca="1" si="122"/>
        <v>5.0650054171180958E-2</v>
      </c>
      <c r="P503" s="30">
        <f t="shared" ca="1" si="123"/>
        <v>6.8595041322314199E-2</v>
      </c>
      <c r="Q503" s="30">
        <f t="shared" ca="1" si="124"/>
        <v>0.10418445772843721</v>
      </c>
      <c r="R503" s="30">
        <f t="shared" ca="1" si="125"/>
        <v>0.26909864223785362</v>
      </c>
      <c r="S503" s="9" cm="1">
        <f t="array" aca="1" ref="S503" ca="1">_xll.FDS($E$7,"P_PRICE("&amp;AG503&amp;",0,D,D)")</f>
        <v>77.58</v>
      </c>
      <c r="T503" s="9" cm="1">
        <f t="array" aca="1" ref="T503" ca="1">_xll.FDS($E$7,"P_PRICE("&amp;AH503&amp;",0,D,D)")</f>
        <v>73.84</v>
      </c>
      <c r="U503" s="9" cm="1">
        <f t="array" aca="1" ref="U503" ca="1">_xll.FDS($E$7,"P_PRICE("&amp;AI503&amp;",0,D,D)")</f>
        <v>72.599999999999994</v>
      </c>
      <c r="V503" s="9" cm="1">
        <f t="array" aca="1" ref="V503" ca="1">_xll.FDS($E$7,"P_PRICE("&amp;AJ503&amp;",0,D,D)")</f>
        <v>70.260000000000005</v>
      </c>
      <c r="W503" s="9" cm="1">
        <f t="array" aca="1" ref="W503" ca="1">_xll.FDS($E$7,"P_PRICE("&amp;AK503&amp;",0,D,D)")</f>
        <v>61.13</v>
      </c>
      <c r="X503" s="24">
        <f t="shared" ca="1" si="126"/>
        <v>-9.2257021330827138E-3</v>
      </c>
      <c r="Y503" s="24">
        <f t="shared" ca="1" si="127"/>
        <v>6.6156700338471097E-3</v>
      </c>
      <c r="Z503" s="24">
        <f t="shared" ca="1" si="128"/>
        <v>2.578740441569094E-2</v>
      </c>
      <c r="AA503" s="24">
        <f t="shared" ca="1" si="129"/>
        <v>9.636440959942183E-2</v>
      </c>
      <c r="AB503" s="9" cm="1">
        <f t="array" aca="1" ref="AB503" ca="1">_xll.FDS($E$9,"P_PRICE("&amp;AG503&amp;",0,D,D)")</f>
        <v>4975.51</v>
      </c>
      <c r="AC503" s="9" cm="1">
        <f t="array" aca="1" ref="AC503" ca="1">_xll.FDS($E$9,"P_PRICE("&amp;AH503&amp;",0,D,D)")</f>
        <v>5021.84</v>
      </c>
      <c r="AD503" s="9" cm="1">
        <f t="array" aca="1" ref="AD503" ca="1">_xll.FDS($E$9,"P_PRICE("&amp;AI503&amp;",0,D,D)")</f>
        <v>4942.8100000000004</v>
      </c>
      <c r="AE503" s="9" cm="1">
        <f t="array" aca="1" ref="AE503" ca="1">_xll.FDS($E$9,"P_PRICE("&amp;AJ503&amp;",0,D,D)")</f>
        <v>4850.43</v>
      </c>
      <c r="AF503" s="9" cm="1">
        <f t="array" aca="1" ref="AF503" ca="1">_xll.FDS($E$9,"P_PRICE("&amp;AK503&amp;",0,D,D)")</f>
        <v>4538.1899999999996</v>
      </c>
      <c r="AG503" s="20">
        <f t="shared" ca="1" si="135"/>
        <v>45342</v>
      </c>
      <c r="AH503" s="22">
        <f t="shared" ca="1" si="130"/>
        <v>45334</v>
      </c>
      <c r="AI503" s="22">
        <f t="shared" ca="1" si="131"/>
        <v>45327</v>
      </c>
      <c r="AJ503" s="22">
        <f t="shared" ca="1" si="132"/>
        <v>45313</v>
      </c>
      <c r="AK503" s="22">
        <f t="shared" ca="1" si="133"/>
        <v>45251</v>
      </c>
      <c r="AL503" s="22">
        <f t="shared" ca="1" si="134"/>
        <v>45166</v>
      </c>
    </row>
    <row r="504" spans="4:38" x14ac:dyDescent="0.25">
      <c r="D504" s="6">
        <f ca="1"/>
        <v>45338</v>
      </c>
      <c r="E504" s="28" cm="1">
        <f t="array" aca="1" ref="E504" ca="1">_xll.FDS($E$7,"P_PRICE("&amp;D504&amp;",0,D,D)")</f>
        <v>77.59</v>
      </c>
      <c r="F504" s="29" cm="1">
        <f t="array" aca="1" ref="F504" ca="1">_xll.FDS($E$7,"P_BETA_LOCIDX("&amp;$AG504&amp;","&amp;$AL504&amp;",,"""&amp;$E$9&amp;""")")</f>
        <v>1.230267</v>
      </c>
      <c r="G504" s="30">
        <f t="shared" ca="1" si="120"/>
        <v>5.6647050475718094E-2</v>
      </c>
      <c r="H504" s="30">
        <f t="shared" ca="1" si="120"/>
        <v>4.7887324930909601E-2</v>
      </c>
      <c r="I504" s="30">
        <f t="shared" ca="1" si="120"/>
        <v>6.8514114205247695E-2</v>
      </c>
      <c r="J504" s="30">
        <f t="shared" ca="1" si="120"/>
        <v>0.19694506771156384</v>
      </c>
      <c r="K504" s="30">
        <f t="shared" ca="1" si="121"/>
        <v>-5.1495575905033276E-3</v>
      </c>
      <c r="L504" s="30">
        <f t="shared" ca="1" si="121"/>
        <v>1.1651115598927985E-2</v>
      </c>
      <c r="M504" s="30">
        <f t="shared" ca="1" si="121"/>
        <v>4.213575696566571E-2</v>
      </c>
      <c r="N504" s="30">
        <f t="shared" ca="1" si="121"/>
        <v>0.12396061836266158</v>
      </c>
      <c r="O504" s="30">
        <f t="shared" ca="1" si="122"/>
        <v>5.1497492885214768E-2</v>
      </c>
      <c r="P504" s="30">
        <f t="shared" ca="1" si="123"/>
        <v>5.9538440529837588E-2</v>
      </c>
      <c r="Q504" s="30">
        <f t="shared" ca="1" si="124"/>
        <v>0.11064987117091341</v>
      </c>
      <c r="R504" s="30">
        <f t="shared" ca="1" si="125"/>
        <v>0.32090568607422543</v>
      </c>
      <c r="S504" s="9" cm="1">
        <f t="array" aca="1" ref="S504" ca="1">_xll.FDS($E$7,"P_PRICE("&amp;AG504&amp;",0,D,D)")</f>
        <v>77.59</v>
      </c>
      <c r="T504" s="9" cm="1">
        <f t="array" aca="1" ref="T504" ca="1">_xll.FDS($E$7,"P_PRICE("&amp;AH504&amp;",0,D,D)")</f>
        <v>73.790000000000006</v>
      </c>
      <c r="U504" s="9" cm="1">
        <f t="array" aca="1" ref="U504" ca="1">_xll.FDS($E$7,"P_PRICE("&amp;AI504&amp;",0,D,D)")</f>
        <v>73.23</v>
      </c>
      <c r="V504" s="9" cm="1">
        <f t="array" aca="1" ref="V504" ca="1">_xll.FDS($E$7,"P_PRICE("&amp;AJ504&amp;",0,D,D)")</f>
        <v>69.86</v>
      </c>
      <c r="W504" s="9" cm="1">
        <f t="array" aca="1" ref="W504" ca="1">_xll.FDS($E$7,"P_PRICE("&amp;AK504&amp;",0,D,D)")</f>
        <v>58.74</v>
      </c>
      <c r="X504" s="24">
        <f t="shared" ca="1" si="126"/>
        <v>-4.1857235791119551E-3</v>
      </c>
      <c r="Y504" s="24">
        <f t="shared" ca="1" si="127"/>
        <v>9.4703959375712632E-3</v>
      </c>
      <c r="Z504" s="24">
        <f t="shared" ca="1" si="128"/>
        <v>3.4249278380762638E-2</v>
      </c>
      <c r="AA504" s="24">
        <f t="shared" ca="1" si="129"/>
        <v>0.10075911843742991</v>
      </c>
      <c r="AB504" s="9" cm="1">
        <f t="array" aca="1" ref="AB504" ca="1">_xll.FDS($E$9,"P_PRICE("&amp;AG504&amp;",0,D,D)")</f>
        <v>5005.57</v>
      </c>
      <c r="AC504" s="9" cm="1">
        <f t="array" aca="1" ref="AC504" ca="1">_xll.FDS($E$9,"P_PRICE("&amp;AH504&amp;",0,D,D)")</f>
        <v>5026.6099999999997</v>
      </c>
      <c r="AD504" s="9" cm="1">
        <f t="array" aca="1" ref="AD504" ca="1">_xll.FDS($E$9,"P_PRICE("&amp;AI504&amp;",0,D,D)")</f>
        <v>4958.6099999999997</v>
      </c>
      <c r="AE504" s="9" cm="1">
        <f t="array" aca="1" ref="AE504" ca="1">_xll.FDS($E$9,"P_PRICE("&amp;AJ504&amp;",0,D,D)")</f>
        <v>4839.8100000000004</v>
      </c>
      <c r="AF504" s="9" cm="1">
        <f t="array" aca="1" ref="AF504" ca="1">_xll.FDS($E$9,"P_PRICE("&amp;AK504&amp;",0,D,D)")</f>
        <v>4547.38</v>
      </c>
      <c r="AG504" s="20">
        <f t="shared" ca="1" si="135"/>
        <v>45338</v>
      </c>
      <c r="AH504" s="22">
        <f t="shared" ca="1" si="130"/>
        <v>45331</v>
      </c>
      <c r="AI504" s="22">
        <f t="shared" ca="1" si="131"/>
        <v>45324</v>
      </c>
      <c r="AJ504" s="22">
        <f t="shared" ca="1" si="132"/>
        <v>45310</v>
      </c>
      <c r="AK504" s="22">
        <f t="shared" ca="1" si="133"/>
        <v>45250</v>
      </c>
      <c r="AL504" s="22">
        <f t="shared" ca="1" si="134"/>
        <v>45163</v>
      </c>
    </row>
    <row r="505" spans="4:38" x14ac:dyDescent="0.25">
      <c r="D505" s="6">
        <f ca="1"/>
        <v>45337</v>
      </c>
      <c r="E505" s="28" cm="1">
        <f t="array" aca="1" ref="E505" ca="1">_xll.FDS($E$7,"P_PRICE("&amp;D505&amp;",0,D,D)")</f>
        <v>76.150000000000006</v>
      </c>
      <c r="F505" s="29" cm="1">
        <f t="array" aca="1" ref="F505" ca="1">_xll.FDS($E$7,"P_BETA_LOCIDX("&amp;$AG505&amp;","&amp;$AL505&amp;",,"""&amp;$E$9&amp;""")")</f>
        <v>1.2557231</v>
      </c>
      <c r="G505" s="30">
        <f t="shared" ca="1" si="120"/>
        <v>1.2099007311418509E-2</v>
      </c>
      <c r="H505" s="30">
        <f t="shared" ca="1" si="120"/>
        <v>8.6808921391429358E-3</v>
      </c>
      <c r="I505" s="30">
        <f t="shared" ca="1" si="120"/>
        <v>3.3817644835091532E-2</v>
      </c>
      <c r="J505" s="30">
        <f t="shared" ca="1" si="120"/>
        <v>0.12127838152396994</v>
      </c>
      <c r="K505" s="30">
        <f t="shared" ca="1" si="121"/>
        <v>7.9947636195928807E-3</v>
      </c>
      <c r="L505" s="30">
        <f t="shared" ca="1" si="121"/>
        <v>3.1619654308944513E-2</v>
      </c>
      <c r="M505" s="30">
        <f t="shared" ca="1" si="121"/>
        <v>6.534517271687168E-2</v>
      </c>
      <c r="N505" s="30">
        <f t="shared" ca="1" si="121"/>
        <v>0.14346169487529939</v>
      </c>
      <c r="O505" s="30">
        <f t="shared" ca="1" si="122"/>
        <v>2.009377093101139E-2</v>
      </c>
      <c r="P505" s="30">
        <f t="shared" ca="1" si="123"/>
        <v>4.0300546448087449E-2</v>
      </c>
      <c r="Q505" s="30">
        <f t="shared" ca="1" si="124"/>
        <v>9.9162817551963212E-2</v>
      </c>
      <c r="R505" s="30">
        <f t="shared" ca="1" si="125"/>
        <v>0.26474007639926933</v>
      </c>
      <c r="S505" s="9" cm="1">
        <f t="array" aca="1" ref="S505" ca="1">_xll.FDS($E$7,"P_PRICE("&amp;AG505&amp;",0,D,D)")</f>
        <v>76.150000000000006</v>
      </c>
      <c r="T505" s="9" cm="1">
        <f t="array" aca="1" ref="T505" ca="1">_xll.FDS($E$7,"P_PRICE("&amp;AH505&amp;",0,D,D)")</f>
        <v>74.650000000000006</v>
      </c>
      <c r="U505" s="9" cm="1">
        <f t="array" aca="1" ref="U505" ca="1">_xll.FDS($E$7,"P_PRICE("&amp;AI505&amp;",0,D,D)")</f>
        <v>73.2</v>
      </c>
      <c r="V505" s="9" cm="1">
        <f t="array" aca="1" ref="V505" ca="1">_xll.FDS($E$7,"P_PRICE("&amp;AJ505&amp;",0,D,D)")</f>
        <v>69.28</v>
      </c>
      <c r="W505" s="9" cm="1">
        <f t="array" aca="1" ref="W505" ca="1">_xll.FDS($E$7,"P_PRICE("&amp;AK505&amp;",0,D,D)")</f>
        <v>60.21</v>
      </c>
      <c r="X505" s="24">
        <f t="shared" ca="1" si="126"/>
        <v>6.3666612644084353E-3</v>
      </c>
      <c r="Y505" s="24">
        <f t="shared" ca="1" si="127"/>
        <v>2.5180435327616824E-2</v>
      </c>
      <c r="Z505" s="24">
        <f t="shared" ca="1" si="128"/>
        <v>5.2037883763444093E-2</v>
      </c>
      <c r="AA505" s="24">
        <f t="shared" ca="1" si="129"/>
        <v>0.11424628158492856</v>
      </c>
      <c r="AB505" s="9" cm="1">
        <f t="array" aca="1" ref="AB505" ca="1">_xll.FDS($E$9,"P_PRICE("&amp;AG505&amp;",0,D,D)")</f>
        <v>5029.7299999999996</v>
      </c>
      <c r="AC505" s="9" cm="1">
        <f t="array" aca="1" ref="AC505" ca="1">_xll.FDS($E$9,"P_PRICE("&amp;AH505&amp;",0,D,D)")</f>
        <v>4997.91</v>
      </c>
      <c r="AD505" s="9" cm="1">
        <f t="array" aca="1" ref="AD505" ca="1">_xll.FDS($E$9,"P_PRICE("&amp;AI505&amp;",0,D,D)")</f>
        <v>4906.1899999999996</v>
      </c>
      <c r="AE505" s="9" cm="1">
        <f t="array" aca="1" ref="AE505" ca="1">_xll.FDS($E$9,"P_PRICE("&amp;AJ505&amp;",0,D,D)")</f>
        <v>4780.9399999999996</v>
      </c>
      <c r="AF505" s="9" cm="1">
        <f t="array" aca="1" ref="AF505" ca="1">_xll.FDS($E$9,"P_PRICE("&amp;AK505&amp;",0,D,D)")</f>
        <v>4514.0200000000004</v>
      </c>
      <c r="AG505" s="20">
        <f t="shared" ca="1" si="135"/>
        <v>45337</v>
      </c>
      <c r="AH505" s="22">
        <f t="shared" ca="1" si="130"/>
        <v>45330</v>
      </c>
      <c r="AI505" s="22">
        <f t="shared" ca="1" si="131"/>
        <v>45323</v>
      </c>
      <c r="AJ505" s="22">
        <f t="shared" ca="1" si="132"/>
        <v>45309</v>
      </c>
      <c r="AK505" s="22">
        <f t="shared" ca="1" si="133"/>
        <v>45247</v>
      </c>
      <c r="AL505" s="22">
        <f t="shared" ca="1" si="134"/>
        <v>45162</v>
      </c>
    </row>
    <row r="506" spans="4:38" x14ac:dyDescent="0.25">
      <c r="D506" s="6">
        <f ca="1"/>
        <v>45336</v>
      </c>
      <c r="E506" s="28" cm="1">
        <f t="array" aca="1" ref="E506" ca="1">_xll.FDS($E$7,"P_PRICE("&amp;D506&amp;",0,D,D)")</f>
        <v>74.75</v>
      </c>
      <c r="F506" s="29" cm="1">
        <f t="array" aca="1" ref="F506" ca="1">_xll.FDS($E$7,"P_BETA_LOCIDX("&amp;$AG506&amp;","&amp;$AL506&amp;",,"""&amp;$E$9&amp;""")")</f>
        <v>1.2441001</v>
      </c>
      <c r="G506" s="30">
        <f t="shared" ca="1" si="120"/>
        <v>-8.4940394057711152E-4</v>
      </c>
      <c r="H506" s="30">
        <f t="shared" ca="1" si="120"/>
        <v>1.8787759818253147E-3</v>
      </c>
      <c r="I506" s="30">
        <f t="shared" ca="1" si="120"/>
        <v>2.999516446706911E-2</v>
      </c>
      <c r="J506" s="30">
        <f t="shared" ca="1" si="120"/>
        <v>0.12700438280781368</v>
      </c>
      <c r="K506" s="30">
        <f t="shared" ca="1" si="121"/>
        <v>1.3848075010108008E-3</v>
      </c>
      <c r="L506" s="30">
        <f t="shared" ca="1" si="121"/>
        <v>3.9787890684841204E-2</v>
      </c>
      <c r="M506" s="30">
        <f t="shared" ca="1" si="121"/>
        <v>6.8623295262501618E-2</v>
      </c>
      <c r="N506" s="30">
        <f t="shared" ca="1" si="121"/>
        <v>0.13587786081441988</v>
      </c>
      <c r="O506" s="30">
        <f t="shared" ca="1" si="122"/>
        <v>5.3540356043368931E-4</v>
      </c>
      <c r="P506" s="30">
        <f t="shared" ca="1" si="123"/>
        <v>4.1666666666666519E-2</v>
      </c>
      <c r="Q506" s="30">
        <f t="shared" ca="1" si="124"/>
        <v>9.8618459729570729E-2</v>
      </c>
      <c r="R506" s="30">
        <f t="shared" ca="1" si="125"/>
        <v>0.26288224362223356</v>
      </c>
      <c r="S506" s="9" cm="1">
        <f t="array" aca="1" ref="S506" ca="1">_xll.FDS($E$7,"P_PRICE("&amp;AG506&amp;",0,D,D)")</f>
        <v>74.75</v>
      </c>
      <c r="T506" s="9" cm="1">
        <f t="array" aca="1" ref="T506" ca="1">_xll.FDS($E$7,"P_PRICE("&amp;AH506&amp;",0,D,D)")</f>
        <v>74.709999999999994</v>
      </c>
      <c r="U506" s="9" cm="1">
        <f t="array" aca="1" ref="U506" ca="1">_xll.FDS($E$7,"P_PRICE("&amp;AI506&amp;",0,D,D)")</f>
        <v>71.760000000000005</v>
      </c>
      <c r="V506" s="9" cm="1">
        <f t="array" aca="1" ref="V506" ca="1">_xll.FDS($E$7,"P_PRICE("&amp;AJ506&amp;",0,D,D)")</f>
        <v>68.040000000000006</v>
      </c>
      <c r="W506" s="9" cm="1">
        <f t="array" aca="1" ref="W506" ca="1">_xll.FDS($E$7,"P_PRICE("&amp;AK506&amp;",0,D,D)")</f>
        <v>59.19</v>
      </c>
      <c r="X506" s="24">
        <f t="shared" ca="1" si="126"/>
        <v>1.1130997425454758E-3</v>
      </c>
      <c r="Y506" s="24">
        <f t="shared" ca="1" si="127"/>
        <v>3.1981261543859052E-2</v>
      </c>
      <c r="Z506" s="24">
        <f t="shared" ca="1" si="128"/>
        <v>5.5158982193234785E-2</v>
      </c>
      <c r="AA506" s="24">
        <f t="shared" ca="1" si="129"/>
        <v>0.10921778787287284</v>
      </c>
      <c r="AB506" s="9" cm="1">
        <f t="array" aca="1" ref="AB506" ca="1">_xll.FDS($E$9,"P_PRICE("&amp;AG506&amp;",0,D,D)")</f>
        <v>5000.62</v>
      </c>
      <c r="AC506" s="9" cm="1">
        <f t="array" aca="1" ref="AC506" ca="1">_xll.FDS($E$9,"P_PRICE("&amp;AH506&amp;",0,D,D)")</f>
        <v>4995.0600000000004</v>
      </c>
      <c r="AD506" s="9" cm="1">
        <f t="array" aca="1" ref="AD506" ca="1">_xll.FDS($E$9,"P_PRICE("&amp;AI506&amp;",0,D,D)")</f>
        <v>4845.6499999999996</v>
      </c>
      <c r="AE506" s="9" cm="1">
        <f t="array" aca="1" ref="AE506" ca="1">_xll.FDS($E$9,"P_PRICE("&amp;AJ506&amp;",0,D,D)")</f>
        <v>4739.21</v>
      </c>
      <c r="AF506" s="9" cm="1">
        <f t="array" aca="1" ref="AF506" ca="1">_xll.FDS($E$9,"P_PRICE("&amp;AK506&amp;",0,D,D)")</f>
        <v>4508.24</v>
      </c>
      <c r="AG506" s="20">
        <f t="shared" ca="1" si="135"/>
        <v>45336</v>
      </c>
      <c r="AH506" s="22">
        <f t="shared" ca="1" si="130"/>
        <v>45329</v>
      </c>
      <c r="AI506" s="22">
        <f t="shared" ca="1" si="131"/>
        <v>45322</v>
      </c>
      <c r="AJ506" s="22">
        <f t="shared" ca="1" si="132"/>
        <v>45308</v>
      </c>
      <c r="AK506" s="22">
        <f t="shared" ca="1" si="133"/>
        <v>45246</v>
      </c>
      <c r="AL506" s="22">
        <f t="shared" ca="1" si="134"/>
        <v>45161</v>
      </c>
    </row>
    <row r="507" spans="4:38" x14ac:dyDescent="0.25">
      <c r="D507" s="6">
        <f ca="1"/>
        <v>45335</v>
      </c>
      <c r="E507" s="28" cm="1">
        <f t="array" aca="1" ref="E507" ca="1">_xll.FDS($E$7,"P_PRICE("&amp;D507&amp;",0,D,D)")</f>
        <v>72.42</v>
      </c>
      <c r="F507" s="29" cm="1">
        <f t="array" aca="1" ref="F507" ca="1">_xll.FDS($E$7,"P_BETA_LOCIDX("&amp;$AG507&amp;","&amp;$AL507&amp;",,"""&amp;$E$9&amp;""")")</f>
        <v>1.2124374</v>
      </c>
      <c r="G507" s="30">
        <f t="shared" ca="1" si="120"/>
        <v>-1.2957648164319447E-2</v>
      </c>
      <c r="H507" s="30">
        <f t="shared" ca="1" si="120"/>
        <v>-3.0609816062438034E-3</v>
      </c>
      <c r="I507" s="30">
        <f t="shared" ca="1" si="120"/>
        <v>2.8617142624805962E-2</v>
      </c>
      <c r="J507" s="30">
        <f t="shared" ca="1" si="120"/>
        <v>0.10392912699872527</v>
      </c>
      <c r="K507" s="30">
        <f t="shared" ca="1" si="121"/>
        <v>-2.5941138057771027E-4</v>
      </c>
      <c r="L507" s="30">
        <f t="shared" ca="1" si="121"/>
        <v>6.9423234415640989E-3</v>
      </c>
      <c r="M507" s="30">
        <f t="shared" ca="1" si="121"/>
        <v>4.7620039720267633E-2</v>
      </c>
      <c r="N507" s="30">
        <f t="shared" ca="1" si="121"/>
        <v>0.12124427851641605</v>
      </c>
      <c r="O507" s="30">
        <f t="shared" ca="1" si="122"/>
        <v>-1.3217059544897158E-2</v>
      </c>
      <c r="P507" s="30">
        <f t="shared" ca="1" si="123"/>
        <v>3.8813418353202955E-3</v>
      </c>
      <c r="Q507" s="30">
        <f t="shared" ca="1" si="124"/>
        <v>7.6237182345073595E-2</v>
      </c>
      <c r="R507" s="30">
        <f t="shared" ca="1" si="125"/>
        <v>0.22517340551514131</v>
      </c>
      <c r="S507" s="9" cm="1">
        <f t="array" aca="1" ref="S507" ca="1">_xll.FDS($E$7,"P_PRICE("&amp;AG507&amp;",0,D,D)")</f>
        <v>72.42</v>
      </c>
      <c r="T507" s="9" cm="1">
        <f t="array" aca="1" ref="T507" ca="1">_xll.FDS($E$7,"P_PRICE("&amp;AH507&amp;",0,D,D)")</f>
        <v>73.39</v>
      </c>
      <c r="U507" s="9" cm="1">
        <f t="array" aca="1" ref="U507" ca="1">_xll.FDS($E$7,"P_PRICE("&amp;AI507&amp;",0,D,D)")</f>
        <v>72.14</v>
      </c>
      <c r="V507" s="9" cm="1">
        <f t="array" aca="1" ref="V507" ca="1">_xll.FDS($E$7,"P_PRICE("&amp;AJ507&amp;",0,D,D)")</f>
        <v>67.290000000000006</v>
      </c>
      <c r="W507" s="9" cm="1">
        <f t="array" aca="1" ref="W507" ca="1">_xll.FDS($E$7,"P_PRICE("&amp;AK507&amp;",0,D,D)")</f>
        <v>59.11</v>
      </c>
      <c r="X507" s="24">
        <f t="shared" ca="1" si="126"/>
        <v>-2.1395857681205666E-4</v>
      </c>
      <c r="Y507" s="24">
        <f t="shared" ca="1" si="127"/>
        <v>5.7259232035931085E-3</v>
      </c>
      <c r="Z507" s="24">
        <f t="shared" ca="1" si="128"/>
        <v>3.9276287353283257E-2</v>
      </c>
      <c r="AA507" s="24">
        <f t="shared" ca="1" si="129"/>
        <v>0.10000044416018183</v>
      </c>
      <c r="AB507" s="9" cm="1">
        <f t="array" aca="1" ref="AB507" ca="1">_xll.FDS($E$9,"P_PRICE("&amp;AG507&amp;",0,D,D)")</f>
        <v>4953.17</v>
      </c>
      <c r="AC507" s="9" cm="1">
        <f t="array" aca="1" ref="AC507" ca="1">_xll.FDS($E$9,"P_PRICE("&amp;AH507&amp;",0,D,D)")</f>
        <v>4954.2299999999996</v>
      </c>
      <c r="AD507" s="9" cm="1">
        <f t="array" aca="1" ref="AD507" ca="1">_xll.FDS($E$9,"P_PRICE("&amp;AI507&amp;",0,D,D)")</f>
        <v>4924.97</v>
      </c>
      <c r="AE507" s="9" cm="1">
        <f t="array" aca="1" ref="AE507" ca="1">_xll.FDS($E$9,"P_PRICE("&amp;AJ507&amp;",0,D,D)")</f>
        <v>4765.9799999999996</v>
      </c>
      <c r="AF507" s="9" cm="1">
        <f t="array" aca="1" ref="AF507" ca="1">_xll.FDS($E$9,"P_PRICE("&amp;AK507&amp;",0,D,D)")</f>
        <v>4502.88</v>
      </c>
      <c r="AG507" s="20">
        <f t="shared" ca="1" si="135"/>
        <v>45335</v>
      </c>
      <c r="AH507" s="22">
        <f t="shared" ca="1" si="130"/>
        <v>45328</v>
      </c>
      <c r="AI507" s="22">
        <f t="shared" ca="1" si="131"/>
        <v>45321</v>
      </c>
      <c r="AJ507" s="22">
        <f t="shared" ca="1" si="132"/>
        <v>45307</v>
      </c>
      <c r="AK507" s="22">
        <f t="shared" ca="1" si="133"/>
        <v>45245</v>
      </c>
      <c r="AL507" s="22">
        <f t="shared" ca="1" si="134"/>
        <v>45160</v>
      </c>
    </row>
    <row r="508" spans="4:38" x14ac:dyDescent="0.25">
      <c r="D508" s="6">
        <f ca="1"/>
        <v>45334</v>
      </c>
      <c r="E508" s="28" cm="1">
        <f t="array" aca="1" ref="E508" ca="1">_xll.FDS($E$7,"P_PRICE("&amp;D508&amp;",0,D,D)")</f>
        <v>73.84</v>
      </c>
      <c r="F508" s="29" cm="1">
        <f t="array" aca="1" ref="F508" ca="1">_xll.FDS($E$7,"P_BETA_LOCIDX("&amp;$AG508&amp;","&amp;$AL508&amp;",,"""&amp;$E$9&amp;""")")</f>
        <v>1.1983653999999999</v>
      </c>
      <c r="G508" s="30">
        <f t="shared" ca="1" si="120"/>
        <v>-2.0806317508173036E-3</v>
      </c>
      <c r="H508" s="30">
        <f t="shared" ca="1" si="120"/>
        <v>2.1280777477884087E-2</v>
      </c>
      <c r="I508" s="30">
        <f t="shared" ca="1" si="120"/>
        <v>1.5665307095639923E-2</v>
      </c>
      <c r="J508" s="30">
        <f t="shared" ca="1" si="120"/>
        <v>8.7759090759226388E-2</v>
      </c>
      <c r="K508" s="30">
        <f t="shared" ca="1" si="121"/>
        <v>1.9160521557979988E-2</v>
      </c>
      <c r="L508" s="30">
        <f t="shared" ca="1" si="121"/>
        <v>2.2836869580939508E-2</v>
      </c>
      <c r="M508" s="30">
        <f t="shared" ca="1" si="121"/>
        <v>5.9622300302059207E-2</v>
      </c>
      <c r="N508" s="30">
        <f t="shared" ca="1" si="121"/>
        <v>0.14024689626887932</v>
      </c>
      <c r="O508" s="30">
        <f t="shared" ca="1" si="122"/>
        <v>1.7079889807162685E-2</v>
      </c>
      <c r="P508" s="30">
        <f t="shared" ca="1" si="123"/>
        <v>4.4117647058823595E-2</v>
      </c>
      <c r="Q508" s="30">
        <f t="shared" ca="1" si="124"/>
        <v>7.528760739769913E-2</v>
      </c>
      <c r="R508" s="30">
        <f t="shared" ca="1" si="125"/>
        <v>0.22800598702810571</v>
      </c>
      <c r="S508" s="9" cm="1">
        <f t="array" aca="1" ref="S508" ca="1">_xll.FDS($E$7,"P_PRICE("&amp;AG508&amp;",0,D,D)")</f>
        <v>73.84</v>
      </c>
      <c r="T508" s="9" cm="1">
        <f t="array" aca="1" ref="T508" ca="1">_xll.FDS($E$7,"P_PRICE("&amp;AH508&amp;",0,D,D)")</f>
        <v>72.599999999999994</v>
      </c>
      <c r="U508" s="9" cm="1">
        <f t="array" aca="1" ref="U508" ca="1">_xll.FDS($E$7,"P_PRICE("&amp;AI508&amp;",0,D,D)")</f>
        <v>70.72</v>
      </c>
      <c r="V508" s="9" cm="1">
        <f t="array" aca="1" ref="V508" ca="1">_xll.FDS($E$7,"P_PRICE("&amp;AJ508&amp;",0,D,D)")</f>
        <v>68.67</v>
      </c>
      <c r="W508" s="9" cm="1">
        <f t="array" aca="1" ref="W508" ca="1">_xll.FDS($E$7,"P_PRICE("&amp;AK508&amp;",0,D,D)")</f>
        <v>60.13</v>
      </c>
      <c r="X508" s="24">
        <f t="shared" ca="1" si="126"/>
        <v>1.598888081880534E-2</v>
      </c>
      <c r="Y508" s="24">
        <f t="shared" ca="1" si="127"/>
        <v>1.9056683029182508E-2</v>
      </c>
      <c r="Z508" s="24">
        <f t="shared" ca="1" si="128"/>
        <v>4.9753022160068383E-2</v>
      </c>
      <c r="AA508" s="24">
        <f t="shared" ca="1" si="129"/>
        <v>0.11703183041573073</v>
      </c>
      <c r="AB508" s="9" cm="1">
        <f t="array" aca="1" ref="AB508" ca="1">_xll.FDS($E$9,"P_PRICE("&amp;AG508&amp;",0,D,D)")</f>
        <v>5021.84</v>
      </c>
      <c r="AC508" s="9" cm="1">
        <f t="array" aca="1" ref="AC508" ca="1">_xll.FDS($E$9,"P_PRICE("&amp;AH508&amp;",0,D,D)")</f>
        <v>4942.8100000000004</v>
      </c>
      <c r="AD508" s="9" cm="1">
        <f t="array" aca="1" ref="AD508" ca="1">_xll.FDS($E$9,"P_PRICE("&amp;AI508&amp;",0,D,D)")</f>
        <v>4927.93</v>
      </c>
      <c r="AE508" s="9" cm="1">
        <f t="array" aca="1" ref="AE508" ca="1">_xll.FDS($E$9,"P_PRICE("&amp;AJ508&amp;",0,D,D)")</f>
        <v>4783.83</v>
      </c>
      <c r="AF508" s="9" cm="1">
        <f t="array" aca="1" ref="AF508" ca="1">_xll.FDS($E$9,"P_PRICE("&amp;AK508&amp;",0,D,D)")</f>
        <v>4495.7</v>
      </c>
      <c r="AG508" s="20">
        <f t="shared" ca="1" si="135"/>
        <v>45334</v>
      </c>
      <c r="AH508" s="22">
        <f t="shared" ca="1" si="130"/>
        <v>45327</v>
      </c>
      <c r="AI508" s="22">
        <f t="shared" ca="1" si="131"/>
        <v>45320</v>
      </c>
      <c r="AJ508" s="22">
        <f t="shared" ca="1" si="132"/>
        <v>45303</v>
      </c>
      <c r="AK508" s="22">
        <f t="shared" ca="1" si="133"/>
        <v>45244</v>
      </c>
      <c r="AL508" s="22">
        <f t="shared" ca="1" si="134"/>
        <v>45159</v>
      </c>
    </row>
    <row r="509" spans="4:38" x14ac:dyDescent="0.25">
      <c r="D509" s="6">
        <f ca="1"/>
        <v>45331</v>
      </c>
      <c r="E509" s="28" cm="1">
        <f t="array" aca="1" ref="E509" ca="1">_xll.FDS($E$7,"P_PRICE("&amp;D509&amp;",0,D,D)")</f>
        <v>73.790000000000006</v>
      </c>
      <c r="F509" s="29" cm="1">
        <f t="array" aca="1" ref="F509" ca="1">_xll.FDS($E$7,"P_BETA_LOCIDX("&amp;$AG509&amp;","&amp;$AL509&amp;",,"""&amp;$E$9&amp;""")")</f>
        <v>1.1983714999999999</v>
      </c>
      <c r="G509" s="30">
        <f t="shared" ca="1" si="120"/>
        <v>-8.7867530086731677E-3</v>
      </c>
      <c r="H509" s="30">
        <f t="shared" ca="1" si="120"/>
        <v>2.1662229148696699E-2</v>
      </c>
      <c r="I509" s="30">
        <f t="shared" ca="1" si="120"/>
        <v>1.2014476191237314E-2</v>
      </c>
      <c r="J509" s="30">
        <f t="shared" ca="1" si="120"/>
        <v>6.8728981535029432E-2</v>
      </c>
      <c r="K509" s="30">
        <f t="shared" ca="1" si="121"/>
        <v>1.6433892159294597E-2</v>
      </c>
      <c r="L509" s="30">
        <f t="shared" ca="1" si="121"/>
        <v>3.3234125390259772E-2</v>
      </c>
      <c r="M509" s="30">
        <f t="shared" ca="1" si="121"/>
        <v>6.176317223716786E-2</v>
      </c>
      <c r="N509" s="30">
        <f t="shared" ca="1" si="121"/>
        <v>0.16707741605331433</v>
      </c>
      <c r="O509" s="30">
        <f t="shared" ca="1" si="122"/>
        <v>7.6471391506214292E-3</v>
      </c>
      <c r="P509" s="30">
        <f t="shared" ca="1" si="123"/>
        <v>5.4896354538956471E-2</v>
      </c>
      <c r="Q509" s="30">
        <f t="shared" ca="1" si="124"/>
        <v>7.3777648428405174E-2</v>
      </c>
      <c r="R509" s="30">
        <f t="shared" ca="1" si="125"/>
        <v>0.23580639758834376</v>
      </c>
      <c r="S509" s="9" cm="1">
        <f t="array" aca="1" ref="S509" ca="1">_xll.FDS($E$7,"P_PRICE("&amp;AG509&amp;",0,D,D)")</f>
        <v>73.790000000000006</v>
      </c>
      <c r="T509" s="9" cm="1">
        <f t="array" aca="1" ref="T509" ca="1">_xll.FDS($E$7,"P_PRICE("&amp;AH509&amp;",0,D,D)")</f>
        <v>73.23</v>
      </c>
      <c r="U509" s="9" cm="1">
        <f t="array" aca="1" ref="U509" ca="1">_xll.FDS($E$7,"P_PRICE("&amp;AI509&amp;",0,D,D)")</f>
        <v>69.95</v>
      </c>
      <c r="V509" s="9" cm="1">
        <f t="array" aca="1" ref="V509" ca="1">_xll.FDS($E$7,"P_PRICE("&amp;AJ509&amp;",0,D,D)")</f>
        <v>68.72</v>
      </c>
      <c r="W509" s="9" cm="1">
        <f t="array" aca="1" ref="W509" ca="1">_xll.FDS($E$7,"P_PRICE("&amp;AK509&amp;",0,D,D)")</f>
        <v>59.71</v>
      </c>
      <c r="X509" s="24">
        <f t="shared" ca="1" si="126"/>
        <v>1.3713520522888434E-2</v>
      </c>
      <c r="Y509" s="24">
        <f t="shared" ca="1" si="127"/>
        <v>2.7732740131303002E-2</v>
      </c>
      <c r="Z509" s="24">
        <f t="shared" ca="1" si="128"/>
        <v>5.1539253259250462E-2</v>
      </c>
      <c r="AA509" s="24">
        <f t="shared" ca="1" si="129"/>
        <v>0.13942038512540922</v>
      </c>
      <c r="AB509" s="9" cm="1">
        <f t="array" aca="1" ref="AB509" ca="1">_xll.FDS($E$9,"P_PRICE("&amp;AG509&amp;",0,D,D)")</f>
        <v>5026.6099999999997</v>
      </c>
      <c r="AC509" s="9" cm="1">
        <f t="array" aca="1" ref="AC509" ca="1">_xll.FDS($E$9,"P_PRICE("&amp;AH509&amp;",0,D,D)")</f>
        <v>4958.6099999999997</v>
      </c>
      <c r="AD509" s="9" cm="1">
        <f t="array" aca="1" ref="AD509" ca="1">_xll.FDS($E$9,"P_PRICE("&amp;AI509&amp;",0,D,D)")</f>
        <v>4890.97</v>
      </c>
      <c r="AE509" s="9" cm="1">
        <f t="array" aca="1" ref="AE509" ca="1">_xll.FDS($E$9,"P_PRICE("&amp;AJ509&amp;",0,D,D)")</f>
        <v>4780.24</v>
      </c>
      <c r="AF509" s="9" cm="1">
        <f t="array" aca="1" ref="AF509" ca="1">_xll.FDS($E$9,"P_PRICE("&amp;AK509&amp;",0,D,D)")</f>
        <v>4411.55</v>
      </c>
      <c r="AG509" s="20">
        <f t="shared" ca="1" si="135"/>
        <v>45331</v>
      </c>
      <c r="AH509" s="22">
        <f t="shared" ca="1" si="130"/>
        <v>45324</v>
      </c>
      <c r="AI509" s="22">
        <f t="shared" ca="1" si="131"/>
        <v>45317</v>
      </c>
      <c r="AJ509" s="22">
        <f t="shared" ca="1" si="132"/>
        <v>45302</v>
      </c>
      <c r="AK509" s="22">
        <f t="shared" ca="1" si="133"/>
        <v>45243</v>
      </c>
      <c r="AL509" s="22">
        <f t="shared" ca="1" si="134"/>
        <v>45156</v>
      </c>
    </row>
    <row r="510" spans="4:38" x14ac:dyDescent="0.25">
      <c r="D510" s="6">
        <f ca="1"/>
        <v>45330</v>
      </c>
      <c r="E510" s="28" cm="1">
        <f t="array" aca="1" ref="E510" ca="1">_xll.FDS($E$7,"P_PRICE("&amp;D510&amp;",0,D,D)")</f>
        <v>74.650000000000006</v>
      </c>
      <c r="F510" s="29" cm="1">
        <f t="array" aca="1" ref="F510" ca="1">_xll.FDS($E$7,"P_BETA_LOCIDX("&amp;$AG510&amp;","&amp;$AL510&amp;",,"""&amp;$E$9&amp;""")")</f>
        <v>1.2269433999999999</v>
      </c>
      <c r="G510" s="30">
        <f t="shared" ca="1" si="120"/>
        <v>-3.12865808248914E-3</v>
      </c>
      <c r="H510" s="30">
        <f t="shared" ca="1" si="120"/>
        <v>2.673326577830858E-2</v>
      </c>
      <c r="I510" s="30">
        <f t="shared" ca="1" si="120"/>
        <v>2.1881313206369005E-2</v>
      </c>
      <c r="J510" s="30">
        <f t="shared" ca="1" si="120"/>
        <v>8.5159354270934795E-2</v>
      </c>
      <c r="K510" s="30">
        <f t="shared" ca="1" si="121"/>
        <v>2.2937401251888097E-2</v>
      </c>
      <c r="L510" s="30">
        <f t="shared" ca="1" si="121"/>
        <v>2.6009647774081889E-2</v>
      </c>
      <c r="M510" s="30">
        <f t="shared" ca="1" si="121"/>
        <v>5.5008473291034629E-2</v>
      </c>
      <c r="N510" s="30">
        <f t="shared" ca="1" si="121"/>
        <v>0.16191715759007441</v>
      </c>
      <c r="O510" s="30">
        <f t="shared" ca="1" si="122"/>
        <v>1.9808743169398957E-2</v>
      </c>
      <c r="P510" s="30">
        <f t="shared" ca="1" si="123"/>
        <v>5.2742913552390469E-2</v>
      </c>
      <c r="Q510" s="30">
        <f t="shared" ca="1" si="124"/>
        <v>7.6889786497403634E-2</v>
      </c>
      <c r="R510" s="30">
        <f t="shared" ca="1" si="125"/>
        <v>0.24707651186100921</v>
      </c>
      <c r="S510" s="9" cm="1">
        <f t="array" aca="1" ref="S510" ca="1">_xll.FDS($E$7,"P_PRICE("&amp;AG510&amp;",0,D,D)")</f>
        <v>74.650000000000006</v>
      </c>
      <c r="T510" s="9" cm="1">
        <f t="array" aca="1" ref="T510" ca="1">_xll.FDS($E$7,"P_PRICE("&amp;AH510&amp;",0,D,D)")</f>
        <v>73.2</v>
      </c>
      <c r="U510" s="9" cm="1">
        <f t="array" aca="1" ref="U510" ca="1">_xll.FDS($E$7,"P_PRICE("&amp;AI510&amp;",0,D,D)")</f>
        <v>70.91</v>
      </c>
      <c r="V510" s="9" cm="1">
        <f t="array" aca="1" ref="V510" ca="1">_xll.FDS($E$7,"P_PRICE("&amp;AJ510&amp;",0,D,D)")</f>
        <v>69.319999999999993</v>
      </c>
      <c r="W510" s="9" cm="1">
        <f t="array" aca="1" ref="W510" ca="1">_xll.FDS($E$7,"P_PRICE("&amp;AK510&amp;",0,D,D)")</f>
        <v>59.86</v>
      </c>
      <c r="X510" s="24">
        <f t="shared" ca="1" si="126"/>
        <v>1.8694750916699254E-2</v>
      </c>
      <c r="Y510" s="24">
        <f t="shared" ca="1" si="127"/>
        <v>2.1198734818641096E-2</v>
      </c>
      <c r="Z510" s="24">
        <f t="shared" ca="1" si="128"/>
        <v>4.4833749699484615E-2</v>
      </c>
      <c r="AA510" s="24">
        <f t="shared" ca="1" si="129"/>
        <v>0.13196791114412809</v>
      </c>
      <c r="AB510" s="9" cm="1">
        <f t="array" aca="1" ref="AB510" ca="1">_xll.FDS($E$9,"P_PRICE("&amp;AG510&amp;",0,D,D)")</f>
        <v>4997.91</v>
      </c>
      <c r="AC510" s="9" cm="1">
        <f t="array" aca="1" ref="AC510" ca="1">_xll.FDS($E$9,"P_PRICE("&amp;AH510&amp;",0,D,D)")</f>
        <v>4906.1899999999996</v>
      </c>
      <c r="AD510" s="9" cm="1">
        <f t="array" aca="1" ref="AD510" ca="1">_xll.FDS($E$9,"P_PRICE("&amp;AI510&amp;",0,D,D)")</f>
        <v>4894.16</v>
      </c>
      <c r="AE510" s="9" cm="1">
        <f t="array" aca="1" ref="AE510" ca="1">_xll.FDS($E$9,"P_PRICE("&amp;AJ510&amp;",0,D,D)")</f>
        <v>4783.45</v>
      </c>
      <c r="AF510" s="9" cm="1">
        <f t="array" aca="1" ref="AF510" ca="1">_xll.FDS($E$9,"P_PRICE("&amp;AK510&amp;",0,D,D)")</f>
        <v>4415.24</v>
      </c>
      <c r="AG510" s="20">
        <f t="shared" ca="1" si="135"/>
        <v>45330</v>
      </c>
      <c r="AH510" s="22">
        <f t="shared" ca="1" si="130"/>
        <v>45323</v>
      </c>
      <c r="AI510" s="22">
        <f t="shared" ca="1" si="131"/>
        <v>45316</v>
      </c>
      <c r="AJ510" s="22">
        <f t="shared" ca="1" si="132"/>
        <v>45301</v>
      </c>
      <c r="AK510" s="22">
        <f t="shared" ca="1" si="133"/>
        <v>45240</v>
      </c>
      <c r="AL510" s="22">
        <f t="shared" ca="1" si="134"/>
        <v>45155</v>
      </c>
    </row>
    <row r="511" spans="4:38" x14ac:dyDescent="0.25">
      <c r="D511" s="6">
        <f ca="1"/>
        <v>45329</v>
      </c>
      <c r="E511" s="28" cm="1">
        <f t="array" aca="1" ref="E511" ca="1">_xll.FDS($E$7,"P_PRICE("&amp;D511&amp;",0,D,D)")</f>
        <v>74.709999999999994</v>
      </c>
      <c r="F511" s="29" cm="1">
        <f t="array" aca="1" ref="F511" ca="1">_xll.FDS($E$7,"P_BETA_LOCIDX("&amp;$AG511&amp;","&amp;$AL511&amp;",,"""&amp;$E$9&amp;""")")</f>
        <v>1.2181412</v>
      </c>
      <c r="G511" s="30">
        <f t="shared" ca="1" si="120"/>
        <v>3.549281402117202E-3</v>
      </c>
      <c r="H511" s="30">
        <f t="shared" ca="1" si="120"/>
        <v>4.937666034912036E-2</v>
      </c>
      <c r="I511" s="30">
        <f t="shared" ca="1" si="120"/>
        <v>2.0247881828584821E-2</v>
      </c>
      <c r="J511" s="30">
        <f t="shared" ca="1" si="120"/>
        <v>9.8009526741493602E-2</v>
      </c>
      <c r="K511" s="30">
        <f t="shared" ca="1" si="121"/>
        <v>3.7559971663657418E-2</v>
      </c>
      <c r="L511" s="30">
        <f t="shared" ca="1" si="121"/>
        <v>3.1653581294635913E-2</v>
      </c>
      <c r="M511" s="30">
        <f t="shared" ca="1" si="121"/>
        <v>6.1095293739514514E-2</v>
      </c>
      <c r="N511" s="30">
        <f t="shared" ca="1" si="121"/>
        <v>0.18149038762740516</v>
      </c>
      <c r="O511" s="30">
        <f t="shared" ca="1" si="122"/>
        <v>4.110925306577462E-2</v>
      </c>
      <c r="P511" s="30">
        <f t="shared" ca="1" si="123"/>
        <v>8.1030241643756273E-2</v>
      </c>
      <c r="Q511" s="30">
        <f t="shared" ca="1" si="124"/>
        <v>8.1343175568099335E-2</v>
      </c>
      <c r="R511" s="30">
        <f t="shared" ca="1" si="125"/>
        <v>0.27949991436889876</v>
      </c>
      <c r="S511" s="9" cm="1">
        <f t="array" aca="1" ref="S511" ca="1">_xll.FDS($E$7,"P_PRICE("&amp;AG511&amp;",0,D,D)")</f>
        <v>74.709999999999994</v>
      </c>
      <c r="T511" s="9" cm="1">
        <f t="array" aca="1" ref="T511" ca="1">_xll.FDS($E$7,"P_PRICE("&amp;AH511&amp;",0,D,D)")</f>
        <v>71.760000000000005</v>
      </c>
      <c r="U511" s="9" cm="1">
        <f t="array" aca="1" ref="U511" ca="1">_xll.FDS($E$7,"P_PRICE("&amp;AI511&amp;",0,D,D)")</f>
        <v>69.11</v>
      </c>
      <c r="V511" s="9" cm="1">
        <f t="array" aca="1" ref="V511" ca="1">_xll.FDS($E$7,"P_PRICE("&amp;AJ511&amp;",0,D,D)")</f>
        <v>69.09</v>
      </c>
      <c r="W511" s="9" cm="1">
        <f t="array" aca="1" ref="W511" ca="1">_xll.FDS($E$7,"P_PRICE("&amp;AK511&amp;",0,D,D)")</f>
        <v>58.39</v>
      </c>
      <c r="X511" s="24">
        <f t="shared" ca="1" si="126"/>
        <v>3.0833840661211864E-2</v>
      </c>
      <c r="Y511" s="24">
        <f t="shared" ca="1" si="127"/>
        <v>2.5985149582524514E-2</v>
      </c>
      <c r="Z511" s="24">
        <f t="shared" ca="1" si="128"/>
        <v>5.0154525386313598E-2</v>
      </c>
      <c r="AA511" s="24">
        <f t="shared" ca="1" si="129"/>
        <v>0.14898961436277269</v>
      </c>
      <c r="AB511" s="9" cm="1">
        <f t="array" aca="1" ref="AB511" ca="1">_xll.FDS($E$9,"P_PRICE("&amp;AG511&amp;",0,D,D)")</f>
        <v>4995.0600000000004</v>
      </c>
      <c r="AC511" s="9" cm="1">
        <f t="array" aca="1" ref="AC511" ca="1">_xll.FDS($E$9,"P_PRICE("&amp;AH511&amp;",0,D,D)")</f>
        <v>4845.6499999999996</v>
      </c>
      <c r="AD511" s="9" cm="1">
        <f t="array" aca="1" ref="AD511" ca="1">_xll.FDS($E$9,"P_PRICE("&amp;AI511&amp;",0,D,D)")</f>
        <v>4868.55</v>
      </c>
      <c r="AE511" s="9" cm="1">
        <f t="array" aca="1" ref="AE511" ca="1">_xll.FDS($E$9,"P_PRICE("&amp;AJ511&amp;",0,D,D)")</f>
        <v>4756.5</v>
      </c>
      <c r="AF511" s="9" cm="1">
        <f t="array" aca="1" ref="AF511" ca="1">_xll.FDS($E$9,"P_PRICE("&amp;AK511&amp;",0,D,D)")</f>
        <v>4347.3500000000004</v>
      </c>
      <c r="AG511" s="20">
        <f t="shared" ca="1" si="135"/>
        <v>45329</v>
      </c>
      <c r="AH511" s="22">
        <f t="shared" ca="1" si="130"/>
        <v>45322</v>
      </c>
      <c r="AI511" s="22">
        <f t="shared" ca="1" si="131"/>
        <v>45315</v>
      </c>
      <c r="AJ511" s="22">
        <f t="shared" ca="1" si="132"/>
        <v>45300</v>
      </c>
      <c r="AK511" s="22">
        <f t="shared" ca="1" si="133"/>
        <v>45239</v>
      </c>
      <c r="AL511" s="22">
        <f t="shared" ca="1" si="134"/>
        <v>45154</v>
      </c>
    </row>
    <row r="512" spans="4:38" x14ac:dyDescent="0.25">
      <c r="D512" s="6">
        <f ca="1"/>
        <v>45328</v>
      </c>
      <c r="E512" s="28" cm="1">
        <f t="array" aca="1" ref="E512" ca="1">_xll.FDS($E$7,"P_PRICE("&amp;D512&amp;",0,D,D)")</f>
        <v>73.39</v>
      </c>
      <c r="F512" s="29" cm="1">
        <f t="array" aca="1" ref="F512" ca="1">_xll.FDS($E$7,"P_BETA_LOCIDX("&amp;$AG512&amp;","&amp;$AL512&amp;",,"""&amp;$E$9&amp;""")")</f>
        <v>1.2072147</v>
      </c>
      <c r="G512" s="30">
        <f t="shared" ca="1" si="120"/>
        <v>1.0155171742316348E-2</v>
      </c>
      <c r="H512" s="30">
        <f t="shared" ca="1" si="120"/>
        <v>3.6623096941402075E-2</v>
      </c>
      <c r="I512" s="30">
        <f t="shared" ca="1" si="120"/>
        <v>1.6840711839060253E-2</v>
      </c>
      <c r="J512" s="30">
        <f t="shared" ca="1" si="120"/>
        <v>8.8184209557254561E-2</v>
      </c>
      <c r="K512" s="30">
        <f t="shared" ca="1" si="121"/>
        <v>7.1722471653631785E-3</v>
      </c>
      <c r="L512" s="30">
        <f t="shared" ca="1" si="121"/>
        <v>2.2242867565883909E-2</v>
      </c>
      <c r="M512" s="30">
        <f t="shared" ca="1" si="121"/>
        <v>4.8326196724074753E-2</v>
      </c>
      <c r="N512" s="30">
        <f t="shared" ca="1" si="121"/>
        <v>0.15740302737417791</v>
      </c>
      <c r="O512" s="30">
        <f t="shared" ca="1" si="122"/>
        <v>1.7327418907679526E-2</v>
      </c>
      <c r="P512" s="30">
        <f t="shared" ca="1" si="123"/>
        <v>5.8865964507285984E-2</v>
      </c>
      <c r="Q512" s="30">
        <f t="shared" ca="1" si="124"/>
        <v>6.5166908563135006E-2</v>
      </c>
      <c r="R512" s="30">
        <f t="shared" ca="1" si="125"/>
        <v>0.24558723693143247</v>
      </c>
      <c r="S512" s="9" cm="1">
        <f t="array" aca="1" ref="S512" ca="1">_xll.FDS($E$7,"P_PRICE("&amp;AG512&amp;",0,D,D)")</f>
        <v>73.39</v>
      </c>
      <c r="T512" s="9" cm="1">
        <f t="array" aca="1" ref="T512" ca="1">_xll.FDS($E$7,"P_PRICE("&amp;AH512&amp;",0,D,D)")</f>
        <v>72.14</v>
      </c>
      <c r="U512" s="9" cm="1">
        <f t="array" aca="1" ref="U512" ca="1">_xll.FDS($E$7,"P_PRICE("&amp;AI512&amp;",0,D,D)")</f>
        <v>69.31</v>
      </c>
      <c r="V512" s="9" cm="1">
        <f t="array" aca="1" ref="V512" ca="1">_xll.FDS($E$7,"P_PRICE("&amp;AJ512&amp;",0,D,D)")</f>
        <v>68.900000000000006</v>
      </c>
      <c r="W512" s="9" cm="1">
        <f t="array" aca="1" ref="W512" ca="1">_xll.FDS($E$7,"P_PRICE("&amp;AK512&amp;",0,D,D)")</f>
        <v>58.92</v>
      </c>
      <c r="X512" s="24">
        <f t="shared" ca="1" si="126"/>
        <v>5.9411529410329234E-3</v>
      </c>
      <c r="Y512" s="24">
        <f t="shared" ca="1" si="127"/>
        <v>1.842494758047919E-2</v>
      </c>
      <c r="Z512" s="24">
        <f t="shared" ca="1" si="128"/>
        <v>4.0031153301955946E-2</v>
      </c>
      <c r="AA512" s="24">
        <f t="shared" ca="1" si="129"/>
        <v>0.13038528057534249</v>
      </c>
      <c r="AB512" s="9" cm="1">
        <f t="array" aca="1" ref="AB512" ca="1">_xll.FDS($E$9,"P_PRICE("&amp;AG512&amp;",0,D,D)")</f>
        <v>4954.2299999999996</v>
      </c>
      <c r="AC512" s="9" cm="1">
        <f t="array" aca="1" ref="AC512" ca="1">_xll.FDS($E$9,"P_PRICE("&amp;AH512&amp;",0,D,D)")</f>
        <v>4924.97</v>
      </c>
      <c r="AD512" s="9" cm="1">
        <f t="array" aca="1" ref="AD512" ca="1">_xll.FDS($E$9,"P_PRICE("&amp;AI512&amp;",0,D,D)")</f>
        <v>4864.6000000000004</v>
      </c>
      <c r="AE512" s="9" cm="1">
        <f t="array" aca="1" ref="AE512" ca="1">_xll.FDS($E$9,"P_PRICE("&amp;AJ512&amp;",0,D,D)")</f>
        <v>4763.54</v>
      </c>
      <c r="AF512" s="9" cm="1">
        <f t="array" aca="1" ref="AF512" ca="1">_xll.FDS($E$9,"P_PRICE("&amp;AK512&amp;",0,D,D)")</f>
        <v>4382.78</v>
      </c>
      <c r="AG512" s="20">
        <f t="shared" ca="1" si="135"/>
        <v>45328</v>
      </c>
      <c r="AH512" s="22">
        <f t="shared" ca="1" si="130"/>
        <v>45321</v>
      </c>
      <c r="AI512" s="22">
        <f t="shared" ca="1" si="131"/>
        <v>45314</v>
      </c>
      <c r="AJ512" s="22">
        <f t="shared" ca="1" si="132"/>
        <v>45299</v>
      </c>
      <c r="AK512" s="22">
        <f t="shared" ca="1" si="133"/>
        <v>45238</v>
      </c>
      <c r="AL512" s="22">
        <f t="shared" ca="1" si="134"/>
        <v>45153</v>
      </c>
    </row>
    <row r="513" spans="4:38" x14ac:dyDescent="0.25">
      <c r="D513" s="6">
        <f ca="1"/>
        <v>45327</v>
      </c>
      <c r="E513" s="28" cm="1">
        <f t="array" aca="1" ref="E513" ca="1">_xll.FDS($E$7,"P_PRICE("&amp;D513&amp;",0,D,D)")</f>
        <v>72.599999999999994</v>
      </c>
      <c r="F513" s="29" cm="1">
        <f t="array" aca="1" ref="F513" ca="1">_xll.FDS($E$7,"P_BETA_LOCIDX("&amp;$AG513&amp;","&amp;$AL513&amp;",,"""&amp;$E$9&amp;""")")</f>
        <v>1.2012508</v>
      </c>
      <c r="G513" s="30">
        <f t="shared" ca="1" si="120"/>
        <v>2.2956505494832365E-2</v>
      </c>
      <c r="H513" s="30">
        <f t="shared" ca="1" si="120"/>
        <v>1.0426164322835153E-2</v>
      </c>
      <c r="I513" s="30">
        <f t="shared" ca="1" si="120"/>
        <v>2.2887694386228299E-2</v>
      </c>
      <c r="J513" s="30">
        <f t="shared" ca="1" si="120"/>
        <v>9.4282894256339705E-2</v>
      </c>
      <c r="K513" s="30">
        <f t="shared" ca="1" si="121"/>
        <v>3.6272049124073582E-3</v>
      </c>
      <c r="L513" s="30">
        <f t="shared" ca="1" si="121"/>
        <v>2.2878703311665093E-2</v>
      </c>
      <c r="M513" s="30">
        <f t="shared" ca="1" si="121"/>
        <v>6.2800955232434549E-2</v>
      </c>
      <c r="N513" s="30">
        <f t="shared" ca="1" si="121"/>
        <v>0.15485681668653709</v>
      </c>
      <c r="O513" s="30">
        <f t="shared" ca="1" si="122"/>
        <v>2.6583710407239725E-2</v>
      </c>
      <c r="P513" s="30">
        <f t="shared" ca="1" si="123"/>
        <v>3.3304867634500246E-2</v>
      </c>
      <c r="Q513" s="30">
        <f t="shared" ca="1" si="124"/>
        <v>8.5688649618662849E-2</v>
      </c>
      <c r="R513" s="30">
        <f t="shared" ca="1" si="125"/>
        <v>0.24913971094287679</v>
      </c>
      <c r="S513" s="9" cm="1">
        <f t="array" aca="1" ref="S513" ca="1">_xll.FDS($E$7,"P_PRICE("&amp;AG513&amp;",0,D,D)")</f>
        <v>72.599999999999994</v>
      </c>
      <c r="T513" s="9" cm="1">
        <f t="array" aca="1" ref="T513" ca="1">_xll.FDS($E$7,"P_PRICE("&amp;AH513&amp;",0,D,D)")</f>
        <v>70.72</v>
      </c>
      <c r="U513" s="9" cm="1">
        <f t="array" aca="1" ref="U513" ca="1">_xll.FDS($E$7,"P_PRICE("&amp;AI513&amp;",0,D,D)")</f>
        <v>70.260000000000005</v>
      </c>
      <c r="V513" s="9" cm="1">
        <f t="array" aca="1" ref="V513" ca="1">_xll.FDS($E$7,"P_PRICE("&amp;AJ513&amp;",0,D,D)")</f>
        <v>66.87</v>
      </c>
      <c r="W513" s="9" cm="1">
        <f t="array" aca="1" ref="W513" ca="1">_xll.FDS($E$7,"P_PRICE("&amp;AK513&amp;",0,D,D)")</f>
        <v>58.12</v>
      </c>
      <c r="X513" s="24">
        <f t="shared" ca="1" si="126"/>
        <v>3.0195234104379853E-3</v>
      </c>
      <c r="Y513" s="24">
        <f t="shared" ca="1" si="127"/>
        <v>1.90457340895549E-2</v>
      </c>
      <c r="Z513" s="24">
        <f t="shared" ca="1" si="128"/>
        <v>5.2279636552528874E-2</v>
      </c>
      <c r="AA513" s="24">
        <f t="shared" ca="1" si="129"/>
        <v>0.12891297694581105</v>
      </c>
      <c r="AB513" s="9" cm="1">
        <f t="array" aca="1" ref="AB513" ca="1">_xll.FDS($E$9,"P_PRICE("&amp;AG513&amp;",0,D,D)")</f>
        <v>4942.8100000000004</v>
      </c>
      <c r="AC513" s="9" cm="1">
        <f t="array" aca="1" ref="AC513" ca="1">_xll.FDS($E$9,"P_PRICE("&amp;AH513&amp;",0,D,D)")</f>
        <v>4927.93</v>
      </c>
      <c r="AD513" s="9" cm="1">
        <f t="array" aca="1" ref="AD513" ca="1">_xll.FDS($E$9,"P_PRICE("&amp;AI513&amp;",0,D,D)")</f>
        <v>4850.43</v>
      </c>
      <c r="AE513" s="9" cm="1">
        <f t="array" aca="1" ref="AE513" ca="1">_xll.FDS($E$9,"P_PRICE("&amp;AJ513&amp;",0,D,D)")</f>
        <v>4697.24</v>
      </c>
      <c r="AF513" s="9" cm="1">
        <f t="array" aca="1" ref="AF513" ca="1">_xll.FDS($E$9,"P_PRICE("&amp;AK513&amp;",0,D,D)")</f>
        <v>4378.38</v>
      </c>
      <c r="AG513" s="20">
        <f t="shared" ca="1" si="135"/>
        <v>45327</v>
      </c>
      <c r="AH513" s="22">
        <f t="shared" ca="1" si="130"/>
        <v>45320</v>
      </c>
      <c r="AI513" s="22">
        <f t="shared" ca="1" si="131"/>
        <v>45313</v>
      </c>
      <c r="AJ513" s="22">
        <f t="shared" ca="1" si="132"/>
        <v>45296</v>
      </c>
      <c r="AK513" s="22">
        <f t="shared" ca="1" si="133"/>
        <v>45237</v>
      </c>
      <c r="AL513" s="22">
        <f t="shared" ca="1" si="134"/>
        <v>45152</v>
      </c>
    </row>
    <row r="514" spans="4:38" x14ac:dyDescent="0.25">
      <c r="D514" s="6">
        <f ca="1"/>
        <v>45324</v>
      </c>
      <c r="E514" s="28" cm="1">
        <f t="array" aca="1" ref="E514" ca="1">_xll.FDS($E$7,"P_PRICE("&amp;D514&amp;",0,D,D)")</f>
        <v>73.23</v>
      </c>
      <c r="F514" s="29" cm="1">
        <f t="array" aca="1" ref="F514" ca="1">_xll.FDS($E$7,"P_BETA_LOCIDX("&amp;$AG514&amp;","&amp;$AL514&amp;",,"""&amp;$E$9&amp;""")")</f>
        <v>1.1992536</v>
      </c>
      <c r="G514" s="30">
        <f t="shared" ca="1" si="120"/>
        <v>3.030547749791725E-2</v>
      </c>
      <c r="H514" s="30">
        <f t="shared" ca="1" si="120"/>
        <v>1.8801955487572571E-2</v>
      </c>
      <c r="I514" s="30">
        <f t="shared" ca="1" si="120"/>
        <v>3.7318759009179955E-2</v>
      </c>
      <c r="J514" s="30">
        <f t="shared" ca="1" si="120"/>
        <v>0.10658632300849288</v>
      </c>
      <c r="K514" s="30">
        <f t="shared" ca="1" si="121"/>
        <v>1.6585158670774796E-2</v>
      </c>
      <c r="L514" s="30">
        <f t="shared" ca="1" si="121"/>
        <v>2.9437380326913568E-2</v>
      </c>
      <c r="M514" s="30">
        <f t="shared" ca="1" si="121"/>
        <v>6.9041718404326782E-2</v>
      </c>
      <c r="N514" s="30">
        <f t="shared" ca="1" si="121"/>
        <v>0.16278445182250037</v>
      </c>
      <c r="O514" s="30">
        <f t="shared" ca="1" si="122"/>
        <v>4.6890636168692046E-2</v>
      </c>
      <c r="P514" s="30">
        <f t="shared" ca="1" si="123"/>
        <v>4.8239335814486139E-2</v>
      </c>
      <c r="Q514" s="30">
        <f t="shared" ca="1" si="124"/>
        <v>0.10636047741350674</v>
      </c>
      <c r="R514" s="30">
        <f t="shared" ca="1" si="125"/>
        <v>0.26937077483099325</v>
      </c>
      <c r="S514" s="9" cm="1">
        <f t="array" aca="1" ref="S514" ca="1">_xll.FDS($E$7,"P_PRICE("&amp;AG514&amp;",0,D,D)")</f>
        <v>73.23</v>
      </c>
      <c r="T514" s="9" cm="1">
        <f t="array" aca="1" ref="T514" ca="1">_xll.FDS($E$7,"P_PRICE("&amp;AH514&amp;",0,D,D)")</f>
        <v>69.95</v>
      </c>
      <c r="U514" s="9" cm="1">
        <f t="array" aca="1" ref="U514" ca="1">_xll.FDS($E$7,"P_PRICE("&amp;AI514&amp;",0,D,D)")</f>
        <v>69.86</v>
      </c>
      <c r="V514" s="9" cm="1">
        <f t="array" aca="1" ref="V514" ca="1">_xll.FDS($E$7,"P_PRICE("&amp;AJ514&amp;",0,D,D)")</f>
        <v>66.19</v>
      </c>
      <c r="W514" s="9" cm="1">
        <f t="array" aca="1" ref="W514" ca="1">_xll.FDS($E$7,"P_PRICE("&amp;AK514&amp;",0,D,D)")</f>
        <v>57.69</v>
      </c>
      <c r="X514" s="24">
        <f t="shared" ca="1" si="126"/>
        <v>1.3829567549995092E-2</v>
      </c>
      <c r="Y514" s="24">
        <f t="shared" ca="1" si="127"/>
        <v>2.454641814451386E-2</v>
      </c>
      <c r="Z514" s="24">
        <f t="shared" ca="1" si="128"/>
        <v>5.7570574234112604E-2</v>
      </c>
      <c r="AA514" s="24">
        <f t="shared" ca="1" si="129"/>
        <v>0.1357381389745258</v>
      </c>
      <c r="AB514" s="9" cm="1">
        <f t="array" aca="1" ref="AB514" ca="1">_xll.FDS($E$9,"P_PRICE("&amp;AG514&amp;",0,D,D)")</f>
        <v>4958.6099999999997</v>
      </c>
      <c r="AC514" s="9" cm="1">
        <f t="array" aca="1" ref="AC514" ca="1">_xll.FDS($E$9,"P_PRICE("&amp;AH514&amp;",0,D,D)")</f>
        <v>4890.97</v>
      </c>
      <c r="AD514" s="9" cm="1">
        <f t="array" aca="1" ref="AD514" ca="1">_xll.FDS($E$9,"P_PRICE("&amp;AI514&amp;",0,D,D)")</f>
        <v>4839.8100000000004</v>
      </c>
      <c r="AE514" s="9" cm="1">
        <f t="array" aca="1" ref="AE514" ca="1">_xll.FDS($E$9,"P_PRICE("&amp;AJ514&amp;",0,D,D)")</f>
        <v>4688.68</v>
      </c>
      <c r="AF514" s="9" cm="1">
        <f t="array" aca="1" ref="AF514" ca="1">_xll.FDS($E$9,"P_PRICE("&amp;AK514&amp;",0,D,D)")</f>
        <v>4365.9799999999996</v>
      </c>
      <c r="AG514" s="20">
        <f t="shared" ca="1" si="135"/>
        <v>45324</v>
      </c>
      <c r="AH514" s="22">
        <f t="shared" ca="1" si="130"/>
        <v>45317</v>
      </c>
      <c r="AI514" s="22">
        <f t="shared" ca="1" si="131"/>
        <v>45310</v>
      </c>
      <c r="AJ514" s="22">
        <f t="shared" ca="1" si="132"/>
        <v>45295</v>
      </c>
      <c r="AK514" s="22">
        <f t="shared" ca="1" si="133"/>
        <v>45236</v>
      </c>
      <c r="AL514" s="22">
        <f t="shared" ca="1" si="134"/>
        <v>45149</v>
      </c>
    </row>
    <row r="515" spans="4:38" x14ac:dyDescent="0.25">
      <c r="D515" s="6">
        <f ca="1"/>
        <v>45323</v>
      </c>
      <c r="E515" s="28" cm="1">
        <f t="array" aca="1" ref="E515" ca="1">_xll.FDS($E$7,"P_PRICE("&amp;D515&amp;",0,D,D)")</f>
        <v>73.2</v>
      </c>
      <c r="F515" s="29" cm="1">
        <f t="array" aca="1" ref="F515" ca="1">_xll.FDS($E$7,"P_BETA_LOCIDX("&amp;$AG515&amp;","&amp;$AL515&amp;",,"""&amp;$E$9&amp;""")")</f>
        <v>1.2190444</v>
      </c>
      <c r="G515" s="30">
        <f t="shared" ca="1" si="120"/>
        <v>2.9298008090282456E-2</v>
      </c>
      <c r="H515" s="30">
        <f t="shared" ca="1" si="120"/>
        <v>2.464573279133582E-2</v>
      </c>
      <c r="I515" s="30">
        <f t="shared" ca="1" si="120"/>
        <v>5.1227930789002174E-2</v>
      </c>
      <c r="J515" s="30">
        <f t="shared" ca="1" si="120"/>
        <v>0.13368408675669874</v>
      </c>
      <c r="K515" s="30">
        <f t="shared" ca="1" si="121"/>
        <v>2.9964496730796957E-3</v>
      </c>
      <c r="L515" s="30">
        <f t="shared" ca="1" si="121"/>
        <v>3.1936253351851282E-2</v>
      </c>
      <c r="M515" s="30">
        <f t="shared" ca="1" si="121"/>
        <v>5.217876200569177E-2</v>
      </c>
      <c r="N515" s="30">
        <f t="shared" ca="1" si="121"/>
        <v>0.15323574446693</v>
      </c>
      <c r="O515" s="30">
        <f t="shared" ca="1" si="122"/>
        <v>3.229445776336215E-2</v>
      </c>
      <c r="P515" s="30">
        <f t="shared" ca="1" si="123"/>
        <v>5.6581986143187102E-2</v>
      </c>
      <c r="Q515" s="30">
        <f t="shared" ca="1" si="124"/>
        <v>0.10340669279469394</v>
      </c>
      <c r="R515" s="30">
        <f t="shared" ca="1" si="125"/>
        <v>0.28691983122362874</v>
      </c>
      <c r="S515" s="9" cm="1">
        <f t="array" aca="1" ref="S515" ca="1">_xll.FDS($E$7,"P_PRICE("&amp;AG515&amp;",0,D,D)")</f>
        <v>73.2</v>
      </c>
      <c r="T515" s="9" cm="1">
        <f t="array" aca="1" ref="T515" ca="1">_xll.FDS($E$7,"P_PRICE("&amp;AH515&amp;",0,D,D)")</f>
        <v>70.91</v>
      </c>
      <c r="U515" s="9" cm="1">
        <f t="array" aca="1" ref="U515" ca="1">_xll.FDS($E$7,"P_PRICE("&amp;AI515&amp;",0,D,D)")</f>
        <v>69.28</v>
      </c>
      <c r="V515" s="9" cm="1">
        <f t="array" aca="1" ref="V515" ca="1">_xll.FDS($E$7,"P_PRICE("&amp;AJ515&amp;",0,D,D)")</f>
        <v>66.34</v>
      </c>
      <c r="W515" s="9" cm="1">
        <f t="array" aca="1" ref="W515" ca="1">_xll.FDS($E$7,"P_PRICE("&amp;AK515&amp;",0,D,D)")</f>
        <v>56.88</v>
      </c>
      <c r="X515" s="24">
        <f t="shared" ca="1" si="126"/>
        <v>2.4580316131879165E-3</v>
      </c>
      <c r="Y515" s="24">
        <f t="shared" ca="1" si="127"/>
        <v>2.6197777006195411E-2</v>
      </c>
      <c r="Z515" s="24">
        <f t="shared" ca="1" si="128"/>
        <v>4.2803003734475764E-2</v>
      </c>
      <c r="AA515" s="24">
        <f t="shared" ca="1" si="129"/>
        <v>0.12570152856362737</v>
      </c>
      <c r="AB515" s="9" cm="1">
        <f t="array" aca="1" ref="AB515" ca="1">_xll.FDS($E$9,"P_PRICE("&amp;AG515&amp;",0,D,D)")</f>
        <v>4906.1899999999996</v>
      </c>
      <c r="AC515" s="9" cm="1">
        <f t="array" aca="1" ref="AC515" ca="1">_xll.FDS($E$9,"P_PRICE("&amp;AH515&amp;",0,D,D)")</f>
        <v>4894.16</v>
      </c>
      <c r="AD515" s="9" cm="1">
        <f t="array" aca="1" ref="AD515" ca="1">_xll.FDS($E$9,"P_PRICE("&amp;AI515&amp;",0,D,D)")</f>
        <v>4780.9399999999996</v>
      </c>
      <c r="AE515" s="9" cm="1">
        <f t="array" aca="1" ref="AE515" ca="1">_xll.FDS($E$9,"P_PRICE("&amp;AJ515&amp;",0,D,D)")</f>
        <v>4704.8100000000004</v>
      </c>
      <c r="AF515" s="9" cm="1">
        <f t="array" aca="1" ref="AF515" ca="1">_xll.FDS($E$9,"P_PRICE("&amp;AK515&amp;",0,D,D)")</f>
        <v>4358.34</v>
      </c>
      <c r="AG515" s="20">
        <f t="shared" ca="1" si="135"/>
        <v>45323</v>
      </c>
      <c r="AH515" s="22">
        <f t="shared" ca="1" si="130"/>
        <v>45316</v>
      </c>
      <c r="AI515" s="22">
        <f t="shared" ca="1" si="131"/>
        <v>45309</v>
      </c>
      <c r="AJ515" s="22">
        <f t="shared" ca="1" si="132"/>
        <v>45294</v>
      </c>
      <c r="AK515" s="22">
        <f t="shared" ca="1" si="133"/>
        <v>45233</v>
      </c>
      <c r="AL515" s="22">
        <f t="shared" ca="1" si="134"/>
        <v>45148</v>
      </c>
    </row>
    <row r="516" spans="4:38" x14ac:dyDescent="0.25">
      <c r="D516" s="6">
        <f ca="1"/>
        <v>45322</v>
      </c>
      <c r="E516" s="28" cm="1">
        <f t="array" aca="1" ref="E516" ca="1">_xll.FDS($E$7,"P_PRICE("&amp;D516&amp;",0,D,D)")</f>
        <v>71.760000000000005</v>
      </c>
      <c r="F516" s="29" cm="1">
        <f t="array" aca="1" ref="F516" ca="1">_xll.FDS($E$7,"P_BETA_LOCIDX("&amp;$AG516&amp;","&amp;$AL516&amp;",,"""&amp;$E$9&amp;""")")</f>
        <v>1.2235742000000001</v>
      </c>
      <c r="G516" s="30">
        <f t="shared" ca="1" si="120"/>
        <v>4.4099943963881477E-2</v>
      </c>
      <c r="H516" s="30">
        <f t="shared" ca="1" si="120"/>
        <v>2.7192930692157721E-2</v>
      </c>
      <c r="I516" s="30">
        <f t="shared" ca="1" si="120"/>
        <v>2.4440694390635606E-2</v>
      </c>
      <c r="J516" s="30">
        <f t="shared" ca="1" si="120"/>
        <v>0.11468260423428114</v>
      </c>
      <c r="K516" s="30">
        <f t="shared" ca="1" si="121"/>
        <v>-5.7552760431752422E-3</v>
      </c>
      <c r="L516" s="30">
        <f t="shared" ca="1" si="121"/>
        <v>2.7480790648230339E-2</v>
      </c>
      <c r="M516" s="30">
        <f t="shared" ca="1" si="121"/>
        <v>2.6525913693722883E-2</v>
      </c>
      <c r="N516" s="30">
        <f t="shared" ca="1" si="121"/>
        <v>0.14958800887354137</v>
      </c>
      <c r="O516" s="30">
        <f t="shared" ca="1" si="122"/>
        <v>3.8344667920706232E-2</v>
      </c>
      <c r="P516" s="30">
        <f t="shared" ca="1" si="123"/>
        <v>5.467372134038806E-2</v>
      </c>
      <c r="Q516" s="30">
        <f t="shared" ca="1" si="124"/>
        <v>5.0966608084358489E-2</v>
      </c>
      <c r="R516" s="30">
        <f t="shared" ca="1" si="125"/>
        <v>0.26427061310782252</v>
      </c>
      <c r="S516" s="9" cm="1">
        <f t="array" aca="1" ref="S516" ca="1">_xll.FDS($E$7,"P_PRICE("&amp;AG516&amp;",0,D,D)")</f>
        <v>71.760000000000005</v>
      </c>
      <c r="T516" s="9" cm="1">
        <f t="array" aca="1" ref="T516" ca="1">_xll.FDS($E$7,"P_PRICE("&amp;AH516&amp;",0,D,D)")</f>
        <v>69.11</v>
      </c>
      <c r="U516" s="9" cm="1">
        <f t="array" aca="1" ref="U516" ca="1">_xll.FDS($E$7,"P_PRICE("&amp;AI516&amp;",0,D,D)")</f>
        <v>68.040000000000006</v>
      </c>
      <c r="V516" s="9" cm="1">
        <f t="array" aca="1" ref="V516" ca="1">_xll.FDS($E$7,"P_PRICE("&amp;AJ516&amp;",0,D,D)")</f>
        <v>68.28</v>
      </c>
      <c r="W516" s="9" cm="1">
        <f t="array" aca="1" ref="W516" ca="1">_xll.FDS($E$7,"P_PRICE("&amp;AK516&amp;",0,D,D)")</f>
        <v>56.76</v>
      </c>
      <c r="X516" s="24">
        <f t="shared" ca="1" si="126"/>
        <v>-4.7036592003780742E-3</v>
      </c>
      <c r="Y516" s="24">
        <f t="shared" ca="1" si="127"/>
        <v>2.2459439442438667E-2</v>
      </c>
      <c r="Z516" s="24">
        <f t="shared" ca="1" si="128"/>
        <v>2.1679039729444183E-2</v>
      </c>
      <c r="AA516" s="24">
        <f t="shared" ca="1" si="129"/>
        <v>0.12225495509266326</v>
      </c>
      <c r="AB516" s="9" cm="1">
        <f t="array" aca="1" ref="AB516" ca="1">_xll.FDS($E$9,"P_PRICE("&amp;AG516&amp;",0,D,D)")</f>
        <v>4845.6499999999996</v>
      </c>
      <c r="AC516" s="9" cm="1">
        <f t="array" aca="1" ref="AC516" ca="1">_xll.FDS($E$9,"P_PRICE("&amp;AH516&amp;",0,D,D)")</f>
        <v>4868.55</v>
      </c>
      <c r="AD516" s="9" cm="1">
        <f t="array" aca="1" ref="AD516" ca="1">_xll.FDS($E$9,"P_PRICE("&amp;AI516&amp;",0,D,D)")</f>
        <v>4739.21</v>
      </c>
      <c r="AE516" s="9" cm="1">
        <f t="array" aca="1" ref="AE516" ca="1">_xll.FDS($E$9,"P_PRICE("&amp;AJ516&amp;",0,D,D)")</f>
        <v>4742.83</v>
      </c>
      <c r="AF516" s="9" cm="1">
        <f t="array" aca="1" ref="AF516" ca="1">_xll.FDS($E$9,"P_PRICE("&amp;AK516&amp;",0,D,D)")</f>
        <v>4317.78</v>
      </c>
      <c r="AG516" s="20">
        <f t="shared" ca="1" si="135"/>
        <v>45322</v>
      </c>
      <c r="AH516" s="22">
        <f t="shared" ca="1" si="130"/>
        <v>45315</v>
      </c>
      <c r="AI516" s="22">
        <f t="shared" ca="1" si="131"/>
        <v>45308</v>
      </c>
      <c r="AJ516" s="22">
        <f t="shared" ca="1" si="132"/>
        <v>45293</v>
      </c>
      <c r="AK516" s="22">
        <f t="shared" ca="1" si="133"/>
        <v>45232</v>
      </c>
      <c r="AL516" s="22">
        <f t="shared" ca="1" si="134"/>
        <v>45147</v>
      </c>
    </row>
    <row r="517" spans="4:38" x14ac:dyDescent="0.25">
      <c r="D517" s="6">
        <f ca="1"/>
        <v>45321</v>
      </c>
      <c r="E517" s="28" cm="1">
        <f t="array" aca="1" ref="E517" ca="1">_xll.FDS($E$7,"P_PRICE("&amp;D517&amp;",0,D,D)")</f>
        <v>72.14</v>
      </c>
      <c r="F517" s="29" cm="1">
        <f t="array" aca="1" ref="F517" ca="1">_xll.FDS($E$7,"P_BETA_LOCIDX("&amp;$AG517&amp;","&amp;$AL517&amp;",,"""&amp;$E$9&amp;""")")</f>
        <v>1.2587105000000001</v>
      </c>
      <c r="G517" s="30">
        <f t="shared" ca="1" si="120"/>
        <v>2.5210370358497634E-2</v>
      </c>
      <c r="H517" s="30">
        <f t="shared" ca="1" si="120"/>
        <v>3.0086323110184957E-2</v>
      </c>
      <c r="I517" s="30">
        <f t="shared" ca="1" si="120"/>
        <v>2.148593863112537E-3</v>
      </c>
      <c r="J517" s="30">
        <f t="shared" ca="1" si="120"/>
        <v>6.7555197574487302E-2</v>
      </c>
      <c r="K517" s="30">
        <f t="shared" ca="1" si="121"/>
        <v>1.5620678552193481E-2</v>
      </c>
      <c r="L517" s="30">
        <f t="shared" ca="1" si="121"/>
        <v>4.1989765461668035E-2</v>
      </c>
      <c r="M517" s="30">
        <f t="shared" ca="1" si="121"/>
        <v>4.0939896593799006E-2</v>
      </c>
      <c r="N517" s="30">
        <f t="shared" ca="1" si="121"/>
        <v>0.20408238395204198</v>
      </c>
      <c r="O517" s="30">
        <f t="shared" ca="1" si="122"/>
        <v>4.0831048910691115E-2</v>
      </c>
      <c r="P517" s="30">
        <f t="shared" ca="1" si="123"/>
        <v>7.2076088571852992E-2</v>
      </c>
      <c r="Q517" s="30">
        <f t="shared" ca="1" si="124"/>
        <v>4.3088490456911543E-2</v>
      </c>
      <c r="R517" s="30">
        <f t="shared" ca="1" si="125"/>
        <v>0.27163758152652928</v>
      </c>
      <c r="S517" s="9" cm="1">
        <f t="array" aca="1" ref="S517" ca="1">_xll.FDS($E$7,"P_PRICE("&amp;AG517&amp;",0,D,D)")</f>
        <v>72.14</v>
      </c>
      <c r="T517" s="9" cm="1">
        <f t="array" aca="1" ref="T517" ca="1">_xll.FDS($E$7,"P_PRICE("&amp;AH517&amp;",0,D,D)")</f>
        <v>69.31</v>
      </c>
      <c r="U517" s="9" cm="1">
        <f t="array" aca="1" ref="U517" ca="1">_xll.FDS($E$7,"P_PRICE("&amp;AI517&amp;",0,D,D)")</f>
        <v>67.290000000000006</v>
      </c>
      <c r="V517" s="9" cm="1">
        <f t="array" aca="1" ref="V517" ca="1">_xll.FDS($E$7,"P_PRICE("&amp;AJ517&amp;",0,D,D)")</f>
        <v>69.16</v>
      </c>
      <c r="W517" s="9" cm="1">
        <f t="array" aca="1" ref="W517" ca="1">_xll.FDS($E$7,"P_PRICE("&amp;AK517&amp;",0,D,D)")</f>
        <v>56.73</v>
      </c>
      <c r="X517" s="24">
        <f t="shared" ca="1" si="126"/>
        <v>1.2410064547958788E-2</v>
      </c>
      <c r="Y517" s="24">
        <f t="shared" ca="1" si="127"/>
        <v>3.3359351067356657E-2</v>
      </c>
      <c r="Z517" s="24">
        <f t="shared" ca="1" si="128"/>
        <v>3.252526819614121E-2</v>
      </c>
      <c r="AA517" s="24">
        <f t="shared" ca="1" si="129"/>
        <v>0.16213607811489772</v>
      </c>
      <c r="AB517" s="9" cm="1">
        <f t="array" aca="1" ref="AB517" ca="1">_xll.FDS($E$9,"P_PRICE("&amp;AG517&amp;",0,D,D)")</f>
        <v>4924.97</v>
      </c>
      <c r="AC517" s="9" cm="1">
        <f t="array" aca="1" ref="AC517" ca="1">_xll.FDS($E$9,"P_PRICE("&amp;AH517&amp;",0,D,D)")</f>
        <v>4864.6000000000004</v>
      </c>
      <c r="AD517" s="9" cm="1">
        <f t="array" aca="1" ref="AD517" ca="1">_xll.FDS($E$9,"P_PRICE("&amp;AI517&amp;",0,D,D)")</f>
        <v>4765.9799999999996</v>
      </c>
      <c r="AE517" s="9" cm="1">
        <f t="array" aca="1" ref="AE517" ca="1">_xll.FDS($E$9,"P_PRICE("&amp;AJ517&amp;",0,D,D)")</f>
        <v>4769.83</v>
      </c>
      <c r="AF517" s="9" cm="1">
        <f t="array" aca="1" ref="AF517" ca="1">_xll.FDS($E$9,"P_PRICE("&amp;AK517&amp;",0,D,D)")</f>
        <v>4237.8599999999997</v>
      </c>
      <c r="AG517" s="20">
        <f t="shared" ca="1" si="135"/>
        <v>45321</v>
      </c>
      <c r="AH517" s="22">
        <f t="shared" ca="1" si="130"/>
        <v>45314</v>
      </c>
      <c r="AI517" s="22">
        <f t="shared" ca="1" si="131"/>
        <v>45307</v>
      </c>
      <c r="AJ517" s="22">
        <f t="shared" ca="1" si="132"/>
        <v>45289</v>
      </c>
      <c r="AK517" s="22">
        <f t="shared" ca="1" si="133"/>
        <v>45231</v>
      </c>
      <c r="AL517" s="22">
        <f t="shared" ca="1" si="134"/>
        <v>45146</v>
      </c>
    </row>
    <row r="518" spans="4:38" x14ac:dyDescent="0.25">
      <c r="D518" s="6">
        <f ca="1"/>
        <v>45320</v>
      </c>
      <c r="E518" s="28" cm="1">
        <f t="array" aca="1" ref="E518" ca="1">_xll.FDS($E$7,"P_PRICE("&amp;D518&amp;",0,D,D)")</f>
        <v>70.72</v>
      </c>
      <c r="F518" s="29" cm="1">
        <f t="array" aca="1" ref="F518" ca="1">_xll.FDS($E$7,"P_BETA_LOCIDX("&amp;$AG518&amp;","&amp;$AL518&amp;",,"""&amp;$E$9&amp;""")")</f>
        <v>1.2635508</v>
      </c>
      <c r="G518" s="30">
        <f t="shared" ca="1" si="120"/>
        <v>-1.3641859524676971E-2</v>
      </c>
      <c r="H518" s="30">
        <f t="shared" ca="1" si="120"/>
        <v>-8.2081464305569368E-3</v>
      </c>
      <c r="I518" s="30">
        <f t="shared" ca="1" si="120"/>
        <v>-1.2074443069880404E-2</v>
      </c>
      <c r="J518" s="30">
        <f t="shared" ca="1" si="120"/>
        <v>9.8955703058968114E-2</v>
      </c>
      <c r="K518" s="30">
        <f t="shared" ca="1" si="121"/>
        <v>2.0188970256245411E-2</v>
      </c>
      <c r="L518" s="30">
        <f t="shared" ca="1" si="121"/>
        <v>3.8061066191733481E-2</v>
      </c>
      <c r="M518" s="30">
        <f t="shared" ca="1" si="121"/>
        <v>3.8191680446548894E-2</v>
      </c>
      <c r="N518" s="30">
        <f t="shared" ca="1" si="121"/>
        <v>0.22118616739091052</v>
      </c>
      <c r="O518" s="30">
        <f t="shared" ca="1" si="122"/>
        <v>6.5471107315684396E-3</v>
      </c>
      <c r="P518" s="30">
        <f t="shared" ca="1" si="123"/>
        <v>2.9852919761176544E-2</v>
      </c>
      <c r="Q518" s="30">
        <f t="shared" ca="1" si="124"/>
        <v>2.611723737666849E-2</v>
      </c>
      <c r="R518" s="30">
        <f t="shared" ca="1" si="125"/>
        <v>0.32014187044987863</v>
      </c>
      <c r="S518" s="9" cm="1">
        <f t="array" aca="1" ref="S518" ca="1">_xll.FDS($E$7,"P_PRICE("&amp;AG518&amp;",0,D,D)")</f>
        <v>70.72</v>
      </c>
      <c r="T518" s="9" cm="1">
        <f t="array" aca="1" ref="T518" ca="1">_xll.FDS($E$7,"P_PRICE("&amp;AH518&amp;",0,D,D)")</f>
        <v>70.260000000000005</v>
      </c>
      <c r="U518" s="9" cm="1">
        <f t="array" aca="1" ref="U518" ca="1">_xll.FDS($E$7,"P_PRICE("&amp;AI518&amp;",0,D,D)")</f>
        <v>68.67</v>
      </c>
      <c r="V518" s="9" cm="1">
        <f t="array" aca="1" ref="V518" ca="1">_xll.FDS($E$7,"P_PRICE("&amp;AJ518&amp;",0,D,D)")</f>
        <v>68.92</v>
      </c>
      <c r="W518" s="9" cm="1">
        <f t="array" aca="1" ref="W518" ca="1">_xll.FDS($E$7,"P_PRICE("&amp;AK518&amp;",0,D,D)")</f>
        <v>53.57</v>
      </c>
      <c r="X518" s="24">
        <f t="shared" ca="1" si="126"/>
        <v>1.5977964840230729E-2</v>
      </c>
      <c r="Y518" s="24">
        <f t="shared" ca="1" si="127"/>
        <v>3.0122307857929798E-2</v>
      </c>
      <c r="Z518" s="24">
        <f t="shared" ca="1" si="128"/>
        <v>3.0225678656171873E-2</v>
      </c>
      <c r="AA518" s="24">
        <f t="shared" ca="1" si="129"/>
        <v>0.17505126615480004</v>
      </c>
      <c r="AB518" s="9" cm="1">
        <f t="array" aca="1" ref="AB518" ca="1">_xll.FDS($E$9,"P_PRICE("&amp;AG518&amp;",0,D,D)")</f>
        <v>4927.93</v>
      </c>
      <c r="AC518" s="9" cm="1">
        <f t="array" aca="1" ref="AC518" ca="1">_xll.FDS($E$9,"P_PRICE("&amp;AH518&amp;",0,D,D)")</f>
        <v>4850.43</v>
      </c>
      <c r="AD518" s="9" cm="1">
        <f t="array" aca="1" ref="AD518" ca="1">_xll.FDS($E$9,"P_PRICE("&amp;AI518&amp;",0,D,D)")</f>
        <v>4783.83</v>
      </c>
      <c r="AE518" s="9" cm="1">
        <f t="array" aca="1" ref="AE518" ca="1">_xll.FDS($E$9,"P_PRICE("&amp;AJ518&amp;",0,D,D)")</f>
        <v>4783.3500000000004</v>
      </c>
      <c r="AF518" s="9" cm="1">
        <f t="array" aca="1" ref="AF518" ca="1">_xll.FDS($E$9,"P_PRICE("&amp;AK518&amp;",0,D,D)")</f>
        <v>4193.8</v>
      </c>
      <c r="AG518" s="20">
        <f t="shared" ca="1" si="135"/>
        <v>45320</v>
      </c>
      <c r="AH518" s="22">
        <f t="shared" ca="1" si="130"/>
        <v>45313</v>
      </c>
      <c r="AI518" s="22">
        <f t="shared" ca="1" si="131"/>
        <v>45303</v>
      </c>
      <c r="AJ518" s="22">
        <f t="shared" ca="1" si="132"/>
        <v>45288</v>
      </c>
      <c r="AK518" s="22">
        <f t="shared" ca="1" si="133"/>
        <v>45230</v>
      </c>
      <c r="AL518" s="22">
        <f t="shared" ca="1" si="134"/>
        <v>45145</v>
      </c>
    </row>
    <row r="519" spans="4:38" x14ac:dyDescent="0.25">
      <c r="D519" s="6">
        <f ca="1"/>
        <v>45317</v>
      </c>
      <c r="E519" s="28" cm="1">
        <f t="array" aca="1" ref="E519" ca="1">_xll.FDS($E$7,"P_PRICE("&amp;D519&amp;",0,D,D)")</f>
        <v>69.95</v>
      </c>
      <c r="F519" s="29" cm="1">
        <f t="array" aca="1" ref="F519" ca="1">_xll.FDS($E$7,"P_BETA_LOCIDX("&amp;$AG519&amp;","&amp;$AL519&amp;",,"""&amp;$E$9&amp;""")")</f>
        <v>1.2540414</v>
      </c>
      <c r="G519" s="30">
        <f t="shared" ca="1" si="120"/>
        <v>-1.1967758031991016E-2</v>
      </c>
      <c r="H519" s="30">
        <f t="shared" ca="1" si="120"/>
        <v>-1.1150032132350444E-2</v>
      </c>
      <c r="I519" s="30">
        <f t="shared" ca="1" si="120"/>
        <v>-1.5361636949233027E-2</v>
      </c>
      <c r="J519" s="30">
        <f t="shared" ca="1" si="120"/>
        <v>8.9781710372769274E-2</v>
      </c>
      <c r="K519" s="30">
        <f t="shared" ca="1" si="121"/>
        <v>1.3256048899440209E-2</v>
      </c>
      <c r="L519" s="30">
        <f t="shared" ca="1" si="121"/>
        <v>2.9048751573561241E-2</v>
      </c>
      <c r="M519" s="30">
        <f t="shared" ca="1" si="121"/>
        <v>2.8689175700500714E-2</v>
      </c>
      <c r="N519" s="30">
        <f t="shared" ca="1" si="121"/>
        <v>0.21793935898598937</v>
      </c>
      <c r="O519" s="30">
        <f t="shared" ca="1" si="122"/>
        <v>1.2882908674491933E-3</v>
      </c>
      <c r="P519" s="30">
        <f t="shared" ca="1" si="123"/>
        <v>1.7898719441210797E-2</v>
      </c>
      <c r="Q519" s="30">
        <f t="shared" ca="1" si="124"/>
        <v>1.3327538751267687E-2</v>
      </c>
      <c r="R519" s="30">
        <f t="shared" ca="1" si="125"/>
        <v>0.30772106935875865</v>
      </c>
      <c r="S519" s="9" cm="1">
        <f t="array" aca="1" ref="S519" ca="1">_xll.FDS($E$7,"P_PRICE("&amp;AG519&amp;",0,D,D)")</f>
        <v>69.95</v>
      </c>
      <c r="T519" s="9" cm="1">
        <f t="array" aca="1" ref="T519" ca="1">_xll.FDS($E$7,"P_PRICE("&amp;AH519&amp;",0,D,D)")</f>
        <v>69.86</v>
      </c>
      <c r="U519" s="9" cm="1">
        <f t="array" aca="1" ref="U519" ca="1">_xll.FDS($E$7,"P_PRICE("&amp;AI519&amp;",0,D,D)")</f>
        <v>68.72</v>
      </c>
      <c r="V519" s="9" cm="1">
        <f t="array" aca="1" ref="V519" ca="1">_xll.FDS($E$7,"P_PRICE("&amp;AJ519&amp;",0,D,D)")</f>
        <v>69.03</v>
      </c>
      <c r="W519" s="9" cm="1">
        <f t="array" aca="1" ref="W519" ca="1">_xll.FDS($E$7,"P_PRICE("&amp;AK519&amp;",0,D,D)")</f>
        <v>53.49</v>
      </c>
      <c r="X519" s="24">
        <f t="shared" ca="1" si="126"/>
        <v>1.0570662897923633E-2</v>
      </c>
      <c r="Y519" s="24">
        <f t="shared" ca="1" si="127"/>
        <v>2.3164108915033621E-2</v>
      </c>
      <c r="Z519" s="24">
        <f t="shared" ca="1" si="128"/>
        <v>2.2877375260897059E-2</v>
      </c>
      <c r="AA519" s="24">
        <f t="shared" ca="1" si="129"/>
        <v>0.17378960454255288</v>
      </c>
      <c r="AB519" s="9" cm="1">
        <f t="array" aca="1" ref="AB519" ca="1">_xll.FDS($E$9,"P_PRICE("&amp;AG519&amp;",0,D,D)")</f>
        <v>4890.97</v>
      </c>
      <c r="AC519" s="9" cm="1">
        <f t="array" aca="1" ref="AC519" ca="1">_xll.FDS($E$9,"P_PRICE("&amp;AH519&amp;",0,D,D)")</f>
        <v>4839.8100000000004</v>
      </c>
      <c r="AD519" s="9" cm="1">
        <f t="array" aca="1" ref="AD519" ca="1">_xll.FDS($E$9,"P_PRICE("&amp;AI519&amp;",0,D,D)")</f>
        <v>4780.24</v>
      </c>
      <c r="AE519" s="9" cm="1">
        <f t="array" aca="1" ref="AE519" ca="1">_xll.FDS($E$9,"P_PRICE("&amp;AJ519&amp;",0,D,D)")</f>
        <v>4781.58</v>
      </c>
      <c r="AF519" s="9" cm="1">
        <f t="array" aca="1" ref="AF519" ca="1">_xll.FDS($E$9,"P_PRICE("&amp;AK519&amp;",0,D,D)")</f>
        <v>4166.82</v>
      </c>
      <c r="AG519" s="20">
        <f t="shared" ca="1" si="135"/>
        <v>45317</v>
      </c>
      <c r="AH519" s="22">
        <f t="shared" ca="1" si="130"/>
        <v>45310</v>
      </c>
      <c r="AI519" s="22">
        <f t="shared" ca="1" si="131"/>
        <v>45302</v>
      </c>
      <c r="AJ519" s="22">
        <f t="shared" ca="1" si="132"/>
        <v>45287</v>
      </c>
      <c r="AK519" s="22">
        <f t="shared" ca="1" si="133"/>
        <v>45229</v>
      </c>
      <c r="AL519" s="22">
        <f t="shared" ca="1" si="134"/>
        <v>45142</v>
      </c>
    </row>
    <row r="520" spans="4:38" x14ac:dyDescent="0.25">
      <c r="D520" s="6">
        <f ca="1"/>
        <v>45316</v>
      </c>
      <c r="E520" s="28" cm="1">
        <f t="array" aca="1" ref="E520" ca="1">_xll.FDS($E$7,"P_PRICE("&amp;D520&amp;",0,D,D)")</f>
        <v>70.91</v>
      </c>
      <c r="F520" s="29" cm="1">
        <f t="array" aca="1" ref="F520" ca="1">_xll.FDS($E$7,"P_BETA_LOCIDX("&amp;$AG520&amp;","&amp;$AL520&amp;",,"""&amp;$E$9&amp;""")")</f>
        <v>1.2465115</v>
      </c>
      <c r="G520" s="30">
        <f t="shared" ca="1" si="120"/>
        <v>-5.9915926256243097E-3</v>
      </c>
      <c r="H520" s="30">
        <f t="shared" ca="1" si="120"/>
        <v>-5.912636577529419E-3</v>
      </c>
      <c r="I520" s="30">
        <f t="shared" ca="1" si="120"/>
        <v>-1.4030074169991656E-3</v>
      </c>
      <c r="J520" s="30">
        <f t="shared" ca="1" si="120"/>
        <v>0.11936780025302507</v>
      </c>
      <c r="K520" s="30">
        <f t="shared" ca="1" si="121"/>
        <v>2.9519306251490341E-2</v>
      </c>
      <c r="L520" s="30">
        <f t="shared" ca="1" si="121"/>
        <v>2.8849739866623571E-2</v>
      </c>
      <c r="M520" s="30">
        <f t="shared" ca="1" si="121"/>
        <v>3.1173556356877238E-2</v>
      </c>
      <c r="N520" s="30">
        <f t="shared" ca="1" si="121"/>
        <v>0.23516897147572358</v>
      </c>
      <c r="O520" s="30">
        <f t="shared" ca="1" si="122"/>
        <v>2.3527713625866031E-2</v>
      </c>
      <c r="P520" s="30">
        <f t="shared" ca="1" si="123"/>
        <v>2.2937103289094152E-2</v>
      </c>
      <c r="Q520" s="30">
        <f t="shared" ca="1" si="124"/>
        <v>2.9770548939878072E-2</v>
      </c>
      <c r="R520" s="30">
        <f t="shared" ca="1" si="125"/>
        <v>0.35453677172874865</v>
      </c>
      <c r="S520" s="9" cm="1">
        <f t="array" aca="1" ref="S520" ca="1">_xll.FDS($E$7,"P_PRICE("&amp;AG520&amp;",0,D,D)")</f>
        <v>70.91</v>
      </c>
      <c r="T520" s="9" cm="1">
        <f t="array" aca="1" ref="T520" ca="1">_xll.FDS($E$7,"P_PRICE("&amp;AH520&amp;",0,D,D)")</f>
        <v>69.28</v>
      </c>
      <c r="U520" s="9" cm="1">
        <f t="array" aca="1" ref="U520" ca="1">_xll.FDS($E$7,"P_PRICE("&amp;AI520&amp;",0,D,D)")</f>
        <v>69.319999999999993</v>
      </c>
      <c r="V520" s="9" cm="1">
        <f t="array" aca="1" ref="V520" ca="1">_xll.FDS($E$7,"P_PRICE("&amp;AJ520&amp;",0,D,D)")</f>
        <v>68.86</v>
      </c>
      <c r="W520" s="9" cm="1">
        <f t="array" aca="1" ref="W520" ca="1">_xll.FDS($E$7,"P_PRICE("&amp;AK520&amp;",0,D,D)")</f>
        <v>52.35</v>
      </c>
      <c r="X520" s="24">
        <f t="shared" ca="1" si="126"/>
        <v>2.3681535430271072E-2</v>
      </c>
      <c r="Y520" s="24">
        <f t="shared" ca="1" si="127"/>
        <v>2.3144383238039579E-2</v>
      </c>
      <c r="Z520" s="24">
        <f t="shared" ca="1" si="128"/>
        <v>2.5008639195769344E-2</v>
      </c>
      <c r="AA520" s="24">
        <f t="shared" ca="1" si="129"/>
        <v>0.18866169423685508</v>
      </c>
      <c r="AB520" s="9" cm="1">
        <f t="array" aca="1" ref="AB520" ca="1">_xll.FDS($E$9,"P_PRICE("&amp;AG520&amp;",0,D,D)")</f>
        <v>4894.16</v>
      </c>
      <c r="AC520" s="9" cm="1">
        <f t="array" aca="1" ref="AC520" ca="1">_xll.FDS($E$9,"P_PRICE("&amp;AH520&amp;",0,D,D)")</f>
        <v>4780.9399999999996</v>
      </c>
      <c r="AD520" s="9" cm="1">
        <f t="array" aca="1" ref="AD520" ca="1">_xll.FDS($E$9,"P_PRICE("&amp;AI520&amp;",0,D,D)")</f>
        <v>4783.45</v>
      </c>
      <c r="AE520" s="9" cm="1">
        <f t="array" aca="1" ref="AE520" ca="1">_xll.FDS($E$9,"P_PRICE("&amp;AJ520&amp;",0,D,D)")</f>
        <v>4774.75</v>
      </c>
      <c r="AF520" s="9" cm="1">
        <f t="array" aca="1" ref="AF520" ca="1">_xll.FDS($E$9,"P_PRICE("&amp;AK520&amp;",0,D,D)")</f>
        <v>4117.37</v>
      </c>
      <c r="AG520" s="20">
        <f t="shared" ca="1" si="135"/>
        <v>45316</v>
      </c>
      <c r="AH520" s="22">
        <f t="shared" ca="1" si="130"/>
        <v>45309</v>
      </c>
      <c r="AI520" s="22">
        <f t="shared" ca="1" si="131"/>
        <v>45301</v>
      </c>
      <c r="AJ520" s="22">
        <f t="shared" ca="1" si="132"/>
        <v>45286</v>
      </c>
      <c r="AK520" s="22">
        <f t="shared" ca="1" si="133"/>
        <v>45226</v>
      </c>
      <c r="AL520" s="22">
        <f t="shared" ca="1" si="134"/>
        <v>45141</v>
      </c>
    </row>
    <row r="521" spans="4:38" x14ac:dyDescent="0.25">
      <c r="D521" s="6">
        <f ca="1"/>
        <v>45315</v>
      </c>
      <c r="E521" s="28" cm="1">
        <f t="array" aca="1" ref="E521" ca="1">_xll.FDS($E$7,"P_PRICE("&amp;D521&amp;",0,D,D)")</f>
        <v>69.11</v>
      </c>
      <c r="F521" s="29" cm="1">
        <f t="array" aca="1" ref="F521" ca="1">_xll.FDS($E$7,"P_BETA_LOCIDX("&amp;$AG521&amp;","&amp;$AL521&amp;",,"""&amp;$E$9&amp;""")")</f>
        <v>1.2383739</v>
      </c>
      <c r="G521" s="30">
        <f t="shared" ca="1" si="120"/>
        <v>-1.8070998666920579E-2</v>
      </c>
      <c r="H521" s="30">
        <f t="shared" ca="1" si="120"/>
        <v>-2.8883190539041814E-2</v>
      </c>
      <c r="I521" s="30">
        <f t="shared" ca="1" si="120"/>
        <v>-1.7367108454824427E-2</v>
      </c>
      <c r="J521" s="30">
        <f t="shared" ca="1" si="120"/>
        <v>0.10276570043931646</v>
      </c>
      <c r="K521" s="30">
        <f t="shared" ca="1" si="121"/>
        <v>3.3797042170741698E-2</v>
      </c>
      <c r="L521" s="30">
        <f t="shared" ca="1" si="121"/>
        <v>2.9172668032166615E-2</v>
      </c>
      <c r="M521" s="30">
        <f t="shared" ca="1" si="121"/>
        <v>2.967119516934031E-2</v>
      </c>
      <c r="N521" s="30">
        <f t="shared" ca="1" si="121"/>
        <v>0.21890192243312576</v>
      </c>
      <c r="O521" s="30">
        <f t="shared" ca="1" si="122"/>
        <v>1.5726043503821119E-2</v>
      </c>
      <c r="P521" s="30">
        <f t="shared" ca="1" si="123"/>
        <v>2.894774931248012E-4</v>
      </c>
      <c r="Q521" s="30">
        <f t="shared" ca="1" si="124"/>
        <v>1.2304086714515883E-2</v>
      </c>
      <c r="R521" s="30">
        <f t="shared" ca="1" si="125"/>
        <v>0.32166762287244222</v>
      </c>
      <c r="S521" s="9" cm="1">
        <f t="array" aca="1" ref="S521" ca="1">_xll.FDS($E$7,"P_PRICE("&amp;AG521&amp;",0,D,D)")</f>
        <v>69.11</v>
      </c>
      <c r="T521" s="9" cm="1">
        <f t="array" aca="1" ref="T521" ca="1">_xll.FDS($E$7,"P_PRICE("&amp;AH521&amp;",0,D,D)")</f>
        <v>68.040000000000006</v>
      </c>
      <c r="U521" s="9" cm="1">
        <f t="array" aca="1" ref="U521" ca="1">_xll.FDS($E$7,"P_PRICE("&amp;AI521&amp;",0,D,D)")</f>
        <v>69.09</v>
      </c>
      <c r="V521" s="9" cm="1">
        <f t="array" aca="1" ref="V521" ca="1">_xll.FDS($E$7,"P_PRICE("&amp;AJ521&amp;",0,D,D)")</f>
        <v>68.27</v>
      </c>
      <c r="W521" s="9" cm="1">
        <f t="array" aca="1" ref="W521" ca="1">_xll.FDS($E$7,"P_PRICE("&amp;AK521&amp;",0,D,D)")</f>
        <v>52.29</v>
      </c>
      <c r="X521" s="24">
        <f t="shared" ca="1" si="126"/>
        <v>2.7291468409291975E-2</v>
      </c>
      <c r="Y521" s="24">
        <f t="shared" ca="1" si="127"/>
        <v>2.3557237464522318E-2</v>
      </c>
      <c r="Z521" s="24">
        <f t="shared" ca="1" si="128"/>
        <v>2.3959803391641499E-2</v>
      </c>
      <c r="AA521" s="24">
        <f t="shared" ca="1" si="129"/>
        <v>0.17676561370772248</v>
      </c>
      <c r="AB521" s="9" cm="1">
        <f t="array" aca="1" ref="AB521" ca="1">_xll.FDS($E$9,"P_PRICE("&amp;AG521&amp;",0,D,D)")</f>
        <v>4868.55</v>
      </c>
      <c r="AC521" s="9" cm="1">
        <f t="array" aca="1" ref="AC521" ca="1">_xll.FDS($E$9,"P_PRICE("&amp;AH521&amp;",0,D,D)")</f>
        <v>4739.21</v>
      </c>
      <c r="AD521" s="9" cm="1">
        <f t="array" aca="1" ref="AD521" ca="1">_xll.FDS($E$9,"P_PRICE("&amp;AI521&amp;",0,D,D)")</f>
        <v>4756.5</v>
      </c>
      <c r="AE521" s="9" cm="1">
        <f t="array" aca="1" ref="AE521" ca="1">_xll.FDS($E$9,"P_PRICE("&amp;AJ521&amp;",0,D,D)")</f>
        <v>4754.63</v>
      </c>
      <c r="AF521" s="9" cm="1">
        <f t="array" aca="1" ref="AF521" ca="1">_xll.FDS($E$9,"P_PRICE("&amp;AK521&amp;",0,D,D)")</f>
        <v>4137.2299999999996</v>
      </c>
      <c r="AG521" s="20">
        <f t="shared" ca="1" si="135"/>
        <v>45315</v>
      </c>
      <c r="AH521" s="22">
        <f t="shared" ca="1" si="130"/>
        <v>45308</v>
      </c>
      <c r="AI521" s="22">
        <f t="shared" ca="1" si="131"/>
        <v>45300</v>
      </c>
      <c r="AJ521" s="22">
        <f t="shared" ca="1" si="132"/>
        <v>45282</v>
      </c>
      <c r="AK521" s="22">
        <f t="shared" ca="1" si="133"/>
        <v>45225</v>
      </c>
      <c r="AL521" s="22">
        <f t="shared" ca="1" si="134"/>
        <v>45140</v>
      </c>
    </row>
    <row r="522" spans="4:38" x14ac:dyDescent="0.25">
      <c r="D522" s="6">
        <f ca="1"/>
        <v>45314</v>
      </c>
      <c r="E522" s="28" cm="1">
        <f t="array" aca="1" ref="E522" ca="1">_xll.FDS($E$7,"P_PRICE("&amp;D522&amp;",0,D,D)")</f>
        <v>69.31</v>
      </c>
      <c r="F522" s="29" cm="1">
        <f t="array" aca="1" ref="F522" ca="1">_xll.FDS($E$7,"P_BETA_LOCIDX("&amp;$AG522&amp;","&amp;$AL522&amp;",,"""&amp;$E$9&amp;""")")</f>
        <v>1.2411435</v>
      </c>
      <c r="G522" s="30">
        <f t="shared" ca="1" si="120"/>
        <v>4.3369682063675273E-3</v>
      </c>
      <c r="H522" s="30">
        <f t="shared" ca="1" si="120"/>
        <v>-2.0380596771422718E-2</v>
      </c>
      <c r="I522" s="30">
        <f t="shared" ca="1" si="120"/>
        <v>-1.5878206009557114E-2</v>
      </c>
      <c r="J522" s="30">
        <f t="shared" ca="1" si="120"/>
        <v>9.4575276270820546E-2</v>
      </c>
      <c r="K522" s="30">
        <f t="shared" ca="1" si="121"/>
        <v>2.5682351157579556E-2</v>
      </c>
      <c r="L522" s="30">
        <f t="shared" ca="1" si="121"/>
        <v>2.6331249891887218E-2</v>
      </c>
      <c r="M522" s="30">
        <f t="shared" ca="1" si="121"/>
        <v>3.0814507078527596E-2</v>
      </c>
      <c r="N522" s="30">
        <f t="shared" ca="1" si="121"/>
        <v>0.20093874242076823</v>
      </c>
      <c r="O522" s="30">
        <f t="shared" ca="1" si="122"/>
        <v>3.0019319363947083E-2</v>
      </c>
      <c r="P522" s="30">
        <f t="shared" ca="1" si="123"/>
        <v>5.9506531204644997E-3</v>
      </c>
      <c r="Q522" s="30">
        <f t="shared" ca="1" si="124"/>
        <v>1.4936301068970481E-2</v>
      </c>
      <c r="R522" s="30">
        <f t="shared" ca="1" si="125"/>
        <v>0.29551401869158878</v>
      </c>
      <c r="S522" s="9" cm="1">
        <f t="array" aca="1" ref="S522" ca="1">_xll.FDS($E$7,"P_PRICE("&amp;AG522&amp;",0,D,D)")</f>
        <v>69.31</v>
      </c>
      <c r="T522" s="9" cm="1">
        <f t="array" aca="1" ref="T522" ca="1">_xll.FDS($E$7,"P_PRICE("&amp;AH522&amp;",0,D,D)")</f>
        <v>67.290000000000006</v>
      </c>
      <c r="U522" s="9" cm="1">
        <f t="array" aca="1" ref="U522" ca="1">_xll.FDS($E$7,"P_PRICE("&amp;AI522&amp;",0,D,D)")</f>
        <v>68.900000000000006</v>
      </c>
      <c r="V522" s="9" cm="1">
        <f t="array" aca="1" ref="V522" ca="1">_xll.FDS($E$7,"P_PRICE("&amp;AJ522&amp;",0,D,D)")</f>
        <v>68.290000000000006</v>
      </c>
      <c r="W522" s="9" cm="1">
        <f t="array" aca="1" ref="W522" ca="1">_xll.FDS($E$7,"P_PRICE("&amp;AK522&amp;",0,D,D)")</f>
        <v>53.5</v>
      </c>
      <c r="X522" s="24">
        <f t="shared" ca="1" si="126"/>
        <v>2.0692491365889243E-2</v>
      </c>
      <c r="Y522" s="24">
        <f t="shared" ca="1" si="127"/>
        <v>2.1215314660945506E-2</v>
      </c>
      <c r="Z522" s="24">
        <f t="shared" ca="1" si="128"/>
        <v>2.482751356191093E-2</v>
      </c>
      <c r="AA522" s="24">
        <f t="shared" ca="1" si="129"/>
        <v>0.16189807417173618</v>
      </c>
      <c r="AB522" s="9" cm="1">
        <f t="array" aca="1" ref="AB522" ca="1">_xll.FDS($E$9,"P_PRICE("&amp;AG522&amp;",0,D,D)")</f>
        <v>4864.6000000000004</v>
      </c>
      <c r="AC522" s="9" cm="1">
        <f t="array" aca="1" ref="AC522" ca="1">_xll.FDS($E$9,"P_PRICE("&amp;AH522&amp;",0,D,D)")</f>
        <v>4765.9799999999996</v>
      </c>
      <c r="AD522" s="9" cm="1">
        <f t="array" aca="1" ref="AD522" ca="1">_xll.FDS($E$9,"P_PRICE("&amp;AI522&amp;",0,D,D)")</f>
        <v>4763.54</v>
      </c>
      <c r="AE522" s="9" cm="1">
        <f t="array" aca="1" ref="AE522" ca="1">_xll.FDS($E$9,"P_PRICE("&amp;AJ522&amp;",0,D,D)")</f>
        <v>4746.75</v>
      </c>
      <c r="AF522" s="9" cm="1">
        <f t="array" aca="1" ref="AF522" ca="1">_xll.FDS($E$9,"P_PRICE("&amp;AK522&amp;",0,D,D)")</f>
        <v>4186.7700000000004</v>
      </c>
      <c r="AG522" s="20">
        <f t="shared" ca="1" si="135"/>
        <v>45314</v>
      </c>
      <c r="AH522" s="22">
        <f t="shared" ca="1" si="130"/>
        <v>45307</v>
      </c>
      <c r="AI522" s="22">
        <f t="shared" ca="1" si="131"/>
        <v>45299</v>
      </c>
      <c r="AJ522" s="22">
        <f t="shared" ca="1" si="132"/>
        <v>45281</v>
      </c>
      <c r="AK522" s="22">
        <f t="shared" ca="1" si="133"/>
        <v>45224</v>
      </c>
      <c r="AL522" s="22">
        <f t="shared" ca="1" si="134"/>
        <v>45139</v>
      </c>
    </row>
    <row r="523" spans="4:38" x14ac:dyDescent="0.25">
      <c r="D523" s="6">
        <f ca="1"/>
        <v>45313</v>
      </c>
      <c r="E523" s="28" cm="1">
        <f t="array" aca="1" ref="E523" ca="1">_xll.FDS($E$7,"P_PRICE("&amp;D523&amp;",0,D,D)")</f>
        <v>70.260000000000005</v>
      </c>
      <c r="F523" s="29" cm="1">
        <f t="array" aca="1" ref="F523" ca="1">_xll.FDS($E$7,"P_BETA_LOCIDX("&amp;$AG523&amp;","&amp;$AL523&amp;",,"""&amp;$E$9&amp;""")")</f>
        <v>1.2476798</v>
      </c>
      <c r="G523" s="30">
        <f t="shared" ca="1" si="120"/>
        <v>5.7841431575022736E-3</v>
      </c>
      <c r="H523" s="30">
        <f t="shared" ca="1" si="120"/>
        <v>1.0005086802546213E-2</v>
      </c>
      <c r="I523" s="30">
        <f t="shared" ca="1" si="120"/>
        <v>7.0201714947369653E-3</v>
      </c>
      <c r="J523" s="30">
        <f t="shared" ca="1" si="120"/>
        <v>0.11354815098002907</v>
      </c>
      <c r="K523" s="30">
        <f t="shared" ca="1" si="121"/>
        <v>1.7370072657264125E-2</v>
      </c>
      <c r="L523" s="30">
        <f t="shared" ca="1" si="121"/>
        <v>4.0690292291217879E-2</v>
      </c>
      <c r="M523" s="30">
        <f t="shared" ca="1" si="121"/>
        <v>4.0385910795066288E-2</v>
      </c>
      <c r="N523" s="30">
        <f t="shared" ca="1" si="121"/>
        <v>0.17704699964451193</v>
      </c>
      <c r="O523" s="30">
        <f t="shared" ca="1" si="122"/>
        <v>2.3154215814766399E-2</v>
      </c>
      <c r="P523" s="30">
        <f t="shared" ca="1" si="123"/>
        <v>5.0695379093764092E-2</v>
      </c>
      <c r="Q523" s="30">
        <f t="shared" ca="1" si="124"/>
        <v>4.7406082289803253E-2</v>
      </c>
      <c r="R523" s="30">
        <f t="shared" ca="1" si="125"/>
        <v>0.290595150624541</v>
      </c>
      <c r="S523" s="9" cm="1">
        <f t="array" aca="1" ref="S523" ca="1">_xll.FDS($E$7,"P_PRICE("&amp;AG523&amp;",0,D,D)")</f>
        <v>70.260000000000005</v>
      </c>
      <c r="T523" s="9" cm="1">
        <f t="array" aca="1" ref="T523" ca="1">_xll.FDS($E$7,"P_PRICE("&amp;AH523&amp;",0,D,D)")</f>
        <v>68.67</v>
      </c>
      <c r="U523" s="9" cm="1">
        <f t="array" aca="1" ref="U523" ca="1">_xll.FDS($E$7,"P_PRICE("&amp;AI523&amp;",0,D,D)")</f>
        <v>66.87</v>
      </c>
      <c r="V523" s="9" cm="1">
        <f t="array" aca="1" ref="V523" ca="1">_xll.FDS($E$7,"P_PRICE("&amp;AJ523&amp;",0,D,D)")</f>
        <v>67.08</v>
      </c>
      <c r="W523" s="9" cm="1">
        <f t="array" aca="1" ref="W523" ca="1">_xll.FDS($E$7,"P_PRICE("&amp;AK523&amp;",0,D,D)")</f>
        <v>54.44</v>
      </c>
      <c r="X523" s="24">
        <f t="shared" ca="1" si="126"/>
        <v>1.3921899398599002E-2</v>
      </c>
      <c r="Y523" s="24">
        <f t="shared" ca="1" si="127"/>
        <v>3.2612768349073118E-2</v>
      </c>
      <c r="Z523" s="24">
        <f t="shared" ca="1" si="128"/>
        <v>3.2368810327029651E-2</v>
      </c>
      <c r="AA523" s="24">
        <f t="shared" ca="1" si="129"/>
        <v>0.14190099065843009</v>
      </c>
      <c r="AB523" s="9" cm="1">
        <f t="array" aca="1" ref="AB523" ca="1">_xll.FDS($E$9,"P_PRICE("&amp;AG523&amp;",0,D,D)")</f>
        <v>4850.43</v>
      </c>
      <c r="AC523" s="9" cm="1">
        <f t="array" aca="1" ref="AC523" ca="1">_xll.FDS($E$9,"P_PRICE("&amp;AH523&amp;",0,D,D)")</f>
        <v>4783.83</v>
      </c>
      <c r="AD523" s="9" cm="1">
        <f t="array" aca="1" ref="AD523" ca="1">_xll.FDS($E$9,"P_PRICE("&amp;AI523&amp;",0,D,D)")</f>
        <v>4697.24</v>
      </c>
      <c r="AE523" s="9" cm="1">
        <f t="array" aca="1" ref="AE523" ca="1">_xll.FDS($E$9,"P_PRICE("&amp;AJ523&amp;",0,D,D)")</f>
        <v>4698.3500000000004</v>
      </c>
      <c r="AF523" s="9" cm="1">
        <f t="array" aca="1" ref="AF523" ca="1">_xll.FDS($E$9,"P_PRICE("&amp;AK523&amp;",0,D,D)")</f>
        <v>4247.68</v>
      </c>
      <c r="AG523" s="20">
        <f t="shared" ca="1" si="135"/>
        <v>45313</v>
      </c>
      <c r="AH523" s="22">
        <f t="shared" ca="1" si="130"/>
        <v>45303</v>
      </c>
      <c r="AI523" s="22">
        <f t="shared" ca="1" si="131"/>
        <v>45296</v>
      </c>
      <c r="AJ523" s="22">
        <f t="shared" ca="1" si="132"/>
        <v>45280</v>
      </c>
      <c r="AK523" s="22">
        <f t="shared" ca="1" si="133"/>
        <v>45223</v>
      </c>
      <c r="AL523" s="22">
        <f t="shared" ca="1" si="134"/>
        <v>45138</v>
      </c>
    </row>
    <row r="524" spans="4:38" x14ac:dyDescent="0.25">
      <c r="D524" s="6">
        <f ca="1"/>
        <v>45310</v>
      </c>
      <c r="E524" s="28" cm="1">
        <f t="array" aca="1" ref="E524" ca="1">_xll.FDS($E$7,"P_PRICE("&amp;D524&amp;",0,D,D)")</f>
        <v>69.86</v>
      </c>
      <c r="F524" s="29" cm="1">
        <f t="array" aca="1" ref="F524" ca="1">_xll.FDS($E$7,"P_BETA_LOCIDX("&amp;$AG524&amp;","&amp;$AL524&amp;",,"""&amp;$E$9&amp;""")")</f>
        <v>1.2455765999999999</v>
      </c>
      <c r="G524" s="30">
        <f t="shared" ca="1" si="120"/>
        <v>1.0670334496971842E-3</v>
      </c>
      <c r="H524" s="30">
        <f t="shared" ca="1" si="120"/>
        <v>1.529783060548473E-2</v>
      </c>
      <c r="I524" s="30">
        <f t="shared" ca="1" si="120"/>
        <v>4.6285764897008932E-3</v>
      </c>
      <c r="J524" s="30">
        <f t="shared" ca="1" si="120"/>
        <v>9.0638906200061625E-2</v>
      </c>
      <c r="K524" s="30">
        <f t="shared" ca="1" si="121"/>
        <v>1.5522023593376157E-2</v>
      </c>
      <c r="L524" s="30">
        <f t="shared" ca="1" si="121"/>
        <v>4.0148611455249616E-2</v>
      </c>
      <c r="M524" s="30">
        <f t="shared" ca="1" si="121"/>
        <v>1.8661301934204171E-2</v>
      </c>
      <c r="N524" s="30">
        <f t="shared" ca="1" si="121"/>
        <v>0.18394602355728187</v>
      </c>
      <c r="O524" s="30">
        <f t="shared" ca="1" si="122"/>
        <v>1.6589057043073341E-2</v>
      </c>
      <c r="P524" s="30">
        <f t="shared" ca="1" si="123"/>
        <v>5.5446442060734347E-2</v>
      </c>
      <c r="Q524" s="30">
        <f t="shared" ca="1" si="124"/>
        <v>2.3289878423905064E-2</v>
      </c>
      <c r="R524" s="30">
        <f t="shared" ca="1" si="125"/>
        <v>0.2745849297573435</v>
      </c>
      <c r="S524" s="9" cm="1">
        <f t="array" aca="1" ref="S524" ca="1">_xll.FDS($E$7,"P_PRICE("&amp;AG524&amp;",0,D,D)")</f>
        <v>69.86</v>
      </c>
      <c r="T524" s="9" cm="1">
        <f t="array" aca="1" ref="T524" ca="1">_xll.FDS($E$7,"P_PRICE("&amp;AH524&amp;",0,D,D)")</f>
        <v>68.72</v>
      </c>
      <c r="U524" s="9" cm="1">
        <f t="array" aca="1" ref="U524" ca="1">_xll.FDS($E$7,"P_PRICE("&amp;AI524&amp;",0,D,D)")</f>
        <v>66.19</v>
      </c>
      <c r="V524" s="9" cm="1">
        <f t="array" aca="1" ref="V524" ca="1">_xll.FDS($E$7,"P_PRICE("&amp;AJ524&amp;",0,D,D)")</f>
        <v>68.27</v>
      </c>
      <c r="W524" s="9" cm="1">
        <f t="array" aca="1" ref="W524" ca="1">_xll.FDS($E$7,"P_PRICE("&amp;AK524&amp;",0,D,D)")</f>
        <v>54.81</v>
      </c>
      <c r="X524" s="24">
        <f t="shared" ca="1" si="126"/>
        <v>1.2461717403310368E-2</v>
      </c>
      <c r="Y524" s="24">
        <f t="shared" ca="1" si="127"/>
        <v>3.2232952558076011E-2</v>
      </c>
      <c r="Z524" s="24">
        <f t="shared" ca="1" si="128"/>
        <v>1.4982058858687752E-2</v>
      </c>
      <c r="AA524" s="24">
        <f t="shared" ca="1" si="129"/>
        <v>0.14767941494507997</v>
      </c>
      <c r="AB524" s="9" cm="1">
        <f t="array" aca="1" ref="AB524" ca="1">_xll.FDS($E$9,"P_PRICE("&amp;AG524&amp;",0,D,D)")</f>
        <v>4839.8100000000004</v>
      </c>
      <c r="AC524" s="9" cm="1">
        <f t="array" aca="1" ref="AC524" ca="1">_xll.FDS($E$9,"P_PRICE("&amp;AH524&amp;",0,D,D)")</f>
        <v>4780.24</v>
      </c>
      <c r="AD524" s="9" cm="1">
        <f t="array" aca="1" ref="AD524" ca="1">_xll.FDS($E$9,"P_PRICE("&amp;AI524&amp;",0,D,D)")</f>
        <v>4688.68</v>
      </c>
      <c r="AE524" s="9" cm="1">
        <f t="array" aca="1" ref="AE524" ca="1">_xll.FDS($E$9,"P_PRICE("&amp;AJ524&amp;",0,D,D)")</f>
        <v>4768.37</v>
      </c>
      <c r="AF524" s="9" cm="1">
        <f t="array" aca="1" ref="AF524" ca="1">_xll.FDS($E$9,"P_PRICE("&amp;AK524&amp;",0,D,D)")</f>
        <v>4217.04</v>
      </c>
      <c r="AG524" s="20">
        <f t="shared" ca="1" si="135"/>
        <v>45310</v>
      </c>
      <c r="AH524" s="22">
        <f t="shared" ca="1" si="130"/>
        <v>45302</v>
      </c>
      <c r="AI524" s="22">
        <f t="shared" ca="1" si="131"/>
        <v>45295</v>
      </c>
      <c r="AJ524" s="22">
        <f t="shared" ca="1" si="132"/>
        <v>45279</v>
      </c>
      <c r="AK524" s="22">
        <f t="shared" ca="1" si="133"/>
        <v>45222</v>
      </c>
      <c r="AL524" s="22">
        <f t="shared" ca="1" si="134"/>
        <v>45135</v>
      </c>
    </row>
    <row r="525" spans="4:38" x14ac:dyDescent="0.25">
      <c r="D525" s="6">
        <f ca="1"/>
        <v>45309</v>
      </c>
      <c r="E525" s="28" cm="1">
        <f t="array" aca="1" ref="E525" ca="1">_xll.FDS($E$7,"P_PRICE("&amp;D525&amp;",0,D,D)")</f>
        <v>69.28</v>
      </c>
      <c r="F525" s="29" cm="1">
        <f t="array" aca="1" ref="F525" ca="1">_xll.FDS($E$7,"P_BETA_LOCIDX("&amp;$AG525&amp;","&amp;$AL525&amp;",,"""&amp;$E$9&amp;""")")</f>
        <v>1.2525743</v>
      </c>
      <c r="G525" s="30">
        <f t="shared" ca="1" si="120"/>
        <v>8.0224104026211632E-5</v>
      </c>
      <c r="H525" s="30">
        <f t="shared" ca="1" si="120"/>
        <v>2.4048858106892369E-2</v>
      </c>
      <c r="I525" s="30">
        <f t="shared" ca="1" si="120"/>
        <v>2.6922328728123265E-2</v>
      </c>
      <c r="J525" s="30">
        <f t="shared" ca="1" si="120"/>
        <v>9.4765547792960592E-2</v>
      </c>
      <c r="K525" s="30">
        <f t="shared" ca="1" si="121"/>
        <v>-6.5725814903474036E-4</v>
      </c>
      <c r="L525" s="30">
        <f t="shared" ca="1" si="121"/>
        <v>2.0268295947976432E-2</v>
      </c>
      <c r="M525" s="30">
        <f t="shared" ca="1" si="121"/>
        <v>1.0669404086014923E-2</v>
      </c>
      <c r="N525" s="30">
        <f t="shared" ca="1" si="121"/>
        <v>0.16509988228523537</v>
      </c>
      <c r="O525" s="30">
        <f t="shared" ca="1" si="122"/>
        <v>-5.7703404500852873E-4</v>
      </c>
      <c r="P525" s="30">
        <f t="shared" ca="1" si="123"/>
        <v>4.4317154054868801E-2</v>
      </c>
      <c r="Q525" s="30">
        <f t="shared" ca="1" si="124"/>
        <v>3.759173281413819E-2</v>
      </c>
      <c r="R525" s="30">
        <f t="shared" ca="1" si="125"/>
        <v>0.25986543007819596</v>
      </c>
      <c r="S525" s="9" cm="1">
        <f t="array" aca="1" ref="S525" ca="1">_xll.FDS($E$7,"P_PRICE("&amp;AG525&amp;",0,D,D)")</f>
        <v>69.28</v>
      </c>
      <c r="T525" s="9" cm="1">
        <f t="array" aca="1" ref="T525" ca="1">_xll.FDS($E$7,"P_PRICE("&amp;AH525&amp;",0,D,D)")</f>
        <v>69.319999999999993</v>
      </c>
      <c r="U525" s="9" cm="1">
        <f t="array" aca="1" ref="U525" ca="1">_xll.FDS($E$7,"P_PRICE("&amp;AI525&amp;",0,D,D)")</f>
        <v>66.34</v>
      </c>
      <c r="V525" s="9" cm="1">
        <f t="array" aca="1" ref="V525" ca="1">_xll.FDS($E$7,"P_PRICE("&amp;AJ525&amp;",0,D,D)")</f>
        <v>66.77</v>
      </c>
      <c r="W525" s="9" cm="1">
        <f t="array" aca="1" ref="W525" ca="1">_xll.FDS($E$7,"P_PRICE("&amp;AK525&amp;",0,D,D)")</f>
        <v>54.99</v>
      </c>
      <c r="X525" s="24">
        <f t="shared" ca="1" si="126"/>
        <v>-5.247258777660857E-4</v>
      </c>
      <c r="Y525" s="24">
        <f t="shared" ca="1" si="127"/>
        <v>1.6181312316543961E-2</v>
      </c>
      <c r="Z525" s="24">
        <f t="shared" ca="1" si="128"/>
        <v>8.5179809980253651E-3</v>
      </c>
      <c r="AA525" s="24">
        <f t="shared" ca="1" si="129"/>
        <v>0.1318084542252187</v>
      </c>
      <c r="AB525" s="9" cm="1">
        <f t="array" aca="1" ref="AB525" ca="1">_xll.FDS($E$9,"P_PRICE("&amp;AG525&amp;",0,D,D)")</f>
        <v>4780.9399999999996</v>
      </c>
      <c r="AC525" s="9" cm="1">
        <f t="array" aca="1" ref="AC525" ca="1">_xll.FDS($E$9,"P_PRICE("&amp;AH525&amp;",0,D,D)")</f>
        <v>4783.45</v>
      </c>
      <c r="AD525" s="9" cm="1">
        <f t="array" aca="1" ref="AD525" ca="1">_xll.FDS($E$9,"P_PRICE("&amp;AI525&amp;",0,D,D)")</f>
        <v>4704.8100000000004</v>
      </c>
      <c r="AE525" s="9" cm="1">
        <f t="array" aca="1" ref="AE525" ca="1">_xll.FDS($E$9,"P_PRICE("&amp;AJ525&amp;",0,D,D)")</f>
        <v>4740.5600000000004</v>
      </c>
      <c r="AF525" s="9" cm="1">
        <f t="array" aca="1" ref="AF525" ca="1">_xll.FDS($E$9,"P_PRICE("&amp;AK525&amp;",0,D,D)")</f>
        <v>4224.16</v>
      </c>
      <c r="AG525" s="20">
        <f t="shared" ca="1" si="135"/>
        <v>45309</v>
      </c>
      <c r="AH525" s="22">
        <f t="shared" ca="1" si="130"/>
        <v>45301</v>
      </c>
      <c r="AI525" s="22">
        <f t="shared" ca="1" si="131"/>
        <v>45294</v>
      </c>
      <c r="AJ525" s="22">
        <f t="shared" ca="1" si="132"/>
        <v>45278</v>
      </c>
      <c r="AK525" s="22">
        <f t="shared" ca="1" si="133"/>
        <v>45219</v>
      </c>
      <c r="AL525" s="22">
        <f t="shared" ca="1" si="134"/>
        <v>45134</v>
      </c>
    </row>
    <row r="526" spans="4:38" x14ac:dyDescent="0.25">
      <c r="D526" s="6">
        <f ca="1"/>
        <v>45308</v>
      </c>
      <c r="E526" s="28" cm="1">
        <f t="array" aca="1" ref="E526" ca="1">_xll.FDS($E$7,"P_PRICE("&amp;D526&amp;",0,D,D)")</f>
        <v>68.040000000000006</v>
      </c>
      <c r="F526" s="29" cm="1">
        <f t="array" aca="1" ref="F526" ca="1">_xll.FDS($E$7,"P_BETA_LOCIDX("&amp;$AG526&amp;","&amp;$AL526&amp;",,"""&amp;$E$9&amp;""")")</f>
        <v>1.2447531000000001</v>
      </c>
      <c r="G526" s="30">
        <f t="shared" ca="1" si="120"/>
        <v>-1.0672858812898818E-2</v>
      </c>
      <c r="H526" s="30">
        <f t="shared" ca="1" si="120"/>
        <v>-2.5648714986147261E-3</v>
      </c>
      <c r="I526" s="30">
        <f t="shared" ca="1" si="120"/>
        <v>1.1759800627005677E-2</v>
      </c>
      <c r="J526" s="30">
        <f t="shared" ca="1" si="120"/>
        <v>0.11264243411391417</v>
      </c>
      <c r="K526" s="30">
        <f t="shared" ca="1" si="121"/>
        <v>-4.5247095761589062E-3</v>
      </c>
      <c r="L526" s="30">
        <f t="shared" ca="1" si="121"/>
        <v>-9.5006698996169829E-4</v>
      </c>
      <c r="M526" s="30">
        <f t="shared" ca="1" si="121"/>
        <v>5.2805581173889027E-3</v>
      </c>
      <c r="N526" s="30">
        <f t="shared" ca="1" si="121"/>
        <v>0.13419648837096776</v>
      </c>
      <c r="O526" s="30">
        <f t="shared" ca="1" si="122"/>
        <v>-1.5197568389057725E-2</v>
      </c>
      <c r="P526" s="30">
        <f t="shared" ca="1" si="123"/>
        <v>-3.5149384885764245E-3</v>
      </c>
      <c r="Q526" s="30">
        <f t="shared" ca="1" si="124"/>
        <v>1.7040358744394579E-2</v>
      </c>
      <c r="R526" s="30">
        <f t="shared" ca="1" si="125"/>
        <v>0.24683892248488193</v>
      </c>
      <c r="S526" s="9" cm="1">
        <f t="array" aca="1" ref="S526" ca="1">_xll.FDS($E$7,"P_PRICE("&amp;AG526&amp;",0,D,D)")</f>
        <v>68.040000000000006</v>
      </c>
      <c r="T526" s="9" cm="1">
        <f t="array" aca="1" ref="T526" ca="1">_xll.FDS($E$7,"P_PRICE("&amp;AH526&amp;",0,D,D)")</f>
        <v>69.09</v>
      </c>
      <c r="U526" s="9" cm="1">
        <f t="array" aca="1" ref="U526" ca="1">_xll.FDS($E$7,"P_PRICE("&amp;AI526&amp;",0,D,D)")</f>
        <v>68.28</v>
      </c>
      <c r="V526" s="9" cm="1">
        <f t="array" aca="1" ref="V526" ca="1">_xll.FDS($E$7,"P_PRICE("&amp;AJ526&amp;",0,D,D)")</f>
        <v>66.900000000000006</v>
      </c>
      <c r="W526" s="9" cm="1">
        <f t="array" aca="1" ref="W526" ca="1">_xll.FDS($E$7,"P_PRICE("&amp;AK526&amp;",0,D,D)")</f>
        <v>54.57</v>
      </c>
      <c r="X526" s="24">
        <f t="shared" ca="1" si="126"/>
        <v>-3.6350257542310249E-3</v>
      </c>
      <c r="Y526" s="24">
        <f t="shared" ca="1" si="127"/>
        <v>-7.6325738008742317E-4</v>
      </c>
      <c r="Z526" s="24">
        <f t="shared" ca="1" si="128"/>
        <v>4.2422534375603504E-3</v>
      </c>
      <c r="AA526" s="24">
        <f t="shared" ca="1" si="129"/>
        <v>0.10780972417017298</v>
      </c>
      <c r="AB526" s="9" cm="1">
        <f t="array" aca="1" ref="AB526" ca="1">_xll.FDS($E$9,"P_PRICE("&amp;AG526&amp;",0,D,D)")</f>
        <v>4739.21</v>
      </c>
      <c r="AC526" s="9" cm="1">
        <f t="array" aca="1" ref="AC526" ca="1">_xll.FDS($E$9,"P_PRICE("&amp;AH526&amp;",0,D,D)")</f>
        <v>4756.5</v>
      </c>
      <c r="AD526" s="9" cm="1">
        <f t="array" aca="1" ref="AD526" ca="1">_xll.FDS($E$9,"P_PRICE("&amp;AI526&amp;",0,D,D)")</f>
        <v>4742.83</v>
      </c>
      <c r="AE526" s="9" cm="1">
        <f t="array" aca="1" ref="AE526" ca="1">_xll.FDS($E$9,"P_PRICE("&amp;AJ526&amp;",0,D,D)")</f>
        <v>4719.1899999999996</v>
      </c>
      <c r="AF526" s="9" cm="1">
        <f t="array" aca="1" ref="AF526" ca="1">_xll.FDS($E$9,"P_PRICE("&amp;AK526&amp;",0,D,D)")</f>
        <v>4278</v>
      </c>
      <c r="AG526" s="20">
        <f t="shared" ca="1" si="135"/>
        <v>45308</v>
      </c>
      <c r="AH526" s="22">
        <f t="shared" ca="1" si="130"/>
        <v>45300</v>
      </c>
      <c r="AI526" s="22">
        <f t="shared" ca="1" si="131"/>
        <v>45293</v>
      </c>
      <c r="AJ526" s="22">
        <f t="shared" ca="1" si="132"/>
        <v>45275</v>
      </c>
      <c r="AK526" s="22">
        <f t="shared" ca="1" si="133"/>
        <v>45218</v>
      </c>
      <c r="AL526" s="22">
        <f t="shared" ca="1" si="134"/>
        <v>45133</v>
      </c>
    </row>
    <row r="527" spans="4:38" x14ac:dyDescent="0.25">
      <c r="D527" s="6">
        <f ca="1"/>
        <v>45307</v>
      </c>
      <c r="E527" s="28" cm="1">
        <f t="array" aca="1" ref="E527" ca="1">_xll.FDS($E$7,"P_PRICE("&amp;D527&amp;",0,D,D)")</f>
        <v>67.290000000000006</v>
      </c>
      <c r="F527" s="29" cm="1">
        <f t="array" aca="1" ref="F527" ca="1">_xll.FDS($E$7,"P_BETA_LOCIDX("&amp;$AG527&amp;","&amp;$AL527&amp;",,"""&amp;$E$9&amp;""")")</f>
        <v>1.2617711</v>
      </c>
      <c r="G527" s="30">
        <f t="shared" ca="1" si="120"/>
        <v>-2.4013508407830939E-2</v>
      </c>
      <c r="H527" s="30">
        <f t="shared" ca="1" si="120"/>
        <v>-2.6020303789841812E-2</v>
      </c>
      <c r="I527" s="30">
        <f t="shared" ca="1" si="120"/>
        <v>-1.1669449674076161E-2</v>
      </c>
      <c r="J527" s="30">
        <f t="shared" ca="1" si="120"/>
        <v>7.9993118683853948E-2</v>
      </c>
      <c r="K527" s="30">
        <f t="shared" ca="1" si="121"/>
        <v>6.4630956893400957E-4</v>
      </c>
      <c r="L527" s="30">
        <f t="shared" ca="1" si="121"/>
        <v>-1.018446933119323E-3</v>
      </c>
      <c r="M527" s="30">
        <f t="shared" ca="1" si="121"/>
        <v>1.241305467110191E-2</v>
      </c>
      <c r="N527" s="30">
        <f t="shared" ca="1" si="121"/>
        <v>0.13200255854957554</v>
      </c>
      <c r="O527" s="30">
        <f t="shared" ca="1" si="122"/>
        <v>-2.336719883889693E-2</v>
      </c>
      <c r="P527" s="30">
        <f t="shared" ca="1" si="123"/>
        <v>-2.7038750722961136E-2</v>
      </c>
      <c r="Q527" s="30">
        <f t="shared" ca="1" si="124"/>
        <v>7.4360499702574856E-4</v>
      </c>
      <c r="R527" s="30">
        <f t="shared" ca="1" si="125"/>
        <v>0.21199567723342949</v>
      </c>
      <c r="S527" s="9" cm="1">
        <f t="array" aca="1" ref="S527" ca="1">_xll.FDS($E$7,"P_PRICE("&amp;AG527&amp;",0,D,D)")</f>
        <v>67.290000000000006</v>
      </c>
      <c r="T527" s="9" cm="1">
        <f t="array" aca="1" ref="T527" ca="1">_xll.FDS($E$7,"P_PRICE("&amp;AH527&amp;",0,D,D)")</f>
        <v>68.900000000000006</v>
      </c>
      <c r="U527" s="9" cm="1">
        <f t="array" aca="1" ref="U527" ca="1">_xll.FDS($E$7,"P_PRICE("&amp;AI527&amp;",0,D,D)")</f>
        <v>69.16</v>
      </c>
      <c r="V527" s="9" cm="1">
        <f t="array" aca="1" ref="V527" ca="1">_xll.FDS($E$7,"P_PRICE("&amp;AJ527&amp;",0,D,D)")</f>
        <v>67.239999999999995</v>
      </c>
      <c r="W527" s="9" cm="1">
        <f t="array" aca="1" ref="W527" ca="1">_xll.FDS($E$7,"P_PRICE("&amp;AK527&amp;",0,D,D)")</f>
        <v>55.52</v>
      </c>
      <c r="X527" s="24">
        <f t="shared" ca="1" si="126"/>
        <v>5.1222410224327497E-4</v>
      </c>
      <c r="Y527" s="24">
        <f t="shared" ca="1" si="127"/>
        <v>-8.0715664918884489E-4</v>
      </c>
      <c r="Z527" s="24">
        <f t="shared" ca="1" si="128"/>
        <v>9.8378023328493658E-3</v>
      </c>
      <c r="AA527" s="24">
        <f t="shared" ca="1" si="129"/>
        <v>0.10461688221387822</v>
      </c>
      <c r="AB527" s="9" cm="1">
        <f t="array" aca="1" ref="AB527" ca="1">_xll.FDS($E$9,"P_PRICE("&amp;AG527&amp;",0,D,D)")</f>
        <v>4765.9799999999996</v>
      </c>
      <c r="AC527" s="9" cm="1">
        <f t="array" aca="1" ref="AC527" ca="1">_xll.FDS($E$9,"P_PRICE("&amp;AH527&amp;",0,D,D)")</f>
        <v>4763.54</v>
      </c>
      <c r="AD527" s="9" cm="1">
        <f t="array" aca="1" ref="AD527" ca="1">_xll.FDS($E$9,"P_PRICE("&amp;AI527&amp;",0,D,D)")</f>
        <v>4769.83</v>
      </c>
      <c r="AE527" s="9" cm="1">
        <f t="array" aca="1" ref="AE527" ca="1">_xll.FDS($E$9,"P_PRICE("&amp;AJ527&amp;",0,D,D)")</f>
        <v>4719.55</v>
      </c>
      <c r="AF527" s="9" cm="1">
        <f t="array" aca="1" ref="AF527" ca="1">_xll.FDS($E$9,"P_PRICE("&amp;AK527&amp;",0,D,D)")</f>
        <v>4314.6000000000004</v>
      </c>
      <c r="AG527" s="20">
        <f t="shared" ca="1" si="135"/>
        <v>45307</v>
      </c>
      <c r="AH527" s="22">
        <f t="shared" ca="1" si="130"/>
        <v>45299</v>
      </c>
      <c r="AI527" s="22">
        <f t="shared" ca="1" si="131"/>
        <v>45289</v>
      </c>
      <c r="AJ527" s="22">
        <f t="shared" ca="1" si="132"/>
        <v>45274</v>
      </c>
      <c r="AK527" s="22">
        <f t="shared" ca="1" si="133"/>
        <v>45217</v>
      </c>
      <c r="AL527" s="22">
        <f t="shared" ca="1" si="134"/>
        <v>45132</v>
      </c>
    </row>
    <row r="528" spans="4:38" x14ac:dyDescent="0.25">
      <c r="D528" s="6">
        <f ca="1"/>
        <v>45303</v>
      </c>
      <c r="E528" s="28" cm="1">
        <f t="array" aca="1" ref="E528" ca="1">_xll.FDS($E$7,"P_PRICE("&amp;D528&amp;",0,D,D)")</f>
        <v>68.67</v>
      </c>
      <c r="F528" s="29" cm="1">
        <f t="array" aca="1" ref="F528" ca="1">_xll.FDS($E$7,"P_BETA_LOCIDX("&amp;$AG528&amp;","&amp;$AL528&amp;",,"""&amp;$E$9&amp;""")")</f>
        <v>1.2495285</v>
      </c>
      <c r="G528" s="30">
        <f t="shared" ca="1" si="120"/>
        <v>3.8838053149502852E-3</v>
      </c>
      <c r="H528" s="30">
        <f t="shared" ca="1" si="120"/>
        <v>-3.752781868985298E-3</v>
      </c>
      <c r="I528" s="30">
        <f t="shared" ca="1" si="120"/>
        <v>2.4170578670394335E-3</v>
      </c>
      <c r="J528" s="30">
        <f t="shared" ca="1" si="120"/>
        <v>6.6842809838804487E-2</v>
      </c>
      <c r="K528" s="30">
        <f t="shared" ca="1" si="121"/>
        <v>2.3034095088818228E-2</v>
      </c>
      <c r="L528" s="30">
        <f t="shared" ca="1" si="121"/>
        <v>1.2538778889247055E-4</v>
      </c>
      <c r="M528" s="30">
        <f t="shared" ca="1" si="121"/>
        <v>2.0371145886311899E-2</v>
      </c>
      <c r="N528" s="30">
        <f t="shared" ca="1" si="121"/>
        <v>0.11732687458954531</v>
      </c>
      <c r="O528" s="30">
        <f t="shared" ca="1" si="122"/>
        <v>2.6917900403768513E-2</v>
      </c>
      <c r="P528" s="30">
        <f t="shared" ca="1" si="123"/>
        <v>-3.6273940800928273E-3</v>
      </c>
      <c r="Q528" s="30">
        <f t="shared" ca="1" si="124"/>
        <v>2.2788203753351333E-2</v>
      </c>
      <c r="R528" s="30">
        <f t="shared" ca="1" si="125"/>
        <v>0.1841696844283498</v>
      </c>
      <c r="S528" s="9" cm="1">
        <f t="array" aca="1" ref="S528" ca="1">_xll.FDS($E$7,"P_PRICE("&amp;AG528&amp;",0,D,D)")</f>
        <v>68.67</v>
      </c>
      <c r="T528" s="9" cm="1">
        <f t="array" aca="1" ref="T528" ca="1">_xll.FDS($E$7,"P_PRICE("&amp;AH528&amp;",0,D,D)")</f>
        <v>66.87</v>
      </c>
      <c r="U528" s="9" cm="1">
        <f t="array" aca="1" ref="U528" ca="1">_xll.FDS($E$7,"P_PRICE("&amp;AI528&amp;",0,D,D)")</f>
        <v>68.92</v>
      </c>
      <c r="V528" s="9" cm="1">
        <f t="array" aca="1" ref="V528" ca="1">_xll.FDS($E$7,"P_PRICE("&amp;AJ528&amp;",0,D,D)")</f>
        <v>67.14</v>
      </c>
      <c r="W528" s="9" cm="1">
        <f t="array" aca="1" ref="W528" ca="1">_xll.FDS($E$7,"P_PRICE("&amp;AK528&amp;",0,D,D)")</f>
        <v>57.99</v>
      </c>
      <c r="X528" s="24">
        <f t="shared" ca="1" si="126"/>
        <v>1.8434229462407803E-2</v>
      </c>
      <c r="Y528" s="24">
        <f t="shared" ca="1" si="127"/>
        <v>1.0034808241066173E-4</v>
      </c>
      <c r="Z528" s="24">
        <f t="shared" ca="1" si="128"/>
        <v>1.6303066225629825E-2</v>
      </c>
      <c r="AA528" s="24">
        <f t="shared" ca="1" si="129"/>
        <v>9.3896917588950801E-2</v>
      </c>
      <c r="AB528" s="9" cm="1">
        <f t="array" aca="1" ref="AB528" ca="1">_xll.FDS($E$9,"P_PRICE("&amp;AG528&amp;",0,D,D)")</f>
        <v>4783.83</v>
      </c>
      <c r="AC528" s="9" cm="1">
        <f t="array" aca="1" ref="AC528" ca="1">_xll.FDS($E$9,"P_PRICE("&amp;AH528&amp;",0,D,D)")</f>
        <v>4697.24</v>
      </c>
      <c r="AD528" s="9" cm="1">
        <f t="array" aca="1" ref="AD528" ca="1">_xll.FDS($E$9,"P_PRICE("&amp;AI528&amp;",0,D,D)")</f>
        <v>4783.3500000000004</v>
      </c>
      <c r="AE528" s="9" cm="1">
        <f t="array" aca="1" ref="AE528" ca="1">_xll.FDS($E$9,"P_PRICE("&amp;AJ528&amp;",0,D,D)")</f>
        <v>4707.09</v>
      </c>
      <c r="AF528" s="9" cm="1">
        <f t="array" aca="1" ref="AF528" ca="1">_xll.FDS($E$9,"P_PRICE("&amp;AK528&amp;",0,D,D)")</f>
        <v>4373.2</v>
      </c>
      <c r="AG528" s="20">
        <f t="shared" ca="1" si="135"/>
        <v>45303</v>
      </c>
      <c r="AH528" s="22">
        <f t="shared" ca="1" si="130"/>
        <v>45296</v>
      </c>
      <c r="AI528" s="22">
        <f t="shared" ca="1" si="131"/>
        <v>45288</v>
      </c>
      <c r="AJ528" s="22">
        <f t="shared" ca="1" si="132"/>
        <v>45273</v>
      </c>
      <c r="AK528" s="22">
        <f t="shared" ca="1" si="133"/>
        <v>45216</v>
      </c>
      <c r="AL528" s="22">
        <f t="shared" ca="1" si="134"/>
        <v>45131</v>
      </c>
    </row>
    <row r="529" spans="4:38" x14ac:dyDescent="0.25">
      <c r="D529" s="6">
        <f ca="1"/>
        <v>45302</v>
      </c>
      <c r="E529" s="28" cm="1">
        <f t="array" aca="1" ref="E529" ca="1">_xll.FDS($E$7,"P_PRICE("&amp;D529&amp;",0,D,D)")</f>
        <v>68.72</v>
      </c>
      <c r="F529" s="29" cm="1">
        <f t="array" aca="1" ref="F529" ca="1">_xll.FDS($E$7,"P_BETA_LOCIDX("&amp;$AG529&amp;","&amp;$AL529&amp;",,"""&amp;$E$9&amp;""")")</f>
        <v>1.2495860999999999</v>
      </c>
      <c r="G529" s="30">
        <f t="shared" ca="1" si="120"/>
        <v>1.3821523935963666E-2</v>
      </c>
      <c r="H529" s="30">
        <f t="shared" ca="1" si="120"/>
        <v>-4.1406144735378512E-3</v>
      </c>
      <c r="I529" s="30">
        <f t="shared" ca="1" si="120"/>
        <v>1.0340200144060181E-2</v>
      </c>
      <c r="J529" s="30">
        <f t="shared" ca="1" si="120"/>
        <v>5.6724202124493223E-2</v>
      </c>
      <c r="K529" s="30">
        <f t="shared" ca="1" si="121"/>
        <v>2.4401772634515293E-2</v>
      </c>
      <c r="L529" s="30">
        <f t="shared" ca="1" si="121"/>
        <v>-3.5018662743281404E-4</v>
      </c>
      <c r="M529" s="30">
        <f t="shared" ca="1" si="121"/>
        <v>3.6741926931972251E-2</v>
      </c>
      <c r="N529" s="30">
        <f t="shared" ca="1" si="121"/>
        <v>0.11617219657835701</v>
      </c>
      <c r="O529" s="30">
        <f t="shared" ca="1" si="122"/>
        <v>3.822329657047896E-2</v>
      </c>
      <c r="P529" s="30">
        <f t="shared" ca="1" si="123"/>
        <v>-4.490801100970665E-3</v>
      </c>
      <c r="Q529" s="30">
        <f t="shared" ca="1" si="124"/>
        <v>4.7082127076032432E-2</v>
      </c>
      <c r="R529" s="30">
        <f t="shared" ca="1" si="125"/>
        <v>0.17289639870285023</v>
      </c>
      <c r="S529" s="9" cm="1">
        <f t="array" aca="1" ref="S529" ca="1">_xll.FDS($E$7,"P_PRICE("&amp;AG529&amp;",0,D,D)")</f>
        <v>68.72</v>
      </c>
      <c r="T529" s="9" cm="1">
        <f t="array" aca="1" ref="T529" ca="1">_xll.FDS($E$7,"P_PRICE("&amp;AH529&amp;",0,D,D)")</f>
        <v>66.19</v>
      </c>
      <c r="U529" s="9" cm="1">
        <f t="array" aca="1" ref="U529" ca="1">_xll.FDS($E$7,"P_PRICE("&amp;AI529&amp;",0,D,D)")</f>
        <v>69.03</v>
      </c>
      <c r="V529" s="9" cm="1">
        <f t="array" aca="1" ref="V529" ca="1">_xll.FDS($E$7,"P_PRICE("&amp;AJ529&amp;",0,D,D)")</f>
        <v>65.63</v>
      </c>
      <c r="W529" s="9" cm="1">
        <f t="array" aca="1" ref="W529" ca="1">_xll.FDS($E$7,"P_PRICE("&amp;AK529&amp;",0,D,D)")</f>
        <v>58.59</v>
      </c>
      <c r="X529" s="24">
        <f t="shared" ca="1" si="126"/>
        <v>1.9527884180622124E-2</v>
      </c>
      <c r="Y529" s="24">
        <f t="shared" ca="1" si="127"/>
        <v>-2.802420957089824E-4</v>
      </c>
      <c r="Z529" s="24">
        <f t="shared" ca="1" si="128"/>
        <v>2.9403277558843088E-2</v>
      </c>
      <c r="AA529" s="24">
        <f t="shared" ca="1" si="129"/>
        <v>9.2968541005983507E-2</v>
      </c>
      <c r="AB529" s="9" cm="1">
        <f t="array" aca="1" ref="AB529" ca="1">_xll.FDS($E$9,"P_PRICE("&amp;AG529&amp;",0,D,D)")</f>
        <v>4780.24</v>
      </c>
      <c r="AC529" s="9" cm="1">
        <f t="array" aca="1" ref="AC529" ca="1">_xll.FDS($E$9,"P_PRICE("&amp;AH529&amp;",0,D,D)")</f>
        <v>4688.68</v>
      </c>
      <c r="AD529" s="9" cm="1">
        <f t="array" aca="1" ref="AD529" ca="1">_xll.FDS($E$9,"P_PRICE("&amp;AI529&amp;",0,D,D)")</f>
        <v>4781.58</v>
      </c>
      <c r="AE529" s="9" cm="1">
        <f t="array" aca="1" ref="AE529" ca="1">_xll.FDS($E$9,"P_PRICE("&amp;AJ529&amp;",0,D,D)")</f>
        <v>4643.7</v>
      </c>
      <c r="AF529" s="9" cm="1">
        <f t="array" aca="1" ref="AF529" ca="1">_xll.FDS($E$9,"P_PRICE("&amp;AK529&amp;",0,D,D)")</f>
        <v>4373.63</v>
      </c>
      <c r="AG529" s="20">
        <f t="shared" ca="1" si="135"/>
        <v>45302</v>
      </c>
      <c r="AH529" s="22">
        <f t="shared" ca="1" si="130"/>
        <v>45295</v>
      </c>
      <c r="AI529" s="22">
        <f t="shared" ca="1" si="131"/>
        <v>45287</v>
      </c>
      <c r="AJ529" s="22">
        <f t="shared" ca="1" si="132"/>
        <v>45272</v>
      </c>
      <c r="AK529" s="22">
        <f t="shared" ca="1" si="133"/>
        <v>45215</v>
      </c>
      <c r="AL529" s="22">
        <f t="shared" ca="1" si="134"/>
        <v>45128</v>
      </c>
    </row>
    <row r="530" spans="4:38" x14ac:dyDescent="0.25">
      <c r="D530" s="6">
        <f ca="1"/>
        <v>45301</v>
      </c>
      <c r="E530" s="28" cm="1">
        <f t="array" aca="1" ref="E530" ca="1">_xll.FDS($E$7,"P_PRICE("&amp;D530&amp;",0,D,D)")</f>
        <v>69.319999999999993</v>
      </c>
      <c r="F530" s="29" cm="1">
        <f t="array" aca="1" ref="F530" ca="1">_xll.FDS($E$7,"P_BETA_LOCIDX("&amp;$AG530&amp;","&amp;$AL530&amp;",,"""&amp;$E$9&amp;""")")</f>
        <v>1.2303388</v>
      </c>
      <c r="G530" s="30">
        <f t="shared" ca="1" si="120"/>
        <v>2.4355230623452431E-2</v>
      </c>
      <c r="H530" s="30">
        <f t="shared" ca="1" si="120"/>
        <v>4.4384389564835402E-3</v>
      </c>
      <c r="I530" s="30">
        <f t="shared" ca="1" si="120"/>
        <v>1.8056679346099488E-2</v>
      </c>
      <c r="J530" s="30">
        <f t="shared" ca="1" si="120"/>
        <v>7.5394738714439441E-2</v>
      </c>
      <c r="K530" s="30">
        <f t="shared" ca="1" si="121"/>
        <v>2.0564877908353183E-2</v>
      </c>
      <c r="L530" s="30">
        <f t="shared" ca="1" si="121"/>
        <v>2.2417817812450192E-3</v>
      </c>
      <c r="M530" s="30">
        <f t="shared" ca="1" si="121"/>
        <v>4.2855472475143055E-2</v>
      </c>
      <c r="N530" s="30">
        <f t="shared" ca="1" si="121"/>
        <v>0.12954181612651286</v>
      </c>
      <c r="O530" s="30">
        <f t="shared" ca="1" si="122"/>
        <v>4.4920108531805614E-2</v>
      </c>
      <c r="P530" s="30">
        <f t="shared" ca="1" si="123"/>
        <v>6.6802207377285594E-3</v>
      </c>
      <c r="Q530" s="30">
        <f t="shared" ca="1" si="124"/>
        <v>6.0912151821242544E-2</v>
      </c>
      <c r="R530" s="30">
        <f t="shared" ca="1" si="125"/>
        <v>0.2049365548409523</v>
      </c>
      <c r="S530" s="9" cm="1">
        <f t="array" aca="1" ref="S530" ca="1">_xll.FDS($E$7,"P_PRICE("&amp;AG530&amp;",0,D,D)")</f>
        <v>69.319999999999993</v>
      </c>
      <c r="T530" s="9" cm="1">
        <f t="array" aca="1" ref="T530" ca="1">_xll.FDS($E$7,"P_PRICE("&amp;AH530&amp;",0,D,D)")</f>
        <v>66.34</v>
      </c>
      <c r="U530" s="9" cm="1">
        <f t="array" aca="1" ref="U530" ca="1">_xll.FDS($E$7,"P_PRICE("&amp;AI530&amp;",0,D,D)")</f>
        <v>68.86</v>
      </c>
      <c r="V530" s="9" cm="1">
        <f t="array" aca="1" ref="V530" ca="1">_xll.FDS($E$7,"P_PRICE("&amp;AJ530&amp;",0,D,D)")</f>
        <v>65.34</v>
      </c>
      <c r="W530" s="9" cm="1">
        <f t="array" aca="1" ref="W530" ca="1">_xll.FDS($E$7,"P_PRICE("&amp;AK530&amp;",0,D,D)")</f>
        <v>57.53</v>
      </c>
      <c r="X530" s="24">
        <f t="shared" ca="1" si="126"/>
        <v>1.6714808887074994E-2</v>
      </c>
      <c r="Y530" s="24">
        <f t="shared" ca="1" si="127"/>
        <v>1.8220849259122929E-3</v>
      </c>
      <c r="Z530" s="24">
        <f t="shared" ca="1" si="128"/>
        <v>3.4832253095767651E-2</v>
      </c>
      <c r="AA530" s="24">
        <f t="shared" ca="1" si="129"/>
        <v>0.10528954798996248</v>
      </c>
      <c r="AB530" s="9" cm="1">
        <f t="array" aca="1" ref="AB530" ca="1">_xll.FDS($E$9,"P_PRICE("&amp;AG530&amp;",0,D,D)")</f>
        <v>4783.45</v>
      </c>
      <c r="AC530" s="9" cm="1">
        <f t="array" aca="1" ref="AC530" ca="1">_xll.FDS($E$9,"P_PRICE("&amp;AH530&amp;",0,D,D)")</f>
        <v>4704.8100000000004</v>
      </c>
      <c r="AD530" s="9" cm="1">
        <f t="array" aca="1" ref="AD530" ca="1">_xll.FDS($E$9,"P_PRICE("&amp;AI530&amp;",0,D,D)")</f>
        <v>4774.75</v>
      </c>
      <c r="AE530" s="9" cm="1">
        <f t="array" aca="1" ref="AE530" ca="1">_xll.FDS($E$9,"P_PRICE("&amp;AJ530&amp;",0,D,D)")</f>
        <v>4622.4399999999996</v>
      </c>
      <c r="AF530" s="9" cm="1">
        <f t="array" aca="1" ref="AF530" ca="1">_xll.FDS($E$9,"P_PRICE("&amp;AK530&amp;",0,D,D)")</f>
        <v>4327.78</v>
      </c>
      <c r="AG530" s="20">
        <f t="shared" ca="1" si="135"/>
        <v>45301</v>
      </c>
      <c r="AH530" s="22">
        <f t="shared" ca="1" si="130"/>
        <v>45294</v>
      </c>
      <c r="AI530" s="22">
        <f t="shared" ca="1" si="131"/>
        <v>45286</v>
      </c>
      <c r="AJ530" s="22">
        <f t="shared" ca="1" si="132"/>
        <v>45271</v>
      </c>
      <c r="AK530" s="22">
        <f t="shared" ca="1" si="133"/>
        <v>45212</v>
      </c>
      <c r="AL530" s="22">
        <f t="shared" ca="1" si="134"/>
        <v>45127</v>
      </c>
    </row>
    <row r="531" spans="4:38" x14ac:dyDescent="0.25">
      <c r="D531" s="6">
        <f ca="1"/>
        <v>45300</v>
      </c>
      <c r="E531" s="28" cm="1">
        <f t="array" aca="1" ref="E531" ca="1">_xll.FDS($E$7,"P_PRICE("&amp;D531&amp;",0,D,D)")</f>
        <v>69.09</v>
      </c>
      <c r="F531" s="29" cm="1">
        <f t="array" aca="1" ref="F531" ca="1">_xll.FDS($E$7,"P_BETA_LOCIDX("&amp;$AG531&amp;","&amp;$AL531&amp;",,"""&amp;$E$9&amp;""")")</f>
        <v>1.2335467</v>
      </c>
      <c r="G531" s="30">
        <f t="shared" ca="1" si="120"/>
        <v>8.3075330843062622E-3</v>
      </c>
      <c r="H531" s="30">
        <f t="shared" ca="1" si="120"/>
        <v>1.1525977308609341E-2</v>
      </c>
      <c r="I531" s="30">
        <f t="shared" ca="1" si="120"/>
        <v>2.2984523799216193E-2</v>
      </c>
      <c r="J531" s="30">
        <f t="shared" ca="1" si="120"/>
        <v>7.3353667333701716E-2</v>
      </c>
      <c r="K531" s="30">
        <f t="shared" ca="1" si="121"/>
        <v>3.5553843146392547E-3</v>
      </c>
      <c r="L531" s="30">
        <f t="shared" ca="1" si="121"/>
        <v>4.8515496032290357E-4</v>
      </c>
      <c r="M531" s="30">
        <f t="shared" ca="1" si="121"/>
        <v>4.0756815692700656E-2</v>
      </c>
      <c r="N531" s="30">
        <f t="shared" ca="1" si="121"/>
        <v>0.11539375179912695</v>
      </c>
      <c r="O531" s="30">
        <f t="shared" ca="1" si="122"/>
        <v>1.1862917398945516E-2</v>
      </c>
      <c r="P531" s="30">
        <f t="shared" ca="1" si="123"/>
        <v>1.2011132268932245E-2</v>
      </c>
      <c r="Q531" s="30">
        <f t="shared" ca="1" si="124"/>
        <v>6.3741339491916849E-2</v>
      </c>
      <c r="R531" s="30">
        <f t="shared" ca="1" si="125"/>
        <v>0.18874741913282866</v>
      </c>
      <c r="S531" s="9" cm="1">
        <f t="array" aca="1" ref="S531" ca="1">_xll.FDS($E$7,"P_PRICE("&amp;AG531&amp;",0,D,D)")</f>
        <v>69.09</v>
      </c>
      <c r="T531" s="9" cm="1">
        <f t="array" aca="1" ref="T531" ca="1">_xll.FDS($E$7,"P_PRICE("&amp;AH531&amp;",0,D,D)")</f>
        <v>68.28</v>
      </c>
      <c r="U531" s="9" cm="1">
        <f t="array" aca="1" ref="U531" ca="1">_xll.FDS($E$7,"P_PRICE("&amp;AI531&amp;",0,D,D)")</f>
        <v>68.27</v>
      </c>
      <c r="V531" s="9" cm="1">
        <f t="array" aca="1" ref="V531" ca="1">_xll.FDS($E$7,"P_PRICE("&amp;AJ531&amp;",0,D,D)")</f>
        <v>64.95</v>
      </c>
      <c r="W531" s="9" cm="1">
        <f t="array" aca="1" ref="W531" ca="1">_xll.FDS($E$7,"P_PRICE("&amp;AK531&amp;",0,D,D)")</f>
        <v>58.12</v>
      </c>
      <c r="X531" s="24">
        <f t="shared" ca="1" si="126"/>
        <v>2.8822454104406869E-3</v>
      </c>
      <c r="Y531" s="24">
        <f t="shared" ca="1" si="127"/>
        <v>3.9330084570199375E-4</v>
      </c>
      <c r="Z531" s="24">
        <f t="shared" ca="1" si="128"/>
        <v>3.3040350797177487E-2</v>
      </c>
      <c r="AA531" s="24">
        <f t="shared" ca="1" si="129"/>
        <v>9.3546317945746971E-2</v>
      </c>
      <c r="AB531" s="9" cm="1">
        <f t="array" aca="1" ref="AB531" ca="1">_xll.FDS($E$9,"P_PRICE("&amp;AG531&amp;",0,D,D)")</f>
        <v>4756.5</v>
      </c>
      <c r="AC531" s="9" cm="1">
        <f t="array" aca="1" ref="AC531" ca="1">_xll.FDS($E$9,"P_PRICE("&amp;AH531&amp;",0,D,D)")</f>
        <v>4742.83</v>
      </c>
      <c r="AD531" s="9" cm="1">
        <f t="array" aca="1" ref="AD531" ca="1">_xll.FDS($E$9,"P_PRICE("&amp;AI531&amp;",0,D,D)")</f>
        <v>4754.63</v>
      </c>
      <c r="AE531" s="9" cm="1">
        <f t="array" aca="1" ref="AE531" ca="1">_xll.FDS($E$9,"P_PRICE("&amp;AJ531&amp;",0,D,D)")</f>
        <v>4604.37</v>
      </c>
      <c r="AF531" s="9" cm="1">
        <f t="array" aca="1" ref="AF531" ca="1">_xll.FDS($E$9,"P_PRICE("&amp;AK531&amp;",0,D,D)")</f>
        <v>4349.6099999999997</v>
      </c>
      <c r="AG531" s="20">
        <f t="shared" ca="1" si="135"/>
        <v>45300</v>
      </c>
      <c r="AH531" s="22">
        <f t="shared" ca="1" si="130"/>
        <v>45293</v>
      </c>
      <c r="AI531" s="22">
        <f t="shared" ca="1" si="131"/>
        <v>45282</v>
      </c>
      <c r="AJ531" s="22">
        <f t="shared" ca="1" si="132"/>
        <v>45268</v>
      </c>
      <c r="AK531" s="22">
        <f t="shared" ca="1" si="133"/>
        <v>45211</v>
      </c>
      <c r="AL531" s="22">
        <f t="shared" ca="1" si="134"/>
        <v>45126</v>
      </c>
    </row>
    <row r="532" spans="4:38" x14ac:dyDescent="0.25">
      <c r="D532" s="6">
        <f ca="1"/>
        <v>45299</v>
      </c>
      <c r="E532" s="28" cm="1">
        <f t="array" aca="1" ref="E532" ca="1">_xll.FDS($E$7,"P_PRICE("&amp;D532&amp;",0,D,D)")</f>
        <v>68.900000000000006</v>
      </c>
      <c r="F532" s="29" cm="1">
        <f t="array" aca="1" ref="F532" ca="1">_xll.FDS($E$7,"P_BETA_LOCIDX("&amp;$AG532&amp;","&amp;$AL532&amp;",,"""&amp;$E$9&amp;""")")</f>
        <v>1.2333835</v>
      </c>
      <c r="G532" s="30">
        <f t="shared" ca="1" si="120"/>
        <v>-2.1329291640001351E-3</v>
      </c>
      <c r="H532" s="30">
        <f t="shared" ca="1" si="120"/>
        <v>4.5698226931682861E-3</v>
      </c>
      <c r="I532" s="30">
        <f t="shared" ca="1" si="120"/>
        <v>2.8867630216009257E-2</v>
      </c>
      <c r="J532" s="30">
        <f t="shared" ca="1" si="120"/>
        <v>5.4520851287618535E-2</v>
      </c>
      <c r="K532" s="30">
        <f t="shared" ca="1" si="121"/>
        <v>-1.626469332240383E-3</v>
      </c>
      <c r="L532" s="30">
        <f t="shared" ca="1" si="121"/>
        <v>4.3626710833728644E-3</v>
      </c>
      <c r="M532" s="30">
        <f t="shared" ca="1" si="121"/>
        <v>4.7863108961987297E-2</v>
      </c>
      <c r="N532" s="30">
        <f t="shared" ca="1" si="121"/>
        <v>0.10893743983024716</v>
      </c>
      <c r="O532" s="30">
        <f t="shared" ca="1" si="122"/>
        <v>-3.759398496240518E-3</v>
      </c>
      <c r="P532" s="30">
        <f t="shared" ca="1" si="123"/>
        <v>8.9324937765411505E-3</v>
      </c>
      <c r="Q532" s="30">
        <f t="shared" ca="1" si="124"/>
        <v>7.6730739177996554E-2</v>
      </c>
      <c r="R532" s="30">
        <f t="shared" ca="1" si="125"/>
        <v>0.16345829111786569</v>
      </c>
      <c r="S532" s="9" cm="1">
        <f t="array" aca="1" ref="S532" ca="1">_xll.FDS($E$7,"P_PRICE("&amp;AG532&amp;",0,D,D)")</f>
        <v>68.900000000000006</v>
      </c>
      <c r="T532" s="9" cm="1">
        <f t="array" aca="1" ref="T532" ca="1">_xll.FDS($E$7,"P_PRICE("&amp;AH532&amp;",0,D,D)")</f>
        <v>69.16</v>
      </c>
      <c r="U532" s="9" cm="1">
        <f t="array" aca="1" ref="U532" ca="1">_xll.FDS($E$7,"P_PRICE("&amp;AI532&amp;",0,D,D)")</f>
        <v>68.290000000000006</v>
      </c>
      <c r="V532" s="9" cm="1">
        <f t="array" aca="1" ref="V532" ca="1">_xll.FDS($E$7,"P_PRICE("&amp;AJ532&amp;",0,D,D)")</f>
        <v>63.99</v>
      </c>
      <c r="W532" s="9" cm="1">
        <f t="array" aca="1" ref="W532" ca="1">_xll.FDS($E$7,"P_PRICE("&amp;AK532&amp;",0,D,D)")</f>
        <v>59.22</v>
      </c>
      <c r="X532" s="24">
        <f t="shared" ca="1" si="126"/>
        <v>-1.3187052788045106E-3</v>
      </c>
      <c r="Y532" s="24">
        <f t="shared" ca="1" si="127"/>
        <v>3.5371570021593968E-3</v>
      </c>
      <c r="Z532" s="24">
        <f t="shared" ca="1" si="128"/>
        <v>3.8806347710981459E-2</v>
      </c>
      <c r="AA532" s="24">
        <f t="shared" ca="1" si="129"/>
        <v>8.8324061275545818E-2</v>
      </c>
      <c r="AB532" s="9" cm="1">
        <f t="array" aca="1" ref="AB532" ca="1">_xll.FDS($E$9,"P_PRICE("&amp;AG532&amp;",0,D,D)")</f>
        <v>4763.54</v>
      </c>
      <c r="AC532" s="9" cm="1">
        <f t="array" aca="1" ref="AC532" ca="1">_xll.FDS($E$9,"P_PRICE("&amp;AH532&amp;",0,D,D)")</f>
        <v>4769.83</v>
      </c>
      <c r="AD532" s="9" cm="1">
        <f t="array" aca="1" ref="AD532" ca="1">_xll.FDS($E$9,"P_PRICE("&amp;AI532&amp;",0,D,D)")</f>
        <v>4746.75</v>
      </c>
      <c r="AE532" s="9" cm="1">
        <f t="array" aca="1" ref="AE532" ca="1">_xll.FDS($E$9,"P_PRICE("&amp;AJ532&amp;",0,D,D)")</f>
        <v>4585.59</v>
      </c>
      <c r="AF532" s="9" cm="1">
        <f t="array" aca="1" ref="AF532" ca="1">_xll.FDS($E$9,"P_PRICE("&amp;AK532&amp;",0,D,D)")</f>
        <v>4376.95</v>
      </c>
      <c r="AG532" s="20">
        <f t="shared" ca="1" si="135"/>
        <v>45299</v>
      </c>
      <c r="AH532" s="22">
        <f t="shared" ca="1" si="130"/>
        <v>45289</v>
      </c>
      <c r="AI532" s="22">
        <f t="shared" ca="1" si="131"/>
        <v>45281</v>
      </c>
      <c r="AJ532" s="22">
        <f t="shared" ca="1" si="132"/>
        <v>45267</v>
      </c>
      <c r="AK532" s="22">
        <f t="shared" ca="1" si="133"/>
        <v>45210</v>
      </c>
      <c r="AL532" s="22">
        <f t="shared" ca="1" si="134"/>
        <v>45125</v>
      </c>
    </row>
    <row r="533" spans="4:38" x14ac:dyDescent="0.25">
      <c r="D533" s="6">
        <f ca="1"/>
        <v>45296</v>
      </c>
      <c r="E533" s="28" cm="1">
        <f t="array" aca="1" ref="E533" ca="1">_xll.FDS($E$7,"P_PRICE("&amp;D533&amp;",0,D,D)")</f>
        <v>66.87</v>
      </c>
      <c r="F533" s="29" cm="1">
        <f t="array" aca="1" ref="F533" ca="1">_xll.FDS($E$7,"P_BETA_LOCIDX("&amp;$AG533&amp;","&amp;$AL533&amp;",,"""&amp;$E$9&amp;""")")</f>
        <v>1.2070114999999999</v>
      </c>
      <c r="G533" s="30">
        <f t="shared" ca="1" si="120"/>
        <v>-8.0159767973698691E-3</v>
      </c>
      <c r="H533" s="30">
        <f t="shared" ca="1" si="120"/>
        <v>-2.8454300676691835E-3</v>
      </c>
      <c r="I533" s="30">
        <f t="shared" ca="1" si="120"/>
        <v>2.3031446495998475E-2</v>
      </c>
      <c r="J533" s="30">
        <f t="shared" ref="J533:J596" ca="1" si="136">+R533-N533</f>
        <v>6.9070710379499106E-2</v>
      </c>
      <c r="K533" s="30">
        <f t="shared" ca="1" si="121"/>
        <v>-2.1728654659391559E-2</v>
      </c>
      <c r="L533" s="30">
        <f t="shared" ca="1" si="121"/>
        <v>-2.8516027222341906E-4</v>
      </c>
      <c r="M533" s="30">
        <f t="shared" ca="1" si="121"/>
        <v>3.9240197666034982E-2</v>
      </c>
      <c r="N533" s="30">
        <f t="shared" ref="N533:N596" ca="1" si="137">+AA533*$F533</f>
        <v>9.3885811359631338E-2</v>
      </c>
      <c r="O533" s="30">
        <f t="shared" ca="1" si="122"/>
        <v>-2.9744631456761428E-2</v>
      </c>
      <c r="P533" s="30">
        <f t="shared" ca="1" si="123"/>
        <v>-3.1305903398926027E-3</v>
      </c>
      <c r="Q533" s="30">
        <f t="shared" ca="1" si="124"/>
        <v>6.2271644162033457E-2</v>
      </c>
      <c r="R533" s="30">
        <f t="shared" ca="1" si="125"/>
        <v>0.16295652173913044</v>
      </c>
      <c r="S533" s="9" cm="1">
        <f t="array" aca="1" ref="S533" ca="1">_xll.FDS($E$7,"P_PRICE("&amp;AG533&amp;",0,D,D)")</f>
        <v>66.87</v>
      </c>
      <c r="T533" s="9" cm="1">
        <f t="array" aca="1" ref="T533" ca="1">_xll.FDS($E$7,"P_PRICE("&amp;AH533&amp;",0,D,D)")</f>
        <v>68.92</v>
      </c>
      <c r="U533" s="9" cm="1">
        <f t="array" aca="1" ref="U533" ca="1">_xll.FDS($E$7,"P_PRICE("&amp;AI533&amp;",0,D,D)")</f>
        <v>67.08</v>
      </c>
      <c r="V533" s="9" cm="1">
        <f t="array" aca="1" ref="V533" ca="1">_xll.FDS($E$7,"P_PRICE("&amp;AJ533&amp;",0,D,D)")</f>
        <v>62.95</v>
      </c>
      <c r="W533" s="9" cm="1">
        <f t="array" aca="1" ref="W533" ca="1">_xll.FDS($E$7,"P_PRICE("&amp;AK533&amp;",0,D,D)")</f>
        <v>57.5</v>
      </c>
      <c r="X533" s="24">
        <f t="shared" ca="1" si="126"/>
        <v>-1.8002027867498827E-2</v>
      </c>
      <c r="Y533" s="24">
        <f t="shared" ca="1" si="127"/>
        <v>-2.3625315270270342E-4</v>
      </c>
      <c r="Z533" s="24">
        <f t="shared" ca="1" si="128"/>
        <v>3.2510210272259199E-2</v>
      </c>
      <c r="AA533" s="24">
        <f t="shared" ca="1" si="129"/>
        <v>7.778369249972461E-2</v>
      </c>
      <c r="AB533" s="9" cm="1">
        <f t="array" aca="1" ref="AB533" ca="1">_xll.FDS($E$9,"P_PRICE("&amp;AG533&amp;",0,D,D)")</f>
        <v>4697.24</v>
      </c>
      <c r="AC533" s="9" cm="1">
        <f t="array" aca="1" ref="AC533" ca="1">_xll.FDS($E$9,"P_PRICE("&amp;AH533&amp;",0,D,D)")</f>
        <v>4783.3500000000004</v>
      </c>
      <c r="AD533" s="9" cm="1">
        <f t="array" aca="1" ref="AD533" ca="1">_xll.FDS($E$9,"P_PRICE("&amp;AI533&amp;",0,D,D)")</f>
        <v>4698.3500000000004</v>
      </c>
      <c r="AE533" s="9" cm="1">
        <f t="array" aca="1" ref="AE533" ca="1">_xll.FDS($E$9,"P_PRICE("&amp;AJ533&amp;",0,D,D)")</f>
        <v>4549.34</v>
      </c>
      <c r="AF533" s="9" cm="1">
        <f t="array" aca="1" ref="AF533" ca="1">_xll.FDS($E$9,"P_PRICE("&amp;AK533&amp;",0,D,D)")</f>
        <v>4358.24</v>
      </c>
      <c r="AG533" s="20">
        <f t="shared" ca="1" si="135"/>
        <v>45296</v>
      </c>
      <c r="AH533" s="22">
        <f t="shared" ca="1" si="130"/>
        <v>45288</v>
      </c>
      <c r="AI533" s="22">
        <f t="shared" ca="1" si="131"/>
        <v>45280</v>
      </c>
      <c r="AJ533" s="22">
        <f t="shared" ca="1" si="132"/>
        <v>45266</v>
      </c>
      <c r="AK533" s="22">
        <f t="shared" ca="1" si="133"/>
        <v>45209</v>
      </c>
      <c r="AL533" s="22">
        <f t="shared" ca="1" si="134"/>
        <v>45124</v>
      </c>
    </row>
    <row r="534" spans="4:38" x14ac:dyDescent="0.25">
      <c r="D534" s="6">
        <f ca="1"/>
        <v>45295</v>
      </c>
      <c r="E534" s="28" cm="1">
        <f t="array" aca="1" ref="E534" ca="1">_xll.FDS($E$7,"P_PRICE("&amp;D534&amp;",0,D,D)")</f>
        <v>66.19</v>
      </c>
      <c r="F534" s="29" cm="1">
        <f t="array" aca="1" ref="F534" ca="1">_xll.FDS($E$7,"P_BETA_LOCIDX("&amp;$AG534&amp;","&amp;$AL534&amp;",,"""&amp;$E$9&amp;""")")</f>
        <v>1.2046821999999999</v>
      </c>
      <c r="G534" s="30">
        <f t="shared" ref="G534:J597" ca="1" si="138">+O534-K534</f>
        <v>-1.7736094217740972E-2</v>
      </c>
      <c r="H534" s="30">
        <f t="shared" ca="1" si="138"/>
        <v>-1.0334360632575191E-2</v>
      </c>
      <c r="I534" s="30">
        <f t="shared" ca="1" si="138"/>
        <v>1.7088176012568172E-2</v>
      </c>
      <c r="J534" s="30">
        <f t="shared" ca="1" si="136"/>
        <v>6.6613582393219087E-2</v>
      </c>
      <c r="K534" s="30">
        <f t="shared" ref="K534:N597" ca="1" si="139">+X534*$F534</f>
        <v>-2.3405438449215443E-2</v>
      </c>
      <c r="L534" s="30">
        <f t="shared" ca="1" si="139"/>
        <v>-2.0132901708130767E-2</v>
      </c>
      <c r="M534" s="30">
        <f t="shared" ca="1" si="139"/>
        <v>3.204797868706722E-2</v>
      </c>
      <c r="N534" s="30">
        <f t="shared" ca="1" si="137"/>
        <v>9.8088159644437109E-2</v>
      </c>
      <c r="O534" s="30">
        <f t="shared" ref="O534:O597" ca="1" si="140">+S534/T534-1</f>
        <v>-4.1141532666956415E-2</v>
      </c>
      <c r="P534" s="30">
        <f t="shared" ref="P534:P597" ca="1" si="141">+S534/U534-1</f>
        <v>-3.0467262340705958E-2</v>
      </c>
      <c r="Q534" s="30">
        <f t="shared" ref="Q534:Q597" ca="1" si="142">+S534/V534-1</f>
        <v>4.9136154699635393E-2</v>
      </c>
      <c r="R534" s="30">
        <f t="shared" ref="R534:R597" ca="1" si="143">+S534/W534-1</f>
        <v>0.1647017420376562</v>
      </c>
      <c r="S534" s="9" cm="1">
        <f t="array" aca="1" ref="S534" ca="1">_xll.FDS($E$7,"P_PRICE("&amp;AG534&amp;",0,D,D)")</f>
        <v>66.19</v>
      </c>
      <c r="T534" s="9" cm="1">
        <f t="array" aca="1" ref="T534" ca="1">_xll.FDS($E$7,"P_PRICE("&amp;AH534&amp;",0,D,D)")</f>
        <v>69.03</v>
      </c>
      <c r="U534" s="9" cm="1">
        <f t="array" aca="1" ref="U534" ca="1">_xll.FDS($E$7,"P_PRICE("&amp;AI534&amp;",0,D,D)")</f>
        <v>68.27</v>
      </c>
      <c r="V534" s="9" cm="1">
        <f t="array" aca="1" ref="V534" ca="1">_xll.FDS($E$7,"P_PRICE("&amp;AJ534&amp;",0,D,D)")</f>
        <v>63.09</v>
      </c>
      <c r="W534" s="9" cm="1">
        <f t="array" aca="1" ref="W534" ca="1">_xll.FDS($E$7,"P_PRICE("&amp;AK534&amp;",0,D,D)")</f>
        <v>56.83</v>
      </c>
      <c r="X534" s="24">
        <f t="shared" ref="X534:X597" ca="1" si="144">+AB534/AC534-1</f>
        <v>-1.9428724396538311E-2</v>
      </c>
      <c r="Y534" s="24">
        <f t="shared" ref="Y534:Y597" ca="1" si="145">+AB534/AD534-1</f>
        <v>-1.6712209832710045E-2</v>
      </c>
      <c r="Z534" s="24">
        <f t="shared" ref="Z534:Z597" ca="1" si="146">+AB534/AE534-1</f>
        <v>2.6602849022810515E-2</v>
      </c>
      <c r="AA534" s="24">
        <f t="shared" ref="AA534:AA597" ca="1" si="147">+AB534/AF534-1</f>
        <v>8.1422436261145981E-2</v>
      </c>
      <c r="AB534" s="9" cm="1">
        <f t="array" aca="1" ref="AB534" ca="1">_xll.FDS($E$9,"P_PRICE("&amp;AG534&amp;",0,D,D)")</f>
        <v>4688.68</v>
      </c>
      <c r="AC534" s="9" cm="1">
        <f t="array" aca="1" ref="AC534" ca="1">_xll.FDS($E$9,"P_PRICE("&amp;AH534&amp;",0,D,D)")</f>
        <v>4781.58</v>
      </c>
      <c r="AD534" s="9" cm="1">
        <f t="array" aca="1" ref="AD534" ca="1">_xll.FDS($E$9,"P_PRICE("&amp;AI534&amp;",0,D,D)")</f>
        <v>4768.37</v>
      </c>
      <c r="AE534" s="9" cm="1">
        <f t="array" aca="1" ref="AE534" ca="1">_xll.FDS($E$9,"P_PRICE("&amp;AJ534&amp;",0,D,D)")</f>
        <v>4567.18</v>
      </c>
      <c r="AF534" s="9" cm="1">
        <f t="array" aca="1" ref="AF534" ca="1">_xll.FDS($E$9,"P_PRICE("&amp;AK534&amp;",0,D,D)")</f>
        <v>4335.66</v>
      </c>
      <c r="AG534" s="20">
        <f t="shared" ca="1" si="135"/>
        <v>45295</v>
      </c>
      <c r="AH534" s="22">
        <f t="shared" ref="AH534:AH597" ca="1" si="148">+WORKDAY($AG534, -5, $AN$2:$AN$100)</f>
        <v>45287</v>
      </c>
      <c r="AI534" s="22">
        <f t="shared" ref="AI534:AI597" ca="1" si="149">+WORKDAY($AG534, -10, $AN$2:$AN$100)</f>
        <v>45279</v>
      </c>
      <c r="AJ534" s="22">
        <f t="shared" ref="AJ534:AJ597" ca="1" si="150">+WORKDAY($AG534, -20, $AN$2:$AN$100)</f>
        <v>45265</v>
      </c>
      <c r="AK534" s="22">
        <f t="shared" ref="AK534:AK597" ca="1" si="151">+WORKDAY($AG534, -60, $AN$2:$AN$100)</f>
        <v>45208</v>
      </c>
      <c r="AL534" s="22">
        <f t="shared" ref="AL534:AL597" ca="1" si="152">+WORKDAY($AG534, -120, $AN$2:$AN$100)</f>
        <v>45121</v>
      </c>
    </row>
    <row r="535" spans="4:38" x14ac:dyDescent="0.25">
      <c r="D535" s="6">
        <f ca="1"/>
        <v>45294</v>
      </c>
      <c r="E535" s="28" cm="1">
        <f t="array" aca="1" ref="E535" ca="1">_xll.FDS($E$7,"P_PRICE("&amp;D535&amp;",0,D,D)")</f>
        <v>66.34</v>
      </c>
      <c r="F535" s="29" cm="1">
        <f t="array" aca="1" ref="F535" ca="1">_xll.FDS($E$7,"P_BETA_LOCIDX("&amp;$AG535&amp;","&amp;$AL535&amp;",,"""&amp;$E$9&amp;""")")</f>
        <v>1.2074537999999999</v>
      </c>
      <c r="G535" s="30">
        <f t="shared" ca="1" si="138"/>
        <v>-1.8909344656289798E-2</v>
      </c>
      <c r="H535" s="30">
        <f t="shared" ca="1" si="138"/>
        <v>2.6657571577994033E-3</v>
      </c>
      <c r="I535" s="30">
        <f t="shared" ca="1" si="138"/>
        <v>1.8006468814847437E-2</v>
      </c>
      <c r="J535" s="30">
        <f t="shared" ca="1" si="136"/>
        <v>6.1433544639946297E-2</v>
      </c>
      <c r="K535" s="30">
        <f t="shared" ca="1" si="139"/>
        <v>-1.7686647211267555E-2</v>
      </c>
      <c r="L535" s="30">
        <f t="shared" ca="1" si="139"/>
        <v>-9.1057751299425116E-3</v>
      </c>
      <c r="M535" s="30">
        <f t="shared" ca="1" si="139"/>
        <v>3.56784104735898E-2</v>
      </c>
      <c r="N535" s="30">
        <f t="shared" ca="1" si="137"/>
        <v>0.11106557165556466</v>
      </c>
      <c r="O535" s="30">
        <f t="shared" ca="1" si="140"/>
        <v>-3.6595991867557354E-2</v>
      </c>
      <c r="P535" s="30">
        <f t="shared" ca="1" si="141"/>
        <v>-6.4400179721431083E-3</v>
      </c>
      <c r="Q535" s="30">
        <f t="shared" ca="1" si="142"/>
        <v>5.3684879288437237E-2</v>
      </c>
      <c r="R535" s="30">
        <f t="shared" ca="1" si="143"/>
        <v>0.17249911629551096</v>
      </c>
      <c r="S535" s="9" cm="1">
        <f t="array" aca="1" ref="S535" ca="1">_xll.FDS($E$7,"P_PRICE("&amp;AG535&amp;",0,D,D)")</f>
        <v>66.34</v>
      </c>
      <c r="T535" s="9" cm="1">
        <f t="array" aca="1" ref="T535" ca="1">_xll.FDS($E$7,"P_PRICE("&amp;AH535&amp;",0,D,D)")</f>
        <v>68.86</v>
      </c>
      <c r="U535" s="9" cm="1">
        <f t="array" aca="1" ref="U535" ca="1">_xll.FDS($E$7,"P_PRICE("&amp;AI535&amp;",0,D,D)")</f>
        <v>66.77</v>
      </c>
      <c r="V535" s="9" cm="1">
        <f t="array" aca="1" ref="V535" ca="1">_xll.FDS($E$7,"P_PRICE("&amp;AJ535&amp;",0,D,D)")</f>
        <v>62.96</v>
      </c>
      <c r="W535" s="9" cm="1">
        <f t="array" aca="1" ref="W535" ca="1">_xll.FDS($E$7,"P_PRICE("&amp;AK535&amp;",0,D,D)")</f>
        <v>56.58</v>
      </c>
      <c r="X535" s="24">
        <f t="shared" ca="1" si="144"/>
        <v>-1.464788732394362E-2</v>
      </c>
      <c r="Y535" s="24">
        <f t="shared" ca="1" si="145"/>
        <v>-7.5413031371821537E-3</v>
      </c>
      <c r="Z535" s="24">
        <f t="shared" ca="1" si="146"/>
        <v>2.9548468416422891E-2</v>
      </c>
      <c r="AA535" s="24">
        <f t="shared" ca="1" si="147"/>
        <v>9.1983288847626854E-2</v>
      </c>
      <c r="AB535" s="9" cm="1">
        <f t="array" aca="1" ref="AB535" ca="1">_xll.FDS($E$9,"P_PRICE("&amp;AG535&amp;",0,D,D)")</f>
        <v>4704.8100000000004</v>
      </c>
      <c r="AC535" s="9" cm="1">
        <f t="array" aca="1" ref="AC535" ca="1">_xll.FDS($E$9,"P_PRICE("&amp;AH535&amp;",0,D,D)")</f>
        <v>4774.75</v>
      </c>
      <c r="AD535" s="9" cm="1">
        <f t="array" aca="1" ref="AD535" ca="1">_xll.FDS($E$9,"P_PRICE("&amp;AI535&amp;",0,D,D)")</f>
        <v>4740.5600000000004</v>
      </c>
      <c r="AE535" s="9" cm="1">
        <f t="array" aca="1" ref="AE535" ca="1">_xll.FDS($E$9,"P_PRICE("&amp;AJ535&amp;",0,D,D)")</f>
        <v>4569.78</v>
      </c>
      <c r="AF535" s="9" cm="1">
        <f t="array" aca="1" ref="AF535" ca="1">_xll.FDS($E$9,"P_PRICE("&amp;AK535&amp;",0,D,D)")</f>
        <v>4308.5</v>
      </c>
      <c r="AG535" s="20">
        <f t="shared" ref="AG535:AG598" ca="1" si="153">+WORKDAY(D535, 0, $AN$2:$AN$59)</f>
        <v>45294</v>
      </c>
      <c r="AH535" s="22">
        <f t="shared" ca="1" si="148"/>
        <v>45286</v>
      </c>
      <c r="AI535" s="22">
        <f t="shared" ca="1" si="149"/>
        <v>45278</v>
      </c>
      <c r="AJ535" s="22">
        <f t="shared" ca="1" si="150"/>
        <v>45264</v>
      </c>
      <c r="AK535" s="22">
        <f t="shared" ca="1" si="151"/>
        <v>45205</v>
      </c>
      <c r="AL535" s="22">
        <f t="shared" ca="1" si="152"/>
        <v>45120</v>
      </c>
    </row>
    <row r="536" spans="4:38" x14ac:dyDescent="0.25">
      <c r="D536" s="6">
        <f ca="1"/>
        <v>45293</v>
      </c>
      <c r="E536" s="28" cm="1">
        <f t="array" aca="1" ref="E536" ca="1">_xll.FDS($E$7,"P_PRICE("&amp;D536&amp;",0,D,D)")</f>
        <v>68.28</v>
      </c>
      <c r="F536" s="29" cm="1">
        <f t="array" aca="1" ref="F536" ca="1">_xll.FDS($E$7,"P_BETA_LOCIDX("&amp;$AG536&amp;","&amp;$AL536&amp;",,"""&amp;$E$9&amp;""")")</f>
        <v>1.1912400000000001</v>
      </c>
      <c r="G536" s="30">
        <f t="shared" ca="1" si="138"/>
        <v>3.1028864491670438E-3</v>
      </c>
      <c r="H536" s="30">
        <f t="shared" ca="1" si="138"/>
        <v>1.4660483383667676E-2</v>
      </c>
      <c r="I536" s="30">
        <f t="shared" ca="1" si="138"/>
        <v>2.0345300886821016E-2</v>
      </c>
      <c r="J536" s="30">
        <f t="shared" ca="1" si="136"/>
        <v>9.8025004543356692E-2</v>
      </c>
      <c r="K536" s="30">
        <f t="shared" ca="1" si="139"/>
        <v>-2.9564092263751141E-3</v>
      </c>
      <c r="L536" s="30">
        <f t="shared" ca="1" si="139"/>
        <v>5.9673193069151647E-3</v>
      </c>
      <c r="M536" s="30">
        <f t="shared" ca="1" si="139"/>
        <v>3.8423500477731631E-2</v>
      </c>
      <c r="N536" s="30">
        <f t="shared" ca="1" si="137"/>
        <v>0.1355793315000037</v>
      </c>
      <c r="O536" s="30">
        <f t="shared" ca="1" si="140"/>
        <v>1.4647722279192976E-4</v>
      </c>
      <c r="P536" s="30">
        <f t="shared" ca="1" si="141"/>
        <v>2.0627802690582842E-2</v>
      </c>
      <c r="Q536" s="30">
        <f t="shared" ca="1" si="142"/>
        <v>5.8768801364552647E-2</v>
      </c>
      <c r="R536" s="30">
        <f t="shared" ca="1" si="143"/>
        <v>0.23360433604336039</v>
      </c>
      <c r="S536" s="9" cm="1">
        <f t="array" aca="1" ref="S536" ca="1">_xll.FDS($E$7,"P_PRICE("&amp;AG536&amp;",0,D,D)")</f>
        <v>68.28</v>
      </c>
      <c r="T536" s="9" cm="1">
        <f t="array" aca="1" ref="T536" ca="1">_xll.FDS($E$7,"P_PRICE("&amp;AH536&amp;",0,D,D)")</f>
        <v>68.27</v>
      </c>
      <c r="U536" s="9" cm="1">
        <f t="array" aca="1" ref="U536" ca="1">_xll.FDS($E$7,"P_PRICE("&amp;AI536&amp;",0,D,D)")</f>
        <v>66.900000000000006</v>
      </c>
      <c r="V536" s="9" cm="1">
        <f t="array" aca="1" ref="V536" ca="1">_xll.FDS($E$7,"P_PRICE("&amp;AJ536&amp;",0,D,D)")</f>
        <v>64.489999999999995</v>
      </c>
      <c r="W536" s="9" cm="1">
        <f t="array" aca="1" ref="W536" ca="1">_xll.FDS($E$7,"P_PRICE("&amp;AK536&amp;",0,D,D)")</f>
        <v>55.35</v>
      </c>
      <c r="X536" s="24">
        <f t="shared" ca="1" si="144"/>
        <v>-2.4817914327718293E-3</v>
      </c>
      <c r="Y536" s="24">
        <f t="shared" ca="1" si="145"/>
        <v>5.0093342289674325E-3</v>
      </c>
      <c r="Z536" s="24">
        <f t="shared" ca="1" si="146"/>
        <v>3.2255045564060669E-2</v>
      </c>
      <c r="AA536" s="24">
        <f t="shared" ca="1" si="147"/>
        <v>0.11381361564420578</v>
      </c>
      <c r="AB536" s="9" cm="1">
        <f t="array" aca="1" ref="AB536" ca="1">_xll.FDS($E$9,"P_PRICE("&amp;AG536&amp;",0,D,D)")</f>
        <v>4742.83</v>
      </c>
      <c r="AC536" s="9" cm="1">
        <f t="array" aca="1" ref="AC536" ca="1">_xll.FDS($E$9,"P_PRICE("&amp;AH536&amp;",0,D,D)")</f>
        <v>4754.63</v>
      </c>
      <c r="AD536" s="9" cm="1">
        <f t="array" aca="1" ref="AD536" ca="1">_xll.FDS($E$9,"P_PRICE("&amp;AI536&amp;",0,D,D)")</f>
        <v>4719.1899999999996</v>
      </c>
      <c r="AE536" s="9" cm="1">
        <f t="array" aca="1" ref="AE536" ca="1">_xll.FDS($E$9,"P_PRICE("&amp;AJ536&amp;",0,D,D)")</f>
        <v>4594.63</v>
      </c>
      <c r="AF536" s="9" cm="1">
        <f t="array" aca="1" ref="AF536" ca="1">_xll.FDS($E$9,"P_PRICE("&amp;AK536&amp;",0,D,D)")</f>
        <v>4258.1899999999996</v>
      </c>
      <c r="AG536" s="20">
        <f t="shared" ca="1" si="153"/>
        <v>45293</v>
      </c>
      <c r="AH536" s="22">
        <f t="shared" ca="1" si="148"/>
        <v>45282</v>
      </c>
      <c r="AI536" s="22">
        <f t="shared" ca="1" si="149"/>
        <v>45275</v>
      </c>
      <c r="AJ536" s="22">
        <f t="shared" ca="1" si="150"/>
        <v>45261</v>
      </c>
      <c r="AK536" s="22">
        <f t="shared" ca="1" si="151"/>
        <v>45204</v>
      </c>
      <c r="AL536" s="22">
        <f t="shared" ca="1" si="152"/>
        <v>45119</v>
      </c>
    </row>
    <row r="537" spans="4:38" x14ac:dyDescent="0.25">
      <c r="D537" s="6">
        <f ca="1"/>
        <v>45289</v>
      </c>
      <c r="E537" s="28" cm="1">
        <f t="array" aca="1" ref="E537" ca="1">_xll.FDS($E$7,"P_PRICE("&amp;D537&amp;",0,D,D)")</f>
        <v>69.16</v>
      </c>
      <c r="F537" s="29" cm="1">
        <f t="array" aca="1" ref="F537" ca="1">_xll.FDS($E$7,"P_BETA_LOCIDX("&amp;$AG537&amp;","&amp;$AL537&amp;",,"""&amp;$E$9&amp;""")")</f>
        <v>1.1997888999999999</v>
      </c>
      <c r="G537" s="30">
        <f t="shared" ca="1" si="138"/>
        <v>6.9060836068449323E-3</v>
      </c>
      <c r="H537" s="30">
        <f t="shared" ca="1" si="138"/>
        <v>1.5772411165162772E-2</v>
      </c>
      <c r="I537" s="30">
        <f t="shared" ca="1" si="138"/>
        <v>4.9085727916115214E-2</v>
      </c>
      <c r="J537" s="30">
        <f t="shared" ca="1" si="136"/>
        <v>0.12681640112453904</v>
      </c>
      <c r="K537" s="30">
        <f t="shared" ca="1" si="139"/>
        <v>5.8337025990415174E-3</v>
      </c>
      <c r="L537" s="30">
        <f t="shared" ca="1" si="139"/>
        <v>1.2782020720619442E-2</v>
      </c>
      <c r="M537" s="30">
        <f t="shared" ca="1" si="139"/>
        <v>5.3065666506195479E-2</v>
      </c>
      <c r="N537" s="30">
        <f t="shared" ca="1" si="137"/>
        <v>0.14240730964807971</v>
      </c>
      <c r="O537" s="30">
        <f t="shared" ca="1" si="140"/>
        <v>1.273978620588645E-2</v>
      </c>
      <c r="P537" s="30">
        <f t="shared" ca="1" si="141"/>
        <v>2.8554431885782217E-2</v>
      </c>
      <c r="Q537" s="30">
        <f t="shared" ca="1" si="142"/>
        <v>0.10215139442231069</v>
      </c>
      <c r="R537" s="30">
        <f t="shared" ca="1" si="143"/>
        <v>0.26922371077261875</v>
      </c>
      <c r="S537" s="9" cm="1">
        <f t="array" aca="1" ref="S537" ca="1">_xll.FDS($E$7,"P_PRICE("&amp;AG537&amp;",0,D,D)")</f>
        <v>69.16</v>
      </c>
      <c r="T537" s="9" cm="1">
        <f t="array" aca="1" ref="T537" ca="1">_xll.FDS($E$7,"P_PRICE("&amp;AH537&amp;",0,D,D)")</f>
        <v>68.290000000000006</v>
      </c>
      <c r="U537" s="9" cm="1">
        <f t="array" aca="1" ref="U537" ca="1">_xll.FDS($E$7,"P_PRICE("&amp;AI537&amp;",0,D,D)")</f>
        <v>67.239999999999995</v>
      </c>
      <c r="V537" s="9" cm="1">
        <f t="array" aca="1" ref="V537" ca="1">_xll.FDS($E$7,"P_PRICE("&amp;AJ537&amp;",0,D,D)")</f>
        <v>62.75</v>
      </c>
      <c r="W537" s="9" cm="1">
        <f t="array" aca="1" ref="W537" ca="1">_xll.FDS($E$7,"P_PRICE("&amp;AK537&amp;",0,D,D)")</f>
        <v>54.49</v>
      </c>
      <c r="X537" s="24">
        <f t="shared" ca="1" si="144"/>
        <v>4.8622741876021003E-3</v>
      </c>
      <c r="Y537" s="24">
        <f t="shared" ca="1" si="145"/>
        <v>1.065355807227375E-2</v>
      </c>
      <c r="Z537" s="24">
        <f t="shared" ca="1" si="146"/>
        <v>4.4229169403213753E-2</v>
      </c>
      <c r="AA537" s="24">
        <f t="shared" ca="1" si="147"/>
        <v>0.11869363822925827</v>
      </c>
      <c r="AB537" s="9" cm="1">
        <f t="array" aca="1" ref="AB537" ca="1">_xll.FDS($E$9,"P_PRICE("&amp;AG537&amp;",0,D,D)")</f>
        <v>4769.83</v>
      </c>
      <c r="AC537" s="9" cm="1">
        <f t="array" aca="1" ref="AC537" ca="1">_xll.FDS($E$9,"P_PRICE("&amp;AH537&amp;",0,D,D)")</f>
        <v>4746.75</v>
      </c>
      <c r="AD537" s="9" cm="1">
        <f t="array" aca="1" ref="AD537" ca="1">_xll.FDS($E$9,"P_PRICE("&amp;AI537&amp;",0,D,D)")</f>
        <v>4719.55</v>
      </c>
      <c r="AE537" s="9" cm="1">
        <f t="array" aca="1" ref="AE537" ca="1">_xll.FDS($E$9,"P_PRICE("&amp;AJ537&amp;",0,D,D)")</f>
        <v>4567.8</v>
      </c>
      <c r="AF537" s="9" cm="1">
        <f t="array" aca="1" ref="AF537" ca="1">_xll.FDS($E$9,"P_PRICE("&amp;AK537&amp;",0,D,D)")</f>
        <v>4263.75</v>
      </c>
      <c r="AG537" s="20">
        <f t="shared" ca="1" si="153"/>
        <v>45289</v>
      </c>
      <c r="AH537" s="22">
        <f t="shared" ca="1" si="148"/>
        <v>45281</v>
      </c>
      <c r="AI537" s="22">
        <f t="shared" ca="1" si="149"/>
        <v>45274</v>
      </c>
      <c r="AJ537" s="22">
        <f t="shared" ca="1" si="150"/>
        <v>45260</v>
      </c>
      <c r="AK537" s="22">
        <f t="shared" ca="1" si="151"/>
        <v>45203</v>
      </c>
      <c r="AL537" s="22">
        <f t="shared" ca="1" si="152"/>
        <v>45118</v>
      </c>
    </row>
    <row r="538" spans="4:38" x14ac:dyDescent="0.25">
      <c r="D538" s="6">
        <f ca="1"/>
        <v>45288</v>
      </c>
      <c r="E538" s="28" cm="1">
        <f t="array" aca="1" ref="E538" ca="1">_xll.FDS($E$7,"P_PRICE("&amp;D538&amp;",0,D,D)")</f>
        <v>68.92</v>
      </c>
      <c r="F538" s="29" cm="1">
        <f t="array" aca="1" ref="F538" ca="1">_xll.FDS($E$7,"P_BETA_LOCIDX("&amp;$AG538&amp;","&amp;$AL538&amp;",,"""&amp;$E$9&amp;""")")</f>
        <v>1.2038382000000001</v>
      </c>
      <c r="G538" s="30">
        <f t="shared" ca="1" si="138"/>
        <v>5.6507466067063118E-3</v>
      </c>
      <c r="H538" s="30">
        <f t="shared" ca="1" si="138"/>
        <v>7.0082725517207935E-3</v>
      </c>
      <c r="I538" s="30">
        <f t="shared" ca="1" si="138"/>
        <v>4.0788846362790038E-2</v>
      </c>
      <c r="J538" s="30">
        <f t="shared" ca="1" si="136"/>
        <v>0.1327372105816311</v>
      </c>
      <c r="K538" s="30">
        <f t="shared" ca="1" si="139"/>
        <v>2.1779187799972313E-2</v>
      </c>
      <c r="L538" s="30">
        <f t="shared" ca="1" si="139"/>
        <v>1.950349390642633E-2</v>
      </c>
      <c r="M538" s="30">
        <f t="shared" ca="1" si="139"/>
        <v>6.1578396119615547E-2</v>
      </c>
      <c r="N538" s="30">
        <f t="shared" ca="1" si="137"/>
        <v>0.15765784652377993</v>
      </c>
      <c r="O538" s="30">
        <f t="shared" ca="1" si="140"/>
        <v>2.7429934406678624E-2</v>
      </c>
      <c r="P538" s="30">
        <f t="shared" ca="1" si="141"/>
        <v>2.6511766458147124E-2</v>
      </c>
      <c r="Q538" s="30">
        <f t="shared" ca="1" si="142"/>
        <v>0.10236724248240558</v>
      </c>
      <c r="R538" s="30">
        <f t="shared" ca="1" si="143"/>
        <v>0.29039505710541103</v>
      </c>
      <c r="S538" s="9" cm="1">
        <f t="array" aca="1" ref="S538" ca="1">_xll.FDS($E$7,"P_PRICE("&amp;AG538&amp;",0,D,D)")</f>
        <v>68.92</v>
      </c>
      <c r="T538" s="9" cm="1">
        <f t="array" aca="1" ref="T538" ca="1">_xll.FDS($E$7,"P_PRICE("&amp;AH538&amp;",0,D,D)")</f>
        <v>67.08</v>
      </c>
      <c r="U538" s="9" cm="1">
        <f t="array" aca="1" ref="U538" ca="1">_xll.FDS($E$7,"P_PRICE("&amp;AI538&amp;",0,D,D)")</f>
        <v>67.14</v>
      </c>
      <c r="V538" s="9" cm="1">
        <f t="array" aca="1" ref="V538" ca="1">_xll.FDS($E$7,"P_PRICE("&amp;AJ538&amp;",0,D,D)")</f>
        <v>62.52</v>
      </c>
      <c r="W538" s="9" cm="1">
        <f t="array" aca="1" ref="W538" ca="1">_xll.FDS($E$7,"P_PRICE("&amp;AK538&amp;",0,D,D)")</f>
        <v>53.41</v>
      </c>
      <c r="X538" s="24">
        <f t="shared" ca="1" si="144"/>
        <v>1.8091457639384023E-2</v>
      </c>
      <c r="Y538" s="24">
        <f t="shared" ca="1" si="145"/>
        <v>1.6201092394664274E-2</v>
      </c>
      <c r="Z538" s="24">
        <f t="shared" ca="1" si="146"/>
        <v>5.1151721319040666E-2</v>
      </c>
      <c r="AA538" s="24">
        <f t="shared" ca="1" si="147"/>
        <v>0.13096265471869883</v>
      </c>
      <c r="AB538" s="9" cm="1">
        <f t="array" aca="1" ref="AB538" ca="1">_xll.FDS($E$9,"P_PRICE("&amp;AG538&amp;",0,D,D)")</f>
        <v>4783.3500000000004</v>
      </c>
      <c r="AC538" s="9" cm="1">
        <f t="array" aca="1" ref="AC538" ca="1">_xll.FDS($E$9,"P_PRICE("&amp;AH538&amp;",0,D,D)")</f>
        <v>4698.3500000000004</v>
      </c>
      <c r="AD538" s="9" cm="1">
        <f t="array" aca="1" ref="AD538" ca="1">_xll.FDS($E$9,"P_PRICE("&amp;AI538&amp;",0,D,D)")</f>
        <v>4707.09</v>
      </c>
      <c r="AE538" s="9" cm="1">
        <f t="array" aca="1" ref="AE538" ca="1">_xll.FDS($E$9,"P_PRICE("&amp;AJ538&amp;",0,D,D)")</f>
        <v>4550.58</v>
      </c>
      <c r="AF538" s="9" cm="1">
        <f t="array" aca="1" ref="AF538" ca="1">_xll.FDS($E$9,"P_PRICE("&amp;AK538&amp;",0,D,D)")</f>
        <v>4229.45</v>
      </c>
      <c r="AG538" s="20">
        <f t="shared" ca="1" si="153"/>
        <v>45288</v>
      </c>
      <c r="AH538" s="22">
        <f t="shared" ca="1" si="148"/>
        <v>45280</v>
      </c>
      <c r="AI538" s="22">
        <f t="shared" ca="1" si="149"/>
        <v>45273</v>
      </c>
      <c r="AJ538" s="22">
        <f t="shared" ca="1" si="150"/>
        <v>45259</v>
      </c>
      <c r="AK538" s="22">
        <f t="shared" ca="1" si="151"/>
        <v>45202</v>
      </c>
      <c r="AL538" s="22">
        <f t="shared" ca="1" si="152"/>
        <v>45117</v>
      </c>
    </row>
    <row r="539" spans="4:38" x14ac:dyDescent="0.25">
      <c r="D539" s="6">
        <f ca="1"/>
        <v>45287</v>
      </c>
      <c r="E539" s="28" cm="1">
        <f t="array" aca="1" ref="E539" ca="1">_xll.FDS($E$7,"P_PRICE("&amp;D539&amp;",0,D,D)")</f>
        <v>69.03</v>
      </c>
      <c r="F539" s="29" cm="1">
        <f t="array" aca="1" ref="F539" ca="1">_xll.FDS($E$7,"P_BETA_LOCIDX("&amp;$AG539&amp;","&amp;$AL539&amp;",,"""&amp;$E$9&amp;""")")</f>
        <v>1.2006060999999999</v>
      </c>
      <c r="G539" s="30">
        <f t="shared" ca="1" si="138"/>
        <v>7.80618337652993E-3</v>
      </c>
      <c r="H539" s="30">
        <f t="shared" ca="1" si="138"/>
        <v>1.6157371823591296E-2</v>
      </c>
      <c r="I539" s="30">
        <f t="shared" ca="1" si="138"/>
        <v>5.9592546912791512E-2</v>
      </c>
      <c r="J539" s="30">
        <f t="shared" ca="1" si="136"/>
        <v>0.13907404364820802</v>
      </c>
      <c r="K539" s="30">
        <f t="shared" ca="1" si="139"/>
        <v>3.3260855556511808E-3</v>
      </c>
      <c r="L539" s="30">
        <f t="shared" ca="1" si="139"/>
        <v>3.5648204894373078E-2</v>
      </c>
      <c r="M539" s="30">
        <f t="shared" ca="1" si="139"/>
        <v>5.9752353362869291E-2</v>
      </c>
      <c r="N539" s="30">
        <f t="shared" ca="1" si="137"/>
        <v>0.13807674266076525</v>
      </c>
      <c r="O539" s="30">
        <f t="shared" ca="1" si="140"/>
        <v>1.1132268932181111E-2</v>
      </c>
      <c r="P539" s="30">
        <f t="shared" ca="1" si="141"/>
        <v>5.1805576717964374E-2</v>
      </c>
      <c r="Q539" s="30">
        <f t="shared" ca="1" si="142"/>
        <v>0.1193449002756608</v>
      </c>
      <c r="R539" s="30">
        <f t="shared" ca="1" si="143"/>
        <v>0.27715078630897327</v>
      </c>
      <c r="S539" s="9" cm="1">
        <f t="array" aca="1" ref="S539" ca="1">_xll.FDS($E$7,"P_PRICE("&amp;AG539&amp;",0,D,D)")</f>
        <v>69.03</v>
      </c>
      <c r="T539" s="9" cm="1">
        <f t="array" aca="1" ref="T539" ca="1">_xll.FDS($E$7,"P_PRICE("&amp;AH539&amp;",0,D,D)")</f>
        <v>68.27</v>
      </c>
      <c r="U539" s="9" cm="1">
        <f t="array" aca="1" ref="U539" ca="1">_xll.FDS($E$7,"P_PRICE("&amp;AI539&amp;",0,D,D)")</f>
        <v>65.63</v>
      </c>
      <c r="V539" s="9" cm="1">
        <f t="array" aca="1" ref="V539" ca="1">_xll.FDS($E$7,"P_PRICE("&amp;AJ539&amp;",0,D,D)")</f>
        <v>61.67</v>
      </c>
      <c r="W539" s="9" cm="1">
        <f t="array" aca="1" ref="W539" ca="1">_xll.FDS($E$7,"P_PRICE("&amp;AK539&amp;",0,D,D)")</f>
        <v>54.05</v>
      </c>
      <c r="X539" s="24">
        <f t="shared" ca="1" si="144"/>
        <v>2.7703387111319699E-3</v>
      </c>
      <c r="Y539" s="24">
        <f t="shared" ca="1" si="145"/>
        <v>2.9691840558175642E-2</v>
      </c>
      <c r="Z539" s="24">
        <f t="shared" ca="1" si="146"/>
        <v>4.9768490567280388E-2</v>
      </c>
      <c r="AA539" s="24">
        <f t="shared" ca="1" si="147"/>
        <v>0.11500586467182305</v>
      </c>
      <c r="AB539" s="9" cm="1">
        <f t="array" aca="1" ref="AB539" ca="1">_xll.FDS($E$9,"P_PRICE("&amp;AG539&amp;",0,D,D)")</f>
        <v>4781.58</v>
      </c>
      <c r="AC539" s="9" cm="1">
        <f t="array" aca="1" ref="AC539" ca="1">_xll.FDS($E$9,"P_PRICE("&amp;AH539&amp;",0,D,D)")</f>
        <v>4768.37</v>
      </c>
      <c r="AD539" s="9" cm="1">
        <f t="array" aca="1" ref="AD539" ca="1">_xll.FDS($E$9,"P_PRICE("&amp;AI539&amp;",0,D,D)")</f>
        <v>4643.7</v>
      </c>
      <c r="AE539" s="9" cm="1">
        <f t="array" aca="1" ref="AE539" ca="1">_xll.FDS($E$9,"P_PRICE("&amp;AJ539&amp;",0,D,D)")</f>
        <v>4554.8900000000003</v>
      </c>
      <c r="AF539" s="9" cm="1">
        <f t="array" aca="1" ref="AF539" ca="1">_xll.FDS($E$9,"P_PRICE("&amp;AK539&amp;",0,D,D)")</f>
        <v>4288.3900000000003</v>
      </c>
      <c r="AG539" s="20">
        <f t="shared" ca="1" si="153"/>
        <v>45287</v>
      </c>
      <c r="AH539" s="22">
        <f t="shared" ca="1" si="148"/>
        <v>45279</v>
      </c>
      <c r="AI539" s="22">
        <f t="shared" ca="1" si="149"/>
        <v>45272</v>
      </c>
      <c r="AJ539" s="22">
        <f t="shared" ca="1" si="150"/>
        <v>45258</v>
      </c>
      <c r="AK539" s="22">
        <f t="shared" ca="1" si="151"/>
        <v>45201</v>
      </c>
      <c r="AL539" s="22">
        <f t="shared" ca="1" si="152"/>
        <v>45114</v>
      </c>
    </row>
    <row r="540" spans="4:38" x14ac:dyDescent="0.25">
      <c r="D540" s="6">
        <f ca="1"/>
        <v>45286</v>
      </c>
      <c r="E540" s="28" cm="1">
        <f t="array" aca="1" ref="E540" ca="1">_xll.FDS($E$7,"P_PRICE("&amp;D540&amp;",0,D,D)")</f>
        <v>68.86</v>
      </c>
      <c r="F540" s="29" cm="1">
        <f t="array" aca="1" ref="F540" ca="1">_xll.FDS($E$7,"P_BETA_LOCIDX("&amp;$AG540&amp;","&amp;$AL540&amp;",,"""&amp;$E$9&amp;""")")</f>
        <v>1.2233421</v>
      </c>
      <c r="G540" s="30">
        <f t="shared" ca="1" si="138"/>
        <v>2.2478460443049707E-2</v>
      </c>
      <c r="H540" s="30">
        <f t="shared" ca="1" si="138"/>
        <v>1.3562772356014489E-2</v>
      </c>
      <c r="I540" s="30">
        <f t="shared" ca="1" si="138"/>
        <v>5.0876419826982724E-2</v>
      </c>
      <c r="J540" s="30">
        <f t="shared" ca="1" si="136"/>
        <v>0.11932537001646931</v>
      </c>
      <c r="K540" s="30">
        <f t="shared" ca="1" si="139"/>
        <v>8.823022258762617E-3</v>
      </c>
      <c r="L540" s="30">
        <f t="shared" ca="1" si="139"/>
        <v>4.0309281516039359E-2</v>
      </c>
      <c r="M540" s="30">
        <f t="shared" ca="1" si="139"/>
        <v>6.0306410574824706E-2</v>
      </c>
      <c r="N540" s="30">
        <f t="shared" ca="1" si="137"/>
        <v>0.13885113281561551</v>
      </c>
      <c r="O540" s="30">
        <f t="shared" ca="1" si="140"/>
        <v>3.1301482701812322E-2</v>
      </c>
      <c r="P540" s="30">
        <f t="shared" ca="1" si="141"/>
        <v>5.3872053872053849E-2</v>
      </c>
      <c r="Q540" s="30">
        <f t="shared" ca="1" si="142"/>
        <v>0.11118283040180743</v>
      </c>
      <c r="R540" s="30">
        <f t="shared" ca="1" si="143"/>
        <v>0.25817650283208482</v>
      </c>
      <c r="S540" s="9" cm="1">
        <f t="array" aca="1" ref="S540" ca="1">_xll.FDS($E$7,"P_PRICE("&amp;AG540&amp;",0,D,D)")</f>
        <v>68.86</v>
      </c>
      <c r="T540" s="9" cm="1">
        <f t="array" aca="1" ref="T540" ca="1">_xll.FDS($E$7,"P_PRICE("&amp;AH540&amp;",0,D,D)")</f>
        <v>66.77</v>
      </c>
      <c r="U540" s="9" cm="1">
        <f t="array" aca="1" ref="U540" ca="1">_xll.FDS($E$7,"P_PRICE("&amp;AI540&amp;",0,D,D)")</f>
        <v>65.34</v>
      </c>
      <c r="V540" s="9" cm="1">
        <f t="array" aca="1" ref="V540" ca="1">_xll.FDS($E$7,"P_PRICE("&amp;AJ540&amp;",0,D,D)")</f>
        <v>61.97</v>
      </c>
      <c r="W540" s="9" cm="1">
        <f t="array" aca="1" ref="W540" ca="1">_xll.FDS($E$7,"P_PRICE("&amp;AK540&amp;",0,D,D)")</f>
        <v>54.73</v>
      </c>
      <c r="X540" s="24">
        <f t="shared" ca="1" si="144"/>
        <v>7.2122280911959269E-3</v>
      </c>
      <c r="Y540" s="24">
        <f t="shared" ca="1" si="145"/>
        <v>3.2950130234248753E-2</v>
      </c>
      <c r="Z540" s="24">
        <f t="shared" ca="1" si="146"/>
        <v>4.9296440116648244E-2</v>
      </c>
      <c r="AA540" s="24">
        <f t="shared" ca="1" si="147"/>
        <v>0.1135014750294423</v>
      </c>
      <c r="AB540" s="9" cm="1">
        <f t="array" aca="1" ref="AB540" ca="1">_xll.FDS($E$9,"P_PRICE("&amp;AG540&amp;",0,D,D)")</f>
        <v>4774.75</v>
      </c>
      <c r="AC540" s="9" cm="1">
        <f t="array" aca="1" ref="AC540" ca="1">_xll.FDS($E$9,"P_PRICE("&amp;AH540&amp;",0,D,D)")</f>
        <v>4740.5600000000004</v>
      </c>
      <c r="AD540" s="9" cm="1">
        <f t="array" aca="1" ref="AD540" ca="1">_xll.FDS($E$9,"P_PRICE("&amp;AI540&amp;",0,D,D)")</f>
        <v>4622.4399999999996</v>
      </c>
      <c r="AE540" s="9" cm="1">
        <f t="array" aca="1" ref="AE540" ca="1">_xll.FDS($E$9,"P_PRICE("&amp;AJ540&amp;",0,D,D)")</f>
        <v>4550.43</v>
      </c>
      <c r="AF540" s="9" cm="1">
        <f t="array" aca="1" ref="AF540" ca="1">_xll.FDS($E$9,"P_PRICE("&amp;AK540&amp;",0,D,D)")</f>
        <v>4288.05</v>
      </c>
      <c r="AG540" s="20">
        <f t="shared" ca="1" si="153"/>
        <v>45286</v>
      </c>
      <c r="AH540" s="22">
        <f t="shared" ca="1" si="148"/>
        <v>45278</v>
      </c>
      <c r="AI540" s="22">
        <f t="shared" ca="1" si="149"/>
        <v>45271</v>
      </c>
      <c r="AJ540" s="22">
        <f t="shared" ca="1" si="150"/>
        <v>45257</v>
      </c>
      <c r="AK540" s="22">
        <f t="shared" ca="1" si="151"/>
        <v>45198</v>
      </c>
      <c r="AL540" s="22">
        <f t="shared" ca="1" si="152"/>
        <v>45113</v>
      </c>
    </row>
    <row r="541" spans="4:38" x14ac:dyDescent="0.25">
      <c r="D541" s="6">
        <f ca="1"/>
        <v>45282</v>
      </c>
      <c r="E541" s="28" cm="1">
        <f t="array" aca="1" ref="E541" ca="1">_xll.FDS($E$7,"P_PRICE("&amp;D541&amp;",0,D,D)")</f>
        <v>68.27</v>
      </c>
      <c r="F541" s="29" cm="1">
        <f t="array" aca="1" ref="F541" ca="1">_xll.FDS($E$7,"P_BETA_LOCIDX("&amp;$AG541&amp;","&amp;$AL541&amp;",,"""&amp;$E$9&amp;""")")</f>
        <v>1.2292612999999999</v>
      </c>
      <c r="G541" s="30">
        <f t="shared" ca="1" si="138"/>
        <v>1.1246864428186632E-2</v>
      </c>
      <c r="H541" s="30">
        <f t="shared" ca="1" si="138"/>
        <v>1.1000265847377358E-2</v>
      </c>
      <c r="I541" s="30">
        <f t="shared" ca="1" si="138"/>
        <v>5.2755138503410744E-2</v>
      </c>
      <c r="J541" s="30">
        <f t="shared" ca="1" si="136"/>
        <v>8.5139078305380894E-2</v>
      </c>
      <c r="K541" s="30">
        <f t="shared" ca="1" si="139"/>
        <v>9.2314614313049759E-3</v>
      </c>
      <c r="L541" s="30">
        <f t="shared" ca="1" si="139"/>
        <v>4.0115977416671708E-2</v>
      </c>
      <c r="M541" s="30">
        <f t="shared" ca="1" si="139"/>
        <v>5.2652892584672199E-2</v>
      </c>
      <c r="N541" s="30">
        <f t="shared" ca="1" si="137"/>
        <v>0.13006206089006225</v>
      </c>
      <c r="O541" s="30">
        <f t="shared" ca="1" si="140"/>
        <v>2.0478325859491608E-2</v>
      </c>
      <c r="P541" s="30">
        <f t="shared" ca="1" si="141"/>
        <v>5.1116243264049066E-2</v>
      </c>
      <c r="Q541" s="30">
        <f t="shared" ca="1" si="142"/>
        <v>0.10540803108808294</v>
      </c>
      <c r="R541" s="30">
        <f t="shared" ca="1" si="143"/>
        <v>0.21520113919544315</v>
      </c>
      <c r="S541" s="9" cm="1">
        <f t="array" aca="1" ref="S541" ca="1">_xll.FDS($E$7,"P_PRICE("&amp;AG541&amp;",0,D,D)")</f>
        <v>68.27</v>
      </c>
      <c r="T541" s="9" cm="1">
        <f t="array" aca="1" ref="T541" ca="1">_xll.FDS($E$7,"P_PRICE("&amp;AH541&amp;",0,D,D)")</f>
        <v>66.900000000000006</v>
      </c>
      <c r="U541" s="9" cm="1">
        <f t="array" aca="1" ref="U541" ca="1">_xll.FDS($E$7,"P_PRICE("&amp;AI541&amp;",0,D,D)")</f>
        <v>64.95</v>
      </c>
      <c r="V541" s="9" cm="1">
        <f t="array" aca="1" ref="V541" ca="1">_xll.FDS($E$7,"P_PRICE("&amp;AJ541&amp;",0,D,D)")</f>
        <v>61.76</v>
      </c>
      <c r="W541" s="9" cm="1">
        <f t="array" aca="1" ref="W541" ca="1">_xll.FDS($E$7,"P_PRICE("&amp;AK541&amp;",0,D,D)")</f>
        <v>56.18</v>
      </c>
      <c r="X541" s="24">
        <f t="shared" ca="1" si="144"/>
        <v>7.5097633280287734E-3</v>
      </c>
      <c r="Y541" s="24">
        <f t="shared" ca="1" si="145"/>
        <v>3.2634214887161672E-2</v>
      </c>
      <c r="Z541" s="24">
        <f t="shared" ca="1" si="146"/>
        <v>4.2832953892449233E-2</v>
      </c>
      <c r="AA541" s="24">
        <f t="shared" ca="1" si="147"/>
        <v>0.10580505616670943</v>
      </c>
      <c r="AB541" s="9" cm="1">
        <f t="array" aca="1" ref="AB541" ca="1">_xll.FDS($E$9,"P_PRICE("&amp;AG541&amp;",0,D,D)")</f>
        <v>4754.63</v>
      </c>
      <c r="AC541" s="9" cm="1">
        <f t="array" aca="1" ref="AC541" ca="1">_xll.FDS($E$9,"P_PRICE("&amp;AH541&amp;",0,D,D)")</f>
        <v>4719.1899999999996</v>
      </c>
      <c r="AD541" s="9" cm="1">
        <f t="array" aca="1" ref="AD541" ca="1">_xll.FDS($E$9,"P_PRICE("&amp;AI541&amp;",0,D,D)")</f>
        <v>4604.37</v>
      </c>
      <c r="AE541" s="9" cm="1">
        <f t="array" aca="1" ref="AE541" ca="1">_xll.FDS($E$9,"P_PRICE("&amp;AJ541&amp;",0,D,D)")</f>
        <v>4559.34</v>
      </c>
      <c r="AF541" s="9" cm="1">
        <f t="array" aca="1" ref="AF541" ca="1">_xll.FDS($E$9,"P_PRICE("&amp;AK541&amp;",0,D,D)")</f>
        <v>4299.7</v>
      </c>
      <c r="AG541" s="20">
        <f t="shared" ca="1" si="153"/>
        <v>45282</v>
      </c>
      <c r="AH541" s="22">
        <f t="shared" ca="1" si="148"/>
        <v>45275</v>
      </c>
      <c r="AI541" s="22">
        <f t="shared" ca="1" si="149"/>
        <v>45268</v>
      </c>
      <c r="AJ541" s="22">
        <f t="shared" ca="1" si="150"/>
        <v>45254</v>
      </c>
      <c r="AK541" s="22">
        <f t="shared" ca="1" si="151"/>
        <v>45197</v>
      </c>
      <c r="AL541" s="22">
        <f t="shared" ca="1" si="152"/>
        <v>45112</v>
      </c>
    </row>
    <row r="542" spans="4:38" x14ac:dyDescent="0.25">
      <c r="D542" s="6">
        <f ca="1"/>
        <v>45281</v>
      </c>
      <c r="E542" s="28" cm="1">
        <f t="array" aca="1" ref="E542" ca="1">_xll.FDS($E$7,"P_PRICE("&amp;D542&amp;",0,D,D)")</f>
        <v>68.290000000000006</v>
      </c>
      <c r="F542" s="29" cm="1">
        <f t="array" aca="1" ref="F542" ca="1">_xll.FDS($E$7,"P_BETA_LOCIDX("&amp;$AG542&amp;","&amp;$AL542&amp;",,"""&amp;$E$9&amp;""")")</f>
        <v>1.2298424999999999</v>
      </c>
      <c r="G542" s="30">
        <f t="shared" ca="1" si="138"/>
        <v>8.5278012179030825E-3</v>
      </c>
      <c r="H542" s="30">
        <f t="shared" ca="1" si="138"/>
        <v>2.3975335362904089E-2</v>
      </c>
      <c r="I542" s="30">
        <f t="shared" ca="1" si="138"/>
        <v>6.3986420010956196E-2</v>
      </c>
      <c r="J542" s="30">
        <f t="shared" ca="1" si="136"/>
        <v>7.4944866261225374E-2</v>
      </c>
      <c r="K542" s="30">
        <f t="shared" ca="1" si="139"/>
        <v>7.0879037196343074E-3</v>
      </c>
      <c r="L542" s="30">
        <f t="shared" ca="1" si="139"/>
        <v>4.3222664324547126E-2</v>
      </c>
      <c r="M542" s="30">
        <f t="shared" ca="1" si="139"/>
        <v>5.1316536056331165E-2</v>
      </c>
      <c r="N542" s="30">
        <f t="shared" ca="1" si="137"/>
        <v>0.13587073657565413</v>
      </c>
      <c r="O542" s="30">
        <f t="shared" ca="1" si="140"/>
        <v>1.5615704937537389E-2</v>
      </c>
      <c r="P542" s="30">
        <f t="shared" ca="1" si="141"/>
        <v>6.7197999687451215E-2</v>
      </c>
      <c r="Q542" s="30">
        <f t="shared" ca="1" si="142"/>
        <v>0.11530295606728735</v>
      </c>
      <c r="R542" s="30">
        <f t="shared" ca="1" si="143"/>
        <v>0.2108156028368795</v>
      </c>
      <c r="S542" s="9" cm="1">
        <f t="array" aca="1" ref="S542" ca="1">_xll.FDS($E$7,"P_PRICE("&amp;AG542&amp;",0,D,D)")</f>
        <v>68.290000000000006</v>
      </c>
      <c r="T542" s="9" cm="1">
        <f t="array" aca="1" ref="T542" ca="1">_xll.FDS($E$7,"P_PRICE("&amp;AH542&amp;",0,D,D)")</f>
        <v>67.239999999999995</v>
      </c>
      <c r="U542" s="9" cm="1">
        <f t="array" aca="1" ref="U542" ca="1">_xll.FDS($E$7,"P_PRICE("&amp;AI542&amp;",0,D,D)")</f>
        <v>63.99</v>
      </c>
      <c r="V542" s="9" cm="1">
        <f t="array" aca="1" ref="V542" ca="1">_xll.FDS($E$7,"P_PRICE("&amp;AJ542&amp;",0,D,D)")</f>
        <v>61.23</v>
      </c>
      <c r="W542" s="9" cm="1">
        <f t="array" aca="1" ref="W542" ca="1">_xll.FDS($E$7,"P_PRICE("&amp;AK542&amp;",0,D,D)")</f>
        <v>56.4</v>
      </c>
      <c r="X542" s="24">
        <f t="shared" ca="1" si="144"/>
        <v>5.7632613278808531E-3</v>
      </c>
      <c r="Y542" s="24">
        <f t="shared" ca="1" si="145"/>
        <v>3.5144877758369164E-2</v>
      </c>
      <c r="Z542" s="24">
        <f t="shared" ca="1" si="146"/>
        <v>4.1726103998138919E-2</v>
      </c>
      <c r="AA542" s="24">
        <f t="shared" ca="1" si="147"/>
        <v>0.11047816006980904</v>
      </c>
      <c r="AB542" s="9" cm="1">
        <f t="array" aca="1" ref="AB542" ca="1">_xll.FDS($E$9,"P_PRICE("&amp;AG542&amp;",0,D,D)")</f>
        <v>4746.75</v>
      </c>
      <c r="AC542" s="9" cm="1">
        <f t="array" aca="1" ref="AC542" ca="1">_xll.FDS($E$9,"P_PRICE("&amp;AH542&amp;",0,D,D)")</f>
        <v>4719.55</v>
      </c>
      <c r="AD542" s="9" cm="1">
        <f t="array" aca="1" ref="AD542" ca="1">_xll.FDS($E$9,"P_PRICE("&amp;AI542&amp;",0,D,D)")</f>
        <v>4585.59</v>
      </c>
      <c r="AE542" s="9" cm="1">
        <f t="array" aca="1" ref="AE542" ca="1">_xll.FDS($E$9,"P_PRICE("&amp;AJ542&amp;",0,D,D)")</f>
        <v>4556.62</v>
      </c>
      <c r="AF542" s="9" cm="1">
        <f t="array" aca="1" ref="AF542" ca="1">_xll.FDS($E$9,"P_PRICE("&amp;AK542&amp;",0,D,D)")</f>
        <v>4274.51</v>
      </c>
      <c r="AG542" s="20">
        <f t="shared" ca="1" si="153"/>
        <v>45281</v>
      </c>
      <c r="AH542" s="22">
        <f t="shared" ca="1" si="148"/>
        <v>45274</v>
      </c>
      <c r="AI542" s="22">
        <f t="shared" ca="1" si="149"/>
        <v>45267</v>
      </c>
      <c r="AJ542" s="22">
        <f t="shared" ca="1" si="150"/>
        <v>45252</v>
      </c>
      <c r="AK542" s="22">
        <f t="shared" ca="1" si="151"/>
        <v>45196</v>
      </c>
      <c r="AL542" s="22">
        <f t="shared" ca="1" si="152"/>
        <v>45110</v>
      </c>
    </row>
    <row r="543" spans="4:38" x14ac:dyDescent="0.25">
      <c r="D543" s="6">
        <f ca="1"/>
        <v>45280</v>
      </c>
      <c r="E543" s="28" cm="1">
        <f t="array" aca="1" ref="E543" ca="1">_xll.FDS($E$7,"P_PRICE("&amp;D543&amp;",0,D,D)")</f>
        <v>67.08</v>
      </c>
      <c r="F543" s="29" cm="1">
        <f t="array" aca="1" ref="F543" ca="1">_xll.FDS($E$7,"P_BETA_LOCIDX("&amp;$AG543&amp;","&amp;$AL543&amp;",,"""&amp;$E$9&amp;""")")</f>
        <v>1.2207874999999999</v>
      </c>
      <c r="G543" s="30">
        <f t="shared" ca="1" si="138"/>
        <v>1.3730708366933748E-3</v>
      </c>
      <c r="H543" s="30">
        <f t="shared" ca="1" si="138"/>
        <v>2.5621705081216362E-2</v>
      </c>
      <c r="I543" s="30">
        <f t="shared" ca="1" si="138"/>
        <v>5.4250003601566406E-2</v>
      </c>
      <c r="J543" s="30">
        <f t="shared" ca="1" si="136"/>
        <v>8.0579970324812858E-2</v>
      </c>
      <c r="K543" s="30">
        <f t="shared" ca="1" si="139"/>
        <v>-2.2667258858444402E-3</v>
      </c>
      <c r="L543" s="30">
        <f t="shared" ca="1" si="139"/>
        <v>3.998592001806861E-2</v>
      </c>
      <c r="M543" s="30">
        <f t="shared" ca="1" si="139"/>
        <v>4.3083547846167851E-2</v>
      </c>
      <c r="N543" s="30">
        <f t="shared" ca="1" si="137"/>
        <v>0.12135516674739626</v>
      </c>
      <c r="O543" s="30">
        <f t="shared" ca="1" si="140"/>
        <v>-8.9365504915106531E-4</v>
      </c>
      <c r="P543" s="30">
        <f t="shared" ca="1" si="141"/>
        <v>6.5607625099284972E-2</v>
      </c>
      <c r="Q543" s="30">
        <f t="shared" ca="1" si="142"/>
        <v>9.7333551447734257E-2</v>
      </c>
      <c r="R543" s="30">
        <f t="shared" ca="1" si="143"/>
        <v>0.20193513707220911</v>
      </c>
      <c r="S543" s="9" cm="1">
        <f t="array" aca="1" ref="S543" ca="1">_xll.FDS($E$7,"P_PRICE("&amp;AG543&amp;",0,D,D)")</f>
        <v>67.08</v>
      </c>
      <c r="T543" s="9" cm="1">
        <f t="array" aca="1" ref="T543" ca="1">_xll.FDS($E$7,"P_PRICE("&amp;AH543&amp;",0,D,D)")</f>
        <v>67.14</v>
      </c>
      <c r="U543" s="9" cm="1">
        <f t="array" aca="1" ref="U543" ca="1">_xll.FDS($E$7,"P_PRICE("&amp;AI543&amp;",0,D,D)")</f>
        <v>62.95</v>
      </c>
      <c r="V543" s="9" cm="1">
        <f t="array" aca="1" ref="V543" ca="1">_xll.FDS($E$7,"P_PRICE("&amp;AJ543&amp;",0,D,D)")</f>
        <v>61.13</v>
      </c>
      <c r="W543" s="9" cm="1">
        <f t="array" aca="1" ref="W543" ca="1">_xll.FDS($E$7,"P_PRICE("&amp;AK543&amp;",0,D,D)")</f>
        <v>55.81</v>
      </c>
      <c r="X543" s="24">
        <f t="shared" ca="1" si="144"/>
        <v>-1.8567735054990653E-3</v>
      </c>
      <c r="Y543" s="24">
        <f t="shared" ca="1" si="145"/>
        <v>3.2754201708379727E-2</v>
      </c>
      <c r="Z543" s="24">
        <f t="shared" ca="1" si="146"/>
        <v>3.5291603039978581E-2</v>
      </c>
      <c r="AA543" s="24">
        <f t="shared" ca="1" si="147"/>
        <v>9.9407281568165029E-2</v>
      </c>
      <c r="AB543" s="9" cm="1">
        <f t="array" aca="1" ref="AB543" ca="1">_xll.FDS($E$9,"P_PRICE("&amp;AG543&amp;",0,D,D)")</f>
        <v>4698.3500000000004</v>
      </c>
      <c r="AC543" s="9" cm="1">
        <f t="array" aca="1" ref="AC543" ca="1">_xll.FDS($E$9,"P_PRICE("&amp;AH543&amp;",0,D,D)")</f>
        <v>4707.09</v>
      </c>
      <c r="AD543" s="9" cm="1">
        <f t="array" aca="1" ref="AD543" ca="1">_xll.FDS($E$9,"P_PRICE("&amp;AI543&amp;",0,D,D)")</f>
        <v>4549.34</v>
      </c>
      <c r="AE543" s="9" cm="1">
        <f t="array" aca="1" ref="AE543" ca="1">_xll.FDS($E$9,"P_PRICE("&amp;AJ543&amp;",0,D,D)")</f>
        <v>4538.1899999999996</v>
      </c>
      <c r="AF543" s="9" cm="1">
        <f t="array" aca="1" ref="AF543" ca="1">_xll.FDS($E$9,"P_PRICE("&amp;AK543&amp;",0,D,D)")</f>
        <v>4273.53</v>
      </c>
      <c r="AG543" s="20">
        <f t="shared" ca="1" si="153"/>
        <v>45280</v>
      </c>
      <c r="AH543" s="22">
        <f t="shared" ca="1" si="148"/>
        <v>45273</v>
      </c>
      <c r="AI543" s="22">
        <f t="shared" ca="1" si="149"/>
        <v>45266</v>
      </c>
      <c r="AJ543" s="22">
        <f t="shared" ca="1" si="150"/>
        <v>45251</v>
      </c>
      <c r="AK543" s="22">
        <f t="shared" ca="1" si="151"/>
        <v>45195</v>
      </c>
      <c r="AL543" s="22">
        <f t="shared" ca="1" si="152"/>
        <v>45107</v>
      </c>
    </row>
    <row r="544" spans="4:38" x14ac:dyDescent="0.25">
      <c r="D544" s="6">
        <f ca="1"/>
        <v>45279</v>
      </c>
      <c r="E544" s="28" cm="1">
        <f t="array" aca="1" ref="E544" ca="1">_xll.FDS($E$7,"P_PRICE("&amp;D544&amp;",0,D,D)")</f>
        <v>68.27</v>
      </c>
      <c r="F544" s="29" cm="1">
        <f t="array" aca="1" ref="F544" ca="1">_xll.FDS($E$7,"P_BETA_LOCIDX("&amp;$AG544&amp;","&amp;$AL544&amp;",,"""&amp;$E$9&amp;""")")</f>
        <v>1.2142689</v>
      </c>
      <c r="G544" s="30">
        <f t="shared" ca="1" si="138"/>
        <v>7.6258762120187465E-3</v>
      </c>
      <c r="H544" s="30">
        <f t="shared" ca="1" si="138"/>
        <v>2.8614863387649792E-2</v>
      </c>
      <c r="I544" s="30">
        <f t="shared" ca="1" si="138"/>
        <v>0.10323029548745256</v>
      </c>
      <c r="J544" s="30">
        <f t="shared" ca="1" si="136"/>
        <v>9.0895939770765169E-2</v>
      </c>
      <c r="K544" s="30">
        <f t="shared" ca="1" si="139"/>
        <v>3.2599630416047597E-2</v>
      </c>
      <c r="L544" s="30">
        <f t="shared" ca="1" si="139"/>
        <v>5.3490066078192455E-2</v>
      </c>
      <c r="M544" s="30">
        <f t="shared" ca="1" si="139"/>
        <v>5.9010085854052194E-2</v>
      </c>
      <c r="N544" s="30">
        <f t="shared" ca="1" si="137"/>
        <v>0.12063910903136431</v>
      </c>
      <c r="O544" s="30">
        <f t="shared" ca="1" si="140"/>
        <v>4.0225506628066343E-2</v>
      </c>
      <c r="P544" s="30">
        <f t="shared" ca="1" si="141"/>
        <v>8.2104929465842247E-2</v>
      </c>
      <c r="Q544" s="30">
        <f t="shared" ca="1" si="142"/>
        <v>0.16224038134150476</v>
      </c>
      <c r="R544" s="30">
        <f t="shared" ca="1" si="143"/>
        <v>0.21153504880212948</v>
      </c>
      <c r="S544" s="9" cm="1">
        <f t="array" aca="1" ref="S544" ca="1">_xll.FDS($E$7,"P_PRICE("&amp;AG544&amp;",0,D,D)")</f>
        <v>68.27</v>
      </c>
      <c r="T544" s="9" cm="1">
        <f t="array" aca="1" ref="T544" ca="1">_xll.FDS($E$7,"P_PRICE("&amp;AH544&amp;",0,D,D)")</f>
        <v>65.63</v>
      </c>
      <c r="U544" s="9" cm="1">
        <f t="array" aca="1" ref="U544" ca="1">_xll.FDS($E$7,"P_PRICE("&amp;AI544&amp;",0,D,D)")</f>
        <v>63.09</v>
      </c>
      <c r="V544" s="9" cm="1">
        <f t="array" aca="1" ref="V544" ca="1">_xll.FDS($E$7,"P_PRICE("&amp;AJ544&amp;",0,D,D)")</f>
        <v>58.74</v>
      </c>
      <c r="W544" s="9" cm="1">
        <f t="array" aca="1" ref="W544" ca="1">_xll.FDS($E$7,"P_PRICE("&amp;AK544&amp;",0,D,D)")</f>
        <v>56.35</v>
      </c>
      <c r="X544" s="24">
        <f t="shared" ca="1" si="144"/>
        <v>2.6847126214010419E-2</v>
      </c>
      <c r="Y544" s="24">
        <f t="shared" ca="1" si="145"/>
        <v>4.4051252632915538E-2</v>
      </c>
      <c r="Z544" s="24">
        <f t="shared" ca="1" si="146"/>
        <v>4.8597214220056362E-2</v>
      </c>
      <c r="AA544" s="24">
        <f t="shared" ca="1" si="147"/>
        <v>9.93512302187467E-2</v>
      </c>
      <c r="AB544" s="9" cm="1">
        <f t="array" aca="1" ref="AB544" ca="1">_xll.FDS($E$9,"P_PRICE("&amp;AG544&amp;",0,D,D)")</f>
        <v>4768.37</v>
      </c>
      <c r="AC544" s="9" cm="1">
        <f t="array" aca="1" ref="AC544" ca="1">_xll.FDS($E$9,"P_PRICE("&amp;AH544&amp;",0,D,D)")</f>
        <v>4643.7</v>
      </c>
      <c r="AD544" s="9" cm="1">
        <f t="array" aca="1" ref="AD544" ca="1">_xll.FDS($E$9,"P_PRICE("&amp;AI544&amp;",0,D,D)")</f>
        <v>4567.18</v>
      </c>
      <c r="AE544" s="9" cm="1">
        <f t="array" aca="1" ref="AE544" ca="1">_xll.FDS($E$9,"P_PRICE("&amp;AJ544&amp;",0,D,D)")</f>
        <v>4547.38</v>
      </c>
      <c r="AF544" s="9" cm="1">
        <f t="array" aca="1" ref="AF544" ca="1">_xll.FDS($E$9,"P_PRICE("&amp;AK544&amp;",0,D,D)")</f>
        <v>4337.4399999999996</v>
      </c>
      <c r="AG544" s="20">
        <f t="shared" ca="1" si="153"/>
        <v>45279</v>
      </c>
      <c r="AH544" s="22">
        <f t="shared" ca="1" si="148"/>
        <v>45272</v>
      </c>
      <c r="AI544" s="22">
        <f t="shared" ca="1" si="149"/>
        <v>45265</v>
      </c>
      <c r="AJ544" s="22">
        <f t="shared" ca="1" si="150"/>
        <v>45250</v>
      </c>
      <c r="AK544" s="22">
        <f t="shared" ca="1" si="151"/>
        <v>45194</v>
      </c>
      <c r="AL544" s="22">
        <f t="shared" ca="1" si="152"/>
        <v>45106</v>
      </c>
    </row>
    <row r="545" spans="4:38" x14ac:dyDescent="0.25">
      <c r="D545" s="6">
        <f ca="1"/>
        <v>45278</v>
      </c>
      <c r="E545" s="28" cm="1">
        <f t="array" aca="1" ref="E545" ca="1">_xll.FDS($E$7,"P_PRICE("&amp;D545&amp;",0,D,D)")</f>
        <v>66.77</v>
      </c>
      <c r="F545" s="29" cm="1">
        <f t="array" aca="1" ref="F545" ca="1">_xll.FDS($E$7,"P_BETA_LOCIDX("&amp;$AG545&amp;","&amp;$AL545&amp;",,"""&amp;$E$9&amp;""")")</f>
        <v>1.2013807999999999</v>
      </c>
      <c r="G545" s="30">
        <f t="shared" ca="1" si="138"/>
        <v>-8.8140869998290482E-3</v>
      </c>
      <c r="H545" s="30">
        <f t="shared" ca="1" si="138"/>
        <v>1.5617087183300161E-2</v>
      </c>
      <c r="I545" s="30">
        <f t="shared" ca="1" si="138"/>
        <v>4.8659666241111191E-2</v>
      </c>
      <c r="J545" s="30">
        <f t="shared" ca="1" si="136"/>
        <v>0.10640354780253602</v>
      </c>
      <c r="K545" s="30">
        <f t="shared" ca="1" si="139"/>
        <v>3.069960888535089E-2</v>
      </c>
      <c r="L545" s="30">
        <f t="shared" ca="1" si="139"/>
        <v>4.4897525269050408E-2</v>
      </c>
      <c r="M545" s="30">
        <f t="shared" ca="1" si="139"/>
        <v>6.0292335087571688E-2</v>
      </c>
      <c r="N545" s="30">
        <f t="shared" ca="1" si="137"/>
        <v>0.11693833567126388</v>
      </c>
      <c r="O545" s="30">
        <f t="shared" ca="1" si="140"/>
        <v>2.1885521885521841E-2</v>
      </c>
      <c r="P545" s="30">
        <f t="shared" ca="1" si="141"/>
        <v>6.0514612452350569E-2</v>
      </c>
      <c r="Q545" s="30">
        <f t="shared" ca="1" si="142"/>
        <v>0.10895200132868288</v>
      </c>
      <c r="R545" s="30">
        <f t="shared" ca="1" si="143"/>
        <v>0.22334188347379991</v>
      </c>
      <c r="S545" s="9" cm="1">
        <f t="array" aca="1" ref="S545" ca="1">_xll.FDS($E$7,"P_PRICE("&amp;AG545&amp;",0,D,D)")</f>
        <v>66.77</v>
      </c>
      <c r="T545" s="9" cm="1">
        <f t="array" aca="1" ref="T545" ca="1">_xll.FDS($E$7,"P_PRICE("&amp;AH545&amp;",0,D,D)")</f>
        <v>65.34</v>
      </c>
      <c r="U545" s="9" cm="1">
        <f t="array" aca="1" ref="U545" ca="1">_xll.FDS($E$7,"P_PRICE("&amp;AI545&amp;",0,D,D)")</f>
        <v>62.96</v>
      </c>
      <c r="V545" s="9" cm="1">
        <f t="array" aca="1" ref="V545" ca="1">_xll.FDS($E$7,"P_PRICE("&amp;AJ545&amp;",0,D,D)")</f>
        <v>60.21</v>
      </c>
      <c r="W545" s="9" cm="1">
        <f t="array" aca="1" ref="W545" ca="1">_xll.FDS($E$7,"P_PRICE("&amp;AK545&amp;",0,D,D)")</f>
        <v>54.58</v>
      </c>
      <c r="X545" s="24">
        <f t="shared" ca="1" si="144"/>
        <v>2.5553603724440155E-2</v>
      </c>
      <c r="Y545" s="24">
        <f t="shared" ca="1" si="145"/>
        <v>3.7371602134019799E-2</v>
      </c>
      <c r="Z545" s="24">
        <f t="shared" ca="1" si="146"/>
        <v>5.0185865370556693E-2</v>
      </c>
      <c r="AA545" s="24">
        <f t="shared" ca="1" si="147"/>
        <v>9.7336611065587109E-2</v>
      </c>
      <c r="AB545" s="9" cm="1">
        <f t="array" aca="1" ref="AB545" ca="1">_xll.FDS($E$9,"P_PRICE("&amp;AG545&amp;",0,D,D)")</f>
        <v>4740.5600000000004</v>
      </c>
      <c r="AC545" s="9" cm="1">
        <f t="array" aca="1" ref="AC545" ca="1">_xll.FDS($E$9,"P_PRICE("&amp;AH545&amp;",0,D,D)")</f>
        <v>4622.4399999999996</v>
      </c>
      <c r="AD545" s="9" cm="1">
        <f t="array" aca="1" ref="AD545" ca="1">_xll.FDS($E$9,"P_PRICE("&amp;AI545&amp;",0,D,D)")</f>
        <v>4569.78</v>
      </c>
      <c r="AE545" s="9" cm="1">
        <f t="array" aca="1" ref="AE545" ca="1">_xll.FDS($E$9,"P_PRICE("&amp;AJ545&amp;",0,D,D)")</f>
        <v>4514.0200000000004</v>
      </c>
      <c r="AF545" s="9" cm="1">
        <f t="array" aca="1" ref="AF545" ca="1">_xll.FDS($E$9,"P_PRICE("&amp;AK545&amp;",0,D,D)")</f>
        <v>4320.0600000000004</v>
      </c>
      <c r="AG545" s="20">
        <f t="shared" ca="1" si="153"/>
        <v>45278</v>
      </c>
      <c r="AH545" s="22">
        <f t="shared" ca="1" si="148"/>
        <v>45271</v>
      </c>
      <c r="AI545" s="22">
        <f t="shared" ca="1" si="149"/>
        <v>45264</v>
      </c>
      <c r="AJ545" s="22">
        <f t="shared" ca="1" si="150"/>
        <v>45247</v>
      </c>
      <c r="AK545" s="22">
        <f t="shared" ca="1" si="151"/>
        <v>45191</v>
      </c>
      <c r="AL545" s="22">
        <f t="shared" ca="1" si="152"/>
        <v>45105</v>
      </c>
    </row>
    <row r="546" spans="4:38" x14ac:dyDescent="0.25">
      <c r="D546" s="6">
        <f ca="1"/>
        <v>45275</v>
      </c>
      <c r="E546" s="28" cm="1">
        <f t="array" aca="1" ref="E546" ca="1">_xll.FDS($E$7,"P_PRICE("&amp;D546&amp;",0,D,D)")</f>
        <v>66.900000000000006</v>
      </c>
      <c r="F546" s="29" cm="1">
        <f t="array" aca="1" ref="F546" ca="1">_xll.FDS($E$7,"P_BETA_LOCIDX("&amp;$AG546&amp;","&amp;$AL546&amp;",,"""&amp;$E$9&amp;""")")</f>
        <v>1.2293381999999999</v>
      </c>
      <c r="G546" s="30">
        <f t="shared" ca="1" si="138"/>
        <v>-6.3313235782349112E-4</v>
      </c>
      <c r="H546" s="30">
        <f t="shared" ca="1" si="138"/>
        <v>4.0428884904530685E-3</v>
      </c>
      <c r="I546" s="30">
        <f t="shared" ca="1" si="138"/>
        <v>7.2735178231011666E-2</v>
      </c>
      <c r="J546" s="30">
        <f t="shared" ca="1" si="136"/>
        <v>0.14067323677613697</v>
      </c>
      <c r="K546" s="30">
        <f t="shared" ca="1" si="139"/>
        <v>3.0656227046045332E-2</v>
      </c>
      <c r="L546" s="30">
        <f t="shared" ca="1" si="139"/>
        <v>3.3327246414183408E-2</v>
      </c>
      <c r="M546" s="30">
        <f t="shared" ca="1" si="139"/>
        <v>5.7523311378719737E-2</v>
      </c>
      <c r="N546" s="30">
        <f t="shared" ca="1" si="137"/>
        <v>0.11049564296951499</v>
      </c>
      <c r="O546" s="30">
        <f t="shared" ca="1" si="140"/>
        <v>3.0023094688221841E-2</v>
      </c>
      <c r="P546" s="30">
        <f t="shared" ca="1" si="141"/>
        <v>3.7370134904636476E-2</v>
      </c>
      <c r="Q546" s="30">
        <f t="shared" ca="1" si="142"/>
        <v>0.13025848960973141</v>
      </c>
      <c r="R546" s="30">
        <f t="shared" ca="1" si="143"/>
        <v>0.25116887974565194</v>
      </c>
      <c r="S546" s="9" cm="1">
        <f t="array" aca="1" ref="S546" ca="1">_xll.FDS($E$7,"P_PRICE("&amp;AG546&amp;",0,D,D)")</f>
        <v>66.900000000000006</v>
      </c>
      <c r="T546" s="9" cm="1">
        <f t="array" aca="1" ref="T546" ca="1">_xll.FDS($E$7,"P_PRICE("&amp;AH546&amp;",0,D,D)")</f>
        <v>64.95</v>
      </c>
      <c r="U546" s="9" cm="1">
        <f t="array" aca="1" ref="U546" ca="1">_xll.FDS($E$7,"P_PRICE("&amp;AI546&amp;",0,D,D)")</f>
        <v>64.489999999999995</v>
      </c>
      <c r="V546" s="9" cm="1">
        <f t="array" aca="1" ref="V546" ca="1">_xll.FDS($E$7,"P_PRICE("&amp;AJ546&amp;",0,D,D)")</f>
        <v>59.19</v>
      </c>
      <c r="W546" s="9" cm="1">
        <f t="array" aca="1" ref="W546" ca="1">_xll.FDS($E$7,"P_PRICE("&amp;AK546&amp;",0,D,D)")</f>
        <v>53.47</v>
      </c>
      <c r="X546" s="24">
        <f t="shared" ca="1" si="144"/>
        <v>2.493717924493466E-2</v>
      </c>
      <c r="Y546" s="24">
        <f t="shared" ca="1" si="145"/>
        <v>2.7109908741291378E-2</v>
      </c>
      <c r="Z546" s="24">
        <f t="shared" ca="1" si="146"/>
        <v>4.6792096250421356E-2</v>
      </c>
      <c r="AA546" s="24">
        <f t="shared" ca="1" si="147"/>
        <v>8.9882217090069272E-2</v>
      </c>
      <c r="AB546" s="9" cm="1">
        <f t="array" aca="1" ref="AB546" ca="1">_xll.FDS($E$9,"P_PRICE("&amp;AG546&amp;",0,D,D)")</f>
        <v>4719.1899999999996</v>
      </c>
      <c r="AC546" s="9" cm="1">
        <f t="array" aca="1" ref="AC546" ca="1">_xll.FDS($E$9,"P_PRICE("&amp;AH546&amp;",0,D,D)")</f>
        <v>4604.37</v>
      </c>
      <c r="AD546" s="9" cm="1">
        <f t="array" aca="1" ref="AD546" ca="1">_xll.FDS($E$9,"P_PRICE("&amp;AI546&amp;",0,D,D)")</f>
        <v>4594.63</v>
      </c>
      <c r="AE546" s="9" cm="1">
        <f t="array" aca="1" ref="AE546" ca="1">_xll.FDS($E$9,"P_PRICE("&amp;AJ546&amp;",0,D,D)")</f>
        <v>4508.24</v>
      </c>
      <c r="AF546" s="9" cm="1">
        <f t="array" aca="1" ref="AF546" ca="1">_xll.FDS($E$9,"P_PRICE("&amp;AK546&amp;",0,D,D)")</f>
        <v>4330</v>
      </c>
      <c r="AG546" s="20">
        <f t="shared" ca="1" si="153"/>
        <v>45275</v>
      </c>
      <c r="AH546" s="22">
        <f t="shared" ca="1" si="148"/>
        <v>45268</v>
      </c>
      <c r="AI546" s="22">
        <f t="shared" ca="1" si="149"/>
        <v>45261</v>
      </c>
      <c r="AJ546" s="22">
        <f t="shared" ca="1" si="150"/>
        <v>45246</v>
      </c>
      <c r="AK546" s="22">
        <f t="shared" ca="1" si="151"/>
        <v>45190</v>
      </c>
      <c r="AL546" s="22">
        <f t="shared" ca="1" si="152"/>
        <v>45104</v>
      </c>
    </row>
    <row r="547" spans="4:38" x14ac:dyDescent="0.25">
      <c r="D547" s="6">
        <f ca="1"/>
        <v>45274</v>
      </c>
      <c r="E547" s="28" cm="1">
        <f t="array" aca="1" ref="E547" ca="1">_xll.FDS($E$7,"P_PRICE("&amp;D547&amp;",0,D,D)")</f>
        <v>67.239999999999995</v>
      </c>
      <c r="F547" s="29" cm="1">
        <f t="array" aca="1" ref="F547" ca="1">_xll.FDS($E$7,"P_BETA_LOCIDX("&amp;$AG547&amp;","&amp;$AL547&amp;",,"""&amp;$E$9&amp;""")")</f>
        <v>1.2310658999999999</v>
      </c>
      <c r="G547" s="30">
        <f t="shared" ca="1" si="138"/>
        <v>1.4825746435196817E-2</v>
      </c>
      <c r="H547" s="30">
        <f t="shared" ca="1" si="138"/>
        <v>3.0655704750876749E-2</v>
      </c>
      <c r="I547" s="30">
        <f t="shared" ca="1" si="138"/>
        <v>7.8303635480740569E-2</v>
      </c>
      <c r="J547" s="30">
        <f t="shared" ca="1" si="136"/>
        <v>0.13402152104922005</v>
      </c>
      <c r="K547" s="30">
        <f t="shared" ca="1" si="139"/>
        <v>3.5963439375085872E-2</v>
      </c>
      <c r="L547" s="30">
        <f t="shared" ca="1" si="139"/>
        <v>4.0898080109680886E-2</v>
      </c>
      <c r="M547" s="30">
        <f t="shared" ca="1" si="139"/>
        <v>5.9236543845938495E-2</v>
      </c>
      <c r="N547" s="30">
        <f t="shared" ca="1" si="137"/>
        <v>8.8746254910045175E-2</v>
      </c>
      <c r="O547" s="30">
        <f t="shared" ca="1" si="140"/>
        <v>5.0789185810282689E-2</v>
      </c>
      <c r="P547" s="30">
        <f t="shared" ca="1" si="141"/>
        <v>7.1553784860557634E-2</v>
      </c>
      <c r="Q547" s="30">
        <f t="shared" ca="1" si="142"/>
        <v>0.13754017932667906</v>
      </c>
      <c r="R547" s="30">
        <f t="shared" ca="1" si="143"/>
        <v>0.22276777595926522</v>
      </c>
      <c r="S547" s="9" cm="1">
        <f t="array" aca="1" ref="S547" ca="1">_xll.FDS($E$7,"P_PRICE("&amp;AG547&amp;",0,D,D)")</f>
        <v>67.239999999999995</v>
      </c>
      <c r="T547" s="9" cm="1">
        <f t="array" aca="1" ref="T547" ca="1">_xll.FDS($E$7,"P_PRICE("&amp;AH547&amp;",0,D,D)")</f>
        <v>63.99</v>
      </c>
      <c r="U547" s="9" cm="1">
        <f t="array" aca="1" ref="U547" ca="1">_xll.FDS($E$7,"P_PRICE("&amp;AI547&amp;",0,D,D)")</f>
        <v>62.75</v>
      </c>
      <c r="V547" s="9" cm="1">
        <f t="array" aca="1" ref="V547" ca="1">_xll.FDS($E$7,"P_PRICE("&amp;AJ547&amp;",0,D,D)")</f>
        <v>59.11</v>
      </c>
      <c r="W547" s="9" cm="1">
        <f t="array" aca="1" ref="W547" ca="1">_xll.FDS($E$7,"P_PRICE("&amp;AK547&amp;",0,D,D)")</f>
        <v>54.99</v>
      </c>
      <c r="X547" s="24">
        <f t="shared" ca="1" si="144"/>
        <v>2.9213252820247781E-2</v>
      </c>
      <c r="Y547" s="24">
        <f t="shared" ca="1" si="145"/>
        <v>3.3221682210254455E-2</v>
      </c>
      <c r="Z547" s="24">
        <f t="shared" ca="1" si="146"/>
        <v>4.811809330917094E-2</v>
      </c>
      <c r="AA547" s="24">
        <f t="shared" ca="1" si="147"/>
        <v>7.208895552223904E-2</v>
      </c>
      <c r="AB547" s="9" cm="1">
        <f t="array" aca="1" ref="AB547" ca="1">_xll.FDS($E$9,"P_PRICE("&amp;AG547&amp;",0,D,D)")</f>
        <v>4719.55</v>
      </c>
      <c r="AC547" s="9" cm="1">
        <f t="array" aca="1" ref="AC547" ca="1">_xll.FDS($E$9,"P_PRICE("&amp;AH547&amp;",0,D,D)")</f>
        <v>4585.59</v>
      </c>
      <c r="AD547" s="9" cm="1">
        <f t="array" aca="1" ref="AD547" ca="1">_xll.FDS($E$9,"P_PRICE("&amp;AI547&amp;",0,D,D)")</f>
        <v>4567.8</v>
      </c>
      <c r="AE547" s="9" cm="1">
        <f t="array" aca="1" ref="AE547" ca="1">_xll.FDS($E$9,"P_PRICE("&amp;AJ547&amp;",0,D,D)")</f>
        <v>4502.88</v>
      </c>
      <c r="AF547" s="9" cm="1">
        <f t="array" aca="1" ref="AF547" ca="1">_xll.FDS($E$9,"P_PRICE("&amp;AK547&amp;",0,D,D)")</f>
        <v>4402.2</v>
      </c>
      <c r="AG547" s="20">
        <f t="shared" ca="1" si="153"/>
        <v>45274</v>
      </c>
      <c r="AH547" s="22">
        <f t="shared" ca="1" si="148"/>
        <v>45267</v>
      </c>
      <c r="AI547" s="22">
        <f t="shared" ca="1" si="149"/>
        <v>45260</v>
      </c>
      <c r="AJ547" s="22">
        <f t="shared" ca="1" si="150"/>
        <v>45245</v>
      </c>
      <c r="AK547" s="22">
        <f t="shared" ca="1" si="151"/>
        <v>45189</v>
      </c>
      <c r="AL547" s="22">
        <f t="shared" ca="1" si="152"/>
        <v>45103</v>
      </c>
    </row>
    <row r="548" spans="4:38" x14ac:dyDescent="0.25">
      <c r="D548" s="6">
        <f ca="1"/>
        <v>45273</v>
      </c>
      <c r="E548" s="28" cm="1">
        <f t="array" aca="1" ref="E548" ca="1">_xll.FDS($E$7,"P_PRICE("&amp;D548&amp;",0,D,D)")</f>
        <v>67.14</v>
      </c>
      <c r="F548" s="29" cm="1">
        <f t="array" aca="1" ref="F548" ca="1">_xll.FDS($E$7,"P_BETA_LOCIDX("&amp;$AG548&amp;","&amp;$AL548&amp;",,"""&amp;$E$9&amp;""")")</f>
        <v>1.2221043</v>
      </c>
      <c r="G548" s="30">
        <f t="shared" ca="1" si="138"/>
        <v>2.4183856557636399E-2</v>
      </c>
      <c r="H548" s="30">
        <f t="shared" ca="1" si="138"/>
        <v>3.1864009159629156E-2</v>
      </c>
      <c r="I548" s="30">
        <f t="shared" ca="1" si="138"/>
        <v>5.9116803301320145E-2</v>
      </c>
      <c r="J548" s="30">
        <f t="shared" ca="1" si="136"/>
        <v>0.17907997920004348</v>
      </c>
      <c r="K548" s="30">
        <f t="shared" ca="1" si="139"/>
        <v>4.2376905952292085E-2</v>
      </c>
      <c r="L548" s="30">
        <f t="shared" ca="1" si="139"/>
        <v>4.203234400735735E-2</v>
      </c>
      <c r="M548" s="30">
        <f t="shared" ca="1" si="139"/>
        <v>5.7463938424939506E-2</v>
      </c>
      <c r="N548" s="30">
        <f t="shared" ca="1" si="137"/>
        <v>7.2364568796228643E-2</v>
      </c>
      <c r="O548" s="30">
        <f t="shared" ca="1" si="140"/>
        <v>6.6560762509928484E-2</v>
      </c>
      <c r="P548" s="30">
        <f t="shared" ca="1" si="141"/>
        <v>7.3896353166986506E-2</v>
      </c>
      <c r="Q548" s="30">
        <f t="shared" ca="1" si="142"/>
        <v>0.11658074172625965</v>
      </c>
      <c r="R548" s="30">
        <f t="shared" ca="1" si="143"/>
        <v>0.25144454799627214</v>
      </c>
      <c r="S548" s="9" cm="1">
        <f t="array" aca="1" ref="S548" ca="1">_xll.FDS($E$7,"P_PRICE("&amp;AG548&amp;",0,D,D)")</f>
        <v>67.14</v>
      </c>
      <c r="T548" s="9" cm="1">
        <f t="array" aca="1" ref="T548" ca="1">_xll.FDS($E$7,"P_PRICE("&amp;AH548&amp;",0,D,D)")</f>
        <v>62.95</v>
      </c>
      <c r="U548" s="9" cm="1">
        <f t="array" aca="1" ref="U548" ca="1">_xll.FDS($E$7,"P_PRICE("&amp;AI548&amp;",0,D,D)")</f>
        <v>62.52</v>
      </c>
      <c r="V548" s="9" cm="1">
        <f t="array" aca="1" ref="V548" ca="1">_xll.FDS($E$7,"P_PRICE("&amp;AJ548&amp;",0,D,D)")</f>
        <v>60.13</v>
      </c>
      <c r="W548" s="9" cm="1">
        <f t="array" aca="1" ref="W548" ca="1">_xll.FDS($E$7,"P_PRICE("&amp;AK548&amp;",0,D,D)")</f>
        <v>53.65</v>
      </c>
      <c r="X548" s="24">
        <f t="shared" ca="1" si="144"/>
        <v>3.4675359502697178E-2</v>
      </c>
      <c r="Y548" s="24">
        <f t="shared" ca="1" si="145"/>
        <v>3.4393417981883667E-2</v>
      </c>
      <c r="Z548" s="24">
        <f t="shared" ca="1" si="146"/>
        <v>4.7020486242409509E-2</v>
      </c>
      <c r="AA548" s="24">
        <f t="shared" ca="1" si="147"/>
        <v>5.9213087455979529E-2</v>
      </c>
      <c r="AB548" s="9" cm="1">
        <f t="array" aca="1" ref="AB548" ca="1">_xll.FDS($E$9,"P_PRICE("&amp;AG548&amp;",0,D,D)")</f>
        <v>4707.09</v>
      </c>
      <c r="AC548" s="9" cm="1">
        <f t="array" aca="1" ref="AC548" ca="1">_xll.FDS($E$9,"P_PRICE("&amp;AH548&amp;",0,D,D)")</f>
        <v>4549.34</v>
      </c>
      <c r="AD548" s="9" cm="1">
        <f t="array" aca="1" ref="AD548" ca="1">_xll.FDS($E$9,"P_PRICE("&amp;AI548&amp;",0,D,D)")</f>
        <v>4550.58</v>
      </c>
      <c r="AE548" s="9" cm="1">
        <f t="array" aca="1" ref="AE548" ca="1">_xll.FDS($E$9,"P_PRICE("&amp;AJ548&amp;",0,D,D)")</f>
        <v>4495.7</v>
      </c>
      <c r="AF548" s="9" cm="1">
        <f t="array" aca="1" ref="AF548" ca="1">_xll.FDS($E$9,"P_PRICE("&amp;AK548&amp;",0,D,D)")</f>
        <v>4443.95</v>
      </c>
      <c r="AG548" s="20">
        <f t="shared" ca="1" si="153"/>
        <v>45273</v>
      </c>
      <c r="AH548" s="22">
        <f t="shared" ca="1" si="148"/>
        <v>45266</v>
      </c>
      <c r="AI548" s="22">
        <f t="shared" ca="1" si="149"/>
        <v>45259</v>
      </c>
      <c r="AJ548" s="22">
        <f t="shared" ca="1" si="150"/>
        <v>45244</v>
      </c>
      <c r="AK548" s="22">
        <f t="shared" ca="1" si="151"/>
        <v>45188</v>
      </c>
      <c r="AL548" s="22">
        <f t="shared" ca="1" si="152"/>
        <v>45100</v>
      </c>
    </row>
    <row r="549" spans="4:38" x14ac:dyDescent="0.25">
      <c r="D549" s="6">
        <f ca="1"/>
        <v>45272</v>
      </c>
      <c r="E549" s="28" cm="1">
        <f t="array" aca="1" ref="E549" ca="1">_xll.FDS($E$7,"P_PRICE("&amp;D549&amp;",0,D,D)")</f>
        <v>65.63</v>
      </c>
      <c r="F549" s="29" cm="1">
        <f t="array" aca="1" ref="F549" ca="1">_xll.FDS($E$7,"P_BETA_LOCIDX("&amp;$AG549&amp;","&amp;$AL549&amp;",,"""&amp;$E$9&amp;""")")</f>
        <v>1.2059784</v>
      </c>
      <c r="G549" s="30">
        <f t="shared" ca="1" si="138"/>
        <v>2.005459681923763E-2</v>
      </c>
      <c r="H549" s="30">
        <f t="shared" ca="1" si="138"/>
        <v>4.0698908105292725E-2</v>
      </c>
      <c r="I549" s="30">
        <f t="shared" ca="1" si="138"/>
        <v>3.5683395812520377E-2</v>
      </c>
      <c r="J549" s="30">
        <f t="shared" ca="1" si="136"/>
        <v>0.17500328598933401</v>
      </c>
      <c r="K549" s="30">
        <f t="shared" ca="1" si="139"/>
        <v>2.0205349289495772E-2</v>
      </c>
      <c r="L549" s="30">
        <f t="shared" ca="1" si="139"/>
        <v>2.3513837151720198E-2</v>
      </c>
      <c r="M549" s="30">
        <f t="shared" ca="1" si="139"/>
        <v>6.3462475900760332E-2</v>
      </c>
      <c r="N549" s="30">
        <f t="shared" ca="1" si="137"/>
        <v>5.1496433689230736E-2</v>
      </c>
      <c r="O549" s="30">
        <f t="shared" ca="1" si="140"/>
        <v>4.0259946108733402E-2</v>
      </c>
      <c r="P549" s="30">
        <f t="shared" ca="1" si="141"/>
        <v>6.4212745257012926E-2</v>
      </c>
      <c r="Q549" s="30">
        <f t="shared" ca="1" si="142"/>
        <v>9.9145871713280709E-2</v>
      </c>
      <c r="R549" s="30">
        <f t="shared" ca="1" si="143"/>
        <v>0.22649971967856475</v>
      </c>
      <c r="S549" s="9" cm="1">
        <f t="array" aca="1" ref="S549" ca="1">_xll.FDS($E$7,"P_PRICE("&amp;AG549&amp;",0,D,D)")</f>
        <v>65.63</v>
      </c>
      <c r="T549" s="9" cm="1">
        <f t="array" aca="1" ref="T549" ca="1">_xll.FDS($E$7,"P_PRICE("&amp;AH549&amp;",0,D,D)")</f>
        <v>63.09</v>
      </c>
      <c r="U549" s="9" cm="1">
        <f t="array" aca="1" ref="U549" ca="1">_xll.FDS($E$7,"P_PRICE("&amp;AI549&amp;",0,D,D)")</f>
        <v>61.67</v>
      </c>
      <c r="V549" s="9" cm="1">
        <f t="array" aca="1" ref="V549" ca="1">_xll.FDS($E$7,"P_PRICE("&amp;AJ549&amp;",0,D,D)")</f>
        <v>59.71</v>
      </c>
      <c r="W549" s="9" cm="1">
        <f t="array" aca="1" ref="W549" ca="1">_xll.FDS($E$7,"P_PRICE("&amp;AK549&amp;",0,D,D)")</f>
        <v>53.51</v>
      </c>
      <c r="X549" s="24">
        <f t="shared" ca="1" si="144"/>
        <v>1.6754321047123044E-2</v>
      </c>
      <c r="Y549" s="24">
        <f t="shared" ca="1" si="145"/>
        <v>1.9497726619083888E-2</v>
      </c>
      <c r="Z549" s="24">
        <f t="shared" ca="1" si="146"/>
        <v>5.2623227663746164E-2</v>
      </c>
      <c r="AA549" s="24">
        <f t="shared" ca="1" si="147"/>
        <v>4.2700958565452529E-2</v>
      </c>
      <c r="AB549" s="9" cm="1">
        <f t="array" aca="1" ref="AB549" ca="1">_xll.FDS($E$9,"P_PRICE("&amp;AG549&amp;",0,D,D)")</f>
        <v>4643.7</v>
      </c>
      <c r="AC549" s="9" cm="1">
        <f t="array" aca="1" ref="AC549" ca="1">_xll.FDS($E$9,"P_PRICE("&amp;AH549&amp;",0,D,D)")</f>
        <v>4567.18</v>
      </c>
      <c r="AD549" s="9" cm="1">
        <f t="array" aca="1" ref="AD549" ca="1">_xll.FDS($E$9,"P_PRICE("&amp;AI549&amp;",0,D,D)")</f>
        <v>4554.8900000000003</v>
      </c>
      <c r="AE549" s="9" cm="1">
        <f t="array" aca="1" ref="AE549" ca="1">_xll.FDS($E$9,"P_PRICE("&amp;AJ549&amp;",0,D,D)")</f>
        <v>4411.55</v>
      </c>
      <c r="AF549" s="9" cm="1">
        <f t="array" aca="1" ref="AF549" ca="1">_xll.FDS($E$9,"P_PRICE("&amp;AK549&amp;",0,D,D)")</f>
        <v>4453.53</v>
      </c>
      <c r="AG549" s="20">
        <f t="shared" ca="1" si="153"/>
        <v>45272</v>
      </c>
      <c r="AH549" s="22">
        <f t="shared" ca="1" si="148"/>
        <v>45265</v>
      </c>
      <c r="AI549" s="22">
        <f t="shared" ca="1" si="149"/>
        <v>45258</v>
      </c>
      <c r="AJ549" s="22">
        <f t="shared" ca="1" si="150"/>
        <v>45243</v>
      </c>
      <c r="AK549" s="22">
        <f t="shared" ca="1" si="151"/>
        <v>45187</v>
      </c>
      <c r="AL549" s="22">
        <f t="shared" ca="1" si="152"/>
        <v>45099</v>
      </c>
    </row>
    <row r="550" spans="4:38" x14ac:dyDescent="0.25">
      <c r="D550" s="6">
        <f ca="1"/>
        <v>45271</v>
      </c>
      <c r="E550" s="28" cm="1">
        <f t="array" aca="1" ref="E550" ca="1">_xll.FDS($E$7,"P_PRICE("&amp;D550&amp;",0,D,D)")</f>
        <v>65.34</v>
      </c>
      <c r="F550" s="29" cm="1">
        <f t="array" aca="1" ref="F550" ca="1">_xll.FDS($E$7,"P_BETA_LOCIDX("&amp;$AG550&amp;","&amp;$AL550&amp;",,"""&amp;$E$9&amp;""")")</f>
        <v>1.1871988</v>
      </c>
      <c r="G550" s="30">
        <f t="shared" ca="1" si="138"/>
        <v>2.4121057120198186E-2</v>
      </c>
      <c r="H550" s="30">
        <f t="shared" ca="1" si="138"/>
        <v>3.5593875893657881E-2</v>
      </c>
      <c r="I550" s="30">
        <f t="shared" ca="1" si="138"/>
        <v>3.5833642715395082E-2</v>
      </c>
      <c r="J550" s="30">
        <f t="shared" ca="1" si="136"/>
        <v>0.14707291547037019</v>
      </c>
      <c r="K550" s="30">
        <f t="shared" ca="1" si="139"/>
        <v>1.368072178704449E-2</v>
      </c>
      <c r="L550" s="30">
        <f t="shared" ca="1" si="139"/>
        <v>1.8787276276747294E-2</v>
      </c>
      <c r="M550" s="30">
        <f t="shared" ca="1" si="139"/>
        <v>5.5713300151293992E-2</v>
      </c>
      <c r="N550" s="30">
        <f t="shared" ca="1" si="137"/>
        <v>4.5915947045605726E-2</v>
      </c>
      <c r="O550" s="30">
        <f t="shared" ca="1" si="140"/>
        <v>3.7801778907242678E-2</v>
      </c>
      <c r="P550" s="30">
        <f t="shared" ca="1" si="141"/>
        <v>5.4381152170405178E-2</v>
      </c>
      <c r="Q550" s="30">
        <f t="shared" ca="1" si="142"/>
        <v>9.1546942866689074E-2</v>
      </c>
      <c r="R550" s="30">
        <f t="shared" ca="1" si="143"/>
        <v>0.19298886251597591</v>
      </c>
      <c r="S550" s="9" cm="1">
        <f t="array" aca="1" ref="S550" ca="1">_xll.FDS($E$7,"P_PRICE("&amp;AG550&amp;",0,D,D)")</f>
        <v>65.34</v>
      </c>
      <c r="T550" s="9" cm="1">
        <f t="array" aca="1" ref="T550" ca="1">_xll.FDS($E$7,"P_PRICE("&amp;AH550&amp;",0,D,D)")</f>
        <v>62.96</v>
      </c>
      <c r="U550" s="9" cm="1">
        <f t="array" aca="1" ref="U550" ca="1">_xll.FDS($E$7,"P_PRICE("&amp;AI550&amp;",0,D,D)")</f>
        <v>61.97</v>
      </c>
      <c r="V550" s="9" cm="1">
        <f t="array" aca="1" ref="V550" ca="1">_xll.FDS($E$7,"P_PRICE("&amp;AJ550&amp;",0,D,D)")</f>
        <v>59.86</v>
      </c>
      <c r="W550" s="9" cm="1">
        <f t="array" aca="1" ref="W550" ca="1">_xll.FDS($E$7,"P_PRICE("&amp;AK550&amp;",0,D,D)")</f>
        <v>54.77</v>
      </c>
      <c r="X550" s="24">
        <f t="shared" ca="1" si="144"/>
        <v>1.1523530673249072E-2</v>
      </c>
      <c r="Y550" s="24">
        <f t="shared" ca="1" si="145"/>
        <v>1.5824878088444239E-2</v>
      </c>
      <c r="Z550" s="24">
        <f t="shared" ca="1" si="146"/>
        <v>4.6928366294923807E-2</v>
      </c>
      <c r="AA550" s="24">
        <f t="shared" ca="1" si="147"/>
        <v>3.8675870499200071E-2</v>
      </c>
      <c r="AB550" s="9" cm="1">
        <f t="array" aca="1" ref="AB550" ca="1">_xll.FDS($E$9,"P_PRICE("&amp;AG550&amp;",0,D,D)")</f>
        <v>4622.4399999999996</v>
      </c>
      <c r="AC550" s="9" cm="1">
        <f t="array" aca="1" ref="AC550" ca="1">_xll.FDS($E$9,"P_PRICE("&amp;AH550&amp;",0,D,D)")</f>
        <v>4569.78</v>
      </c>
      <c r="AD550" s="9" cm="1">
        <f t="array" aca="1" ref="AD550" ca="1">_xll.FDS($E$9,"P_PRICE("&amp;AI550&amp;",0,D,D)")</f>
        <v>4550.43</v>
      </c>
      <c r="AE550" s="9" cm="1">
        <f t="array" aca="1" ref="AE550" ca="1">_xll.FDS($E$9,"P_PRICE("&amp;AJ550&amp;",0,D,D)")</f>
        <v>4415.24</v>
      </c>
      <c r="AF550" s="9" cm="1">
        <f t="array" aca="1" ref="AF550" ca="1">_xll.FDS($E$9,"P_PRICE("&amp;AK550&amp;",0,D,D)")</f>
        <v>4450.32</v>
      </c>
      <c r="AG550" s="20">
        <f t="shared" ca="1" si="153"/>
        <v>45271</v>
      </c>
      <c r="AH550" s="22">
        <f t="shared" ca="1" si="148"/>
        <v>45264</v>
      </c>
      <c r="AI550" s="22">
        <f t="shared" ca="1" si="149"/>
        <v>45257</v>
      </c>
      <c r="AJ550" s="22">
        <f t="shared" ca="1" si="150"/>
        <v>45240</v>
      </c>
      <c r="AK550" s="22">
        <f t="shared" ca="1" si="151"/>
        <v>45184</v>
      </c>
      <c r="AL550" s="22">
        <f t="shared" ca="1" si="152"/>
        <v>45098</v>
      </c>
    </row>
    <row r="551" spans="4:38" x14ac:dyDescent="0.25">
      <c r="D551" s="6">
        <f ca="1"/>
        <v>45268</v>
      </c>
      <c r="E551" s="28" cm="1">
        <f t="array" aca="1" ref="E551" ca="1">_xll.FDS($E$7,"P_PRICE("&amp;D551&amp;",0,D,D)")</f>
        <v>64.95</v>
      </c>
      <c r="F551" s="29" cm="1">
        <f t="array" aca="1" ref="F551" ca="1">_xll.FDS($E$7,"P_BETA_LOCIDX("&amp;$AG551&amp;","&amp;$AL551&amp;",,"""&amp;$E$9&amp;""")")</f>
        <v>1.1881174999999999</v>
      </c>
      <c r="G551" s="30">
        <f t="shared" ca="1" si="138"/>
        <v>4.6142389069215549E-3</v>
      </c>
      <c r="H551" s="30">
        <f t="shared" ca="1" si="138"/>
        <v>3.9917195697621997E-2</v>
      </c>
      <c r="I551" s="30">
        <f t="shared" ca="1" si="138"/>
        <v>4.21052224451747E-2</v>
      </c>
      <c r="J551" s="30">
        <f t="shared" ca="1" si="136"/>
        <v>0.1396787110686602</v>
      </c>
      <c r="K551" s="30">
        <f t="shared" ca="1" si="139"/>
        <v>2.5186499130506498E-3</v>
      </c>
      <c r="L551" s="30">
        <f t="shared" ca="1" si="139"/>
        <v>1.1734358706523155E-2</v>
      </c>
      <c r="M551" s="30">
        <f t="shared" ca="1" si="139"/>
        <v>7.0242782350167093E-2</v>
      </c>
      <c r="N551" s="30">
        <f t="shared" ca="1" si="137"/>
        <v>2.6180201155357082E-2</v>
      </c>
      <c r="O551" s="30">
        <f t="shared" ca="1" si="140"/>
        <v>7.1328888199722051E-3</v>
      </c>
      <c r="P551" s="30">
        <f t="shared" ca="1" si="141"/>
        <v>5.165155440414515E-2</v>
      </c>
      <c r="Q551" s="30">
        <f t="shared" ca="1" si="142"/>
        <v>0.11234800479534179</v>
      </c>
      <c r="R551" s="30">
        <f t="shared" ca="1" si="143"/>
        <v>0.16585891222401727</v>
      </c>
      <c r="S551" s="9" cm="1">
        <f t="array" aca="1" ref="S551" ca="1">_xll.FDS($E$7,"P_PRICE("&amp;AG551&amp;",0,D,D)")</f>
        <v>64.95</v>
      </c>
      <c r="T551" s="9" cm="1">
        <f t="array" aca="1" ref="T551" ca="1">_xll.FDS($E$7,"P_PRICE("&amp;AH551&amp;",0,D,D)")</f>
        <v>64.489999999999995</v>
      </c>
      <c r="U551" s="9" cm="1">
        <f t="array" aca="1" ref="U551" ca="1">_xll.FDS($E$7,"P_PRICE("&amp;AI551&amp;",0,D,D)")</f>
        <v>61.76</v>
      </c>
      <c r="V551" s="9" cm="1">
        <f t="array" aca="1" ref="V551" ca="1">_xll.FDS($E$7,"P_PRICE("&amp;AJ551&amp;",0,D,D)")</f>
        <v>58.39</v>
      </c>
      <c r="W551" s="9" cm="1">
        <f t="array" aca="1" ref="W551" ca="1">_xll.FDS($E$7,"P_PRICE("&amp;AK551&amp;",0,D,D)")</f>
        <v>55.71</v>
      </c>
      <c r="X551" s="24">
        <f t="shared" ca="1" si="144"/>
        <v>2.1198660175030248E-3</v>
      </c>
      <c r="Y551" s="24">
        <f t="shared" ca="1" si="145"/>
        <v>9.8764294832145438E-3</v>
      </c>
      <c r="Z551" s="24">
        <f t="shared" ca="1" si="146"/>
        <v>5.9121073757576248E-2</v>
      </c>
      <c r="AA551" s="24">
        <f t="shared" ca="1" si="147"/>
        <v>2.203502696943449E-2</v>
      </c>
      <c r="AB551" s="9" cm="1">
        <f t="array" aca="1" ref="AB551" ca="1">_xll.FDS($E$9,"P_PRICE("&amp;AG551&amp;",0,D,D)")</f>
        <v>4604.37</v>
      </c>
      <c r="AC551" s="9" cm="1">
        <f t="array" aca="1" ref="AC551" ca="1">_xll.FDS($E$9,"P_PRICE("&amp;AH551&amp;",0,D,D)")</f>
        <v>4594.63</v>
      </c>
      <c r="AD551" s="9" cm="1">
        <f t="array" aca="1" ref="AD551" ca="1">_xll.FDS($E$9,"P_PRICE("&amp;AI551&amp;",0,D,D)")</f>
        <v>4559.34</v>
      </c>
      <c r="AE551" s="9" cm="1">
        <f t="array" aca="1" ref="AE551" ca="1">_xll.FDS($E$9,"P_PRICE("&amp;AJ551&amp;",0,D,D)")</f>
        <v>4347.3500000000004</v>
      </c>
      <c r="AF551" s="9" cm="1">
        <f t="array" aca="1" ref="AF551" ca="1">_xll.FDS($E$9,"P_PRICE("&amp;AK551&amp;",0,D,D)")</f>
        <v>4505.1000000000004</v>
      </c>
      <c r="AG551" s="20">
        <f t="shared" ca="1" si="153"/>
        <v>45268</v>
      </c>
      <c r="AH551" s="22">
        <f t="shared" ca="1" si="148"/>
        <v>45261</v>
      </c>
      <c r="AI551" s="22">
        <f t="shared" ca="1" si="149"/>
        <v>45254</v>
      </c>
      <c r="AJ551" s="22">
        <f t="shared" ca="1" si="150"/>
        <v>45239</v>
      </c>
      <c r="AK551" s="22">
        <f t="shared" ca="1" si="151"/>
        <v>45183</v>
      </c>
      <c r="AL551" s="22">
        <f t="shared" ca="1" si="152"/>
        <v>45097</v>
      </c>
    </row>
    <row r="552" spans="4:38" x14ac:dyDescent="0.25">
      <c r="D552" s="6">
        <f ca="1"/>
        <v>45267</v>
      </c>
      <c r="E552" s="28" cm="1">
        <f t="array" aca="1" ref="E552" ca="1">_xll.FDS($E$7,"P_PRICE("&amp;D552&amp;",0,D,D)")</f>
        <v>63.99</v>
      </c>
      <c r="F552" s="29" cm="1">
        <f t="array" aca="1" ref="F552" ca="1">_xll.FDS($E$7,"P_BETA_LOCIDX("&amp;$AG552&amp;","&amp;$AL552&amp;",,"""&amp;$E$9&amp;""")")</f>
        <v>1.1763699000000001</v>
      </c>
      <c r="G552" s="30">
        <f t="shared" ca="1" si="138"/>
        <v>1.5179402578162349E-2</v>
      </c>
      <c r="H552" s="30">
        <f t="shared" ca="1" si="138"/>
        <v>3.7596838916132448E-2</v>
      </c>
      <c r="I552" s="30">
        <f t="shared" ca="1" si="138"/>
        <v>3.1613206721145141E-2</v>
      </c>
      <c r="J552" s="30">
        <f t="shared" ca="1" si="136"/>
        <v>0.15454734608964441</v>
      </c>
      <c r="K552" s="30">
        <f t="shared" ca="1" si="139"/>
        <v>4.5815535971365897E-3</v>
      </c>
      <c r="L552" s="30">
        <f t="shared" ca="1" si="139"/>
        <v>7.4791042489828676E-3</v>
      </c>
      <c r="M552" s="30">
        <f t="shared" ca="1" si="139"/>
        <v>5.4435673115921963E-2</v>
      </c>
      <c r="N552" s="30">
        <f t="shared" ca="1" si="137"/>
        <v>3.1111353187731918E-2</v>
      </c>
      <c r="O552" s="30">
        <f t="shared" ca="1" si="140"/>
        <v>1.9760956175298938E-2</v>
      </c>
      <c r="P552" s="30">
        <f t="shared" ca="1" si="141"/>
        <v>4.5075943165115318E-2</v>
      </c>
      <c r="Q552" s="30">
        <f t="shared" ca="1" si="142"/>
        <v>8.6048879837067105E-2</v>
      </c>
      <c r="R552" s="30">
        <f t="shared" ca="1" si="143"/>
        <v>0.18565869927737633</v>
      </c>
      <c r="S552" s="9" cm="1">
        <f t="array" aca="1" ref="S552" ca="1">_xll.FDS($E$7,"P_PRICE("&amp;AG552&amp;",0,D,D)")</f>
        <v>63.99</v>
      </c>
      <c r="T552" s="9" cm="1">
        <f t="array" aca="1" ref="T552" ca="1">_xll.FDS($E$7,"P_PRICE("&amp;AH552&amp;",0,D,D)")</f>
        <v>62.75</v>
      </c>
      <c r="U552" s="9" cm="1">
        <f t="array" aca="1" ref="U552" ca="1">_xll.FDS($E$7,"P_PRICE("&amp;AI552&amp;",0,D,D)")</f>
        <v>61.23</v>
      </c>
      <c r="V552" s="9" cm="1">
        <f t="array" aca="1" ref="V552" ca="1">_xll.FDS($E$7,"P_PRICE("&amp;AJ552&amp;",0,D,D)")</f>
        <v>58.92</v>
      </c>
      <c r="W552" s="9" cm="1">
        <f t="array" aca="1" ref="W552" ca="1">_xll.FDS($E$7,"P_PRICE("&amp;AK552&amp;",0,D,D)")</f>
        <v>53.97</v>
      </c>
      <c r="X552" s="24">
        <f t="shared" ca="1" si="144"/>
        <v>3.8946538815185505E-3</v>
      </c>
      <c r="Y552" s="24">
        <f t="shared" ca="1" si="145"/>
        <v>6.3577827424714517E-3</v>
      </c>
      <c r="Z552" s="24">
        <f t="shared" ca="1" si="146"/>
        <v>4.6274282533004252E-2</v>
      </c>
      <c r="AA552" s="24">
        <f t="shared" ca="1" si="147"/>
        <v>2.6446913668678462E-2</v>
      </c>
      <c r="AB552" s="9" cm="1">
        <f t="array" aca="1" ref="AB552" ca="1">_xll.FDS($E$9,"P_PRICE("&amp;AG552&amp;",0,D,D)")</f>
        <v>4585.59</v>
      </c>
      <c r="AC552" s="9" cm="1">
        <f t="array" aca="1" ref="AC552" ca="1">_xll.FDS($E$9,"P_PRICE("&amp;AH552&amp;",0,D,D)")</f>
        <v>4567.8</v>
      </c>
      <c r="AD552" s="9" cm="1">
        <f t="array" aca="1" ref="AD552" ca="1">_xll.FDS($E$9,"P_PRICE("&amp;AI552&amp;",0,D,D)")</f>
        <v>4556.62</v>
      </c>
      <c r="AE552" s="9" cm="1">
        <f t="array" aca="1" ref="AE552" ca="1">_xll.FDS($E$9,"P_PRICE("&amp;AJ552&amp;",0,D,D)")</f>
        <v>4382.78</v>
      </c>
      <c r="AF552" s="9" cm="1">
        <f t="array" aca="1" ref="AF552" ca="1">_xll.FDS($E$9,"P_PRICE("&amp;AK552&amp;",0,D,D)")</f>
        <v>4467.4399999999996</v>
      </c>
      <c r="AG552" s="20">
        <f t="shared" ca="1" si="153"/>
        <v>45267</v>
      </c>
      <c r="AH552" s="22">
        <f t="shared" ca="1" si="148"/>
        <v>45260</v>
      </c>
      <c r="AI552" s="22">
        <f t="shared" ca="1" si="149"/>
        <v>45252</v>
      </c>
      <c r="AJ552" s="22">
        <f t="shared" ca="1" si="150"/>
        <v>45238</v>
      </c>
      <c r="AK552" s="22">
        <f t="shared" ca="1" si="151"/>
        <v>45182</v>
      </c>
      <c r="AL552" s="22">
        <f t="shared" ca="1" si="152"/>
        <v>45093</v>
      </c>
    </row>
    <row r="553" spans="4:38" x14ac:dyDescent="0.25">
      <c r="D553" s="6">
        <f ca="1"/>
        <v>45266</v>
      </c>
      <c r="E553" s="28" cm="1">
        <f t="array" aca="1" ref="E553" ca="1">_xll.FDS($E$7,"P_PRICE("&amp;D553&amp;",0,D,D)")</f>
        <v>62.95</v>
      </c>
      <c r="F553" s="29" cm="1">
        <f t="array" aca="1" ref="F553" ca="1">_xll.FDS($E$7,"P_BETA_LOCIDX("&amp;$AG553&amp;","&amp;$AL553&amp;",,"""&amp;$E$9&amp;""")")</f>
        <v>1.1646327000000001</v>
      </c>
      <c r="G553" s="30">
        <f t="shared" ca="1" si="138"/>
        <v>7.1951530565299918E-3</v>
      </c>
      <c r="H553" s="30">
        <f t="shared" ca="1" si="138"/>
        <v>2.6911198606996832E-2</v>
      </c>
      <c r="I553" s="30">
        <f t="shared" ca="1" si="138"/>
        <v>3.7629202498219293E-2</v>
      </c>
      <c r="J553" s="30">
        <f t="shared" ca="1" si="136"/>
        <v>0.15359227819588328</v>
      </c>
      <c r="K553" s="30">
        <f t="shared" ca="1" si="139"/>
        <v>-3.1735395224344987E-4</v>
      </c>
      <c r="L553" s="30">
        <f t="shared" ca="1" si="139"/>
        <v>2.8614171299571689E-3</v>
      </c>
      <c r="M553" s="30">
        <f t="shared" ca="1" si="139"/>
        <v>4.5474720419881244E-2</v>
      </c>
      <c r="N553" s="30">
        <f t="shared" ca="1" si="137"/>
        <v>2.2823345052107931E-2</v>
      </c>
      <c r="O553" s="30">
        <f t="shared" ca="1" si="140"/>
        <v>6.8777991042865416E-3</v>
      </c>
      <c r="P553" s="30">
        <f t="shared" ca="1" si="141"/>
        <v>2.9772615736954E-2</v>
      </c>
      <c r="Q553" s="30">
        <f t="shared" ca="1" si="142"/>
        <v>8.3103922918100537E-2</v>
      </c>
      <c r="R553" s="30">
        <f t="shared" ca="1" si="143"/>
        <v>0.1764156232479912</v>
      </c>
      <c r="S553" s="9" cm="1">
        <f t="array" aca="1" ref="S553" ca="1">_xll.FDS($E$7,"P_PRICE("&amp;AG553&amp;",0,D,D)")</f>
        <v>62.95</v>
      </c>
      <c r="T553" s="9" cm="1">
        <f t="array" aca="1" ref="T553" ca="1">_xll.FDS($E$7,"P_PRICE("&amp;AH553&amp;",0,D,D)")</f>
        <v>62.52</v>
      </c>
      <c r="U553" s="9" cm="1">
        <f t="array" aca="1" ref="U553" ca="1">_xll.FDS($E$7,"P_PRICE("&amp;AI553&amp;",0,D,D)")</f>
        <v>61.13</v>
      </c>
      <c r="V553" s="9" cm="1">
        <f t="array" aca="1" ref="V553" ca="1">_xll.FDS($E$7,"P_PRICE("&amp;AJ553&amp;",0,D,D)")</f>
        <v>58.12</v>
      </c>
      <c r="W553" s="9" cm="1">
        <f t="array" aca="1" ref="W553" ca="1">_xll.FDS($E$7,"P_PRICE("&amp;AK553&amp;",0,D,D)")</f>
        <v>53.51</v>
      </c>
      <c r="X553" s="24">
        <f t="shared" ca="1" si="144"/>
        <v>-2.724927371895447E-4</v>
      </c>
      <c r="Y553" s="24">
        <f t="shared" ca="1" si="145"/>
        <v>2.4569266601883744E-3</v>
      </c>
      <c r="Z553" s="24">
        <f t="shared" ca="1" si="146"/>
        <v>3.9046405291454755E-2</v>
      </c>
      <c r="AA553" s="24">
        <f t="shared" ca="1" si="147"/>
        <v>1.9597032654250501E-2</v>
      </c>
      <c r="AB553" s="9" cm="1">
        <f t="array" aca="1" ref="AB553" ca="1">_xll.FDS($E$9,"P_PRICE("&amp;AG553&amp;",0,D,D)")</f>
        <v>4549.34</v>
      </c>
      <c r="AC553" s="9" cm="1">
        <f t="array" aca="1" ref="AC553" ca="1">_xll.FDS($E$9,"P_PRICE("&amp;AH553&amp;",0,D,D)")</f>
        <v>4550.58</v>
      </c>
      <c r="AD553" s="9" cm="1">
        <f t="array" aca="1" ref="AD553" ca="1">_xll.FDS($E$9,"P_PRICE("&amp;AI553&amp;",0,D,D)")</f>
        <v>4538.1899999999996</v>
      </c>
      <c r="AE553" s="9" cm="1">
        <f t="array" aca="1" ref="AE553" ca="1">_xll.FDS($E$9,"P_PRICE("&amp;AJ553&amp;",0,D,D)")</f>
        <v>4378.38</v>
      </c>
      <c r="AF553" s="9" cm="1">
        <f t="array" aca="1" ref="AF553" ca="1">_xll.FDS($E$9,"P_PRICE("&amp;AK553&amp;",0,D,D)")</f>
        <v>4461.8999999999996</v>
      </c>
      <c r="AG553" s="20">
        <f t="shared" ca="1" si="153"/>
        <v>45266</v>
      </c>
      <c r="AH553" s="22">
        <f t="shared" ca="1" si="148"/>
        <v>45259</v>
      </c>
      <c r="AI553" s="22">
        <f t="shared" ca="1" si="149"/>
        <v>45251</v>
      </c>
      <c r="AJ553" s="22">
        <f t="shared" ca="1" si="150"/>
        <v>45237</v>
      </c>
      <c r="AK553" s="22">
        <f t="shared" ca="1" si="151"/>
        <v>45181</v>
      </c>
      <c r="AL553" s="22">
        <f t="shared" ca="1" si="152"/>
        <v>45092</v>
      </c>
    </row>
    <row r="554" spans="4:38" x14ac:dyDescent="0.25">
      <c r="D554" s="6">
        <f ca="1"/>
        <v>45265</v>
      </c>
      <c r="E554" s="28" cm="1">
        <f t="array" aca="1" ref="E554" ca="1">_xll.FDS($E$7,"P_PRICE("&amp;D554&amp;",0,D,D)")</f>
        <v>63.09</v>
      </c>
      <c r="F554" s="29" cm="1">
        <f t="array" aca="1" ref="F554" ca="1">_xll.FDS($E$7,"P_BETA_LOCIDX("&amp;$AG554&amp;","&amp;$AL554&amp;",,"""&amp;$E$9&amp;""")")</f>
        <v>1.1677773</v>
      </c>
      <c r="G554" s="30">
        <f t="shared" ca="1" si="138"/>
        <v>1.9874886755559373E-2</v>
      </c>
      <c r="H554" s="30">
        <f t="shared" ca="1" si="138"/>
        <v>6.8970474278183411E-2</v>
      </c>
      <c r="I554" s="30">
        <f t="shared" ca="1" si="138"/>
        <v>3.9788382476098089E-2</v>
      </c>
      <c r="J554" s="30">
        <f t="shared" ca="1" si="136"/>
        <v>0.13580798572796965</v>
      </c>
      <c r="K554" s="30">
        <f t="shared" ca="1" si="139"/>
        <v>3.1508956345818176E-3</v>
      </c>
      <c r="L554" s="30">
        <f t="shared" ca="1" si="139"/>
        <v>5.0846840466378298E-3</v>
      </c>
      <c r="M554" s="30">
        <f t="shared" ca="1" si="139"/>
        <v>5.3815361673668044E-2</v>
      </c>
      <c r="N554" s="30">
        <f t="shared" ca="1" si="137"/>
        <v>2.0745634803652827E-2</v>
      </c>
      <c r="O554" s="30">
        <f t="shared" ca="1" si="140"/>
        <v>2.3025782390141192E-2</v>
      </c>
      <c r="P554" s="30">
        <f t="shared" ca="1" si="141"/>
        <v>7.4055158324821235E-2</v>
      </c>
      <c r="Q554" s="30">
        <f t="shared" ca="1" si="142"/>
        <v>9.3603744149766133E-2</v>
      </c>
      <c r="R554" s="30">
        <f t="shared" ca="1" si="143"/>
        <v>0.15655362053162247</v>
      </c>
      <c r="S554" s="9" cm="1">
        <f t="array" aca="1" ref="S554" ca="1">_xll.FDS($E$7,"P_PRICE("&amp;AG554&amp;",0,D,D)")</f>
        <v>63.09</v>
      </c>
      <c r="T554" s="9" cm="1">
        <f t="array" aca="1" ref="T554" ca="1">_xll.FDS($E$7,"P_PRICE("&amp;AH554&amp;",0,D,D)")</f>
        <v>61.67</v>
      </c>
      <c r="U554" s="9" cm="1">
        <f t="array" aca="1" ref="U554" ca="1">_xll.FDS($E$7,"P_PRICE("&amp;AI554&amp;",0,D,D)")</f>
        <v>58.74</v>
      </c>
      <c r="V554" s="9" cm="1">
        <f t="array" aca="1" ref="V554" ca="1">_xll.FDS($E$7,"P_PRICE("&amp;AJ554&amp;",0,D,D)")</f>
        <v>57.69</v>
      </c>
      <c r="W554" s="9" cm="1">
        <f t="array" aca="1" ref="W554" ca="1">_xll.FDS($E$7,"P_PRICE("&amp;AK554&amp;",0,D,D)")</f>
        <v>54.55</v>
      </c>
      <c r="X554" s="24">
        <f t="shared" ca="1" si="144"/>
        <v>2.698199078353225E-3</v>
      </c>
      <c r="Y554" s="24">
        <f t="shared" ca="1" si="145"/>
        <v>4.3541555796964282E-3</v>
      </c>
      <c r="Z554" s="24">
        <f t="shared" ca="1" si="146"/>
        <v>4.608358260917389E-2</v>
      </c>
      <c r="AA554" s="24">
        <f t="shared" ca="1" si="147"/>
        <v>1.7765060858481174E-2</v>
      </c>
      <c r="AB554" s="9" cm="1">
        <f t="array" aca="1" ref="AB554" ca="1">_xll.FDS($E$9,"P_PRICE("&amp;AG554&amp;",0,D,D)")</f>
        <v>4567.18</v>
      </c>
      <c r="AC554" s="9" cm="1">
        <f t="array" aca="1" ref="AC554" ca="1">_xll.FDS($E$9,"P_PRICE("&amp;AH554&amp;",0,D,D)")</f>
        <v>4554.8900000000003</v>
      </c>
      <c r="AD554" s="9" cm="1">
        <f t="array" aca="1" ref="AD554" ca="1">_xll.FDS($E$9,"P_PRICE("&amp;AI554&amp;",0,D,D)")</f>
        <v>4547.38</v>
      </c>
      <c r="AE554" s="9" cm="1">
        <f t="array" aca="1" ref="AE554" ca="1">_xll.FDS($E$9,"P_PRICE("&amp;AJ554&amp;",0,D,D)")</f>
        <v>4365.9799999999996</v>
      </c>
      <c r="AF554" s="9" cm="1">
        <f t="array" aca="1" ref="AF554" ca="1">_xll.FDS($E$9,"P_PRICE("&amp;AK554&amp;",0,D,D)")</f>
        <v>4487.46</v>
      </c>
      <c r="AG554" s="20">
        <f t="shared" ca="1" si="153"/>
        <v>45265</v>
      </c>
      <c r="AH554" s="22">
        <f t="shared" ca="1" si="148"/>
        <v>45258</v>
      </c>
      <c r="AI554" s="22">
        <f t="shared" ca="1" si="149"/>
        <v>45250</v>
      </c>
      <c r="AJ554" s="22">
        <f t="shared" ca="1" si="150"/>
        <v>45236</v>
      </c>
      <c r="AK554" s="22">
        <f t="shared" ca="1" si="151"/>
        <v>45180</v>
      </c>
      <c r="AL554" s="22">
        <f t="shared" ca="1" si="152"/>
        <v>45091</v>
      </c>
    </row>
    <row r="555" spans="4:38" x14ac:dyDescent="0.25">
      <c r="D555" s="6">
        <f ca="1"/>
        <v>45264</v>
      </c>
      <c r="E555" s="28" cm="1">
        <f t="array" aca="1" ref="E555" ca="1">_xll.FDS($E$7,"P_PRICE("&amp;D555&amp;",0,D,D)")</f>
        <v>62.96</v>
      </c>
      <c r="F555" s="29" cm="1">
        <f t="array" aca="1" ref="F555" ca="1">_xll.FDS($E$7,"P_BETA_LOCIDX("&amp;$AG555&amp;","&amp;$AL555&amp;",,"""&amp;$E$9&amp;""")")</f>
        <v>1.1661656</v>
      </c>
      <c r="G555" s="30">
        <f t="shared" ca="1" si="138"/>
        <v>1.1016533097907231E-2</v>
      </c>
      <c r="H555" s="30">
        <f t="shared" ca="1" si="138"/>
        <v>3.1268268866826571E-2</v>
      </c>
      <c r="I555" s="30">
        <f t="shared" ca="1" si="138"/>
        <v>5.0316479504314823E-2</v>
      </c>
      <c r="J555" s="30">
        <f t="shared" ca="1" si="136"/>
        <v>0.12036710303978539</v>
      </c>
      <c r="K555" s="30">
        <f t="shared" ca="1" si="139"/>
        <v>4.9589389046747496E-3</v>
      </c>
      <c r="L555" s="30">
        <f t="shared" ca="1" si="139"/>
        <v>1.4405207299923093E-2</v>
      </c>
      <c r="M555" s="30">
        <f t="shared" ca="1" si="139"/>
        <v>5.6575222324095745E-2</v>
      </c>
      <c r="N555" s="30">
        <f t="shared" ca="1" si="137"/>
        <v>2.9377235893742842E-2</v>
      </c>
      <c r="O555" s="30">
        <f t="shared" ca="1" si="140"/>
        <v>1.5975472002581981E-2</v>
      </c>
      <c r="P555" s="30">
        <f t="shared" ca="1" si="141"/>
        <v>4.567347616674966E-2</v>
      </c>
      <c r="Q555" s="30">
        <f t="shared" ca="1" si="142"/>
        <v>0.10689170182841057</v>
      </c>
      <c r="R555" s="30">
        <f t="shared" ca="1" si="143"/>
        <v>0.14974433893352823</v>
      </c>
      <c r="S555" s="9" cm="1">
        <f t="array" aca="1" ref="S555" ca="1">_xll.FDS($E$7,"P_PRICE("&amp;AG555&amp;",0,D,D)")</f>
        <v>62.96</v>
      </c>
      <c r="T555" s="9" cm="1">
        <f t="array" aca="1" ref="T555" ca="1">_xll.FDS($E$7,"P_PRICE("&amp;AH555&amp;",0,D,D)")</f>
        <v>61.97</v>
      </c>
      <c r="U555" s="9" cm="1">
        <f t="array" aca="1" ref="U555" ca="1">_xll.FDS($E$7,"P_PRICE("&amp;AI555&amp;",0,D,D)")</f>
        <v>60.21</v>
      </c>
      <c r="V555" s="9" cm="1">
        <f t="array" aca="1" ref="V555" ca="1">_xll.FDS($E$7,"P_PRICE("&amp;AJ555&amp;",0,D,D)")</f>
        <v>56.88</v>
      </c>
      <c r="W555" s="9" cm="1">
        <f t="array" aca="1" ref="W555" ca="1">_xll.FDS($E$7,"P_PRICE("&amp;AK555&amp;",0,D,D)")</f>
        <v>54.76</v>
      </c>
      <c r="X555" s="24">
        <f t="shared" ca="1" si="144"/>
        <v>4.2523453827438829E-3</v>
      </c>
      <c r="Y555" s="24">
        <f t="shared" ca="1" si="145"/>
        <v>1.2352625819114449E-2</v>
      </c>
      <c r="Z555" s="24">
        <f t="shared" ca="1" si="146"/>
        <v>4.8513883726372775E-2</v>
      </c>
      <c r="AA555" s="24">
        <f t="shared" ca="1" si="147"/>
        <v>2.5191307215495673E-2</v>
      </c>
      <c r="AB555" s="9" cm="1">
        <f t="array" aca="1" ref="AB555" ca="1">_xll.FDS($E$9,"P_PRICE("&amp;AG555&amp;",0,D,D)")</f>
        <v>4569.78</v>
      </c>
      <c r="AC555" s="9" cm="1">
        <f t="array" aca="1" ref="AC555" ca="1">_xll.FDS($E$9,"P_PRICE("&amp;AH555&amp;",0,D,D)")</f>
        <v>4550.43</v>
      </c>
      <c r="AD555" s="9" cm="1">
        <f t="array" aca="1" ref="AD555" ca="1">_xll.FDS($E$9,"P_PRICE("&amp;AI555&amp;",0,D,D)")</f>
        <v>4514.0200000000004</v>
      </c>
      <c r="AE555" s="9" cm="1">
        <f t="array" aca="1" ref="AE555" ca="1">_xll.FDS($E$9,"P_PRICE("&amp;AJ555&amp;",0,D,D)")</f>
        <v>4358.34</v>
      </c>
      <c r="AF555" s="9" cm="1">
        <f t="array" aca="1" ref="AF555" ca="1">_xll.FDS($E$9,"P_PRICE("&amp;AK555&amp;",0,D,D)")</f>
        <v>4457.49</v>
      </c>
      <c r="AG555" s="20">
        <f t="shared" ca="1" si="153"/>
        <v>45264</v>
      </c>
      <c r="AH555" s="22">
        <f t="shared" ca="1" si="148"/>
        <v>45257</v>
      </c>
      <c r="AI555" s="22">
        <f t="shared" ca="1" si="149"/>
        <v>45247</v>
      </c>
      <c r="AJ555" s="22">
        <f t="shared" ca="1" si="150"/>
        <v>45233</v>
      </c>
      <c r="AK555" s="22">
        <f t="shared" ca="1" si="151"/>
        <v>45177</v>
      </c>
      <c r="AL555" s="22">
        <f t="shared" ca="1" si="152"/>
        <v>45090</v>
      </c>
    </row>
    <row r="556" spans="4:38" x14ac:dyDescent="0.25">
      <c r="D556" s="6">
        <f ca="1"/>
        <v>45261</v>
      </c>
      <c r="E556" s="28" cm="1">
        <f t="array" aca="1" ref="E556" ca="1">_xll.FDS($E$7,"P_PRICE("&amp;D556&amp;",0,D,D)")</f>
        <v>64.489999999999995</v>
      </c>
      <c r="F556" s="29" cm="1">
        <f t="array" aca="1" ref="F556" ca="1">_xll.FDS($E$7,"P_BETA_LOCIDX("&amp;$AG556&amp;","&amp;$AL556&amp;",,"""&amp;$E$9&amp;""")")</f>
        <v>1.158936</v>
      </c>
      <c r="G556" s="30">
        <f t="shared" ca="1" si="138"/>
        <v>3.5233023167861151E-2</v>
      </c>
      <c r="H556" s="30">
        <f t="shared" ca="1" si="138"/>
        <v>6.7333822523518563E-2</v>
      </c>
      <c r="I556" s="30">
        <f t="shared" ca="1" si="138"/>
        <v>6.1878104482613078E-2</v>
      </c>
      <c r="J556" s="30">
        <f t="shared" ca="1" si="136"/>
        <v>0.1347589741017009</v>
      </c>
      <c r="K556" s="30">
        <f t="shared" ca="1" si="139"/>
        <v>8.9703447077865619E-3</v>
      </c>
      <c r="L556" s="30">
        <f t="shared" ca="1" si="139"/>
        <v>2.2208329867087807E-2</v>
      </c>
      <c r="M556" s="30">
        <f t="shared" ca="1" si="139"/>
        <v>7.4309351472284596E-2</v>
      </c>
      <c r="N556" s="30">
        <f t="shared" ca="1" si="137"/>
        <v>3.7360255269436649E-2</v>
      </c>
      <c r="O556" s="30">
        <f t="shared" ca="1" si="140"/>
        <v>4.4203367875647714E-2</v>
      </c>
      <c r="P556" s="30">
        <f t="shared" ca="1" si="141"/>
        <v>8.9542152390606367E-2</v>
      </c>
      <c r="Q556" s="30">
        <f t="shared" ca="1" si="142"/>
        <v>0.13618745595489767</v>
      </c>
      <c r="R556" s="30">
        <f t="shared" ca="1" si="143"/>
        <v>0.17211922937113755</v>
      </c>
      <c r="S556" s="9" cm="1">
        <f t="array" aca="1" ref="S556" ca="1">_xll.FDS($E$7,"P_PRICE("&amp;AG556&amp;",0,D,D)")</f>
        <v>64.489999999999995</v>
      </c>
      <c r="T556" s="9" cm="1">
        <f t="array" aca="1" ref="T556" ca="1">_xll.FDS($E$7,"P_PRICE("&amp;AH556&amp;",0,D,D)")</f>
        <v>61.76</v>
      </c>
      <c r="U556" s="9" cm="1">
        <f t="array" aca="1" ref="U556" ca="1">_xll.FDS($E$7,"P_PRICE("&amp;AI556&amp;",0,D,D)")</f>
        <v>59.19</v>
      </c>
      <c r="V556" s="9" cm="1">
        <f t="array" aca="1" ref="V556" ca="1">_xll.FDS($E$7,"P_PRICE("&amp;AJ556&amp;",0,D,D)")</f>
        <v>56.76</v>
      </c>
      <c r="W556" s="9" cm="1">
        <f t="array" aca="1" ref="W556" ca="1">_xll.FDS($E$7,"P_PRICE("&amp;AK556&amp;",0,D,D)")</f>
        <v>55.02</v>
      </c>
      <c r="X556" s="24">
        <f t="shared" ca="1" si="144"/>
        <v>7.740155373365365E-3</v>
      </c>
      <c r="Y556" s="24">
        <f t="shared" ca="1" si="145"/>
        <v>1.9162688765460567E-2</v>
      </c>
      <c r="Z556" s="24">
        <f t="shared" ca="1" si="146"/>
        <v>6.4118597983223058E-2</v>
      </c>
      <c r="AA556" s="24">
        <f t="shared" ca="1" si="147"/>
        <v>3.2236685433394641E-2</v>
      </c>
      <c r="AB556" s="9" cm="1">
        <f t="array" aca="1" ref="AB556" ca="1">_xll.FDS($E$9,"P_PRICE("&amp;AG556&amp;",0,D,D)")</f>
        <v>4594.63</v>
      </c>
      <c r="AC556" s="9" cm="1">
        <f t="array" aca="1" ref="AC556" ca="1">_xll.FDS($E$9,"P_PRICE("&amp;AH556&amp;",0,D,D)")</f>
        <v>4559.34</v>
      </c>
      <c r="AD556" s="9" cm="1">
        <f t="array" aca="1" ref="AD556" ca="1">_xll.FDS($E$9,"P_PRICE("&amp;AI556&amp;",0,D,D)")</f>
        <v>4508.24</v>
      </c>
      <c r="AE556" s="9" cm="1">
        <f t="array" aca="1" ref="AE556" ca="1">_xll.FDS($E$9,"P_PRICE("&amp;AJ556&amp;",0,D,D)")</f>
        <v>4317.78</v>
      </c>
      <c r="AF556" s="9" cm="1">
        <f t="array" aca="1" ref="AF556" ca="1">_xll.FDS($E$9,"P_PRICE("&amp;AK556&amp;",0,D,D)")</f>
        <v>4451.1400000000003</v>
      </c>
      <c r="AG556" s="20">
        <f t="shared" ca="1" si="153"/>
        <v>45261</v>
      </c>
      <c r="AH556" s="22">
        <f t="shared" ca="1" si="148"/>
        <v>45254</v>
      </c>
      <c r="AI556" s="22">
        <f t="shared" ca="1" si="149"/>
        <v>45246</v>
      </c>
      <c r="AJ556" s="22">
        <f t="shared" ca="1" si="150"/>
        <v>45232</v>
      </c>
      <c r="AK556" s="22">
        <f t="shared" ca="1" si="151"/>
        <v>45176</v>
      </c>
      <c r="AL556" s="22">
        <f t="shared" ca="1" si="152"/>
        <v>45089</v>
      </c>
    </row>
    <row r="557" spans="4:38" x14ac:dyDescent="0.25">
      <c r="D557" s="6">
        <f ca="1"/>
        <v>45260</v>
      </c>
      <c r="E557" s="28" cm="1">
        <f t="array" aca="1" ref="E557" ca="1">_xll.FDS($E$7,"P_PRICE("&amp;D557&amp;",0,D,D)")</f>
        <v>62.75</v>
      </c>
      <c r="F557" s="29" cm="1">
        <f t="array" aca="1" ref="F557" ca="1">_xll.FDS($E$7,"P_BETA_LOCIDX("&amp;$AG557&amp;","&amp;$AL557&amp;",,"""&amp;$E$9&amp;""")")</f>
        <v>1.1416739</v>
      </c>
      <c r="G557" s="30">
        <f t="shared" ca="1" si="138"/>
        <v>2.2023252162606241E-2</v>
      </c>
      <c r="H557" s="30">
        <f t="shared" ca="1" si="138"/>
        <v>4.5120090501064698E-2</v>
      </c>
      <c r="I557" s="30">
        <f t="shared" ca="1" si="138"/>
        <v>1.723129185188034E-2</v>
      </c>
      <c r="J557" s="30">
        <f t="shared" ca="1" si="136"/>
        <v>0.11247202507250928</v>
      </c>
      <c r="K557" s="30">
        <f t="shared" ca="1" si="139"/>
        <v>2.8011803051384418E-3</v>
      </c>
      <c r="L557" s="30">
        <f t="shared" ca="1" si="139"/>
        <v>1.6460014388125048E-2</v>
      </c>
      <c r="M557" s="30">
        <f t="shared" ca="1" si="139"/>
        <v>8.8885401255822769E-2</v>
      </c>
      <c r="N557" s="30">
        <f t="shared" ca="1" si="137"/>
        <v>2.6159802182072388E-2</v>
      </c>
      <c r="O557" s="30">
        <f t="shared" ca="1" si="140"/>
        <v>2.4824432467744684E-2</v>
      </c>
      <c r="P557" s="30">
        <f t="shared" ca="1" si="141"/>
        <v>6.1580104889189746E-2</v>
      </c>
      <c r="Q557" s="30">
        <f t="shared" ca="1" si="142"/>
        <v>0.10611669310770311</v>
      </c>
      <c r="R557" s="30">
        <f t="shared" ca="1" si="143"/>
        <v>0.13863182725458167</v>
      </c>
      <c r="S557" s="9" cm="1">
        <f t="array" aca="1" ref="S557" ca="1">_xll.FDS($E$7,"P_PRICE("&amp;AG557&amp;",0,D,D)")</f>
        <v>62.75</v>
      </c>
      <c r="T557" s="9" cm="1">
        <f t="array" aca="1" ref="T557" ca="1">_xll.FDS($E$7,"P_PRICE("&amp;AH557&amp;",0,D,D)")</f>
        <v>61.23</v>
      </c>
      <c r="U557" s="9" cm="1">
        <f t="array" aca="1" ref="U557" ca="1">_xll.FDS($E$7,"P_PRICE("&amp;AI557&amp;",0,D,D)")</f>
        <v>59.11</v>
      </c>
      <c r="V557" s="9" cm="1">
        <f t="array" aca="1" ref="V557" ca="1">_xll.FDS($E$7,"P_PRICE("&amp;AJ557&amp;",0,D,D)")</f>
        <v>56.73</v>
      </c>
      <c r="W557" s="9" cm="1">
        <f t="array" aca="1" ref="W557" ca="1">_xll.FDS($E$7,"P_PRICE("&amp;AK557&amp;",0,D,D)")</f>
        <v>55.11</v>
      </c>
      <c r="X557" s="24">
        <f t="shared" ca="1" si="144"/>
        <v>2.4535730431767266E-3</v>
      </c>
      <c r="Y557" s="24">
        <f t="shared" ca="1" si="145"/>
        <v>1.4417439505383323E-2</v>
      </c>
      <c r="Z557" s="24">
        <f t="shared" ca="1" si="146"/>
        <v>7.7855332644306552E-2</v>
      </c>
      <c r="AA557" s="24">
        <f t="shared" ca="1" si="147"/>
        <v>2.2913550167059427E-2</v>
      </c>
      <c r="AB557" s="9" cm="1">
        <f t="array" aca="1" ref="AB557" ca="1">_xll.FDS($E$9,"P_PRICE("&amp;AG557&amp;",0,D,D)")</f>
        <v>4567.8</v>
      </c>
      <c r="AC557" s="9" cm="1">
        <f t="array" aca="1" ref="AC557" ca="1">_xll.FDS($E$9,"P_PRICE("&amp;AH557&amp;",0,D,D)")</f>
        <v>4556.62</v>
      </c>
      <c r="AD557" s="9" cm="1">
        <f t="array" aca="1" ref="AD557" ca="1">_xll.FDS($E$9,"P_PRICE("&amp;AI557&amp;",0,D,D)")</f>
        <v>4502.88</v>
      </c>
      <c r="AE557" s="9" cm="1">
        <f t="array" aca="1" ref="AE557" ca="1">_xll.FDS($E$9,"P_PRICE("&amp;AJ557&amp;",0,D,D)")</f>
        <v>4237.8599999999997</v>
      </c>
      <c r="AF557" s="9" cm="1">
        <f t="array" aca="1" ref="AF557" ca="1">_xll.FDS($E$9,"P_PRICE("&amp;AK557&amp;",0,D,D)")</f>
        <v>4465.4799999999996</v>
      </c>
      <c r="AG557" s="20">
        <f t="shared" ca="1" si="153"/>
        <v>45260</v>
      </c>
      <c r="AH557" s="22">
        <f t="shared" ca="1" si="148"/>
        <v>45252</v>
      </c>
      <c r="AI557" s="22">
        <f t="shared" ca="1" si="149"/>
        <v>45245</v>
      </c>
      <c r="AJ557" s="22">
        <f t="shared" ca="1" si="150"/>
        <v>45231</v>
      </c>
      <c r="AK557" s="22">
        <f t="shared" ca="1" si="151"/>
        <v>45175</v>
      </c>
      <c r="AL557" s="22">
        <f t="shared" ca="1" si="152"/>
        <v>45086</v>
      </c>
    </row>
    <row r="558" spans="4:38" x14ac:dyDescent="0.25">
      <c r="D558" s="6">
        <f ca="1"/>
        <v>45259</v>
      </c>
      <c r="E558" s="28" cm="1">
        <f t="array" aca="1" ref="E558" ca="1">_xll.FDS($E$7,"P_PRICE("&amp;D558&amp;",0,D,D)")</f>
        <v>62.52</v>
      </c>
      <c r="F558" s="29" cm="1">
        <f t="array" aca="1" ref="F558" ca="1">_xll.FDS($E$7,"P_BETA_LOCIDX("&amp;$AG558&amp;","&amp;$AL558&amp;",,"""&amp;$E$9&amp;""")")</f>
        <v>1.1520357999999999</v>
      </c>
      <c r="G558" s="30">
        <f t="shared" ca="1" si="138"/>
        <v>1.9593180388934182E-2</v>
      </c>
      <c r="H558" s="30">
        <f t="shared" ca="1" si="138"/>
        <v>2.5684059642350984E-2</v>
      </c>
      <c r="I558" s="30">
        <f t="shared" ca="1" si="138"/>
        <v>6.9063746074179519E-2</v>
      </c>
      <c r="J558" s="30">
        <f t="shared" ca="1" si="136"/>
        <v>0.11413894660717853</v>
      </c>
      <c r="K558" s="30">
        <f t="shared" ca="1" si="139"/>
        <v>3.1452459156624791E-3</v>
      </c>
      <c r="L558" s="30">
        <f t="shared" ca="1" si="139"/>
        <v>1.4063154726516539E-2</v>
      </c>
      <c r="M558" s="30">
        <f t="shared" ca="1" si="139"/>
        <v>9.8007375822404388E-2</v>
      </c>
      <c r="N558" s="30">
        <f t="shared" ca="1" si="137"/>
        <v>1.377012790121053E-2</v>
      </c>
      <c r="O558" s="30">
        <f t="shared" ca="1" si="140"/>
        <v>2.2738426304596659E-2</v>
      </c>
      <c r="P558" s="30">
        <f t="shared" ca="1" si="141"/>
        <v>3.9747214368867523E-2</v>
      </c>
      <c r="Q558" s="30">
        <f t="shared" ca="1" si="142"/>
        <v>0.16707112189658391</v>
      </c>
      <c r="R558" s="30">
        <f t="shared" ca="1" si="143"/>
        <v>0.12790907450838906</v>
      </c>
      <c r="S558" s="9" cm="1">
        <f t="array" aca="1" ref="S558" ca="1">_xll.FDS($E$7,"P_PRICE("&amp;AG558&amp;",0,D,D)")</f>
        <v>62.52</v>
      </c>
      <c r="T558" s="9" cm="1">
        <f t="array" aca="1" ref="T558" ca="1">_xll.FDS($E$7,"P_PRICE("&amp;AH558&amp;",0,D,D)")</f>
        <v>61.13</v>
      </c>
      <c r="U558" s="9" cm="1">
        <f t="array" aca="1" ref="U558" ca="1">_xll.FDS($E$7,"P_PRICE("&amp;AI558&amp;",0,D,D)")</f>
        <v>60.13</v>
      </c>
      <c r="V558" s="9" cm="1">
        <f t="array" aca="1" ref="V558" ca="1">_xll.FDS($E$7,"P_PRICE("&amp;AJ558&amp;",0,D,D)")</f>
        <v>53.57</v>
      </c>
      <c r="W558" s="9" cm="1">
        <f t="array" aca="1" ref="W558" ca="1">_xll.FDS($E$7,"P_PRICE("&amp;AK558&amp;",0,D,D)")</f>
        <v>55.43</v>
      </c>
      <c r="X558" s="24">
        <f t="shared" ca="1" si="144"/>
        <v>2.7301633470613318E-3</v>
      </c>
      <c r="Y558" s="24">
        <f t="shared" ca="1" si="145"/>
        <v>1.2207220232666849E-2</v>
      </c>
      <c r="Z558" s="24">
        <f t="shared" ca="1" si="146"/>
        <v>8.507320330010959E-2</v>
      </c>
      <c r="AA558" s="24">
        <f t="shared" ca="1" si="147"/>
        <v>1.1952864573488542E-2</v>
      </c>
      <c r="AB558" s="9" cm="1">
        <f t="array" aca="1" ref="AB558" ca="1">_xll.FDS($E$9,"P_PRICE("&amp;AG558&amp;",0,D,D)")</f>
        <v>4550.58</v>
      </c>
      <c r="AC558" s="9" cm="1">
        <f t="array" aca="1" ref="AC558" ca="1">_xll.FDS($E$9,"P_PRICE("&amp;AH558&amp;",0,D,D)")</f>
        <v>4538.1899999999996</v>
      </c>
      <c r="AD558" s="9" cm="1">
        <f t="array" aca="1" ref="AD558" ca="1">_xll.FDS($E$9,"P_PRICE("&amp;AI558&amp;",0,D,D)")</f>
        <v>4495.7</v>
      </c>
      <c r="AE558" s="9" cm="1">
        <f t="array" aca="1" ref="AE558" ca="1">_xll.FDS($E$9,"P_PRICE("&amp;AJ558&amp;",0,D,D)")</f>
        <v>4193.8</v>
      </c>
      <c r="AF558" s="9" cm="1">
        <f t="array" aca="1" ref="AF558" ca="1">_xll.FDS($E$9,"P_PRICE("&amp;AK558&amp;",0,D,D)")</f>
        <v>4496.83</v>
      </c>
      <c r="AG558" s="20">
        <f t="shared" ca="1" si="153"/>
        <v>45259</v>
      </c>
      <c r="AH558" s="22">
        <f t="shared" ca="1" si="148"/>
        <v>45251</v>
      </c>
      <c r="AI558" s="22">
        <f t="shared" ca="1" si="149"/>
        <v>45244</v>
      </c>
      <c r="AJ558" s="22">
        <f t="shared" ca="1" si="150"/>
        <v>45230</v>
      </c>
      <c r="AK558" s="22">
        <f t="shared" ca="1" si="151"/>
        <v>45174</v>
      </c>
      <c r="AL558" s="22">
        <f t="shared" ca="1" si="152"/>
        <v>45085</v>
      </c>
    </row>
    <row r="559" spans="4:38" x14ac:dyDescent="0.25">
      <c r="D559" s="6">
        <f ca="1"/>
        <v>45258</v>
      </c>
      <c r="E559" s="28" cm="1">
        <f t="array" aca="1" ref="E559" ca="1">_xll.FDS($E$7,"P_PRICE("&amp;D559&amp;",0,D,D)")</f>
        <v>61.67</v>
      </c>
      <c r="F559" s="29" cm="1">
        <f t="array" aca="1" ref="F559" ca="1">_xll.FDS($E$7,"P_BETA_LOCIDX("&amp;$AG559&amp;","&amp;$AL559&amp;",,"""&amp;$E$9&amp;""")")</f>
        <v>1.1475993</v>
      </c>
      <c r="G559" s="30">
        <f t="shared" ca="1" si="138"/>
        <v>4.798557004869286E-2</v>
      </c>
      <c r="H559" s="30">
        <f t="shared" ca="1" si="138"/>
        <v>-4.4624525768760734E-3</v>
      </c>
      <c r="I559" s="30">
        <f t="shared" ca="1" si="138"/>
        <v>4.6045987211876888E-2</v>
      </c>
      <c r="J559" s="30">
        <f t="shared" ca="1" si="136"/>
        <v>6.8770988128359967E-2</v>
      </c>
      <c r="K559" s="30">
        <f t="shared" ca="1" si="139"/>
        <v>1.8952607310143172E-3</v>
      </c>
      <c r="L559" s="30">
        <f t="shared" ca="1" si="139"/>
        <v>3.7287774968435182E-2</v>
      </c>
      <c r="M559" s="30">
        <f t="shared" ca="1" si="139"/>
        <v>0.10687979330784639</v>
      </c>
      <c r="N559" s="30">
        <f t="shared" ca="1" si="137"/>
        <v>9.9416233811729406E-3</v>
      </c>
      <c r="O559" s="30">
        <f t="shared" ca="1" si="140"/>
        <v>4.9880830779707175E-2</v>
      </c>
      <c r="P559" s="30">
        <f t="shared" ca="1" si="141"/>
        <v>3.2825322391559109E-2</v>
      </c>
      <c r="Q559" s="30">
        <f t="shared" ca="1" si="142"/>
        <v>0.15292578051972328</v>
      </c>
      <c r="R559" s="30">
        <f t="shared" ca="1" si="143"/>
        <v>7.8712611509532904E-2</v>
      </c>
      <c r="S559" s="9" cm="1">
        <f t="array" aca="1" ref="S559" ca="1">_xll.FDS($E$7,"P_PRICE("&amp;AG559&amp;",0,D,D)")</f>
        <v>61.67</v>
      </c>
      <c r="T559" s="9" cm="1">
        <f t="array" aca="1" ref="T559" ca="1">_xll.FDS($E$7,"P_PRICE("&amp;AH559&amp;",0,D,D)")</f>
        <v>58.74</v>
      </c>
      <c r="U559" s="9" cm="1">
        <f t="array" aca="1" ref="U559" ca="1">_xll.FDS($E$7,"P_PRICE("&amp;AI559&amp;",0,D,D)")</f>
        <v>59.71</v>
      </c>
      <c r="V559" s="9" cm="1">
        <f t="array" aca="1" ref="V559" ca="1">_xll.FDS($E$7,"P_PRICE("&amp;AJ559&amp;",0,D,D)")</f>
        <v>53.49</v>
      </c>
      <c r="W559" s="9" cm="1">
        <f t="array" aca="1" ref="W559" ca="1">_xll.FDS($E$7,"P_PRICE("&amp;AK559&amp;",0,D,D)")</f>
        <v>57.17</v>
      </c>
      <c r="X559" s="24">
        <f t="shared" ca="1" si="144"/>
        <v>1.6515004244201936E-3</v>
      </c>
      <c r="Y559" s="24">
        <f t="shared" ca="1" si="145"/>
        <v>3.2491981276422166E-2</v>
      </c>
      <c r="Z559" s="24">
        <f t="shared" ca="1" si="146"/>
        <v>9.3133372691885041E-2</v>
      </c>
      <c r="AA559" s="24">
        <f t="shared" ca="1" si="147"/>
        <v>8.6629744207520343E-3</v>
      </c>
      <c r="AB559" s="9" cm="1">
        <f t="array" aca="1" ref="AB559" ca="1">_xll.FDS($E$9,"P_PRICE("&amp;AG559&amp;",0,D,D)")</f>
        <v>4554.8900000000003</v>
      </c>
      <c r="AC559" s="9" cm="1">
        <f t="array" aca="1" ref="AC559" ca="1">_xll.FDS($E$9,"P_PRICE("&amp;AH559&amp;",0,D,D)")</f>
        <v>4547.38</v>
      </c>
      <c r="AD559" s="9" cm="1">
        <f t="array" aca="1" ref="AD559" ca="1">_xll.FDS($E$9,"P_PRICE("&amp;AI559&amp;",0,D,D)")</f>
        <v>4411.55</v>
      </c>
      <c r="AE559" s="9" cm="1">
        <f t="array" aca="1" ref="AE559" ca="1">_xll.FDS($E$9,"P_PRICE("&amp;AJ559&amp;",0,D,D)")</f>
        <v>4166.82</v>
      </c>
      <c r="AF559" s="9" cm="1">
        <f t="array" aca="1" ref="AF559" ca="1">_xll.FDS($E$9,"P_PRICE("&amp;AK559&amp;",0,D,D)")</f>
        <v>4515.7700000000004</v>
      </c>
      <c r="AG559" s="20">
        <f t="shared" ca="1" si="153"/>
        <v>45258</v>
      </c>
      <c r="AH559" s="22">
        <f t="shared" ca="1" si="148"/>
        <v>45250</v>
      </c>
      <c r="AI559" s="22">
        <f t="shared" ca="1" si="149"/>
        <v>45243</v>
      </c>
      <c r="AJ559" s="22">
        <f t="shared" ca="1" si="150"/>
        <v>45229</v>
      </c>
      <c r="AK559" s="22">
        <f t="shared" ca="1" si="151"/>
        <v>45170</v>
      </c>
      <c r="AL559" s="22">
        <f t="shared" ca="1" si="152"/>
        <v>45084</v>
      </c>
    </row>
    <row r="560" spans="4:38" x14ac:dyDescent="0.25">
      <c r="D560" s="6">
        <f ca="1"/>
        <v>45257</v>
      </c>
      <c r="E560" s="28" cm="1">
        <f t="array" aca="1" ref="E560" ca="1">_xll.FDS($E$7,"P_PRICE("&amp;D560&amp;",0,D,D)")</f>
        <v>61.97</v>
      </c>
      <c r="F560" s="29" cm="1">
        <f t="array" aca="1" ref="F560" ca="1">_xll.FDS($E$7,"P_BETA_LOCIDX("&amp;$AG560&amp;","&amp;$AL560&amp;",,"""&amp;$E$9&amp;""")")</f>
        <v>1.1459246000000001</v>
      </c>
      <c r="G560" s="30">
        <f t="shared" ca="1" si="138"/>
        <v>1.9988018582369625E-2</v>
      </c>
      <c r="H560" s="30">
        <f t="shared" ca="1" si="138"/>
        <v>1.6190942338025621E-4</v>
      </c>
      <c r="I560" s="30">
        <f t="shared" ca="1" si="138"/>
        <v>6.3236168393207698E-2</v>
      </c>
      <c r="J560" s="30">
        <f t="shared" ca="1" si="136"/>
        <v>6.5555826841558251E-2</v>
      </c>
      <c r="K560" s="30">
        <f t="shared" ca="1" si="139"/>
        <v>9.2430061643501669E-3</v>
      </c>
      <c r="L560" s="30">
        <f t="shared" ca="1" si="139"/>
        <v>3.5087004709596782E-2</v>
      </c>
      <c r="M560" s="30">
        <f t="shared" ca="1" si="139"/>
        <v>0.12052696436705965</v>
      </c>
      <c r="N560" s="30">
        <f t="shared" ca="1" si="137"/>
        <v>1.0872868659570822E-2</v>
      </c>
      <c r="O560" s="30">
        <f t="shared" ca="1" si="140"/>
        <v>2.9231024746719791E-2</v>
      </c>
      <c r="P560" s="30">
        <f t="shared" ca="1" si="141"/>
        <v>3.5248914132977038E-2</v>
      </c>
      <c r="Q560" s="30">
        <f t="shared" ca="1" si="142"/>
        <v>0.18376313276026734</v>
      </c>
      <c r="R560" s="30">
        <f t="shared" ca="1" si="143"/>
        <v>7.6428695501129074E-2</v>
      </c>
      <c r="S560" s="9" cm="1">
        <f t="array" aca="1" ref="S560" ca="1">_xll.FDS($E$7,"P_PRICE("&amp;AG560&amp;",0,D,D)")</f>
        <v>61.97</v>
      </c>
      <c r="T560" s="9" cm="1">
        <f t="array" aca="1" ref="T560" ca="1">_xll.FDS($E$7,"P_PRICE("&amp;AH560&amp;",0,D,D)")</f>
        <v>60.21</v>
      </c>
      <c r="U560" s="9" cm="1">
        <f t="array" aca="1" ref="U560" ca="1">_xll.FDS($E$7,"P_PRICE("&amp;AI560&amp;",0,D,D)")</f>
        <v>59.86</v>
      </c>
      <c r="V560" s="9" cm="1">
        <f t="array" aca="1" ref="V560" ca="1">_xll.FDS($E$7,"P_PRICE("&amp;AJ560&amp;",0,D,D)")</f>
        <v>52.35</v>
      </c>
      <c r="W560" s="9" cm="1">
        <f t="array" aca="1" ref="W560" ca="1">_xll.FDS($E$7,"P_PRICE("&amp;AK560&amp;",0,D,D)")</f>
        <v>57.57</v>
      </c>
      <c r="X560" s="24">
        <f t="shared" ca="1" si="144"/>
        <v>8.0659810988874536E-3</v>
      </c>
      <c r="Y560" s="24">
        <f t="shared" ca="1" si="145"/>
        <v>3.0618947101403338E-2</v>
      </c>
      <c r="Z560" s="24">
        <f t="shared" ca="1" si="146"/>
        <v>0.10517879131581576</v>
      </c>
      <c r="AA560" s="24">
        <f t="shared" ca="1" si="147"/>
        <v>9.4882932608051362E-3</v>
      </c>
      <c r="AB560" s="9" cm="1">
        <f t="array" aca="1" ref="AB560" ca="1">_xll.FDS($E$9,"P_PRICE("&amp;AG560&amp;",0,D,D)")</f>
        <v>4550.43</v>
      </c>
      <c r="AC560" s="9" cm="1">
        <f t="array" aca="1" ref="AC560" ca="1">_xll.FDS($E$9,"P_PRICE("&amp;AH560&amp;",0,D,D)")</f>
        <v>4514.0200000000004</v>
      </c>
      <c r="AD560" s="9" cm="1">
        <f t="array" aca="1" ref="AD560" ca="1">_xll.FDS($E$9,"P_PRICE("&amp;AI560&amp;",0,D,D)")</f>
        <v>4415.24</v>
      </c>
      <c r="AE560" s="9" cm="1">
        <f t="array" aca="1" ref="AE560" ca="1">_xll.FDS($E$9,"P_PRICE("&amp;AJ560&amp;",0,D,D)")</f>
        <v>4117.37</v>
      </c>
      <c r="AF560" s="9" cm="1">
        <f t="array" aca="1" ref="AF560" ca="1">_xll.FDS($E$9,"P_PRICE("&amp;AK560&amp;",0,D,D)")</f>
        <v>4507.66</v>
      </c>
      <c r="AG560" s="20">
        <f t="shared" ca="1" si="153"/>
        <v>45257</v>
      </c>
      <c r="AH560" s="22">
        <f t="shared" ca="1" si="148"/>
        <v>45247</v>
      </c>
      <c r="AI560" s="22">
        <f t="shared" ca="1" si="149"/>
        <v>45240</v>
      </c>
      <c r="AJ560" s="22">
        <f t="shared" ca="1" si="150"/>
        <v>45226</v>
      </c>
      <c r="AK560" s="22">
        <f t="shared" ca="1" si="151"/>
        <v>45169</v>
      </c>
      <c r="AL560" s="22">
        <f t="shared" ca="1" si="152"/>
        <v>45083</v>
      </c>
    </row>
    <row r="561" spans="4:38" x14ac:dyDescent="0.25">
      <c r="D561" s="6">
        <f ca="1"/>
        <v>45254</v>
      </c>
      <c r="E561" s="28" cm="1">
        <f t="array" aca="1" ref="E561" ca="1">_xll.FDS($E$7,"P_PRICE("&amp;D561&amp;",0,D,D)")</f>
        <v>61.76</v>
      </c>
      <c r="F561" s="29" cm="1">
        <f t="array" aca="1" ref="F561" ca="1">_xll.FDS($E$7,"P_BETA_LOCIDX("&amp;$AG561&amp;","&amp;$AL561&amp;",,"""&amp;$E$9&amp;""")")</f>
        <v>1.1527076999999999</v>
      </c>
      <c r="G561" s="30">
        <f t="shared" ca="1" si="138"/>
        <v>3.035378497951698E-2</v>
      </c>
      <c r="H561" s="30">
        <f t="shared" ca="1" si="138"/>
        <v>1.505831051605358E-3</v>
      </c>
      <c r="I561" s="30">
        <f t="shared" ca="1" si="138"/>
        <v>6.3497832780845573E-2</v>
      </c>
      <c r="J561" s="30">
        <f t="shared" ca="1" si="136"/>
        <v>6.5542455428130253E-2</v>
      </c>
      <c r="K561" s="30">
        <f t="shared" ca="1" si="139"/>
        <v>1.3065711557060083E-2</v>
      </c>
      <c r="L561" s="30">
        <f t="shared" ca="1" si="139"/>
        <v>5.6209531167952728E-2</v>
      </c>
      <c r="M561" s="30">
        <f t="shared" ca="1" si="139"/>
        <v>0.11760754109561251</v>
      </c>
      <c r="N561" s="30">
        <f t="shared" ca="1" si="137"/>
        <v>1.1353795661669221E-2</v>
      </c>
      <c r="O561" s="30">
        <f t="shared" ca="1" si="140"/>
        <v>4.3419496536577062E-2</v>
      </c>
      <c r="P561" s="30">
        <f t="shared" ca="1" si="141"/>
        <v>5.7715362219558086E-2</v>
      </c>
      <c r="Q561" s="30">
        <f t="shared" ca="1" si="142"/>
        <v>0.18110537387645809</v>
      </c>
      <c r="R561" s="30">
        <f t="shared" ca="1" si="143"/>
        <v>7.6896251089799472E-2</v>
      </c>
      <c r="S561" s="9" cm="1">
        <f t="array" aca="1" ref="S561" ca="1">_xll.FDS($E$7,"P_PRICE("&amp;AG561&amp;",0,D,D)")</f>
        <v>61.76</v>
      </c>
      <c r="T561" s="9" cm="1">
        <f t="array" aca="1" ref="T561" ca="1">_xll.FDS($E$7,"P_PRICE("&amp;AH561&amp;",0,D,D)")</f>
        <v>59.19</v>
      </c>
      <c r="U561" s="9" cm="1">
        <f t="array" aca="1" ref="U561" ca="1">_xll.FDS($E$7,"P_PRICE("&amp;AI561&amp;",0,D,D)")</f>
        <v>58.39</v>
      </c>
      <c r="V561" s="9" cm="1">
        <f t="array" aca="1" ref="V561" ca="1">_xll.FDS($E$7,"P_PRICE("&amp;AJ561&amp;",0,D,D)")</f>
        <v>52.29</v>
      </c>
      <c r="W561" s="9" cm="1">
        <f t="array" aca="1" ref="W561" ca="1">_xll.FDS($E$7,"P_PRICE("&amp;AK561&amp;",0,D,D)")</f>
        <v>57.35</v>
      </c>
      <c r="X561" s="24">
        <f t="shared" ca="1" si="144"/>
        <v>1.133480027682654E-2</v>
      </c>
      <c r="Y561" s="24">
        <f t="shared" ca="1" si="145"/>
        <v>4.87630395528309E-2</v>
      </c>
      <c r="Z561" s="24">
        <f t="shared" ca="1" si="146"/>
        <v>0.10202720177510094</v>
      </c>
      <c r="AA561" s="24">
        <f t="shared" ca="1" si="147"/>
        <v>9.8496745199752045E-3</v>
      </c>
      <c r="AB561" s="9" cm="1">
        <f t="array" aca="1" ref="AB561" ca="1">_xll.FDS($E$9,"P_PRICE("&amp;AG561&amp;",0,D,D)")</f>
        <v>4559.34</v>
      </c>
      <c r="AC561" s="9" cm="1">
        <f t="array" aca="1" ref="AC561" ca="1">_xll.FDS($E$9,"P_PRICE("&amp;AH561&amp;",0,D,D)")</f>
        <v>4508.24</v>
      </c>
      <c r="AD561" s="9" cm="1">
        <f t="array" aca="1" ref="AD561" ca="1">_xll.FDS($E$9,"P_PRICE("&amp;AI561&amp;",0,D,D)")</f>
        <v>4347.3500000000004</v>
      </c>
      <c r="AE561" s="9" cm="1">
        <f t="array" aca="1" ref="AE561" ca="1">_xll.FDS($E$9,"P_PRICE("&amp;AJ561&amp;",0,D,D)")</f>
        <v>4137.2299999999996</v>
      </c>
      <c r="AF561" s="9" cm="1">
        <f t="array" aca="1" ref="AF561" ca="1">_xll.FDS($E$9,"P_PRICE("&amp;AK561&amp;",0,D,D)")</f>
        <v>4514.87</v>
      </c>
      <c r="AG561" s="20">
        <f t="shared" ca="1" si="153"/>
        <v>45254</v>
      </c>
      <c r="AH561" s="22">
        <f t="shared" ca="1" si="148"/>
        <v>45246</v>
      </c>
      <c r="AI561" s="22">
        <f t="shared" ca="1" si="149"/>
        <v>45239</v>
      </c>
      <c r="AJ561" s="22">
        <f t="shared" ca="1" si="150"/>
        <v>45225</v>
      </c>
      <c r="AK561" s="22">
        <f t="shared" ca="1" si="151"/>
        <v>45168</v>
      </c>
      <c r="AL561" s="22">
        <f t="shared" ca="1" si="152"/>
        <v>45082</v>
      </c>
    </row>
    <row r="562" spans="4:38" x14ac:dyDescent="0.25">
      <c r="D562" s="6">
        <f ca="1"/>
        <v>45252</v>
      </c>
      <c r="E562" s="28" cm="1">
        <f t="array" aca="1" ref="E562" ca="1">_xll.FDS($E$7,"P_PRICE("&amp;D562&amp;",0,D,D)")</f>
        <v>61.23</v>
      </c>
      <c r="F562" s="29" cm="1">
        <f t="array" aca="1" ref="F562" ca="1">_xll.FDS($E$7,"P_BETA_LOCIDX("&amp;$AG562&amp;","&amp;$AL562&amp;",,"""&amp;$E$9&amp;""")")</f>
        <v>1.1482956</v>
      </c>
      <c r="G562" s="30">
        <f t="shared" ca="1" si="138"/>
        <v>2.216090541803676E-2</v>
      </c>
      <c r="H562" s="30">
        <f t="shared" ca="1" si="138"/>
        <v>-6.3406645220383182E-3</v>
      </c>
      <c r="I562" s="30">
        <f t="shared" ca="1" si="138"/>
        <v>4.3048088216600749E-2</v>
      </c>
      <c r="J562" s="30">
        <f t="shared" ca="1" si="136"/>
        <v>4.4281749094264793E-2</v>
      </c>
      <c r="K562" s="30">
        <f t="shared" ca="1" si="139"/>
        <v>1.3704430396546083E-2</v>
      </c>
      <c r="L562" s="30">
        <f t="shared" ca="1" si="139"/>
        <v>4.5546367169696088E-2</v>
      </c>
      <c r="M562" s="30">
        <f t="shared" ca="1" si="139"/>
        <v>0.10143789309181042</v>
      </c>
      <c r="N562" s="30">
        <f t="shared" ca="1" si="137"/>
        <v>1.50608114593685E-2</v>
      </c>
      <c r="O562" s="30">
        <f t="shared" ca="1" si="140"/>
        <v>3.5865335814582844E-2</v>
      </c>
      <c r="P562" s="30">
        <f t="shared" ca="1" si="141"/>
        <v>3.920570264765777E-2</v>
      </c>
      <c r="Q562" s="30">
        <f t="shared" ca="1" si="142"/>
        <v>0.14448598130841117</v>
      </c>
      <c r="R562" s="30">
        <f t="shared" ca="1" si="143"/>
        <v>5.9342560553633295E-2</v>
      </c>
      <c r="S562" s="9" cm="1">
        <f t="array" aca="1" ref="S562" ca="1">_xll.FDS($E$7,"P_PRICE("&amp;AG562&amp;",0,D,D)")</f>
        <v>61.23</v>
      </c>
      <c r="T562" s="9" cm="1">
        <f t="array" aca="1" ref="T562" ca="1">_xll.FDS($E$7,"P_PRICE("&amp;AH562&amp;",0,D,D)")</f>
        <v>59.11</v>
      </c>
      <c r="U562" s="9" cm="1">
        <f t="array" aca="1" ref="U562" ca="1">_xll.FDS($E$7,"P_PRICE("&amp;AI562&amp;",0,D,D)")</f>
        <v>58.92</v>
      </c>
      <c r="V562" s="9" cm="1">
        <f t="array" aca="1" ref="V562" ca="1">_xll.FDS($E$7,"P_PRICE("&amp;AJ562&amp;",0,D,D)")</f>
        <v>53.5</v>
      </c>
      <c r="W562" s="9" cm="1">
        <f t="array" aca="1" ref="W562" ca="1">_xll.FDS($E$7,"P_PRICE("&amp;AK562&amp;",0,D,D)")</f>
        <v>57.8</v>
      </c>
      <c r="X562" s="24">
        <f t="shared" ca="1" si="144"/>
        <v>1.1934584088405531E-2</v>
      </c>
      <c r="Y562" s="24">
        <f t="shared" ca="1" si="145"/>
        <v>3.966432264453168E-2</v>
      </c>
      <c r="Z562" s="24">
        <f t="shared" ca="1" si="146"/>
        <v>8.8337787841223481E-2</v>
      </c>
      <c r="AA562" s="24">
        <f t="shared" ca="1" si="147"/>
        <v>1.3115796541734115E-2</v>
      </c>
      <c r="AB562" s="9" cm="1">
        <f t="array" aca="1" ref="AB562" ca="1">_xll.FDS($E$9,"P_PRICE("&amp;AG562&amp;",0,D,D)")</f>
        <v>4556.62</v>
      </c>
      <c r="AC562" s="9" cm="1">
        <f t="array" aca="1" ref="AC562" ca="1">_xll.FDS($E$9,"P_PRICE("&amp;AH562&amp;",0,D,D)")</f>
        <v>4502.88</v>
      </c>
      <c r="AD562" s="9" cm="1">
        <f t="array" aca="1" ref="AD562" ca="1">_xll.FDS($E$9,"P_PRICE("&amp;AI562&amp;",0,D,D)")</f>
        <v>4382.78</v>
      </c>
      <c r="AE562" s="9" cm="1">
        <f t="array" aca="1" ref="AE562" ca="1">_xll.FDS($E$9,"P_PRICE("&amp;AJ562&amp;",0,D,D)")</f>
        <v>4186.7700000000004</v>
      </c>
      <c r="AF562" s="9" cm="1">
        <f t="array" aca="1" ref="AF562" ca="1">_xll.FDS($E$9,"P_PRICE("&amp;AK562&amp;",0,D,D)")</f>
        <v>4497.63</v>
      </c>
      <c r="AG562" s="20">
        <f t="shared" ca="1" si="153"/>
        <v>45252</v>
      </c>
      <c r="AH562" s="22">
        <f t="shared" ca="1" si="148"/>
        <v>45245</v>
      </c>
      <c r="AI562" s="22">
        <f t="shared" ca="1" si="149"/>
        <v>45238</v>
      </c>
      <c r="AJ562" s="22">
        <f t="shared" ca="1" si="150"/>
        <v>45224</v>
      </c>
      <c r="AK562" s="22">
        <f t="shared" ca="1" si="151"/>
        <v>45167</v>
      </c>
      <c r="AL562" s="22">
        <f t="shared" ca="1" si="152"/>
        <v>45079</v>
      </c>
    </row>
    <row r="563" spans="4:38" x14ac:dyDescent="0.25">
      <c r="D563" s="6">
        <f ca="1"/>
        <v>45251</v>
      </c>
      <c r="E563" s="28" cm="1">
        <f t="array" aca="1" ref="E563" ca="1">_xll.FDS($E$7,"P_PRICE("&amp;D563&amp;",0,D,D)")</f>
        <v>61.13</v>
      </c>
      <c r="F563" s="29" cm="1">
        <f t="array" aca="1" ref="F563" ca="1">_xll.FDS($E$7,"P_BETA_LOCIDX("&amp;$AG563&amp;","&amp;$AL563&amp;",,"""&amp;$E$9&amp;""")")</f>
        <v>1.1545297000000001</v>
      </c>
      <c r="G563" s="30">
        <f t="shared" ca="1" si="138"/>
        <v>5.7188808516002044E-3</v>
      </c>
      <c r="H563" s="30">
        <f t="shared" ca="1" si="138"/>
        <v>9.649296598058861E-3</v>
      </c>
      <c r="I563" s="30">
        <f t="shared" ca="1" si="138"/>
        <v>4.3926261857159213E-2</v>
      </c>
      <c r="J563" s="30">
        <f t="shared" ca="1" si="136"/>
        <v>3.6187330148672731E-2</v>
      </c>
      <c r="K563" s="30">
        <f t="shared" ca="1" si="139"/>
        <v>1.0911752775540918E-2</v>
      </c>
      <c r="L563" s="30">
        <f t="shared" ca="1" si="139"/>
        <v>4.2140104640757396E-2</v>
      </c>
      <c r="M563" s="30">
        <f t="shared" ca="1" si="139"/>
        <v>7.8961320802649823E-2</v>
      </c>
      <c r="N563" s="30">
        <f t="shared" ca="1" si="137"/>
        <v>2.7313017798439396E-2</v>
      </c>
      <c r="O563" s="30">
        <f t="shared" ca="1" si="140"/>
        <v>1.6630633627141123E-2</v>
      </c>
      <c r="P563" s="30">
        <f t="shared" ca="1" si="141"/>
        <v>5.1789401238816257E-2</v>
      </c>
      <c r="Q563" s="30">
        <f t="shared" ca="1" si="142"/>
        <v>0.12288758265980904</v>
      </c>
      <c r="R563" s="30">
        <f t="shared" ca="1" si="143"/>
        <v>6.3500347947112123E-2</v>
      </c>
      <c r="S563" s="9" cm="1">
        <f t="array" aca="1" ref="S563" ca="1">_xll.FDS($E$7,"P_PRICE("&amp;AG563&amp;",0,D,D)")</f>
        <v>61.13</v>
      </c>
      <c r="T563" s="9" cm="1">
        <f t="array" aca="1" ref="T563" ca="1">_xll.FDS($E$7,"P_PRICE("&amp;AH563&amp;",0,D,D)")</f>
        <v>60.13</v>
      </c>
      <c r="U563" s="9" cm="1">
        <f t="array" aca="1" ref="U563" ca="1">_xll.FDS($E$7,"P_PRICE("&amp;AI563&amp;",0,D,D)")</f>
        <v>58.12</v>
      </c>
      <c r="V563" s="9" cm="1">
        <f t="array" aca="1" ref="V563" ca="1">_xll.FDS($E$7,"P_PRICE("&amp;AJ563&amp;",0,D,D)")</f>
        <v>54.44</v>
      </c>
      <c r="W563" s="9" cm="1">
        <f t="array" aca="1" ref="W563" ca="1">_xll.FDS($E$7,"P_PRICE("&amp;AK563&amp;",0,D,D)")</f>
        <v>57.48</v>
      </c>
      <c r="X563" s="24">
        <f t="shared" ca="1" si="144"/>
        <v>9.4512534199344689E-3</v>
      </c>
      <c r="Y563" s="24">
        <f t="shared" ca="1" si="145"/>
        <v>3.649980129636976E-2</v>
      </c>
      <c r="Z563" s="24">
        <f t="shared" ca="1" si="146"/>
        <v>6.8392628446587223E-2</v>
      </c>
      <c r="AA563" s="24">
        <f t="shared" ca="1" si="147"/>
        <v>2.3657267369076251E-2</v>
      </c>
      <c r="AB563" s="9" cm="1">
        <f t="array" aca="1" ref="AB563" ca="1">_xll.FDS($E$9,"P_PRICE("&amp;AG563&amp;",0,D,D)")</f>
        <v>4538.1899999999996</v>
      </c>
      <c r="AC563" s="9" cm="1">
        <f t="array" aca="1" ref="AC563" ca="1">_xll.FDS($E$9,"P_PRICE("&amp;AH563&amp;",0,D,D)")</f>
        <v>4495.7</v>
      </c>
      <c r="AD563" s="9" cm="1">
        <f t="array" aca="1" ref="AD563" ca="1">_xll.FDS($E$9,"P_PRICE("&amp;AI563&amp;",0,D,D)")</f>
        <v>4378.38</v>
      </c>
      <c r="AE563" s="9" cm="1">
        <f t="array" aca="1" ref="AE563" ca="1">_xll.FDS($E$9,"P_PRICE("&amp;AJ563&amp;",0,D,D)")</f>
        <v>4247.68</v>
      </c>
      <c r="AF563" s="9" cm="1">
        <f t="array" aca="1" ref="AF563" ca="1">_xll.FDS($E$9,"P_PRICE("&amp;AK563&amp;",0,D,D)")</f>
        <v>4433.3100000000004</v>
      </c>
      <c r="AG563" s="20">
        <f t="shared" ca="1" si="153"/>
        <v>45251</v>
      </c>
      <c r="AH563" s="22">
        <f t="shared" ca="1" si="148"/>
        <v>45244</v>
      </c>
      <c r="AI563" s="22">
        <f t="shared" ca="1" si="149"/>
        <v>45237</v>
      </c>
      <c r="AJ563" s="22">
        <f t="shared" ca="1" si="150"/>
        <v>45223</v>
      </c>
      <c r="AK563" s="22">
        <f t="shared" ca="1" si="151"/>
        <v>45166</v>
      </c>
      <c r="AL563" s="22">
        <f t="shared" ca="1" si="152"/>
        <v>45078</v>
      </c>
    </row>
    <row r="564" spans="4:38" x14ac:dyDescent="0.25">
      <c r="D564" s="6">
        <f ca="1"/>
        <v>45250</v>
      </c>
      <c r="E564" s="28" cm="1">
        <f t="array" aca="1" ref="E564" ca="1">_xll.FDS($E$7,"P_PRICE("&amp;D564&amp;",0,D,D)")</f>
        <v>58.74</v>
      </c>
      <c r="F564" s="29" cm="1">
        <f t="array" aca="1" ref="F564" ca="1">_xll.FDS($E$7,"P_BETA_LOCIDX("&amp;$AG564&amp;","&amp;$AL564&amp;",,"""&amp;$E$9&amp;""")")</f>
        <v>1.1818162000000001</v>
      </c>
      <c r="G564" s="30">
        <f t="shared" ca="1" si="138"/>
        <v>-5.263287066958839E-2</v>
      </c>
      <c r="H564" s="30">
        <f t="shared" ca="1" si="138"/>
        <v>-3.0901984003458081E-2</v>
      </c>
      <c r="I564" s="30">
        <f t="shared" ca="1" si="138"/>
        <v>-2.0874815505877525E-2</v>
      </c>
      <c r="J564" s="30">
        <f t="shared" ca="1" si="136"/>
        <v>-1.2871588788511662E-2</v>
      </c>
      <c r="K564" s="30">
        <f t="shared" ca="1" si="139"/>
        <v>3.638768560845957E-2</v>
      </c>
      <c r="L564" s="30">
        <f t="shared" ca="1" si="139"/>
        <v>4.9102712032579286E-2</v>
      </c>
      <c r="M564" s="30">
        <f t="shared" ca="1" si="139"/>
        <v>9.2577059621914842E-2</v>
      </c>
      <c r="N564" s="30">
        <f t="shared" ca="1" si="137"/>
        <v>3.8002478840867798E-2</v>
      </c>
      <c r="O564" s="30">
        <f t="shared" ca="1" si="140"/>
        <v>-1.624518506112882E-2</v>
      </c>
      <c r="P564" s="30">
        <f t="shared" ca="1" si="141"/>
        <v>1.8200728029121205E-2</v>
      </c>
      <c r="Q564" s="30">
        <f t="shared" ca="1" si="142"/>
        <v>7.1702244116037317E-2</v>
      </c>
      <c r="R564" s="30">
        <f t="shared" ca="1" si="143"/>
        <v>2.5130890052356136E-2</v>
      </c>
      <c r="S564" s="9" cm="1">
        <f t="array" aca="1" ref="S564" ca="1">_xll.FDS($E$7,"P_PRICE("&amp;AG564&amp;",0,D,D)")</f>
        <v>58.74</v>
      </c>
      <c r="T564" s="9" cm="1">
        <f t="array" aca="1" ref="T564" ca="1">_xll.FDS($E$7,"P_PRICE("&amp;AH564&amp;",0,D,D)")</f>
        <v>59.71</v>
      </c>
      <c r="U564" s="9" cm="1">
        <f t="array" aca="1" ref="U564" ca="1">_xll.FDS($E$7,"P_PRICE("&amp;AI564&amp;",0,D,D)")</f>
        <v>57.69</v>
      </c>
      <c r="V564" s="9" cm="1">
        <f t="array" aca="1" ref="V564" ca="1">_xll.FDS($E$7,"P_PRICE("&amp;AJ564&amp;",0,D,D)")</f>
        <v>54.81</v>
      </c>
      <c r="W564" s="9" cm="1">
        <f t="array" aca="1" ref="W564" ca="1">_xll.FDS($E$7,"P_PRICE("&amp;AK564&amp;",0,D,D)")</f>
        <v>57.3</v>
      </c>
      <c r="X564" s="24">
        <f t="shared" ca="1" si="144"/>
        <v>3.0789631762079051E-2</v>
      </c>
      <c r="Y564" s="24">
        <f t="shared" ca="1" si="145"/>
        <v>4.1548518316620875E-2</v>
      </c>
      <c r="Z564" s="24">
        <f t="shared" ca="1" si="146"/>
        <v>7.8334566425739327E-2</v>
      </c>
      <c r="AA564" s="24">
        <f t="shared" ca="1" si="147"/>
        <v>3.215599755771481E-2</v>
      </c>
      <c r="AB564" s="9" cm="1">
        <f t="array" aca="1" ref="AB564" ca="1">_xll.FDS($E$9,"P_PRICE("&amp;AG564&amp;",0,D,D)")</f>
        <v>4547.38</v>
      </c>
      <c r="AC564" s="9" cm="1">
        <f t="array" aca="1" ref="AC564" ca="1">_xll.FDS($E$9,"P_PRICE("&amp;AH564&amp;",0,D,D)")</f>
        <v>4411.55</v>
      </c>
      <c r="AD564" s="9" cm="1">
        <f t="array" aca="1" ref="AD564" ca="1">_xll.FDS($E$9,"P_PRICE("&amp;AI564&amp;",0,D,D)")</f>
        <v>4365.9799999999996</v>
      </c>
      <c r="AE564" s="9" cm="1">
        <f t="array" aca="1" ref="AE564" ca="1">_xll.FDS($E$9,"P_PRICE("&amp;AJ564&amp;",0,D,D)")</f>
        <v>4217.04</v>
      </c>
      <c r="AF564" s="9" cm="1">
        <f t="array" aca="1" ref="AF564" ca="1">_xll.FDS($E$9,"P_PRICE("&amp;AK564&amp;",0,D,D)")</f>
        <v>4405.71</v>
      </c>
      <c r="AG564" s="20">
        <f t="shared" ca="1" si="153"/>
        <v>45250</v>
      </c>
      <c r="AH564" s="22">
        <f t="shared" ca="1" si="148"/>
        <v>45243</v>
      </c>
      <c r="AI564" s="22">
        <f t="shared" ca="1" si="149"/>
        <v>45236</v>
      </c>
      <c r="AJ564" s="22">
        <f t="shared" ca="1" si="150"/>
        <v>45222</v>
      </c>
      <c r="AK564" s="22">
        <f t="shared" ca="1" si="151"/>
        <v>45163</v>
      </c>
      <c r="AL564" s="22">
        <f t="shared" ca="1" si="152"/>
        <v>45077</v>
      </c>
    </row>
    <row r="565" spans="4:38" x14ac:dyDescent="0.25">
      <c r="D565" s="6">
        <f ca="1"/>
        <v>45247</v>
      </c>
      <c r="E565" s="28" cm="1">
        <f t="array" aca="1" ref="E565" ca="1">_xll.FDS($E$7,"P_PRICE("&amp;D565&amp;",0,D,D)")</f>
        <v>60.21</v>
      </c>
      <c r="F565" s="29" cm="1">
        <f t="array" aca="1" ref="F565" ca="1">_xll.FDS($E$7,"P_BETA_LOCIDX("&amp;$AG565&amp;","&amp;$AL565&amp;",,"""&amp;$E$9&amp;""")")</f>
        <v>1.2160203000000001</v>
      </c>
      <c r="G565" s="30">
        <f t="shared" ca="1" si="138"/>
        <v>-2.1358449754125045E-2</v>
      </c>
      <c r="H565" s="30">
        <f t="shared" ca="1" si="138"/>
        <v>1.5108032119719388E-2</v>
      </c>
      <c r="I565" s="30">
        <f t="shared" ca="1" si="138"/>
        <v>1.1483572472403336E-2</v>
      </c>
      <c r="J565" s="30">
        <f t="shared" ca="1" si="136"/>
        <v>2.0838210085275644E-2</v>
      </c>
      <c r="K565" s="30">
        <f t="shared" ca="1" si="139"/>
        <v>2.7205426032107075E-2</v>
      </c>
      <c r="L565" s="30">
        <f t="shared" ca="1" si="139"/>
        <v>4.3436271677748835E-2</v>
      </c>
      <c r="M565" s="30">
        <f t="shared" ca="1" si="139"/>
        <v>8.3442777773095778E-2</v>
      </c>
      <c r="N565" s="30">
        <f t="shared" ca="1" si="137"/>
        <v>3.8264692289394442E-2</v>
      </c>
      <c r="O565" s="30">
        <f t="shared" ca="1" si="140"/>
        <v>5.84697627798203E-3</v>
      </c>
      <c r="P565" s="30">
        <f t="shared" ca="1" si="141"/>
        <v>5.8544303797468222E-2</v>
      </c>
      <c r="Q565" s="30">
        <f t="shared" ca="1" si="142"/>
        <v>9.4926350245499114E-2</v>
      </c>
      <c r="R565" s="30">
        <f t="shared" ca="1" si="143"/>
        <v>5.9102902374670085E-2</v>
      </c>
      <c r="S565" s="9" cm="1">
        <f t="array" aca="1" ref="S565" ca="1">_xll.FDS($E$7,"P_PRICE("&amp;AG565&amp;",0,D,D)")</f>
        <v>60.21</v>
      </c>
      <c r="T565" s="9" cm="1">
        <f t="array" aca="1" ref="T565" ca="1">_xll.FDS($E$7,"P_PRICE("&amp;AH565&amp;",0,D,D)")</f>
        <v>59.86</v>
      </c>
      <c r="U565" s="9" cm="1">
        <f t="array" aca="1" ref="U565" ca="1">_xll.FDS($E$7,"P_PRICE("&amp;AI565&amp;",0,D,D)")</f>
        <v>56.88</v>
      </c>
      <c r="V565" s="9" cm="1">
        <f t="array" aca="1" ref="V565" ca="1">_xll.FDS($E$7,"P_PRICE("&amp;AJ565&amp;",0,D,D)")</f>
        <v>54.99</v>
      </c>
      <c r="W565" s="9" cm="1">
        <f t="array" aca="1" ref="W565" ca="1">_xll.FDS($E$7,"P_PRICE("&amp;AK565&amp;",0,D,D)")</f>
        <v>56.85</v>
      </c>
      <c r="X565" s="24">
        <f t="shared" ca="1" si="144"/>
        <v>2.2372509761643844E-2</v>
      </c>
      <c r="Y565" s="24">
        <f t="shared" ca="1" si="145"/>
        <v>3.5720021843178795E-2</v>
      </c>
      <c r="Z565" s="24">
        <f t="shared" ca="1" si="146"/>
        <v>6.8619559865156665E-2</v>
      </c>
      <c r="AA565" s="24">
        <f t="shared" ca="1" si="147"/>
        <v>3.1467149265020034E-2</v>
      </c>
      <c r="AB565" s="9" cm="1">
        <f t="array" aca="1" ref="AB565" ca="1">_xll.FDS($E$9,"P_PRICE("&amp;AG565&amp;",0,D,D)")</f>
        <v>4514.0200000000004</v>
      </c>
      <c r="AC565" s="9" cm="1">
        <f t="array" aca="1" ref="AC565" ca="1">_xll.FDS($E$9,"P_PRICE("&amp;AH565&amp;",0,D,D)")</f>
        <v>4415.24</v>
      </c>
      <c r="AD565" s="9" cm="1">
        <f t="array" aca="1" ref="AD565" ca="1">_xll.FDS($E$9,"P_PRICE("&amp;AI565&amp;",0,D,D)")</f>
        <v>4358.34</v>
      </c>
      <c r="AE565" s="9" cm="1">
        <f t="array" aca="1" ref="AE565" ca="1">_xll.FDS($E$9,"P_PRICE("&amp;AJ565&amp;",0,D,D)")</f>
        <v>4224.16</v>
      </c>
      <c r="AF565" s="9" cm="1">
        <f t="array" aca="1" ref="AF565" ca="1">_xll.FDS($E$9,"P_PRICE("&amp;AK565&amp;",0,D,D)")</f>
        <v>4376.3100000000004</v>
      </c>
      <c r="AG565" s="20">
        <f t="shared" ca="1" si="153"/>
        <v>45247</v>
      </c>
      <c r="AH565" s="22">
        <f t="shared" ca="1" si="148"/>
        <v>45240</v>
      </c>
      <c r="AI565" s="22">
        <f t="shared" ca="1" si="149"/>
        <v>45233</v>
      </c>
      <c r="AJ565" s="22">
        <f t="shared" ca="1" si="150"/>
        <v>45219</v>
      </c>
      <c r="AK565" s="22">
        <f t="shared" ca="1" si="151"/>
        <v>45162</v>
      </c>
      <c r="AL565" s="22">
        <f t="shared" ca="1" si="152"/>
        <v>45076</v>
      </c>
    </row>
    <row r="566" spans="4:38" x14ac:dyDescent="0.25">
      <c r="D566" s="6">
        <f ca="1"/>
        <v>45246</v>
      </c>
      <c r="E566" s="28" cm="1">
        <f t="array" aca="1" ref="E566" ca="1">_xll.FDS($E$7,"P_PRICE("&amp;D566&amp;",0,D,D)")</f>
        <v>59.19</v>
      </c>
      <c r="F566" s="29" cm="1">
        <f t="array" aca="1" ref="F566" ca="1">_xll.FDS($E$7,"P_BETA_LOCIDX("&amp;$AG566&amp;","&amp;$AL566&amp;",,"""&amp;$E$9&amp;""")")</f>
        <v>1.2000172</v>
      </c>
      <c r="G566" s="30">
        <f t="shared" ca="1" si="138"/>
        <v>-3.071016330606114E-2</v>
      </c>
      <c r="H566" s="30">
        <f t="shared" ca="1" si="138"/>
        <v>-1.0121676490677842E-2</v>
      </c>
      <c r="I566" s="30">
        <f t="shared" ca="1" si="138"/>
        <v>2.0077526237536766E-2</v>
      </c>
      <c r="J566" s="30">
        <f t="shared" ca="1" si="136"/>
        <v>3.0935733218228068E-3</v>
      </c>
      <c r="K566" s="30">
        <f t="shared" ca="1" si="139"/>
        <v>4.4411139500615045E-2</v>
      </c>
      <c r="L566" s="30">
        <f t="shared" ca="1" si="139"/>
        <v>5.2933515814145168E-2</v>
      </c>
      <c r="M566" s="30">
        <f t="shared" ca="1" si="139"/>
        <v>6.4584375906498362E-2</v>
      </c>
      <c r="N566" s="30">
        <f t="shared" ca="1" si="137"/>
        <v>1.9539460541342257E-2</v>
      </c>
      <c r="O566" s="30">
        <f t="shared" ca="1" si="140"/>
        <v>1.3700976194553904E-2</v>
      </c>
      <c r="P566" s="30">
        <f t="shared" ca="1" si="141"/>
        <v>4.2811839323467327E-2</v>
      </c>
      <c r="Q566" s="30">
        <f t="shared" ca="1" si="142"/>
        <v>8.4661902144035128E-2</v>
      </c>
      <c r="R566" s="30">
        <f t="shared" ca="1" si="143"/>
        <v>2.2633033863165064E-2</v>
      </c>
      <c r="S566" s="9" cm="1">
        <f t="array" aca="1" ref="S566" ca="1">_xll.FDS($E$7,"P_PRICE("&amp;AG566&amp;",0,D,D)")</f>
        <v>59.19</v>
      </c>
      <c r="T566" s="9" cm="1">
        <f t="array" aca="1" ref="T566" ca="1">_xll.FDS($E$7,"P_PRICE("&amp;AH566&amp;",0,D,D)")</f>
        <v>58.39</v>
      </c>
      <c r="U566" s="9" cm="1">
        <f t="array" aca="1" ref="U566" ca="1">_xll.FDS($E$7,"P_PRICE("&amp;AI566&amp;",0,D,D)")</f>
        <v>56.76</v>
      </c>
      <c r="V566" s="9" cm="1">
        <f t="array" aca="1" ref="V566" ca="1">_xll.FDS($E$7,"P_PRICE("&amp;AJ566&amp;",0,D,D)")</f>
        <v>54.57</v>
      </c>
      <c r="W566" s="9" cm="1">
        <f t="array" aca="1" ref="W566" ca="1">_xll.FDS($E$7,"P_PRICE("&amp;AK566&amp;",0,D,D)")</f>
        <v>57.88</v>
      </c>
      <c r="X566" s="24">
        <f t="shared" ca="1" si="144"/>
        <v>3.7008752458393968E-2</v>
      </c>
      <c r="Y566" s="24">
        <f t="shared" ca="1" si="145"/>
        <v>4.4110630926077699E-2</v>
      </c>
      <c r="Z566" s="24">
        <f t="shared" ca="1" si="146"/>
        <v>5.3819541841982232E-2</v>
      </c>
      <c r="AA566" s="24">
        <f t="shared" ca="1" si="147"/>
        <v>1.628265039979615E-2</v>
      </c>
      <c r="AB566" s="9" cm="1">
        <f t="array" aca="1" ref="AB566" ca="1">_xll.FDS($E$9,"P_PRICE("&amp;AG566&amp;",0,D,D)")</f>
        <v>4508.24</v>
      </c>
      <c r="AC566" s="9" cm="1">
        <f t="array" aca="1" ref="AC566" ca="1">_xll.FDS($E$9,"P_PRICE("&amp;AH566&amp;",0,D,D)")</f>
        <v>4347.3500000000004</v>
      </c>
      <c r="AD566" s="9" cm="1">
        <f t="array" aca="1" ref="AD566" ca="1">_xll.FDS($E$9,"P_PRICE("&amp;AI566&amp;",0,D,D)")</f>
        <v>4317.78</v>
      </c>
      <c r="AE566" s="9" cm="1">
        <f t="array" aca="1" ref="AE566" ca="1">_xll.FDS($E$9,"P_PRICE("&amp;AJ566&amp;",0,D,D)")</f>
        <v>4278</v>
      </c>
      <c r="AF566" s="9" cm="1">
        <f t="array" aca="1" ref="AF566" ca="1">_xll.FDS($E$9,"P_PRICE("&amp;AK566&amp;",0,D,D)")</f>
        <v>4436.01</v>
      </c>
      <c r="AG566" s="20">
        <f t="shared" ca="1" si="153"/>
        <v>45246</v>
      </c>
      <c r="AH566" s="22">
        <f t="shared" ca="1" si="148"/>
        <v>45239</v>
      </c>
      <c r="AI566" s="22">
        <f t="shared" ca="1" si="149"/>
        <v>45232</v>
      </c>
      <c r="AJ566" s="22">
        <f t="shared" ca="1" si="150"/>
        <v>45218</v>
      </c>
      <c r="AK566" s="22">
        <f t="shared" ca="1" si="151"/>
        <v>45161</v>
      </c>
      <c r="AL566" s="22">
        <f t="shared" ca="1" si="152"/>
        <v>45072</v>
      </c>
    </row>
    <row r="567" spans="4:38" x14ac:dyDescent="0.25">
      <c r="D567" s="6">
        <f ca="1"/>
        <v>45245</v>
      </c>
      <c r="E567" s="28" cm="1">
        <f t="array" aca="1" ref="E567" ca="1">_xll.FDS($E$7,"P_PRICE("&amp;D567&amp;",0,D,D)")</f>
        <v>59.11</v>
      </c>
      <c r="F567" s="29" cm="1">
        <f t="array" aca="1" ref="F567" ca="1">_xll.FDS($E$7,"P_BETA_LOCIDX("&amp;$AG567&amp;","&amp;$AL567&amp;",,"""&amp;$E$9&amp;""")")</f>
        <v>1.1907623000000001</v>
      </c>
      <c r="G567" s="30">
        <f t="shared" ca="1" si="138"/>
        <v>-2.9405389109095008E-2</v>
      </c>
      <c r="H567" s="30">
        <f t="shared" ca="1" si="138"/>
        <v>-3.2512733501024529E-2</v>
      </c>
      <c r="I567" s="30">
        <f t="shared" ca="1" si="138"/>
        <v>1.2699040114672454E-2</v>
      </c>
      <c r="J567" s="30">
        <f t="shared" ca="1" si="136"/>
        <v>1.910908485251113E-3</v>
      </c>
      <c r="K567" s="30">
        <f t="shared" ca="1" si="139"/>
        <v>3.2630100582279047E-2</v>
      </c>
      <c r="L567" s="30">
        <f t="shared" ca="1" si="139"/>
        <v>7.4465844729651412E-2</v>
      </c>
      <c r="M567" s="30">
        <f t="shared" ca="1" si="139"/>
        <v>5.1962343170630011E-2</v>
      </c>
      <c r="N567" s="30">
        <f t="shared" ca="1" si="137"/>
        <v>3.1300068616654013E-2</v>
      </c>
      <c r="O567" s="30">
        <f t="shared" ca="1" si="140"/>
        <v>3.2247114731840387E-3</v>
      </c>
      <c r="P567" s="30">
        <f t="shared" ca="1" si="141"/>
        <v>4.1953111228626883E-2</v>
      </c>
      <c r="Q567" s="30">
        <f t="shared" ca="1" si="142"/>
        <v>6.4661383285302465E-2</v>
      </c>
      <c r="R567" s="30">
        <f t="shared" ca="1" si="143"/>
        <v>3.3210977101905126E-2</v>
      </c>
      <c r="S567" s="9" cm="1">
        <f t="array" aca="1" ref="S567" ca="1">_xll.FDS($E$7,"P_PRICE("&amp;AG567&amp;",0,D,D)")</f>
        <v>59.11</v>
      </c>
      <c r="T567" s="9" cm="1">
        <f t="array" aca="1" ref="T567" ca="1">_xll.FDS($E$7,"P_PRICE("&amp;AH567&amp;",0,D,D)")</f>
        <v>58.92</v>
      </c>
      <c r="U567" s="9" cm="1">
        <f t="array" aca="1" ref="U567" ca="1">_xll.FDS($E$7,"P_PRICE("&amp;AI567&amp;",0,D,D)")</f>
        <v>56.73</v>
      </c>
      <c r="V567" s="9" cm="1">
        <f t="array" aca="1" ref="V567" ca="1">_xll.FDS($E$7,"P_PRICE("&amp;AJ567&amp;",0,D,D)")</f>
        <v>55.52</v>
      </c>
      <c r="W567" s="9" cm="1">
        <f t="array" aca="1" ref="W567" ca="1">_xll.FDS($E$7,"P_PRICE("&amp;AK567&amp;",0,D,D)")</f>
        <v>57.21</v>
      </c>
      <c r="X567" s="24">
        <f t="shared" ca="1" si="144"/>
        <v>2.7402698743719922E-2</v>
      </c>
      <c r="Y567" s="24">
        <f t="shared" ca="1" si="145"/>
        <v>6.2536280103637321E-2</v>
      </c>
      <c r="Z567" s="24">
        <f t="shared" ca="1" si="146"/>
        <v>4.3637880684188612E-2</v>
      </c>
      <c r="AA567" s="24">
        <f t="shared" ca="1" si="147"/>
        <v>2.6285740333443552E-2</v>
      </c>
      <c r="AB567" s="9" cm="1">
        <f t="array" aca="1" ref="AB567" ca="1">_xll.FDS($E$9,"P_PRICE("&amp;AG567&amp;",0,D,D)")</f>
        <v>4502.88</v>
      </c>
      <c r="AC567" s="9" cm="1">
        <f t="array" aca="1" ref="AC567" ca="1">_xll.FDS($E$9,"P_PRICE("&amp;AH567&amp;",0,D,D)")</f>
        <v>4382.78</v>
      </c>
      <c r="AD567" s="9" cm="1">
        <f t="array" aca="1" ref="AD567" ca="1">_xll.FDS($E$9,"P_PRICE("&amp;AI567&amp;",0,D,D)")</f>
        <v>4237.8599999999997</v>
      </c>
      <c r="AE567" s="9" cm="1">
        <f t="array" aca="1" ref="AE567" ca="1">_xll.FDS($E$9,"P_PRICE("&amp;AJ567&amp;",0,D,D)")</f>
        <v>4314.6000000000004</v>
      </c>
      <c r="AF567" s="9" cm="1">
        <f t="array" aca="1" ref="AF567" ca="1">_xll.FDS($E$9,"P_PRICE("&amp;AK567&amp;",0,D,D)")</f>
        <v>4387.55</v>
      </c>
      <c r="AG567" s="20">
        <f t="shared" ca="1" si="153"/>
        <v>45245</v>
      </c>
      <c r="AH567" s="22">
        <f t="shared" ca="1" si="148"/>
        <v>45238</v>
      </c>
      <c r="AI567" s="22">
        <f t="shared" ca="1" si="149"/>
        <v>45231</v>
      </c>
      <c r="AJ567" s="22">
        <f t="shared" ca="1" si="150"/>
        <v>45217</v>
      </c>
      <c r="AK567" s="22">
        <f t="shared" ca="1" si="151"/>
        <v>45160</v>
      </c>
      <c r="AL567" s="22">
        <f t="shared" ca="1" si="152"/>
        <v>45071</v>
      </c>
    </row>
    <row r="568" spans="4:38" x14ac:dyDescent="0.25">
      <c r="D568" s="6">
        <f ca="1"/>
        <v>45244</v>
      </c>
      <c r="E568" s="28" cm="1">
        <f t="array" aca="1" ref="E568" ca="1">_xll.FDS($E$7,"P_PRICE("&amp;D568&amp;",0,D,D)")</f>
        <v>60.13</v>
      </c>
      <c r="F568" s="29" cm="1">
        <f t="array" aca="1" ref="F568" ca="1">_xll.FDS($E$7,"P_BETA_LOCIDX("&amp;$AG568&amp;","&amp;$AL568&amp;",,"""&amp;$E$9&amp;""")")</f>
        <v>1.1956869000000001</v>
      </c>
      <c r="G568" s="30">
        <f t="shared" ca="1" si="138"/>
        <v>2.5448324379034673E-3</v>
      </c>
      <c r="H568" s="30">
        <f t="shared" ca="1" si="138"/>
        <v>3.6382423843828268E-2</v>
      </c>
      <c r="I568" s="30">
        <f t="shared" ca="1" si="138"/>
        <v>3.4099011130016219E-3</v>
      </c>
      <c r="J568" s="30">
        <f t="shared" ca="1" si="136"/>
        <v>3.7048757238104579E-2</v>
      </c>
      <c r="K568" s="30">
        <f t="shared" ca="1" si="139"/>
        <v>3.2038787658449051E-2</v>
      </c>
      <c r="L568" s="30">
        <f t="shared" ca="1" si="139"/>
        <v>8.6074174998807554E-2</v>
      </c>
      <c r="M568" s="30">
        <f t="shared" ca="1" si="139"/>
        <v>3.3493013182566513E-2</v>
      </c>
      <c r="N568" s="30">
        <f t="shared" ca="1" si="137"/>
        <v>2.6070054643083485E-2</v>
      </c>
      <c r="O568" s="30">
        <f t="shared" ca="1" si="140"/>
        <v>3.4583620096352519E-2</v>
      </c>
      <c r="P568" s="30">
        <f t="shared" ca="1" si="141"/>
        <v>0.12245659884263582</v>
      </c>
      <c r="Q568" s="30">
        <f t="shared" ca="1" si="142"/>
        <v>3.6902914295568134E-2</v>
      </c>
      <c r="R568" s="30">
        <f t="shared" ca="1" si="143"/>
        <v>6.3118811881188064E-2</v>
      </c>
      <c r="S568" s="9" cm="1">
        <f t="array" aca="1" ref="S568" ca="1">_xll.FDS($E$7,"P_PRICE("&amp;AG568&amp;",0,D,D)")</f>
        <v>60.13</v>
      </c>
      <c r="T568" s="9" cm="1">
        <f t="array" aca="1" ref="T568" ca="1">_xll.FDS($E$7,"P_PRICE("&amp;AH568&amp;",0,D,D)")</f>
        <v>58.12</v>
      </c>
      <c r="U568" s="9" cm="1">
        <f t="array" aca="1" ref="U568" ca="1">_xll.FDS($E$7,"P_PRICE("&amp;AI568&amp;",0,D,D)")</f>
        <v>53.57</v>
      </c>
      <c r="V568" s="9" cm="1">
        <f t="array" aca="1" ref="V568" ca="1">_xll.FDS($E$7,"P_PRICE("&amp;AJ568&amp;",0,D,D)")</f>
        <v>57.99</v>
      </c>
      <c r="W568" s="9" cm="1">
        <f t="array" aca="1" ref="W568" ca="1">_xll.FDS($E$7,"P_PRICE("&amp;AK568&amp;",0,D,D)")</f>
        <v>56.56</v>
      </c>
      <c r="X568" s="24">
        <f t="shared" ca="1" si="144"/>
        <v>2.6795298717790628E-2</v>
      </c>
      <c r="Y568" s="24">
        <f t="shared" ca="1" si="145"/>
        <v>7.198721922838458E-2</v>
      </c>
      <c r="Z568" s="24">
        <f t="shared" ca="1" si="146"/>
        <v>2.8011524741607952E-2</v>
      </c>
      <c r="AA568" s="24">
        <f t="shared" ca="1" si="147"/>
        <v>2.1803412451105286E-2</v>
      </c>
      <c r="AB568" s="9" cm="1">
        <f t="array" aca="1" ref="AB568" ca="1">_xll.FDS($E$9,"P_PRICE("&amp;AG568&amp;",0,D,D)")</f>
        <v>4495.7</v>
      </c>
      <c r="AC568" s="9" cm="1">
        <f t="array" aca="1" ref="AC568" ca="1">_xll.FDS($E$9,"P_PRICE("&amp;AH568&amp;",0,D,D)")</f>
        <v>4378.38</v>
      </c>
      <c r="AD568" s="9" cm="1">
        <f t="array" aca="1" ref="AD568" ca="1">_xll.FDS($E$9,"P_PRICE("&amp;AI568&amp;",0,D,D)")</f>
        <v>4193.8</v>
      </c>
      <c r="AE568" s="9" cm="1">
        <f t="array" aca="1" ref="AE568" ca="1">_xll.FDS($E$9,"P_PRICE("&amp;AJ568&amp;",0,D,D)")</f>
        <v>4373.2</v>
      </c>
      <c r="AF568" s="9" cm="1">
        <f t="array" aca="1" ref="AF568" ca="1">_xll.FDS($E$9,"P_PRICE("&amp;AK568&amp;",0,D,D)")</f>
        <v>4399.7700000000004</v>
      </c>
      <c r="AG568" s="20">
        <f t="shared" ca="1" si="153"/>
        <v>45244</v>
      </c>
      <c r="AH568" s="22">
        <f t="shared" ca="1" si="148"/>
        <v>45237</v>
      </c>
      <c r="AI568" s="22">
        <f t="shared" ca="1" si="149"/>
        <v>45230</v>
      </c>
      <c r="AJ568" s="22">
        <f t="shared" ca="1" si="150"/>
        <v>45216</v>
      </c>
      <c r="AK568" s="22">
        <f t="shared" ca="1" si="151"/>
        <v>45159</v>
      </c>
      <c r="AL568" s="22">
        <f t="shared" ca="1" si="152"/>
        <v>45070</v>
      </c>
    </row>
    <row r="569" spans="4:38" x14ac:dyDescent="0.25">
      <c r="D569" s="6">
        <f ca="1"/>
        <v>45243</v>
      </c>
      <c r="E569" s="28" cm="1">
        <f t="array" aca="1" ref="E569" ca="1">_xll.FDS($E$7,"P_PRICE("&amp;D569&amp;",0,D,D)")</f>
        <v>59.71</v>
      </c>
      <c r="F569" s="29" cm="1">
        <f t="array" aca="1" ref="F569" ca="1">_xll.FDS($E$7,"P_BETA_LOCIDX("&amp;$AG569&amp;","&amp;$AL569&amp;",,"""&amp;$E$9&amp;""")")</f>
        <v>1.2652432</v>
      </c>
      <c r="G569" s="30">
        <f t="shared" ca="1" si="138"/>
        <v>2.1808733752281546E-2</v>
      </c>
      <c r="H569" s="30">
        <f t="shared" ca="1" si="138"/>
        <v>4.1971839726628324E-2</v>
      </c>
      <c r="I569" s="30">
        <f t="shared" ca="1" si="138"/>
        <v>8.1460498950471569E-3</v>
      </c>
      <c r="J569" s="30">
        <f t="shared" ca="1" si="136"/>
        <v>4.5822921499055425E-2</v>
      </c>
      <c r="K569" s="30">
        <f t="shared" ca="1" si="139"/>
        <v>1.3206000170408733E-2</v>
      </c>
      <c r="L569" s="30">
        <f t="shared" ca="1" si="139"/>
        <v>7.4311577734579415E-2</v>
      </c>
      <c r="M569" s="30">
        <f t="shared" ca="1" si="139"/>
        <v>1.0969840188584747E-2</v>
      </c>
      <c r="N569" s="30">
        <f t="shared" ca="1" si="137"/>
        <v>1.211471138542375E-2</v>
      </c>
      <c r="O569" s="30">
        <f t="shared" ca="1" si="140"/>
        <v>3.5014733922690278E-2</v>
      </c>
      <c r="P569" s="30">
        <f t="shared" ca="1" si="141"/>
        <v>0.11628341746120774</v>
      </c>
      <c r="Q569" s="30">
        <f t="shared" ca="1" si="142"/>
        <v>1.9115890083631903E-2</v>
      </c>
      <c r="R569" s="30">
        <f t="shared" ca="1" si="143"/>
        <v>5.7937632884479173E-2</v>
      </c>
      <c r="S569" s="9" cm="1">
        <f t="array" aca="1" ref="S569" ca="1">_xll.FDS($E$7,"P_PRICE("&amp;AG569&amp;",0,D,D)")</f>
        <v>59.71</v>
      </c>
      <c r="T569" s="9" cm="1">
        <f t="array" aca="1" ref="T569" ca="1">_xll.FDS($E$7,"P_PRICE("&amp;AH569&amp;",0,D,D)")</f>
        <v>57.69</v>
      </c>
      <c r="U569" s="9" cm="1">
        <f t="array" aca="1" ref="U569" ca="1">_xll.FDS($E$7,"P_PRICE("&amp;AI569&amp;",0,D,D)")</f>
        <v>53.49</v>
      </c>
      <c r="V569" s="9" cm="1">
        <f t="array" aca="1" ref="V569" ca="1">_xll.FDS($E$7,"P_PRICE("&amp;AJ569&amp;",0,D,D)")</f>
        <v>58.59</v>
      </c>
      <c r="W569" s="9" cm="1">
        <f t="array" aca="1" ref="W569" ca="1">_xll.FDS($E$7,"P_PRICE("&amp;AK569&amp;",0,D,D)")</f>
        <v>56.44</v>
      </c>
      <c r="X569" s="24">
        <f t="shared" ca="1" si="144"/>
        <v>1.0437519182405985E-2</v>
      </c>
      <c r="Y569" s="24">
        <f t="shared" ca="1" si="145"/>
        <v>5.8733038624178668E-2</v>
      </c>
      <c r="Z569" s="24">
        <f t="shared" ca="1" si="146"/>
        <v>8.670143564956323E-3</v>
      </c>
      <c r="AA569" s="24">
        <f t="shared" ca="1" si="147"/>
        <v>9.5750061216877125E-3</v>
      </c>
      <c r="AB569" s="9" cm="1">
        <f t="array" aca="1" ref="AB569" ca="1">_xll.FDS($E$9,"P_PRICE("&amp;AG569&amp;",0,D,D)")</f>
        <v>4411.55</v>
      </c>
      <c r="AC569" s="9" cm="1">
        <f t="array" aca="1" ref="AC569" ca="1">_xll.FDS($E$9,"P_PRICE("&amp;AH569&amp;",0,D,D)")</f>
        <v>4365.9799999999996</v>
      </c>
      <c r="AD569" s="9" cm="1">
        <f t="array" aca="1" ref="AD569" ca="1">_xll.FDS($E$9,"P_PRICE("&amp;AI569&amp;",0,D,D)")</f>
        <v>4166.82</v>
      </c>
      <c r="AE569" s="9" cm="1">
        <f t="array" aca="1" ref="AE569" ca="1">_xll.FDS($E$9,"P_PRICE("&amp;AJ569&amp;",0,D,D)")</f>
        <v>4373.63</v>
      </c>
      <c r="AF569" s="9" cm="1">
        <f t="array" aca="1" ref="AF569" ca="1">_xll.FDS($E$9,"P_PRICE("&amp;AK569&amp;",0,D,D)")</f>
        <v>4369.71</v>
      </c>
      <c r="AG569" s="20">
        <f t="shared" ca="1" si="153"/>
        <v>45243</v>
      </c>
      <c r="AH569" s="22">
        <f t="shared" ca="1" si="148"/>
        <v>45236</v>
      </c>
      <c r="AI569" s="22">
        <f t="shared" ca="1" si="149"/>
        <v>45229</v>
      </c>
      <c r="AJ569" s="22">
        <f t="shared" ca="1" si="150"/>
        <v>45215</v>
      </c>
      <c r="AK569" s="22">
        <f t="shared" ca="1" si="151"/>
        <v>45156</v>
      </c>
      <c r="AL569" s="22">
        <f t="shared" ca="1" si="152"/>
        <v>45069</v>
      </c>
    </row>
    <row r="570" spans="4:38" x14ac:dyDescent="0.25">
      <c r="D570" s="6">
        <f ca="1"/>
        <v>45240</v>
      </c>
      <c r="E570" s="28" cm="1">
        <f t="array" aca="1" ref="E570" ca="1">_xll.FDS($E$7,"P_PRICE("&amp;D570&amp;",0,D,D)")</f>
        <v>59.86</v>
      </c>
      <c r="F570" s="29" cm="1">
        <f t="array" aca="1" ref="F570" ca="1">_xll.FDS($E$7,"P_BETA_LOCIDX("&amp;$AG570&amp;","&amp;$AL570&amp;",,"""&amp;$E$9&amp;""")")</f>
        <v>1.2649452999999999</v>
      </c>
      <c r="G570" s="30">
        <f t="shared" ca="1" si="138"/>
        <v>3.5876594584205598E-2</v>
      </c>
      <c r="H570" s="30">
        <f t="shared" ca="1" si="138"/>
        <v>5.1945377858353459E-2</v>
      </c>
      <c r="I570" s="30">
        <f t="shared" ca="1" si="138"/>
        <v>1.4937359798595898E-2</v>
      </c>
      <c r="J570" s="30">
        <f t="shared" ca="1" si="136"/>
        <v>4.9865166569302781E-2</v>
      </c>
      <c r="K570" s="30">
        <f t="shared" ca="1" si="139"/>
        <v>1.6514404009324649E-2</v>
      </c>
      <c r="L570" s="30">
        <f t="shared" ca="1" si="139"/>
        <v>9.1512119753871912E-2</v>
      </c>
      <c r="M570" s="30">
        <f t="shared" ca="1" si="139"/>
        <v>2.5563248579641425E-2</v>
      </c>
      <c r="N570" s="30">
        <f t="shared" ca="1" si="137"/>
        <v>1.2989947067060756E-2</v>
      </c>
      <c r="O570" s="30">
        <f t="shared" ca="1" si="140"/>
        <v>5.2390998593530247E-2</v>
      </c>
      <c r="P570" s="30">
        <f t="shared" ca="1" si="141"/>
        <v>0.14345749761222537</v>
      </c>
      <c r="Q570" s="30">
        <f t="shared" ca="1" si="142"/>
        <v>4.0500608378237324E-2</v>
      </c>
      <c r="R570" s="30">
        <f t="shared" ca="1" si="143"/>
        <v>6.2855113636363535E-2</v>
      </c>
      <c r="S570" s="9" cm="1">
        <f t="array" aca="1" ref="S570" ca="1">_xll.FDS($E$7,"P_PRICE("&amp;AG570&amp;",0,D,D)")</f>
        <v>59.86</v>
      </c>
      <c r="T570" s="9" cm="1">
        <f t="array" aca="1" ref="T570" ca="1">_xll.FDS($E$7,"P_PRICE("&amp;AH570&amp;",0,D,D)")</f>
        <v>56.88</v>
      </c>
      <c r="U570" s="9" cm="1">
        <f t="array" aca="1" ref="U570" ca="1">_xll.FDS($E$7,"P_PRICE("&amp;AI570&amp;",0,D,D)")</f>
        <v>52.35</v>
      </c>
      <c r="V570" s="9" cm="1">
        <f t="array" aca="1" ref="V570" ca="1">_xll.FDS($E$7,"P_PRICE("&amp;AJ570&amp;",0,D,D)")</f>
        <v>57.53</v>
      </c>
      <c r="W570" s="9" cm="1">
        <f t="array" aca="1" ref="W570" ca="1">_xll.FDS($E$7,"P_PRICE("&amp;AK570&amp;",0,D,D)")</f>
        <v>56.32</v>
      </c>
      <c r="X570" s="24">
        <f t="shared" ca="1" si="144"/>
        <v>1.3055429360719906E-2</v>
      </c>
      <c r="Y570" s="24">
        <f t="shared" ca="1" si="145"/>
        <v>7.2344724909347402E-2</v>
      </c>
      <c r="Z570" s="24">
        <f t="shared" ca="1" si="146"/>
        <v>2.0208975502451709E-2</v>
      </c>
      <c r="AA570" s="24">
        <f t="shared" ca="1" si="147"/>
        <v>1.0269176909911248E-2</v>
      </c>
      <c r="AB570" s="9" cm="1">
        <f t="array" aca="1" ref="AB570" ca="1">_xll.FDS($E$9,"P_PRICE("&amp;AG570&amp;",0,D,D)")</f>
        <v>4415.24</v>
      </c>
      <c r="AC570" s="9" cm="1">
        <f t="array" aca="1" ref="AC570" ca="1">_xll.FDS($E$9,"P_PRICE("&amp;AH570&amp;",0,D,D)")</f>
        <v>4358.34</v>
      </c>
      <c r="AD570" s="9" cm="1">
        <f t="array" aca="1" ref="AD570" ca="1">_xll.FDS($E$9,"P_PRICE("&amp;AI570&amp;",0,D,D)")</f>
        <v>4117.37</v>
      </c>
      <c r="AE570" s="9" cm="1">
        <f t="array" aca="1" ref="AE570" ca="1">_xll.FDS($E$9,"P_PRICE("&amp;AJ570&amp;",0,D,D)")</f>
        <v>4327.78</v>
      </c>
      <c r="AF570" s="9" cm="1">
        <f t="array" aca="1" ref="AF570" ca="1">_xll.FDS($E$9,"P_PRICE("&amp;AK570&amp;",0,D,D)")</f>
        <v>4370.3599999999997</v>
      </c>
      <c r="AG570" s="20">
        <f t="shared" ca="1" si="153"/>
        <v>45240</v>
      </c>
      <c r="AH570" s="22">
        <f t="shared" ca="1" si="148"/>
        <v>45233</v>
      </c>
      <c r="AI570" s="22">
        <f t="shared" ca="1" si="149"/>
        <v>45226</v>
      </c>
      <c r="AJ570" s="22">
        <f t="shared" ca="1" si="150"/>
        <v>45212</v>
      </c>
      <c r="AK570" s="22">
        <f t="shared" ca="1" si="151"/>
        <v>45155</v>
      </c>
      <c r="AL570" s="22">
        <f t="shared" ca="1" si="152"/>
        <v>45068</v>
      </c>
    </row>
    <row r="571" spans="4:38" x14ac:dyDescent="0.25">
      <c r="D571" s="6">
        <f ca="1"/>
        <v>45239</v>
      </c>
      <c r="E571" s="28" cm="1">
        <f t="array" aca="1" ref="E571" ca="1">_xll.FDS($E$7,"P_PRICE("&amp;D571&amp;",0,D,D)")</f>
        <v>58.39</v>
      </c>
      <c r="F571" s="29" cm="1">
        <f t="array" aca="1" ref="F571" ca="1">_xll.FDS($E$7,"P_BETA_LOCIDX("&amp;$AG571&amp;","&amp;$AL571&amp;",,"""&amp;$E$9&amp;""")")</f>
        <v>1.2537434000000001</v>
      </c>
      <c r="G571" s="30">
        <f t="shared" ca="1" si="138"/>
        <v>2.0131236801465065E-2</v>
      </c>
      <c r="H571" s="30">
        <f t="shared" ca="1" si="138"/>
        <v>5.298248095782121E-2</v>
      </c>
      <c r="I571" s="30">
        <f t="shared" ca="1" si="138"/>
        <v>5.2969894466558341E-3</v>
      </c>
      <c r="J571" s="30">
        <f t="shared" ca="1" si="136"/>
        <v>3.2228367244381384E-2</v>
      </c>
      <c r="K571" s="30">
        <f t="shared" ca="1" si="139"/>
        <v>8.5861698229183145E-3</v>
      </c>
      <c r="L571" s="30">
        <f t="shared" ca="1" si="139"/>
        <v>6.3674623651090556E-2</v>
      </c>
      <c r="M571" s="30">
        <f t="shared" ca="1" si="139"/>
        <v>-6.5142853819059356E-4</v>
      </c>
      <c r="N571" s="30">
        <f t="shared" ca="1" si="137"/>
        <v>-1.6220015060633419E-2</v>
      </c>
      <c r="O571" s="30">
        <f t="shared" ca="1" si="140"/>
        <v>2.8717406624383379E-2</v>
      </c>
      <c r="P571" s="30">
        <f t="shared" ca="1" si="141"/>
        <v>0.11665710460891177</v>
      </c>
      <c r="Q571" s="30">
        <f t="shared" ca="1" si="142"/>
        <v>4.6455609084652405E-3</v>
      </c>
      <c r="R571" s="30">
        <f t="shared" ca="1" si="143"/>
        <v>1.6008352183747965E-2</v>
      </c>
      <c r="S571" s="9" cm="1">
        <f t="array" aca="1" ref="S571" ca="1">_xll.FDS($E$7,"P_PRICE("&amp;AG571&amp;",0,D,D)")</f>
        <v>58.39</v>
      </c>
      <c r="T571" s="9" cm="1">
        <f t="array" aca="1" ref="T571" ca="1">_xll.FDS($E$7,"P_PRICE("&amp;AH571&amp;",0,D,D)")</f>
        <v>56.76</v>
      </c>
      <c r="U571" s="9" cm="1">
        <f t="array" aca="1" ref="U571" ca="1">_xll.FDS($E$7,"P_PRICE("&amp;AI571&amp;",0,D,D)")</f>
        <v>52.29</v>
      </c>
      <c r="V571" s="9" cm="1">
        <f t="array" aca="1" ref="V571" ca="1">_xll.FDS($E$7,"P_PRICE("&amp;AJ571&amp;",0,D,D)")</f>
        <v>58.12</v>
      </c>
      <c r="W571" s="9" cm="1">
        <f t="array" aca="1" ref="W571" ca="1">_xll.FDS($E$7,"P_PRICE("&amp;AK571&amp;",0,D,D)")</f>
        <v>57.47</v>
      </c>
      <c r="X571" s="24">
        <f t="shared" ca="1" si="144"/>
        <v>6.8484267378143837E-3</v>
      </c>
      <c r="Y571" s="24">
        <f t="shared" ca="1" si="145"/>
        <v>5.0787604266623099E-2</v>
      </c>
      <c r="Z571" s="24">
        <f t="shared" ca="1" si="146"/>
        <v>-5.1958681353025948E-4</v>
      </c>
      <c r="AA571" s="24">
        <f t="shared" ca="1" si="147"/>
        <v>-1.2937268551629799E-2</v>
      </c>
      <c r="AB571" s="9" cm="1">
        <f t="array" aca="1" ref="AB571" ca="1">_xll.FDS($E$9,"P_PRICE("&amp;AG571&amp;",0,D,D)")</f>
        <v>4347.3500000000004</v>
      </c>
      <c r="AC571" s="9" cm="1">
        <f t="array" aca="1" ref="AC571" ca="1">_xll.FDS($E$9,"P_PRICE("&amp;AH571&amp;",0,D,D)")</f>
        <v>4317.78</v>
      </c>
      <c r="AD571" s="9" cm="1">
        <f t="array" aca="1" ref="AD571" ca="1">_xll.FDS($E$9,"P_PRICE("&amp;AI571&amp;",0,D,D)")</f>
        <v>4137.2299999999996</v>
      </c>
      <c r="AE571" s="9" cm="1">
        <f t="array" aca="1" ref="AE571" ca="1">_xll.FDS($E$9,"P_PRICE("&amp;AJ571&amp;",0,D,D)")</f>
        <v>4349.6099999999997</v>
      </c>
      <c r="AF571" s="9" cm="1">
        <f t="array" aca="1" ref="AF571" ca="1">_xll.FDS($E$9,"P_PRICE("&amp;AK571&amp;",0,D,D)")</f>
        <v>4404.33</v>
      </c>
      <c r="AG571" s="20">
        <f t="shared" ca="1" si="153"/>
        <v>45239</v>
      </c>
      <c r="AH571" s="22">
        <f t="shared" ca="1" si="148"/>
        <v>45232</v>
      </c>
      <c r="AI571" s="22">
        <f t="shared" ca="1" si="149"/>
        <v>45225</v>
      </c>
      <c r="AJ571" s="22">
        <f t="shared" ca="1" si="150"/>
        <v>45211</v>
      </c>
      <c r="AK571" s="22">
        <f t="shared" ca="1" si="151"/>
        <v>45154</v>
      </c>
      <c r="AL571" s="22">
        <f t="shared" ca="1" si="152"/>
        <v>45065</v>
      </c>
    </row>
    <row r="572" spans="4:38" x14ac:dyDescent="0.25">
      <c r="D572" s="6">
        <f ca="1"/>
        <v>45238</v>
      </c>
      <c r="E572" s="28" cm="1">
        <f t="array" aca="1" ref="E572" ca="1">_xll.FDS($E$7,"P_PRICE("&amp;D572&amp;",0,D,D)")</f>
        <v>58.92</v>
      </c>
      <c r="F572" s="29" cm="1">
        <f t="array" aca="1" ref="F572" ca="1">_xll.FDS($E$7,"P_BETA_LOCIDX("&amp;$AG572&amp;","&amp;$AL572&amp;",,"""&amp;$E$9&amp;""")")</f>
        <v>1.2465093</v>
      </c>
      <c r="G572" s="30">
        <f t="shared" ca="1" si="138"/>
        <v>-4.022348036789157E-3</v>
      </c>
      <c r="H572" s="30">
        <f t="shared" ca="1" si="138"/>
        <v>4.2951184070161713E-2</v>
      </c>
      <c r="I572" s="30">
        <f t="shared" ca="1" si="138"/>
        <v>-6.7261787787908488E-3</v>
      </c>
      <c r="J572" s="30">
        <f t="shared" ca="1" si="136"/>
        <v>3.9276296528258869E-2</v>
      </c>
      <c r="K572" s="30">
        <f t="shared" ca="1" si="139"/>
        <v>4.262626131018956E-2</v>
      </c>
      <c r="L572" s="30">
        <f t="shared" ca="1" si="139"/>
        <v>5.8357227144791662E-2</v>
      </c>
      <c r="M572" s="30">
        <f t="shared" ca="1" si="139"/>
        <v>1.6603226491049407E-3</v>
      </c>
      <c r="N572" s="30">
        <f t="shared" ca="1" si="137"/>
        <v>-1.5470909907928602E-2</v>
      </c>
      <c r="O572" s="30">
        <f t="shared" ca="1" si="140"/>
        <v>3.8603913273400403E-2</v>
      </c>
      <c r="P572" s="30">
        <f t="shared" ca="1" si="141"/>
        <v>0.10130841121495338</v>
      </c>
      <c r="Q572" s="30">
        <f t="shared" ca="1" si="142"/>
        <v>-5.0658561296859084E-3</v>
      </c>
      <c r="R572" s="30">
        <f t="shared" ca="1" si="143"/>
        <v>2.3805386620330271E-2</v>
      </c>
      <c r="S572" s="9" cm="1">
        <f t="array" aca="1" ref="S572" ca="1">_xll.FDS($E$7,"P_PRICE("&amp;AG572&amp;",0,D,D)")</f>
        <v>58.92</v>
      </c>
      <c r="T572" s="9" cm="1">
        <f t="array" aca="1" ref="T572" ca="1">_xll.FDS($E$7,"P_PRICE("&amp;AH572&amp;",0,D,D)")</f>
        <v>56.73</v>
      </c>
      <c r="U572" s="9" cm="1">
        <f t="array" aca="1" ref="U572" ca="1">_xll.FDS($E$7,"P_PRICE("&amp;AI572&amp;",0,D,D)")</f>
        <v>53.5</v>
      </c>
      <c r="V572" s="9" cm="1">
        <f t="array" aca="1" ref="V572" ca="1">_xll.FDS($E$7,"P_PRICE("&amp;AJ572&amp;",0,D,D)")</f>
        <v>59.22</v>
      </c>
      <c r="W572" s="9" cm="1">
        <f t="array" aca="1" ref="W572" ca="1">_xll.FDS($E$7,"P_PRICE("&amp;AK572&amp;",0,D,D)")</f>
        <v>57.55</v>
      </c>
      <c r="X572" s="24">
        <f t="shared" ca="1" si="144"/>
        <v>3.4196504839706821E-2</v>
      </c>
      <c r="Y572" s="24">
        <f t="shared" ca="1" si="145"/>
        <v>4.6816519655963784E-2</v>
      </c>
      <c r="Z572" s="24">
        <f t="shared" ca="1" si="146"/>
        <v>1.3319777470612859E-3</v>
      </c>
      <c r="AA572" s="24">
        <f t="shared" ca="1" si="147"/>
        <v>-1.2411387470537605E-2</v>
      </c>
      <c r="AB572" s="9" cm="1">
        <f t="array" aca="1" ref="AB572" ca="1">_xll.FDS($E$9,"P_PRICE("&amp;AG572&amp;",0,D,D)")</f>
        <v>4382.78</v>
      </c>
      <c r="AC572" s="9" cm="1">
        <f t="array" aca="1" ref="AC572" ca="1">_xll.FDS($E$9,"P_PRICE("&amp;AH572&amp;",0,D,D)")</f>
        <v>4237.8599999999997</v>
      </c>
      <c r="AD572" s="9" cm="1">
        <f t="array" aca="1" ref="AD572" ca="1">_xll.FDS($E$9,"P_PRICE("&amp;AI572&amp;",0,D,D)")</f>
        <v>4186.7700000000004</v>
      </c>
      <c r="AE572" s="9" cm="1">
        <f t="array" aca="1" ref="AE572" ca="1">_xll.FDS($E$9,"P_PRICE("&amp;AJ572&amp;",0,D,D)")</f>
        <v>4376.95</v>
      </c>
      <c r="AF572" s="9" cm="1">
        <f t="array" aca="1" ref="AF572" ca="1">_xll.FDS($E$9,"P_PRICE("&amp;AK572&amp;",0,D,D)")</f>
        <v>4437.8599999999997</v>
      </c>
      <c r="AG572" s="20">
        <f t="shared" ca="1" si="153"/>
        <v>45238</v>
      </c>
      <c r="AH572" s="22">
        <f t="shared" ca="1" si="148"/>
        <v>45231</v>
      </c>
      <c r="AI572" s="22">
        <f t="shared" ca="1" si="149"/>
        <v>45224</v>
      </c>
      <c r="AJ572" s="22">
        <f t="shared" ca="1" si="150"/>
        <v>45210</v>
      </c>
      <c r="AK572" s="22">
        <f t="shared" ca="1" si="151"/>
        <v>45153</v>
      </c>
      <c r="AL572" s="22">
        <f t="shared" ca="1" si="152"/>
        <v>45064</v>
      </c>
    </row>
    <row r="573" spans="4:38" x14ac:dyDescent="0.25">
      <c r="D573" s="6">
        <f ca="1"/>
        <v>45237</v>
      </c>
      <c r="E573" s="28" cm="1">
        <f t="array" aca="1" ref="E573" ca="1">_xll.FDS($E$7,"P_PRICE("&amp;D573&amp;",0,D,D)")</f>
        <v>58.12</v>
      </c>
      <c r="F573" s="29" cm="1">
        <f t="array" aca="1" ref="F573" ca="1">_xll.FDS($E$7,"P_BETA_LOCIDX("&amp;$AG573&amp;","&amp;$AL573&amp;",,"""&amp;$E$9&amp;""")")</f>
        <v>1.2382343</v>
      </c>
      <c r="G573" s="30">
        <f t="shared" ca="1" si="138"/>
        <v>3.0437699695659036E-2</v>
      </c>
      <c r="H573" s="30">
        <f t="shared" ca="1" si="138"/>
        <v>2.9497210098840945E-2</v>
      </c>
      <c r="I573" s="30">
        <f t="shared" ca="1" si="138"/>
        <v>5.060565209749378E-3</v>
      </c>
      <c r="J573" s="30">
        <f t="shared" ca="1" si="136"/>
        <v>2.9503860395184066E-2</v>
      </c>
      <c r="K573" s="30">
        <f t="shared" ca="1" si="139"/>
        <v>5.4497898586961725E-2</v>
      </c>
      <c r="L573" s="30">
        <f t="shared" ca="1" si="139"/>
        <v>3.8100144787272125E-2</v>
      </c>
      <c r="M573" s="30">
        <f t="shared" ca="1" si="139"/>
        <v>5.7220434859027959E-3</v>
      </c>
      <c r="N573" s="30">
        <f t="shared" ca="1" si="137"/>
        <v>-3.0706816229519894E-2</v>
      </c>
      <c r="O573" s="30">
        <f t="shared" ca="1" si="140"/>
        <v>8.4935598282620761E-2</v>
      </c>
      <c r="P573" s="30">
        <f t="shared" ca="1" si="141"/>
        <v>6.759735488611307E-2</v>
      </c>
      <c r="Q573" s="30">
        <f t="shared" ca="1" si="142"/>
        <v>1.0782608695652174E-2</v>
      </c>
      <c r="R573" s="30">
        <f t="shared" ca="1" si="143"/>
        <v>-1.2029558343358282E-3</v>
      </c>
      <c r="S573" s="9" cm="1">
        <f t="array" aca="1" ref="S573" ca="1">_xll.FDS($E$7,"P_PRICE("&amp;AG573&amp;",0,D,D)")</f>
        <v>58.12</v>
      </c>
      <c r="T573" s="9" cm="1">
        <f t="array" aca="1" ref="T573" ca="1">_xll.FDS($E$7,"P_PRICE("&amp;AH573&amp;",0,D,D)")</f>
        <v>53.57</v>
      </c>
      <c r="U573" s="9" cm="1">
        <f t="array" aca="1" ref="U573" ca="1">_xll.FDS($E$7,"P_PRICE("&amp;AI573&amp;",0,D,D)")</f>
        <v>54.44</v>
      </c>
      <c r="V573" s="9" cm="1">
        <f t="array" aca="1" ref="V573" ca="1">_xll.FDS($E$7,"P_PRICE("&amp;AJ573&amp;",0,D,D)")</f>
        <v>57.5</v>
      </c>
      <c r="W573" s="9" cm="1">
        <f t="array" aca="1" ref="W573" ca="1">_xll.FDS($E$7,"P_PRICE("&amp;AK573&amp;",0,D,D)")</f>
        <v>58.19</v>
      </c>
      <c r="X573" s="24">
        <f t="shared" ca="1" si="144"/>
        <v>4.4012590013829955E-2</v>
      </c>
      <c r="Y573" s="24">
        <f t="shared" ca="1" si="145"/>
        <v>3.0769737833358457E-2</v>
      </c>
      <c r="Z573" s="24">
        <f t="shared" ca="1" si="146"/>
        <v>4.6211314659130309E-3</v>
      </c>
      <c r="AA573" s="24">
        <f t="shared" ca="1" si="147"/>
        <v>-2.47988738718673E-2</v>
      </c>
      <c r="AB573" s="9" cm="1">
        <f t="array" aca="1" ref="AB573" ca="1">_xll.FDS($E$9,"P_PRICE("&amp;AG573&amp;",0,D,D)")</f>
        <v>4378.38</v>
      </c>
      <c r="AC573" s="9" cm="1">
        <f t="array" aca="1" ref="AC573" ca="1">_xll.FDS($E$9,"P_PRICE("&amp;AH573&amp;",0,D,D)")</f>
        <v>4193.8</v>
      </c>
      <c r="AD573" s="9" cm="1">
        <f t="array" aca="1" ref="AD573" ca="1">_xll.FDS($E$9,"P_PRICE("&amp;AI573&amp;",0,D,D)")</f>
        <v>4247.68</v>
      </c>
      <c r="AE573" s="9" cm="1">
        <f t="array" aca="1" ref="AE573" ca="1">_xll.FDS($E$9,"P_PRICE("&amp;AJ573&amp;",0,D,D)")</f>
        <v>4358.24</v>
      </c>
      <c r="AF573" s="9" cm="1">
        <f t="array" aca="1" ref="AF573" ca="1">_xll.FDS($E$9,"P_PRICE("&amp;AK573&amp;",0,D,D)")</f>
        <v>4489.72</v>
      </c>
      <c r="AG573" s="20">
        <f t="shared" ca="1" si="153"/>
        <v>45237</v>
      </c>
      <c r="AH573" s="22">
        <f t="shared" ca="1" si="148"/>
        <v>45230</v>
      </c>
      <c r="AI573" s="22">
        <f t="shared" ca="1" si="149"/>
        <v>45223</v>
      </c>
      <c r="AJ573" s="22">
        <f t="shared" ca="1" si="150"/>
        <v>45209</v>
      </c>
      <c r="AK573" s="22">
        <f t="shared" ca="1" si="151"/>
        <v>45152</v>
      </c>
      <c r="AL573" s="22">
        <f t="shared" ca="1" si="152"/>
        <v>45063</v>
      </c>
    </row>
    <row r="574" spans="4:38" x14ac:dyDescent="0.25">
      <c r="D574" s="6">
        <f ca="1"/>
        <v>45236</v>
      </c>
      <c r="E574" s="28" cm="1">
        <f t="array" aca="1" ref="E574" ca="1">_xll.FDS($E$7,"P_PRICE("&amp;D574&amp;",0,D,D)")</f>
        <v>57.69</v>
      </c>
      <c r="F574" s="29" cm="1">
        <f t="array" aca="1" ref="F574" ca="1">_xll.FDS($E$7,"P_BETA_LOCIDX("&amp;$AG574&amp;","&amp;$AL574&amp;",,"""&amp;$E$9&amp;""")")</f>
        <v>1.2377739999999999</v>
      </c>
      <c r="G574" s="30">
        <f t="shared" ca="1" si="138"/>
        <v>1.9357909790482734E-2</v>
      </c>
      <c r="H574" s="30">
        <f t="shared" ca="1" si="138"/>
        <v>8.8286962112149314E-3</v>
      </c>
      <c r="I574" s="30">
        <f t="shared" ca="1" si="138"/>
        <v>6.4768904877783567E-3</v>
      </c>
      <c r="J574" s="30">
        <f t="shared" ca="1" si="136"/>
        <v>2.0135660283086661E-2</v>
      </c>
      <c r="K574" s="30">
        <f t="shared" ca="1" si="139"/>
        <v>5.9161439620621988E-2</v>
      </c>
      <c r="L574" s="30">
        <f t="shared" ca="1" si="139"/>
        <v>4.371645978221686E-2</v>
      </c>
      <c r="M574" s="30">
        <f t="shared" ca="1" si="139"/>
        <v>8.6559618789294485E-3</v>
      </c>
      <c r="N574" s="30">
        <f t="shared" ca="1" si="137"/>
        <v>-2.7192458906150404E-2</v>
      </c>
      <c r="O574" s="30">
        <f t="shared" ca="1" si="140"/>
        <v>7.8519349411104722E-2</v>
      </c>
      <c r="P574" s="30">
        <f t="shared" ca="1" si="141"/>
        <v>5.2545155993431791E-2</v>
      </c>
      <c r="Q574" s="30">
        <f t="shared" ca="1" si="142"/>
        <v>1.5132852366707805E-2</v>
      </c>
      <c r="R574" s="30">
        <f t="shared" ca="1" si="143"/>
        <v>-7.0567986230637425E-3</v>
      </c>
      <c r="S574" s="9" cm="1">
        <f t="array" aca="1" ref="S574" ca="1">_xll.FDS($E$7,"P_PRICE("&amp;AG574&amp;",0,D,D)")</f>
        <v>57.69</v>
      </c>
      <c r="T574" s="9" cm="1">
        <f t="array" aca="1" ref="T574" ca="1">_xll.FDS($E$7,"P_PRICE("&amp;AH574&amp;",0,D,D)")</f>
        <v>53.49</v>
      </c>
      <c r="U574" s="9" cm="1">
        <f t="array" aca="1" ref="U574" ca="1">_xll.FDS($E$7,"P_PRICE("&amp;AI574&amp;",0,D,D)")</f>
        <v>54.81</v>
      </c>
      <c r="V574" s="9" cm="1">
        <f t="array" aca="1" ref="V574" ca="1">_xll.FDS($E$7,"P_PRICE("&amp;AJ574&amp;",0,D,D)")</f>
        <v>56.83</v>
      </c>
      <c r="W574" s="9" cm="1">
        <f t="array" aca="1" ref="W574" ca="1">_xll.FDS($E$7,"P_PRICE("&amp;AK574&amp;",0,D,D)")</f>
        <v>58.1</v>
      </c>
      <c r="X574" s="24">
        <f t="shared" ca="1" si="144"/>
        <v>4.7796641083608149E-2</v>
      </c>
      <c r="Y574" s="24">
        <f t="shared" ca="1" si="145"/>
        <v>3.5318612107070324E-2</v>
      </c>
      <c r="Z574" s="24">
        <f t="shared" ca="1" si="146"/>
        <v>6.9931682834907249E-3</v>
      </c>
      <c r="AA574" s="24">
        <f t="shared" ca="1" si="147"/>
        <v>-2.1968839954749741E-2</v>
      </c>
      <c r="AB574" s="9" cm="1">
        <f t="array" aca="1" ref="AB574" ca="1">_xll.FDS($E$9,"P_PRICE("&amp;AG574&amp;",0,D,D)")</f>
        <v>4365.9799999999996</v>
      </c>
      <c r="AC574" s="9" cm="1">
        <f t="array" aca="1" ref="AC574" ca="1">_xll.FDS($E$9,"P_PRICE("&amp;AH574&amp;",0,D,D)")</f>
        <v>4166.82</v>
      </c>
      <c r="AD574" s="9" cm="1">
        <f t="array" aca="1" ref="AD574" ca="1">_xll.FDS($E$9,"P_PRICE("&amp;AI574&amp;",0,D,D)")</f>
        <v>4217.04</v>
      </c>
      <c r="AE574" s="9" cm="1">
        <f t="array" aca="1" ref="AE574" ca="1">_xll.FDS($E$9,"P_PRICE("&amp;AJ574&amp;",0,D,D)")</f>
        <v>4335.66</v>
      </c>
      <c r="AF574" s="9" cm="1">
        <f t="array" aca="1" ref="AF574" ca="1">_xll.FDS($E$9,"P_PRICE("&amp;AK574&amp;",0,D,D)")</f>
        <v>4464.05</v>
      </c>
      <c r="AG574" s="20">
        <f t="shared" ca="1" si="153"/>
        <v>45236</v>
      </c>
      <c r="AH574" s="22">
        <f t="shared" ca="1" si="148"/>
        <v>45229</v>
      </c>
      <c r="AI574" s="22">
        <f t="shared" ca="1" si="149"/>
        <v>45222</v>
      </c>
      <c r="AJ574" s="22">
        <f t="shared" ca="1" si="150"/>
        <v>45208</v>
      </c>
      <c r="AK574" s="22">
        <f t="shared" ca="1" si="151"/>
        <v>45149</v>
      </c>
      <c r="AL574" s="22">
        <f t="shared" ca="1" si="152"/>
        <v>45062</v>
      </c>
    </row>
    <row r="575" spans="4:38" x14ac:dyDescent="0.25">
      <c r="D575" s="6">
        <f ca="1"/>
        <v>45233</v>
      </c>
      <c r="E575" s="28" cm="1">
        <f t="array" aca="1" ref="E575" ca="1">_xll.FDS($E$7,"P_PRICE("&amp;D575&amp;",0,D,D)")</f>
        <v>56.88</v>
      </c>
      <c r="F575" s="29" cm="1">
        <f t="array" aca="1" ref="F575" ca="1">_xll.FDS($E$7,"P_BETA_LOCIDX("&amp;$AG575&amp;","&amp;$AL575&amp;",,"""&amp;$E$9&amp;""")")</f>
        <v>1.2379813</v>
      </c>
      <c r="G575" s="30">
        <f t="shared" ca="1" si="138"/>
        <v>1.4079818862387655E-2</v>
      </c>
      <c r="H575" s="30">
        <f t="shared" ca="1" si="138"/>
        <v>-4.9544609059121378E-3</v>
      </c>
      <c r="I575" s="30">
        <f t="shared" ca="1" si="138"/>
        <v>-9.0185315634685927E-3</v>
      </c>
      <c r="J575" s="30">
        <f t="shared" ca="1" si="136"/>
        <v>4.5811857104364716E-3</v>
      </c>
      <c r="K575" s="30">
        <f t="shared" ca="1" si="139"/>
        <v>7.2453132427010541E-2</v>
      </c>
      <c r="L575" s="30">
        <f t="shared" ca="1" si="139"/>
        <v>3.9324346339627468E-2</v>
      </c>
      <c r="M575" s="30">
        <f t="shared" ca="1" si="139"/>
        <v>1.4320758498781496E-2</v>
      </c>
      <c r="N575" s="30">
        <f t="shared" ca="1" si="137"/>
        <v>-3.0608582970710393E-2</v>
      </c>
      <c r="O575" s="30">
        <f t="shared" ca="1" si="140"/>
        <v>8.6532951289398197E-2</v>
      </c>
      <c r="P575" s="30">
        <f t="shared" ca="1" si="141"/>
        <v>3.436988543371533E-2</v>
      </c>
      <c r="Q575" s="30">
        <f t="shared" ca="1" si="142"/>
        <v>5.3022269353129037E-3</v>
      </c>
      <c r="R575" s="30">
        <f t="shared" ca="1" si="143"/>
        <v>-2.6027397260273921E-2</v>
      </c>
      <c r="S575" s="9" cm="1">
        <f t="array" aca="1" ref="S575" ca="1">_xll.FDS($E$7,"P_PRICE("&amp;AG575&amp;",0,D,D)")</f>
        <v>56.88</v>
      </c>
      <c r="T575" s="9" cm="1">
        <f t="array" aca="1" ref="T575" ca="1">_xll.FDS($E$7,"P_PRICE("&amp;AH575&amp;",0,D,D)")</f>
        <v>52.35</v>
      </c>
      <c r="U575" s="9" cm="1">
        <f t="array" aca="1" ref="U575" ca="1">_xll.FDS($E$7,"P_PRICE("&amp;AI575&amp;",0,D,D)")</f>
        <v>54.99</v>
      </c>
      <c r="V575" s="9" cm="1">
        <f t="array" aca="1" ref="V575" ca="1">_xll.FDS($E$7,"P_PRICE("&amp;AJ575&amp;",0,D,D)")</f>
        <v>56.58</v>
      </c>
      <c r="W575" s="9" cm="1">
        <f t="array" aca="1" ref="W575" ca="1">_xll.FDS($E$7,"P_PRICE("&amp;AK575&amp;",0,D,D)")</f>
        <v>58.4</v>
      </c>
      <c r="X575" s="24">
        <f t="shared" ca="1" si="144"/>
        <v>5.852522362576118E-2</v>
      </c>
      <c r="Y575" s="24">
        <f t="shared" ca="1" si="145"/>
        <v>3.1764895269118743E-2</v>
      </c>
      <c r="Z575" s="24">
        <f t="shared" ca="1" si="146"/>
        <v>1.1567831031681575E-2</v>
      </c>
      <c r="AA575" s="24">
        <f t="shared" ca="1" si="147"/>
        <v>-2.4724592342962204E-2</v>
      </c>
      <c r="AB575" s="9" cm="1">
        <f t="array" aca="1" ref="AB575" ca="1">_xll.FDS($E$9,"P_PRICE("&amp;AG575&amp;",0,D,D)")</f>
        <v>4358.34</v>
      </c>
      <c r="AC575" s="9" cm="1">
        <f t="array" aca="1" ref="AC575" ca="1">_xll.FDS($E$9,"P_PRICE("&amp;AH575&amp;",0,D,D)")</f>
        <v>4117.37</v>
      </c>
      <c r="AD575" s="9" cm="1">
        <f t="array" aca="1" ref="AD575" ca="1">_xll.FDS($E$9,"P_PRICE("&amp;AI575&amp;",0,D,D)")</f>
        <v>4224.16</v>
      </c>
      <c r="AE575" s="9" cm="1">
        <f t="array" aca="1" ref="AE575" ca="1">_xll.FDS($E$9,"P_PRICE("&amp;AJ575&amp;",0,D,D)")</f>
        <v>4308.5</v>
      </c>
      <c r="AF575" s="9" cm="1">
        <f t="array" aca="1" ref="AF575" ca="1">_xll.FDS($E$9,"P_PRICE("&amp;AK575&amp;",0,D,D)")</f>
        <v>4468.83</v>
      </c>
      <c r="AG575" s="20">
        <f t="shared" ca="1" si="153"/>
        <v>45233</v>
      </c>
      <c r="AH575" s="22">
        <f t="shared" ca="1" si="148"/>
        <v>45226</v>
      </c>
      <c r="AI575" s="22">
        <f t="shared" ca="1" si="149"/>
        <v>45219</v>
      </c>
      <c r="AJ575" s="22">
        <f t="shared" ca="1" si="150"/>
        <v>45205</v>
      </c>
      <c r="AK575" s="22">
        <f t="shared" ca="1" si="151"/>
        <v>45148</v>
      </c>
      <c r="AL575" s="22">
        <f t="shared" ca="1" si="152"/>
        <v>45061</v>
      </c>
    </row>
    <row r="576" spans="4:38" x14ac:dyDescent="0.25">
      <c r="D576" s="6">
        <f ca="1"/>
        <v>45232</v>
      </c>
      <c r="E576" s="28" cm="1">
        <f t="array" aca="1" ref="E576" ca="1">_xll.FDS($E$7,"P_PRICE("&amp;D576&amp;",0,D,D)")</f>
        <v>56.76</v>
      </c>
      <c r="F576" s="29" cm="1">
        <f t="array" aca="1" ref="F576" ca="1">_xll.FDS($E$7,"P_BETA_LOCIDX("&amp;$AG576&amp;","&amp;$AL576&amp;",,"""&amp;$E$9&amp;""")")</f>
        <v>1.2553384999999999</v>
      </c>
      <c r="G576" s="30">
        <f t="shared" ca="1" si="138"/>
        <v>3.0701434954738711E-2</v>
      </c>
      <c r="H576" s="30">
        <f t="shared" ca="1" si="138"/>
        <v>2.8458877155469887E-2</v>
      </c>
      <c r="I576" s="30">
        <f t="shared" ca="1" si="138"/>
        <v>7.9067856500454614E-3</v>
      </c>
      <c r="J576" s="30">
        <f t="shared" ca="1" si="136"/>
        <v>8.5840426085397881E-3</v>
      </c>
      <c r="K576" s="30">
        <f t="shared" ca="1" si="139"/>
        <v>5.4783361373431032E-2</v>
      </c>
      <c r="L576" s="30">
        <f t="shared" ca="1" si="139"/>
        <v>1.16730634712481E-2</v>
      </c>
      <c r="M576" s="30">
        <f t="shared" ca="1" si="139"/>
        <v>1.7567469092501814E-2</v>
      </c>
      <c r="N576" s="30">
        <f t="shared" ca="1" si="137"/>
        <v>-4.212737650944226E-2</v>
      </c>
      <c r="O576" s="30">
        <f t="shared" ca="1" si="140"/>
        <v>8.5484796328169743E-2</v>
      </c>
      <c r="P576" s="30">
        <f t="shared" ca="1" si="141"/>
        <v>4.0131940626717988E-2</v>
      </c>
      <c r="Q576" s="30">
        <f t="shared" ca="1" si="142"/>
        <v>2.5474254742547275E-2</v>
      </c>
      <c r="R576" s="30">
        <f t="shared" ca="1" si="143"/>
        <v>-3.3543333900902472E-2</v>
      </c>
      <c r="S576" s="9" cm="1">
        <f t="array" aca="1" ref="S576" ca="1">_xll.FDS($E$7,"P_PRICE("&amp;AG576&amp;",0,D,D)")</f>
        <v>56.76</v>
      </c>
      <c r="T576" s="9" cm="1">
        <f t="array" aca="1" ref="T576" ca="1">_xll.FDS($E$7,"P_PRICE("&amp;AH576&amp;",0,D,D)")</f>
        <v>52.29</v>
      </c>
      <c r="U576" s="9" cm="1">
        <f t="array" aca="1" ref="U576" ca="1">_xll.FDS($E$7,"P_PRICE("&amp;AI576&amp;",0,D,D)")</f>
        <v>54.57</v>
      </c>
      <c r="V576" s="9" cm="1">
        <f t="array" aca="1" ref="V576" ca="1">_xll.FDS($E$7,"P_PRICE("&amp;AJ576&amp;",0,D,D)")</f>
        <v>55.35</v>
      </c>
      <c r="W576" s="9" cm="1">
        <f t="array" aca="1" ref="W576" ca="1">_xll.FDS($E$7,"P_PRICE("&amp;AK576&amp;",0,D,D)")</f>
        <v>58.73</v>
      </c>
      <c r="X576" s="24">
        <f t="shared" ca="1" si="144"/>
        <v>4.3640310062529775E-2</v>
      </c>
      <c r="Y576" s="24">
        <f t="shared" ca="1" si="145"/>
        <v>9.2987377279101224E-3</v>
      </c>
      <c r="Z576" s="24">
        <f t="shared" ca="1" si="146"/>
        <v>1.3994208807028397E-2</v>
      </c>
      <c r="AA576" s="24">
        <f t="shared" ca="1" si="147"/>
        <v>-3.3558579227389473E-2</v>
      </c>
      <c r="AB576" s="9" cm="1">
        <f t="array" aca="1" ref="AB576" ca="1">_xll.FDS($E$9,"P_PRICE("&amp;AG576&amp;",0,D,D)")</f>
        <v>4317.78</v>
      </c>
      <c r="AC576" s="9" cm="1">
        <f t="array" aca="1" ref="AC576" ca="1">_xll.FDS($E$9,"P_PRICE("&amp;AH576&amp;",0,D,D)")</f>
        <v>4137.2299999999996</v>
      </c>
      <c r="AD576" s="9" cm="1">
        <f t="array" aca="1" ref="AD576" ca="1">_xll.FDS($E$9,"P_PRICE("&amp;AI576&amp;",0,D,D)")</f>
        <v>4278</v>
      </c>
      <c r="AE576" s="9" cm="1">
        <f t="array" aca="1" ref="AE576" ca="1">_xll.FDS($E$9,"P_PRICE("&amp;AJ576&amp;",0,D,D)")</f>
        <v>4258.1899999999996</v>
      </c>
      <c r="AF576" s="9" cm="1">
        <f t="array" aca="1" ref="AF576" ca="1">_xll.FDS($E$9,"P_PRICE("&amp;AK576&amp;",0,D,D)")</f>
        <v>4467.71</v>
      </c>
      <c r="AG576" s="20">
        <f t="shared" ca="1" si="153"/>
        <v>45232</v>
      </c>
      <c r="AH576" s="22">
        <f t="shared" ca="1" si="148"/>
        <v>45225</v>
      </c>
      <c r="AI576" s="22">
        <f t="shared" ca="1" si="149"/>
        <v>45218</v>
      </c>
      <c r="AJ576" s="22">
        <f t="shared" ca="1" si="150"/>
        <v>45204</v>
      </c>
      <c r="AK576" s="22">
        <f t="shared" ca="1" si="151"/>
        <v>45147</v>
      </c>
      <c r="AL576" s="22">
        <f t="shared" ca="1" si="152"/>
        <v>45058</v>
      </c>
    </row>
    <row r="577" spans="4:38" x14ac:dyDescent="0.25">
      <c r="D577" s="6">
        <f ca="1"/>
        <v>45231</v>
      </c>
      <c r="E577" s="28" cm="1">
        <f t="array" aca="1" ref="E577" ca="1">_xll.FDS($E$7,"P_PRICE("&amp;D577&amp;",0,D,D)")</f>
        <v>56.73</v>
      </c>
      <c r="F577" s="29" cm="1">
        <f t="array" aca="1" ref="F577" ca="1">_xll.FDS($E$7,"P_BETA_LOCIDX("&amp;$AG577&amp;","&amp;$AL577&amp;",,"""&amp;$E$9&amp;""")")</f>
        <v>1.3209192000000001</v>
      </c>
      <c r="G577" s="30">
        <f t="shared" ca="1" si="138"/>
        <v>4.4255018961049122E-2</v>
      </c>
      <c r="H577" s="30">
        <f t="shared" ca="1" si="138"/>
        <v>4.5287977563597204E-2</v>
      </c>
      <c r="I577" s="30">
        <f t="shared" ca="1" si="138"/>
        <v>4.9129239649469469E-2</v>
      </c>
      <c r="J577" s="30">
        <f t="shared" ca="1" si="136"/>
        <v>2.5756123088596067E-2</v>
      </c>
      <c r="K577" s="30">
        <f t="shared" ca="1" si="139"/>
        <v>1.6118812814651644E-2</v>
      </c>
      <c r="L577" s="30">
        <f t="shared" ca="1" si="139"/>
        <v>-2.3494029436796182E-2</v>
      </c>
      <c r="M577" s="30">
        <f t="shared" ca="1" si="139"/>
        <v>-8.02077938153045E-3</v>
      </c>
      <c r="N577" s="30">
        <f t="shared" ca="1" si="137"/>
        <v>-7.677653125186143E-2</v>
      </c>
      <c r="O577" s="30">
        <f t="shared" ca="1" si="140"/>
        <v>6.037383177570077E-2</v>
      </c>
      <c r="P577" s="30">
        <f t="shared" ca="1" si="141"/>
        <v>2.1793948126801022E-2</v>
      </c>
      <c r="Q577" s="30">
        <f t="shared" ca="1" si="142"/>
        <v>4.1108460267939018E-2</v>
      </c>
      <c r="R577" s="30">
        <f t="shared" ca="1" si="143"/>
        <v>-5.1020408163265363E-2</v>
      </c>
      <c r="S577" s="9" cm="1">
        <f t="array" aca="1" ref="S577" ca="1">_xll.FDS($E$7,"P_PRICE("&amp;AG577&amp;",0,D,D)")</f>
        <v>56.73</v>
      </c>
      <c r="T577" s="9" cm="1">
        <f t="array" aca="1" ref="T577" ca="1">_xll.FDS($E$7,"P_PRICE("&amp;AH577&amp;",0,D,D)")</f>
        <v>53.5</v>
      </c>
      <c r="U577" s="9" cm="1">
        <f t="array" aca="1" ref="U577" ca="1">_xll.FDS($E$7,"P_PRICE("&amp;AI577&amp;",0,D,D)")</f>
        <v>55.52</v>
      </c>
      <c r="V577" s="9" cm="1">
        <f t="array" aca="1" ref="V577" ca="1">_xll.FDS($E$7,"P_PRICE("&amp;AJ577&amp;",0,D,D)")</f>
        <v>54.49</v>
      </c>
      <c r="W577" s="9" cm="1">
        <f t="array" aca="1" ref="W577" ca="1">_xll.FDS($E$7,"P_PRICE("&amp;AK577&amp;",0,D,D)")</f>
        <v>59.78</v>
      </c>
      <c r="X577" s="24">
        <f t="shared" ca="1" si="144"/>
        <v>1.2202724295817369E-2</v>
      </c>
      <c r="Y577" s="24">
        <f t="shared" ca="1" si="145"/>
        <v>-1.7786121540815047E-2</v>
      </c>
      <c r="Z577" s="24">
        <f t="shared" ca="1" si="146"/>
        <v>-6.0721196130167909E-3</v>
      </c>
      <c r="AA577" s="24">
        <f t="shared" ca="1" si="147"/>
        <v>-5.8123563690997471E-2</v>
      </c>
      <c r="AB577" s="9" cm="1">
        <f t="array" aca="1" ref="AB577" ca="1">_xll.FDS($E$9,"P_PRICE("&amp;AG577&amp;",0,D,D)")</f>
        <v>4237.8599999999997</v>
      </c>
      <c r="AC577" s="9" cm="1">
        <f t="array" aca="1" ref="AC577" ca="1">_xll.FDS($E$9,"P_PRICE("&amp;AH577&amp;",0,D,D)")</f>
        <v>4186.7700000000004</v>
      </c>
      <c r="AD577" s="9" cm="1">
        <f t="array" aca="1" ref="AD577" ca="1">_xll.FDS($E$9,"P_PRICE("&amp;AI577&amp;",0,D,D)")</f>
        <v>4314.6000000000004</v>
      </c>
      <c r="AE577" s="9" cm="1">
        <f t="array" aca="1" ref="AE577" ca="1">_xll.FDS($E$9,"P_PRICE("&amp;AJ577&amp;",0,D,D)")</f>
        <v>4263.75</v>
      </c>
      <c r="AF577" s="9" cm="1">
        <f t="array" aca="1" ref="AF577" ca="1">_xll.FDS($E$9,"P_PRICE("&amp;AK577&amp;",0,D,D)")</f>
        <v>4499.38</v>
      </c>
      <c r="AG577" s="20">
        <f t="shared" ca="1" si="153"/>
        <v>45231</v>
      </c>
      <c r="AH577" s="22">
        <f t="shared" ca="1" si="148"/>
        <v>45224</v>
      </c>
      <c r="AI577" s="22">
        <f t="shared" ca="1" si="149"/>
        <v>45217</v>
      </c>
      <c r="AJ577" s="22">
        <f t="shared" ca="1" si="150"/>
        <v>45203</v>
      </c>
      <c r="AK577" s="22">
        <f t="shared" ca="1" si="151"/>
        <v>45146</v>
      </c>
      <c r="AL577" s="22">
        <f t="shared" ca="1" si="152"/>
        <v>45057</v>
      </c>
    </row>
    <row r="578" spans="4:38" x14ac:dyDescent="0.25">
      <c r="D578" s="6">
        <f ca="1"/>
        <v>45230</v>
      </c>
      <c r="E578" s="28" cm="1">
        <f t="array" aca="1" ref="E578" ca="1">_xll.FDS($E$7,"P_PRICE("&amp;D578&amp;",0,D,D)")</f>
        <v>53.57</v>
      </c>
      <c r="F578" s="29" cm="1">
        <f t="array" aca="1" ref="F578" ca="1">_xll.FDS($E$7,"P_BETA_LOCIDX("&amp;$AG578&amp;","&amp;$AL578&amp;",,"""&amp;$E$9&amp;""")")</f>
        <v>1.2462314000000001</v>
      </c>
      <c r="G578" s="30">
        <f t="shared" ca="1" si="138"/>
        <v>-1.729852971747263E-4</v>
      </c>
      <c r="H578" s="30">
        <f t="shared" ca="1" si="138"/>
        <v>-2.5096395488110601E-2</v>
      </c>
      <c r="I578" s="30">
        <f t="shared" ca="1" si="138"/>
        <v>1.350016812789474E-2</v>
      </c>
      <c r="J578" s="30">
        <f t="shared" ca="1" si="136"/>
        <v>-1.8222500629798313E-2</v>
      </c>
      <c r="K578" s="30">
        <f t="shared" ca="1" si="139"/>
        <v>-1.5807911102531286E-2</v>
      </c>
      <c r="L578" s="30">
        <f t="shared" ca="1" si="139"/>
        <v>-5.1123642449464879E-2</v>
      </c>
      <c r="M578" s="30">
        <f t="shared" ca="1" si="139"/>
        <v>-1.0504474437574584E-2</v>
      </c>
      <c r="N578" s="30">
        <f t="shared" ca="1" si="137"/>
        <v>-8.9538991708642698E-2</v>
      </c>
      <c r="O578" s="30">
        <f t="shared" ca="1" si="140"/>
        <v>-1.5980896399706013E-2</v>
      </c>
      <c r="P578" s="30">
        <f t="shared" ca="1" si="141"/>
        <v>-7.622003793757548E-2</v>
      </c>
      <c r="Q578" s="30">
        <f t="shared" ca="1" si="142"/>
        <v>2.9956936903201559E-3</v>
      </c>
      <c r="R578" s="30">
        <f t="shared" ca="1" si="143"/>
        <v>-0.10776149233844101</v>
      </c>
      <c r="S578" s="9" cm="1">
        <f t="array" aca="1" ref="S578" ca="1">_xll.FDS($E$7,"P_PRICE("&amp;AG578&amp;",0,D,D)")</f>
        <v>53.57</v>
      </c>
      <c r="T578" s="9" cm="1">
        <f t="array" aca="1" ref="T578" ca="1">_xll.FDS($E$7,"P_PRICE("&amp;AH578&amp;",0,D,D)")</f>
        <v>54.44</v>
      </c>
      <c r="U578" s="9" cm="1">
        <f t="array" aca="1" ref="U578" ca="1">_xll.FDS($E$7,"P_PRICE("&amp;AI578&amp;",0,D,D)")</f>
        <v>57.99</v>
      </c>
      <c r="V578" s="9" cm="1">
        <f t="array" aca="1" ref="V578" ca="1">_xll.FDS($E$7,"P_PRICE("&amp;AJ578&amp;",0,D,D)")</f>
        <v>53.41</v>
      </c>
      <c r="W578" s="9" cm="1">
        <f t="array" aca="1" ref="W578" ca="1">_xll.FDS($E$7,"P_PRICE("&amp;AK578&amp;",0,D,D)")</f>
        <v>60.04</v>
      </c>
      <c r="X578" s="24">
        <f t="shared" ca="1" si="144"/>
        <v>-1.2684571342474027E-2</v>
      </c>
      <c r="Y578" s="24">
        <f t="shared" ca="1" si="145"/>
        <v>-4.1022592152199722E-2</v>
      </c>
      <c r="Z578" s="24">
        <f t="shared" ca="1" si="146"/>
        <v>-8.4289919493077958E-3</v>
      </c>
      <c r="AA578" s="24">
        <f t="shared" ca="1" si="147"/>
        <v>-7.1847805879905358E-2</v>
      </c>
      <c r="AB578" s="9" cm="1">
        <f t="array" aca="1" ref="AB578" ca="1">_xll.FDS($E$9,"P_PRICE("&amp;AG578&amp;",0,D,D)")</f>
        <v>4193.8</v>
      </c>
      <c r="AC578" s="9" cm="1">
        <f t="array" aca="1" ref="AC578" ca="1">_xll.FDS($E$9,"P_PRICE("&amp;AH578&amp;",0,D,D)")</f>
        <v>4247.68</v>
      </c>
      <c r="AD578" s="9" cm="1">
        <f t="array" aca="1" ref="AD578" ca="1">_xll.FDS($E$9,"P_PRICE("&amp;AI578&amp;",0,D,D)")</f>
        <v>4373.2</v>
      </c>
      <c r="AE578" s="9" cm="1">
        <f t="array" aca="1" ref="AE578" ca="1">_xll.FDS($E$9,"P_PRICE("&amp;AJ578&amp;",0,D,D)")</f>
        <v>4229.45</v>
      </c>
      <c r="AF578" s="9" cm="1">
        <f t="array" aca="1" ref="AF578" ca="1">_xll.FDS($E$9,"P_PRICE("&amp;AK578&amp;",0,D,D)")</f>
        <v>4518.4399999999996</v>
      </c>
      <c r="AG578" s="20">
        <f t="shared" ca="1" si="153"/>
        <v>45230</v>
      </c>
      <c r="AH578" s="22">
        <f t="shared" ca="1" si="148"/>
        <v>45223</v>
      </c>
      <c r="AI578" s="22">
        <f t="shared" ca="1" si="149"/>
        <v>45216</v>
      </c>
      <c r="AJ578" s="22">
        <f t="shared" ca="1" si="150"/>
        <v>45202</v>
      </c>
      <c r="AK578" s="22">
        <f t="shared" ca="1" si="151"/>
        <v>45145</v>
      </c>
      <c r="AL578" s="22">
        <f t="shared" ca="1" si="152"/>
        <v>45056</v>
      </c>
    </row>
    <row r="579" spans="4:38" x14ac:dyDescent="0.25">
      <c r="D579" s="6">
        <f ca="1"/>
        <v>45229</v>
      </c>
      <c r="E579" s="28" cm="1">
        <f t="array" aca="1" ref="E579" ca="1">_xll.FDS($E$7,"P_PRICE("&amp;D579&amp;",0,D,D)")</f>
        <v>53.49</v>
      </c>
      <c r="F579" s="29" cm="1">
        <f t="array" aca="1" ref="F579" ca="1">_xll.FDS($E$7,"P_BETA_LOCIDX("&amp;$AG579&amp;","&amp;$AL579&amp;",,"""&amp;$E$9&amp;""")")</f>
        <v>1.2485714999999999</v>
      </c>
      <c r="G579" s="30">
        <f t="shared" ca="1" si="138"/>
        <v>-9.2141744507201941E-3</v>
      </c>
      <c r="H579" s="30">
        <f t="shared" ca="1" si="138"/>
        <v>-2.800603809940494E-2</v>
      </c>
      <c r="I579" s="30">
        <f t="shared" ca="1" si="138"/>
        <v>2.5034519837525533E-2</v>
      </c>
      <c r="J579" s="30">
        <f t="shared" ca="1" si="136"/>
        <v>-1.1204320361695524E-2</v>
      </c>
      <c r="K579" s="30">
        <f t="shared" ca="1" si="139"/>
        <v>-1.4869022046269451E-2</v>
      </c>
      <c r="L579" s="30">
        <f t="shared" ca="1" si="139"/>
        <v>-5.90395328171337E-2</v>
      </c>
      <c r="M579" s="30">
        <f t="shared" ca="1" si="139"/>
        <v>-3.5395296895804847E-2</v>
      </c>
      <c r="N579" s="30">
        <f t="shared" ca="1" si="137"/>
        <v>-8.6772070869333112E-2</v>
      </c>
      <c r="O579" s="30">
        <f t="shared" ca="1" si="140"/>
        <v>-2.4083196496989645E-2</v>
      </c>
      <c r="P579" s="30">
        <f t="shared" ca="1" si="141"/>
        <v>-8.7045570916538639E-2</v>
      </c>
      <c r="Q579" s="30">
        <f t="shared" ca="1" si="142"/>
        <v>-1.0360777058279314E-2</v>
      </c>
      <c r="R579" s="30">
        <f t="shared" ca="1" si="143"/>
        <v>-9.7976391231028637E-2</v>
      </c>
      <c r="S579" s="9" cm="1">
        <f t="array" aca="1" ref="S579" ca="1">_xll.FDS($E$7,"P_PRICE("&amp;AG579&amp;",0,D,D)")</f>
        <v>53.49</v>
      </c>
      <c r="T579" s="9" cm="1">
        <f t="array" aca="1" ref="T579" ca="1">_xll.FDS($E$7,"P_PRICE("&amp;AH579&amp;",0,D,D)")</f>
        <v>54.81</v>
      </c>
      <c r="U579" s="9" cm="1">
        <f t="array" aca="1" ref="U579" ca="1">_xll.FDS($E$7,"P_PRICE("&amp;AI579&amp;",0,D,D)")</f>
        <v>58.59</v>
      </c>
      <c r="V579" s="9" cm="1">
        <f t="array" aca="1" ref="V579" ca="1">_xll.FDS($E$7,"P_PRICE("&amp;AJ579&amp;",0,D,D)")</f>
        <v>54.05</v>
      </c>
      <c r="W579" s="9" cm="1">
        <f t="array" aca="1" ref="W579" ca="1">_xll.FDS($E$7,"P_PRICE("&amp;AK579&amp;",0,D,D)")</f>
        <v>59.3</v>
      </c>
      <c r="X579" s="24">
        <f t="shared" ca="1" si="144"/>
        <v>-1.1908827044562087E-2</v>
      </c>
      <c r="Y579" s="24">
        <f t="shared" ca="1" si="145"/>
        <v>-4.7285664310881437E-2</v>
      </c>
      <c r="Z579" s="24">
        <f t="shared" ca="1" si="146"/>
        <v>-2.8348634335963019E-2</v>
      </c>
      <c r="AA579" s="24">
        <f t="shared" ca="1" si="147"/>
        <v>-6.9497077956154785E-2</v>
      </c>
      <c r="AB579" s="9" cm="1">
        <f t="array" aca="1" ref="AB579" ca="1">_xll.FDS($E$9,"P_PRICE("&amp;AG579&amp;",0,D,D)")</f>
        <v>4166.82</v>
      </c>
      <c r="AC579" s="9" cm="1">
        <f t="array" aca="1" ref="AC579" ca="1">_xll.FDS($E$9,"P_PRICE("&amp;AH579&amp;",0,D,D)")</f>
        <v>4217.04</v>
      </c>
      <c r="AD579" s="9" cm="1">
        <f t="array" aca="1" ref="AD579" ca="1">_xll.FDS($E$9,"P_PRICE("&amp;AI579&amp;",0,D,D)")</f>
        <v>4373.63</v>
      </c>
      <c r="AE579" s="9" cm="1">
        <f t="array" aca="1" ref="AE579" ca="1">_xll.FDS($E$9,"P_PRICE("&amp;AJ579&amp;",0,D,D)")</f>
        <v>4288.3900000000003</v>
      </c>
      <c r="AF579" s="9" cm="1">
        <f t="array" aca="1" ref="AF579" ca="1">_xll.FDS($E$9,"P_PRICE("&amp;AK579&amp;",0,D,D)")</f>
        <v>4478.03</v>
      </c>
      <c r="AG579" s="20">
        <f t="shared" ca="1" si="153"/>
        <v>45229</v>
      </c>
      <c r="AH579" s="22">
        <f t="shared" ca="1" si="148"/>
        <v>45222</v>
      </c>
      <c r="AI579" s="22">
        <f t="shared" ca="1" si="149"/>
        <v>45215</v>
      </c>
      <c r="AJ579" s="22">
        <f t="shared" ca="1" si="150"/>
        <v>45201</v>
      </c>
      <c r="AK579" s="22">
        <f t="shared" ca="1" si="151"/>
        <v>45142</v>
      </c>
      <c r="AL579" s="22">
        <f t="shared" ca="1" si="152"/>
        <v>45055</v>
      </c>
    </row>
    <row r="580" spans="4:38" x14ac:dyDescent="0.25">
      <c r="D580" s="6">
        <f ca="1"/>
        <v>45226</v>
      </c>
      <c r="E580" s="28" cm="1">
        <f t="array" aca="1" ref="E580" ca="1">_xll.FDS($E$7,"P_PRICE("&amp;D580&amp;",0,D,D)")</f>
        <v>52.35</v>
      </c>
      <c r="F580" s="29" cm="1">
        <f t="array" aca="1" ref="F580" ca="1">_xll.FDS($E$7,"P_BETA_LOCIDX("&amp;$AG580&amp;","&amp;$AL580&amp;",,"""&amp;$E$9&amp;""")")</f>
        <v>1.2365043</v>
      </c>
      <c r="G580" s="30">
        <f t="shared" ca="1" si="138"/>
        <v>-1.6748953141780078E-2</v>
      </c>
      <c r="H580" s="30">
        <f t="shared" ca="1" si="138"/>
        <v>-2.9923043954455039E-2</v>
      </c>
      <c r="I580" s="30">
        <f t="shared" ca="1" si="138"/>
        <v>5.7311674412211591E-3</v>
      </c>
      <c r="J580" s="30">
        <f t="shared" ca="1" si="136"/>
        <v>-8.749491091288239E-3</v>
      </c>
      <c r="K580" s="30">
        <f t="shared" ca="1" si="139"/>
        <v>-3.1259775718012604E-2</v>
      </c>
      <c r="L580" s="30">
        <f t="shared" ca="1" si="139"/>
        <v>-6.0116935186862522E-2</v>
      </c>
      <c r="M580" s="30">
        <f t="shared" ca="1" si="139"/>
        <v>-4.9217372447616155E-2</v>
      </c>
      <c r="N580" s="30">
        <f t="shared" ca="1" si="137"/>
        <v>-0.10561356084577818</v>
      </c>
      <c r="O580" s="30">
        <f t="shared" ca="1" si="140"/>
        <v>-4.8008728859792682E-2</v>
      </c>
      <c r="P580" s="30">
        <f t="shared" ca="1" si="141"/>
        <v>-9.0039979141317561E-2</v>
      </c>
      <c r="Q580" s="30">
        <f t="shared" ca="1" si="142"/>
        <v>-4.3486205006394996E-2</v>
      </c>
      <c r="R580" s="30">
        <f t="shared" ca="1" si="143"/>
        <v>-0.11436305193706642</v>
      </c>
      <c r="S580" s="9" cm="1">
        <f t="array" aca="1" ref="S580" ca="1">_xll.FDS($E$7,"P_PRICE("&amp;AG580&amp;",0,D,D)")</f>
        <v>52.35</v>
      </c>
      <c r="T580" s="9" cm="1">
        <f t="array" aca="1" ref="T580" ca="1">_xll.FDS($E$7,"P_PRICE("&amp;AH580&amp;",0,D,D)")</f>
        <v>54.99</v>
      </c>
      <c r="U580" s="9" cm="1">
        <f t="array" aca="1" ref="U580" ca="1">_xll.FDS($E$7,"P_PRICE("&amp;AI580&amp;",0,D,D)")</f>
        <v>57.53</v>
      </c>
      <c r="V580" s="9" cm="1">
        <f t="array" aca="1" ref="V580" ca="1">_xll.FDS($E$7,"P_PRICE("&amp;AJ580&amp;",0,D,D)")</f>
        <v>54.73</v>
      </c>
      <c r="W580" s="9" cm="1">
        <f t="array" aca="1" ref="W580" ca="1">_xll.FDS($E$7,"P_PRICE("&amp;AK580&amp;",0,D,D)")</f>
        <v>59.11</v>
      </c>
      <c r="X580" s="24">
        <f t="shared" ca="1" si="144"/>
        <v>-2.5280765880080325E-2</v>
      </c>
      <c r="Y580" s="24">
        <f t="shared" ca="1" si="145"/>
        <v>-4.8618460272934372E-2</v>
      </c>
      <c r="Z580" s="24">
        <f t="shared" ca="1" si="146"/>
        <v>-3.9803640349343028E-2</v>
      </c>
      <c r="AA580" s="24">
        <f t="shared" ca="1" si="147"/>
        <v>-8.5413015422411531E-2</v>
      </c>
      <c r="AB580" s="9" cm="1">
        <f t="array" aca="1" ref="AB580" ca="1">_xll.FDS($E$9,"P_PRICE("&amp;AG580&amp;",0,D,D)")</f>
        <v>4117.37</v>
      </c>
      <c r="AC580" s="9" cm="1">
        <f t="array" aca="1" ref="AC580" ca="1">_xll.FDS($E$9,"P_PRICE("&amp;AH580&amp;",0,D,D)")</f>
        <v>4224.16</v>
      </c>
      <c r="AD580" s="9" cm="1">
        <f t="array" aca="1" ref="AD580" ca="1">_xll.FDS($E$9,"P_PRICE("&amp;AI580&amp;",0,D,D)")</f>
        <v>4327.78</v>
      </c>
      <c r="AE580" s="9" cm="1">
        <f t="array" aca="1" ref="AE580" ca="1">_xll.FDS($E$9,"P_PRICE("&amp;AJ580&amp;",0,D,D)")</f>
        <v>4288.05</v>
      </c>
      <c r="AF580" s="9" cm="1">
        <f t="array" aca="1" ref="AF580" ca="1">_xll.FDS($E$9,"P_PRICE("&amp;AK580&amp;",0,D,D)")</f>
        <v>4501.8900000000003</v>
      </c>
      <c r="AG580" s="20">
        <f t="shared" ca="1" si="153"/>
        <v>45226</v>
      </c>
      <c r="AH580" s="22">
        <f t="shared" ca="1" si="148"/>
        <v>45219</v>
      </c>
      <c r="AI580" s="22">
        <f t="shared" ca="1" si="149"/>
        <v>45212</v>
      </c>
      <c r="AJ580" s="22">
        <f t="shared" ca="1" si="150"/>
        <v>45198</v>
      </c>
      <c r="AK580" s="22">
        <f t="shared" ca="1" si="151"/>
        <v>45141</v>
      </c>
      <c r="AL580" s="22">
        <f t="shared" ca="1" si="152"/>
        <v>45054</v>
      </c>
    </row>
    <row r="581" spans="4:38" x14ac:dyDescent="0.25">
      <c r="D581" s="6">
        <f ca="1"/>
        <v>45225</v>
      </c>
      <c r="E581" s="28" cm="1">
        <f t="array" aca="1" ref="E581" ca="1">_xll.FDS($E$7,"P_PRICE("&amp;D581&amp;",0,D,D)")</f>
        <v>52.29</v>
      </c>
      <c r="F581" s="29" cm="1">
        <f t="array" aca="1" ref="F581" ca="1">_xll.FDS($E$7,"P_BETA_LOCIDX("&amp;$AG581&amp;","&amp;$AL581&amp;",,"""&amp;$E$9&amp;""")")</f>
        <v>1.2359563</v>
      </c>
      <c r="G581" s="30">
        <f t="shared" ca="1" si="138"/>
        <v>-1.1113601364756212E-3</v>
      </c>
      <c r="H581" s="30">
        <f t="shared" ca="1" si="138"/>
        <v>-3.9961213277712501E-2</v>
      </c>
      <c r="I581" s="30">
        <f t="shared" ca="1" si="138"/>
        <v>-2.2539436812906335E-2</v>
      </c>
      <c r="J581" s="30">
        <f t="shared" ca="1" si="136"/>
        <v>-6.0390848839539935E-3</v>
      </c>
      <c r="K581" s="30">
        <f t="shared" ca="1" si="139"/>
        <v>-4.0669838324217104E-2</v>
      </c>
      <c r="L581" s="30">
        <f t="shared" ca="1" si="139"/>
        <v>-6.0348490782851774E-2</v>
      </c>
      <c r="M581" s="30">
        <f t="shared" ca="1" si="139"/>
        <v>-4.6702286220201492E-2</v>
      </c>
      <c r="N581" s="30">
        <f t="shared" ca="1" si="137"/>
        <v>-0.10300845302710404</v>
      </c>
      <c r="O581" s="30">
        <f t="shared" ca="1" si="140"/>
        <v>-4.1781198460692726E-2</v>
      </c>
      <c r="P581" s="30">
        <f t="shared" ca="1" si="141"/>
        <v>-0.10030970406056428</v>
      </c>
      <c r="Q581" s="30">
        <f t="shared" ca="1" si="142"/>
        <v>-6.9241723033107827E-2</v>
      </c>
      <c r="R581" s="30">
        <f t="shared" ca="1" si="143"/>
        <v>-0.10904753791105803</v>
      </c>
      <c r="S581" s="9" cm="1">
        <f t="array" aca="1" ref="S581" ca="1">_xll.FDS($E$7,"P_PRICE("&amp;AG581&amp;",0,D,D)")</f>
        <v>52.29</v>
      </c>
      <c r="T581" s="9" cm="1">
        <f t="array" aca="1" ref="T581" ca="1">_xll.FDS($E$7,"P_PRICE("&amp;AH581&amp;",0,D,D)")</f>
        <v>54.57</v>
      </c>
      <c r="U581" s="9" cm="1">
        <f t="array" aca="1" ref="U581" ca="1">_xll.FDS($E$7,"P_PRICE("&amp;AI581&amp;",0,D,D)")</f>
        <v>58.12</v>
      </c>
      <c r="V581" s="9" cm="1">
        <f t="array" aca="1" ref="V581" ca="1">_xll.FDS($E$7,"P_PRICE("&amp;AJ581&amp;",0,D,D)")</f>
        <v>56.18</v>
      </c>
      <c r="W581" s="9" cm="1">
        <f t="array" aca="1" ref="W581" ca="1">_xll.FDS($E$7,"P_PRICE("&amp;AK581&amp;",0,D,D)")</f>
        <v>58.69</v>
      </c>
      <c r="X581" s="24">
        <f t="shared" ca="1" si="144"/>
        <v>-3.2905563347358724E-2</v>
      </c>
      <c r="Y581" s="24">
        <f t="shared" ca="1" si="145"/>
        <v>-4.8827366131676153E-2</v>
      </c>
      <c r="Z581" s="24">
        <f t="shared" ca="1" si="146"/>
        <v>-3.778635718771084E-2</v>
      </c>
      <c r="AA581" s="24">
        <f t="shared" ca="1" si="147"/>
        <v>-8.3343119030263479E-2</v>
      </c>
      <c r="AB581" s="9" cm="1">
        <f t="array" aca="1" ref="AB581" ca="1">_xll.FDS($E$9,"P_PRICE("&amp;AG581&amp;",0,D,D)")</f>
        <v>4137.2299999999996</v>
      </c>
      <c r="AC581" s="9" cm="1">
        <f t="array" aca="1" ref="AC581" ca="1">_xll.FDS($E$9,"P_PRICE("&amp;AH581&amp;",0,D,D)")</f>
        <v>4278</v>
      </c>
      <c r="AD581" s="9" cm="1">
        <f t="array" aca="1" ref="AD581" ca="1">_xll.FDS($E$9,"P_PRICE("&amp;AI581&amp;",0,D,D)")</f>
        <v>4349.6099999999997</v>
      </c>
      <c r="AE581" s="9" cm="1">
        <f t="array" aca="1" ref="AE581" ca="1">_xll.FDS($E$9,"P_PRICE("&amp;AJ581&amp;",0,D,D)")</f>
        <v>4299.7</v>
      </c>
      <c r="AF581" s="9" cm="1">
        <f t="array" aca="1" ref="AF581" ca="1">_xll.FDS($E$9,"P_PRICE("&amp;AK581&amp;",0,D,D)")</f>
        <v>4513.3900000000003</v>
      </c>
      <c r="AG581" s="20">
        <f t="shared" ca="1" si="153"/>
        <v>45225</v>
      </c>
      <c r="AH581" s="22">
        <f t="shared" ca="1" si="148"/>
        <v>45218</v>
      </c>
      <c r="AI581" s="22">
        <f t="shared" ca="1" si="149"/>
        <v>45211</v>
      </c>
      <c r="AJ581" s="22">
        <f t="shared" ca="1" si="150"/>
        <v>45197</v>
      </c>
      <c r="AK581" s="22">
        <f t="shared" ca="1" si="151"/>
        <v>45140</v>
      </c>
      <c r="AL581" s="22">
        <f t="shared" ca="1" si="152"/>
        <v>45051</v>
      </c>
    </row>
    <row r="582" spans="4:38" x14ac:dyDescent="0.25">
      <c r="D582" s="6">
        <f ca="1"/>
        <v>45224</v>
      </c>
      <c r="E582" s="28" cm="1">
        <f t="array" aca="1" ref="E582" ca="1">_xll.FDS($E$7,"P_PRICE("&amp;D582&amp;",0,D,D)")</f>
        <v>53.5</v>
      </c>
      <c r="F582" s="29" cm="1">
        <f t="array" aca="1" ref="F582" ca="1">_xll.FDS($E$7,"P_BETA_LOCIDX("&amp;$AG582&amp;","&amp;$AL582&amp;",,"""&amp;$E$9&amp;""")")</f>
        <v>1.1917362</v>
      </c>
      <c r="G582" s="30">
        <f t="shared" ca="1" si="138"/>
        <v>-1.0753451816091497E-3</v>
      </c>
      <c r="H582" s="30">
        <f t="shared" ca="1" si="138"/>
        <v>-4.4807637776580145E-2</v>
      </c>
      <c r="I582" s="30">
        <f t="shared" ca="1" si="138"/>
        <v>-2.6956469996273911E-2</v>
      </c>
      <c r="J582" s="30">
        <f t="shared" ca="1" si="136"/>
        <v>-3.9589422796986184E-3</v>
      </c>
      <c r="K582" s="30">
        <f t="shared" ca="1" si="139"/>
        <v>-3.5307940120984566E-2</v>
      </c>
      <c r="L582" s="30">
        <f t="shared" ca="1" si="139"/>
        <v>-5.1781352429431271E-2</v>
      </c>
      <c r="M582" s="30">
        <f t="shared" ca="1" si="139"/>
        <v>-2.4461969720038081E-2</v>
      </c>
      <c r="N582" s="30">
        <f t="shared" ca="1" si="137"/>
        <v>-0.10154181010284613</v>
      </c>
      <c r="O582" s="30">
        <f t="shared" ca="1" si="140"/>
        <v>-3.6383285302593715E-2</v>
      </c>
      <c r="P582" s="30">
        <f t="shared" ca="1" si="141"/>
        <v>-9.6588990206011416E-2</v>
      </c>
      <c r="Q582" s="30">
        <f t="shared" ca="1" si="142"/>
        <v>-5.1418439716311992E-2</v>
      </c>
      <c r="R582" s="30">
        <f t="shared" ca="1" si="143"/>
        <v>-0.10550075238254475</v>
      </c>
      <c r="S582" s="9" cm="1">
        <f t="array" aca="1" ref="S582" ca="1">_xll.FDS($E$7,"P_PRICE("&amp;AG582&amp;",0,D,D)")</f>
        <v>53.5</v>
      </c>
      <c r="T582" s="9" cm="1">
        <f t="array" aca="1" ref="T582" ca="1">_xll.FDS($E$7,"P_PRICE("&amp;AH582&amp;",0,D,D)")</f>
        <v>55.52</v>
      </c>
      <c r="U582" s="9" cm="1">
        <f t="array" aca="1" ref="U582" ca="1">_xll.FDS($E$7,"P_PRICE("&amp;AI582&amp;",0,D,D)")</f>
        <v>59.22</v>
      </c>
      <c r="V582" s="9" cm="1">
        <f t="array" aca="1" ref="V582" ca="1">_xll.FDS($E$7,"P_PRICE("&amp;AJ582&amp;",0,D,D)")</f>
        <v>56.4</v>
      </c>
      <c r="W582" s="9" cm="1">
        <f t="array" aca="1" ref="W582" ca="1">_xll.FDS($E$7,"P_PRICE("&amp;AK582&amp;",0,D,D)")</f>
        <v>59.81</v>
      </c>
      <c r="X582" s="24">
        <f t="shared" ca="1" si="144"/>
        <v>-2.962731191767487E-2</v>
      </c>
      <c r="Y582" s="24">
        <f t="shared" ca="1" si="145"/>
        <v>-4.345034784496038E-2</v>
      </c>
      <c r="Z582" s="24">
        <f t="shared" ca="1" si="146"/>
        <v>-2.0526329333654614E-2</v>
      </c>
      <c r="AA582" s="24">
        <f t="shared" ca="1" si="147"/>
        <v>-8.52049388974222E-2</v>
      </c>
      <c r="AB582" s="9" cm="1">
        <f t="array" aca="1" ref="AB582" ca="1">_xll.FDS($E$9,"P_PRICE("&amp;AG582&amp;",0,D,D)")</f>
        <v>4186.7700000000004</v>
      </c>
      <c r="AC582" s="9" cm="1">
        <f t="array" aca="1" ref="AC582" ca="1">_xll.FDS($E$9,"P_PRICE("&amp;AH582&amp;",0,D,D)")</f>
        <v>4314.6000000000004</v>
      </c>
      <c r="AD582" s="9" cm="1">
        <f t="array" aca="1" ref="AD582" ca="1">_xll.FDS($E$9,"P_PRICE("&amp;AI582&amp;",0,D,D)")</f>
        <v>4376.95</v>
      </c>
      <c r="AE582" s="9" cm="1">
        <f t="array" aca="1" ref="AE582" ca="1">_xll.FDS($E$9,"P_PRICE("&amp;AJ582&amp;",0,D,D)")</f>
        <v>4274.51</v>
      </c>
      <c r="AF582" s="9" cm="1">
        <f t="array" aca="1" ref="AF582" ca="1">_xll.FDS($E$9,"P_PRICE("&amp;AK582&amp;",0,D,D)")</f>
        <v>4576.7299999999996</v>
      </c>
      <c r="AG582" s="20">
        <f t="shared" ca="1" si="153"/>
        <v>45224</v>
      </c>
      <c r="AH582" s="22">
        <f t="shared" ca="1" si="148"/>
        <v>45217</v>
      </c>
      <c r="AI582" s="22">
        <f t="shared" ca="1" si="149"/>
        <v>45210</v>
      </c>
      <c r="AJ582" s="22">
        <f t="shared" ca="1" si="150"/>
        <v>45196</v>
      </c>
      <c r="AK582" s="22">
        <f t="shared" ca="1" si="151"/>
        <v>45139</v>
      </c>
      <c r="AL582" s="22">
        <f t="shared" ca="1" si="152"/>
        <v>45050</v>
      </c>
    </row>
    <row r="583" spans="4:38" x14ac:dyDescent="0.25">
      <c r="D583" s="6">
        <f ca="1"/>
        <v>45223</v>
      </c>
      <c r="E583" s="28" cm="1">
        <f t="array" aca="1" ref="E583" ca="1">_xll.FDS($E$7,"P_PRICE("&amp;D583&amp;",0,D,D)")</f>
        <v>54.44</v>
      </c>
      <c r="F583" s="29" cm="1">
        <f t="array" aca="1" ref="F583" ca="1">_xll.FDS($E$7,"P_BETA_LOCIDX("&amp;$AG583&amp;","&amp;$AL583&amp;",,"""&amp;$E$9&amp;""")")</f>
        <v>1.1882528999999999</v>
      </c>
      <c r="G583" s="30">
        <f t="shared" ca="1" si="138"/>
        <v>-2.7112104168633924E-2</v>
      </c>
      <c r="H583" s="30">
        <f t="shared" ca="1" si="138"/>
        <v>-2.3073746020013022E-2</v>
      </c>
      <c r="I583" s="30">
        <f t="shared" ca="1" si="138"/>
        <v>-1.735999242211184E-2</v>
      </c>
      <c r="J583" s="30">
        <f t="shared" ca="1" si="136"/>
        <v>-8.8106420163110988E-3</v>
      </c>
      <c r="K583" s="30">
        <f t="shared" ca="1" si="139"/>
        <v>-3.4105347116070425E-2</v>
      </c>
      <c r="L583" s="30">
        <f t="shared" ca="1" si="139"/>
        <v>-3.0143645284334861E-2</v>
      </c>
      <c r="M583" s="30">
        <f t="shared" ca="1" si="139"/>
        <v>-7.1875796975801017E-3</v>
      </c>
      <c r="N583" s="30">
        <f t="shared" ca="1" si="137"/>
        <v>-8.8370120836093524E-2</v>
      </c>
      <c r="O583" s="30">
        <f t="shared" ca="1" si="140"/>
        <v>-6.1217451284704349E-2</v>
      </c>
      <c r="P583" s="30">
        <f t="shared" ca="1" si="141"/>
        <v>-5.3217391304347883E-2</v>
      </c>
      <c r="Q583" s="30">
        <f t="shared" ca="1" si="142"/>
        <v>-2.4547572119691941E-2</v>
      </c>
      <c r="R583" s="30">
        <f t="shared" ca="1" si="143"/>
        <v>-9.7180762852404623E-2</v>
      </c>
      <c r="S583" s="9" cm="1">
        <f t="array" aca="1" ref="S583" ca="1">_xll.FDS($E$7,"P_PRICE("&amp;AG583&amp;",0,D,D)")</f>
        <v>54.44</v>
      </c>
      <c r="T583" s="9" cm="1">
        <f t="array" aca="1" ref="T583" ca="1">_xll.FDS($E$7,"P_PRICE("&amp;AH583&amp;",0,D,D)")</f>
        <v>57.99</v>
      </c>
      <c r="U583" s="9" cm="1">
        <f t="array" aca="1" ref="U583" ca="1">_xll.FDS($E$7,"P_PRICE("&amp;AI583&amp;",0,D,D)")</f>
        <v>57.5</v>
      </c>
      <c r="V583" s="9" cm="1">
        <f t="array" aca="1" ref="V583" ca="1">_xll.FDS($E$7,"P_PRICE("&amp;AJ583&amp;",0,D,D)")</f>
        <v>55.81</v>
      </c>
      <c r="W583" s="9" cm="1">
        <f t="array" aca="1" ref="W583" ca="1">_xll.FDS($E$7,"P_PRICE("&amp;AK583&amp;",0,D,D)")</f>
        <v>60.3</v>
      </c>
      <c r="X583" s="24">
        <f t="shared" ca="1" si="144"/>
        <v>-2.8702094576053994E-2</v>
      </c>
      <c r="Y583" s="24">
        <f t="shared" ca="1" si="145"/>
        <v>-2.5368038474246402E-2</v>
      </c>
      <c r="Z583" s="24">
        <f t="shared" ca="1" si="146"/>
        <v>-6.0488635858411133E-3</v>
      </c>
      <c r="AA583" s="24">
        <f t="shared" ca="1" si="147"/>
        <v>-7.4369791848261868E-2</v>
      </c>
      <c r="AB583" s="9" cm="1">
        <f t="array" aca="1" ref="AB583" ca="1">_xll.FDS($E$9,"P_PRICE("&amp;AG583&amp;",0,D,D)")</f>
        <v>4247.68</v>
      </c>
      <c r="AC583" s="9" cm="1">
        <f t="array" aca="1" ref="AC583" ca="1">_xll.FDS($E$9,"P_PRICE("&amp;AH583&amp;",0,D,D)")</f>
        <v>4373.2</v>
      </c>
      <c r="AD583" s="9" cm="1">
        <f t="array" aca="1" ref="AD583" ca="1">_xll.FDS($E$9,"P_PRICE("&amp;AI583&amp;",0,D,D)")</f>
        <v>4358.24</v>
      </c>
      <c r="AE583" s="9" cm="1">
        <f t="array" aca="1" ref="AE583" ca="1">_xll.FDS($E$9,"P_PRICE("&amp;AJ583&amp;",0,D,D)")</f>
        <v>4273.53</v>
      </c>
      <c r="AF583" s="9" cm="1">
        <f t="array" aca="1" ref="AF583" ca="1">_xll.FDS($E$9,"P_PRICE("&amp;AK583&amp;",0,D,D)")</f>
        <v>4588.96</v>
      </c>
      <c r="AG583" s="20">
        <f t="shared" ca="1" si="153"/>
        <v>45223</v>
      </c>
      <c r="AH583" s="22">
        <f t="shared" ca="1" si="148"/>
        <v>45216</v>
      </c>
      <c r="AI583" s="22">
        <f t="shared" ca="1" si="149"/>
        <v>45209</v>
      </c>
      <c r="AJ583" s="22">
        <f t="shared" ca="1" si="150"/>
        <v>45195</v>
      </c>
      <c r="AK583" s="22">
        <f t="shared" ca="1" si="151"/>
        <v>45138</v>
      </c>
      <c r="AL583" s="22">
        <f t="shared" ca="1" si="152"/>
        <v>45049</v>
      </c>
    </row>
    <row r="584" spans="4:38" x14ac:dyDescent="0.25">
      <c r="D584" s="6">
        <f ca="1"/>
        <v>45222</v>
      </c>
      <c r="E584" s="28" cm="1">
        <f t="array" aca="1" ref="E584" ca="1">_xll.FDS($E$7,"P_PRICE("&amp;D584&amp;",0,D,D)")</f>
        <v>54.81</v>
      </c>
      <c r="F584" s="29" cm="1">
        <f t="array" aca="1" ref="F584" ca="1">_xll.FDS($E$7,"P_BETA_LOCIDX("&amp;$AG584&amp;","&amp;$AL584&amp;",,"""&amp;$E$9&amp;""")")</f>
        <v>1.1943429999999999</v>
      </c>
      <c r="G584" s="30">
        <f t="shared" ca="1" si="138"/>
        <v>-2.1754813975886175E-2</v>
      </c>
      <c r="H584" s="30">
        <f t="shared" ca="1" si="138"/>
        <v>-2.8683897998107791E-3</v>
      </c>
      <c r="I584" s="30">
        <f t="shared" ca="1" si="138"/>
        <v>5.8237495575143919E-3</v>
      </c>
      <c r="J584" s="30">
        <f t="shared" ca="1" si="136"/>
        <v>7.4691799980961399E-3</v>
      </c>
      <c r="K584" s="30">
        <f t="shared" ca="1" si="139"/>
        <v>-4.2761315056371943E-2</v>
      </c>
      <c r="L584" s="30">
        <f t="shared" ca="1" si="139"/>
        <v>-3.267621692199104E-2</v>
      </c>
      <c r="M584" s="30">
        <f t="shared" ca="1" si="139"/>
        <v>-3.3152942104098228E-2</v>
      </c>
      <c r="N584" s="30">
        <f t="shared" ca="1" si="137"/>
        <v>-9.5185558160546177E-2</v>
      </c>
      <c r="O584" s="30">
        <f t="shared" ca="1" si="140"/>
        <v>-6.4516129032258118E-2</v>
      </c>
      <c r="P584" s="30">
        <f t="shared" ca="1" si="141"/>
        <v>-3.5544606721801819E-2</v>
      </c>
      <c r="Q584" s="30">
        <f t="shared" ca="1" si="142"/>
        <v>-2.7329192546583836E-2</v>
      </c>
      <c r="R584" s="30">
        <f t="shared" ca="1" si="143"/>
        <v>-8.7716378162450037E-2</v>
      </c>
      <c r="S584" s="9" cm="1">
        <f t="array" aca="1" ref="S584" ca="1">_xll.FDS($E$7,"P_PRICE("&amp;AG584&amp;",0,D,D)")</f>
        <v>54.81</v>
      </c>
      <c r="T584" s="9" cm="1">
        <f t="array" aca="1" ref="T584" ca="1">_xll.FDS($E$7,"P_PRICE("&amp;AH584&amp;",0,D,D)")</f>
        <v>58.59</v>
      </c>
      <c r="U584" s="9" cm="1">
        <f t="array" aca="1" ref="U584" ca="1">_xll.FDS($E$7,"P_PRICE("&amp;AI584&amp;",0,D,D)")</f>
        <v>56.83</v>
      </c>
      <c r="V584" s="9" cm="1">
        <f t="array" aca="1" ref="V584" ca="1">_xll.FDS($E$7,"P_PRICE("&amp;AJ584&amp;",0,D,D)")</f>
        <v>56.35</v>
      </c>
      <c r="W584" s="9" cm="1">
        <f t="array" aca="1" ref="W584" ca="1">_xll.FDS($E$7,"P_PRICE("&amp;AK584&amp;",0,D,D)")</f>
        <v>60.08</v>
      </c>
      <c r="X584" s="24">
        <f t="shared" ca="1" si="144"/>
        <v>-3.5803211519950251E-2</v>
      </c>
      <c r="Y584" s="24">
        <f t="shared" ca="1" si="145"/>
        <v>-2.7359156391414396E-2</v>
      </c>
      <c r="Z584" s="24">
        <f t="shared" ca="1" si="146"/>
        <v>-2.7758309048655394E-2</v>
      </c>
      <c r="AA584" s="24">
        <f t="shared" ca="1" si="147"/>
        <v>-7.9697003424096913E-2</v>
      </c>
      <c r="AB584" s="9" cm="1">
        <f t="array" aca="1" ref="AB584" ca="1">_xll.FDS($E$9,"P_PRICE("&amp;AG584&amp;",0,D,D)")</f>
        <v>4217.04</v>
      </c>
      <c r="AC584" s="9" cm="1">
        <f t="array" aca="1" ref="AC584" ca="1">_xll.FDS($E$9,"P_PRICE("&amp;AH584&amp;",0,D,D)")</f>
        <v>4373.63</v>
      </c>
      <c r="AD584" s="9" cm="1">
        <f t="array" aca="1" ref="AD584" ca="1">_xll.FDS($E$9,"P_PRICE("&amp;AI584&amp;",0,D,D)")</f>
        <v>4335.66</v>
      </c>
      <c r="AE584" s="9" cm="1">
        <f t="array" aca="1" ref="AE584" ca="1">_xll.FDS($E$9,"P_PRICE("&amp;AJ584&amp;",0,D,D)")</f>
        <v>4337.4399999999996</v>
      </c>
      <c r="AF584" s="9" cm="1">
        <f t="array" aca="1" ref="AF584" ca="1">_xll.FDS($E$9,"P_PRICE("&amp;AK584&amp;",0,D,D)")</f>
        <v>4582.2299999999996</v>
      </c>
      <c r="AG584" s="20">
        <f t="shared" ca="1" si="153"/>
        <v>45222</v>
      </c>
      <c r="AH584" s="22">
        <f t="shared" ca="1" si="148"/>
        <v>45215</v>
      </c>
      <c r="AI584" s="22">
        <f t="shared" ca="1" si="149"/>
        <v>45208</v>
      </c>
      <c r="AJ584" s="22">
        <f t="shared" ca="1" si="150"/>
        <v>45194</v>
      </c>
      <c r="AK584" s="22">
        <f t="shared" ca="1" si="151"/>
        <v>45135</v>
      </c>
      <c r="AL584" s="22">
        <f t="shared" ca="1" si="152"/>
        <v>45048</v>
      </c>
    </row>
    <row r="585" spans="4:38" x14ac:dyDescent="0.25">
      <c r="D585" s="6">
        <f ca="1"/>
        <v>45219</v>
      </c>
      <c r="E585" s="28" cm="1">
        <f t="array" aca="1" ref="E585" ca="1">_xll.FDS($E$7,"P_PRICE("&amp;D585&amp;",0,D,D)")</f>
        <v>54.99</v>
      </c>
      <c r="F585" s="29" cm="1">
        <f t="array" aca="1" ref="F585" ca="1">_xll.FDS($E$7,"P_BETA_LOCIDX("&amp;$AG585&amp;","&amp;$AL585&amp;",,"""&amp;$E$9&amp;""")")</f>
        <v>1.1940968000000001</v>
      </c>
      <c r="G585" s="30">
        <f t="shared" ca="1" si="138"/>
        <v>-1.5560628202397439E-2</v>
      </c>
      <c r="H585" s="30">
        <f t="shared" ca="1" si="138"/>
        <v>-4.7270495688092988E-3</v>
      </c>
      <c r="I585" s="30">
        <f t="shared" ca="1" si="138"/>
        <v>3.4019384279659351E-2</v>
      </c>
      <c r="J585" s="30">
        <f t="shared" ca="1" si="136"/>
        <v>8.6624444594839423E-3</v>
      </c>
      <c r="K585" s="30">
        <f t="shared" ca="1" si="139"/>
        <v>-2.8590249600487963E-2</v>
      </c>
      <c r="L585" s="30">
        <f t="shared" ca="1" si="139"/>
        <v>-2.3374753188348602E-2</v>
      </c>
      <c r="M585" s="30">
        <f t="shared" ca="1" si="139"/>
        <v>-2.6507475155437849E-2</v>
      </c>
      <c r="N585" s="30">
        <f t="shared" ca="1" si="137"/>
        <v>-8.2437078112844175E-2</v>
      </c>
      <c r="O585" s="30">
        <f t="shared" ca="1" si="140"/>
        <v>-4.4150877802885402E-2</v>
      </c>
      <c r="P585" s="30">
        <f t="shared" ca="1" si="141"/>
        <v>-2.8101802757157901E-2</v>
      </c>
      <c r="Q585" s="30">
        <f t="shared" ca="1" si="142"/>
        <v>7.5119091242215053E-3</v>
      </c>
      <c r="R585" s="30">
        <f t="shared" ca="1" si="143"/>
        <v>-7.3774633653360233E-2</v>
      </c>
      <c r="S585" s="9" cm="1">
        <f t="array" aca="1" ref="S585" ca="1">_xll.FDS($E$7,"P_PRICE("&amp;AG585&amp;",0,D,D)")</f>
        <v>54.99</v>
      </c>
      <c r="T585" s="9" cm="1">
        <f t="array" aca="1" ref="T585" ca="1">_xll.FDS($E$7,"P_PRICE("&amp;AH585&amp;",0,D,D)")</f>
        <v>57.53</v>
      </c>
      <c r="U585" s="9" cm="1">
        <f t="array" aca="1" ref="U585" ca="1">_xll.FDS($E$7,"P_PRICE("&amp;AI585&amp;",0,D,D)")</f>
        <v>56.58</v>
      </c>
      <c r="V585" s="9" cm="1">
        <f t="array" aca="1" ref="V585" ca="1">_xll.FDS($E$7,"P_PRICE("&amp;AJ585&amp;",0,D,D)")</f>
        <v>54.58</v>
      </c>
      <c r="W585" s="9" cm="1">
        <f t="array" aca="1" ref="W585" ca="1">_xll.FDS($E$7,"P_PRICE("&amp;AK585&amp;",0,D,D)")</f>
        <v>59.37</v>
      </c>
      <c r="X585" s="24">
        <f t="shared" ca="1" si="144"/>
        <v>-2.3942991556872073E-2</v>
      </c>
      <c r="Y585" s="24">
        <f t="shared" ca="1" si="145"/>
        <v>-1.957525821051409E-2</v>
      </c>
      <c r="Z585" s="24">
        <f t="shared" ca="1" si="146"/>
        <v>-2.2198765757883154E-2</v>
      </c>
      <c r="AA585" s="24">
        <f t="shared" ca="1" si="147"/>
        <v>-6.9037182004711983E-2</v>
      </c>
      <c r="AB585" s="9" cm="1">
        <f t="array" aca="1" ref="AB585" ca="1">_xll.FDS($E$9,"P_PRICE("&amp;AG585&amp;",0,D,D)")</f>
        <v>4224.16</v>
      </c>
      <c r="AC585" s="9" cm="1">
        <f t="array" aca="1" ref="AC585" ca="1">_xll.FDS($E$9,"P_PRICE("&amp;AH585&amp;",0,D,D)")</f>
        <v>4327.78</v>
      </c>
      <c r="AD585" s="9" cm="1">
        <f t="array" aca="1" ref="AD585" ca="1">_xll.FDS($E$9,"P_PRICE("&amp;AI585&amp;",0,D,D)")</f>
        <v>4308.5</v>
      </c>
      <c r="AE585" s="9" cm="1">
        <f t="array" aca="1" ref="AE585" ca="1">_xll.FDS($E$9,"P_PRICE("&amp;AJ585&amp;",0,D,D)")</f>
        <v>4320.0600000000004</v>
      </c>
      <c r="AF585" s="9" cm="1">
        <f t="array" aca="1" ref="AF585" ca="1">_xll.FDS($E$9,"P_PRICE("&amp;AK585&amp;",0,D,D)")</f>
        <v>4537.41</v>
      </c>
      <c r="AG585" s="20">
        <f t="shared" ca="1" si="153"/>
        <v>45219</v>
      </c>
      <c r="AH585" s="22">
        <f t="shared" ca="1" si="148"/>
        <v>45212</v>
      </c>
      <c r="AI585" s="22">
        <f t="shared" ca="1" si="149"/>
        <v>45205</v>
      </c>
      <c r="AJ585" s="22">
        <f t="shared" ca="1" si="150"/>
        <v>45191</v>
      </c>
      <c r="AK585" s="22">
        <f t="shared" ca="1" si="151"/>
        <v>45134</v>
      </c>
      <c r="AL585" s="22">
        <f t="shared" ca="1" si="152"/>
        <v>45047</v>
      </c>
    </row>
    <row r="586" spans="4:38" x14ac:dyDescent="0.25">
      <c r="D586" s="6">
        <f ca="1"/>
        <v>45218</v>
      </c>
      <c r="E586" s="28" cm="1">
        <f t="array" aca="1" ref="E586" ca="1">_xll.FDS($E$7,"P_PRICE("&amp;D586&amp;",0,D,D)")</f>
        <v>54.57</v>
      </c>
      <c r="F586" s="29" cm="1">
        <f t="array" aca="1" ref="F586" ca="1">_xll.FDS($E$7,"P_BETA_LOCIDX("&amp;$AG586&amp;","&amp;$AL586&amp;",,"""&amp;$E$9&amp;""")")</f>
        <v>1.2221119</v>
      </c>
      <c r="G586" s="30">
        <f t="shared" ca="1" si="138"/>
        <v>-4.0960228785915723E-2</v>
      </c>
      <c r="H586" s="30">
        <f t="shared" ca="1" si="138"/>
        <v>-1.9777663817052898E-2</v>
      </c>
      <c r="I586" s="30">
        <f t="shared" ca="1" si="138"/>
        <v>3.5248916040792264E-2</v>
      </c>
      <c r="J586" s="30">
        <f t="shared" ca="1" si="136"/>
        <v>-4.195130222147514E-3</v>
      </c>
      <c r="K586" s="30">
        <f t="shared" ca="1" si="139"/>
        <v>-2.0120294269831019E-2</v>
      </c>
      <c r="L586" s="30">
        <f t="shared" ca="1" si="139"/>
        <v>5.6855228956436974E-3</v>
      </c>
      <c r="M586" s="30">
        <f t="shared" ca="1" si="139"/>
        <v>-1.467663251732108E-2</v>
      </c>
      <c r="N586" s="30">
        <f t="shared" ca="1" si="137"/>
        <v>-7.7272636147150575E-2</v>
      </c>
      <c r="O586" s="30">
        <f t="shared" ca="1" si="140"/>
        <v>-6.1080523055746738E-2</v>
      </c>
      <c r="P586" s="30">
        <f t="shared" ca="1" si="141"/>
        <v>-1.4092140921409202E-2</v>
      </c>
      <c r="Q586" s="30">
        <f t="shared" ca="1" si="142"/>
        <v>2.057228352347118E-2</v>
      </c>
      <c r="R586" s="30">
        <f t="shared" ca="1" si="143"/>
        <v>-8.1467766369298089E-2</v>
      </c>
      <c r="S586" s="9" cm="1">
        <f t="array" aca="1" ref="S586" ca="1">_xll.FDS($E$7,"P_PRICE("&amp;AG586&amp;",0,D,D)")</f>
        <v>54.57</v>
      </c>
      <c r="T586" s="9" cm="1">
        <f t="array" aca="1" ref="T586" ca="1">_xll.FDS($E$7,"P_PRICE("&amp;AH586&amp;",0,D,D)")</f>
        <v>58.12</v>
      </c>
      <c r="U586" s="9" cm="1">
        <f t="array" aca="1" ref="U586" ca="1">_xll.FDS($E$7,"P_PRICE("&amp;AI586&amp;",0,D,D)")</f>
        <v>55.35</v>
      </c>
      <c r="V586" s="9" cm="1">
        <f t="array" aca="1" ref="V586" ca="1">_xll.FDS($E$7,"P_PRICE("&amp;AJ586&amp;",0,D,D)")</f>
        <v>53.47</v>
      </c>
      <c r="W586" s="9" cm="1">
        <f t="array" aca="1" ref="W586" ca="1">_xll.FDS($E$7,"P_PRICE("&amp;AK586&amp;",0,D,D)")</f>
        <v>59.41</v>
      </c>
      <c r="X586" s="24">
        <f t="shared" ca="1" si="144"/>
        <v>-1.6463545007483371E-2</v>
      </c>
      <c r="Y586" s="24">
        <f t="shared" ca="1" si="145"/>
        <v>4.6522113855889113E-3</v>
      </c>
      <c r="Z586" s="24">
        <f t="shared" ca="1" si="146"/>
        <v>-1.2009237875288736E-2</v>
      </c>
      <c r="AA586" s="24">
        <f t="shared" ca="1" si="147"/>
        <v>-6.3228773197569366E-2</v>
      </c>
      <c r="AB586" s="9" cm="1">
        <f t="array" aca="1" ref="AB586" ca="1">_xll.FDS($E$9,"P_PRICE("&amp;AG586&amp;",0,D,D)")</f>
        <v>4278</v>
      </c>
      <c r="AC586" s="9" cm="1">
        <f t="array" aca="1" ref="AC586" ca="1">_xll.FDS($E$9,"P_PRICE("&amp;AH586&amp;",0,D,D)")</f>
        <v>4349.6099999999997</v>
      </c>
      <c r="AD586" s="9" cm="1">
        <f t="array" aca="1" ref="AD586" ca="1">_xll.FDS($E$9,"P_PRICE("&amp;AI586&amp;",0,D,D)")</f>
        <v>4258.1899999999996</v>
      </c>
      <c r="AE586" s="9" cm="1">
        <f t="array" aca="1" ref="AE586" ca="1">_xll.FDS($E$9,"P_PRICE("&amp;AJ586&amp;",0,D,D)")</f>
        <v>4330</v>
      </c>
      <c r="AF586" s="9" cm="1">
        <f t="array" aca="1" ref="AF586" ca="1">_xll.FDS($E$9,"P_PRICE("&amp;AK586&amp;",0,D,D)")</f>
        <v>4566.75</v>
      </c>
      <c r="AG586" s="20">
        <f t="shared" ca="1" si="153"/>
        <v>45218</v>
      </c>
      <c r="AH586" s="22">
        <f t="shared" ca="1" si="148"/>
        <v>45211</v>
      </c>
      <c r="AI586" s="22">
        <f t="shared" ca="1" si="149"/>
        <v>45204</v>
      </c>
      <c r="AJ586" s="22">
        <f t="shared" ca="1" si="150"/>
        <v>45190</v>
      </c>
      <c r="AK586" s="22">
        <f t="shared" ca="1" si="151"/>
        <v>45133</v>
      </c>
      <c r="AL586" s="22">
        <f t="shared" ca="1" si="152"/>
        <v>45044</v>
      </c>
    </row>
    <row r="587" spans="4:38" x14ac:dyDescent="0.25">
      <c r="D587" s="6">
        <f ca="1"/>
        <v>45217</v>
      </c>
      <c r="E587" s="28" cm="1">
        <f t="array" aca="1" ref="E587" ca="1">_xll.FDS($E$7,"P_PRICE("&amp;D587&amp;",0,D,D)")</f>
        <v>55.52</v>
      </c>
      <c r="F587" s="29" cm="1">
        <f t="array" aca="1" ref="F587" ca="1">_xll.FDS($E$7,"P_BETA_LOCIDX("&amp;$AG587&amp;","&amp;$AL587&amp;",,"""&amp;$E$9&amp;""")")</f>
        <v>1.1610415999999999</v>
      </c>
      <c r="G587" s="30">
        <f t="shared" ca="1" si="138"/>
        <v>-4.5939762561651817E-2</v>
      </c>
      <c r="H587" s="30">
        <f t="shared" ca="1" si="138"/>
        <v>5.0558278871976996E-3</v>
      </c>
      <c r="I587" s="30">
        <f t="shared" ca="1" si="138"/>
        <v>3.2741846919281829E-2</v>
      </c>
      <c r="J587" s="30">
        <f t="shared" ca="1" si="136"/>
        <v>-2.6141169940214065E-3</v>
      </c>
      <c r="K587" s="30">
        <f t="shared" ca="1" si="139"/>
        <v>-1.6539129704474426E-2</v>
      </c>
      <c r="L587" s="30">
        <f t="shared" ca="1" si="139"/>
        <v>1.3846723039577808E-2</v>
      </c>
      <c r="M587" s="30">
        <f t="shared" ca="1" si="139"/>
        <v>-2.3103730898187062E-2</v>
      </c>
      <c r="N587" s="30">
        <f t="shared" ca="1" si="137"/>
        <v>-6.4276639308499542E-2</v>
      </c>
      <c r="O587" s="30">
        <f t="shared" ca="1" si="140"/>
        <v>-6.247889226612624E-2</v>
      </c>
      <c r="P587" s="30">
        <f t="shared" ca="1" si="141"/>
        <v>1.8902550926775508E-2</v>
      </c>
      <c r="Q587" s="30">
        <f t="shared" ca="1" si="142"/>
        <v>9.6381160210947669E-3</v>
      </c>
      <c r="R587" s="30">
        <f t="shared" ca="1" si="143"/>
        <v>-6.6890756302520948E-2</v>
      </c>
      <c r="S587" s="9" cm="1">
        <f t="array" aca="1" ref="S587" ca="1">_xll.FDS($E$7,"P_PRICE("&amp;AG587&amp;",0,D,D)")</f>
        <v>55.52</v>
      </c>
      <c r="T587" s="9" cm="1">
        <f t="array" aca="1" ref="T587" ca="1">_xll.FDS($E$7,"P_PRICE("&amp;AH587&amp;",0,D,D)")</f>
        <v>59.22</v>
      </c>
      <c r="U587" s="9" cm="1">
        <f t="array" aca="1" ref="U587" ca="1">_xll.FDS($E$7,"P_PRICE("&amp;AI587&amp;",0,D,D)")</f>
        <v>54.49</v>
      </c>
      <c r="V587" s="9" cm="1">
        <f t="array" aca="1" ref="V587" ca="1">_xll.FDS($E$7,"P_PRICE("&amp;AJ587&amp;",0,D,D)")</f>
        <v>54.99</v>
      </c>
      <c r="W587" s="9" cm="1">
        <f t="array" aca="1" ref="W587" ca="1">_xll.FDS($E$7,"P_PRICE("&amp;AK587&amp;",0,D,D)")</f>
        <v>59.5</v>
      </c>
      <c r="X587" s="24">
        <f t="shared" ca="1" si="144"/>
        <v>-1.4245079336067223E-2</v>
      </c>
      <c r="Y587" s="24">
        <f t="shared" ca="1" si="145"/>
        <v>1.1926121372031639E-2</v>
      </c>
      <c r="Z587" s="24">
        <f t="shared" ca="1" si="146"/>
        <v>-1.9899141338421522E-2</v>
      </c>
      <c r="AA587" s="24">
        <f t="shared" ca="1" si="147"/>
        <v>-5.5361185429100512E-2</v>
      </c>
      <c r="AB587" s="9" cm="1">
        <f t="array" aca="1" ref="AB587" ca="1">_xll.FDS($E$9,"P_PRICE("&amp;AG587&amp;",0,D,D)")</f>
        <v>4314.6000000000004</v>
      </c>
      <c r="AC587" s="9" cm="1">
        <f t="array" aca="1" ref="AC587" ca="1">_xll.FDS($E$9,"P_PRICE("&amp;AH587&amp;",0,D,D)")</f>
        <v>4376.95</v>
      </c>
      <c r="AD587" s="9" cm="1">
        <f t="array" aca="1" ref="AD587" ca="1">_xll.FDS($E$9,"P_PRICE("&amp;AI587&amp;",0,D,D)")</f>
        <v>4263.75</v>
      </c>
      <c r="AE587" s="9" cm="1">
        <f t="array" aca="1" ref="AE587" ca="1">_xll.FDS($E$9,"P_PRICE("&amp;AJ587&amp;",0,D,D)")</f>
        <v>4402.2</v>
      </c>
      <c r="AF587" s="9" cm="1">
        <f t="array" aca="1" ref="AF587" ca="1">_xll.FDS($E$9,"P_PRICE("&amp;AK587&amp;",0,D,D)")</f>
        <v>4567.46</v>
      </c>
      <c r="AG587" s="20">
        <f t="shared" ca="1" si="153"/>
        <v>45217</v>
      </c>
      <c r="AH587" s="22">
        <f t="shared" ca="1" si="148"/>
        <v>45210</v>
      </c>
      <c r="AI587" s="22">
        <f t="shared" ca="1" si="149"/>
        <v>45203</v>
      </c>
      <c r="AJ587" s="22">
        <f t="shared" ca="1" si="150"/>
        <v>45189</v>
      </c>
      <c r="AK587" s="22">
        <f t="shared" ca="1" si="151"/>
        <v>45132</v>
      </c>
      <c r="AL587" s="22">
        <f t="shared" ca="1" si="152"/>
        <v>45043</v>
      </c>
    </row>
    <row r="588" spans="4:38" x14ac:dyDescent="0.25">
      <c r="D588" s="6">
        <f ca="1"/>
        <v>45216</v>
      </c>
      <c r="E588" s="28" cm="1">
        <f t="array" aca="1" ref="E588" ca="1">_xll.FDS($E$7,"P_PRICE("&amp;D588&amp;",0,D,D)")</f>
        <v>57.99</v>
      </c>
      <c r="F588" s="29" cm="1">
        <f t="array" aca="1" ref="F588" ca="1">_xll.FDS($E$7,"P_BETA_LOCIDX("&amp;$AG588&amp;","&amp;$AL588&amp;",,"""&amp;$E$9&amp;""")")</f>
        <v>1.1161679</v>
      </c>
      <c r="G588" s="30">
        <f t="shared" ca="1" si="138"/>
        <v>4.6904054305927211E-3</v>
      </c>
      <c r="H588" s="30">
        <f t="shared" ca="1" si="138"/>
        <v>4.7815561550028376E-2</v>
      </c>
      <c r="I588" s="30">
        <f t="shared" ca="1" si="138"/>
        <v>9.8664662459046329E-2</v>
      </c>
      <c r="J588" s="30">
        <f t="shared" ca="1" si="136"/>
        <v>2.7012286699284412E-2</v>
      </c>
      <c r="K588" s="30">
        <f t="shared" ca="1" si="139"/>
        <v>3.8313336998421366E-3</v>
      </c>
      <c r="L588" s="30">
        <f t="shared" ca="1" si="139"/>
        <v>3.7936170335386474E-2</v>
      </c>
      <c r="M588" s="30">
        <f t="shared" ca="1" si="139"/>
        <v>-1.7769974667806786E-2</v>
      </c>
      <c r="N588" s="30">
        <f t="shared" ca="1" si="137"/>
        <v>-4.4463997983594857E-2</v>
      </c>
      <c r="O588" s="30">
        <f t="shared" ca="1" si="140"/>
        <v>8.5217391304348578E-3</v>
      </c>
      <c r="P588" s="30">
        <f t="shared" ca="1" si="141"/>
        <v>8.575173188541485E-2</v>
      </c>
      <c r="Q588" s="30">
        <f t="shared" ca="1" si="142"/>
        <v>8.0894687791239539E-2</v>
      </c>
      <c r="R588" s="30">
        <f t="shared" ca="1" si="143"/>
        <v>-1.7451711284310445E-2</v>
      </c>
      <c r="S588" s="9" cm="1">
        <f t="array" aca="1" ref="S588" ca="1">_xll.FDS($E$7,"P_PRICE("&amp;AG588&amp;",0,D,D)")</f>
        <v>57.99</v>
      </c>
      <c r="T588" s="9" cm="1">
        <f t="array" aca="1" ref="T588" ca="1">_xll.FDS($E$7,"P_PRICE("&amp;AH588&amp;",0,D,D)")</f>
        <v>57.5</v>
      </c>
      <c r="U588" s="9" cm="1">
        <f t="array" aca="1" ref="U588" ca="1">_xll.FDS($E$7,"P_PRICE("&amp;AI588&amp;",0,D,D)")</f>
        <v>53.41</v>
      </c>
      <c r="V588" s="9" cm="1">
        <f t="array" aca="1" ref="V588" ca="1">_xll.FDS($E$7,"P_PRICE("&amp;AJ588&amp;",0,D,D)")</f>
        <v>53.65</v>
      </c>
      <c r="W588" s="9" cm="1">
        <f t="array" aca="1" ref="W588" ca="1">_xll.FDS($E$7,"P_PRICE("&amp;AK588&amp;",0,D,D)")</f>
        <v>59.02</v>
      </c>
      <c r="X588" s="24">
        <f t="shared" ca="1" si="144"/>
        <v>3.4325782884834233E-3</v>
      </c>
      <c r="Y588" s="24">
        <f t="shared" ca="1" si="145"/>
        <v>3.3987870763338091E-2</v>
      </c>
      <c r="Z588" s="24">
        <f t="shared" ca="1" si="146"/>
        <v>-1.5920521157978818E-2</v>
      </c>
      <c r="AA588" s="24">
        <f t="shared" ca="1" si="147"/>
        <v>-3.9836298807370163E-2</v>
      </c>
      <c r="AB588" s="9" cm="1">
        <f t="array" aca="1" ref="AB588" ca="1">_xll.FDS($E$9,"P_PRICE("&amp;AG588&amp;",0,D,D)")</f>
        <v>4373.2</v>
      </c>
      <c r="AC588" s="9" cm="1">
        <f t="array" aca="1" ref="AC588" ca="1">_xll.FDS($E$9,"P_PRICE("&amp;AH588&amp;",0,D,D)")</f>
        <v>4358.24</v>
      </c>
      <c r="AD588" s="9" cm="1">
        <f t="array" aca="1" ref="AD588" ca="1">_xll.FDS($E$9,"P_PRICE("&amp;AI588&amp;",0,D,D)")</f>
        <v>4229.45</v>
      </c>
      <c r="AE588" s="9" cm="1">
        <f t="array" aca="1" ref="AE588" ca="1">_xll.FDS($E$9,"P_PRICE("&amp;AJ588&amp;",0,D,D)")</f>
        <v>4443.95</v>
      </c>
      <c r="AF588" s="9" cm="1">
        <f t="array" aca="1" ref="AF588" ca="1">_xll.FDS($E$9,"P_PRICE("&amp;AK588&amp;",0,D,D)")</f>
        <v>4554.6400000000003</v>
      </c>
      <c r="AG588" s="20">
        <f t="shared" ca="1" si="153"/>
        <v>45216</v>
      </c>
      <c r="AH588" s="22">
        <f t="shared" ca="1" si="148"/>
        <v>45209</v>
      </c>
      <c r="AI588" s="22">
        <f t="shared" ca="1" si="149"/>
        <v>45202</v>
      </c>
      <c r="AJ588" s="22">
        <f t="shared" ca="1" si="150"/>
        <v>45188</v>
      </c>
      <c r="AK588" s="22">
        <f t="shared" ca="1" si="151"/>
        <v>45131</v>
      </c>
      <c r="AL588" s="22">
        <f t="shared" ca="1" si="152"/>
        <v>45042</v>
      </c>
    </row>
    <row r="589" spans="4:38" x14ac:dyDescent="0.25">
      <c r="D589" s="6">
        <f ca="1"/>
        <v>45215</v>
      </c>
      <c r="E589" s="28" cm="1">
        <f t="array" aca="1" ref="E589" ca="1">_xll.FDS($E$7,"P_PRICE("&amp;D589&amp;",0,D,D)")</f>
        <v>58.59</v>
      </c>
      <c r="F589" s="29" cm="1">
        <f t="array" aca="1" ref="F589" ca="1">_xll.FDS($E$7,"P_BETA_LOCIDX("&amp;$AG589&amp;","&amp;$AL589&amp;",,"""&amp;$E$9&amp;""")")</f>
        <v>1.0873111</v>
      </c>
      <c r="G589" s="30">
        <f t="shared" ca="1" si="138"/>
        <v>2.1447316627720474E-2</v>
      </c>
      <c r="H589" s="30">
        <f t="shared" ca="1" si="138"/>
        <v>6.2383900159006814E-2</v>
      </c>
      <c r="I589" s="30">
        <f t="shared" ca="1" si="138"/>
        <v>0.11444278365881742</v>
      </c>
      <c r="J589" s="30">
        <f t="shared" ca="1" si="136"/>
        <v>3.3567793074806403E-2</v>
      </c>
      <c r="K589" s="30">
        <f t="shared" ca="1" si="139"/>
        <v>9.5222417041465109E-3</v>
      </c>
      <c r="L589" s="30">
        <f t="shared" ca="1" si="139"/>
        <v>2.1612399563472426E-2</v>
      </c>
      <c r="M589" s="30">
        <f t="shared" ca="1" si="139"/>
        <v>-1.9507257588923781E-2</v>
      </c>
      <c r="N589" s="30">
        <f t="shared" ca="1" si="137"/>
        <v>-3.8999808012847421E-2</v>
      </c>
      <c r="O589" s="30">
        <f t="shared" ca="1" si="140"/>
        <v>3.0969558331866986E-2</v>
      </c>
      <c r="P589" s="30">
        <f t="shared" ca="1" si="141"/>
        <v>8.399629972247924E-2</v>
      </c>
      <c r="Q589" s="30">
        <f t="shared" ca="1" si="142"/>
        <v>9.4935526069893639E-2</v>
      </c>
      <c r="R589" s="30">
        <f t="shared" ca="1" si="143"/>
        <v>-5.4320149380410188E-3</v>
      </c>
      <c r="S589" s="9" cm="1">
        <f t="array" aca="1" ref="S589" ca="1">_xll.FDS($E$7,"P_PRICE("&amp;AG589&amp;",0,D,D)")</f>
        <v>58.59</v>
      </c>
      <c r="T589" s="9" cm="1">
        <f t="array" aca="1" ref="T589" ca="1">_xll.FDS($E$7,"P_PRICE("&amp;AH589&amp;",0,D,D)")</f>
        <v>56.83</v>
      </c>
      <c r="U589" s="9" cm="1">
        <f t="array" aca="1" ref="U589" ca="1">_xll.FDS($E$7,"P_PRICE("&amp;AI589&amp;",0,D,D)")</f>
        <v>54.05</v>
      </c>
      <c r="V589" s="9" cm="1">
        <f t="array" aca="1" ref="V589" ca="1">_xll.FDS($E$7,"P_PRICE("&amp;AJ589&amp;",0,D,D)")</f>
        <v>53.51</v>
      </c>
      <c r="W589" s="9" cm="1">
        <f t="array" aca="1" ref="W589" ca="1">_xll.FDS($E$7,"P_PRICE("&amp;AK589&amp;",0,D,D)")</f>
        <v>58.91</v>
      </c>
      <c r="X589" s="24">
        <f t="shared" ca="1" si="144"/>
        <v>8.7576055317990509E-3</v>
      </c>
      <c r="Y589" s="24">
        <f t="shared" ca="1" si="145"/>
        <v>1.9876923507423427E-2</v>
      </c>
      <c r="Z589" s="24">
        <f t="shared" ca="1" si="146"/>
        <v>-1.7940824469578009E-2</v>
      </c>
      <c r="AA589" s="24">
        <f t="shared" ca="1" si="147"/>
        <v>-3.5868122759757926E-2</v>
      </c>
      <c r="AB589" s="9" cm="1">
        <f t="array" aca="1" ref="AB589" ca="1">_xll.FDS($E$9,"P_PRICE("&amp;AG589&amp;",0,D,D)")</f>
        <v>4373.63</v>
      </c>
      <c r="AC589" s="9" cm="1">
        <f t="array" aca="1" ref="AC589" ca="1">_xll.FDS($E$9,"P_PRICE("&amp;AH589&amp;",0,D,D)")</f>
        <v>4335.66</v>
      </c>
      <c r="AD589" s="9" cm="1">
        <f t="array" aca="1" ref="AD589" ca="1">_xll.FDS($E$9,"P_PRICE("&amp;AI589&amp;",0,D,D)")</f>
        <v>4288.3900000000003</v>
      </c>
      <c r="AE589" s="9" cm="1">
        <f t="array" aca="1" ref="AE589" ca="1">_xll.FDS($E$9,"P_PRICE("&amp;AJ589&amp;",0,D,D)")</f>
        <v>4453.53</v>
      </c>
      <c r="AF589" s="9" cm="1">
        <f t="array" aca="1" ref="AF589" ca="1">_xll.FDS($E$9,"P_PRICE("&amp;AK589&amp;",0,D,D)")</f>
        <v>4536.34</v>
      </c>
      <c r="AG589" s="20">
        <f t="shared" ca="1" si="153"/>
        <v>45215</v>
      </c>
      <c r="AH589" s="22">
        <f t="shared" ca="1" si="148"/>
        <v>45208</v>
      </c>
      <c r="AI589" s="22">
        <f t="shared" ca="1" si="149"/>
        <v>45201</v>
      </c>
      <c r="AJ589" s="22">
        <f t="shared" ca="1" si="150"/>
        <v>45187</v>
      </c>
      <c r="AK589" s="22">
        <f t="shared" ca="1" si="151"/>
        <v>45128</v>
      </c>
      <c r="AL589" s="22">
        <f t="shared" ca="1" si="152"/>
        <v>45041</v>
      </c>
    </row>
    <row r="590" spans="4:38" x14ac:dyDescent="0.25">
      <c r="D590" s="6">
        <f ca="1"/>
        <v>45212</v>
      </c>
      <c r="E590" s="28" cm="1">
        <f t="array" aca="1" ref="E590" ca="1">_xll.FDS($E$7,"P_PRICE("&amp;D590&amp;",0,D,D)")</f>
        <v>57.53</v>
      </c>
      <c r="F590" s="29" cm="1">
        <f t="array" aca="1" ref="F590" ca="1">_xll.FDS($E$7,"P_BETA_LOCIDX("&amp;$AG590&amp;","&amp;$AL590&amp;",,"""&amp;$E$9&amp;""")")</f>
        <v>1.0784940000000001</v>
      </c>
      <c r="G590" s="30">
        <f t="shared" ca="1" si="138"/>
        <v>1.1964259190944862E-2</v>
      </c>
      <c r="H590" s="30">
        <f t="shared" ca="1" si="138"/>
        <v>4.1167688247344743E-2</v>
      </c>
      <c r="I590" s="30">
        <f t="shared" ca="1" si="138"/>
        <v>8.0088989295555454E-2</v>
      </c>
      <c r="J590" s="30">
        <f t="shared" ca="1" si="136"/>
        <v>2.9318799119316494E-2</v>
      </c>
      <c r="K590" s="30">
        <f t="shared" ca="1" si="139"/>
        <v>4.8261261042125553E-3</v>
      </c>
      <c r="L590" s="30">
        <f t="shared" ca="1" si="139"/>
        <v>9.9925529366494629E-3</v>
      </c>
      <c r="M590" s="30">
        <f t="shared" ca="1" si="139"/>
        <v>-2.9696438629132339E-2</v>
      </c>
      <c r="N590" s="30">
        <f t="shared" ca="1" si="137"/>
        <v>-4.9250656018805447E-2</v>
      </c>
      <c r="O590" s="30">
        <f t="shared" ca="1" si="140"/>
        <v>1.6790385295157417E-2</v>
      </c>
      <c r="P590" s="30">
        <f t="shared" ca="1" si="141"/>
        <v>5.1160241183994204E-2</v>
      </c>
      <c r="Q590" s="30">
        <f t="shared" ca="1" si="142"/>
        <v>5.0392550666423119E-2</v>
      </c>
      <c r="R590" s="30">
        <f t="shared" ca="1" si="143"/>
        <v>-1.9931856899488953E-2</v>
      </c>
      <c r="S590" s="9" cm="1">
        <f t="array" aca="1" ref="S590" ca="1">_xll.FDS($E$7,"P_PRICE("&amp;AG590&amp;",0,D,D)")</f>
        <v>57.53</v>
      </c>
      <c r="T590" s="9" cm="1">
        <f t="array" aca="1" ref="T590" ca="1">_xll.FDS($E$7,"P_PRICE("&amp;AH590&amp;",0,D,D)")</f>
        <v>56.58</v>
      </c>
      <c r="U590" s="9" cm="1">
        <f t="array" aca="1" ref="U590" ca="1">_xll.FDS($E$7,"P_PRICE("&amp;AI590&amp;",0,D,D)")</f>
        <v>54.73</v>
      </c>
      <c r="V590" s="9" cm="1">
        <f t="array" aca="1" ref="V590" ca="1">_xll.FDS($E$7,"P_PRICE("&amp;AJ590&amp;",0,D,D)")</f>
        <v>54.77</v>
      </c>
      <c r="W590" s="9" cm="1">
        <f t="array" aca="1" ref="W590" ca="1">_xll.FDS($E$7,"P_PRICE("&amp;AK590&amp;",0,D,D)")</f>
        <v>58.7</v>
      </c>
      <c r="X590" s="24">
        <f t="shared" ca="1" si="144"/>
        <v>4.4748752466055031E-3</v>
      </c>
      <c r="Y590" s="24">
        <f t="shared" ca="1" si="145"/>
        <v>9.2652837536875143E-3</v>
      </c>
      <c r="Z590" s="24">
        <f t="shared" ca="1" si="146"/>
        <v>-2.7535098599651309E-2</v>
      </c>
      <c r="AA590" s="24">
        <f t="shared" ca="1" si="147"/>
        <v>-4.5666138169341175E-2</v>
      </c>
      <c r="AB590" s="9" cm="1">
        <f t="array" aca="1" ref="AB590" ca="1">_xll.FDS($E$9,"P_PRICE("&amp;AG590&amp;",0,D,D)")</f>
        <v>4327.78</v>
      </c>
      <c r="AC590" s="9" cm="1">
        <f t="array" aca="1" ref="AC590" ca="1">_xll.FDS($E$9,"P_PRICE("&amp;AH590&amp;",0,D,D)")</f>
        <v>4308.5</v>
      </c>
      <c r="AD590" s="9" cm="1">
        <f t="array" aca="1" ref="AD590" ca="1">_xll.FDS($E$9,"P_PRICE("&amp;AI590&amp;",0,D,D)")</f>
        <v>4288.05</v>
      </c>
      <c r="AE590" s="9" cm="1">
        <f t="array" aca="1" ref="AE590" ca="1">_xll.FDS($E$9,"P_PRICE("&amp;AJ590&amp;",0,D,D)")</f>
        <v>4450.32</v>
      </c>
      <c r="AF590" s="9" cm="1">
        <f t="array" aca="1" ref="AF590" ca="1">_xll.FDS($E$9,"P_PRICE("&amp;AK590&amp;",0,D,D)")</f>
        <v>4534.87</v>
      </c>
      <c r="AG590" s="20">
        <f t="shared" ca="1" si="153"/>
        <v>45212</v>
      </c>
      <c r="AH590" s="22">
        <f t="shared" ca="1" si="148"/>
        <v>45205</v>
      </c>
      <c r="AI590" s="22">
        <f t="shared" ca="1" si="149"/>
        <v>45198</v>
      </c>
      <c r="AJ590" s="22">
        <f t="shared" ca="1" si="150"/>
        <v>45184</v>
      </c>
      <c r="AK590" s="22">
        <f t="shared" ca="1" si="151"/>
        <v>45127</v>
      </c>
      <c r="AL590" s="22">
        <f t="shared" ca="1" si="152"/>
        <v>45040</v>
      </c>
    </row>
    <row r="591" spans="4:38" x14ac:dyDescent="0.25">
      <c r="D591" s="6">
        <f ca="1"/>
        <v>45211</v>
      </c>
      <c r="E591" s="28" cm="1">
        <f t="array" aca="1" ref="E591" ca="1">_xll.FDS($E$7,"P_PRICE("&amp;D591&amp;",0,D,D)")</f>
        <v>58.12</v>
      </c>
      <c r="F591" s="29" cm="1">
        <f t="array" aca="1" ref="F591" ca="1">_xll.FDS($E$7,"P_BETA_LOCIDX("&amp;$AG591&amp;","&amp;$AL591&amp;",,"""&amp;$E$9&amp;""")")</f>
        <v>1.073059</v>
      </c>
      <c r="G591" s="30">
        <f t="shared" ca="1" si="138"/>
        <v>2.7007431888110688E-2</v>
      </c>
      <c r="H591" s="30">
        <f t="shared" ca="1" si="138"/>
        <v>2.2076022002328957E-2</v>
      </c>
      <c r="I591" s="30">
        <f t="shared" ca="1" si="138"/>
        <v>8.0295529344953598E-2</v>
      </c>
      <c r="J591" s="30">
        <f t="shared" ca="1" si="136"/>
        <v>4.9931734251880938E-2</v>
      </c>
      <c r="K591" s="30">
        <f t="shared" ca="1" si="139"/>
        <v>2.3037735230227042E-2</v>
      </c>
      <c r="L591" s="30">
        <f t="shared" ca="1" si="139"/>
        <v>1.2455839870223568E-2</v>
      </c>
      <c r="M591" s="30">
        <f t="shared" ca="1" si="139"/>
        <v>-3.7035791416394959E-2</v>
      </c>
      <c r="N591" s="30">
        <f t="shared" ca="1" si="137"/>
        <v>-5.0791283847892693E-2</v>
      </c>
      <c r="O591" s="30">
        <f t="shared" ca="1" si="140"/>
        <v>5.004516711833773E-2</v>
      </c>
      <c r="P591" s="30">
        <f t="shared" ca="1" si="141"/>
        <v>3.4531861872552527E-2</v>
      </c>
      <c r="Q591" s="30">
        <f t="shared" ca="1" si="142"/>
        <v>4.3259737928558639E-2</v>
      </c>
      <c r="R591" s="30">
        <f t="shared" ca="1" si="143"/>
        <v>-8.5954959601175496E-4</v>
      </c>
      <c r="S591" s="9" cm="1">
        <f t="array" aca="1" ref="S591" ca="1">_xll.FDS($E$7,"P_PRICE("&amp;AG591&amp;",0,D,D)")</f>
        <v>58.12</v>
      </c>
      <c r="T591" s="9" cm="1">
        <f t="array" aca="1" ref="T591" ca="1">_xll.FDS($E$7,"P_PRICE("&amp;AH591&amp;",0,D,D)")</f>
        <v>55.35</v>
      </c>
      <c r="U591" s="9" cm="1">
        <f t="array" aca="1" ref="U591" ca="1">_xll.FDS($E$7,"P_PRICE("&amp;AI591&amp;",0,D,D)")</f>
        <v>56.18</v>
      </c>
      <c r="V591" s="9" cm="1">
        <f t="array" aca="1" ref="V591" ca="1">_xll.FDS($E$7,"P_PRICE("&amp;AJ591&amp;",0,D,D)")</f>
        <v>55.71</v>
      </c>
      <c r="W591" s="9" cm="1">
        <f t="array" aca="1" ref="W591" ca="1">_xll.FDS($E$7,"P_PRICE("&amp;AK591&amp;",0,D,D)")</f>
        <v>58.17</v>
      </c>
      <c r="X591" s="24">
        <f t="shared" ca="1" si="144"/>
        <v>2.1469215793564977E-2</v>
      </c>
      <c r="Y591" s="24">
        <f t="shared" ca="1" si="145"/>
        <v>1.1607786589762137E-2</v>
      </c>
      <c r="Z591" s="24">
        <f t="shared" ca="1" si="146"/>
        <v>-3.4514217220483645E-2</v>
      </c>
      <c r="AA591" s="24">
        <f t="shared" ca="1" si="147"/>
        <v>-4.7333169795782615E-2</v>
      </c>
      <c r="AB591" s="9" cm="1">
        <f t="array" aca="1" ref="AB591" ca="1">_xll.FDS($E$9,"P_PRICE("&amp;AG591&amp;",0,D,D)")</f>
        <v>4349.6099999999997</v>
      </c>
      <c r="AC591" s="9" cm="1">
        <f t="array" aca="1" ref="AC591" ca="1">_xll.FDS($E$9,"P_PRICE("&amp;AH591&amp;",0,D,D)")</f>
        <v>4258.1899999999996</v>
      </c>
      <c r="AD591" s="9" cm="1">
        <f t="array" aca="1" ref="AD591" ca="1">_xll.FDS($E$9,"P_PRICE("&amp;AI591&amp;",0,D,D)")</f>
        <v>4299.7</v>
      </c>
      <c r="AE591" s="9" cm="1">
        <f t="array" aca="1" ref="AE591" ca="1">_xll.FDS($E$9,"P_PRICE("&amp;AJ591&amp;",0,D,D)")</f>
        <v>4505.1000000000004</v>
      </c>
      <c r="AF591" s="9" cm="1">
        <f t="array" aca="1" ref="AF591" ca="1">_xll.FDS($E$9,"P_PRICE("&amp;AK591&amp;",0,D,D)")</f>
        <v>4565.72</v>
      </c>
      <c r="AG591" s="20">
        <f t="shared" ca="1" si="153"/>
        <v>45211</v>
      </c>
      <c r="AH591" s="22">
        <f t="shared" ca="1" si="148"/>
        <v>45204</v>
      </c>
      <c r="AI591" s="22">
        <f t="shared" ca="1" si="149"/>
        <v>45197</v>
      </c>
      <c r="AJ591" s="22">
        <f t="shared" ca="1" si="150"/>
        <v>45183</v>
      </c>
      <c r="AK591" s="22">
        <f t="shared" ca="1" si="151"/>
        <v>45126</v>
      </c>
      <c r="AL591" s="22">
        <f t="shared" ca="1" si="152"/>
        <v>45037</v>
      </c>
    </row>
    <row r="592" spans="4:38" x14ac:dyDescent="0.25">
      <c r="D592" s="6">
        <f ca="1"/>
        <v>45210</v>
      </c>
      <c r="E592" s="28" cm="1">
        <f t="array" aca="1" ref="E592" ca="1">_xll.FDS($E$7,"P_PRICE("&amp;D592&amp;",0,D,D)")</f>
        <v>59.22</v>
      </c>
      <c r="F592" s="29" cm="1">
        <f t="array" aca="1" ref="F592" ca="1">_xll.FDS($E$7,"P_BETA_LOCIDX("&amp;$AG592&amp;","&amp;$AL592&amp;",,"""&amp;$E$9&amp;""")")</f>
        <v>1.0568644</v>
      </c>
      <c r="G592" s="30">
        <f t="shared" ca="1" si="138"/>
        <v>5.8745803685735419E-2</v>
      </c>
      <c r="H592" s="30">
        <f t="shared" ca="1" si="138"/>
        <v>2.4671906455710789E-2</v>
      </c>
      <c r="I592" s="30">
        <f t="shared" ca="1" si="138"/>
        <v>0.11868352681678575</v>
      </c>
      <c r="J592" s="30">
        <f t="shared" ca="1" si="136"/>
        <v>6.1638028135501004E-2</v>
      </c>
      <c r="K592" s="30">
        <f t="shared" ca="1" si="139"/>
        <v>2.8059114647903817E-2</v>
      </c>
      <c r="L592" s="30">
        <f t="shared" ca="1" si="139"/>
        <v>2.5328093544289255E-2</v>
      </c>
      <c r="M592" s="30">
        <f t="shared" ca="1" si="139"/>
        <v>-2.1407262225345964E-2</v>
      </c>
      <c r="N592" s="30">
        <f t="shared" ca="1" si="137"/>
        <v>-4.1307221795046194E-2</v>
      </c>
      <c r="O592" s="30">
        <f t="shared" ca="1" si="140"/>
        <v>8.6804918333639236E-2</v>
      </c>
      <c r="P592" s="30">
        <f t="shared" ca="1" si="141"/>
        <v>5.0000000000000044E-2</v>
      </c>
      <c r="Q592" s="30">
        <f t="shared" ca="1" si="142"/>
        <v>9.7276264591439787E-2</v>
      </c>
      <c r="R592" s="30">
        <f t="shared" ca="1" si="143"/>
        <v>2.033080634045481E-2</v>
      </c>
      <c r="S592" s="9" cm="1">
        <f t="array" aca="1" ref="S592" ca="1">_xll.FDS($E$7,"P_PRICE("&amp;AG592&amp;",0,D,D)")</f>
        <v>59.22</v>
      </c>
      <c r="T592" s="9" cm="1">
        <f t="array" aca="1" ref="T592" ca="1">_xll.FDS($E$7,"P_PRICE("&amp;AH592&amp;",0,D,D)")</f>
        <v>54.49</v>
      </c>
      <c r="U592" s="9" cm="1">
        <f t="array" aca="1" ref="U592" ca="1">_xll.FDS($E$7,"P_PRICE("&amp;AI592&amp;",0,D,D)")</f>
        <v>56.4</v>
      </c>
      <c r="V592" s="9" cm="1">
        <f t="array" aca="1" ref="V592" ca="1">_xll.FDS($E$7,"P_PRICE("&amp;AJ592&amp;",0,D,D)")</f>
        <v>53.97</v>
      </c>
      <c r="W592" s="9" cm="1">
        <f t="array" aca="1" ref="W592" ca="1">_xll.FDS($E$7,"P_PRICE("&amp;AK592&amp;",0,D,D)")</f>
        <v>58.04</v>
      </c>
      <c r="X592" s="24">
        <f t="shared" ca="1" si="144"/>
        <v>2.6549399003224838E-2</v>
      </c>
      <c r="Y592" s="24">
        <f t="shared" ca="1" si="145"/>
        <v>2.3965320001590795E-2</v>
      </c>
      <c r="Z592" s="24">
        <f t="shared" ca="1" si="146"/>
        <v>-2.0255448310441682E-2</v>
      </c>
      <c r="AA592" s="24">
        <f t="shared" ca="1" si="147"/>
        <v>-3.9084694115012475E-2</v>
      </c>
      <c r="AB592" s="9" cm="1">
        <f t="array" aca="1" ref="AB592" ca="1">_xll.FDS($E$9,"P_PRICE("&amp;AG592&amp;",0,D,D)")</f>
        <v>4376.95</v>
      </c>
      <c r="AC592" s="9" cm="1">
        <f t="array" aca="1" ref="AC592" ca="1">_xll.FDS($E$9,"P_PRICE("&amp;AH592&amp;",0,D,D)")</f>
        <v>4263.75</v>
      </c>
      <c r="AD592" s="9" cm="1">
        <f t="array" aca="1" ref="AD592" ca="1">_xll.FDS($E$9,"P_PRICE("&amp;AI592&amp;",0,D,D)")</f>
        <v>4274.51</v>
      </c>
      <c r="AE592" s="9" cm="1">
        <f t="array" aca="1" ref="AE592" ca="1">_xll.FDS($E$9,"P_PRICE("&amp;AJ592&amp;",0,D,D)")</f>
        <v>4467.4399999999996</v>
      </c>
      <c r="AF592" s="9" cm="1">
        <f t="array" aca="1" ref="AF592" ca="1">_xll.FDS($E$9,"P_PRICE("&amp;AK592&amp;",0,D,D)")</f>
        <v>4554.9799999999996</v>
      </c>
      <c r="AG592" s="20">
        <f t="shared" ca="1" si="153"/>
        <v>45210</v>
      </c>
      <c r="AH592" s="22">
        <f t="shared" ca="1" si="148"/>
        <v>45203</v>
      </c>
      <c r="AI592" s="22">
        <f t="shared" ca="1" si="149"/>
        <v>45196</v>
      </c>
      <c r="AJ592" s="22">
        <f t="shared" ca="1" si="150"/>
        <v>45182</v>
      </c>
      <c r="AK592" s="22">
        <f t="shared" ca="1" si="151"/>
        <v>45125</v>
      </c>
      <c r="AL592" s="22">
        <f t="shared" ca="1" si="152"/>
        <v>45036</v>
      </c>
    </row>
    <row r="593" spans="4:38" x14ac:dyDescent="0.25">
      <c r="D593" s="6">
        <f ca="1"/>
        <v>45209</v>
      </c>
      <c r="E593" s="28" cm="1">
        <f t="array" aca="1" ref="E593" ca="1">_xll.FDS($E$7,"P_PRICE("&amp;D593&amp;",0,D,D)")</f>
        <v>57.5</v>
      </c>
      <c r="F593" s="29" cm="1">
        <f t="array" aca="1" ref="F593" ca="1">_xll.FDS($E$7,"P_BETA_LOCIDX("&amp;$AG593&amp;","&amp;$AL593&amp;",,"""&amp;$E$9&amp;""")")</f>
        <v>1.0425443999999999</v>
      </c>
      <c r="G593" s="30">
        <f t="shared" ca="1" si="138"/>
        <v>4.4831142481595865E-2</v>
      </c>
      <c r="H593" s="30">
        <f t="shared" ca="1" si="138"/>
        <v>9.6159749452150931E-3</v>
      </c>
      <c r="I593" s="30">
        <f t="shared" ca="1" si="138"/>
        <v>9.8786159455729355E-2</v>
      </c>
      <c r="J593" s="30">
        <f t="shared" ca="1" si="136"/>
        <v>3.7235109197063701E-2</v>
      </c>
      <c r="K593" s="30">
        <f t="shared" ca="1" si="139"/>
        <v>3.1746277477213314E-2</v>
      </c>
      <c r="L593" s="30">
        <f t="shared" ca="1" si="139"/>
        <v>2.0665336647689277E-2</v>
      </c>
      <c r="M593" s="30">
        <f t="shared" ca="1" si="139"/>
        <v>-2.4220657680360337E-2</v>
      </c>
      <c r="N593" s="30">
        <f t="shared" ca="1" si="137"/>
        <v>-3.7930277775443957E-2</v>
      </c>
      <c r="O593" s="30">
        <f t="shared" ca="1" si="140"/>
        <v>7.6577419958809179E-2</v>
      </c>
      <c r="P593" s="30">
        <f t="shared" ca="1" si="141"/>
        <v>3.028131159290437E-2</v>
      </c>
      <c r="Q593" s="30">
        <f t="shared" ca="1" si="142"/>
        <v>7.4565501775369025E-2</v>
      </c>
      <c r="R593" s="30">
        <f t="shared" ca="1" si="143"/>
        <v>-6.9516857838025636E-4</v>
      </c>
      <c r="S593" s="9" cm="1">
        <f t="array" aca="1" ref="S593" ca="1">_xll.FDS($E$7,"P_PRICE("&amp;AG593&amp;",0,D,D)")</f>
        <v>57.5</v>
      </c>
      <c r="T593" s="9" cm="1">
        <f t="array" aca="1" ref="T593" ca="1">_xll.FDS($E$7,"P_PRICE("&amp;AH593&amp;",0,D,D)")</f>
        <v>53.41</v>
      </c>
      <c r="U593" s="9" cm="1">
        <f t="array" aca="1" ref="U593" ca="1">_xll.FDS($E$7,"P_PRICE("&amp;AI593&amp;",0,D,D)")</f>
        <v>55.81</v>
      </c>
      <c r="V593" s="9" cm="1">
        <f t="array" aca="1" ref="V593" ca="1">_xll.FDS($E$7,"P_PRICE("&amp;AJ593&amp;",0,D,D)")</f>
        <v>53.51</v>
      </c>
      <c r="W593" s="9" cm="1">
        <f t="array" aca="1" ref="W593" ca="1">_xll.FDS($E$7,"P_PRICE("&amp;AK593&amp;",0,D,D)")</f>
        <v>57.54</v>
      </c>
      <c r="X593" s="24">
        <f t="shared" ca="1" si="144"/>
        <v>3.0450767830332515E-2</v>
      </c>
      <c r="Y593" s="24">
        <f t="shared" ca="1" si="145"/>
        <v>1.9822020671435459E-2</v>
      </c>
      <c r="Z593" s="24">
        <f t="shared" ca="1" si="146"/>
        <v>-2.323225531724149E-2</v>
      </c>
      <c r="AA593" s="24">
        <f t="shared" ca="1" si="147"/>
        <v>-3.6382409972605445E-2</v>
      </c>
      <c r="AB593" s="9" cm="1">
        <f t="array" aca="1" ref="AB593" ca="1">_xll.FDS($E$9,"P_PRICE("&amp;AG593&amp;",0,D,D)")</f>
        <v>4358.24</v>
      </c>
      <c r="AC593" s="9" cm="1">
        <f t="array" aca="1" ref="AC593" ca="1">_xll.FDS($E$9,"P_PRICE("&amp;AH593&amp;",0,D,D)")</f>
        <v>4229.45</v>
      </c>
      <c r="AD593" s="9" cm="1">
        <f t="array" aca="1" ref="AD593" ca="1">_xll.FDS($E$9,"P_PRICE("&amp;AI593&amp;",0,D,D)")</f>
        <v>4273.53</v>
      </c>
      <c r="AE593" s="9" cm="1">
        <f t="array" aca="1" ref="AE593" ca="1">_xll.FDS($E$9,"P_PRICE("&amp;AJ593&amp;",0,D,D)")</f>
        <v>4461.8999999999996</v>
      </c>
      <c r="AF593" s="9" cm="1">
        <f t="array" aca="1" ref="AF593" ca="1">_xll.FDS($E$9,"P_PRICE("&amp;AK593&amp;",0,D,D)")</f>
        <v>4522.79</v>
      </c>
      <c r="AG593" s="20">
        <f t="shared" ca="1" si="153"/>
        <v>45209</v>
      </c>
      <c r="AH593" s="22">
        <f t="shared" ca="1" si="148"/>
        <v>45202</v>
      </c>
      <c r="AI593" s="22">
        <f t="shared" ca="1" si="149"/>
        <v>45195</v>
      </c>
      <c r="AJ593" s="22">
        <f t="shared" ca="1" si="150"/>
        <v>45181</v>
      </c>
      <c r="AK593" s="22">
        <f t="shared" ca="1" si="151"/>
        <v>45124</v>
      </c>
      <c r="AL593" s="22">
        <f t="shared" ca="1" si="152"/>
        <v>45035</v>
      </c>
    </row>
    <row r="594" spans="4:38" x14ac:dyDescent="0.25">
      <c r="D594" s="6">
        <f ca="1"/>
        <v>45208</v>
      </c>
      <c r="E594" s="28" cm="1">
        <f t="array" aca="1" ref="E594" ca="1">_xll.FDS($E$7,"P_PRICE("&amp;D594&amp;",0,D,D)")</f>
        <v>56.83</v>
      </c>
      <c r="F594" s="29" cm="1">
        <f t="array" aca="1" ref="F594" ca="1">_xll.FDS($E$7,"P_BETA_LOCIDX("&amp;$AG594&amp;","&amp;$AL594&amp;",,"""&amp;$E$9&amp;""")")</f>
        <v>1.0388463999999999</v>
      </c>
      <c r="G594" s="30">
        <f t="shared" ca="1" si="138"/>
        <v>3.9982877258137747E-2</v>
      </c>
      <c r="H594" s="30">
        <f t="shared" ca="1" si="138"/>
        <v>8.9445119990762285E-3</v>
      </c>
      <c r="I594" s="30">
        <f t="shared" ca="1" si="138"/>
        <v>7.6938196998636577E-2</v>
      </c>
      <c r="J594" s="30">
        <f t="shared" ca="1" si="136"/>
        <v>2.9902869601678095E-2</v>
      </c>
      <c r="K594" s="30">
        <f t="shared" ca="1" si="139"/>
        <v>1.145098028117765E-2</v>
      </c>
      <c r="L594" s="30">
        <f t="shared" ca="1" si="139"/>
        <v>-4.2632211442686569E-4</v>
      </c>
      <c r="M594" s="30">
        <f t="shared" ca="1" si="139"/>
        <v>-3.5141680041716243E-2</v>
      </c>
      <c r="N594" s="30">
        <f t="shared" ca="1" si="137"/>
        <v>-3.9142758025666913E-2</v>
      </c>
      <c r="O594" s="30">
        <f t="shared" ca="1" si="140"/>
        <v>5.1433857539315397E-2</v>
      </c>
      <c r="P594" s="30">
        <f t="shared" ca="1" si="141"/>
        <v>8.5181898846493631E-3</v>
      </c>
      <c r="Q594" s="30">
        <f t="shared" ca="1" si="142"/>
        <v>4.1796516956920327E-2</v>
      </c>
      <c r="R594" s="30">
        <f t="shared" ca="1" si="143"/>
        <v>-9.2398884239888179E-3</v>
      </c>
      <c r="S594" s="9" cm="1">
        <f t="array" aca="1" ref="S594" ca="1">_xll.FDS($E$7,"P_PRICE("&amp;AG594&amp;",0,D,D)")</f>
        <v>56.83</v>
      </c>
      <c r="T594" s="9" cm="1">
        <f t="array" aca="1" ref="T594" ca="1">_xll.FDS($E$7,"P_PRICE("&amp;AH594&amp;",0,D,D)")</f>
        <v>54.05</v>
      </c>
      <c r="U594" s="9" cm="1">
        <f t="array" aca="1" ref="U594" ca="1">_xll.FDS($E$7,"P_PRICE("&amp;AI594&amp;",0,D,D)")</f>
        <v>56.35</v>
      </c>
      <c r="V594" s="9" cm="1">
        <f t="array" aca="1" ref="V594" ca="1">_xll.FDS($E$7,"P_PRICE("&amp;AJ594&amp;",0,D,D)")</f>
        <v>54.55</v>
      </c>
      <c r="W594" s="9" cm="1">
        <f t="array" aca="1" ref="W594" ca="1">_xll.FDS($E$7,"P_PRICE("&amp;AK594&amp;",0,D,D)")</f>
        <v>57.36</v>
      </c>
      <c r="X594" s="24">
        <f t="shared" ca="1" si="144"/>
        <v>1.102278477470553E-2</v>
      </c>
      <c r="Y594" s="24">
        <f t="shared" ca="1" si="145"/>
        <v>-4.1038031649998086E-4</v>
      </c>
      <c r="Z594" s="24">
        <f t="shared" ca="1" si="146"/>
        <v>-3.3827599577489265E-2</v>
      </c>
      <c r="AA594" s="24">
        <f t="shared" ca="1" si="147"/>
        <v>-3.7679062107417338E-2</v>
      </c>
      <c r="AB594" s="9" cm="1">
        <f t="array" aca="1" ref="AB594" ca="1">_xll.FDS($E$9,"P_PRICE("&amp;AG594&amp;",0,D,D)")</f>
        <v>4335.66</v>
      </c>
      <c r="AC594" s="9" cm="1">
        <f t="array" aca="1" ref="AC594" ca="1">_xll.FDS($E$9,"P_PRICE("&amp;AH594&amp;",0,D,D)")</f>
        <v>4288.3900000000003</v>
      </c>
      <c r="AD594" s="9" cm="1">
        <f t="array" aca="1" ref="AD594" ca="1">_xll.FDS($E$9,"P_PRICE("&amp;AI594&amp;",0,D,D)")</f>
        <v>4337.4399999999996</v>
      </c>
      <c r="AE594" s="9" cm="1">
        <f t="array" aca="1" ref="AE594" ca="1">_xll.FDS($E$9,"P_PRICE("&amp;AJ594&amp;",0,D,D)")</f>
        <v>4487.46</v>
      </c>
      <c r="AF594" s="9" cm="1">
        <f t="array" aca="1" ref="AF594" ca="1">_xll.FDS($E$9,"P_PRICE("&amp;AK594&amp;",0,D,D)")</f>
        <v>4505.42</v>
      </c>
      <c r="AG594" s="20">
        <f t="shared" ca="1" si="153"/>
        <v>45208</v>
      </c>
      <c r="AH594" s="22">
        <f t="shared" ca="1" si="148"/>
        <v>45201</v>
      </c>
      <c r="AI594" s="22">
        <f t="shared" ca="1" si="149"/>
        <v>45194</v>
      </c>
      <c r="AJ594" s="22">
        <f t="shared" ca="1" si="150"/>
        <v>45180</v>
      </c>
      <c r="AK594" s="22">
        <f t="shared" ca="1" si="151"/>
        <v>45121</v>
      </c>
      <c r="AL594" s="22">
        <f t="shared" ca="1" si="152"/>
        <v>45034</v>
      </c>
    </row>
    <row r="595" spans="4:38" x14ac:dyDescent="0.25">
      <c r="D595" s="6">
        <f ca="1"/>
        <v>45205</v>
      </c>
      <c r="E595" s="28" cm="1">
        <f t="array" aca="1" ref="E595" ca="1">_xll.FDS($E$7,"P_PRICE("&amp;D595&amp;",0,D,D)")</f>
        <v>56.58</v>
      </c>
      <c r="F595" s="29" cm="1">
        <f t="array" aca="1" ref="F595" ca="1">_xll.FDS($E$7,"P_BETA_LOCIDX("&amp;$AG595&amp;","&amp;$AL595&amp;",,"""&amp;$E$9&amp;""")")</f>
        <v>1.0430025000000001</v>
      </c>
      <c r="G595" s="30">
        <f t="shared" ca="1" si="138"/>
        <v>2.8828152859749812E-2</v>
      </c>
      <c r="H595" s="30">
        <f t="shared" ca="1" si="138"/>
        <v>3.9434417809783948E-2</v>
      </c>
      <c r="I595" s="30">
        <f t="shared" ca="1" si="138"/>
        <v>6.8097922061385444E-2</v>
      </c>
      <c r="J595" s="30">
        <f t="shared" ca="1" si="136"/>
        <v>3.6115436864934972E-2</v>
      </c>
      <c r="K595" s="30">
        <f t="shared" ca="1" si="139"/>
        <v>4.9741493511035288E-3</v>
      </c>
      <c r="L595" s="30">
        <f t="shared" ca="1" si="139"/>
        <v>-2.7909586672408694E-3</v>
      </c>
      <c r="M595" s="30">
        <f t="shared" ca="1" si="139"/>
        <v>-3.4861983420041334E-2</v>
      </c>
      <c r="N595" s="30">
        <f t="shared" ca="1" si="137"/>
        <v>-4.6608616298303332E-2</v>
      </c>
      <c r="O595" s="30">
        <f t="shared" ca="1" si="140"/>
        <v>3.3802302210853341E-2</v>
      </c>
      <c r="P595" s="30">
        <f t="shared" ca="1" si="141"/>
        <v>3.6643459142543078E-2</v>
      </c>
      <c r="Q595" s="30">
        <f t="shared" ca="1" si="142"/>
        <v>3.3235938641344109E-2</v>
      </c>
      <c r="R595" s="30">
        <f t="shared" ca="1" si="143"/>
        <v>-1.049317943336836E-2</v>
      </c>
      <c r="S595" s="9" cm="1">
        <f t="array" aca="1" ref="S595" ca="1">_xll.FDS($E$7,"P_PRICE("&amp;AG595&amp;",0,D,D)")</f>
        <v>56.58</v>
      </c>
      <c r="T595" s="9" cm="1">
        <f t="array" aca="1" ref="T595" ca="1">_xll.FDS($E$7,"P_PRICE("&amp;AH595&amp;",0,D,D)")</f>
        <v>54.73</v>
      </c>
      <c r="U595" s="9" cm="1">
        <f t="array" aca="1" ref="U595" ca="1">_xll.FDS($E$7,"P_PRICE("&amp;AI595&amp;",0,D,D)")</f>
        <v>54.58</v>
      </c>
      <c r="V595" s="9" cm="1">
        <f t="array" aca="1" ref="V595" ca="1">_xll.FDS($E$7,"P_PRICE("&amp;AJ595&amp;",0,D,D)")</f>
        <v>54.76</v>
      </c>
      <c r="W595" s="9" cm="1">
        <f t="array" aca="1" ref="W595" ca="1">_xll.FDS($E$7,"P_PRICE("&amp;AK595&amp;",0,D,D)")</f>
        <v>57.18</v>
      </c>
      <c r="X595" s="24">
        <f t="shared" ca="1" si="144"/>
        <v>4.7690675248655001E-3</v>
      </c>
      <c r="Y595" s="24">
        <f t="shared" ca="1" si="145"/>
        <v>-2.6758887608043791E-3</v>
      </c>
      <c r="Z595" s="24">
        <f t="shared" ca="1" si="146"/>
        <v>-3.3424640324487553E-2</v>
      </c>
      <c r="AA595" s="24">
        <f t="shared" ca="1" si="147"/>
        <v>-4.4686965082349595E-2</v>
      </c>
      <c r="AB595" s="9" cm="1">
        <f t="array" aca="1" ref="AB595" ca="1">_xll.FDS($E$9,"P_PRICE("&amp;AG595&amp;",0,D,D)")</f>
        <v>4308.5</v>
      </c>
      <c r="AC595" s="9" cm="1">
        <f t="array" aca="1" ref="AC595" ca="1">_xll.FDS($E$9,"P_PRICE("&amp;AH595&amp;",0,D,D)")</f>
        <v>4288.05</v>
      </c>
      <c r="AD595" s="9" cm="1">
        <f t="array" aca="1" ref="AD595" ca="1">_xll.FDS($E$9,"P_PRICE("&amp;AI595&amp;",0,D,D)")</f>
        <v>4320.0600000000004</v>
      </c>
      <c r="AE595" s="9" cm="1">
        <f t="array" aca="1" ref="AE595" ca="1">_xll.FDS($E$9,"P_PRICE("&amp;AJ595&amp;",0,D,D)")</f>
        <v>4457.49</v>
      </c>
      <c r="AF595" s="9" cm="1">
        <f t="array" aca="1" ref="AF595" ca="1">_xll.FDS($E$9,"P_PRICE("&amp;AK595&amp;",0,D,D)")</f>
        <v>4510.04</v>
      </c>
      <c r="AG595" s="20">
        <f t="shared" ca="1" si="153"/>
        <v>45205</v>
      </c>
      <c r="AH595" s="22">
        <f t="shared" ca="1" si="148"/>
        <v>45198</v>
      </c>
      <c r="AI595" s="22">
        <f t="shared" ca="1" si="149"/>
        <v>45191</v>
      </c>
      <c r="AJ595" s="22">
        <f t="shared" ca="1" si="150"/>
        <v>45177</v>
      </c>
      <c r="AK595" s="22">
        <f t="shared" ca="1" si="151"/>
        <v>45120</v>
      </c>
      <c r="AL595" s="22">
        <f t="shared" ca="1" si="152"/>
        <v>45033</v>
      </c>
    </row>
    <row r="596" spans="4:38" x14ac:dyDescent="0.25">
      <c r="D596" s="6">
        <f ca="1"/>
        <v>45204</v>
      </c>
      <c r="E596" s="28" cm="1">
        <f t="array" aca="1" ref="E596" ca="1">_xll.FDS($E$7,"P_PRICE("&amp;D596&amp;",0,D,D)")</f>
        <v>55.35</v>
      </c>
      <c r="F596" s="29" cm="1">
        <f t="array" aca="1" ref="F596" ca="1">_xll.FDS($E$7,"P_BETA_LOCIDX("&amp;$AG596&amp;","&amp;$AL596&amp;",,"""&amp;$E$9&amp;""")")</f>
        <v>1.0265663</v>
      </c>
      <c r="G596" s="30">
        <f t="shared" ca="1" si="138"/>
        <v>-4.863303624193514E-3</v>
      </c>
      <c r="H596" s="30">
        <f t="shared" ca="1" si="138"/>
        <v>5.218478173373179E-2</v>
      </c>
      <c r="I596" s="30">
        <f t="shared" ca="1" si="138"/>
        <v>5.0497872351132067E-2</v>
      </c>
      <c r="J596" s="30">
        <f t="shared" ca="1" si="136"/>
        <v>2.9629679916020848E-2</v>
      </c>
      <c r="K596" s="30">
        <f t="shared" ca="1" si="139"/>
        <v>-9.9106372800428239E-3</v>
      </c>
      <c r="L596" s="30">
        <f t="shared" ca="1" si="139"/>
        <v>-1.7024878984526683E-2</v>
      </c>
      <c r="M596" s="30">
        <f t="shared" ca="1" si="139"/>
        <v>-4.4500053376213933E-2</v>
      </c>
      <c r="N596" s="30">
        <f t="shared" ca="1" si="137"/>
        <v>-4.9115950952336243E-2</v>
      </c>
      <c r="O596" s="30">
        <f t="shared" ca="1" si="140"/>
        <v>-1.4773940904236338E-2</v>
      </c>
      <c r="P596" s="30">
        <f t="shared" ca="1" si="141"/>
        <v>3.5159902749205107E-2</v>
      </c>
      <c r="Q596" s="30">
        <f t="shared" ca="1" si="142"/>
        <v>5.9978189749181343E-3</v>
      </c>
      <c r="R596" s="30">
        <f t="shared" ca="1" si="143"/>
        <v>-1.9486271036315395E-2</v>
      </c>
      <c r="S596" s="9" cm="1">
        <f t="array" aca="1" ref="S596" ca="1">_xll.FDS($E$7,"P_PRICE("&amp;AG596&amp;",0,D,D)")</f>
        <v>55.35</v>
      </c>
      <c r="T596" s="9" cm="1">
        <f t="array" aca="1" ref="T596" ca="1">_xll.FDS($E$7,"P_PRICE("&amp;AH596&amp;",0,D,D)")</f>
        <v>56.18</v>
      </c>
      <c r="U596" s="9" cm="1">
        <f t="array" aca="1" ref="U596" ca="1">_xll.FDS($E$7,"P_PRICE("&amp;AI596&amp;",0,D,D)")</f>
        <v>53.47</v>
      </c>
      <c r="V596" s="9" cm="1">
        <f t="array" aca="1" ref="V596" ca="1">_xll.FDS($E$7,"P_PRICE("&amp;AJ596&amp;",0,D,D)")</f>
        <v>55.02</v>
      </c>
      <c r="W596" s="9" cm="1">
        <f t="array" aca="1" ref="W596" ca="1">_xll.FDS($E$7,"P_PRICE("&amp;AK596&amp;",0,D,D)")</f>
        <v>56.45</v>
      </c>
      <c r="X596" s="24">
        <f t="shared" ca="1" si="144"/>
        <v>-9.6541619182733962E-3</v>
      </c>
      <c r="Y596" s="24">
        <f t="shared" ca="1" si="145"/>
        <v>-1.6584295612009359E-2</v>
      </c>
      <c r="Z596" s="24">
        <f t="shared" ca="1" si="146"/>
        <v>-4.3348445566753879E-2</v>
      </c>
      <c r="AA596" s="24">
        <f t="shared" ca="1" si="147"/>
        <v>-4.7844889270509117E-2</v>
      </c>
      <c r="AB596" s="9" cm="1">
        <f t="array" aca="1" ref="AB596" ca="1">_xll.FDS($E$9,"P_PRICE("&amp;AG596&amp;",0,D,D)")</f>
        <v>4258.1899999999996</v>
      </c>
      <c r="AC596" s="9" cm="1">
        <f t="array" aca="1" ref="AC596" ca="1">_xll.FDS($E$9,"P_PRICE("&amp;AH596&amp;",0,D,D)")</f>
        <v>4299.7</v>
      </c>
      <c r="AD596" s="9" cm="1">
        <f t="array" aca="1" ref="AD596" ca="1">_xll.FDS($E$9,"P_PRICE("&amp;AI596&amp;",0,D,D)")</f>
        <v>4330</v>
      </c>
      <c r="AE596" s="9" cm="1">
        <f t="array" aca="1" ref="AE596" ca="1">_xll.FDS($E$9,"P_PRICE("&amp;AJ596&amp;",0,D,D)")</f>
        <v>4451.1400000000003</v>
      </c>
      <c r="AF596" s="9" cm="1">
        <f t="array" aca="1" ref="AF596" ca="1">_xll.FDS($E$9,"P_PRICE("&amp;AK596&amp;",0,D,D)")</f>
        <v>4472.16</v>
      </c>
      <c r="AG596" s="20">
        <f t="shared" ca="1" si="153"/>
        <v>45204</v>
      </c>
      <c r="AH596" s="22">
        <f t="shared" ca="1" si="148"/>
        <v>45197</v>
      </c>
      <c r="AI596" s="22">
        <f t="shared" ca="1" si="149"/>
        <v>45190</v>
      </c>
      <c r="AJ596" s="22">
        <f t="shared" ca="1" si="150"/>
        <v>45176</v>
      </c>
      <c r="AK596" s="22">
        <f t="shared" ca="1" si="151"/>
        <v>45119</v>
      </c>
      <c r="AL596" s="22">
        <f t="shared" ca="1" si="152"/>
        <v>45030</v>
      </c>
    </row>
    <row r="597" spans="4:38" x14ac:dyDescent="0.25">
      <c r="D597" s="6">
        <f ca="1"/>
        <v>45203</v>
      </c>
      <c r="E597" s="28" cm="1">
        <f t="array" aca="1" ref="E597" ca="1">_xll.FDS($E$7,"P_PRICE("&amp;D597&amp;",0,D,D)")</f>
        <v>54.49</v>
      </c>
      <c r="F597" s="29" cm="1">
        <f t="array" aca="1" ref="F597" ca="1">_xll.FDS($E$7,"P_BETA_LOCIDX("&amp;$AG597&amp;","&amp;$AL597&amp;",,"""&amp;$E$9&amp;""")")</f>
        <v>1.0319427999999999</v>
      </c>
      <c r="G597" s="30">
        <f t="shared" ca="1" si="138"/>
        <v>-3.1267592699650036E-2</v>
      </c>
      <c r="H597" s="30">
        <f t="shared" ca="1" si="138"/>
        <v>2.3362228652298367E-2</v>
      </c>
      <c r="I597" s="30">
        <f t="shared" ca="1" si="138"/>
        <v>3.5368237723132481E-2</v>
      </c>
      <c r="J597" s="30">
        <f t="shared" ca="1" si="138"/>
        <v>2.4372762154147194E-2</v>
      </c>
      <c r="K597" s="30">
        <f t="shared" ca="1" si="139"/>
        <v>-2.5976555273002143E-3</v>
      </c>
      <c r="L597" s="30">
        <f t="shared" ca="1" si="139"/>
        <v>-3.2454790936350009E-2</v>
      </c>
      <c r="M597" s="30">
        <f t="shared" ca="1" si="139"/>
        <v>-4.661846454222153E-2</v>
      </c>
      <c r="N597" s="30">
        <f t="shared" ca="1" si="139"/>
        <v>-4.0798754933930488E-2</v>
      </c>
      <c r="O597" s="30">
        <f t="shared" ca="1" si="140"/>
        <v>-3.3865248226950251E-2</v>
      </c>
      <c r="P597" s="30">
        <f t="shared" ca="1" si="141"/>
        <v>-9.0925622840516418E-3</v>
      </c>
      <c r="Q597" s="30">
        <f t="shared" ca="1" si="142"/>
        <v>-1.1250226819089049E-2</v>
      </c>
      <c r="R597" s="30">
        <f t="shared" ca="1" si="143"/>
        <v>-1.6425992779783294E-2</v>
      </c>
      <c r="S597" s="9" cm="1">
        <f t="array" aca="1" ref="S597" ca="1">_xll.FDS($E$7,"P_PRICE("&amp;AG597&amp;",0,D,D)")</f>
        <v>54.49</v>
      </c>
      <c r="T597" s="9" cm="1">
        <f t="array" aca="1" ref="T597" ca="1">_xll.FDS($E$7,"P_PRICE("&amp;AH597&amp;",0,D,D)")</f>
        <v>56.4</v>
      </c>
      <c r="U597" s="9" cm="1">
        <f t="array" aca="1" ref="U597" ca="1">_xll.FDS($E$7,"P_PRICE("&amp;AI597&amp;",0,D,D)")</f>
        <v>54.99</v>
      </c>
      <c r="V597" s="9" cm="1">
        <f t="array" aca="1" ref="V597" ca="1">_xll.FDS($E$7,"P_PRICE("&amp;AJ597&amp;",0,D,D)")</f>
        <v>55.11</v>
      </c>
      <c r="W597" s="9" cm="1">
        <f t="array" aca="1" ref="W597" ca="1">_xll.FDS($E$7,"P_PRICE("&amp;AK597&amp;",0,D,D)")</f>
        <v>55.4</v>
      </c>
      <c r="X597" s="24">
        <f t="shared" ca="1" si="144"/>
        <v>-2.5172475909519543E-3</v>
      </c>
      <c r="Y597" s="24">
        <f t="shared" ca="1" si="145"/>
        <v>-3.1450183998909642E-2</v>
      </c>
      <c r="Z597" s="24">
        <f t="shared" ca="1" si="146"/>
        <v>-4.5175434667717562E-2</v>
      </c>
      <c r="AA597" s="24">
        <f t="shared" ca="1" si="147"/>
        <v>-3.9535868590711121E-2</v>
      </c>
      <c r="AB597" s="9" cm="1">
        <f t="array" aca="1" ref="AB597" ca="1">_xll.FDS($E$9,"P_PRICE("&amp;AG597&amp;",0,D,D)")</f>
        <v>4263.75</v>
      </c>
      <c r="AC597" s="9" cm="1">
        <f t="array" aca="1" ref="AC597" ca="1">_xll.FDS($E$9,"P_PRICE("&amp;AH597&amp;",0,D,D)")</f>
        <v>4274.51</v>
      </c>
      <c r="AD597" s="9" cm="1">
        <f t="array" aca="1" ref="AD597" ca="1">_xll.FDS($E$9,"P_PRICE("&amp;AI597&amp;",0,D,D)")</f>
        <v>4402.2</v>
      </c>
      <c r="AE597" s="9" cm="1">
        <f t="array" aca="1" ref="AE597" ca="1">_xll.FDS($E$9,"P_PRICE("&amp;AJ597&amp;",0,D,D)")</f>
        <v>4465.4799999999996</v>
      </c>
      <c r="AF597" s="9" cm="1">
        <f t="array" aca="1" ref="AF597" ca="1">_xll.FDS($E$9,"P_PRICE("&amp;AK597&amp;",0,D,D)")</f>
        <v>4439.26</v>
      </c>
      <c r="AG597" s="20">
        <f t="shared" ca="1" si="153"/>
        <v>45203</v>
      </c>
      <c r="AH597" s="22">
        <f t="shared" ca="1" si="148"/>
        <v>45196</v>
      </c>
      <c r="AI597" s="22">
        <f t="shared" ca="1" si="149"/>
        <v>45189</v>
      </c>
      <c r="AJ597" s="22">
        <f t="shared" ca="1" si="150"/>
        <v>45175</v>
      </c>
      <c r="AK597" s="22">
        <f t="shared" ca="1" si="151"/>
        <v>45118</v>
      </c>
      <c r="AL597" s="22">
        <f t="shared" ca="1" si="152"/>
        <v>45029</v>
      </c>
    </row>
    <row r="598" spans="4:38" x14ac:dyDescent="0.25">
      <c r="D598" s="6">
        <f ca="1"/>
        <v>45202</v>
      </c>
      <c r="E598" s="28" cm="1">
        <f t="array" aca="1" ref="E598" ca="1">_xll.FDS($E$7,"P_PRICE("&amp;D598&amp;",0,D,D)")</f>
        <v>53.41</v>
      </c>
      <c r="F598" s="29" cm="1">
        <f t="array" aca="1" ref="F598" ca="1">_xll.FDS($E$7,"P_BETA_LOCIDX("&amp;$AG598&amp;","&amp;$AL598&amp;",,"""&amp;$E$9&amp;""")")</f>
        <v>1.0044682</v>
      </c>
      <c r="G598" s="30">
        <f t="shared" ref="G598:J661" ca="1" si="154">+O598-K598</f>
        <v>-3.264230018888134E-2</v>
      </c>
      <c r="H598" s="30">
        <f t="shared" ca="1" si="154"/>
        <v>4.4010101340160444E-2</v>
      </c>
      <c r="I598" s="30">
        <f t="shared" ca="1" si="154"/>
        <v>2.3282981744444181E-2</v>
      </c>
      <c r="J598" s="30">
        <f t="shared" ca="1" si="154"/>
        <v>3.0095369644350133E-2</v>
      </c>
      <c r="K598" s="30">
        <f t="shared" ref="K598:N661" ca="1" si="155">+X598*$F598</f>
        <v>-1.0360745860213875E-2</v>
      </c>
      <c r="L598" s="30">
        <f t="shared" ca="1" si="155"/>
        <v>-4.8483540296358006E-2</v>
      </c>
      <c r="M598" s="30">
        <f t="shared" ca="1" si="155"/>
        <v>-5.9725341477440769E-2</v>
      </c>
      <c r="N598" s="30">
        <f t="shared" ca="1" si="155"/>
        <v>-4.1021295570276138E-2</v>
      </c>
      <c r="O598" s="30">
        <f t="shared" ref="O598:O661" ca="1" si="156">+S598/T598-1</f>
        <v>-4.3003046049095217E-2</v>
      </c>
      <c r="P598" s="30">
        <f t="shared" ref="P598:P661" ca="1" si="157">+S598/U598-1</f>
        <v>-4.4734389561975618E-3</v>
      </c>
      <c r="Q598" s="30">
        <f t="shared" ref="Q598:Q661" ca="1" si="158">+S598/V598-1</f>
        <v>-3.6442359732996588E-2</v>
      </c>
      <c r="R598" s="30">
        <f t="shared" ref="R598:R661" ca="1" si="159">+S598/W598-1</f>
        <v>-1.0925925925926006E-2</v>
      </c>
      <c r="S598" s="9" cm="1">
        <f t="array" aca="1" ref="S598" ca="1">_xll.FDS($E$7,"P_PRICE("&amp;AG598&amp;",0,D,D)")</f>
        <v>53.41</v>
      </c>
      <c r="T598" s="9" cm="1">
        <f t="array" aca="1" ref="T598" ca="1">_xll.FDS($E$7,"P_PRICE("&amp;AH598&amp;",0,D,D)")</f>
        <v>55.81</v>
      </c>
      <c r="U598" s="9" cm="1">
        <f t="array" aca="1" ref="U598" ca="1">_xll.FDS($E$7,"P_PRICE("&amp;AI598&amp;",0,D,D)")</f>
        <v>53.65</v>
      </c>
      <c r="V598" s="9" cm="1">
        <f t="array" aca="1" ref="V598" ca="1">_xll.FDS($E$7,"P_PRICE("&amp;AJ598&amp;",0,D,D)")</f>
        <v>55.43</v>
      </c>
      <c r="W598" s="9" cm="1">
        <f t="array" aca="1" ref="W598" ca="1">_xll.FDS($E$7,"P_PRICE("&amp;AK598&amp;",0,D,D)")</f>
        <v>54</v>
      </c>
      <c r="X598" s="24">
        <f t="shared" ref="X598:X661" ca="1" si="160">+AB598/AC598-1</f>
        <v>-1.0314657905759361E-2</v>
      </c>
      <c r="Y598" s="24">
        <f t="shared" ref="Y598:Y661" ca="1" si="161">+AB598/AD598-1</f>
        <v>-4.8267869800515339E-2</v>
      </c>
      <c r="Z598" s="24">
        <f t="shared" ref="Z598:Z661" ca="1" si="162">+AB598/AE598-1</f>
        <v>-5.9459663807615581E-2</v>
      </c>
      <c r="AA598" s="24">
        <f t="shared" ref="AA598:AA661" ca="1" si="163">+AB598/AF598-1</f>
        <v>-4.0838819556732742E-2</v>
      </c>
      <c r="AB598" s="9" cm="1">
        <f t="array" aca="1" ref="AB598" ca="1">_xll.FDS($E$9,"P_PRICE("&amp;AG598&amp;",0,D,D)")</f>
        <v>4229.45</v>
      </c>
      <c r="AC598" s="9" cm="1">
        <f t="array" aca="1" ref="AC598" ca="1">_xll.FDS($E$9,"P_PRICE("&amp;AH598&amp;",0,D,D)")</f>
        <v>4273.53</v>
      </c>
      <c r="AD598" s="9" cm="1">
        <f t="array" aca="1" ref="AD598" ca="1">_xll.FDS($E$9,"P_PRICE("&amp;AI598&amp;",0,D,D)")</f>
        <v>4443.95</v>
      </c>
      <c r="AE598" s="9" cm="1">
        <f t="array" aca="1" ref="AE598" ca="1">_xll.FDS($E$9,"P_PRICE("&amp;AJ598&amp;",0,D,D)")</f>
        <v>4496.83</v>
      </c>
      <c r="AF598" s="9" cm="1">
        <f t="array" aca="1" ref="AF598" ca="1">_xll.FDS($E$9,"P_PRICE("&amp;AK598&amp;",0,D,D)")</f>
        <v>4409.53</v>
      </c>
      <c r="AG598" s="20">
        <f t="shared" ca="1" si="153"/>
        <v>45202</v>
      </c>
      <c r="AH598" s="22">
        <f t="shared" ref="AH598:AH661" ca="1" si="164">+WORKDAY($AG598, -5, $AN$2:$AN$100)</f>
        <v>45195</v>
      </c>
      <c r="AI598" s="22">
        <f t="shared" ref="AI598:AI661" ca="1" si="165">+WORKDAY($AG598, -10, $AN$2:$AN$100)</f>
        <v>45188</v>
      </c>
      <c r="AJ598" s="22">
        <f t="shared" ref="AJ598:AJ661" ca="1" si="166">+WORKDAY($AG598, -20, $AN$2:$AN$100)</f>
        <v>45174</v>
      </c>
      <c r="AK598" s="22">
        <f t="shared" ref="AK598:AK661" ca="1" si="167">+WORKDAY($AG598, -60, $AN$2:$AN$100)</f>
        <v>45117</v>
      </c>
      <c r="AL598" s="22">
        <f t="shared" ref="AL598:AL661" ca="1" si="168">+WORKDAY($AG598, -120, $AN$2:$AN$100)</f>
        <v>45028</v>
      </c>
    </row>
    <row r="599" spans="4:38" x14ac:dyDescent="0.25">
      <c r="D599" s="6">
        <f ca="1"/>
        <v>45201</v>
      </c>
      <c r="E599" s="28" cm="1">
        <f t="array" aca="1" ref="E599" ca="1">_xll.FDS($E$7,"P_PRICE("&amp;D599&amp;",0,D,D)")</f>
        <v>54.05</v>
      </c>
      <c r="F599" s="29" cm="1">
        <f t="array" aca="1" ref="F599" ca="1">_xll.FDS($E$7,"P_BETA_LOCIDX("&amp;$AG599&amp;","&amp;$AL599&amp;",,"""&amp;$E$9&amp;""")")</f>
        <v>1.0076528</v>
      </c>
      <c r="G599" s="30">
        <f t="shared" ca="1" si="154"/>
        <v>-2.9421270958662191E-2</v>
      </c>
      <c r="H599" s="30">
        <f t="shared" ca="1" si="154"/>
        <v>4.7456040616400824E-2</v>
      </c>
      <c r="I599" s="30">
        <f t="shared" ca="1" si="154"/>
        <v>-3.836308635066267E-3</v>
      </c>
      <c r="J599" s="30">
        <f t="shared" ca="1" si="154"/>
        <v>3.4662678492153841E-2</v>
      </c>
      <c r="K599" s="30">
        <f t="shared" ca="1" si="155"/>
        <v>-1.1395055571950101E-2</v>
      </c>
      <c r="L599" s="30">
        <f t="shared" ca="1" si="155"/>
        <v>-3.7364468947553825E-2</v>
      </c>
      <c r="M599" s="30">
        <f t="shared" ca="1" si="155"/>
        <v>-5.073776867820997E-2</v>
      </c>
      <c r="N599" s="30">
        <f t="shared" ca="1" si="155"/>
        <v>-2.5325610331556302E-2</v>
      </c>
      <c r="O599" s="30">
        <f t="shared" ca="1" si="156"/>
        <v>-4.081632653061229E-2</v>
      </c>
      <c r="P599" s="30">
        <f t="shared" ca="1" si="157"/>
        <v>1.0091571668846999E-2</v>
      </c>
      <c r="Q599" s="30">
        <f t="shared" ca="1" si="158"/>
        <v>-5.4574077313276237E-2</v>
      </c>
      <c r="R599" s="30">
        <f t="shared" ca="1" si="159"/>
        <v>9.3370681605975392E-3</v>
      </c>
      <c r="S599" s="9" cm="1">
        <f t="array" aca="1" ref="S599" ca="1">_xll.FDS($E$7,"P_PRICE("&amp;AG599&amp;",0,D,D)")</f>
        <v>54.05</v>
      </c>
      <c r="T599" s="9" cm="1">
        <f t="array" aca="1" ref="T599" ca="1">_xll.FDS($E$7,"P_PRICE("&amp;AH599&amp;",0,D,D)")</f>
        <v>56.35</v>
      </c>
      <c r="U599" s="9" cm="1">
        <f t="array" aca="1" ref="U599" ca="1">_xll.FDS($E$7,"P_PRICE("&amp;AI599&amp;",0,D,D)")</f>
        <v>53.51</v>
      </c>
      <c r="V599" s="9" cm="1">
        <f t="array" aca="1" ref="V599" ca="1">_xll.FDS($E$7,"P_PRICE("&amp;AJ599&amp;",0,D,D)")</f>
        <v>57.17</v>
      </c>
      <c r="W599" s="9" cm="1">
        <f t="array" aca="1" ref="W599" ca="1">_xll.FDS($E$7,"P_PRICE("&amp;AK599&amp;",0,D,D)")</f>
        <v>53.55</v>
      </c>
      <c r="X599" s="24">
        <f t="shared" ca="1" si="160"/>
        <v>-1.1308513777712026E-2</v>
      </c>
      <c r="Y599" s="24">
        <f t="shared" ca="1" si="161"/>
        <v>-3.7080697783555827E-2</v>
      </c>
      <c r="Z599" s="24">
        <f t="shared" ca="1" si="162"/>
        <v>-5.035243158974001E-2</v>
      </c>
      <c r="AA599" s="24">
        <f t="shared" ca="1" si="163"/>
        <v>-2.5133270439536615E-2</v>
      </c>
      <c r="AB599" s="9" cm="1">
        <f t="array" aca="1" ref="AB599" ca="1">_xll.FDS($E$9,"P_PRICE("&amp;AG599&amp;",0,D,D)")</f>
        <v>4288.3900000000003</v>
      </c>
      <c r="AC599" s="9" cm="1">
        <f t="array" aca="1" ref="AC599" ca="1">_xll.FDS($E$9,"P_PRICE("&amp;AH599&amp;",0,D,D)")</f>
        <v>4337.4399999999996</v>
      </c>
      <c r="AD599" s="9" cm="1">
        <f t="array" aca="1" ref="AD599" ca="1">_xll.FDS($E$9,"P_PRICE("&amp;AI599&amp;",0,D,D)")</f>
        <v>4453.53</v>
      </c>
      <c r="AE599" s="9" cm="1">
        <f t="array" aca="1" ref="AE599" ca="1">_xll.FDS($E$9,"P_PRICE("&amp;AJ599&amp;",0,D,D)")</f>
        <v>4515.7700000000004</v>
      </c>
      <c r="AF599" s="9" cm="1">
        <f t="array" aca="1" ref="AF599" ca="1">_xll.FDS($E$9,"P_PRICE("&amp;AK599&amp;",0,D,D)")</f>
        <v>4398.95</v>
      </c>
      <c r="AG599" s="20">
        <f t="shared" ref="AG599:AG662" ca="1" si="169">+WORKDAY(D599, 0, $AN$2:$AN$59)</f>
        <v>45201</v>
      </c>
      <c r="AH599" s="22">
        <f t="shared" ca="1" si="164"/>
        <v>45194</v>
      </c>
      <c r="AI599" s="22">
        <f t="shared" ca="1" si="165"/>
        <v>45187</v>
      </c>
      <c r="AJ599" s="22">
        <f t="shared" ca="1" si="166"/>
        <v>45170</v>
      </c>
      <c r="AK599" s="22">
        <f t="shared" ca="1" si="167"/>
        <v>45114</v>
      </c>
      <c r="AL599" s="22">
        <f t="shared" ca="1" si="168"/>
        <v>45027</v>
      </c>
    </row>
    <row r="600" spans="4:38" x14ac:dyDescent="0.25">
      <c r="D600" s="6">
        <f ca="1"/>
        <v>45198</v>
      </c>
      <c r="E600" s="28" cm="1">
        <f t="array" aca="1" ref="E600" ca="1">_xll.FDS($E$7,"P_PRICE("&amp;D600&amp;",0,D,D)")</f>
        <v>54.73</v>
      </c>
      <c r="F600" s="29" cm="1">
        <f t="array" aca="1" ref="F600" ca="1">_xll.FDS($E$7,"P_BETA_LOCIDX("&amp;$AG600&amp;","&amp;$AL600&amp;",,"""&amp;$E$9&amp;""")")</f>
        <v>1.0074145000000001</v>
      </c>
      <c r="G600" s="30">
        <f t="shared" ca="1" si="154"/>
        <v>1.0212817368913867E-2</v>
      </c>
      <c r="H600" s="30">
        <f t="shared" ca="1" si="154"/>
        <v>3.6002571243380792E-2</v>
      </c>
      <c r="I600" s="30">
        <f t="shared" ca="1" si="154"/>
        <v>-2.5072856788831838E-4</v>
      </c>
      <c r="J600" s="30">
        <f t="shared" ca="1" si="154"/>
        <v>5.3885803624647552E-2</v>
      </c>
      <c r="K600" s="30">
        <f t="shared" ca="1" si="155"/>
        <v>-7.4645579332231864E-3</v>
      </c>
      <c r="L600" s="30">
        <f t="shared" ca="1" si="155"/>
        <v>-3.6732898064633417E-2</v>
      </c>
      <c r="M600" s="30">
        <f t="shared" ca="1" si="155"/>
        <v>-4.9080520346476815E-2</v>
      </c>
      <c r="N600" s="30">
        <f t="shared" ca="1" si="155"/>
        <v>-2.8211140955981859E-2</v>
      </c>
      <c r="O600" s="30">
        <f t="shared" ca="1" si="156"/>
        <v>2.7482594356906809E-3</v>
      </c>
      <c r="P600" s="30">
        <f t="shared" ca="1" si="157"/>
        <v>-7.3032682125262482E-4</v>
      </c>
      <c r="Q600" s="30">
        <f t="shared" ca="1" si="158"/>
        <v>-4.9331248914365133E-2</v>
      </c>
      <c r="R600" s="30">
        <f t="shared" ca="1" si="159"/>
        <v>2.5674662668665693E-2</v>
      </c>
      <c r="S600" s="9" cm="1">
        <f t="array" aca="1" ref="S600" ca="1">_xll.FDS($E$7,"P_PRICE("&amp;AG600&amp;",0,D,D)")</f>
        <v>54.73</v>
      </c>
      <c r="T600" s="9" cm="1">
        <f t="array" aca="1" ref="T600" ca="1">_xll.FDS($E$7,"P_PRICE("&amp;AH600&amp;",0,D,D)")</f>
        <v>54.58</v>
      </c>
      <c r="U600" s="9" cm="1">
        <f t="array" aca="1" ref="U600" ca="1">_xll.FDS($E$7,"P_PRICE("&amp;AI600&amp;",0,D,D)")</f>
        <v>54.77</v>
      </c>
      <c r="V600" s="9" cm="1">
        <f t="array" aca="1" ref="V600" ca="1">_xll.FDS($E$7,"P_PRICE("&amp;AJ600&amp;",0,D,D)")</f>
        <v>57.57</v>
      </c>
      <c r="W600" s="9" cm="1">
        <f t="array" aca="1" ref="W600" ca="1">_xll.FDS($E$7,"P_PRICE("&amp;AK600&amp;",0,D,D)")</f>
        <v>53.36</v>
      </c>
      <c r="X600" s="24">
        <f t="shared" ca="1" si="160"/>
        <v>-7.4096193108429409E-3</v>
      </c>
      <c r="Y600" s="24">
        <f t="shared" ca="1" si="161"/>
        <v>-3.6462546513508998E-2</v>
      </c>
      <c r="Z600" s="24">
        <f t="shared" ca="1" si="162"/>
        <v>-4.871929116215501E-2</v>
      </c>
      <c r="AA600" s="24">
        <f t="shared" ca="1" si="163"/>
        <v>-2.800350893895398E-2</v>
      </c>
      <c r="AB600" s="9" cm="1">
        <f t="array" aca="1" ref="AB600" ca="1">_xll.FDS($E$9,"P_PRICE("&amp;AG600&amp;",0,D,D)")</f>
        <v>4288.05</v>
      </c>
      <c r="AC600" s="9" cm="1">
        <f t="array" aca="1" ref="AC600" ca="1">_xll.FDS($E$9,"P_PRICE("&amp;AH600&amp;",0,D,D)")</f>
        <v>4320.0600000000004</v>
      </c>
      <c r="AD600" s="9" cm="1">
        <f t="array" aca="1" ref="AD600" ca="1">_xll.FDS($E$9,"P_PRICE("&amp;AI600&amp;",0,D,D)")</f>
        <v>4450.32</v>
      </c>
      <c r="AE600" s="9" cm="1">
        <f t="array" aca="1" ref="AE600" ca="1">_xll.FDS($E$9,"P_PRICE("&amp;AJ600&amp;",0,D,D)")</f>
        <v>4507.66</v>
      </c>
      <c r="AF600" s="9" cm="1">
        <f t="array" aca="1" ref="AF600" ca="1">_xll.FDS($E$9,"P_PRICE("&amp;AK600&amp;",0,D,D)")</f>
        <v>4411.59</v>
      </c>
      <c r="AG600" s="20">
        <f t="shared" ca="1" si="169"/>
        <v>45198</v>
      </c>
      <c r="AH600" s="22">
        <f t="shared" ca="1" si="164"/>
        <v>45191</v>
      </c>
      <c r="AI600" s="22">
        <f t="shared" ca="1" si="165"/>
        <v>45184</v>
      </c>
      <c r="AJ600" s="22">
        <f t="shared" ca="1" si="166"/>
        <v>45169</v>
      </c>
      <c r="AK600" s="22">
        <f t="shared" ca="1" si="167"/>
        <v>45113</v>
      </c>
      <c r="AL600" s="22">
        <f t="shared" ca="1" si="168"/>
        <v>45026</v>
      </c>
    </row>
    <row r="601" spans="4:38" x14ac:dyDescent="0.25">
      <c r="D601" s="6">
        <f ca="1"/>
        <v>45197</v>
      </c>
      <c r="E601" s="28" cm="1">
        <f t="array" aca="1" ref="E601" ca="1">_xll.FDS($E$7,"P_PRICE("&amp;D601&amp;",0,D,D)")</f>
        <v>56.18</v>
      </c>
      <c r="F601" s="29" cm="1">
        <f t="array" aca="1" ref="F601" ca="1">_xll.FDS($E$7,"P_BETA_LOCIDX("&amp;$AG601&amp;","&amp;$AL601&amp;",,"""&amp;$E$9&amp;""")")</f>
        <v>1.0003789999999999</v>
      </c>
      <c r="G601" s="30">
        <f t="shared" ca="1" si="154"/>
        <v>5.7682968427349685E-2</v>
      </c>
      <c r="H601" s="30">
        <f t="shared" ca="1" si="154"/>
        <v>5.4046598697291739E-2</v>
      </c>
      <c r="I601" s="30">
        <f t="shared" ca="1" si="154"/>
        <v>2.7275088305788238E-2</v>
      </c>
      <c r="J601" s="30">
        <f t="shared" ca="1" si="154"/>
        <v>5.8840875837945658E-2</v>
      </c>
      <c r="K601" s="30">
        <f t="shared" ca="1" si="155"/>
        <v>-7.0003426558891404E-3</v>
      </c>
      <c r="L601" s="30">
        <f t="shared" ca="1" si="155"/>
        <v>-4.5610052296286521E-2</v>
      </c>
      <c r="M601" s="30">
        <f t="shared" ca="1" si="155"/>
        <v>-4.7676134513286068E-2</v>
      </c>
      <c r="N601" s="30">
        <f t="shared" ca="1" si="155"/>
        <v>-3.309685538879463E-2</v>
      </c>
      <c r="O601" s="30">
        <f t="shared" ca="1" si="156"/>
        <v>5.0682625771460543E-2</v>
      </c>
      <c r="P601" s="30">
        <f t="shared" ca="1" si="157"/>
        <v>8.4365464010052182E-3</v>
      </c>
      <c r="Q601" s="30">
        <f t="shared" ca="1" si="158"/>
        <v>-2.040104620749783E-2</v>
      </c>
      <c r="R601" s="30">
        <f t="shared" ca="1" si="159"/>
        <v>2.5744020449151028E-2</v>
      </c>
      <c r="S601" s="9" cm="1">
        <f t="array" aca="1" ref="S601" ca="1">_xll.FDS($E$7,"P_PRICE("&amp;AG601&amp;",0,D,D)")</f>
        <v>56.18</v>
      </c>
      <c r="T601" s="9" cm="1">
        <f t="array" aca="1" ref="T601" ca="1">_xll.FDS($E$7,"P_PRICE("&amp;AH601&amp;",0,D,D)")</f>
        <v>53.47</v>
      </c>
      <c r="U601" s="9" cm="1">
        <f t="array" aca="1" ref="U601" ca="1">_xll.FDS($E$7,"P_PRICE("&amp;AI601&amp;",0,D,D)")</f>
        <v>55.71</v>
      </c>
      <c r="V601" s="9" cm="1">
        <f t="array" aca="1" ref="V601" ca="1">_xll.FDS($E$7,"P_PRICE("&amp;AJ601&amp;",0,D,D)")</f>
        <v>57.35</v>
      </c>
      <c r="W601" s="9" cm="1">
        <f t="array" aca="1" ref="W601" ca="1">_xll.FDS($E$7,"P_PRICE("&amp;AK601&amp;",0,D,D)")</f>
        <v>54.77</v>
      </c>
      <c r="X601" s="24">
        <f t="shared" ca="1" si="160"/>
        <v>-6.9976905311778248E-3</v>
      </c>
      <c r="Y601" s="24">
        <f t="shared" ca="1" si="161"/>
        <v>-4.559277263545769E-2</v>
      </c>
      <c r="Z601" s="24">
        <f t="shared" ca="1" si="162"/>
        <v>-4.7658072103958671E-2</v>
      </c>
      <c r="AA601" s="24">
        <f t="shared" ca="1" si="163"/>
        <v>-3.3084316432866578E-2</v>
      </c>
      <c r="AB601" s="9" cm="1">
        <f t="array" aca="1" ref="AB601" ca="1">_xll.FDS($E$9,"P_PRICE("&amp;AG601&amp;",0,D,D)")</f>
        <v>4299.7</v>
      </c>
      <c r="AC601" s="9" cm="1">
        <f t="array" aca="1" ref="AC601" ca="1">_xll.FDS($E$9,"P_PRICE("&amp;AH601&amp;",0,D,D)")</f>
        <v>4330</v>
      </c>
      <c r="AD601" s="9" cm="1">
        <f t="array" aca="1" ref="AD601" ca="1">_xll.FDS($E$9,"P_PRICE("&amp;AI601&amp;",0,D,D)")</f>
        <v>4505.1000000000004</v>
      </c>
      <c r="AE601" s="9" cm="1">
        <f t="array" aca="1" ref="AE601" ca="1">_xll.FDS($E$9,"P_PRICE("&amp;AJ601&amp;",0,D,D)")</f>
        <v>4514.87</v>
      </c>
      <c r="AF601" s="9" cm="1">
        <f t="array" aca="1" ref="AF601" ca="1">_xll.FDS($E$9,"P_PRICE("&amp;AK601&amp;",0,D,D)")</f>
        <v>4446.82</v>
      </c>
      <c r="AG601" s="20">
        <f t="shared" ca="1" si="169"/>
        <v>45197</v>
      </c>
      <c r="AH601" s="22">
        <f t="shared" ca="1" si="164"/>
        <v>45190</v>
      </c>
      <c r="AI601" s="22">
        <f t="shared" ca="1" si="165"/>
        <v>45183</v>
      </c>
      <c r="AJ601" s="22">
        <f t="shared" ca="1" si="166"/>
        <v>45168</v>
      </c>
      <c r="AK601" s="22">
        <f t="shared" ca="1" si="167"/>
        <v>45112</v>
      </c>
      <c r="AL601" s="22">
        <f t="shared" ca="1" si="168"/>
        <v>45022</v>
      </c>
    </row>
    <row r="602" spans="4:38" x14ac:dyDescent="0.25">
      <c r="D602" s="6">
        <f ca="1"/>
        <v>45196</v>
      </c>
      <c r="E602" s="28" cm="1">
        <f t="array" aca="1" ref="E602" ca="1">_xll.FDS($E$7,"P_PRICE("&amp;D602&amp;",0,D,D)")</f>
        <v>56.4</v>
      </c>
      <c r="F602" s="29" cm="1">
        <f t="array" aca="1" ref="F602" ca="1">_xll.FDS($E$7,"P_BETA_LOCIDX("&amp;$AG602&amp;","&amp;$AL602&amp;",,"""&amp;$E$9&amp;""")")</f>
        <v>1.0376799000000001</v>
      </c>
      <c r="G602" s="30">
        <f t="shared" ca="1" si="154"/>
        <v>5.5739918565245225E-2</v>
      </c>
      <c r="H602" s="30">
        <f t="shared" ca="1" si="154"/>
        <v>8.9838057408553315E-2</v>
      </c>
      <c r="I602" s="30">
        <f t="shared" ca="1" si="154"/>
        <v>2.72561336392508E-2</v>
      </c>
      <c r="J602" s="30">
        <f t="shared" ca="1" si="154"/>
        <v>5.1478089218671433E-2</v>
      </c>
      <c r="K602" s="30">
        <f t="shared" ca="1" si="155"/>
        <v>-3.0098892924219675E-2</v>
      </c>
      <c r="L602" s="30">
        <f t="shared" ca="1" si="155"/>
        <v>-4.4813043511944026E-2</v>
      </c>
      <c r="M602" s="30">
        <f t="shared" ca="1" si="155"/>
        <v>-5.1477586926447959E-2</v>
      </c>
      <c r="N602" s="30">
        <f t="shared" ca="1" si="155"/>
        <v>-4.2172434243725257E-2</v>
      </c>
      <c r="O602" s="30">
        <f t="shared" ca="1" si="156"/>
        <v>2.564102564102555E-2</v>
      </c>
      <c r="P602" s="30">
        <f t="shared" ca="1" si="157"/>
        <v>4.5025013896609289E-2</v>
      </c>
      <c r="Q602" s="30">
        <f t="shared" ca="1" si="158"/>
        <v>-2.4221453287197159E-2</v>
      </c>
      <c r="R602" s="30">
        <f t="shared" ca="1" si="159"/>
        <v>9.3056549749461759E-3</v>
      </c>
      <c r="S602" s="9" cm="1">
        <f t="array" aca="1" ref="S602" ca="1">_xll.FDS($E$7,"P_PRICE("&amp;AG602&amp;",0,D,D)")</f>
        <v>56.4</v>
      </c>
      <c r="T602" s="9" cm="1">
        <f t="array" aca="1" ref="T602" ca="1">_xll.FDS($E$7,"P_PRICE("&amp;AH602&amp;",0,D,D)")</f>
        <v>54.99</v>
      </c>
      <c r="U602" s="9" cm="1">
        <f t="array" aca="1" ref="U602" ca="1">_xll.FDS($E$7,"P_PRICE("&amp;AI602&amp;",0,D,D)")</f>
        <v>53.97</v>
      </c>
      <c r="V602" s="9" cm="1">
        <f t="array" aca="1" ref="V602" ca="1">_xll.FDS($E$7,"P_PRICE("&amp;AJ602&amp;",0,D,D)")</f>
        <v>57.8</v>
      </c>
      <c r="W602" s="9" cm="1">
        <f t="array" aca="1" ref="W602" ca="1">_xll.FDS($E$7,"P_PRICE("&amp;AK602&amp;",0,D,D)")</f>
        <v>55.88</v>
      </c>
      <c r="X602" s="24">
        <f t="shared" ca="1" si="160"/>
        <v>-2.9005951569669675E-2</v>
      </c>
      <c r="Y602" s="24">
        <f t="shared" ca="1" si="161"/>
        <v>-4.3185806636462765E-2</v>
      </c>
      <c r="Z602" s="24">
        <f t="shared" ca="1" si="162"/>
        <v>-4.9608349286179632E-2</v>
      </c>
      <c r="AA602" s="24">
        <f t="shared" ca="1" si="163"/>
        <v>-4.064108232579744E-2</v>
      </c>
      <c r="AB602" s="9" cm="1">
        <f t="array" aca="1" ref="AB602" ca="1">_xll.FDS($E$9,"P_PRICE("&amp;AG602&amp;",0,D,D)")</f>
        <v>4274.51</v>
      </c>
      <c r="AC602" s="9" cm="1">
        <f t="array" aca="1" ref="AC602" ca="1">_xll.FDS($E$9,"P_PRICE("&amp;AH602&amp;",0,D,D)")</f>
        <v>4402.2</v>
      </c>
      <c r="AD602" s="9" cm="1">
        <f t="array" aca="1" ref="AD602" ca="1">_xll.FDS($E$9,"P_PRICE("&amp;AI602&amp;",0,D,D)")</f>
        <v>4467.4399999999996</v>
      </c>
      <c r="AE602" s="9" cm="1">
        <f t="array" aca="1" ref="AE602" ca="1">_xll.FDS($E$9,"P_PRICE("&amp;AJ602&amp;",0,D,D)")</f>
        <v>4497.63</v>
      </c>
      <c r="AF602" s="9" cm="1">
        <f t="array" aca="1" ref="AF602" ca="1">_xll.FDS($E$9,"P_PRICE("&amp;AK602&amp;",0,D,D)")</f>
        <v>4455.59</v>
      </c>
      <c r="AG602" s="20">
        <f t="shared" ca="1" si="169"/>
        <v>45196</v>
      </c>
      <c r="AH602" s="22">
        <f t="shared" ca="1" si="164"/>
        <v>45189</v>
      </c>
      <c r="AI602" s="22">
        <f t="shared" ca="1" si="165"/>
        <v>45182</v>
      </c>
      <c r="AJ602" s="22">
        <f t="shared" ca="1" si="166"/>
        <v>45167</v>
      </c>
      <c r="AK602" s="22">
        <f t="shared" ca="1" si="167"/>
        <v>45110</v>
      </c>
      <c r="AL602" s="22">
        <f t="shared" ca="1" si="168"/>
        <v>45021</v>
      </c>
    </row>
    <row r="603" spans="4:38" x14ac:dyDescent="0.25">
      <c r="D603" s="6">
        <f ca="1"/>
        <v>45195</v>
      </c>
      <c r="E603" s="28" cm="1">
        <f t="array" aca="1" ref="E603" ca="1">_xll.FDS($E$7,"P_PRICE("&amp;D603&amp;",0,D,D)")</f>
        <v>55.81</v>
      </c>
      <c r="F603" s="29" cm="1">
        <f t="array" aca="1" ref="F603" ca="1">_xll.FDS($E$7,"P_BETA_LOCIDX("&amp;$AG603&amp;","&amp;$AL603&amp;",,"""&amp;$E$9&amp;""")")</f>
        <v>1.0453634999999999</v>
      </c>
      <c r="G603" s="30">
        <f t="shared" ca="1" si="154"/>
        <v>8.0349351166090682E-2</v>
      </c>
      <c r="H603" s="30">
        <f t="shared" ca="1" si="154"/>
        <v>8.7115191956310317E-2</v>
      </c>
      <c r="I603" s="30">
        <f t="shared" ca="1" si="154"/>
        <v>8.6221437681246738E-3</v>
      </c>
      <c r="J603" s="30">
        <f t="shared" ca="1" si="154"/>
        <v>4.2976335127499737E-2</v>
      </c>
      <c r="K603" s="30">
        <f t="shared" ca="1" si="155"/>
        <v>-4.0088400560312397E-2</v>
      </c>
      <c r="L603" s="30">
        <f t="shared" ca="1" si="155"/>
        <v>-4.4132571885295492E-2</v>
      </c>
      <c r="M603" s="30">
        <f t="shared" ca="1" si="155"/>
        <v>-3.7675727623378591E-2</v>
      </c>
      <c r="N603" s="30">
        <f t="shared" ca="1" si="155"/>
        <v>-4.1540842574117359E-2</v>
      </c>
      <c r="O603" s="30">
        <f t="shared" ca="1" si="156"/>
        <v>4.0260950605778278E-2</v>
      </c>
      <c r="P603" s="30">
        <f t="shared" ca="1" si="157"/>
        <v>4.2982620071014832E-2</v>
      </c>
      <c r="Q603" s="30">
        <f t="shared" ca="1" si="158"/>
        <v>-2.9053583855253917E-2</v>
      </c>
      <c r="R603" s="30">
        <f t="shared" ca="1" si="159"/>
        <v>1.4354925533823781E-3</v>
      </c>
      <c r="S603" s="9" cm="1">
        <f t="array" aca="1" ref="S603" ca="1">_xll.FDS($E$7,"P_PRICE("&amp;AG603&amp;",0,D,D)")</f>
        <v>55.81</v>
      </c>
      <c r="T603" s="9" cm="1">
        <f t="array" aca="1" ref="T603" ca="1">_xll.FDS($E$7,"P_PRICE("&amp;AH603&amp;",0,D,D)")</f>
        <v>53.65</v>
      </c>
      <c r="U603" s="9" cm="1">
        <f t="array" aca="1" ref="U603" ca="1">_xll.FDS($E$7,"P_PRICE("&amp;AI603&amp;",0,D,D)")</f>
        <v>53.51</v>
      </c>
      <c r="V603" s="9" cm="1">
        <f t="array" aca="1" ref="V603" ca="1">_xll.FDS($E$7,"P_PRICE("&amp;AJ603&amp;",0,D,D)")</f>
        <v>57.48</v>
      </c>
      <c r="W603" s="9" cm="1">
        <f t="array" aca="1" ref="W603" ca="1">_xll.FDS($E$7,"P_PRICE("&amp;AK603&amp;",0,D,D)")</f>
        <v>55.73</v>
      </c>
      <c r="X603" s="24">
        <f t="shared" ca="1" si="160"/>
        <v>-3.8348766300250969E-2</v>
      </c>
      <c r="Y603" s="24">
        <f t="shared" ca="1" si="161"/>
        <v>-4.2217441000470646E-2</v>
      </c>
      <c r="Z603" s="24">
        <f t="shared" ca="1" si="162"/>
        <v>-3.6040791192134214E-2</v>
      </c>
      <c r="AA603" s="24">
        <f t="shared" ca="1" si="163"/>
        <v>-3.9738179661062745E-2</v>
      </c>
      <c r="AB603" s="9" cm="1">
        <f t="array" aca="1" ref="AB603" ca="1">_xll.FDS($E$9,"P_PRICE("&amp;AG603&amp;",0,D,D)")</f>
        <v>4273.53</v>
      </c>
      <c r="AC603" s="9" cm="1">
        <f t="array" aca="1" ref="AC603" ca="1">_xll.FDS($E$9,"P_PRICE("&amp;AH603&amp;",0,D,D)")</f>
        <v>4443.95</v>
      </c>
      <c r="AD603" s="9" cm="1">
        <f t="array" aca="1" ref="AD603" ca="1">_xll.FDS($E$9,"P_PRICE("&amp;AI603&amp;",0,D,D)")</f>
        <v>4461.8999999999996</v>
      </c>
      <c r="AE603" s="9" cm="1">
        <f t="array" aca="1" ref="AE603" ca="1">_xll.FDS($E$9,"P_PRICE("&amp;AJ603&amp;",0,D,D)")</f>
        <v>4433.3100000000004</v>
      </c>
      <c r="AF603" s="9" cm="1">
        <f t="array" aca="1" ref="AF603" ca="1">_xll.FDS($E$9,"P_PRICE("&amp;AK603&amp;",0,D,D)")</f>
        <v>4450.38</v>
      </c>
      <c r="AG603" s="20">
        <f t="shared" ca="1" si="169"/>
        <v>45195</v>
      </c>
      <c r="AH603" s="22">
        <f t="shared" ca="1" si="164"/>
        <v>45188</v>
      </c>
      <c r="AI603" s="22">
        <f t="shared" ca="1" si="165"/>
        <v>45181</v>
      </c>
      <c r="AJ603" s="22">
        <f t="shared" ca="1" si="166"/>
        <v>45166</v>
      </c>
      <c r="AK603" s="22">
        <f t="shared" ca="1" si="167"/>
        <v>45107</v>
      </c>
      <c r="AL603" s="22">
        <f t="shared" ca="1" si="168"/>
        <v>45020</v>
      </c>
    </row>
    <row r="604" spans="4:38" x14ac:dyDescent="0.25">
      <c r="D604" s="6">
        <f ca="1"/>
        <v>45194</v>
      </c>
      <c r="E604" s="28" cm="1">
        <f t="array" aca="1" ref="E604" ca="1">_xll.FDS($E$7,"P_PRICE("&amp;D604&amp;",0,D,D)")</f>
        <v>56.35</v>
      </c>
      <c r="F604" s="29" cm="1">
        <f t="array" aca="1" ref="F604" ca="1">_xll.FDS($E$7,"P_BETA_LOCIDX("&amp;$AG604&amp;","&amp;$AL604&amp;",,"""&amp;$E$9&amp;""")")</f>
        <v>1.0565960000000001</v>
      </c>
      <c r="G604" s="30">
        <f t="shared" ca="1" si="154"/>
        <v>8.0616440167513598E-2</v>
      </c>
      <c r="H604" s="30">
        <f t="shared" ca="1" si="154"/>
        <v>6.8320246293736522E-2</v>
      </c>
      <c r="I604" s="30">
        <f t="shared" ca="1" si="154"/>
        <v>-2.066065791035479E-4</v>
      </c>
      <c r="J604" s="30">
        <f t="shared" ca="1" si="154"/>
        <v>4.0030547490633707E-2</v>
      </c>
      <c r="K604" s="30">
        <f t="shared" ca="1" si="155"/>
        <v>-2.754224842765177E-2</v>
      </c>
      <c r="L604" s="30">
        <f t="shared" ca="1" si="155"/>
        <v>-3.5322996064588955E-2</v>
      </c>
      <c r="M604" s="30">
        <f t="shared" ca="1" si="155"/>
        <v>-1.6372800052659058E-2</v>
      </c>
      <c r="N604" s="30">
        <f t="shared" ca="1" si="155"/>
        <v>-1.417946429383774E-2</v>
      </c>
      <c r="O604" s="30">
        <f t="shared" ca="1" si="156"/>
        <v>5.3074191739861831E-2</v>
      </c>
      <c r="P604" s="30">
        <f t="shared" ca="1" si="157"/>
        <v>3.2997250229147568E-2</v>
      </c>
      <c r="Q604" s="30">
        <f t="shared" ca="1" si="158"/>
        <v>-1.6579406631762605E-2</v>
      </c>
      <c r="R604" s="30">
        <f t="shared" ca="1" si="159"/>
        <v>2.5851083196795965E-2</v>
      </c>
      <c r="S604" s="9" cm="1">
        <f t="array" aca="1" ref="S604" ca="1">_xll.FDS($E$7,"P_PRICE("&amp;AG604&amp;",0,D,D)")</f>
        <v>56.35</v>
      </c>
      <c r="T604" s="9" cm="1">
        <f t="array" aca="1" ref="T604" ca="1">_xll.FDS($E$7,"P_PRICE("&amp;AH604&amp;",0,D,D)")</f>
        <v>53.51</v>
      </c>
      <c r="U604" s="9" cm="1">
        <f t="array" aca="1" ref="U604" ca="1">_xll.FDS($E$7,"P_PRICE("&amp;AI604&amp;",0,D,D)")</f>
        <v>54.55</v>
      </c>
      <c r="V604" s="9" cm="1">
        <f t="array" aca="1" ref="V604" ca="1">_xll.FDS($E$7,"P_PRICE("&amp;AJ604&amp;",0,D,D)")</f>
        <v>57.3</v>
      </c>
      <c r="W604" s="9" cm="1">
        <f t="array" aca="1" ref="W604" ca="1">_xll.FDS($E$7,"P_PRICE("&amp;AK604&amp;",0,D,D)")</f>
        <v>54.93</v>
      </c>
      <c r="X604" s="24">
        <f t="shared" ca="1" si="160"/>
        <v>-2.6066962611681066E-2</v>
      </c>
      <c r="Y604" s="24">
        <f t="shared" ca="1" si="161"/>
        <v>-3.3430938660177545E-2</v>
      </c>
      <c r="Z604" s="24">
        <f t="shared" ca="1" si="162"/>
        <v>-1.5495799768936336E-2</v>
      </c>
      <c r="AA604" s="24">
        <f t="shared" ca="1" si="163"/>
        <v>-1.3419948867720244E-2</v>
      </c>
      <c r="AB604" s="9" cm="1">
        <f t="array" aca="1" ref="AB604" ca="1">_xll.FDS($E$9,"P_PRICE("&amp;AG604&amp;",0,D,D)")</f>
        <v>4337.4399999999996</v>
      </c>
      <c r="AC604" s="9" cm="1">
        <f t="array" aca="1" ref="AC604" ca="1">_xll.FDS($E$9,"P_PRICE("&amp;AH604&amp;",0,D,D)")</f>
        <v>4453.53</v>
      </c>
      <c r="AD604" s="9" cm="1">
        <f t="array" aca="1" ref="AD604" ca="1">_xll.FDS($E$9,"P_PRICE("&amp;AI604&amp;",0,D,D)")</f>
        <v>4487.46</v>
      </c>
      <c r="AE604" s="9" cm="1">
        <f t="array" aca="1" ref="AE604" ca="1">_xll.FDS($E$9,"P_PRICE("&amp;AJ604&amp;",0,D,D)")</f>
        <v>4405.71</v>
      </c>
      <c r="AF604" s="9" cm="1">
        <f t="array" aca="1" ref="AF604" ca="1">_xll.FDS($E$9,"P_PRICE("&amp;AK604&amp;",0,D,D)")</f>
        <v>4396.4399999999996</v>
      </c>
      <c r="AG604" s="20">
        <f t="shared" ca="1" si="169"/>
        <v>45194</v>
      </c>
      <c r="AH604" s="22">
        <f t="shared" ca="1" si="164"/>
        <v>45187</v>
      </c>
      <c r="AI604" s="22">
        <f t="shared" ca="1" si="165"/>
        <v>45180</v>
      </c>
      <c r="AJ604" s="22">
        <f t="shared" ca="1" si="166"/>
        <v>45163</v>
      </c>
      <c r="AK604" s="22">
        <f t="shared" ca="1" si="167"/>
        <v>45106</v>
      </c>
      <c r="AL604" s="22">
        <f t="shared" ca="1" si="168"/>
        <v>45019</v>
      </c>
    </row>
    <row r="605" spans="4:38" x14ac:dyDescent="0.25">
      <c r="D605" s="6">
        <f ca="1"/>
        <v>45191</v>
      </c>
      <c r="E605" s="28" cm="1">
        <f t="array" aca="1" ref="E605" ca="1">_xll.FDS($E$7,"P_PRICE("&amp;D605&amp;",0,D,D)")</f>
        <v>54.58</v>
      </c>
      <c r="F605" s="29" cm="1">
        <f t="array" aca="1" ref="F605" ca="1">_xll.FDS($E$7,"P_BETA_LOCIDX("&amp;$AG605&amp;","&amp;$AL605&amp;",,"""&amp;$E$9&amp;""")")</f>
        <v>1.0415080999999999</v>
      </c>
      <c r="G605" s="30">
        <f t="shared" ca="1" si="154"/>
        <v>2.7015686922514749E-2</v>
      </c>
      <c r="H605" s="30">
        <f t="shared" ca="1" si="154"/>
        <v>2.8823928425898253E-2</v>
      </c>
      <c r="I605" s="30">
        <f t="shared" ca="1" si="154"/>
        <v>-2.6542829366768293E-2</v>
      </c>
      <c r="J605" s="30">
        <f t="shared" ca="1" si="154"/>
        <v>4.7982422016239045E-3</v>
      </c>
      <c r="K605" s="30">
        <f t="shared" ca="1" si="155"/>
        <v>-3.0484739323464273E-2</v>
      </c>
      <c r="L605" s="30">
        <f t="shared" ca="1" si="155"/>
        <v>-3.2110999280536671E-2</v>
      </c>
      <c r="M605" s="30">
        <f t="shared" ca="1" si="155"/>
        <v>-1.3386810035166652E-2</v>
      </c>
      <c r="N605" s="30">
        <f t="shared" ca="1" si="155"/>
        <v>-1.3516004642597458E-2</v>
      </c>
      <c r="O605" s="30">
        <f t="shared" ca="1" si="156"/>
        <v>-3.4690524009495238E-3</v>
      </c>
      <c r="P605" s="30">
        <f t="shared" ca="1" si="157"/>
        <v>-3.2870708546384186E-3</v>
      </c>
      <c r="Q605" s="30">
        <f t="shared" ca="1" si="158"/>
        <v>-3.9929639401934947E-2</v>
      </c>
      <c r="R605" s="30">
        <f t="shared" ca="1" si="159"/>
        <v>-8.7177624409735532E-3</v>
      </c>
      <c r="S605" s="9" cm="1">
        <f t="array" aca="1" ref="S605" ca="1">_xll.FDS($E$7,"P_PRICE("&amp;AG605&amp;",0,D,D)")</f>
        <v>54.58</v>
      </c>
      <c r="T605" s="9" cm="1">
        <f t="array" aca="1" ref="T605" ca="1">_xll.FDS($E$7,"P_PRICE("&amp;AH605&amp;",0,D,D)")</f>
        <v>54.77</v>
      </c>
      <c r="U605" s="9" cm="1">
        <f t="array" aca="1" ref="U605" ca="1">_xll.FDS($E$7,"P_PRICE("&amp;AI605&amp;",0,D,D)")</f>
        <v>54.76</v>
      </c>
      <c r="V605" s="9" cm="1">
        <f t="array" aca="1" ref="V605" ca="1">_xll.FDS($E$7,"P_PRICE("&amp;AJ605&amp;",0,D,D)")</f>
        <v>56.85</v>
      </c>
      <c r="W605" s="9" cm="1">
        <f t="array" aca="1" ref="W605" ca="1">_xll.FDS($E$7,"P_PRICE("&amp;AK605&amp;",0,D,D)")</f>
        <v>55.06</v>
      </c>
      <c r="X605" s="24">
        <f t="shared" ca="1" si="160"/>
        <v>-2.9269805317370334E-2</v>
      </c>
      <c r="Y605" s="24">
        <f t="shared" ca="1" si="161"/>
        <v>-3.0831252565905798E-2</v>
      </c>
      <c r="Z605" s="24">
        <f t="shared" ca="1" si="162"/>
        <v>-1.285329421361836E-2</v>
      </c>
      <c r="AA605" s="24">
        <f t="shared" ca="1" si="163"/>
        <v>-1.2977339919485464E-2</v>
      </c>
      <c r="AB605" s="9" cm="1">
        <f t="array" aca="1" ref="AB605" ca="1">_xll.FDS($E$9,"P_PRICE("&amp;AG605&amp;",0,D,D)")</f>
        <v>4320.0600000000004</v>
      </c>
      <c r="AC605" s="9" cm="1">
        <f t="array" aca="1" ref="AC605" ca="1">_xll.FDS($E$9,"P_PRICE("&amp;AH605&amp;",0,D,D)")</f>
        <v>4450.32</v>
      </c>
      <c r="AD605" s="9" cm="1">
        <f t="array" aca="1" ref="AD605" ca="1">_xll.FDS($E$9,"P_PRICE("&amp;AI605&amp;",0,D,D)")</f>
        <v>4457.49</v>
      </c>
      <c r="AE605" s="9" cm="1">
        <f t="array" aca="1" ref="AE605" ca="1">_xll.FDS($E$9,"P_PRICE("&amp;AJ605&amp;",0,D,D)")</f>
        <v>4376.3100000000004</v>
      </c>
      <c r="AF605" s="9" cm="1">
        <f t="array" aca="1" ref="AF605" ca="1">_xll.FDS($E$9,"P_PRICE("&amp;AK605&amp;",0,D,D)")</f>
        <v>4376.8599999999997</v>
      </c>
      <c r="AG605" s="20">
        <f t="shared" ca="1" si="169"/>
        <v>45191</v>
      </c>
      <c r="AH605" s="22">
        <f t="shared" ca="1" si="164"/>
        <v>45184</v>
      </c>
      <c r="AI605" s="22">
        <f t="shared" ca="1" si="165"/>
        <v>45177</v>
      </c>
      <c r="AJ605" s="22">
        <f t="shared" ca="1" si="166"/>
        <v>45162</v>
      </c>
      <c r="AK605" s="22">
        <f t="shared" ca="1" si="167"/>
        <v>45105</v>
      </c>
      <c r="AL605" s="22">
        <f t="shared" ca="1" si="168"/>
        <v>45016</v>
      </c>
    </row>
    <row r="606" spans="4:38" x14ac:dyDescent="0.25">
      <c r="D606" s="6">
        <f ca="1"/>
        <v>45190</v>
      </c>
      <c r="E606" s="28" cm="1">
        <f t="array" aca="1" ref="E606" ca="1">_xll.FDS($E$7,"P_PRICE("&amp;D606&amp;",0,D,D)")</f>
        <v>53.47</v>
      </c>
      <c r="F606" s="29" cm="1">
        <f t="array" aca="1" ref="F606" ca="1">_xll.FDS($E$7,"P_BETA_LOCIDX("&amp;$AG606&amp;","&amp;$AL606&amp;",,"""&amp;$E$9&amp;""")")</f>
        <v>1.0550693</v>
      </c>
      <c r="G606" s="30">
        <f t="shared" ca="1" si="154"/>
        <v>7.9922251419186491E-4</v>
      </c>
      <c r="H606" s="30">
        <f t="shared" ca="1" si="154"/>
        <v>5.426644022368185E-4</v>
      </c>
      <c r="I606" s="30">
        <f t="shared" ca="1" si="154"/>
        <v>-5.0978495761541884E-2</v>
      </c>
      <c r="J606" s="30">
        <f t="shared" ca="1" si="154"/>
        <v>-8.49219556609347E-3</v>
      </c>
      <c r="K606" s="30">
        <f t="shared" ca="1" si="155"/>
        <v>-4.1007443659408248E-2</v>
      </c>
      <c r="L606" s="30">
        <f t="shared" ca="1" si="155"/>
        <v>-2.871423837533759E-2</v>
      </c>
      <c r="M606" s="30">
        <f t="shared" ca="1" si="155"/>
        <v>-2.5213625869418794E-2</v>
      </c>
      <c r="N606" s="30">
        <f t="shared" ca="1" si="155"/>
        <v>-1.1665400182486312E-2</v>
      </c>
      <c r="O606" s="30">
        <f t="shared" ca="1" si="156"/>
        <v>-4.0208221145216383E-2</v>
      </c>
      <c r="P606" s="30">
        <f t="shared" ca="1" si="157"/>
        <v>-2.8171573973100772E-2</v>
      </c>
      <c r="Q606" s="30">
        <f t="shared" ca="1" si="158"/>
        <v>-7.6192121630960674E-2</v>
      </c>
      <c r="R606" s="30">
        <f t="shared" ca="1" si="159"/>
        <v>-2.0157595748579782E-2</v>
      </c>
      <c r="S606" s="9" cm="1">
        <f t="array" aca="1" ref="S606" ca="1">_xll.FDS($E$7,"P_PRICE("&amp;AG606&amp;",0,D,D)")</f>
        <v>53.47</v>
      </c>
      <c r="T606" s="9" cm="1">
        <f t="array" aca="1" ref="T606" ca="1">_xll.FDS($E$7,"P_PRICE("&amp;AH606&amp;",0,D,D)")</f>
        <v>55.71</v>
      </c>
      <c r="U606" s="9" cm="1">
        <f t="array" aca="1" ref="U606" ca="1">_xll.FDS($E$7,"P_PRICE("&amp;AI606&amp;",0,D,D)")</f>
        <v>55.02</v>
      </c>
      <c r="V606" s="9" cm="1">
        <f t="array" aca="1" ref="V606" ca="1">_xll.FDS($E$7,"P_PRICE("&amp;AJ606&amp;",0,D,D)")</f>
        <v>57.88</v>
      </c>
      <c r="W606" s="9" cm="1">
        <f t="array" aca="1" ref="W606" ca="1">_xll.FDS($E$7,"P_PRICE("&amp;AK606&amp;",0,D,D)")</f>
        <v>54.57</v>
      </c>
      <c r="X606" s="24">
        <f t="shared" ca="1" si="160"/>
        <v>-3.8867061774433442E-2</v>
      </c>
      <c r="Y606" s="24">
        <f t="shared" ca="1" si="161"/>
        <v>-2.7215499849476799E-2</v>
      </c>
      <c r="Z606" s="24">
        <f t="shared" ca="1" si="162"/>
        <v>-2.389760167357613E-2</v>
      </c>
      <c r="AA606" s="24">
        <f t="shared" ca="1" si="163"/>
        <v>-1.1056525085590407E-2</v>
      </c>
      <c r="AB606" s="9" cm="1">
        <f t="array" aca="1" ref="AB606" ca="1">_xll.FDS($E$9,"P_PRICE("&amp;AG606&amp;",0,D,D)")</f>
        <v>4330</v>
      </c>
      <c r="AC606" s="9" cm="1">
        <f t="array" aca="1" ref="AC606" ca="1">_xll.FDS($E$9,"P_PRICE("&amp;AH606&amp;",0,D,D)")</f>
        <v>4505.1000000000004</v>
      </c>
      <c r="AD606" s="9" cm="1">
        <f t="array" aca="1" ref="AD606" ca="1">_xll.FDS($E$9,"P_PRICE("&amp;AI606&amp;",0,D,D)")</f>
        <v>4451.1400000000003</v>
      </c>
      <c r="AE606" s="9" cm="1">
        <f t="array" aca="1" ref="AE606" ca="1">_xll.FDS($E$9,"P_PRICE("&amp;AJ606&amp;",0,D,D)")</f>
        <v>4436.01</v>
      </c>
      <c r="AF606" s="9" cm="1">
        <f t="array" aca="1" ref="AF606" ca="1">_xll.FDS($E$9,"P_PRICE("&amp;AK606&amp;",0,D,D)")</f>
        <v>4378.41</v>
      </c>
      <c r="AG606" s="20">
        <f t="shared" ca="1" si="169"/>
        <v>45190</v>
      </c>
      <c r="AH606" s="22">
        <f t="shared" ca="1" si="164"/>
        <v>45183</v>
      </c>
      <c r="AI606" s="22">
        <f t="shared" ca="1" si="165"/>
        <v>45176</v>
      </c>
      <c r="AJ606" s="22">
        <f t="shared" ca="1" si="166"/>
        <v>45161</v>
      </c>
      <c r="AK606" s="22">
        <f t="shared" ca="1" si="167"/>
        <v>45104</v>
      </c>
      <c r="AL606" s="22">
        <f t="shared" ca="1" si="168"/>
        <v>45015</v>
      </c>
    </row>
    <row r="607" spans="4:38" x14ac:dyDescent="0.25">
      <c r="D607" s="6">
        <f ca="1"/>
        <v>45189</v>
      </c>
      <c r="E607" s="28" cm="1">
        <f t="array" aca="1" ref="E607" ca="1">_xll.FDS($E$7,"P_PRICE("&amp;D607&amp;",0,D,D)")</f>
        <v>54.99</v>
      </c>
      <c r="F607" s="29" cm="1">
        <f t="array" aca="1" ref="F607" ca="1">_xll.FDS($E$7,"P_BETA_LOCIDX("&amp;$AG607&amp;","&amp;$AL607&amp;",,"""&amp;$E$9&amp;""")")</f>
        <v>1.011166</v>
      </c>
      <c r="G607" s="30">
        <f t="shared" ca="1" si="154"/>
        <v>3.3665892372412819E-2</v>
      </c>
      <c r="H607" s="30">
        <f t="shared" ca="1" si="154"/>
        <v>1.2151698330904844E-2</v>
      </c>
      <c r="I607" s="30">
        <f t="shared" ca="1" si="154"/>
        <v>-4.2180681311208806E-2</v>
      </c>
      <c r="J607" s="30">
        <f t="shared" ca="1" si="154"/>
        <v>1.962392361836424E-2</v>
      </c>
      <c r="K607" s="30">
        <f t="shared" ca="1" si="155"/>
        <v>-1.4766503823218667E-2</v>
      </c>
      <c r="L607" s="30">
        <f t="shared" ca="1" si="155"/>
        <v>-1.4329161586212388E-2</v>
      </c>
      <c r="M607" s="30">
        <f t="shared" ca="1" si="155"/>
        <v>3.3762764868774699E-3</v>
      </c>
      <c r="N607" s="30">
        <f t="shared" ca="1" si="155"/>
        <v>1.7140782263988793E-2</v>
      </c>
      <c r="O607" s="30">
        <f t="shared" ca="1" si="156"/>
        <v>1.8899388549194152E-2</v>
      </c>
      <c r="P607" s="30">
        <f t="shared" ca="1" si="157"/>
        <v>-2.1774632553075435E-3</v>
      </c>
      <c r="Q607" s="30">
        <f t="shared" ca="1" si="158"/>
        <v>-3.880440482433134E-2</v>
      </c>
      <c r="R607" s="30">
        <f t="shared" ca="1" si="159"/>
        <v>3.6764705882353033E-2</v>
      </c>
      <c r="S607" s="9" cm="1">
        <f t="array" aca="1" ref="S607" ca="1">_xll.FDS($E$7,"P_PRICE("&amp;AG607&amp;",0,D,D)")</f>
        <v>54.99</v>
      </c>
      <c r="T607" s="9" cm="1">
        <f t="array" aca="1" ref="T607" ca="1">_xll.FDS($E$7,"P_PRICE("&amp;AH607&amp;",0,D,D)")</f>
        <v>53.97</v>
      </c>
      <c r="U607" s="9" cm="1">
        <f t="array" aca="1" ref="U607" ca="1">_xll.FDS($E$7,"P_PRICE("&amp;AI607&amp;",0,D,D)")</f>
        <v>55.11</v>
      </c>
      <c r="V607" s="9" cm="1">
        <f t="array" aca="1" ref="V607" ca="1">_xll.FDS($E$7,"P_PRICE("&amp;AJ607&amp;",0,D,D)")</f>
        <v>57.21</v>
      </c>
      <c r="W607" s="9" cm="1">
        <f t="array" aca="1" ref="W607" ca="1">_xll.FDS($E$7,"P_PRICE("&amp;AK607&amp;",0,D,D)")</f>
        <v>53.04</v>
      </c>
      <c r="X607" s="24">
        <f t="shared" ca="1" si="160"/>
        <v>-1.4603441792167327E-2</v>
      </c>
      <c r="Y607" s="24">
        <f t="shared" ca="1" si="161"/>
        <v>-1.4170928993075704E-2</v>
      </c>
      <c r="Z607" s="24">
        <f t="shared" ca="1" si="162"/>
        <v>3.338993287825609E-3</v>
      </c>
      <c r="AA607" s="24">
        <f t="shared" ca="1" si="163"/>
        <v>1.6951501794946422E-2</v>
      </c>
      <c r="AB607" s="9" cm="1">
        <f t="array" aca="1" ref="AB607" ca="1">_xll.FDS($E$9,"P_PRICE("&amp;AG607&amp;",0,D,D)")</f>
        <v>4402.2</v>
      </c>
      <c r="AC607" s="9" cm="1">
        <f t="array" aca="1" ref="AC607" ca="1">_xll.FDS($E$9,"P_PRICE("&amp;AH607&amp;",0,D,D)")</f>
        <v>4467.4399999999996</v>
      </c>
      <c r="AD607" s="9" cm="1">
        <f t="array" aca="1" ref="AD607" ca="1">_xll.FDS($E$9,"P_PRICE("&amp;AI607&amp;",0,D,D)")</f>
        <v>4465.4799999999996</v>
      </c>
      <c r="AE607" s="9" cm="1">
        <f t="array" aca="1" ref="AE607" ca="1">_xll.FDS($E$9,"P_PRICE("&amp;AJ607&amp;",0,D,D)")</f>
        <v>4387.55</v>
      </c>
      <c r="AF607" s="9" cm="1">
        <f t="array" aca="1" ref="AF607" ca="1">_xll.FDS($E$9,"P_PRICE("&amp;AK607&amp;",0,D,D)")</f>
        <v>4328.82</v>
      </c>
      <c r="AG607" s="20">
        <f t="shared" ca="1" si="169"/>
        <v>45189</v>
      </c>
      <c r="AH607" s="22">
        <f t="shared" ca="1" si="164"/>
        <v>45182</v>
      </c>
      <c r="AI607" s="22">
        <f t="shared" ca="1" si="165"/>
        <v>45175</v>
      </c>
      <c r="AJ607" s="22">
        <f t="shared" ca="1" si="166"/>
        <v>45160</v>
      </c>
      <c r="AK607" s="22">
        <f t="shared" ca="1" si="167"/>
        <v>45103</v>
      </c>
      <c r="AL607" s="22">
        <f t="shared" ca="1" si="168"/>
        <v>45014</v>
      </c>
    </row>
    <row r="608" spans="4:38" x14ac:dyDescent="0.25">
      <c r="D608" s="6">
        <f ca="1"/>
        <v>45188</v>
      </c>
      <c r="E608" s="28" cm="1">
        <f t="array" aca="1" ref="E608" ca="1">_xll.FDS($E$7,"P_PRICE("&amp;D608&amp;",0,D,D)")</f>
        <v>53.65</v>
      </c>
      <c r="F608" s="29" cm="1">
        <f t="array" aca="1" ref="F608" ca="1">_xll.FDS($E$7,"P_BETA_LOCIDX("&amp;$AG608&amp;","&amp;$AL608&amp;",,"""&amp;$E$9&amp;""")")</f>
        <v>1.0612564</v>
      </c>
      <c r="G608" s="30">
        <f t="shared" ca="1" si="154"/>
        <v>6.8857146861086953E-3</v>
      </c>
      <c r="H608" s="30">
        <f t="shared" ca="1" si="154"/>
        <v>-1.9632841265719979E-2</v>
      </c>
      <c r="I608" s="30">
        <f t="shared" ca="1" si="154"/>
        <v>-6.210632391667608E-2</v>
      </c>
      <c r="J608" s="30">
        <f t="shared" ca="1" si="154"/>
        <v>-1.9407442016188131E-2</v>
      </c>
      <c r="K608" s="30">
        <f t="shared" ca="1" si="155"/>
        <v>-4.2693812904816379E-3</v>
      </c>
      <c r="L608" s="30">
        <f t="shared" ca="1" si="155"/>
        <v>-1.2479733152465177E-2</v>
      </c>
      <c r="M608" s="30">
        <f t="shared" ca="1" si="155"/>
        <v>1.0656536080749615E-2</v>
      </c>
      <c r="N608" s="30">
        <f t="shared" ca="1" si="155"/>
        <v>2.3337082734751075E-2</v>
      </c>
      <c r="O608" s="30">
        <f t="shared" ca="1" si="156"/>
        <v>2.6163333956270574E-3</v>
      </c>
      <c r="P608" s="30">
        <f t="shared" ca="1" si="157"/>
        <v>-3.2112574418185158E-2</v>
      </c>
      <c r="Q608" s="30">
        <f t="shared" ca="1" si="158"/>
        <v>-5.1449787835926464E-2</v>
      </c>
      <c r="R608" s="30">
        <f t="shared" ca="1" si="159"/>
        <v>3.9296407185629434E-3</v>
      </c>
      <c r="S608" s="9" cm="1">
        <f t="array" aca="1" ref="S608" ca="1">_xll.FDS($E$7,"P_PRICE("&amp;AG608&amp;",0,D,D)")</f>
        <v>53.65</v>
      </c>
      <c r="T608" s="9" cm="1">
        <f t="array" aca="1" ref="T608" ca="1">_xll.FDS($E$7,"P_PRICE("&amp;AH608&amp;",0,D,D)")</f>
        <v>53.51</v>
      </c>
      <c r="U608" s="9" cm="1">
        <f t="array" aca="1" ref="U608" ca="1">_xll.FDS($E$7,"P_PRICE("&amp;AI608&amp;",0,D,D)")</f>
        <v>55.43</v>
      </c>
      <c r="V608" s="9" cm="1">
        <f t="array" aca="1" ref="V608" ca="1">_xll.FDS($E$7,"P_PRICE("&amp;AJ608&amp;",0,D,D)")</f>
        <v>56.56</v>
      </c>
      <c r="W608" s="9" cm="1">
        <f t="array" aca="1" ref="W608" ca="1">_xll.FDS($E$7,"P_PRICE("&amp;AK608&amp;",0,D,D)")</f>
        <v>53.44</v>
      </c>
      <c r="X608" s="24">
        <f t="shared" ca="1" si="160"/>
        <v>-4.0229498644075434E-3</v>
      </c>
      <c r="Y608" s="24">
        <f t="shared" ca="1" si="161"/>
        <v>-1.1759394951554758E-2</v>
      </c>
      <c r="Z608" s="24">
        <f t="shared" ca="1" si="162"/>
        <v>1.0041433984049108E-2</v>
      </c>
      <c r="AA608" s="24">
        <f t="shared" ca="1" si="163"/>
        <v>2.1990051353048212E-2</v>
      </c>
      <c r="AB608" s="9" cm="1">
        <f t="array" aca="1" ref="AB608" ca="1">_xll.FDS($E$9,"P_PRICE("&amp;AG608&amp;",0,D,D)")</f>
        <v>4443.95</v>
      </c>
      <c r="AC608" s="9" cm="1">
        <f t="array" aca="1" ref="AC608" ca="1">_xll.FDS($E$9,"P_PRICE("&amp;AH608&amp;",0,D,D)")</f>
        <v>4461.8999999999996</v>
      </c>
      <c r="AD608" s="9" cm="1">
        <f t="array" aca="1" ref="AD608" ca="1">_xll.FDS($E$9,"P_PRICE("&amp;AI608&amp;",0,D,D)")</f>
        <v>4496.83</v>
      </c>
      <c r="AE608" s="9" cm="1">
        <f t="array" aca="1" ref="AE608" ca="1">_xll.FDS($E$9,"P_PRICE("&amp;AJ608&amp;",0,D,D)")</f>
        <v>4399.7700000000004</v>
      </c>
      <c r="AF608" s="9" cm="1">
        <f t="array" aca="1" ref="AF608" ca="1">_xll.FDS($E$9,"P_PRICE("&amp;AK608&amp;",0,D,D)")</f>
        <v>4348.33</v>
      </c>
      <c r="AG608" s="20">
        <f t="shared" ca="1" si="169"/>
        <v>45188</v>
      </c>
      <c r="AH608" s="22">
        <f t="shared" ca="1" si="164"/>
        <v>45181</v>
      </c>
      <c r="AI608" s="22">
        <f t="shared" ca="1" si="165"/>
        <v>45174</v>
      </c>
      <c r="AJ608" s="22">
        <f t="shared" ca="1" si="166"/>
        <v>45159</v>
      </c>
      <c r="AK608" s="22">
        <f t="shared" ca="1" si="167"/>
        <v>45100</v>
      </c>
      <c r="AL608" s="22">
        <f t="shared" ca="1" si="168"/>
        <v>45013</v>
      </c>
    </row>
    <row r="609" spans="4:38" x14ac:dyDescent="0.25">
      <c r="D609" s="6">
        <f ca="1"/>
        <v>45187</v>
      </c>
      <c r="E609" s="28" cm="1">
        <f t="array" aca="1" ref="E609" ca="1">_xll.FDS($E$7,"P_PRICE("&amp;D609&amp;",0,D,D)")</f>
        <v>53.51</v>
      </c>
      <c r="F609" s="29" cm="1">
        <f t="array" aca="1" ref="F609" ca="1">_xll.FDS($E$7,"P_BETA_LOCIDX("&amp;$AG609&amp;","&amp;$AL609&amp;",,"""&amp;$E$9&amp;""")")</f>
        <v>1.0641016000000001</v>
      </c>
      <c r="G609" s="30">
        <f t="shared" ca="1" si="154"/>
        <v>-1.101933103153885E-2</v>
      </c>
      <c r="H609" s="30">
        <f t="shared" ca="1" si="154"/>
        <v>-4.9353280500588188E-2</v>
      </c>
      <c r="I609" s="30">
        <f t="shared" ca="1" si="154"/>
        <v>-7.2325187641003472E-2</v>
      </c>
      <c r="J609" s="30">
        <f t="shared" ca="1" si="154"/>
        <v>-1.6461835003627332E-2</v>
      </c>
      <c r="K609" s="30">
        <f t="shared" ca="1" si="155"/>
        <v>-8.0457468786352387E-3</v>
      </c>
      <c r="L609" s="30">
        <f t="shared" ca="1" si="155"/>
        <v>-1.4666310193832015E-2</v>
      </c>
      <c r="M609" s="30">
        <f t="shared" ca="1" si="155"/>
        <v>2.0411651142066545E-2</v>
      </c>
      <c r="N609" s="30">
        <f t="shared" ca="1" si="155"/>
        <v>1.7397113716683874E-2</v>
      </c>
      <c r="O609" s="30">
        <f t="shared" ca="1" si="156"/>
        <v>-1.9065077910174089E-2</v>
      </c>
      <c r="P609" s="30">
        <f t="shared" ca="1" si="157"/>
        <v>-6.4019590694420203E-2</v>
      </c>
      <c r="Q609" s="30">
        <f t="shared" ca="1" si="158"/>
        <v>-5.191353649893693E-2</v>
      </c>
      <c r="R609" s="30">
        <f t="shared" ca="1" si="159"/>
        <v>9.3527871305654209E-4</v>
      </c>
      <c r="S609" s="9" cm="1">
        <f t="array" aca="1" ref="S609" ca="1">_xll.FDS($E$7,"P_PRICE("&amp;AG609&amp;",0,D,D)")</f>
        <v>53.51</v>
      </c>
      <c r="T609" s="9" cm="1">
        <f t="array" aca="1" ref="T609" ca="1">_xll.FDS($E$7,"P_PRICE("&amp;AH609&amp;",0,D,D)")</f>
        <v>54.55</v>
      </c>
      <c r="U609" s="9" cm="1">
        <f t="array" aca="1" ref="U609" ca="1">_xll.FDS($E$7,"P_PRICE("&amp;AI609&amp;",0,D,D)")</f>
        <v>57.17</v>
      </c>
      <c r="V609" s="9" cm="1">
        <f t="array" aca="1" ref="V609" ca="1">_xll.FDS($E$7,"P_PRICE("&amp;AJ609&amp;",0,D,D)")</f>
        <v>56.44</v>
      </c>
      <c r="W609" s="9" cm="1">
        <f t="array" aca="1" ref="W609" ca="1">_xll.FDS($E$7,"P_PRICE("&amp;AK609&amp;",0,D,D)")</f>
        <v>53.46</v>
      </c>
      <c r="X609" s="24">
        <f t="shared" ca="1" si="160"/>
        <v>-7.5610701822412807E-3</v>
      </c>
      <c r="Y609" s="24">
        <f t="shared" ca="1" si="161"/>
        <v>-1.3782810019110969E-2</v>
      </c>
      <c r="Z609" s="24">
        <f t="shared" ca="1" si="162"/>
        <v>1.9182050982788246E-2</v>
      </c>
      <c r="AA609" s="24">
        <f t="shared" ca="1" si="163"/>
        <v>1.6349109630775738E-2</v>
      </c>
      <c r="AB609" s="9" cm="1">
        <f t="array" aca="1" ref="AB609" ca="1">_xll.FDS($E$9,"P_PRICE("&amp;AG609&amp;",0,D,D)")</f>
        <v>4453.53</v>
      </c>
      <c r="AC609" s="9" cm="1">
        <f t="array" aca="1" ref="AC609" ca="1">_xll.FDS($E$9,"P_PRICE("&amp;AH609&amp;",0,D,D)")</f>
        <v>4487.46</v>
      </c>
      <c r="AD609" s="9" cm="1">
        <f t="array" aca="1" ref="AD609" ca="1">_xll.FDS($E$9,"P_PRICE("&amp;AI609&amp;",0,D,D)")</f>
        <v>4515.7700000000004</v>
      </c>
      <c r="AE609" s="9" cm="1">
        <f t="array" aca="1" ref="AE609" ca="1">_xll.FDS($E$9,"P_PRICE("&amp;AJ609&amp;",0,D,D)")</f>
        <v>4369.71</v>
      </c>
      <c r="AF609" s="9" cm="1">
        <f t="array" aca="1" ref="AF609" ca="1">_xll.FDS($E$9,"P_PRICE("&amp;AK609&amp;",0,D,D)")</f>
        <v>4381.8900000000003</v>
      </c>
      <c r="AG609" s="20">
        <f t="shared" ca="1" si="169"/>
        <v>45187</v>
      </c>
      <c r="AH609" s="22">
        <f t="shared" ca="1" si="164"/>
        <v>45180</v>
      </c>
      <c r="AI609" s="22">
        <f t="shared" ca="1" si="165"/>
        <v>45170</v>
      </c>
      <c r="AJ609" s="22">
        <f t="shared" ca="1" si="166"/>
        <v>45156</v>
      </c>
      <c r="AK609" s="22">
        <f t="shared" ca="1" si="167"/>
        <v>45099</v>
      </c>
      <c r="AL609" s="22">
        <f t="shared" ca="1" si="168"/>
        <v>45012</v>
      </c>
    </row>
    <row r="610" spans="4:38" x14ac:dyDescent="0.25">
      <c r="D610" s="6">
        <f ca="1"/>
        <v>45184</v>
      </c>
      <c r="E610" s="28" cm="1">
        <f t="array" aca="1" ref="E610" ca="1">_xll.FDS($E$7,"P_PRICE("&amp;D610&amp;",0,D,D)")</f>
        <v>54.77</v>
      </c>
      <c r="F610" s="29" cm="1">
        <f t="array" aca="1" ref="F610" ca="1">_xll.FDS($E$7,"P_BETA_LOCIDX("&amp;$AG610&amp;","&amp;$AL610&amp;",,"""&amp;$E$9&amp;""")")</f>
        <v>1.0385937999999999</v>
      </c>
      <c r="G610" s="30">
        <f t="shared" ca="1" si="154"/>
        <v>1.8532228437958781E-3</v>
      </c>
      <c r="H610" s="30">
        <f t="shared" ca="1" si="154"/>
        <v>-3.5424938509243359E-2</v>
      </c>
      <c r="I610" s="30">
        <f t="shared" ca="1" si="154"/>
        <v>-4.652339365954046E-2</v>
      </c>
      <c r="J610" s="30">
        <f t="shared" ca="1" si="154"/>
        <v>-1.9144025333034352E-3</v>
      </c>
      <c r="K610" s="30">
        <f t="shared" ca="1" si="155"/>
        <v>-1.6706077963159166E-3</v>
      </c>
      <c r="L610" s="30">
        <f t="shared" ca="1" si="155"/>
        <v>-1.3211504082384227E-2</v>
      </c>
      <c r="M610" s="30">
        <f t="shared" ca="1" si="155"/>
        <v>1.9002086841358696E-2</v>
      </c>
      <c r="N610" s="30">
        <f t="shared" ca="1" si="155"/>
        <v>2.0133402347395243E-2</v>
      </c>
      <c r="O610" s="30">
        <f t="shared" ca="1" si="156"/>
        <v>1.8261504747996149E-4</v>
      </c>
      <c r="P610" s="30">
        <f t="shared" ca="1" si="157"/>
        <v>-4.8636442591627582E-2</v>
      </c>
      <c r="Q610" s="30">
        <f t="shared" ca="1" si="158"/>
        <v>-2.7521306818181768E-2</v>
      </c>
      <c r="R610" s="30">
        <f t="shared" ca="1" si="159"/>
        <v>1.8218999814091807E-2</v>
      </c>
      <c r="S610" s="9" cm="1">
        <f t="array" aca="1" ref="S610" ca="1">_xll.FDS($E$7,"P_PRICE("&amp;AG610&amp;",0,D,D)")</f>
        <v>54.77</v>
      </c>
      <c r="T610" s="9" cm="1">
        <f t="array" aca="1" ref="T610" ca="1">_xll.FDS($E$7,"P_PRICE("&amp;AH610&amp;",0,D,D)")</f>
        <v>54.76</v>
      </c>
      <c r="U610" s="9" cm="1">
        <f t="array" aca="1" ref="U610" ca="1">_xll.FDS($E$7,"P_PRICE("&amp;AI610&amp;",0,D,D)")</f>
        <v>57.57</v>
      </c>
      <c r="V610" s="9" cm="1">
        <f t="array" aca="1" ref="V610" ca="1">_xll.FDS($E$7,"P_PRICE("&amp;AJ610&amp;",0,D,D)")</f>
        <v>56.32</v>
      </c>
      <c r="W610" s="9" cm="1">
        <f t="array" aca="1" ref="W610" ca="1">_xll.FDS($E$7,"P_PRICE("&amp;AK610&amp;",0,D,D)")</f>
        <v>53.79</v>
      </c>
      <c r="X610" s="24">
        <f t="shared" ca="1" si="160"/>
        <v>-1.6085285665251581E-3</v>
      </c>
      <c r="Y610" s="24">
        <f t="shared" ca="1" si="161"/>
        <v>-1.2720568987013237E-2</v>
      </c>
      <c r="Z610" s="24">
        <f t="shared" ca="1" si="162"/>
        <v>1.8295975617569349E-2</v>
      </c>
      <c r="AA610" s="24">
        <f t="shared" ca="1" si="163"/>
        <v>1.9385251815864146E-2</v>
      </c>
      <c r="AB610" s="9" cm="1">
        <f t="array" aca="1" ref="AB610" ca="1">_xll.FDS($E$9,"P_PRICE("&amp;AG610&amp;",0,D,D)")</f>
        <v>4450.32</v>
      </c>
      <c r="AC610" s="9" cm="1">
        <f t="array" aca="1" ref="AC610" ca="1">_xll.FDS($E$9,"P_PRICE("&amp;AH610&amp;",0,D,D)")</f>
        <v>4457.49</v>
      </c>
      <c r="AD610" s="9" cm="1">
        <f t="array" aca="1" ref="AD610" ca="1">_xll.FDS($E$9,"P_PRICE("&amp;AI610&amp;",0,D,D)")</f>
        <v>4507.66</v>
      </c>
      <c r="AE610" s="9" cm="1">
        <f t="array" aca="1" ref="AE610" ca="1">_xll.FDS($E$9,"P_PRICE("&amp;AJ610&amp;",0,D,D)")</f>
        <v>4370.3599999999997</v>
      </c>
      <c r="AF610" s="9" cm="1">
        <f t="array" aca="1" ref="AF610" ca="1">_xll.FDS($E$9,"P_PRICE("&amp;AK610&amp;",0,D,D)")</f>
        <v>4365.6899999999996</v>
      </c>
      <c r="AG610" s="20">
        <f t="shared" ca="1" si="169"/>
        <v>45184</v>
      </c>
      <c r="AH610" s="22">
        <f t="shared" ca="1" si="164"/>
        <v>45177</v>
      </c>
      <c r="AI610" s="22">
        <f t="shared" ca="1" si="165"/>
        <v>45169</v>
      </c>
      <c r="AJ610" s="22">
        <f t="shared" ca="1" si="166"/>
        <v>45155</v>
      </c>
      <c r="AK610" s="22">
        <f t="shared" ca="1" si="167"/>
        <v>45098</v>
      </c>
      <c r="AL610" s="22">
        <f t="shared" ca="1" si="168"/>
        <v>45009</v>
      </c>
    </row>
    <row r="611" spans="4:38" x14ac:dyDescent="0.25">
      <c r="D611" s="6">
        <f ca="1"/>
        <v>45183</v>
      </c>
      <c r="E611" s="28" cm="1">
        <f t="array" aca="1" ref="E611" ca="1">_xll.FDS($E$7,"P_PRICE("&amp;D611&amp;",0,D,D)")</f>
        <v>55.71</v>
      </c>
      <c r="F611" s="29" cm="1">
        <f t="array" aca="1" ref="F611" ca="1">_xll.FDS($E$7,"P_BETA_LOCIDX("&amp;$AG611&amp;","&amp;$AL611&amp;",,"""&amp;$E$9&amp;""")")</f>
        <v>1.0231037999999999</v>
      </c>
      <c r="G611" s="30">
        <f t="shared" ca="1" si="154"/>
        <v>1.3807583038802709E-4</v>
      </c>
      <c r="H611" s="30">
        <f t="shared" ca="1" si="154"/>
        <v>-2.6382382140801481E-2</v>
      </c>
      <c r="I611" s="30">
        <f t="shared" ca="1" si="154"/>
        <v>-5.4033040038263369E-2</v>
      </c>
      <c r="J611" s="30">
        <f t="shared" ca="1" si="154"/>
        <v>2.6982379338658942E-2</v>
      </c>
      <c r="K611" s="30">
        <f t="shared" ca="1" si="155"/>
        <v>1.2402818389895567E-2</v>
      </c>
      <c r="L611" s="30">
        <f t="shared" ca="1" si="155"/>
        <v>-2.2139561329561444E-3</v>
      </c>
      <c r="M611" s="30">
        <f t="shared" ca="1" si="155"/>
        <v>2.3408366295441078E-2</v>
      </c>
      <c r="N611" s="30">
        <f t="shared" ca="1" si="155"/>
        <v>2.713304166417934E-2</v>
      </c>
      <c r="O611" s="30">
        <f t="shared" ca="1" si="156"/>
        <v>1.2540894220283594E-2</v>
      </c>
      <c r="P611" s="30">
        <f t="shared" ca="1" si="157"/>
        <v>-2.8596338273757627E-2</v>
      </c>
      <c r="Q611" s="30">
        <f t="shared" ca="1" si="158"/>
        <v>-3.0624673742822295E-2</v>
      </c>
      <c r="R611" s="30">
        <f t="shared" ca="1" si="159"/>
        <v>5.4115421002838282E-2</v>
      </c>
      <c r="S611" s="9" cm="1">
        <f t="array" aca="1" ref="S611" ca="1">_xll.FDS($E$7,"P_PRICE("&amp;AG611&amp;",0,D,D)")</f>
        <v>55.71</v>
      </c>
      <c r="T611" s="9" cm="1">
        <f t="array" aca="1" ref="T611" ca="1">_xll.FDS($E$7,"P_PRICE("&amp;AH611&amp;",0,D,D)")</f>
        <v>55.02</v>
      </c>
      <c r="U611" s="9" cm="1">
        <f t="array" aca="1" ref="U611" ca="1">_xll.FDS($E$7,"P_PRICE("&amp;AI611&amp;",0,D,D)")</f>
        <v>57.35</v>
      </c>
      <c r="V611" s="9" cm="1">
        <f t="array" aca="1" ref="V611" ca="1">_xll.FDS($E$7,"P_PRICE("&amp;AJ611&amp;",0,D,D)")</f>
        <v>57.47</v>
      </c>
      <c r="W611" s="9" cm="1">
        <f t="array" aca="1" ref="W611" ca="1">_xll.FDS($E$7,"P_PRICE("&amp;AK611&amp;",0,D,D)")</f>
        <v>52.85</v>
      </c>
      <c r="X611" s="24">
        <f t="shared" ca="1" si="160"/>
        <v>1.2122737096563974E-2</v>
      </c>
      <c r="Y611" s="24">
        <f t="shared" ca="1" si="161"/>
        <v>-2.1639604241096011E-3</v>
      </c>
      <c r="Z611" s="24">
        <f t="shared" ca="1" si="162"/>
        <v>2.2879756966439846E-2</v>
      </c>
      <c r="AA611" s="24">
        <f t="shared" ca="1" si="163"/>
        <v>2.6520321461203977E-2</v>
      </c>
      <c r="AB611" s="9" cm="1">
        <f t="array" aca="1" ref="AB611" ca="1">_xll.FDS($E$9,"P_PRICE("&amp;AG611&amp;",0,D,D)")</f>
        <v>4505.1000000000004</v>
      </c>
      <c r="AC611" s="9" cm="1">
        <f t="array" aca="1" ref="AC611" ca="1">_xll.FDS($E$9,"P_PRICE("&amp;AH611&amp;",0,D,D)")</f>
        <v>4451.1400000000003</v>
      </c>
      <c r="AD611" s="9" cm="1">
        <f t="array" aca="1" ref="AD611" ca="1">_xll.FDS($E$9,"P_PRICE("&amp;AI611&amp;",0,D,D)")</f>
        <v>4514.87</v>
      </c>
      <c r="AE611" s="9" cm="1">
        <f t="array" aca="1" ref="AE611" ca="1">_xll.FDS($E$9,"P_PRICE("&amp;AJ611&amp;",0,D,D)")</f>
        <v>4404.33</v>
      </c>
      <c r="AF611" s="9" cm="1">
        <f t="array" aca="1" ref="AF611" ca="1">_xll.FDS($E$9,"P_PRICE("&amp;AK611&amp;",0,D,D)")</f>
        <v>4388.71</v>
      </c>
      <c r="AG611" s="20">
        <f t="shared" ca="1" si="169"/>
        <v>45183</v>
      </c>
      <c r="AH611" s="22">
        <f t="shared" ca="1" si="164"/>
        <v>45176</v>
      </c>
      <c r="AI611" s="22">
        <f t="shared" ca="1" si="165"/>
        <v>45168</v>
      </c>
      <c r="AJ611" s="22">
        <f t="shared" ca="1" si="166"/>
        <v>45154</v>
      </c>
      <c r="AK611" s="22">
        <f t="shared" ca="1" si="167"/>
        <v>45097</v>
      </c>
      <c r="AL611" s="22">
        <f t="shared" ca="1" si="168"/>
        <v>45008</v>
      </c>
    </row>
    <row r="612" spans="4:38" x14ac:dyDescent="0.25">
      <c r="D612" s="6">
        <f ca="1"/>
        <v>45182</v>
      </c>
      <c r="E612" s="28" cm="1">
        <f t="array" aca="1" ref="E612" ca="1">_xll.FDS($E$7,"P_PRICE("&amp;D612&amp;",0,D,D)")</f>
        <v>53.97</v>
      </c>
      <c r="F612" s="29" cm="1">
        <f t="array" aca="1" ref="F612" ca="1">_xll.FDS($E$7,"P_BETA_LOCIDX("&amp;$AG612&amp;","&amp;$AL612&amp;",,"""&amp;$E$9&amp;""")")</f>
        <v>0.95700640000000003</v>
      </c>
      <c r="G612" s="30">
        <f t="shared" ca="1" si="154"/>
        <v>-2.1105952643042297E-2</v>
      </c>
      <c r="H612" s="30">
        <f t="shared" ca="1" si="154"/>
        <v>-5.9839142956371279E-2</v>
      </c>
      <c r="I612" s="30">
        <f t="shared" ca="1" si="154"/>
        <v>-6.8585583012627752E-2</v>
      </c>
      <c r="J612" s="30">
        <f t="shared" ca="1" si="154"/>
        <v>3.0640245617197578E-3</v>
      </c>
      <c r="K612" s="30">
        <f t="shared" ca="1" si="155"/>
        <v>4.2005171762041129E-4</v>
      </c>
      <c r="L612" s="30">
        <f t="shared" ca="1" si="155"/>
        <v>-6.4238328221753929E-3</v>
      </c>
      <c r="M612" s="30">
        <f t="shared" ca="1" si="155"/>
        <v>6.3788062967286129E-3</v>
      </c>
      <c r="N612" s="30">
        <f t="shared" ca="1" si="155"/>
        <v>1.2555094745769957E-2</v>
      </c>
      <c r="O612" s="30">
        <f t="shared" ca="1" si="156"/>
        <v>-2.0685900925421885E-2</v>
      </c>
      <c r="P612" s="30">
        <f t="shared" ca="1" si="157"/>
        <v>-6.6262975778546673E-2</v>
      </c>
      <c r="Q612" s="30">
        <f t="shared" ca="1" si="158"/>
        <v>-6.2206776715899137E-2</v>
      </c>
      <c r="R612" s="30">
        <f t="shared" ca="1" si="159"/>
        <v>1.5619119307489715E-2</v>
      </c>
      <c r="S612" s="9" cm="1">
        <f t="array" aca="1" ref="S612" ca="1">_xll.FDS($E$7,"P_PRICE("&amp;AG612&amp;",0,D,D)")</f>
        <v>53.97</v>
      </c>
      <c r="T612" s="9" cm="1">
        <f t="array" aca="1" ref="T612" ca="1">_xll.FDS($E$7,"P_PRICE("&amp;AH612&amp;",0,D,D)")</f>
        <v>55.11</v>
      </c>
      <c r="U612" s="9" cm="1">
        <f t="array" aca="1" ref="U612" ca="1">_xll.FDS($E$7,"P_PRICE("&amp;AI612&amp;",0,D,D)")</f>
        <v>57.8</v>
      </c>
      <c r="V612" s="9" cm="1">
        <f t="array" aca="1" ref="V612" ca="1">_xll.FDS($E$7,"P_PRICE("&amp;AJ612&amp;",0,D,D)")</f>
        <v>57.55</v>
      </c>
      <c r="W612" s="9" cm="1">
        <f t="array" aca="1" ref="W612" ca="1">_xll.FDS($E$7,"P_PRICE("&amp;AK612&amp;",0,D,D)")</f>
        <v>53.14</v>
      </c>
      <c r="X612" s="24">
        <f t="shared" ca="1" si="160"/>
        <v>4.3892257943145552E-4</v>
      </c>
      <c r="Y612" s="24">
        <f t="shared" ca="1" si="161"/>
        <v>-6.7124240989144823E-3</v>
      </c>
      <c r="Z612" s="24">
        <f t="shared" ca="1" si="162"/>
        <v>6.6653747526961293E-3</v>
      </c>
      <c r="AA612" s="24">
        <f t="shared" ca="1" si="163"/>
        <v>1.3119133524885473E-2</v>
      </c>
      <c r="AB612" s="9" cm="1">
        <f t="array" aca="1" ref="AB612" ca="1">_xll.FDS($E$9,"P_PRICE("&amp;AG612&amp;",0,D,D)")</f>
        <v>4467.4399999999996</v>
      </c>
      <c r="AC612" s="9" cm="1">
        <f t="array" aca="1" ref="AC612" ca="1">_xll.FDS($E$9,"P_PRICE("&amp;AH612&amp;",0,D,D)")</f>
        <v>4465.4799999999996</v>
      </c>
      <c r="AD612" s="9" cm="1">
        <f t="array" aca="1" ref="AD612" ca="1">_xll.FDS($E$9,"P_PRICE("&amp;AI612&amp;",0,D,D)")</f>
        <v>4497.63</v>
      </c>
      <c r="AE612" s="9" cm="1">
        <f t="array" aca="1" ref="AE612" ca="1">_xll.FDS($E$9,"P_PRICE("&amp;AJ612&amp;",0,D,D)")</f>
        <v>4437.8599999999997</v>
      </c>
      <c r="AF612" s="9" cm="1">
        <f t="array" aca="1" ref="AF612" ca="1">_xll.FDS($E$9,"P_PRICE("&amp;AK612&amp;",0,D,D)")</f>
        <v>4409.59</v>
      </c>
      <c r="AG612" s="20">
        <f t="shared" ca="1" si="169"/>
        <v>45182</v>
      </c>
      <c r="AH612" s="22">
        <f t="shared" ca="1" si="164"/>
        <v>45175</v>
      </c>
      <c r="AI612" s="22">
        <f t="shared" ca="1" si="165"/>
        <v>45167</v>
      </c>
      <c r="AJ612" s="22">
        <f t="shared" ca="1" si="166"/>
        <v>45153</v>
      </c>
      <c r="AK612" s="22">
        <f t="shared" ca="1" si="167"/>
        <v>45093</v>
      </c>
      <c r="AL612" s="22">
        <f t="shared" ca="1" si="168"/>
        <v>45007</v>
      </c>
    </row>
    <row r="613" spans="4:38" x14ac:dyDescent="0.25">
      <c r="D613" s="6">
        <f ca="1"/>
        <v>45181</v>
      </c>
      <c r="E613" s="28" cm="1">
        <f t="array" aca="1" ref="E613" ca="1">_xll.FDS($E$7,"P_PRICE("&amp;D613&amp;",0,D,D)")</f>
        <v>53.51</v>
      </c>
      <c r="F613" s="29" cm="1">
        <f t="array" aca="1" ref="F613" ca="1">_xll.FDS($E$7,"P_BETA_LOCIDX("&amp;$AG613&amp;","&amp;$AL613&amp;",,"""&amp;$E$9&amp;""")")</f>
        <v>0.97696070000000002</v>
      </c>
      <c r="G613" s="30">
        <f t="shared" ca="1" si="154"/>
        <v>-2.7049550622689551E-2</v>
      </c>
      <c r="H613" s="30">
        <f t="shared" ca="1" si="154"/>
        <v>-7.5367829578979556E-2</v>
      </c>
      <c r="I613" s="30">
        <f t="shared" ca="1" si="154"/>
        <v>-7.4372572764829115E-2</v>
      </c>
      <c r="J613" s="30">
        <f t="shared" ca="1" si="154"/>
        <v>6.8324475852316428E-3</v>
      </c>
      <c r="K613" s="30">
        <f t="shared" ca="1" si="155"/>
        <v>-7.5887318958022176E-3</v>
      </c>
      <c r="L613" s="30">
        <f t="shared" ca="1" si="155"/>
        <v>6.300327839244035E-3</v>
      </c>
      <c r="M613" s="30">
        <f t="shared" ca="1" si="155"/>
        <v>-6.0536173021926718E-3</v>
      </c>
      <c r="N613" s="30">
        <f t="shared" ca="1" si="155"/>
        <v>7.9598907420962046E-3</v>
      </c>
      <c r="O613" s="30">
        <f t="shared" ca="1" si="156"/>
        <v>-3.463828251849177E-2</v>
      </c>
      <c r="P613" s="30">
        <f t="shared" ca="1" si="157"/>
        <v>-6.9067501739735526E-2</v>
      </c>
      <c r="Q613" s="30">
        <f t="shared" ca="1" si="158"/>
        <v>-8.0426190067021786E-2</v>
      </c>
      <c r="R613" s="30">
        <f t="shared" ca="1" si="159"/>
        <v>1.4792338327327847E-2</v>
      </c>
      <c r="S613" s="9" cm="1">
        <f t="array" aca="1" ref="S613" ca="1">_xll.FDS($E$7,"P_PRICE("&amp;AG613&amp;",0,D,D)")</f>
        <v>53.51</v>
      </c>
      <c r="T613" s="9" cm="1">
        <f t="array" aca="1" ref="T613" ca="1">_xll.FDS($E$7,"P_PRICE("&amp;AH613&amp;",0,D,D)")</f>
        <v>55.43</v>
      </c>
      <c r="U613" s="9" cm="1">
        <f t="array" aca="1" ref="U613" ca="1">_xll.FDS($E$7,"P_PRICE("&amp;AI613&amp;",0,D,D)")</f>
        <v>57.48</v>
      </c>
      <c r="V613" s="9" cm="1">
        <f t="array" aca="1" ref="V613" ca="1">_xll.FDS($E$7,"P_PRICE("&amp;AJ613&amp;",0,D,D)")</f>
        <v>58.19</v>
      </c>
      <c r="W613" s="9" cm="1">
        <f t="array" aca="1" ref="W613" ca="1">_xll.FDS($E$7,"P_PRICE("&amp;AK613&amp;",0,D,D)")</f>
        <v>52.73</v>
      </c>
      <c r="X613" s="24">
        <f t="shared" ca="1" si="160"/>
        <v>-7.7676941311991543E-3</v>
      </c>
      <c r="Y613" s="24">
        <f t="shared" ca="1" si="161"/>
        <v>6.4489061220620592E-3</v>
      </c>
      <c r="Z613" s="24">
        <f t="shared" ca="1" si="162"/>
        <v>-6.1963775023833323E-3</v>
      </c>
      <c r="AA613" s="24">
        <f t="shared" ca="1" si="163"/>
        <v>8.1476058782059546E-3</v>
      </c>
      <c r="AB613" s="9" cm="1">
        <f t="array" aca="1" ref="AB613" ca="1">_xll.FDS($E$9,"P_PRICE("&amp;AG613&amp;",0,D,D)")</f>
        <v>4461.8999999999996</v>
      </c>
      <c r="AC613" s="9" cm="1">
        <f t="array" aca="1" ref="AC613" ca="1">_xll.FDS($E$9,"P_PRICE("&amp;AH613&amp;",0,D,D)")</f>
        <v>4496.83</v>
      </c>
      <c r="AD613" s="9" cm="1">
        <f t="array" aca="1" ref="AD613" ca="1">_xll.FDS($E$9,"P_PRICE("&amp;AI613&amp;",0,D,D)")</f>
        <v>4433.3100000000004</v>
      </c>
      <c r="AE613" s="9" cm="1">
        <f t="array" aca="1" ref="AE613" ca="1">_xll.FDS($E$9,"P_PRICE("&amp;AJ613&amp;",0,D,D)")</f>
        <v>4489.72</v>
      </c>
      <c r="AF613" s="9" cm="1">
        <f t="array" aca="1" ref="AF613" ca="1">_xll.FDS($E$9,"P_PRICE("&amp;AK613&amp;",0,D,D)")</f>
        <v>4425.84</v>
      </c>
      <c r="AG613" s="20">
        <f t="shared" ca="1" si="169"/>
        <v>45181</v>
      </c>
      <c r="AH613" s="22">
        <f t="shared" ca="1" si="164"/>
        <v>45174</v>
      </c>
      <c r="AI613" s="22">
        <f t="shared" ca="1" si="165"/>
        <v>45166</v>
      </c>
      <c r="AJ613" s="22">
        <f t="shared" ca="1" si="166"/>
        <v>45152</v>
      </c>
      <c r="AK613" s="22">
        <f t="shared" ca="1" si="167"/>
        <v>45092</v>
      </c>
      <c r="AL613" s="22">
        <f t="shared" ca="1" si="168"/>
        <v>45006</v>
      </c>
    </row>
    <row r="614" spans="4:38" x14ac:dyDescent="0.25">
      <c r="D614" s="6">
        <f ca="1"/>
        <v>45180</v>
      </c>
      <c r="E614" s="28" cm="1">
        <f t="array" aca="1" ref="E614" ca="1">_xll.FDS($E$7,"P_PRICE("&amp;D614&amp;",0,D,D)")</f>
        <v>54.55</v>
      </c>
      <c r="F614" s="29" cm="1">
        <f t="array" aca="1" ref="F614" ca="1">_xll.FDS($E$7,"P_BETA_LOCIDX("&amp;$AG614&amp;","&amp;$AL614&amp;",,"""&amp;$E$9&amp;""")")</f>
        <v>0.98278624000000003</v>
      </c>
      <c r="G614" s="30">
        <f t="shared" ca="1" si="154"/>
        <v>-3.9667005829072413E-2</v>
      </c>
      <c r="H614" s="30">
        <f t="shared" ca="1" si="154"/>
        <v>-6.6229075387923775E-2</v>
      </c>
      <c r="I614" s="30">
        <f t="shared" ca="1" si="154"/>
        <v>-6.6255394973182585E-2</v>
      </c>
      <c r="J614" s="30">
        <f t="shared" ca="1" si="154"/>
        <v>2.2011169894453224E-2</v>
      </c>
      <c r="K614" s="30">
        <f t="shared" ca="1" si="155"/>
        <v>-6.1612257609224156E-3</v>
      </c>
      <c r="L614" s="30">
        <f t="shared" ca="1" si="155"/>
        <v>1.8236056190716114E-2</v>
      </c>
      <c r="M614" s="30">
        <f t="shared" ca="1" si="155"/>
        <v>5.1538459198261716E-3</v>
      </c>
      <c r="N614" s="30">
        <f t="shared" ca="1" si="155"/>
        <v>2.5818257689104125E-2</v>
      </c>
      <c r="O614" s="30">
        <f t="shared" ca="1" si="156"/>
        <v>-4.5828231589994828E-2</v>
      </c>
      <c r="P614" s="30">
        <f t="shared" ca="1" si="157"/>
        <v>-4.7993019197207665E-2</v>
      </c>
      <c r="Q614" s="30">
        <f t="shared" ca="1" si="158"/>
        <v>-6.1101549053356408E-2</v>
      </c>
      <c r="R614" s="30">
        <f t="shared" ca="1" si="159"/>
        <v>4.7829427583557349E-2</v>
      </c>
      <c r="S614" s="9" cm="1">
        <f t="array" aca="1" ref="S614" ca="1">_xll.FDS($E$7,"P_PRICE("&amp;AG614&amp;",0,D,D)")</f>
        <v>54.55</v>
      </c>
      <c r="T614" s="9" cm="1">
        <f t="array" aca="1" ref="T614" ca="1">_xll.FDS($E$7,"P_PRICE("&amp;AH614&amp;",0,D,D)")</f>
        <v>57.17</v>
      </c>
      <c r="U614" s="9" cm="1">
        <f t="array" aca="1" ref="U614" ca="1">_xll.FDS($E$7,"P_PRICE("&amp;AI614&amp;",0,D,D)")</f>
        <v>57.3</v>
      </c>
      <c r="V614" s="9" cm="1">
        <f t="array" aca="1" ref="V614" ca="1">_xll.FDS($E$7,"P_PRICE("&amp;AJ614&amp;",0,D,D)")</f>
        <v>58.1</v>
      </c>
      <c r="W614" s="9" cm="1">
        <f t="array" aca="1" ref="W614" ca="1">_xll.FDS($E$7,"P_PRICE("&amp;AK614&amp;",0,D,D)")</f>
        <v>52.06</v>
      </c>
      <c r="X614" s="24">
        <f t="shared" ca="1" si="160"/>
        <v>-6.2691412538726787E-3</v>
      </c>
      <c r="Y614" s="24">
        <f t="shared" ca="1" si="161"/>
        <v>1.8555465520880832E-2</v>
      </c>
      <c r="Z614" s="24">
        <f t="shared" ca="1" si="162"/>
        <v>5.2441168893717638E-3</v>
      </c>
      <c r="AA614" s="24">
        <f t="shared" ca="1" si="163"/>
        <v>2.6270471276748975E-2</v>
      </c>
      <c r="AB614" s="9" cm="1">
        <f t="array" aca="1" ref="AB614" ca="1">_xll.FDS($E$9,"P_PRICE("&amp;AG614&amp;",0,D,D)")</f>
        <v>4487.46</v>
      </c>
      <c r="AC614" s="9" cm="1">
        <f t="array" aca="1" ref="AC614" ca="1">_xll.FDS($E$9,"P_PRICE("&amp;AH614&amp;",0,D,D)")</f>
        <v>4515.7700000000004</v>
      </c>
      <c r="AD614" s="9" cm="1">
        <f t="array" aca="1" ref="AD614" ca="1">_xll.FDS($E$9,"P_PRICE("&amp;AI614&amp;",0,D,D)")</f>
        <v>4405.71</v>
      </c>
      <c r="AE614" s="9" cm="1">
        <f t="array" aca="1" ref="AE614" ca="1">_xll.FDS($E$9,"P_PRICE("&amp;AJ614&amp;",0,D,D)")</f>
        <v>4464.05</v>
      </c>
      <c r="AF614" s="9" cm="1">
        <f t="array" aca="1" ref="AF614" ca="1">_xll.FDS($E$9,"P_PRICE("&amp;AK614&amp;",0,D,D)")</f>
        <v>4372.59</v>
      </c>
      <c r="AG614" s="20">
        <f t="shared" ca="1" si="169"/>
        <v>45180</v>
      </c>
      <c r="AH614" s="22">
        <f t="shared" ca="1" si="164"/>
        <v>45170</v>
      </c>
      <c r="AI614" s="22">
        <f t="shared" ca="1" si="165"/>
        <v>45163</v>
      </c>
      <c r="AJ614" s="22">
        <f t="shared" ca="1" si="166"/>
        <v>45149</v>
      </c>
      <c r="AK614" s="22">
        <f t="shared" ca="1" si="167"/>
        <v>45091</v>
      </c>
      <c r="AL614" s="22">
        <f t="shared" ca="1" si="168"/>
        <v>45005</v>
      </c>
    </row>
    <row r="615" spans="4:38" x14ac:dyDescent="0.25">
      <c r="D615" s="6">
        <f ca="1"/>
        <v>45177</v>
      </c>
      <c r="E615" s="28" cm="1">
        <f t="array" aca="1" ref="E615" ca="1">_xll.FDS($E$7,"P_PRICE("&amp;D615&amp;",0,D,D)")</f>
        <v>54.76</v>
      </c>
      <c r="F615" s="29" cm="1">
        <f t="array" aca="1" ref="F615" ca="1">_xll.FDS($E$7,"P_BETA_LOCIDX("&amp;$AG615&amp;","&amp;$AL615&amp;",,"""&amp;$E$9&amp;""")")</f>
        <v>1.0003979999999999</v>
      </c>
      <c r="G615" s="30">
        <f t="shared" ca="1" si="154"/>
        <v>-3.7675771202744644E-2</v>
      </c>
      <c r="H615" s="30">
        <f t="shared" ca="1" si="154"/>
        <v>-5.5320669548035314E-2</v>
      </c>
      <c r="I615" s="30">
        <f t="shared" ca="1" si="154"/>
        <v>-5.9790180217990367E-2</v>
      </c>
      <c r="J615" s="30">
        <f t="shared" ca="1" si="154"/>
        <v>7.3846106410283635E-2</v>
      </c>
      <c r="K615" s="30">
        <f t="shared" ca="1" si="155"/>
        <v>-1.1134372969567352E-2</v>
      </c>
      <c r="L615" s="30">
        <f t="shared" ca="1" si="155"/>
        <v>1.8557257059029147E-2</v>
      </c>
      <c r="M615" s="30">
        <f t="shared" ca="1" si="155"/>
        <v>-2.5385869052973521E-3</v>
      </c>
      <c r="N615" s="30">
        <f t="shared" ca="1" si="155"/>
        <v>2.0259787695610463E-2</v>
      </c>
      <c r="O615" s="30">
        <f t="shared" ca="1" si="156"/>
        <v>-4.8810144172311998E-2</v>
      </c>
      <c r="P615" s="30">
        <f t="shared" ca="1" si="157"/>
        <v>-3.6763412489006164E-2</v>
      </c>
      <c r="Q615" s="30">
        <f t="shared" ca="1" si="158"/>
        <v>-6.2328767123287721E-2</v>
      </c>
      <c r="R615" s="30">
        <f t="shared" ca="1" si="159"/>
        <v>9.4105894105894095E-2</v>
      </c>
      <c r="S615" s="9" cm="1">
        <f t="array" aca="1" ref="S615" ca="1">_xll.FDS($E$7,"P_PRICE("&amp;AG615&amp;",0,D,D)")</f>
        <v>54.76</v>
      </c>
      <c r="T615" s="9" cm="1">
        <f t="array" aca="1" ref="T615" ca="1">_xll.FDS($E$7,"P_PRICE("&amp;AH615&amp;",0,D,D)")</f>
        <v>57.57</v>
      </c>
      <c r="U615" s="9" cm="1">
        <f t="array" aca="1" ref="U615" ca="1">_xll.FDS($E$7,"P_PRICE("&amp;AI615&amp;",0,D,D)")</f>
        <v>56.85</v>
      </c>
      <c r="V615" s="9" cm="1">
        <f t="array" aca="1" ref="V615" ca="1">_xll.FDS($E$7,"P_PRICE("&amp;AJ615&amp;",0,D,D)")</f>
        <v>58.4</v>
      </c>
      <c r="W615" s="9" cm="1">
        <f t="array" aca="1" ref="W615" ca="1">_xll.FDS($E$7,"P_PRICE("&amp;AK615&amp;",0,D,D)")</f>
        <v>50.05</v>
      </c>
      <c r="X615" s="24">
        <f t="shared" ca="1" si="160"/>
        <v>-1.1129943252152996E-2</v>
      </c>
      <c r="Y615" s="24">
        <f t="shared" ca="1" si="161"/>
        <v>1.8549874209093931E-2</v>
      </c>
      <c r="Z615" s="24">
        <f t="shared" ca="1" si="162"/>
        <v>-2.5375769496713829E-3</v>
      </c>
      <c r="AA615" s="24">
        <f t="shared" ca="1" si="163"/>
        <v>2.0251727508062256E-2</v>
      </c>
      <c r="AB615" s="9" cm="1">
        <f t="array" aca="1" ref="AB615" ca="1">_xll.FDS($E$9,"P_PRICE("&amp;AG615&amp;",0,D,D)")</f>
        <v>4457.49</v>
      </c>
      <c r="AC615" s="9" cm="1">
        <f t="array" aca="1" ref="AC615" ca="1">_xll.FDS($E$9,"P_PRICE("&amp;AH615&amp;",0,D,D)")</f>
        <v>4507.66</v>
      </c>
      <c r="AD615" s="9" cm="1">
        <f t="array" aca="1" ref="AD615" ca="1">_xll.FDS($E$9,"P_PRICE("&amp;AI615&amp;",0,D,D)")</f>
        <v>4376.3100000000004</v>
      </c>
      <c r="AE615" s="9" cm="1">
        <f t="array" aca="1" ref="AE615" ca="1">_xll.FDS($E$9,"P_PRICE("&amp;AJ615&amp;",0,D,D)")</f>
        <v>4468.83</v>
      </c>
      <c r="AF615" s="9" cm="1">
        <f t="array" aca="1" ref="AF615" ca="1">_xll.FDS($E$9,"P_PRICE("&amp;AK615&amp;",0,D,D)")</f>
        <v>4369.01</v>
      </c>
      <c r="AG615" s="20">
        <f t="shared" ca="1" si="169"/>
        <v>45177</v>
      </c>
      <c r="AH615" s="22">
        <f t="shared" ca="1" si="164"/>
        <v>45169</v>
      </c>
      <c r="AI615" s="22">
        <f t="shared" ca="1" si="165"/>
        <v>45162</v>
      </c>
      <c r="AJ615" s="22">
        <f t="shared" ca="1" si="166"/>
        <v>45148</v>
      </c>
      <c r="AK615" s="22">
        <f t="shared" ca="1" si="167"/>
        <v>45090</v>
      </c>
      <c r="AL615" s="22">
        <f t="shared" ca="1" si="168"/>
        <v>45002</v>
      </c>
    </row>
    <row r="616" spans="4:38" x14ac:dyDescent="0.25">
      <c r="D616" s="6">
        <f ca="1"/>
        <v>45176</v>
      </c>
      <c r="E616" s="28" cm="1">
        <f t="array" aca="1" ref="E616" ca="1">_xll.FDS($E$7,"P_PRICE("&amp;D616&amp;",0,D,D)")</f>
        <v>55.02</v>
      </c>
      <c r="F616" s="29" cm="1">
        <f t="array" aca="1" ref="F616" ca="1">_xll.FDS($E$7,"P_BETA_LOCIDX("&amp;$AG616&amp;","&amp;$AL616&amp;",,"""&amp;$E$9&amp;""")")</f>
        <v>0.99267894000000001</v>
      </c>
      <c r="G616" s="30">
        <f t="shared" ca="1" si="154"/>
        <v>-2.6615487414080853E-2</v>
      </c>
      <c r="H616" s="30">
        <f t="shared" ca="1" si="154"/>
        <v>-5.2798330340542224E-2</v>
      </c>
      <c r="I616" s="30">
        <f t="shared" ca="1" si="154"/>
        <v>-5.9488758430971365E-2</v>
      </c>
      <c r="J616" s="30">
        <f t="shared" ca="1" si="154"/>
        <v>8.2262067738619271E-2</v>
      </c>
      <c r="K616" s="30">
        <f t="shared" ca="1" si="155"/>
        <v>-1.4012237084611376E-2</v>
      </c>
      <c r="L616" s="30">
        <f t="shared" ca="1" si="155"/>
        <v>3.3857525934793548E-3</v>
      </c>
      <c r="M616" s="30">
        <f t="shared" ca="1" si="155"/>
        <v>-3.6816825702204819E-3</v>
      </c>
      <c r="N616" s="30">
        <f t="shared" ca="1" si="155"/>
        <v>2.5671883127268813E-2</v>
      </c>
      <c r="O616" s="30">
        <f t="shared" ca="1" si="156"/>
        <v>-4.062772449869223E-2</v>
      </c>
      <c r="P616" s="30">
        <f t="shared" ca="1" si="157"/>
        <v>-4.9412577747062869E-2</v>
      </c>
      <c r="Q616" s="30">
        <f t="shared" ca="1" si="158"/>
        <v>-6.3170441001191846E-2</v>
      </c>
      <c r="R616" s="30">
        <f t="shared" ca="1" si="159"/>
        <v>0.10793395086588808</v>
      </c>
      <c r="S616" s="9" cm="1">
        <f t="array" aca="1" ref="S616" ca="1">_xll.FDS($E$7,"P_PRICE("&amp;AG616&amp;",0,D,D)")</f>
        <v>55.02</v>
      </c>
      <c r="T616" s="9" cm="1">
        <f t="array" aca="1" ref="T616" ca="1">_xll.FDS($E$7,"P_PRICE("&amp;AH616&amp;",0,D,D)")</f>
        <v>57.35</v>
      </c>
      <c r="U616" s="9" cm="1">
        <f t="array" aca="1" ref="U616" ca="1">_xll.FDS($E$7,"P_PRICE("&amp;AI616&amp;",0,D,D)")</f>
        <v>57.88</v>
      </c>
      <c r="V616" s="9" cm="1">
        <f t="array" aca="1" ref="V616" ca="1">_xll.FDS($E$7,"P_PRICE("&amp;AJ616&amp;",0,D,D)")</f>
        <v>58.73</v>
      </c>
      <c r="W616" s="9" cm="1">
        <f t="array" aca="1" ref="W616" ca="1">_xll.FDS($E$7,"P_PRICE("&amp;AK616&amp;",0,D,D)")</f>
        <v>49.66</v>
      </c>
      <c r="X616" s="24">
        <f t="shared" ca="1" si="160"/>
        <v>-1.4115578078659929E-2</v>
      </c>
      <c r="Y616" s="24">
        <f t="shared" ca="1" si="161"/>
        <v>3.4107226990021111E-3</v>
      </c>
      <c r="Z616" s="24">
        <f t="shared" ca="1" si="162"/>
        <v>-3.7088351750672599E-3</v>
      </c>
      <c r="AA616" s="24">
        <f t="shared" ca="1" si="163"/>
        <v>2.5861214631257123E-2</v>
      </c>
      <c r="AB616" s="9" cm="1">
        <f t="array" aca="1" ref="AB616" ca="1">_xll.FDS($E$9,"P_PRICE("&amp;AG616&amp;",0,D,D)")</f>
        <v>4451.1400000000003</v>
      </c>
      <c r="AC616" s="9" cm="1">
        <f t="array" aca="1" ref="AC616" ca="1">_xll.FDS($E$9,"P_PRICE("&amp;AH616&amp;",0,D,D)")</f>
        <v>4514.87</v>
      </c>
      <c r="AD616" s="9" cm="1">
        <f t="array" aca="1" ref="AD616" ca="1">_xll.FDS($E$9,"P_PRICE("&amp;AI616&amp;",0,D,D)")</f>
        <v>4436.01</v>
      </c>
      <c r="AE616" s="9" cm="1">
        <f t="array" aca="1" ref="AE616" ca="1">_xll.FDS($E$9,"P_PRICE("&amp;AJ616&amp;",0,D,D)")</f>
        <v>4467.71</v>
      </c>
      <c r="AF616" s="9" cm="1">
        <f t="array" aca="1" ref="AF616" ca="1">_xll.FDS($E$9,"P_PRICE("&amp;AK616&amp;",0,D,D)")</f>
        <v>4338.93</v>
      </c>
      <c r="AG616" s="20">
        <f t="shared" ca="1" si="169"/>
        <v>45176</v>
      </c>
      <c r="AH616" s="22">
        <f t="shared" ca="1" si="164"/>
        <v>45168</v>
      </c>
      <c r="AI616" s="22">
        <f t="shared" ca="1" si="165"/>
        <v>45161</v>
      </c>
      <c r="AJ616" s="22">
        <f t="shared" ca="1" si="166"/>
        <v>45147</v>
      </c>
      <c r="AK616" s="22">
        <f t="shared" ca="1" si="167"/>
        <v>45089</v>
      </c>
      <c r="AL616" s="22">
        <f t="shared" ca="1" si="168"/>
        <v>45001</v>
      </c>
    </row>
    <row r="617" spans="4:38" x14ac:dyDescent="0.25">
      <c r="D617" s="6">
        <f ca="1"/>
        <v>45175</v>
      </c>
      <c r="E617" s="28" cm="1">
        <f t="array" aca="1" ref="E617" ca="1">_xll.FDS($E$7,"P_PRICE("&amp;D617&amp;",0,D,D)")</f>
        <v>55.11</v>
      </c>
      <c r="F617" s="29" cm="1">
        <f t="array" aca="1" ref="F617" ca="1">_xll.FDS($E$7,"P_BETA_LOCIDX("&amp;$AG617&amp;","&amp;$AL617&amp;",,"""&amp;$E$9&amp;""")")</f>
        <v>1.0347158000000001</v>
      </c>
      <c r="G617" s="30">
        <f t="shared" ca="1" si="154"/>
        <v>-3.9143427419771205E-2</v>
      </c>
      <c r="H617" s="30">
        <f t="shared" ca="1" si="154"/>
        <v>-5.508509925919268E-2</v>
      </c>
      <c r="I617" s="30">
        <f t="shared" ca="1" si="154"/>
        <v>-7.0323839366154037E-2</v>
      </c>
      <c r="J617" s="30">
        <f t="shared" ca="1" si="154"/>
        <v>9.1749923772894829E-2</v>
      </c>
      <c r="K617" s="30">
        <f t="shared" ca="1" si="155"/>
        <v>-7.3963649677720395E-3</v>
      </c>
      <c r="L617" s="30">
        <f t="shared" ca="1" si="155"/>
        <v>1.8378229830771073E-2</v>
      </c>
      <c r="M617" s="30">
        <f t="shared" ca="1" si="155"/>
        <v>-7.7959331330095406E-3</v>
      </c>
      <c r="N617" s="30">
        <f t="shared" ca="1" si="155"/>
        <v>4.0104666492046678E-2</v>
      </c>
      <c r="O617" s="30">
        <f t="shared" ca="1" si="156"/>
        <v>-4.6539792387543244E-2</v>
      </c>
      <c r="P617" s="30">
        <f t="shared" ca="1" si="157"/>
        <v>-3.6706869428421607E-2</v>
      </c>
      <c r="Q617" s="30">
        <f t="shared" ca="1" si="158"/>
        <v>-7.8119772499163576E-2</v>
      </c>
      <c r="R617" s="30">
        <f t="shared" ca="1" si="159"/>
        <v>0.13185459026494151</v>
      </c>
      <c r="S617" s="9" cm="1">
        <f t="array" aca="1" ref="S617" ca="1">_xll.FDS($E$7,"P_PRICE("&amp;AG617&amp;",0,D,D)")</f>
        <v>55.11</v>
      </c>
      <c r="T617" s="9" cm="1">
        <f t="array" aca="1" ref="T617" ca="1">_xll.FDS($E$7,"P_PRICE("&amp;AH617&amp;",0,D,D)")</f>
        <v>57.8</v>
      </c>
      <c r="U617" s="9" cm="1">
        <f t="array" aca="1" ref="U617" ca="1">_xll.FDS($E$7,"P_PRICE("&amp;AI617&amp;",0,D,D)")</f>
        <v>57.21</v>
      </c>
      <c r="V617" s="9" cm="1">
        <f t="array" aca="1" ref="V617" ca="1">_xll.FDS($E$7,"P_PRICE("&amp;AJ617&amp;",0,D,D)")</f>
        <v>59.78</v>
      </c>
      <c r="W617" s="9" cm="1">
        <f t="array" aca="1" ref="W617" ca="1">_xll.FDS($E$7,"P_PRICE("&amp;AK617&amp;",0,D,D)")</f>
        <v>48.69</v>
      </c>
      <c r="X617" s="24">
        <f t="shared" ca="1" si="160"/>
        <v>-7.1482091679396786E-3</v>
      </c>
      <c r="Y617" s="24">
        <f t="shared" ca="1" si="161"/>
        <v>1.7761620950188517E-2</v>
      </c>
      <c r="Z617" s="24">
        <f t="shared" ca="1" si="162"/>
        <v>-7.5343714022821917E-3</v>
      </c>
      <c r="AA617" s="24">
        <f t="shared" ca="1" si="163"/>
        <v>3.8759112881089353E-2</v>
      </c>
      <c r="AB617" s="9" cm="1">
        <f t="array" aca="1" ref="AB617" ca="1">_xll.FDS($E$9,"P_PRICE("&amp;AG617&amp;",0,D,D)")</f>
        <v>4465.4799999999996</v>
      </c>
      <c r="AC617" s="9" cm="1">
        <f t="array" aca="1" ref="AC617" ca="1">_xll.FDS($E$9,"P_PRICE("&amp;AH617&amp;",0,D,D)")</f>
        <v>4497.63</v>
      </c>
      <c r="AD617" s="9" cm="1">
        <f t="array" aca="1" ref="AD617" ca="1">_xll.FDS($E$9,"P_PRICE("&amp;AI617&amp;",0,D,D)")</f>
        <v>4387.55</v>
      </c>
      <c r="AE617" s="9" cm="1">
        <f t="array" aca="1" ref="AE617" ca="1">_xll.FDS($E$9,"P_PRICE("&amp;AJ617&amp;",0,D,D)")</f>
        <v>4499.38</v>
      </c>
      <c r="AF617" s="9" cm="1">
        <f t="array" aca="1" ref="AF617" ca="1">_xll.FDS($E$9,"P_PRICE("&amp;AK617&amp;",0,D,D)")</f>
        <v>4298.8599999999997</v>
      </c>
      <c r="AG617" s="20">
        <f t="shared" ca="1" si="169"/>
        <v>45175</v>
      </c>
      <c r="AH617" s="22">
        <f t="shared" ca="1" si="164"/>
        <v>45167</v>
      </c>
      <c r="AI617" s="22">
        <f t="shared" ca="1" si="165"/>
        <v>45160</v>
      </c>
      <c r="AJ617" s="22">
        <f t="shared" ca="1" si="166"/>
        <v>45146</v>
      </c>
      <c r="AK617" s="22">
        <f t="shared" ca="1" si="167"/>
        <v>45086</v>
      </c>
      <c r="AL617" s="22">
        <f t="shared" ca="1" si="168"/>
        <v>45000</v>
      </c>
    </row>
    <row r="618" spans="4:38" x14ac:dyDescent="0.25">
      <c r="D618" s="6">
        <f ca="1"/>
        <v>45174</v>
      </c>
      <c r="E618" s="28" cm="1">
        <f t="array" aca="1" ref="E618" ca="1">_xll.FDS($E$7,"P_PRICE("&amp;D618&amp;",0,D,D)")</f>
        <v>55.43</v>
      </c>
      <c r="F618" s="29" cm="1">
        <f t="array" aca="1" ref="F618" ca="1">_xll.FDS($E$7,"P_BETA_LOCIDX("&amp;$AG618&amp;","&amp;$AL618&amp;",,"""&amp;$E$9&amp;""")")</f>
        <v>1.0608333000000001</v>
      </c>
      <c r="G618" s="30">
        <f t="shared" ca="1" si="154"/>
        <v>-5.086408707523972E-2</v>
      </c>
      <c r="H618" s="30">
        <f t="shared" ca="1" si="154"/>
        <v>-4.338102509572353E-2</v>
      </c>
      <c r="I618" s="30">
        <f t="shared" ca="1" si="154"/>
        <v>-7.1708578338862919E-2</v>
      </c>
      <c r="J618" s="30">
        <f t="shared" ca="1" si="154"/>
        <v>6.899243490185937E-2</v>
      </c>
      <c r="K618" s="30">
        <f t="shared" ca="1" si="155"/>
        <v>1.519950809124539E-2</v>
      </c>
      <c r="L618" s="30">
        <f t="shared" ca="1" si="155"/>
        <v>2.3402241503078486E-2</v>
      </c>
      <c r="M618" s="30">
        <f t="shared" ca="1" si="155"/>
        <v>-5.0735668976460225E-3</v>
      </c>
      <c r="N618" s="30">
        <f t="shared" ca="1" si="155"/>
        <v>5.0127290517078635E-2</v>
      </c>
      <c r="O618" s="30">
        <f t="shared" ca="1" si="156"/>
        <v>-3.5664578983994333E-2</v>
      </c>
      <c r="P618" s="30">
        <f t="shared" ca="1" si="157"/>
        <v>-1.9978783592645044E-2</v>
      </c>
      <c r="Q618" s="30">
        <f t="shared" ca="1" si="158"/>
        <v>-7.6782145236508947E-2</v>
      </c>
      <c r="R618" s="30">
        <f t="shared" ca="1" si="159"/>
        <v>0.11911972541893801</v>
      </c>
      <c r="S618" s="9" cm="1">
        <f t="array" aca="1" ref="S618" ca="1">_xll.FDS($E$7,"P_PRICE("&amp;AG618&amp;",0,D,D)")</f>
        <v>55.43</v>
      </c>
      <c r="T618" s="9" cm="1">
        <f t="array" aca="1" ref="T618" ca="1">_xll.FDS($E$7,"P_PRICE("&amp;AH618&amp;",0,D,D)")</f>
        <v>57.48</v>
      </c>
      <c r="U618" s="9" cm="1">
        <f t="array" aca="1" ref="U618" ca="1">_xll.FDS($E$7,"P_PRICE("&amp;AI618&amp;",0,D,D)")</f>
        <v>56.56</v>
      </c>
      <c r="V618" s="9" cm="1">
        <f t="array" aca="1" ref="V618" ca="1">_xll.FDS($E$7,"P_PRICE("&amp;AJ618&amp;",0,D,D)")</f>
        <v>60.04</v>
      </c>
      <c r="W618" s="9" cm="1">
        <f t="array" aca="1" ref="W618" ca="1">_xll.FDS($E$7,"P_PRICE("&amp;AK618&amp;",0,D,D)")</f>
        <v>49.53</v>
      </c>
      <c r="X618" s="24">
        <f t="shared" ca="1" si="160"/>
        <v>1.4327894958845455E-2</v>
      </c>
      <c r="Y618" s="24">
        <f t="shared" ca="1" si="161"/>
        <v>2.2060244058212053E-2</v>
      </c>
      <c r="Z618" s="24">
        <f t="shared" ca="1" si="162"/>
        <v>-4.7826240915005425E-3</v>
      </c>
      <c r="AA618" s="24">
        <f t="shared" ca="1" si="163"/>
        <v>4.7252749811943717E-2</v>
      </c>
      <c r="AB618" s="9" cm="1">
        <f t="array" aca="1" ref="AB618" ca="1">_xll.FDS($E$9,"P_PRICE("&amp;AG618&amp;",0,D,D)")</f>
        <v>4496.83</v>
      </c>
      <c r="AC618" s="9" cm="1">
        <f t="array" aca="1" ref="AC618" ca="1">_xll.FDS($E$9,"P_PRICE("&amp;AH618&amp;",0,D,D)")</f>
        <v>4433.3100000000004</v>
      </c>
      <c r="AD618" s="9" cm="1">
        <f t="array" aca="1" ref="AD618" ca="1">_xll.FDS($E$9,"P_PRICE("&amp;AI618&amp;",0,D,D)")</f>
        <v>4399.7700000000004</v>
      </c>
      <c r="AE618" s="9" cm="1">
        <f t="array" aca="1" ref="AE618" ca="1">_xll.FDS($E$9,"P_PRICE("&amp;AJ618&amp;",0,D,D)")</f>
        <v>4518.4399999999996</v>
      </c>
      <c r="AF618" s="9" cm="1">
        <f t="array" aca="1" ref="AF618" ca="1">_xll.FDS($E$9,"P_PRICE("&amp;AK618&amp;",0,D,D)")</f>
        <v>4293.93</v>
      </c>
      <c r="AG618" s="20">
        <f t="shared" ca="1" si="169"/>
        <v>45174</v>
      </c>
      <c r="AH618" s="22">
        <f t="shared" ca="1" si="164"/>
        <v>45166</v>
      </c>
      <c r="AI618" s="22">
        <f t="shared" ca="1" si="165"/>
        <v>45159</v>
      </c>
      <c r="AJ618" s="22">
        <f t="shared" ca="1" si="166"/>
        <v>45145</v>
      </c>
      <c r="AK618" s="22">
        <f t="shared" ca="1" si="167"/>
        <v>45085</v>
      </c>
      <c r="AL618" s="22">
        <f t="shared" ca="1" si="168"/>
        <v>44999</v>
      </c>
    </row>
    <row r="619" spans="4:38" x14ac:dyDescent="0.25">
      <c r="D619" s="6">
        <f ca="1"/>
        <v>45170</v>
      </c>
      <c r="E619" s="28" cm="1">
        <f t="array" aca="1" ref="E619" ca="1">_xll.FDS($E$7,"P_PRICE("&amp;D619&amp;",0,D,D)")</f>
        <v>57.17</v>
      </c>
      <c r="F619" s="29" cm="1">
        <f t="array" aca="1" ref="F619" ca="1">_xll.FDS($E$7,"P_BETA_LOCIDX("&amp;$AG619&amp;","&amp;$AL619&amp;",,"""&amp;$E$9&amp;""")")</f>
        <v>1.0499426999999999</v>
      </c>
      <c r="G619" s="30">
        <f t="shared" ca="1" si="154"/>
        <v>-2.8497607917861462E-2</v>
      </c>
      <c r="H619" s="30">
        <f t="shared" ca="1" si="154"/>
        <v>-2.2160832506967251E-2</v>
      </c>
      <c r="I619" s="30">
        <f t="shared" ca="1" si="154"/>
        <v>-4.4767776514889786E-2</v>
      </c>
      <c r="J619" s="30">
        <f t="shared" ca="1" si="154"/>
        <v>0.1157445132677058</v>
      </c>
      <c r="K619" s="30">
        <f t="shared" ca="1" si="155"/>
        <v>2.6228847010357187E-2</v>
      </c>
      <c r="L619" s="30">
        <f t="shared" ca="1" si="155"/>
        <v>3.5094921805337284E-2</v>
      </c>
      <c r="M619" s="30">
        <f t="shared" ca="1" si="155"/>
        <v>8.8487208656487602E-3</v>
      </c>
      <c r="N619" s="30">
        <f t="shared" ca="1" si="155"/>
        <v>6.1077224072763663E-2</v>
      </c>
      <c r="O619" s="30">
        <f t="shared" ca="1" si="156"/>
        <v>-2.2687609075042747E-3</v>
      </c>
      <c r="P619" s="30">
        <f t="shared" ca="1" si="157"/>
        <v>1.2934089298370033E-2</v>
      </c>
      <c r="Q619" s="30">
        <f t="shared" ca="1" si="158"/>
        <v>-3.5919055649241027E-2</v>
      </c>
      <c r="R619" s="30">
        <f t="shared" ca="1" si="159"/>
        <v>0.17682173734046946</v>
      </c>
      <c r="S619" s="9" cm="1">
        <f t="array" aca="1" ref="S619" ca="1">_xll.FDS($E$7,"P_PRICE("&amp;AG619&amp;",0,D,D)")</f>
        <v>57.17</v>
      </c>
      <c r="T619" s="9" cm="1">
        <f t="array" aca="1" ref="T619" ca="1">_xll.FDS($E$7,"P_PRICE("&amp;AH619&amp;",0,D,D)")</f>
        <v>57.3</v>
      </c>
      <c r="U619" s="9" cm="1">
        <f t="array" aca="1" ref="U619" ca="1">_xll.FDS($E$7,"P_PRICE("&amp;AI619&amp;",0,D,D)")</f>
        <v>56.44</v>
      </c>
      <c r="V619" s="9" cm="1">
        <f t="array" aca="1" ref="V619" ca="1">_xll.FDS($E$7,"P_PRICE("&amp;AJ619&amp;",0,D,D)")</f>
        <v>59.3</v>
      </c>
      <c r="W619" s="9" cm="1">
        <f t="array" aca="1" ref="W619" ca="1">_xll.FDS($E$7,"P_PRICE("&amp;AK619&amp;",0,D,D)")</f>
        <v>48.58</v>
      </c>
      <c r="X619" s="24">
        <f t="shared" ca="1" si="160"/>
        <v>2.4981217556307778E-2</v>
      </c>
      <c r="Y619" s="24">
        <f t="shared" ca="1" si="161"/>
        <v>3.3425559133214877E-2</v>
      </c>
      <c r="Z619" s="24">
        <f t="shared" ca="1" si="162"/>
        <v>8.4278131231816378E-3</v>
      </c>
      <c r="AA619" s="24">
        <f t="shared" ca="1" si="163"/>
        <v>5.8171959358128467E-2</v>
      </c>
      <c r="AB619" s="9" cm="1">
        <f t="array" aca="1" ref="AB619" ca="1">_xll.FDS($E$9,"P_PRICE("&amp;AG619&amp;",0,D,D)")</f>
        <v>4515.7700000000004</v>
      </c>
      <c r="AC619" s="9" cm="1">
        <f t="array" aca="1" ref="AC619" ca="1">_xll.FDS($E$9,"P_PRICE("&amp;AH619&amp;",0,D,D)")</f>
        <v>4405.71</v>
      </c>
      <c r="AD619" s="9" cm="1">
        <f t="array" aca="1" ref="AD619" ca="1">_xll.FDS($E$9,"P_PRICE("&amp;AI619&amp;",0,D,D)")</f>
        <v>4369.71</v>
      </c>
      <c r="AE619" s="9" cm="1">
        <f t="array" aca="1" ref="AE619" ca="1">_xll.FDS($E$9,"P_PRICE("&amp;AJ619&amp;",0,D,D)")</f>
        <v>4478.03</v>
      </c>
      <c r="AF619" s="9" cm="1">
        <f t="array" aca="1" ref="AF619" ca="1">_xll.FDS($E$9,"P_PRICE("&amp;AK619&amp;",0,D,D)")</f>
        <v>4267.5200000000004</v>
      </c>
      <c r="AG619" s="20">
        <f t="shared" ca="1" si="169"/>
        <v>45170</v>
      </c>
      <c r="AH619" s="22">
        <f t="shared" ca="1" si="164"/>
        <v>45163</v>
      </c>
      <c r="AI619" s="22">
        <f t="shared" ca="1" si="165"/>
        <v>45156</v>
      </c>
      <c r="AJ619" s="22">
        <f t="shared" ca="1" si="166"/>
        <v>45142</v>
      </c>
      <c r="AK619" s="22">
        <f t="shared" ca="1" si="167"/>
        <v>45084</v>
      </c>
      <c r="AL619" s="22">
        <f t="shared" ca="1" si="168"/>
        <v>44998</v>
      </c>
    </row>
    <row r="620" spans="4:38" x14ac:dyDescent="0.25">
      <c r="D620" s="6">
        <f ca="1"/>
        <v>45169</v>
      </c>
      <c r="E620" s="28" cm="1">
        <f t="array" aca="1" ref="E620" ca="1">_xll.FDS($E$7,"P_PRICE("&amp;D620&amp;",0,D,D)")</f>
        <v>57.57</v>
      </c>
      <c r="F620" s="29" cm="1">
        <f t="array" aca="1" ref="F620" ca="1">_xll.FDS($E$7,"P_BETA_LOCIDX("&amp;$AG620&amp;","&amp;$AL620&amp;",,"""&amp;$E$9&amp;""")")</f>
        <v>1.0466709000000001</v>
      </c>
      <c r="G620" s="30">
        <f t="shared" ca="1" si="154"/>
        <v>-1.8749736812456709E-2</v>
      </c>
      <c r="H620" s="30">
        <f t="shared" ca="1" si="154"/>
        <v>-1.06877951888091E-2</v>
      </c>
      <c r="I620" s="30">
        <f t="shared" ca="1" si="154"/>
        <v>-2.7394622556077896E-2</v>
      </c>
      <c r="J620" s="30">
        <f t="shared" ca="1" si="154"/>
        <v>0.14045882078961958</v>
      </c>
      <c r="K620" s="30">
        <f t="shared" ca="1" si="155"/>
        <v>3.1414644464171838E-2</v>
      </c>
      <c r="L620" s="30">
        <f t="shared" ca="1" si="155"/>
        <v>3.2882397461536393E-2</v>
      </c>
      <c r="M620" s="30">
        <f t="shared" ca="1" si="155"/>
        <v>1.341501256805389E-3</v>
      </c>
      <c r="N620" s="30">
        <f t="shared" ca="1" si="155"/>
        <v>5.468338390209726E-2</v>
      </c>
      <c r="O620" s="30">
        <f t="shared" ca="1" si="156"/>
        <v>1.2664907651715129E-2</v>
      </c>
      <c r="P620" s="30">
        <f t="shared" ca="1" si="157"/>
        <v>2.2194602272727293E-2</v>
      </c>
      <c r="Q620" s="30">
        <f t="shared" ca="1" si="158"/>
        <v>-2.6053121299272508E-2</v>
      </c>
      <c r="R620" s="30">
        <f t="shared" ca="1" si="159"/>
        <v>0.19514220469171684</v>
      </c>
      <c r="S620" s="9" cm="1">
        <f t="array" aca="1" ref="S620" ca="1">_xll.FDS($E$7,"P_PRICE("&amp;AG620&amp;",0,D,D)")</f>
        <v>57.57</v>
      </c>
      <c r="T620" s="9" cm="1">
        <f t="array" aca="1" ref="T620" ca="1">_xll.FDS($E$7,"P_PRICE("&amp;AH620&amp;",0,D,D)")</f>
        <v>56.85</v>
      </c>
      <c r="U620" s="9" cm="1">
        <f t="array" aca="1" ref="U620" ca="1">_xll.FDS($E$7,"P_PRICE("&amp;AI620&amp;",0,D,D)")</f>
        <v>56.32</v>
      </c>
      <c r="V620" s="9" cm="1">
        <f t="array" aca="1" ref="V620" ca="1">_xll.FDS($E$7,"P_PRICE("&amp;AJ620&amp;",0,D,D)")</f>
        <v>59.11</v>
      </c>
      <c r="W620" s="9" cm="1">
        <f t="array" aca="1" ref="W620" ca="1">_xll.FDS($E$7,"P_PRICE("&amp;AK620&amp;",0,D,D)")</f>
        <v>48.17</v>
      </c>
      <c r="X620" s="24">
        <f t="shared" ca="1" si="160"/>
        <v>3.0013870132600262E-2</v>
      </c>
      <c r="Y620" s="24">
        <f t="shared" ca="1" si="161"/>
        <v>3.1416176241774174E-2</v>
      </c>
      <c r="Z620" s="24">
        <f t="shared" ca="1" si="162"/>
        <v>1.2816839149778492E-3</v>
      </c>
      <c r="AA620" s="24">
        <f t="shared" ca="1" si="163"/>
        <v>5.2245059934404647E-2</v>
      </c>
      <c r="AB620" s="9" cm="1">
        <f t="array" aca="1" ref="AB620" ca="1">_xll.FDS($E$9,"P_PRICE("&amp;AG620&amp;",0,D,D)")</f>
        <v>4507.66</v>
      </c>
      <c r="AC620" s="9" cm="1">
        <f t="array" aca="1" ref="AC620" ca="1">_xll.FDS($E$9,"P_PRICE("&amp;AH620&amp;",0,D,D)")</f>
        <v>4376.3100000000004</v>
      </c>
      <c r="AD620" s="9" cm="1">
        <f t="array" aca="1" ref="AD620" ca="1">_xll.FDS($E$9,"P_PRICE("&amp;AI620&amp;",0,D,D)")</f>
        <v>4370.3599999999997</v>
      </c>
      <c r="AE620" s="9" cm="1">
        <f t="array" aca="1" ref="AE620" ca="1">_xll.FDS($E$9,"P_PRICE("&amp;AJ620&amp;",0,D,D)")</f>
        <v>4501.8900000000003</v>
      </c>
      <c r="AF620" s="9" cm="1">
        <f t="array" aca="1" ref="AF620" ca="1">_xll.FDS($E$9,"P_PRICE("&amp;AK620&amp;",0,D,D)")</f>
        <v>4283.8500000000004</v>
      </c>
      <c r="AG620" s="20">
        <f t="shared" ca="1" si="169"/>
        <v>45169</v>
      </c>
      <c r="AH620" s="22">
        <f t="shared" ca="1" si="164"/>
        <v>45162</v>
      </c>
      <c r="AI620" s="22">
        <f t="shared" ca="1" si="165"/>
        <v>45155</v>
      </c>
      <c r="AJ620" s="22">
        <f t="shared" ca="1" si="166"/>
        <v>45141</v>
      </c>
      <c r="AK620" s="22">
        <f t="shared" ca="1" si="167"/>
        <v>45083</v>
      </c>
      <c r="AL620" s="22">
        <f t="shared" ca="1" si="168"/>
        <v>44995</v>
      </c>
    </row>
    <row r="621" spans="4:38" x14ac:dyDescent="0.25">
      <c r="D621" s="6">
        <f ca="1"/>
        <v>45168</v>
      </c>
      <c r="E621" s="28" cm="1">
        <f t="array" aca="1" ref="E621" ca="1">_xll.FDS($E$7,"P_PRICE("&amp;D621&amp;",0,D,D)")</f>
        <v>57.35</v>
      </c>
      <c r="F621" s="29" cm="1">
        <f t="array" aca="1" ref="F621" ca="1">_xll.FDS($E$7,"P_BETA_LOCIDX("&amp;$AG621&amp;","&amp;$AL621&amp;",,"""&amp;$E$9&amp;""")")</f>
        <v>1.044829</v>
      </c>
      <c r="G621" s="30">
        <f t="shared" ca="1" si="154"/>
        <v>-2.7731048793141252E-2</v>
      </c>
      <c r="H621" s="30">
        <f t="shared" ca="1" si="154"/>
        <v>-2.8311193989041278E-2</v>
      </c>
      <c r="I621" s="30">
        <f t="shared" ca="1" si="154"/>
        <v>-2.3174441434452603E-2</v>
      </c>
      <c r="J621" s="30">
        <f t="shared" ca="1" si="154"/>
        <v>0.12720500416064107</v>
      </c>
      <c r="K621" s="30">
        <f t="shared" ca="1" si="155"/>
        <v>1.8574172497356819E-2</v>
      </c>
      <c r="L621" s="30">
        <f t="shared" ca="1" si="155"/>
        <v>2.6223148052030659E-2</v>
      </c>
      <c r="M621" s="30">
        <f t="shared" ca="1" si="155"/>
        <v>3.4261318432485255E-4</v>
      </c>
      <c r="N621" s="30">
        <f t="shared" ca="1" si="155"/>
        <v>5.8937705249907053E-2</v>
      </c>
      <c r="O621" s="30">
        <f t="shared" ca="1" si="156"/>
        <v>-9.156876295784433E-3</v>
      </c>
      <c r="P621" s="30">
        <f t="shared" ca="1" si="157"/>
        <v>-2.0880459370106186E-3</v>
      </c>
      <c r="Q621" s="30">
        <f t="shared" ca="1" si="158"/>
        <v>-2.283182825012775E-2</v>
      </c>
      <c r="R621" s="30">
        <f t="shared" ca="1" si="159"/>
        <v>0.18614270941054811</v>
      </c>
      <c r="S621" s="9" cm="1">
        <f t="array" aca="1" ref="S621" ca="1">_xll.FDS($E$7,"P_PRICE("&amp;AG621&amp;",0,D,D)")</f>
        <v>57.35</v>
      </c>
      <c r="T621" s="9" cm="1">
        <f t="array" aca="1" ref="T621" ca="1">_xll.FDS($E$7,"P_PRICE("&amp;AH621&amp;",0,D,D)")</f>
        <v>57.88</v>
      </c>
      <c r="U621" s="9" cm="1">
        <f t="array" aca="1" ref="U621" ca="1">_xll.FDS($E$7,"P_PRICE("&amp;AI621&amp;",0,D,D)")</f>
        <v>57.47</v>
      </c>
      <c r="V621" s="9" cm="1">
        <f t="array" aca="1" ref="V621" ca="1">_xll.FDS($E$7,"P_PRICE("&amp;AJ621&amp;",0,D,D)")</f>
        <v>58.69</v>
      </c>
      <c r="W621" s="9" cm="1">
        <f t="array" aca="1" ref="W621" ca="1">_xll.FDS($E$7,"P_PRICE("&amp;AK621&amp;",0,D,D)")</f>
        <v>48.35</v>
      </c>
      <c r="X621" s="24">
        <f t="shared" ca="1" si="160"/>
        <v>1.7777236751044256E-2</v>
      </c>
      <c r="Y621" s="24">
        <f t="shared" ca="1" si="161"/>
        <v>2.5098028531013838E-2</v>
      </c>
      <c r="Z621" s="24">
        <f t="shared" ca="1" si="162"/>
        <v>3.2791316504887646E-4</v>
      </c>
      <c r="AA621" s="24">
        <f t="shared" ca="1" si="163"/>
        <v>5.6408948497703504E-2</v>
      </c>
      <c r="AB621" s="9" cm="1">
        <f t="array" aca="1" ref="AB621" ca="1">_xll.FDS($E$9,"P_PRICE("&amp;AG621&amp;",0,D,D)")</f>
        <v>4514.87</v>
      </c>
      <c r="AC621" s="9" cm="1">
        <f t="array" aca="1" ref="AC621" ca="1">_xll.FDS($E$9,"P_PRICE("&amp;AH621&amp;",0,D,D)")</f>
        <v>4436.01</v>
      </c>
      <c r="AD621" s="9" cm="1">
        <f t="array" aca="1" ref="AD621" ca="1">_xll.FDS($E$9,"P_PRICE("&amp;AI621&amp;",0,D,D)")</f>
        <v>4404.33</v>
      </c>
      <c r="AE621" s="9" cm="1">
        <f t="array" aca="1" ref="AE621" ca="1">_xll.FDS($E$9,"P_PRICE("&amp;AJ621&amp;",0,D,D)")</f>
        <v>4513.3900000000003</v>
      </c>
      <c r="AF621" s="9" cm="1">
        <f t="array" aca="1" ref="AF621" ca="1">_xll.FDS($E$9,"P_PRICE("&amp;AK621&amp;",0,D,D)")</f>
        <v>4273.79</v>
      </c>
      <c r="AG621" s="20">
        <f t="shared" ca="1" si="169"/>
        <v>45168</v>
      </c>
      <c r="AH621" s="22">
        <f t="shared" ca="1" si="164"/>
        <v>45161</v>
      </c>
      <c r="AI621" s="22">
        <f t="shared" ca="1" si="165"/>
        <v>45154</v>
      </c>
      <c r="AJ621" s="22">
        <f t="shared" ca="1" si="166"/>
        <v>45140</v>
      </c>
      <c r="AK621" s="22">
        <f t="shared" ca="1" si="167"/>
        <v>45082</v>
      </c>
      <c r="AL621" s="22">
        <f t="shared" ca="1" si="168"/>
        <v>44994</v>
      </c>
    </row>
    <row r="622" spans="4:38" x14ac:dyDescent="0.25">
      <c r="D622" s="6">
        <f ca="1"/>
        <v>45167</v>
      </c>
      <c r="E622" s="28" cm="1">
        <f t="array" aca="1" ref="E622" ca="1">_xll.FDS($E$7,"P_PRICE("&amp;D622&amp;",0,D,D)")</f>
        <v>57.8</v>
      </c>
      <c r="F622" s="29" cm="1">
        <f t="array" aca="1" ref="F622" ca="1">_xll.FDS($E$7,"P_BETA_LOCIDX("&amp;$AG622&amp;","&amp;$AL622&amp;",,"""&amp;$E$9&amp;""")")</f>
        <v>1.0494715999999999</v>
      </c>
      <c r="G622" s="30">
        <f t="shared" ca="1" si="154"/>
        <v>-1.6017491929491364E-2</v>
      </c>
      <c r="H622" s="30">
        <f t="shared" ca="1" si="154"/>
        <v>-9.790448048218766E-3</v>
      </c>
      <c r="I622" s="30">
        <f t="shared" ca="1" si="154"/>
        <v>-1.5468316584487145E-2</v>
      </c>
      <c r="J622" s="30">
        <f t="shared" ca="1" si="154"/>
        <v>0.12539587999998322</v>
      </c>
      <c r="K622" s="30">
        <f t="shared" ca="1" si="155"/>
        <v>2.6330374292714617E-2</v>
      </c>
      <c r="L622" s="30">
        <f t="shared" ca="1" si="155"/>
        <v>1.4134496701563578E-2</v>
      </c>
      <c r="M622" s="30">
        <f t="shared" ca="1" si="155"/>
        <v>-1.8138103746561291E-2</v>
      </c>
      <c r="N622" s="30">
        <f t="shared" ca="1" si="155"/>
        <v>5.2753325055051391E-2</v>
      </c>
      <c r="O622" s="30">
        <f t="shared" ca="1" si="156"/>
        <v>1.0312882363223252E-2</v>
      </c>
      <c r="P622" s="30">
        <f t="shared" ca="1" si="157"/>
        <v>4.3440486533448119E-3</v>
      </c>
      <c r="Q622" s="30">
        <f t="shared" ca="1" si="158"/>
        <v>-3.3606420331048437E-2</v>
      </c>
      <c r="R622" s="30">
        <f t="shared" ca="1" si="159"/>
        <v>0.17814920505503462</v>
      </c>
      <c r="S622" s="9" cm="1">
        <f t="array" aca="1" ref="S622" ca="1">_xll.FDS($E$7,"P_PRICE("&amp;AG622&amp;",0,D,D)")</f>
        <v>57.8</v>
      </c>
      <c r="T622" s="9" cm="1">
        <f t="array" aca="1" ref="T622" ca="1">_xll.FDS($E$7,"P_PRICE("&amp;AH622&amp;",0,D,D)")</f>
        <v>57.21</v>
      </c>
      <c r="U622" s="9" cm="1">
        <f t="array" aca="1" ref="U622" ca="1">_xll.FDS($E$7,"P_PRICE("&amp;AI622&amp;",0,D,D)")</f>
        <v>57.55</v>
      </c>
      <c r="V622" s="9" cm="1">
        <f t="array" aca="1" ref="V622" ca="1">_xll.FDS($E$7,"P_PRICE("&amp;AJ622&amp;",0,D,D)")</f>
        <v>59.81</v>
      </c>
      <c r="W622" s="9" cm="1">
        <f t="array" aca="1" ref="W622" ca="1">_xll.FDS($E$7,"P_PRICE("&amp;AK622&amp;",0,D,D)")</f>
        <v>49.06</v>
      </c>
      <c r="X622" s="24">
        <f t="shared" ca="1" si="160"/>
        <v>2.5089172772959856E-2</v>
      </c>
      <c r="Y622" s="24">
        <f t="shared" ca="1" si="161"/>
        <v>1.3468203142956492E-2</v>
      </c>
      <c r="Z622" s="24">
        <f t="shared" ca="1" si="162"/>
        <v>-1.7283082025813079E-2</v>
      </c>
      <c r="AA622" s="24">
        <f t="shared" ca="1" si="163"/>
        <v>5.0266558004095963E-2</v>
      </c>
      <c r="AB622" s="9" cm="1">
        <f t="array" aca="1" ref="AB622" ca="1">_xll.FDS($E$9,"P_PRICE("&amp;AG622&amp;",0,D,D)")</f>
        <v>4497.63</v>
      </c>
      <c r="AC622" s="9" cm="1">
        <f t="array" aca="1" ref="AC622" ca="1">_xll.FDS($E$9,"P_PRICE("&amp;AH622&amp;",0,D,D)")</f>
        <v>4387.55</v>
      </c>
      <c r="AD622" s="9" cm="1">
        <f t="array" aca="1" ref="AD622" ca="1">_xll.FDS($E$9,"P_PRICE("&amp;AI622&amp;",0,D,D)")</f>
        <v>4437.8599999999997</v>
      </c>
      <c r="AE622" s="9" cm="1">
        <f t="array" aca="1" ref="AE622" ca="1">_xll.FDS($E$9,"P_PRICE("&amp;AJ622&amp;",0,D,D)")</f>
        <v>4576.7299999999996</v>
      </c>
      <c r="AF622" s="9" cm="1">
        <f t="array" aca="1" ref="AF622" ca="1">_xll.FDS($E$9,"P_PRICE("&amp;AK622&amp;",0,D,D)")</f>
        <v>4282.37</v>
      </c>
      <c r="AG622" s="20">
        <f t="shared" ca="1" si="169"/>
        <v>45167</v>
      </c>
      <c r="AH622" s="22">
        <f t="shared" ca="1" si="164"/>
        <v>45160</v>
      </c>
      <c r="AI622" s="22">
        <f t="shared" ca="1" si="165"/>
        <v>45153</v>
      </c>
      <c r="AJ622" s="22">
        <f t="shared" ca="1" si="166"/>
        <v>45139</v>
      </c>
      <c r="AK622" s="22">
        <f t="shared" ca="1" si="167"/>
        <v>45079</v>
      </c>
      <c r="AL622" s="22">
        <f t="shared" ca="1" si="168"/>
        <v>44993</v>
      </c>
    </row>
    <row r="623" spans="4:38" x14ac:dyDescent="0.25">
      <c r="D623" s="6">
        <f ca="1"/>
        <v>45166</v>
      </c>
      <c r="E623" s="28" cm="1">
        <f t="array" aca="1" ref="E623" ca="1">_xll.FDS($E$7,"P_PRICE("&amp;D623&amp;",0,D,D)")</f>
        <v>57.48</v>
      </c>
      <c r="F623" s="29" cm="1">
        <f t="array" aca="1" ref="F623" ca="1">_xll.FDS($E$7,"P_BETA_LOCIDX("&amp;$AG623&amp;","&amp;$AL623&amp;",,"""&amp;$E$9&amp;""")")</f>
        <v>1.0443210999999999</v>
      </c>
      <c r="G623" s="30">
        <f t="shared" ca="1" si="154"/>
        <v>8.3049212323465949E-3</v>
      </c>
      <c r="H623" s="30">
        <f t="shared" ca="1" si="154"/>
        <v>9.1971045891102443E-4</v>
      </c>
      <c r="I623" s="30">
        <f t="shared" ca="1" si="154"/>
        <v>-1.1344509515661509E-2</v>
      </c>
      <c r="J623" s="30">
        <f t="shared" ca="1" si="154"/>
        <v>0.13778595693336734</v>
      </c>
      <c r="K623" s="30">
        <f t="shared" ca="1" si="155"/>
        <v>7.960991073169622E-3</v>
      </c>
      <c r="L623" s="30">
        <f t="shared" ca="1" si="155"/>
        <v>-1.3121119635745568E-2</v>
      </c>
      <c r="M623" s="30">
        <f t="shared" ca="1" si="155"/>
        <v>-3.5421659638567311E-2</v>
      </c>
      <c r="N623" s="30">
        <f t="shared" ca="1" si="155"/>
        <v>5.2522595561973175E-2</v>
      </c>
      <c r="O623" s="30">
        <f t="shared" ca="1" si="156"/>
        <v>1.6265912305516217E-2</v>
      </c>
      <c r="P623" s="30">
        <f t="shared" ca="1" si="157"/>
        <v>-1.2201409176834543E-2</v>
      </c>
      <c r="Q623" s="30">
        <f t="shared" ca="1" si="158"/>
        <v>-4.676616915422882E-2</v>
      </c>
      <c r="R623" s="30">
        <f t="shared" ca="1" si="159"/>
        <v>0.19030855249534051</v>
      </c>
      <c r="S623" s="9" cm="1">
        <f t="array" aca="1" ref="S623" ca="1">_xll.FDS($E$7,"P_PRICE("&amp;AG623&amp;",0,D,D)")</f>
        <v>57.48</v>
      </c>
      <c r="T623" s="9" cm="1">
        <f t="array" aca="1" ref="T623" ca="1">_xll.FDS($E$7,"P_PRICE("&amp;AH623&amp;",0,D,D)")</f>
        <v>56.56</v>
      </c>
      <c r="U623" s="9" cm="1">
        <f t="array" aca="1" ref="U623" ca="1">_xll.FDS($E$7,"P_PRICE("&amp;AI623&amp;",0,D,D)")</f>
        <v>58.19</v>
      </c>
      <c r="V623" s="9" cm="1">
        <f t="array" aca="1" ref="V623" ca="1">_xll.FDS($E$7,"P_PRICE("&amp;AJ623&amp;",0,D,D)")</f>
        <v>60.3</v>
      </c>
      <c r="W623" s="9" cm="1">
        <f t="array" aca="1" ref="W623" ca="1">_xll.FDS($E$7,"P_PRICE("&amp;AK623&amp;",0,D,D)")</f>
        <v>48.29</v>
      </c>
      <c r="X623" s="24">
        <f t="shared" ca="1" si="160"/>
        <v>7.6231257543006858E-3</v>
      </c>
      <c r="Y623" s="24">
        <f t="shared" ca="1" si="161"/>
        <v>-1.2564257904724485E-2</v>
      </c>
      <c r="Z623" s="24">
        <f t="shared" ca="1" si="162"/>
        <v>-3.3918360587148255E-2</v>
      </c>
      <c r="AA623" s="24">
        <f t="shared" ca="1" si="163"/>
        <v>5.0293530947496112E-2</v>
      </c>
      <c r="AB623" s="9" cm="1">
        <f t="array" aca="1" ref="AB623" ca="1">_xll.FDS($E$9,"P_PRICE("&amp;AG623&amp;",0,D,D)")</f>
        <v>4433.3100000000004</v>
      </c>
      <c r="AC623" s="9" cm="1">
        <f t="array" aca="1" ref="AC623" ca="1">_xll.FDS($E$9,"P_PRICE("&amp;AH623&amp;",0,D,D)")</f>
        <v>4399.7700000000004</v>
      </c>
      <c r="AD623" s="9" cm="1">
        <f t="array" aca="1" ref="AD623" ca="1">_xll.FDS($E$9,"P_PRICE("&amp;AI623&amp;",0,D,D)")</f>
        <v>4489.72</v>
      </c>
      <c r="AE623" s="9" cm="1">
        <f t="array" aca="1" ref="AE623" ca="1">_xll.FDS($E$9,"P_PRICE("&amp;AJ623&amp;",0,D,D)")</f>
        <v>4588.96</v>
      </c>
      <c r="AF623" s="9" cm="1">
        <f t="array" aca="1" ref="AF623" ca="1">_xll.FDS($E$9,"P_PRICE("&amp;AK623&amp;",0,D,D)")</f>
        <v>4221.0200000000004</v>
      </c>
      <c r="AG623" s="20">
        <f t="shared" ca="1" si="169"/>
        <v>45166</v>
      </c>
      <c r="AH623" s="22">
        <f t="shared" ca="1" si="164"/>
        <v>45159</v>
      </c>
      <c r="AI623" s="22">
        <f t="shared" ca="1" si="165"/>
        <v>45152</v>
      </c>
      <c r="AJ623" s="22">
        <f t="shared" ca="1" si="166"/>
        <v>45138</v>
      </c>
      <c r="AK623" s="22">
        <f t="shared" ca="1" si="167"/>
        <v>45078</v>
      </c>
      <c r="AL623" s="22">
        <f t="shared" ca="1" si="168"/>
        <v>44992</v>
      </c>
    </row>
    <row r="624" spans="4:38" x14ac:dyDescent="0.25">
      <c r="D624" s="6">
        <f ca="1"/>
        <v>45163</v>
      </c>
      <c r="E624" s="28" cm="1">
        <f t="array" aca="1" ref="E624" ca="1">_xll.FDS($E$7,"P_PRICE("&amp;D624&amp;",0,D,D)")</f>
        <v>57.3</v>
      </c>
      <c r="F624" s="29" cm="1">
        <f t="array" aca="1" ref="F624" ca="1">_xll.FDS($E$7,"P_BETA_LOCIDX("&amp;$AG624&amp;","&amp;$AL624&amp;",,"""&amp;$E$9&amp;""")")</f>
        <v>1.0469212999999999</v>
      </c>
      <c r="G624" s="30">
        <f t="shared" ca="1" si="154"/>
        <v>6.6123245993482491E-3</v>
      </c>
      <c r="H624" s="30">
        <f t="shared" ca="1" si="154"/>
        <v>-8.7305698511270721E-5</v>
      </c>
      <c r="I624" s="30">
        <f t="shared" ca="1" si="154"/>
        <v>-5.9413733214466607E-3</v>
      </c>
      <c r="J624" s="30">
        <f t="shared" ca="1" si="154"/>
        <v>0.14872467464142866</v>
      </c>
      <c r="K624" s="30">
        <f t="shared" ca="1" si="155"/>
        <v>8.6250956699643801E-3</v>
      </c>
      <c r="L624" s="30">
        <f t="shared" ca="1" si="155"/>
        <v>-1.3682057468442381E-2</v>
      </c>
      <c r="M624" s="30">
        <f t="shared" ca="1" si="155"/>
        <v>-4.0330264494798332E-2</v>
      </c>
      <c r="N624" s="30">
        <f t="shared" ca="1" si="155"/>
        <v>5.6576124685453831E-2</v>
      </c>
      <c r="O624" s="30">
        <f t="shared" ca="1" si="156"/>
        <v>1.5237420269312629E-2</v>
      </c>
      <c r="P624" s="30">
        <f t="shared" ca="1" si="157"/>
        <v>-1.3769363166953652E-2</v>
      </c>
      <c r="Q624" s="30">
        <f t="shared" ca="1" si="158"/>
        <v>-4.6271637816244993E-2</v>
      </c>
      <c r="R624" s="30">
        <f t="shared" ca="1" si="159"/>
        <v>0.2053007993268825</v>
      </c>
      <c r="S624" s="9" cm="1">
        <f t="array" aca="1" ref="S624" ca="1">_xll.FDS($E$7,"P_PRICE("&amp;AG624&amp;",0,D,D)")</f>
        <v>57.3</v>
      </c>
      <c r="T624" s="9" cm="1">
        <f t="array" aca="1" ref="T624" ca="1">_xll.FDS($E$7,"P_PRICE("&amp;AH624&amp;",0,D,D)")</f>
        <v>56.44</v>
      </c>
      <c r="U624" s="9" cm="1">
        <f t="array" aca="1" ref="U624" ca="1">_xll.FDS($E$7,"P_PRICE("&amp;AI624&amp;",0,D,D)")</f>
        <v>58.1</v>
      </c>
      <c r="V624" s="9" cm="1">
        <f t="array" aca="1" ref="V624" ca="1">_xll.FDS($E$7,"P_PRICE("&amp;AJ624&amp;",0,D,D)")</f>
        <v>60.08</v>
      </c>
      <c r="W624" s="9" cm="1">
        <f t="array" aca="1" ref="W624" ca="1">_xll.FDS($E$7,"P_PRICE("&amp;AK624&amp;",0,D,D)")</f>
        <v>47.54</v>
      </c>
      <c r="X624" s="24">
        <f t="shared" ca="1" si="160"/>
        <v>8.2385329918919226E-3</v>
      </c>
      <c r="Y624" s="24">
        <f t="shared" ca="1" si="161"/>
        <v>-1.3068850035281909E-2</v>
      </c>
      <c r="Z624" s="24">
        <f t="shared" ca="1" si="162"/>
        <v>-3.8522728016707974E-2</v>
      </c>
      <c r="AA624" s="24">
        <f t="shared" ca="1" si="163"/>
        <v>5.4040475330336513E-2</v>
      </c>
      <c r="AB624" s="9" cm="1">
        <f t="array" aca="1" ref="AB624" ca="1">_xll.FDS($E$9,"P_PRICE("&amp;AG624&amp;",0,D,D)")</f>
        <v>4405.71</v>
      </c>
      <c r="AC624" s="9" cm="1">
        <f t="array" aca="1" ref="AC624" ca="1">_xll.FDS($E$9,"P_PRICE("&amp;AH624&amp;",0,D,D)")</f>
        <v>4369.71</v>
      </c>
      <c r="AD624" s="9" cm="1">
        <f t="array" aca="1" ref="AD624" ca="1">_xll.FDS($E$9,"P_PRICE("&amp;AI624&amp;",0,D,D)")</f>
        <v>4464.05</v>
      </c>
      <c r="AE624" s="9" cm="1">
        <f t="array" aca="1" ref="AE624" ca="1">_xll.FDS($E$9,"P_PRICE("&amp;AJ624&amp;",0,D,D)")</f>
        <v>4582.2299999999996</v>
      </c>
      <c r="AF624" s="9" cm="1">
        <f t="array" aca="1" ref="AF624" ca="1">_xll.FDS($E$9,"P_PRICE("&amp;AK624&amp;",0,D,D)")</f>
        <v>4179.83</v>
      </c>
      <c r="AG624" s="20">
        <f t="shared" ca="1" si="169"/>
        <v>45163</v>
      </c>
      <c r="AH624" s="22">
        <f t="shared" ca="1" si="164"/>
        <v>45156</v>
      </c>
      <c r="AI624" s="22">
        <f t="shared" ca="1" si="165"/>
        <v>45149</v>
      </c>
      <c r="AJ624" s="22">
        <f t="shared" ca="1" si="166"/>
        <v>45135</v>
      </c>
      <c r="AK624" s="22">
        <f t="shared" ca="1" si="167"/>
        <v>45077</v>
      </c>
      <c r="AL624" s="22">
        <f t="shared" ca="1" si="168"/>
        <v>44991</v>
      </c>
    </row>
    <row r="625" spans="4:38" x14ac:dyDescent="0.25">
      <c r="D625" s="6">
        <f ca="1"/>
        <v>45162</v>
      </c>
      <c r="E625" s="28" cm="1">
        <f t="array" aca="1" ref="E625" ca="1">_xll.FDS($E$7,"P_PRICE("&amp;D625&amp;",0,D,D)")</f>
        <v>56.85</v>
      </c>
      <c r="F625" s="29" cm="1">
        <f t="array" aca="1" ref="F625" ca="1">_xll.FDS($E$7,"P_BETA_LOCIDX("&amp;$AG625&amp;","&amp;$AL625&amp;",,"""&amp;$E$9&amp;""")")</f>
        <v>1.0067326000000001</v>
      </c>
      <c r="G625" s="30">
        <f t="shared" ca="1" si="154"/>
        <v>8.0399013978667937E-3</v>
      </c>
      <c r="H625" s="30">
        <f t="shared" ca="1" si="154"/>
        <v>-5.6983025525574639E-3</v>
      </c>
      <c r="I625" s="30">
        <f t="shared" ca="1" si="154"/>
        <v>-6.7018033146661327E-3</v>
      </c>
      <c r="J625" s="30">
        <f t="shared" ca="1" si="154"/>
        <v>0.13443094966937899</v>
      </c>
      <c r="K625" s="30">
        <f t="shared" ca="1" si="155"/>
        <v>1.3706099657696713E-3</v>
      </c>
      <c r="L625" s="30">
        <f t="shared" ca="1" si="155"/>
        <v>-2.0842793337853407E-2</v>
      </c>
      <c r="M625" s="30">
        <f t="shared" ca="1" si="155"/>
        <v>-3.5743876321513712E-2</v>
      </c>
      <c r="N625" s="30">
        <f t="shared" ca="1" si="155"/>
        <v>4.088432839553733E-2</v>
      </c>
      <c r="O625" s="30">
        <f t="shared" ca="1" si="156"/>
        <v>9.4105113636364646E-3</v>
      </c>
      <c r="P625" s="30">
        <f t="shared" ca="1" si="157"/>
        <v>-2.6541095890410871E-2</v>
      </c>
      <c r="Q625" s="30">
        <f t="shared" ca="1" si="158"/>
        <v>-4.2445679636179845E-2</v>
      </c>
      <c r="R625" s="30">
        <f t="shared" ca="1" si="159"/>
        <v>0.17531527806491631</v>
      </c>
      <c r="S625" s="9" cm="1">
        <f t="array" aca="1" ref="S625" ca="1">_xll.FDS($E$7,"P_PRICE("&amp;AG625&amp;",0,D,D)")</f>
        <v>56.85</v>
      </c>
      <c r="T625" s="9" cm="1">
        <f t="array" aca="1" ref="T625" ca="1">_xll.FDS($E$7,"P_PRICE("&amp;AH625&amp;",0,D,D)")</f>
        <v>56.32</v>
      </c>
      <c r="U625" s="9" cm="1">
        <f t="array" aca="1" ref="U625" ca="1">_xll.FDS($E$7,"P_PRICE("&amp;AI625&amp;",0,D,D)")</f>
        <v>58.4</v>
      </c>
      <c r="V625" s="9" cm="1">
        <f t="array" aca="1" ref="V625" ca="1">_xll.FDS($E$7,"P_PRICE("&amp;AJ625&amp;",0,D,D)")</f>
        <v>59.37</v>
      </c>
      <c r="W625" s="9" cm="1">
        <f t="array" aca="1" ref="W625" ca="1">_xll.FDS($E$7,"P_PRICE("&amp;AK625&amp;",0,D,D)")</f>
        <v>48.37</v>
      </c>
      <c r="X625" s="24">
        <f t="shared" ca="1" si="160"/>
        <v>1.3614439085112284E-3</v>
      </c>
      <c r="Y625" s="24">
        <f t="shared" ca="1" si="161"/>
        <v>-2.0703405589382329E-2</v>
      </c>
      <c r="Z625" s="24">
        <f t="shared" ca="1" si="162"/>
        <v>-3.5504836459566036E-2</v>
      </c>
      <c r="AA625" s="24">
        <f t="shared" ca="1" si="163"/>
        <v>4.0610911373623271E-2</v>
      </c>
      <c r="AB625" s="9" cm="1">
        <f t="array" aca="1" ref="AB625" ca="1">_xll.FDS($E$9,"P_PRICE("&amp;AG625&amp;",0,D,D)")</f>
        <v>4376.3100000000004</v>
      </c>
      <c r="AC625" s="9" cm="1">
        <f t="array" aca="1" ref="AC625" ca="1">_xll.FDS($E$9,"P_PRICE("&amp;AH625&amp;",0,D,D)")</f>
        <v>4370.3599999999997</v>
      </c>
      <c r="AD625" s="9" cm="1">
        <f t="array" aca="1" ref="AD625" ca="1">_xll.FDS($E$9,"P_PRICE("&amp;AI625&amp;",0,D,D)")</f>
        <v>4468.83</v>
      </c>
      <c r="AE625" s="9" cm="1">
        <f t="array" aca="1" ref="AE625" ca="1">_xll.FDS($E$9,"P_PRICE("&amp;AJ625&amp;",0,D,D)")</f>
        <v>4537.41</v>
      </c>
      <c r="AF625" s="9" cm="1">
        <f t="array" aca="1" ref="AF625" ca="1">_xll.FDS($E$9,"P_PRICE("&amp;AK625&amp;",0,D,D)")</f>
        <v>4205.5200000000004</v>
      </c>
      <c r="AG625" s="20">
        <f t="shared" ca="1" si="169"/>
        <v>45162</v>
      </c>
      <c r="AH625" s="22">
        <f t="shared" ca="1" si="164"/>
        <v>45155</v>
      </c>
      <c r="AI625" s="22">
        <f t="shared" ca="1" si="165"/>
        <v>45148</v>
      </c>
      <c r="AJ625" s="22">
        <f t="shared" ca="1" si="166"/>
        <v>45134</v>
      </c>
      <c r="AK625" s="22">
        <f t="shared" ca="1" si="167"/>
        <v>45076</v>
      </c>
      <c r="AL625" s="22">
        <f t="shared" ca="1" si="168"/>
        <v>44988</v>
      </c>
    </row>
    <row r="626" spans="4:38" x14ac:dyDescent="0.25">
      <c r="D626" s="6">
        <f ca="1"/>
        <v>45161</v>
      </c>
      <c r="E626" s="28" cm="1">
        <f t="array" aca="1" ref="E626" ca="1">_xll.FDS($E$7,"P_PRICE("&amp;D626&amp;",0,D,D)")</f>
        <v>57.88</v>
      </c>
      <c r="F626" s="29" cm="1">
        <f t="array" aca="1" ref="F626" ca="1">_xll.FDS($E$7,"P_BETA_LOCIDX("&amp;$AG626&amp;","&amp;$AL626&amp;",,"""&amp;$E$9&amp;""")")</f>
        <v>1.0712406999999999</v>
      </c>
      <c r="G626" s="30">
        <f t="shared" ca="1" si="154"/>
        <v>-5.7119332339023582E-4</v>
      </c>
      <c r="H626" s="30">
        <f t="shared" ca="1" si="154"/>
        <v>-6.8721762717672804E-3</v>
      </c>
      <c r="I626" s="30">
        <f t="shared" ca="1" si="154"/>
        <v>4.9149612867634036E-3</v>
      </c>
      <c r="J626" s="30">
        <f t="shared" ca="1" si="154"/>
        <v>0.12709277296971408</v>
      </c>
      <c r="K626" s="30">
        <f t="shared" ca="1" si="155"/>
        <v>7.7053502748431549E-3</v>
      </c>
      <c r="L626" s="30">
        <f t="shared" ca="1" si="155"/>
        <v>-7.6008358174545236E-3</v>
      </c>
      <c r="M626" s="30">
        <f t="shared" ca="1" si="155"/>
        <v>-3.0668201482016672E-2</v>
      </c>
      <c r="N626" s="30">
        <f t="shared" ca="1" si="155"/>
        <v>5.8729804370994877E-2</v>
      </c>
      <c r="O626" s="30">
        <f t="shared" ca="1" si="156"/>
        <v>7.1341569514529191E-3</v>
      </c>
      <c r="P626" s="30">
        <f t="shared" ca="1" si="157"/>
        <v>-1.4473012089221804E-2</v>
      </c>
      <c r="Q626" s="30">
        <f t="shared" ca="1" si="158"/>
        <v>-2.5753240195253269E-2</v>
      </c>
      <c r="R626" s="30">
        <f t="shared" ca="1" si="159"/>
        <v>0.18582257734070895</v>
      </c>
      <c r="S626" s="9" cm="1">
        <f t="array" aca="1" ref="S626" ca="1">_xll.FDS($E$7,"P_PRICE("&amp;AG626&amp;",0,D,D)")</f>
        <v>57.88</v>
      </c>
      <c r="T626" s="9" cm="1">
        <f t="array" aca="1" ref="T626" ca="1">_xll.FDS($E$7,"P_PRICE("&amp;AH626&amp;",0,D,D)")</f>
        <v>57.47</v>
      </c>
      <c r="U626" s="9" cm="1">
        <f t="array" aca="1" ref="U626" ca="1">_xll.FDS($E$7,"P_PRICE("&amp;AI626&amp;",0,D,D)")</f>
        <v>58.73</v>
      </c>
      <c r="V626" s="9" cm="1">
        <f t="array" aca="1" ref="V626" ca="1">_xll.FDS($E$7,"P_PRICE("&amp;AJ626&amp;",0,D,D)")</f>
        <v>59.41</v>
      </c>
      <c r="W626" s="9" cm="1">
        <f t="array" aca="1" ref="W626" ca="1">_xll.FDS($E$7,"P_PRICE("&amp;AK626&amp;",0,D,D)")</f>
        <v>48.81</v>
      </c>
      <c r="X626" s="24">
        <f t="shared" ca="1" si="160"/>
        <v>7.1929215113308853E-3</v>
      </c>
      <c r="Y626" s="24">
        <f t="shared" ca="1" si="161"/>
        <v>-7.0953575769241439E-3</v>
      </c>
      <c r="Z626" s="24">
        <f t="shared" ca="1" si="162"/>
        <v>-2.8628674659221476E-2</v>
      </c>
      <c r="AA626" s="24">
        <f t="shared" ca="1" si="163"/>
        <v>5.4824097302310193E-2</v>
      </c>
      <c r="AB626" s="9" cm="1">
        <f t="array" aca="1" ref="AB626" ca="1">_xll.FDS($E$9,"P_PRICE("&amp;AG626&amp;",0,D,D)")</f>
        <v>4436.01</v>
      </c>
      <c r="AC626" s="9" cm="1">
        <f t="array" aca="1" ref="AC626" ca="1">_xll.FDS($E$9,"P_PRICE("&amp;AH626&amp;",0,D,D)")</f>
        <v>4404.33</v>
      </c>
      <c r="AD626" s="9" cm="1">
        <f t="array" aca="1" ref="AD626" ca="1">_xll.FDS($E$9,"P_PRICE("&amp;AI626&amp;",0,D,D)")</f>
        <v>4467.71</v>
      </c>
      <c r="AE626" s="9" cm="1">
        <f t="array" aca="1" ref="AE626" ca="1">_xll.FDS($E$9,"P_PRICE("&amp;AJ626&amp;",0,D,D)")</f>
        <v>4566.75</v>
      </c>
      <c r="AF626" s="9" cm="1">
        <f t="array" aca="1" ref="AF626" ca="1">_xll.FDS($E$9,"P_PRICE("&amp;AK626&amp;",0,D,D)")</f>
        <v>4205.45</v>
      </c>
      <c r="AG626" s="20">
        <f t="shared" ca="1" si="169"/>
        <v>45161</v>
      </c>
      <c r="AH626" s="22">
        <f t="shared" ca="1" si="164"/>
        <v>45154</v>
      </c>
      <c r="AI626" s="22">
        <f t="shared" ca="1" si="165"/>
        <v>45147</v>
      </c>
      <c r="AJ626" s="22">
        <f t="shared" ca="1" si="166"/>
        <v>45133</v>
      </c>
      <c r="AK626" s="22">
        <f t="shared" ca="1" si="167"/>
        <v>45072</v>
      </c>
      <c r="AL626" s="22">
        <f t="shared" ca="1" si="168"/>
        <v>44987</v>
      </c>
    </row>
    <row r="627" spans="4:38" x14ac:dyDescent="0.25">
      <c r="D627" s="6">
        <f ca="1"/>
        <v>45160</v>
      </c>
      <c r="E627" s="28" cm="1">
        <f t="array" aca="1" ref="E627" ca="1">_xll.FDS($E$7,"P_PRICE("&amp;D627&amp;",0,D,D)")</f>
        <v>57.21</v>
      </c>
      <c r="F627" s="29" cm="1">
        <f t="array" aca="1" ref="F627" ca="1">_xll.FDS($E$7,"P_BETA_LOCIDX("&amp;$AG627&amp;","&amp;$AL627&amp;",,"""&amp;$E$9&amp;""")")</f>
        <v>1.0668352000000001</v>
      </c>
      <c r="G627" s="30">
        <f t="shared" ca="1" si="154"/>
        <v>6.1863191815070134E-3</v>
      </c>
      <c r="H627" s="30">
        <f t="shared" ca="1" si="154"/>
        <v>-1.6475273512802112E-2</v>
      </c>
      <c r="I627" s="30">
        <f t="shared" ca="1" si="154"/>
        <v>3.5347181709769332E-3</v>
      </c>
      <c r="J627" s="30">
        <f t="shared" ca="1" si="154"/>
        <v>0.12130589398776295</v>
      </c>
      <c r="K627" s="30">
        <f t="shared" ca="1" si="155"/>
        <v>-1.2094225350055984E-2</v>
      </c>
      <c r="L627" s="30">
        <f t="shared" ca="1" si="155"/>
        <v>-2.6515693365752636E-2</v>
      </c>
      <c r="M627" s="30">
        <f t="shared" ca="1" si="155"/>
        <v>-4.2022113128960079E-2</v>
      </c>
      <c r="N627" s="30">
        <f t="shared" ca="1" si="155"/>
        <v>6.0718899400666847E-2</v>
      </c>
      <c r="O627" s="30">
        <f t="shared" ca="1" si="156"/>
        <v>-5.9079061685489709E-3</v>
      </c>
      <c r="P627" s="30">
        <f t="shared" ca="1" si="157"/>
        <v>-4.2990966878554748E-2</v>
      </c>
      <c r="Q627" s="30">
        <f t="shared" ca="1" si="158"/>
        <v>-3.8487394957983145E-2</v>
      </c>
      <c r="R627" s="30">
        <f t="shared" ca="1" si="159"/>
        <v>0.18202479338842981</v>
      </c>
      <c r="S627" s="9" cm="1">
        <f t="array" aca="1" ref="S627" ca="1">_xll.FDS($E$7,"P_PRICE("&amp;AG627&amp;",0,D,D)")</f>
        <v>57.21</v>
      </c>
      <c r="T627" s="9" cm="1">
        <f t="array" aca="1" ref="T627" ca="1">_xll.FDS($E$7,"P_PRICE("&amp;AH627&amp;",0,D,D)")</f>
        <v>57.55</v>
      </c>
      <c r="U627" s="9" cm="1">
        <f t="array" aca="1" ref="U627" ca="1">_xll.FDS($E$7,"P_PRICE("&amp;AI627&amp;",0,D,D)")</f>
        <v>59.78</v>
      </c>
      <c r="V627" s="9" cm="1">
        <f t="array" aca="1" ref="V627" ca="1">_xll.FDS($E$7,"P_PRICE("&amp;AJ627&amp;",0,D,D)")</f>
        <v>59.5</v>
      </c>
      <c r="W627" s="9" cm="1">
        <f t="array" aca="1" ref="W627" ca="1">_xll.FDS($E$7,"P_PRICE("&amp;AK627&amp;",0,D,D)")</f>
        <v>48.4</v>
      </c>
      <c r="X627" s="24">
        <f t="shared" ca="1" si="160"/>
        <v>-1.1336545091553019E-2</v>
      </c>
      <c r="Y627" s="24">
        <f t="shared" ca="1" si="161"/>
        <v>-2.4854535513781917E-2</v>
      </c>
      <c r="Z627" s="24">
        <f t="shared" ca="1" si="162"/>
        <v>-3.9389507516212507E-2</v>
      </c>
      <c r="AA627" s="24">
        <f t="shared" ca="1" si="163"/>
        <v>5.6914975621976893E-2</v>
      </c>
      <c r="AB627" s="9" cm="1">
        <f t="array" aca="1" ref="AB627" ca="1">_xll.FDS($E$9,"P_PRICE("&amp;AG627&amp;",0,D,D)")</f>
        <v>4387.55</v>
      </c>
      <c r="AC627" s="9" cm="1">
        <f t="array" aca="1" ref="AC627" ca="1">_xll.FDS($E$9,"P_PRICE("&amp;AH627&amp;",0,D,D)")</f>
        <v>4437.8599999999997</v>
      </c>
      <c r="AD627" s="9" cm="1">
        <f t="array" aca="1" ref="AD627" ca="1">_xll.FDS($E$9,"P_PRICE("&amp;AI627&amp;",0,D,D)")</f>
        <v>4499.38</v>
      </c>
      <c r="AE627" s="9" cm="1">
        <f t="array" aca="1" ref="AE627" ca="1">_xll.FDS($E$9,"P_PRICE("&amp;AJ627&amp;",0,D,D)")</f>
        <v>4567.46</v>
      </c>
      <c r="AF627" s="9" cm="1">
        <f t="array" aca="1" ref="AF627" ca="1">_xll.FDS($E$9,"P_PRICE("&amp;AK627&amp;",0,D,D)")</f>
        <v>4151.28</v>
      </c>
      <c r="AG627" s="20">
        <f t="shared" ca="1" si="169"/>
        <v>45160</v>
      </c>
      <c r="AH627" s="22">
        <f t="shared" ca="1" si="164"/>
        <v>45153</v>
      </c>
      <c r="AI627" s="22">
        <f t="shared" ca="1" si="165"/>
        <v>45146</v>
      </c>
      <c r="AJ627" s="22">
        <f t="shared" ca="1" si="166"/>
        <v>45132</v>
      </c>
      <c r="AK627" s="22">
        <f t="shared" ca="1" si="167"/>
        <v>45071</v>
      </c>
      <c r="AL627" s="22">
        <f t="shared" ca="1" si="168"/>
        <v>44986</v>
      </c>
    </row>
    <row r="628" spans="4:38" x14ac:dyDescent="0.25">
      <c r="D628" s="6">
        <f ca="1"/>
        <v>45159</v>
      </c>
      <c r="E628" s="28" cm="1">
        <f t="array" aca="1" ref="E628" ca="1">_xll.FDS($E$7,"P_PRICE("&amp;D628&amp;",0,D,D)")</f>
        <v>56.56</v>
      </c>
      <c r="F628" s="29" cm="1">
        <f t="array" aca="1" ref="F628" ca="1">_xll.FDS($E$7,"P_BETA_LOCIDX("&amp;$AG628&amp;","&amp;$AL628&amp;",,"""&amp;$E$9&amp;""")")</f>
        <v>1.0694026999999999</v>
      </c>
      <c r="G628" s="30">
        <f t="shared" ca="1" si="154"/>
        <v>-6.5865696211428286E-3</v>
      </c>
      <c r="H628" s="30">
        <f t="shared" ca="1" si="154"/>
        <v>-2.9875112865371835E-2</v>
      </c>
      <c r="I628" s="30">
        <f t="shared" ca="1" si="154"/>
        <v>-5.3182204941245384E-3</v>
      </c>
      <c r="J628" s="30">
        <f t="shared" ca="1" si="154"/>
        <v>9.8288877246297063E-2</v>
      </c>
      <c r="K628" s="30">
        <f t="shared" ca="1" si="155"/>
        <v>-2.1425116235533521E-2</v>
      </c>
      <c r="L628" s="30">
        <f t="shared" ca="1" si="155"/>
        <v>-2.8086246228565457E-2</v>
      </c>
      <c r="M628" s="30">
        <f t="shared" ca="1" si="155"/>
        <v>-3.6362565680053714E-2</v>
      </c>
      <c r="N628" s="30">
        <f t="shared" ca="1" si="155"/>
        <v>7.3939102028314468E-2</v>
      </c>
      <c r="O628" s="30">
        <f t="shared" ca="1" si="156"/>
        <v>-2.8011685856676349E-2</v>
      </c>
      <c r="P628" s="30">
        <f t="shared" ca="1" si="157"/>
        <v>-5.7961359093937292E-2</v>
      </c>
      <c r="Q628" s="30">
        <f t="shared" ca="1" si="158"/>
        <v>-4.1680786174178253E-2</v>
      </c>
      <c r="R628" s="30">
        <f t="shared" ca="1" si="159"/>
        <v>0.17222797927461153</v>
      </c>
      <c r="S628" s="9" cm="1">
        <f t="array" aca="1" ref="S628" ca="1">_xll.FDS($E$7,"P_PRICE("&amp;AG628&amp;",0,D,D)")</f>
        <v>56.56</v>
      </c>
      <c r="T628" s="9" cm="1">
        <f t="array" aca="1" ref="T628" ca="1">_xll.FDS($E$7,"P_PRICE("&amp;AH628&amp;",0,D,D)")</f>
        <v>58.19</v>
      </c>
      <c r="U628" s="9" cm="1">
        <f t="array" aca="1" ref="U628" ca="1">_xll.FDS($E$7,"P_PRICE("&amp;AI628&amp;",0,D,D)")</f>
        <v>60.04</v>
      </c>
      <c r="V628" s="9" cm="1">
        <f t="array" aca="1" ref="V628" ca="1">_xll.FDS($E$7,"P_PRICE("&amp;AJ628&amp;",0,D,D)")</f>
        <v>59.02</v>
      </c>
      <c r="W628" s="9" cm="1">
        <f t="array" aca="1" ref="W628" ca="1">_xll.FDS($E$7,"P_PRICE("&amp;AK628&amp;",0,D,D)")</f>
        <v>48.25</v>
      </c>
      <c r="X628" s="24">
        <f t="shared" ca="1" si="160"/>
        <v>-2.0034656949653784E-2</v>
      </c>
      <c r="Y628" s="24">
        <f t="shared" ca="1" si="161"/>
        <v>-2.6263489168828036E-2</v>
      </c>
      <c r="Z628" s="24">
        <f t="shared" ca="1" si="162"/>
        <v>-3.400268736936396E-2</v>
      </c>
      <c r="AA628" s="24">
        <f t="shared" ca="1" si="163"/>
        <v>6.9140560453339495E-2</v>
      </c>
      <c r="AB628" s="9" cm="1">
        <f t="array" aca="1" ref="AB628" ca="1">_xll.FDS($E$9,"P_PRICE("&amp;AG628&amp;",0,D,D)")</f>
        <v>4399.7700000000004</v>
      </c>
      <c r="AC628" s="9" cm="1">
        <f t="array" aca="1" ref="AC628" ca="1">_xll.FDS($E$9,"P_PRICE("&amp;AH628&amp;",0,D,D)")</f>
        <v>4489.72</v>
      </c>
      <c r="AD628" s="9" cm="1">
        <f t="array" aca="1" ref="AD628" ca="1">_xll.FDS($E$9,"P_PRICE("&amp;AI628&amp;",0,D,D)")</f>
        <v>4518.4399999999996</v>
      </c>
      <c r="AE628" s="9" cm="1">
        <f t="array" aca="1" ref="AE628" ca="1">_xll.FDS($E$9,"P_PRICE("&amp;AJ628&amp;",0,D,D)")</f>
        <v>4554.6400000000003</v>
      </c>
      <c r="AF628" s="9" cm="1">
        <f t="array" aca="1" ref="AF628" ca="1">_xll.FDS($E$9,"P_PRICE("&amp;AK628&amp;",0,D,D)")</f>
        <v>4115.24</v>
      </c>
      <c r="AG628" s="20">
        <f t="shared" ca="1" si="169"/>
        <v>45159</v>
      </c>
      <c r="AH628" s="22">
        <f t="shared" ca="1" si="164"/>
        <v>45152</v>
      </c>
      <c r="AI628" s="22">
        <f t="shared" ca="1" si="165"/>
        <v>45145</v>
      </c>
      <c r="AJ628" s="22">
        <f t="shared" ca="1" si="166"/>
        <v>45131</v>
      </c>
      <c r="AK628" s="22">
        <f t="shared" ca="1" si="167"/>
        <v>45070</v>
      </c>
      <c r="AL628" s="22">
        <f t="shared" ca="1" si="168"/>
        <v>44985</v>
      </c>
    </row>
    <row r="629" spans="4:38" x14ac:dyDescent="0.25">
      <c r="D629" s="6">
        <f ca="1"/>
        <v>45156</v>
      </c>
      <c r="E629" s="28" cm="1">
        <f t="array" aca="1" ref="E629" ca="1">_xll.FDS($E$7,"P_PRICE("&amp;D629&amp;",0,D,D)")</f>
        <v>56.44</v>
      </c>
      <c r="F629" s="29" cm="1">
        <f t="array" aca="1" ref="F629" ca="1">_xll.FDS($E$7,"P_BETA_LOCIDX("&amp;$AG629&amp;","&amp;$AL629&amp;",,"""&amp;$E$9&amp;""")")</f>
        <v>1.0778266000000001</v>
      </c>
      <c r="G629" s="30">
        <f t="shared" ca="1" si="154"/>
        <v>-5.7934217292112712E-3</v>
      </c>
      <c r="H629" s="30">
        <f t="shared" ca="1" si="154"/>
        <v>-2.2157570295252095E-2</v>
      </c>
      <c r="I629" s="30">
        <f t="shared" ca="1" si="154"/>
        <v>-2.3373632268815295E-3</v>
      </c>
      <c r="J629" s="30">
        <f t="shared" ca="1" si="154"/>
        <v>9.9708632701627581E-2</v>
      </c>
      <c r="K629" s="30">
        <f t="shared" ca="1" si="155"/>
        <v>-2.277800684221731E-2</v>
      </c>
      <c r="L629" s="30">
        <f t="shared" ca="1" si="155"/>
        <v>-2.6071772031897943E-2</v>
      </c>
      <c r="M629" s="30">
        <f t="shared" ca="1" si="155"/>
        <v>-3.9591002076123059E-2</v>
      </c>
      <c r="N629" s="30">
        <f t="shared" ca="1" si="155"/>
        <v>5.8272491631568973E-2</v>
      </c>
      <c r="O629" s="30">
        <f t="shared" ca="1" si="156"/>
        <v>-2.8571428571428581E-2</v>
      </c>
      <c r="P629" s="30">
        <f t="shared" ca="1" si="157"/>
        <v>-4.8229342327150038E-2</v>
      </c>
      <c r="Q629" s="30">
        <f t="shared" ca="1" si="158"/>
        <v>-4.1928365303004589E-2</v>
      </c>
      <c r="R629" s="30">
        <f t="shared" ca="1" si="159"/>
        <v>0.15798112433319655</v>
      </c>
      <c r="S629" s="9" cm="1">
        <f t="array" aca="1" ref="S629" ca="1">_xll.FDS($E$7,"P_PRICE("&amp;AG629&amp;",0,D,D)")</f>
        <v>56.44</v>
      </c>
      <c r="T629" s="9" cm="1">
        <f t="array" aca="1" ref="T629" ca="1">_xll.FDS($E$7,"P_PRICE("&amp;AH629&amp;",0,D,D)")</f>
        <v>58.1</v>
      </c>
      <c r="U629" s="9" cm="1">
        <f t="array" aca="1" ref="U629" ca="1">_xll.FDS($E$7,"P_PRICE("&amp;AI629&amp;",0,D,D)")</f>
        <v>59.3</v>
      </c>
      <c r="V629" s="9" cm="1">
        <f t="array" aca="1" ref="V629" ca="1">_xll.FDS($E$7,"P_PRICE("&amp;AJ629&amp;",0,D,D)")</f>
        <v>58.91</v>
      </c>
      <c r="W629" s="9" cm="1">
        <f t="array" aca="1" ref="W629" ca="1">_xll.FDS($E$7,"P_PRICE("&amp;AK629&amp;",0,D,D)")</f>
        <v>48.74</v>
      </c>
      <c r="X629" s="24">
        <f t="shared" ca="1" si="160"/>
        <v>-2.1133275836964227E-2</v>
      </c>
      <c r="Y629" s="24">
        <f t="shared" ca="1" si="161"/>
        <v>-2.4189208200927625E-2</v>
      </c>
      <c r="Z629" s="24">
        <f t="shared" ca="1" si="162"/>
        <v>-3.6732255518766244E-2</v>
      </c>
      <c r="AA629" s="24">
        <f t="shared" ca="1" si="163"/>
        <v>5.4064811196503193E-2</v>
      </c>
      <c r="AB629" s="9" cm="1">
        <f t="array" aca="1" ref="AB629" ca="1">_xll.FDS($E$9,"P_PRICE("&amp;AG629&amp;",0,D,D)")</f>
        <v>4369.71</v>
      </c>
      <c r="AC629" s="9" cm="1">
        <f t="array" aca="1" ref="AC629" ca="1">_xll.FDS($E$9,"P_PRICE("&amp;AH629&amp;",0,D,D)")</f>
        <v>4464.05</v>
      </c>
      <c r="AD629" s="9" cm="1">
        <f t="array" aca="1" ref="AD629" ca="1">_xll.FDS($E$9,"P_PRICE("&amp;AI629&amp;",0,D,D)")</f>
        <v>4478.03</v>
      </c>
      <c r="AE629" s="9" cm="1">
        <f t="array" aca="1" ref="AE629" ca="1">_xll.FDS($E$9,"P_PRICE("&amp;AJ629&amp;",0,D,D)")</f>
        <v>4536.34</v>
      </c>
      <c r="AF629" s="9" cm="1">
        <f t="array" aca="1" ref="AF629" ca="1">_xll.FDS($E$9,"P_PRICE("&amp;AK629&amp;",0,D,D)")</f>
        <v>4145.58</v>
      </c>
      <c r="AG629" s="20">
        <f t="shared" ca="1" si="169"/>
        <v>45156</v>
      </c>
      <c r="AH629" s="22">
        <f t="shared" ca="1" si="164"/>
        <v>45149</v>
      </c>
      <c r="AI629" s="22">
        <f t="shared" ca="1" si="165"/>
        <v>45142</v>
      </c>
      <c r="AJ629" s="22">
        <f t="shared" ca="1" si="166"/>
        <v>45128</v>
      </c>
      <c r="AK629" s="22">
        <f t="shared" ca="1" si="167"/>
        <v>45069</v>
      </c>
      <c r="AL629" s="22">
        <f t="shared" ca="1" si="168"/>
        <v>44984</v>
      </c>
    </row>
    <row r="630" spans="4:38" x14ac:dyDescent="0.25">
      <c r="D630" s="6">
        <f ca="1"/>
        <v>45155</v>
      </c>
      <c r="E630" s="28" cm="1">
        <f t="array" aca="1" ref="E630" ca="1">_xll.FDS($E$7,"P_PRICE("&amp;D630&amp;",0,D,D)")</f>
        <v>56.32</v>
      </c>
      <c r="F630" s="29" cm="1">
        <f t="array" aca="1" ref="F630" ca="1">_xll.FDS($E$7,"P_BETA_LOCIDX("&amp;$AG630&amp;","&amp;$AL630&amp;",,"""&amp;$E$9&amp;""")")</f>
        <v>1.0820175000000001</v>
      </c>
      <c r="G630" s="30">
        <f t="shared" ca="1" si="154"/>
        <v>-1.1774344737700452E-2</v>
      </c>
      <c r="H630" s="30">
        <f t="shared" ca="1" si="154"/>
        <v>-1.5587243472141188E-2</v>
      </c>
      <c r="I630" s="30">
        <f t="shared" ca="1" si="154"/>
        <v>-1.2931488427930932E-3</v>
      </c>
      <c r="J630" s="30">
        <f t="shared" ca="1" si="154"/>
        <v>7.8059498758197565E-2</v>
      </c>
      <c r="K630" s="30">
        <f t="shared" ca="1" si="155"/>
        <v>-2.3842093618463896E-2</v>
      </c>
      <c r="L630" s="30">
        <f t="shared" ca="1" si="155"/>
        <v>-3.161289186874866E-2</v>
      </c>
      <c r="M630" s="30">
        <f t="shared" ca="1" si="155"/>
        <v>-3.9251995961295569E-2</v>
      </c>
      <c r="N630" s="30">
        <f t="shared" ca="1" si="155"/>
        <v>4.5867861050223828E-2</v>
      </c>
      <c r="O630" s="30">
        <f t="shared" ca="1" si="156"/>
        <v>-3.5616438356164348E-2</v>
      </c>
      <c r="P630" s="30">
        <f t="shared" ca="1" si="157"/>
        <v>-4.7200135340889848E-2</v>
      </c>
      <c r="Q630" s="30">
        <f t="shared" ca="1" si="158"/>
        <v>-4.0545144804088662E-2</v>
      </c>
      <c r="R630" s="30">
        <f t="shared" ca="1" si="159"/>
        <v>0.1239273598084214</v>
      </c>
      <c r="S630" s="9" cm="1">
        <f t="array" aca="1" ref="S630" ca="1">_xll.FDS($E$7,"P_PRICE("&amp;AG630&amp;",0,D,D)")</f>
        <v>56.32</v>
      </c>
      <c r="T630" s="9" cm="1">
        <f t="array" aca="1" ref="T630" ca="1">_xll.FDS($E$7,"P_PRICE("&amp;AH630&amp;",0,D,D)")</f>
        <v>58.4</v>
      </c>
      <c r="U630" s="9" cm="1">
        <f t="array" aca="1" ref="U630" ca="1">_xll.FDS($E$7,"P_PRICE("&amp;AI630&amp;",0,D,D)")</f>
        <v>59.11</v>
      </c>
      <c r="V630" s="9" cm="1">
        <f t="array" aca="1" ref="V630" ca="1">_xll.FDS($E$7,"P_PRICE("&amp;AJ630&amp;",0,D,D)")</f>
        <v>58.7</v>
      </c>
      <c r="W630" s="9" cm="1">
        <f t="array" aca="1" ref="W630" ca="1">_xll.FDS($E$7,"P_PRICE("&amp;AK630&amp;",0,D,D)")</f>
        <v>50.11</v>
      </c>
      <c r="X630" s="24">
        <f t="shared" ca="1" si="160"/>
        <v>-2.2034850285197694E-2</v>
      </c>
      <c r="Y630" s="24">
        <f t="shared" ca="1" si="161"/>
        <v>-2.9216617909367137E-2</v>
      </c>
      <c r="Z630" s="24">
        <f t="shared" ca="1" si="162"/>
        <v>-3.6276673862756903E-2</v>
      </c>
      <c r="AA630" s="24">
        <f t="shared" ca="1" si="163"/>
        <v>4.2391052871348034E-2</v>
      </c>
      <c r="AB630" s="9" cm="1">
        <f t="array" aca="1" ref="AB630" ca="1">_xll.FDS($E$9,"P_PRICE("&amp;AG630&amp;",0,D,D)")</f>
        <v>4370.3599999999997</v>
      </c>
      <c r="AC630" s="9" cm="1">
        <f t="array" aca="1" ref="AC630" ca="1">_xll.FDS($E$9,"P_PRICE("&amp;AH630&amp;",0,D,D)")</f>
        <v>4468.83</v>
      </c>
      <c r="AD630" s="9" cm="1">
        <f t="array" aca="1" ref="AD630" ca="1">_xll.FDS($E$9,"P_PRICE("&amp;AI630&amp;",0,D,D)")</f>
        <v>4501.8900000000003</v>
      </c>
      <c r="AE630" s="9" cm="1">
        <f t="array" aca="1" ref="AE630" ca="1">_xll.FDS($E$9,"P_PRICE("&amp;AJ630&amp;",0,D,D)")</f>
        <v>4534.87</v>
      </c>
      <c r="AF630" s="9" cm="1">
        <f t="array" aca="1" ref="AF630" ca="1">_xll.FDS($E$9,"P_PRICE("&amp;AK630&amp;",0,D,D)")</f>
        <v>4192.63</v>
      </c>
      <c r="AG630" s="20">
        <f t="shared" ca="1" si="169"/>
        <v>45155</v>
      </c>
      <c r="AH630" s="22">
        <f t="shared" ca="1" si="164"/>
        <v>45148</v>
      </c>
      <c r="AI630" s="22">
        <f t="shared" ca="1" si="165"/>
        <v>45141</v>
      </c>
      <c r="AJ630" s="22">
        <f t="shared" ca="1" si="166"/>
        <v>45127</v>
      </c>
      <c r="AK630" s="22">
        <f t="shared" ca="1" si="167"/>
        <v>45068</v>
      </c>
      <c r="AL630" s="22">
        <f t="shared" ca="1" si="168"/>
        <v>44981</v>
      </c>
    </row>
    <row r="631" spans="4:38" x14ac:dyDescent="0.25">
      <c r="D631" s="6">
        <f ca="1"/>
        <v>45154</v>
      </c>
      <c r="E631" s="28" cm="1">
        <f t="array" aca="1" ref="E631" ca="1">_xll.FDS($E$7,"P_PRICE("&amp;D631&amp;",0,D,D)")</f>
        <v>57.47</v>
      </c>
      <c r="F631" s="29" cm="1">
        <f t="array" aca="1" ref="F631" ca="1">_xll.FDS($E$7,"P_BETA_LOCIDX("&amp;$AG631&amp;","&amp;$AL631&amp;",,"""&amp;$E$9&amp;""")")</f>
        <v>1.0715562000000001</v>
      </c>
      <c r="G631" s="30">
        <f t="shared" ca="1" si="154"/>
        <v>-6.2527601249680476E-3</v>
      </c>
      <c r="H631" s="30">
        <f t="shared" ca="1" si="154"/>
        <v>5.1055276909127076E-3</v>
      </c>
      <c r="I631" s="30">
        <f t="shared" ca="1" si="154"/>
        <v>2.5843892349282312E-2</v>
      </c>
      <c r="J631" s="30">
        <f t="shared" ca="1" si="154"/>
        <v>8.9855947827014115E-2</v>
      </c>
      <c r="K631" s="30">
        <f t="shared" ca="1" si="155"/>
        <v>-1.5201351913172579E-2</v>
      </c>
      <c r="L631" s="30">
        <f t="shared" ca="1" si="155"/>
        <v>-2.5892714605208193E-2</v>
      </c>
      <c r="M631" s="30">
        <f t="shared" ca="1" si="155"/>
        <v>-3.7877586693445993E-2</v>
      </c>
      <c r="N631" s="30">
        <f t="shared" ca="1" si="155"/>
        <v>5.4281022111269832E-2</v>
      </c>
      <c r="O631" s="30">
        <f t="shared" ca="1" si="156"/>
        <v>-2.1454112038140627E-2</v>
      </c>
      <c r="P631" s="30">
        <f t="shared" ca="1" si="157"/>
        <v>-2.0787186914295486E-2</v>
      </c>
      <c r="Q631" s="30">
        <f t="shared" ca="1" si="158"/>
        <v>-1.2033694344163681E-2</v>
      </c>
      <c r="R631" s="30">
        <f t="shared" ca="1" si="159"/>
        <v>0.14413696993828395</v>
      </c>
      <c r="S631" s="9" cm="1">
        <f t="array" aca="1" ref="S631" ca="1">_xll.FDS($E$7,"P_PRICE("&amp;AG631&amp;",0,D,D)")</f>
        <v>57.47</v>
      </c>
      <c r="T631" s="9" cm="1">
        <f t="array" aca="1" ref="T631" ca="1">_xll.FDS($E$7,"P_PRICE("&amp;AH631&amp;",0,D,D)")</f>
        <v>58.73</v>
      </c>
      <c r="U631" s="9" cm="1">
        <f t="array" aca="1" ref="U631" ca="1">_xll.FDS($E$7,"P_PRICE("&amp;AI631&amp;",0,D,D)")</f>
        <v>58.69</v>
      </c>
      <c r="V631" s="9" cm="1">
        <f t="array" aca="1" ref="V631" ca="1">_xll.FDS($E$7,"P_PRICE("&amp;AJ631&amp;",0,D,D)")</f>
        <v>58.17</v>
      </c>
      <c r="W631" s="9" cm="1">
        <f t="array" aca="1" ref="W631" ca="1">_xll.FDS($E$7,"P_PRICE("&amp;AK631&amp;",0,D,D)")</f>
        <v>50.23</v>
      </c>
      <c r="X631" s="24">
        <f t="shared" ca="1" si="160"/>
        <v>-1.4186238587553857E-2</v>
      </c>
      <c r="Y631" s="24">
        <f t="shared" ca="1" si="161"/>
        <v>-2.4163655256913441E-2</v>
      </c>
      <c r="Z631" s="24">
        <f t="shared" ca="1" si="162"/>
        <v>-3.5348203569207093E-2</v>
      </c>
      <c r="AA631" s="24">
        <f t="shared" ca="1" si="163"/>
        <v>5.0656253130978879E-2</v>
      </c>
      <c r="AB631" s="9" cm="1">
        <f t="array" aca="1" ref="AB631" ca="1">_xll.FDS($E$9,"P_PRICE("&amp;AG631&amp;",0,D,D)")</f>
        <v>4404.33</v>
      </c>
      <c r="AC631" s="9" cm="1">
        <f t="array" aca="1" ref="AC631" ca="1">_xll.FDS($E$9,"P_PRICE("&amp;AH631&amp;",0,D,D)")</f>
        <v>4467.71</v>
      </c>
      <c r="AD631" s="9" cm="1">
        <f t="array" aca="1" ref="AD631" ca="1">_xll.FDS($E$9,"P_PRICE("&amp;AI631&amp;",0,D,D)")</f>
        <v>4513.3900000000003</v>
      </c>
      <c r="AE631" s="9" cm="1">
        <f t="array" aca="1" ref="AE631" ca="1">_xll.FDS($E$9,"P_PRICE("&amp;AJ631&amp;",0,D,D)")</f>
        <v>4565.72</v>
      </c>
      <c r="AF631" s="9" cm="1">
        <f t="array" aca="1" ref="AF631" ca="1">_xll.FDS($E$9,"P_PRICE("&amp;AK631&amp;",0,D,D)")</f>
        <v>4191.9799999999996</v>
      </c>
      <c r="AG631" s="20">
        <f t="shared" ca="1" si="169"/>
        <v>45154</v>
      </c>
      <c r="AH631" s="22">
        <f t="shared" ca="1" si="164"/>
        <v>45147</v>
      </c>
      <c r="AI631" s="22">
        <f t="shared" ca="1" si="165"/>
        <v>45140</v>
      </c>
      <c r="AJ631" s="22">
        <f t="shared" ca="1" si="166"/>
        <v>45126</v>
      </c>
      <c r="AK631" s="22">
        <f t="shared" ca="1" si="167"/>
        <v>45065</v>
      </c>
      <c r="AL631" s="22">
        <f t="shared" ca="1" si="168"/>
        <v>44980</v>
      </c>
    </row>
    <row r="632" spans="4:38" x14ac:dyDescent="0.25">
      <c r="D632" s="6">
        <f ca="1"/>
        <v>45153</v>
      </c>
      <c r="E632" s="28" cm="1">
        <f t="array" aca="1" ref="E632" ca="1">_xll.FDS($E$7,"P_PRICE("&amp;D632&amp;",0,D,D)")</f>
        <v>57.55</v>
      </c>
      <c r="F632" s="29" cm="1">
        <f t="array" aca="1" ref="F632" ca="1">_xll.FDS($E$7,"P_BETA_LOCIDX("&amp;$AG632&amp;","&amp;$AL632&amp;",,"""&amp;$E$9&amp;""")")</f>
        <v>1.0812668000000001</v>
      </c>
      <c r="G632" s="30">
        <f t="shared" ca="1" si="154"/>
        <v>-2.25192904769058E-2</v>
      </c>
      <c r="H632" s="30">
        <f t="shared" ca="1" si="154"/>
        <v>-4.9778508199188817E-3</v>
      </c>
      <c r="I632" s="30">
        <f t="shared" ca="1" si="154"/>
        <v>1.9359637333651716E-2</v>
      </c>
      <c r="J632" s="30">
        <f t="shared" ca="1" si="154"/>
        <v>8.831349894154869E-2</v>
      </c>
      <c r="K632" s="30">
        <f t="shared" ca="1" si="155"/>
        <v>-1.4784155491645596E-2</v>
      </c>
      <c r="L632" s="30">
        <f t="shared" ca="1" si="155"/>
        <v>-3.2808472537379264E-2</v>
      </c>
      <c r="M632" s="30">
        <f t="shared" ca="1" si="155"/>
        <v>-2.7802090814010152E-2</v>
      </c>
      <c r="N632" s="30">
        <f t="shared" ca="1" si="155"/>
        <v>6.1766437109610405E-2</v>
      </c>
      <c r="O632" s="30">
        <f t="shared" ca="1" si="156"/>
        <v>-3.7303445968551396E-2</v>
      </c>
      <c r="P632" s="30">
        <f t="shared" ca="1" si="157"/>
        <v>-3.7786323357298146E-2</v>
      </c>
      <c r="Q632" s="30">
        <f t="shared" ca="1" si="158"/>
        <v>-8.4424534803584361E-3</v>
      </c>
      <c r="R632" s="30">
        <f t="shared" ca="1" si="159"/>
        <v>0.1500799360511591</v>
      </c>
      <c r="S632" s="9" cm="1">
        <f t="array" aca="1" ref="S632" ca="1">_xll.FDS($E$7,"P_PRICE("&amp;AG632&amp;",0,D,D)")</f>
        <v>57.55</v>
      </c>
      <c r="T632" s="9" cm="1">
        <f t="array" aca="1" ref="T632" ca="1">_xll.FDS($E$7,"P_PRICE("&amp;AH632&amp;",0,D,D)")</f>
        <v>59.78</v>
      </c>
      <c r="U632" s="9" cm="1">
        <f t="array" aca="1" ref="U632" ca="1">_xll.FDS($E$7,"P_PRICE("&amp;AI632&amp;",0,D,D)")</f>
        <v>59.81</v>
      </c>
      <c r="V632" s="9" cm="1">
        <f t="array" aca="1" ref="V632" ca="1">_xll.FDS($E$7,"P_PRICE("&amp;AJ632&amp;",0,D,D)")</f>
        <v>58.04</v>
      </c>
      <c r="W632" s="9" cm="1">
        <f t="array" aca="1" ref="W632" ca="1">_xll.FDS($E$7,"P_PRICE("&amp;AK632&amp;",0,D,D)")</f>
        <v>50.04</v>
      </c>
      <c r="X632" s="24">
        <f t="shared" ca="1" si="160"/>
        <v>-1.3672994945970407E-2</v>
      </c>
      <c r="Y632" s="24">
        <f t="shared" ca="1" si="161"/>
        <v>-3.03426245376065E-2</v>
      </c>
      <c r="Z632" s="24">
        <f t="shared" ca="1" si="162"/>
        <v>-2.5712516849689782E-2</v>
      </c>
      <c r="AA632" s="24">
        <f t="shared" ca="1" si="163"/>
        <v>5.7124140970212345E-2</v>
      </c>
      <c r="AB632" s="9" cm="1">
        <f t="array" aca="1" ref="AB632" ca="1">_xll.FDS($E$9,"P_PRICE("&amp;AG632&amp;",0,D,D)")</f>
        <v>4437.8599999999997</v>
      </c>
      <c r="AC632" s="9" cm="1">
        <f t="array" aca="1" ref="AC632" ca="1">_xll.FDS($E$9,"P_PRICE("&amp;AH632&amp;",0,D,D)")</f>
        <v>4499.38</v>
      </c>
      <c r="AD632" s="9" cm="1">
        <f t="array" aca="1" ref="AD632" ca="1">_xll.FDS($E$9,"P_PRICE("&amp;AI632&amp;",0,D,D)")</f>
        <v>4576.7299999999996</v>
      </c>
      <c r="AE632" s="9" cm="1">
        <f t="array" aca="1" ref="AE632" ca="1">_xll.FDS($E$9,"P_PRICE("&amp;AJ632&amp;",0,D,D)")</f>
        <v>4554.9799999999996</v>
      </c>
      <c r="AF632" s="9" cm="1">
        <f t="array" aca="1" ref="AF632" ca="1">_xll.FDS($E$9,"P_PRICE("&amp;AK632&amp;",0,D,D)")</f>
        <v>4198.05</v>
      </c>
      <c r="AG632" s="20">
        <f t="shared" ca="1" si="169"/>
        <v>45153</v>
      </c>
      <c r="AH632" s="22">
        <f t="shared" ca="1" si="164"/>
        <v>45146</v>
      </c>
      <c r="AI632" s="22">
        <f t="shared" ca="1" si="165"/>
        <v>45139</v>
      </c>
      <c r="AJ632" s="22">
        <f t="shared" ca="1" si="166"/>
        <v>45125</v>
      </c>
      <c r="AK632" s="22">
        <f t="shared" ca="1" si="167"/>
        <v>45064</v>
      </c>
      <c r="AL632" s="22">
        <f t="shared" ca="1" si="168"/>
        <v>44979</v>
      </c>
    </row>
    <row r="633" spans="4:38" x14ac:dyDescent="0.25">
      <c r="D633" s="6">
        <f ca="1"/>
        <v>45152</v>
      </c>
      <c r="E633" s="28" cm="1">
        <f t="array" aca="1" ref="E633" ca="1">_xll.FDS($E$7,"P_PRICE("&amp;D633&amp;",0,D,D)")</f>
        <v>58.19</v>
      </c>
      <c r="F633" s="29" cm="1">
        <f t="array" aca="1" ref="F633" ca="1">_xll.FDS($E$7,"P_BETA_LOCIDX("&amp;$AG633&amp;","&amp;$AL633&amp;",,"""&amp;$E$9&amp;""")")</f>
        <v>1.0488411</v>
      </c>
      <c r="G633" s="30">
        <f t="shared" ca="1" si="154"/>
        <v>-2.4146172818126158E-2</v>
      </c>
      <c r="H633" s="30">
        <f t="shared" ca="1" si="154"/>
        <v>-1.2309664533588609E-2</v>
      </c>
      <c r="I633" s="30">
        <f t="shared" ca="1" si="154"/>
        <v>1.8965466993703318E-2</v>
      </c>
      <c r="J633" s="30">
        <f t="shared" ca="1" si="154"/>
        <v>8.7830761523995896E-2</v>
      </c>
      <c r="K633" s="30">
        <f t="shared" ca="1" si="155"/>
        <v>-6.6666186542256711E-3</v>
      </c>
      <c r="L633" s="30">
        <f t="shared" ca="1" si="155"/>
        <v>-2.2682043592447861E-2</v>
      </c>
      <c r="M633" s="30">
        <f t="shared" ca="1" si="155"/>
        <v>-7.6689775950242074E-3</v>
      </c>
      <c r="N633" s="30">
        <f t="shared" ca="1" si="155"/>
        <v>8.3465534772300384E-2</v>
      </c>
      <c r="O633" s="30">
        <f t="shared" ca="1" si="156"/>
        <v>-3.081279147235183E-2</v>
      </c>
      <c r="P633" s="30">
        <f t="shared" ca="1" si="157"/>
        <v>-3.4991708126036469E-2</v>
      </c>
      <c r="Q633" s="30">
        <f t="shared" ca="1" si="158"/>
        <v>1.129648939867911E-2</v>
      </c>
      <c r="R633" s="30">
        <f t="shared" ca="1" si="159"/>
        <v>0.17129629629629628</v>
      </c>
      <c r="S633" s="9" cm="1">
        <f t="array" aca="1" ref="S633" ca="1">_xll.FDS($E$7,"P_PRICE("&amp;AG633&amp;",0,D,D)")</f>
        <v>58.19</v>
      </c>
      <c r="T633" s="9" cm="1">
        <f t="array" aca="1" ref="T633" ca="1">_xll.FDS($E$7,"P_PRICE("&amp;AH633&amp;",0,D,D)")</f>
        <v>60.04</v>
      </c>
      <c r="U633" s="9" cm="1">
        <f t="array" aca="1" ref="U633" ca="1">_xll.FDS($E$7,"P_PRICE("&amp;AI633&amp;",0,D,D)")</f>
        <v>60.3</v>
      </c>
      <c r="V633" s="9" cm="1">
        <f t="array" aca="1" ref="V633" ca="1">_xll.FDS($E$7,"P_PRICE("&amp;AJ633&amp;",0,D,D)")</f>
        <v>57.54</v>
      </c>
      <c r="W633" s="9" cm="1">
        <f t="array" aca="1" ref="W633" ca="1">_xll.FDS($E$7,"P_PRICE("&amp;AK633&amp;",0,D,D)")</f>
        <v>49.68</v>
      </c>
      <c r="X633" s="24">
        <f t="shared" ca="1" si="160"/>
        <v>-6.3561760253537658E-3</v>
      </c>
      <c r="Y633" s="24">
        <f t="shared" ca="1" si="161"/>
        <v>-2.1625814999476911E-2</v>
      </c>
      <c r="Z633" s="24">
        <f t="shared" ca="1" si="162"/>
        <v>-7.3118583882956223E-3</v>
      </c>
      <c r="AA633" s="24">
        <f t="shared" ca="1" si="163"/>
        <v>7.9578817775447952E-2</v>
      </c>
      <c r="AB633" s="9" cm="1">
        <f t="array" aca="1" ref="AB633" ca="1">_xll.FDS($E$9,"P_PRICE("&amp;AG633&amp;",0,D,D)")</f>
        <v>4489.72</v>
      </c>
      <c r="AC633" s="9" cm="1">
        <f t="array" aca="1" ref="AC633" ca="1">_xll.FDS($E$9,"P_PRICE("&amp;AH633&amp;",0,D,D)")</f>
        <v>4518.4399999999996</v>
      </c>
      <c r="AD633" s="9" cm="1">
        <f t="array" aca="1" ref="AD633" ca="1">_xll.FDS($E$9,"P_PRICE("&amp;AI633&amp;",0,D,D)")</f>
        <v>4588.96</v>
      </c>
      <c r="AE633" s="9" cm="1">
        <f t="array" aca="1" ref="AE633" ca="1">_xll.FDS($E$9,"P_PRICE("&amp;AJ633&amp;",0,D,D)")</f>
        <v>4522.79</v>
      </c>
      <c r="AF633" s="9" cm="1">
        <f t="array" aca="1" ref="AF633" ca="1">_xll.FDS($E$9,"P_PRICE("&amp;AK633&amp;",0,D,D)")</f>
        <v>4158.7700000000004</v>
      </c>
      <c r="AG633" s="20">
        <f t="shared" ca="1" si="169"/>
        <v>45152</v>
      </c>
      <c r="AH633" s="22">
        <f t="shared" ca="1" si="164"/>
        <v>45145</v>
      </c>
      <c r="AI633" s="22">
        <f t="shared" ca="1" si="165"/>
        <v>45138</v>
      </c>
      <c r="AJ633" s="22">
        <f t="shared" ca="1" si="166"/>
        <v>45124</v>
      </c>
      <c r="AK633" s="22">
        <f t="shared" ca="1" si="167"/>
        <v>45063</v>
      </c>
      <c r="AL633" s="22">
        <f t="shared" ca="1" si="168"/>
        <v>44978</v>
      </c>
    </row>
    <row r="634" spans="4:38" x14ac:dyDescent="0.25">
      <c r="D634" s="6">
        <f ca="1"/>
        <v>45149</v>
      </c>
      <c r="E634" s="28" cm="1">
        <f t="array" aca="1" ref="E634" ca="1">_xll.FDS($E$7,"P_PRICE("&amp;D634&amp;",0,D,D)")</f>
        <v>58.1</v>
      </c>
      <c r="F634" s="29" cm="1">
        <f t="array" aca="1" ref="F634" ca="1">_xll.FDS($E$7,"P_BETA_LOCIDX("&amp;$AG634&amp;","&amp;$AL634&amp;",,"""&amp;$E$9&amp;""")")</f>
        <v>1.052433</v>
      </c>
      <c r="G634" s="30">
        <f t="shared" ca="1" si="154"/>
        <v>-1.6950488142591164E-2</v>
      </c>
      <c r="H634" s="30">
        <f t="shared" ca="1" si="154"/>
        <v>-5.8128265945196177E-3</v>
      </c>
      <c r="I634" s="30">
        <f t="shared" ca="1" si="154"/>
        <v>2.2564704246647659E-2</v>
      </c>
      <c r="J634" s="30">
        <f t="shared" ca="1" si="154"/>
        <v>9.1888706607188911E-2</v>
      </c>
      <c r="K634" s="30">
        <f t="shared" ca="1" si="155"/>
        <v>-3.2855995471221364E-3</v>
      </c>
      <c r="L634" s="30">
        <f t="shared" ca="1" si="155"/>
        <v>-2.7143231994028936E-2</v>
      </c>
      <c r="M634" s="30">
        <f t="shared" ca="1" si="155"/>
        <v>-9.6637279565500948E-3</v>
      </c>
      <c r="N634" s="30">
        <f t="shared" ca="1" si="155"/>
        <v>9.068813035596994E-2</v>
      </c>
      <c r="O634" s="30">
        <f t="shared" ca="1" si="156"/>
        <v>-2.02360876897133E-2</v>
      </c>
      <c r="P634" s="30">
        <f t="shared" ca="1" si="157"/>
        <v>-3.2956058588548554E-2</v>
      </c>
      <c r="Q634" s="30">
        <f t="shared" ca="1" si="158"/>
        <v>1.2900976290097566E-2</v>
      </c>
      <c r="R634" s="30">
        <f t="shared" ca="1" si="159"/>
        <v>0.18257683696315885</v>
      </c>
      <c r="S634" s="9" cm="1">
        <f t="array" aca="1" ref="S634" ca="1">_xll.FDS($E$7,"P_PRICE("&amp;AG634&amp;",0,D,D)")</f>
        <v>58.1</v>
      </c>
      <c r="T634" s="9" cm="1">
        <f t="array" aca="1" ref="T634" ca="1">_xll.FDS($E$7,"P_PRICE("&amp;AH634&amp;",0,D,D)")</f>
        <v>59.3</v>
      </c>
      <c r="U634" s="9" cm="1">
        <f t="array" aca="1" ref="U634" ca="1">_xll.FDS($E$7,"P_PRICE("&amp;AI634&amp;",0,D,D)")</f>
        <v>60.08</v>
      </c>
      <c r="V634" s="9" cm="1">
        <f t="array" aca="1" ref="V634" ca="1">_xll.FDS($E$7,"P_PRICE("&amp;AJ634&amp;",0,D,D)")</f>
        <v>57.36</v>
      </c>
      <c r="W634" s="9" cm="1">
        <f t="array" aca="1" ref="W634" ca="1">_xll.FDS($E$7,"P_PRICE("&amp;AK634&amp;",0,D,D)")</f>
        <v>49.13</v>
      </c>
      <c r="X634" s="24">
        <f t="shared" ca="1" si="160"/>
        <v>-3.1219085178079142E-3</v>
      </c>
      <c r="Y634" s="24">
        <f t="shared" ca="1" si="161"/>
        <v>-2.5790935854376418E-2</v>
      </c>
      <c r="Z634" s="24">
        <f t="shared" ca="1" si="162"/>
        <v>-9.1822737946739563E-3</v>
      </c>
      <c r="AA634" s="24">
        <f t="shared" ca="1" si="163"/>
        <v>8.6169979804861629E-2</v>
      </c>
      <c r="AB634" s="9" cm="1">
        <f t="array" aca="1" ref="AB634" ca="1">_xll.FDS($E$9,"P_PRICE("&amp;AG634&amp;",0,D,D)")</f>
        <v>4464.05</v>
      </c>
      <c r="AC634" s="9" cm="1">
        <f t="array" aca="1" ref="AC634" ca="1">_xll.FDS($E$9,"P_PRICE("&amp;AH634&amp;",0,D,D)")</f>
        <v>4478.03</v>
      </c>
      <c r="AD634" s="9" cm="1">
        <f t="array" aca="1" ref="AD634" ca="1">_xll.FDS($E$9,"P_PRICE("&amp;AI634&amp;",0,D,D)")</f>
        <v>4582.2299999999996</v>
      </c>
      <c r="AE634" s="9" cm="1">
        <f t="array" aca="1" ref="AE634" ca="1">_xll.FDS($E$9,"P_PRICE("&amp;AJ634&amp;",0,D,D)")</f>
        <v>4505.42</v>
      </c>
      <c r="AF634" s="9" cm="1">
        <f t="array" aca="1" ref="AF634" ca="1">_xll.FDS($E$9,"P_PRICE("&amp;AK634&amp;",0,D,D)")</f>
        <v>4109.8999999999996</v>
      </c>
      <c r="AG634" s="20">
        <f t="shared" ca="1" si="169"/>
        <v>45149</v>
      </c>
      <c r="AH634" s="22">
        <f t="shared" ca="1" si="164"/>
        <v>45142</v>
      </c>
      <c r="AI634" s="22">
        <f t="shared" ca="1" si="165"/>
        <v>45135</v>
      </c>
      <c r="AJ634" s="22">
        <f t="shared" ca="1" si="166"/>
        <v>45121</v>
      </c>
      <c r="AK634" s="22">
        <f t="shared" ca="1" si="167"/>
        <v>45062</v>
      </c>
      <c r="AL634" s="22">
        <f t="shared" ca="1" si="168"/>
        <v>44974</v>
      </c>
    </row>
    <row r="635" spans="4:38" x14ac:dyDescent="0.25">
      <c r="D635" s="6">
        <f ca="1"/>
        <v>45148</v>
      </c>
      <c r="E635" s="28" cm="1">
        <f t="array" aca="1" ref="E635" ca="1">_xll.FDS($E$7,"P_PRICE("&amp;D635&amp;",0,D,D)")</f>
        <v>58.4</v>
      </c>
      <c r="F635" s="29" cm="1">
        <f t="array" aca="1" ref="F635" ca="1">_xll.FDS($E$7,"P_BETA_LOCIDX("&amp;$AG635&amp;","&amp;$AL635&amp;",,"""&amp;$E$9&amp;""")")</f>
        <v>1.0584737</v>
      </c>
      <c r="G635" s="30">
        <f t="shared" ca="1" si="154"/>
        <v>-4.2385151815987517E-3</v>
      </c>
      <c r="H635" s="30">
        <f t="shared" ca="1" si="154"/>
        <v>-3.4007664859175835E-4</v>
      </c>
      <c r="I635" s="30">
        <f t="shared" ca="1" si="154"/>
        <v>3.1007819831470634E-2</v>
      </c>
      <c r="J635" s="30">
        <f t="shared" ca="1" si="154"/>
        <v>9.4460168212350787E-2</v>
      </c>
      <c r="K635" s="30">
        <f t="shared" ca="1" si="155"/>
        <v>-7.7729887940399083E-3</v>
      </c>
      <c r="L635" s="30">
        <f t="shared" ca="1" si="155"/>
        <v>-1.599814130660443E-2</v>
      </c>
      <c r="M635" s="30">
        <f t="shared" ca="1" si="155"/>
        <v>-9.6716883169551144E-3</v>
      </c>
      <c r="N635" s="30">
        <f t="shared" ca="1" si="155"/>
        <v>8.5099516699788241E-2</v>
      </c>
      <c r="O635" s="30">
        <f t="shared" ca="1" si="156"/>
        <v>-1.201150397563866E-2</v>
      </c>
      <c r="P635" s="30">
        <f t="shared" ca="1" si="157"/>
        <v>-1.6338217955196188E-2</v>
      </c>
      <c r="Q635" s="30">
        <f t="shared" ca="1" si="158"/>
        <v>2.1336131514515522E-2</v>
      </c>
      <c r="R635" s="30">
        <f t="shared" ca="1" si="159"/>
        <v>0.17955968491213903</v>
      </c>
      <c r="S635" s="9" cm="1">
        <f t="array" aca="1" ref="S635" ca="1">_xll.FDS($E$7,"P_PRICE("&amp;AG635&amp;",0,D,D)")</f>
        <v>58.4</v>
      </c>
      <c r="T635" s="9" cm="1">
        <f t="array" aca="1" ref="T635" ca="1">_xll.FDS($E$7,"P_PRICE("&amp;AH635&amp;",0,D,D)")</f>
        <v>59.11</v>
      </c>
      <c r="U635" s="9" cm="1">
        <f t="array" aca="1" ref="U635" ca="1">_xll.FDS($E$7,"P_PRICE("&amp;AI635&amp;",0,D,D)")</f>
        <v>59.37</v>
      </c>
      <c r="V635" s="9" cm="1">
        <f t="array" aca="1" ref="V635" ca="1">_xll.FDS($E$7,"P_PRICE("&amp;AJ635&amp;",0,D,D)")</f>
        <v>57.18</v>
      </c>
      <c r="W635" s="9" cm="1">
        <f t="array" aca="1" ref="W635" ca="1">_xll.FDS($E$7,"P_PRICE("&amp;AK635&amp;",0,D,D)")</f>
        <v>49.51</v>
      </c>
      <c r="X635" s="24">
        <f t="shared" ca="1" si="160"/>
        <v>-7.3435823620746632E-3</v>
      </c>
      <c r="Y635" s="24">
        <f t="shared" ca="1" si="161"/>
        <v>-1.5114349375524805E-2</v>
      </c>
      <c r="Z635" s="24">
        <f t="shared" ca="1" si="162"/>
        <v>-9.1373912426497839E-3</v>
      </c>
      <c r="AA635" s="24">
        <f t="shared" ca="1" si="163"/>
        <v>8.039832893324439E-2</v>
      </c>
      <c r="AB635" s="9" cm="1">
        <f t="array" aca="1" ref="AB635" ca="1">_xll.FDS($E$9,"P_PRICE("&amp;AG635&amp;",0,D,D)")</f>
        <v>4468.83</v>
      </c>
      <c r="AC635" s="9" cm="1">
        <f t="array" aca="1" ref="AC635" ca="1">_xll.FDS($E$9,"P_PRICE("&amp;AH635&amp;",0,D,D)")</f>
        <v>4501.8900000000003</v>
      </c>
      <c r="AD635" s="9" cm="1">
        <f t="array" aca="1" ref="AD635" ca="1">_xll.FDS($E$9,"P_PRICE("&amp;AI635&amp;",0,D,D)")</f>
        <v>4537.41</v>
      </c>
      <c r="AE635" s="9" cm="1">
        <f t="array" aca="1" ref="AE635" ca="1">_xll.FDS($E$9,"P_PRICE("&amp;AJ635&amp;",0,D,D)")</f>
        <v>4510.04</v>
      </c>
      <c r="AF635" s="9" cm="1">
        <f t="array" aca="1" ref="AF635" ca="1">_xll.FDS($E$9,"P_PRICE("&amp;AK635&amp;",0,D,D)")</f>
        <v>4136.28</v>
      </c>
      <c r="AG635" s="20">
        <f t="shared" ca="1" si="169"/>
        <v>45148</v>
      </c>
      <c r="AH635" s="22">
        <f t="shared" ca="1" si="164"/>
        <v>45141</v>
      </c>
      <c r="AI635" s="22">
        <f t="shared" ca="1" si="165"/>
        <v>45134</v>
      </c>
      <c r="AJ635" s="22">
        <f t="shared" ca="1" si="166"/>
        <v>45120</v>
      </c>
      <c r="AK635" s="22">
        <f t="shared" ca="1" si="167"/>
        <v>45061</v>
      </c>
      <c r="AL635" s="22">
        <f t="shared" ca="1" si="168"/>
        <v>44973</v>
      </c>
    </row>
    <row r="636" spans="4:38" x14ac:dyDescent="0.25">
      <c r="D636" s="6">
        <f ca="1"/>
        <v>45147</v>
      </c>
      <c r="E636" s="28" cm="1">
        <f t="array" aca="1" ref="E636" ca="1">_xll.FDS($E$7,"P_PRICE("&amp;D636&amp;",0,D,D)")</f>
        <v>58.73</v>
      </c>
      <c r="F636" s="29" cm="1">
        <f t="array" aca="1" ref="F636" ca="1">_xll.FDS($E$7,"P_BETA_LOCIDX("&amp;$AG636&amp;","&amp;$AL636&amp;",,"""&amp;$E$9&amp;""")")</f>
        <v>1.0623906999999999</v>
      </c>
      <c r="G636" s="30">
        <f t="shared" ca="1" si="154"/>
        <v>1.143399863419246E-2</v>
      </c>
      <c r="H636" s="30">
        <f t="shared" ca="1" si="154"/>
        <v>1.1594390265513576E-2</v>
      </c>
      <c r="I636" s="30">
        <f t="shared" ca="1" si="154"/>
        <v>4.1446851868572387E-2</v>
      </c>
      <c r="J636" s="30">
        <f t="shared" ca="1" si="154"/>
        <v>0.11053944578396115</v>
      </c>
      <c r="K636" s="30">
        <f t="shared" ca="1" si="155"/>
        <v>-1.0752451522248335E-2</v>
      </c>
      <c r="L636" s="30">
        <f t="shared" ca="1" si="155"/>
        <v>-2.3040274796737325E-2</v>
      </c>
      <c r="M636" s="30">
        <f t="shared" ca="1" si="155"/>
        <v>-1.057126447846225E-3</v>
      </c>
      <c r="N636" s="30">
        <f t="shared" ca="1" si="155"/>
        <v>8.8521395375695908E-2</v>
      </c>
      <c r="O636" s="30">
        <f t="shared" ca="1" si="156"/>
        <v>6.8154711194412521E-4</v>
      </c>
      <c r="P636" s="30">
        <f t="shared" ca="1" si="157"/>
        <v>-1.1445884531223749E-2</v>
      </c>
      <c r="Q636" s="30">
        <f t="shared" ca="1" si="158"/>
        <v>4.0389725420726164E-2</v>
      </c>
      <c r="R636" s="30">
        <f t="shared" ca="1" si="159"/>
        <v>0.19906084115965705</v>
      </c>
      <c r="S636" s="9" cm="1">
        <f t="array" aca="1" ref="S636" ca="1">_xll.FDS($E$7,"P_PRICE("&amp;AG636&amp;",0,D,D)")</f>
        <v>58.73</v>
      </c>
      <c r="T636" s="9" cm="1">
        <f t="array" aca="1" ref="T636" ca="1">_xll.FDS($E$7,"P_PRICE("&amp;AH636&amp;",0,D,D)")</f>
        <v>58.69</v>
      </c>
      <c r="U636" s="9" cm="1">
        <f t="array" aca="1" ref="U636" ca="1">_xll.FDS($E$7,"P_PRICE("&amp;AI636&amp;",0,D,D)")</f>
        <v>59.41</v>
      </c>
      <c r="V636" s="9" cm="1">
        <f t="array" aca="1" ref="V636" ca="1">_xll.FDS($E$7,"P_PRICE("&amp;AJ636&amp;",0,D,D)")</f>
        <v>56.45</v>
      </c>
      <c r="W636" s="9" cm="1">
        <f t="array" aca="1" ref="W636" ca="1">_xll.FDS($E$7,"P_PRICE("&amp;AK636&amp;",0,D,D)")</f>
        <v>48.98</v>
      </c>
      <c r="X636" s="24">
        <f t="shared" ca="1" si="160"/>
        <v>-1.0120995526644139E-2</v>
      </c>
      <c r="Y636" s="24">
        <f t="shared" ca="1" si="161"/>
        <v>-2.1687195489133448E-2</v>
      </c>
      <c r="Z636" s="24">
        <f t="shared" ca="1" si="162"/>
        <v>-9.9504490000357215E-4</v>
      </c>
      <c r="AA636" s="24">
        <f t="shared" ca="1" si="163"/>
        <v>8.3322825939361023E-2</v>
      </c>
      <c r="AB636" s="9" cm="1">
        <f t="array" aca="1" ref="AB636" ca="1">_xll.FDS($E$9,"P_PRICE("&amp;AG636&amp;",0,D,D)")</f>
        <v>4467.71</v>
      </c>
      <c r="AC636" s="9" cm="1">
        <f t="array" aca="1" ref="AC636" ca="1">_xll.FDS($E$9,"P_PRICE("&amp;AH636&amp;",0,D,D)")</f>
        <v>4513.3900000000003</v>
      </c>
      <c r="AD636" s="9" cm="1">
        <f t="array" aca="1" ref="AD636" ca="1">_xll.FDS($E$9,"P_PRICE("&amp;AI636&amp;",0,D,D)")</f>
        <v>4566.75</v>
      </c>
      <c r="AE636" s="9" cm="1">
        <f t="array" aca="1" ref="AE636" ca="1">_xll.FDS($E$9,"P_PRICE("&amp;AJ636&amp;",0,D,D)")</f>
        <v>4472.16</v>
      </c>
      <c r="AF636" s="9" cm="1">
        <f t="array" aca="1" ref="AF636" ca="1">_xll.FDS($E$9,"P_PRICE("&amp;AK636&amp;",0,D,D)")</f>
        <v>4124.08</v>
      </c>
      <c r="AG636" s="20">
        <f t="shared" ca="1" si="169"/>
        <v>45147</v>
      </c>
      <c r="AH636" s="22">
        <f t="shared" ca="1" si="164"/>
        <v>45140</v>
      </c>
      <c r="AI636" s="22">
        <f t="shared" ca="1" si="165"/>
        <v>45133</v>
      </c>
      <c r="AJ636" s="22">
        <f t="shared" ca="1" si="166"/>
        <v>45119</v>
      </c>
      <c r="AK636" s="22">
        <f t="shared" ca="1" si="167"/>
        <v>45058</v>
      </c>
      <c r="AL636" s="22">
        <f t="shared" ca="1" si="168"/>
        <v>44972</v>
      </c>
    </row>
    <row r="637" spans="4:38" x14ac:dyDescent="0.25">
      <c r="D637" s="6">
        <f ca="1"/>
        <v>45146</v>
      </c>
      <c r="E637" s="28" cm="1">
        <f t="array" aca="1" ref="E637" ca="1">_xll.FDS($E$7,"P_PRICE("&amp;D637&amp;",0,D,D)")</f>
        <v>59.78</v>
      </c>
      <c r="F637" s="29" cm="1">
        <f t="array" aca="1" ref="F637" ca="1">_xll.FDS($E$7,"P_BETA_LOCIDX("&amp;$AG637&amp;","&amp;$AL637&amp;",,"""&amp;$E$9&amp;""")")</f>
        <v>1.0515409</v>
      </c>
      <c r="G637" s="30">
        <f t="shared" ca="1" si="154"/>
        <v>1.7270202547609335E-2</v>
      </c>
      <c r="H637" s="30">
        <f t="shared" ca="1" si="154"/>
        <v>2.0379561919264558E-2</v>
      </c>
      <c r="I637" s="30">
        <f t="shared" ca="1" si="154"/>
        <v>6.482056618705978E-2</v>
      </c>
      <c r="J637" s="30">
        <f t="shared" ca="1" si="154"/>
        <v>0.10845703147409747</v>
      </c>
      <c r="K637" s="30">
        <f t="shared" ca="1" si="155"/>
        <v>-1.7771790910759287E-2</v>
      </c>
      <c r="L637" s="30">
        <f t="shared" ca="1" si="155"/>
        <v>-1.5673679566323442E-2</v>
      </c>
      <c r="M637" s="30">
        <f t="shared" ca="1" si="155"/>
        <v>1.4240805654095474E-2</v>
      </c>
      <c r="N637" s="30">
        <f t="shared" ca="1" si="155"/>
        <v>9.3876033690826088E-2</v>
      </c>
      <c r="O637" s="30">
        <f t="shared" ca="1" si="156"/>
        <v>-5.0158836314995181E-4</v>
      </c>
      <c r="P637" s="30">
        <f t="shared" ca="1" si="157"/>
        <v>4.7058823529411153E-3</v>
      </c>
      <c r="Q637" s="30">
        <f t="shared" ca="1" si="158"/>
        <v>7.9061371841155248E-2</v>
      </c>
      <c r="R637" s="30">
        <f t="shared" ca="1" si="159"/>
        <v>0.20233306516492355</v>
      </c>
      <c r="S637" s="9" cm="1">
        <f t="array" aca="1" ref="S637" ca="1">_xll.FDS($E$7,"P_PRICE("&amp;AG637&amp;",0,D,D)")</f>
        <v>59.78</v>
      </c>
      <c r="T637" s="9" cm="1">
        <f t="array" aca="1" ref="T637" ca="1">_xll.FDS($E$7,"P_PRICE("&amp;AH637&amp;",0,D,D)")</f>
        <v>59.81</v>
      </c>
      <c r="U637" s="9" cm="1">
        <f t="array" aca="1" ref="U637" ca="1">_xll.FDS($E$7,"P_PRICE("&amp;AI637&amp;",0,D,D)")</f>
        <v>59.5</v>
      </c>
      <c r="V637" s="9" cm="1">
        <f t="array" aca="1" ref="V637" ca="1">_xll.FDS($E$7,"P_PRICE("&amp;AJ637&amp;",0,D,D)")</f>
        <v>55.4</v>
      </c>
      <c r="W637" s="9" cm="1">
        <f t="array" aca="1" ref="W637" ca="1">_xll.FDS($E$7,"P_PRICE("&amp;AK637&amp;",0,D,D)")</f>
        <v>49.72</v>
      </c>
      <c r="X637" s="24">
        <f t="shared" ca="1" si="160"/>
        <v>-1.6900712954445507E-2</v>
      </c>
      <c r="Y637" s="24">
        <f t="shared" ca="1" si="161"/>
        <v>-1.490543978491321E-2</v>
      </c>
      <c r="Z637" s="24">
        <f t="shared" ca="1" si="162"/>
        <v>1.3542797673486096E-2</v>
      </c>
      <c r="AA637" s="24">
        <f t="shared" ca="1" si="163"/>
        <v>8.9274733575104959E-2</v>
      </c>
      <c r="AB637" s="9" cm="1">
        <f t="array" aca="1" ref="AB637" ca="1">_xll.FDS($E$9,"P_PRICE("&amp;AG637&amp;",0,D,D)")</f>
        <v>4499.38</v>
      </c>
      <c r="AC637" s="9" cm="1">
        <f t="array" aca="1" ref="AC637" ca="1">_xll.FDS($E$9,"P_PRICE("&amp;AH637&amp;",0,D,D)")</f>
        <v>4576.7299999999996</v>
      </c>
      <c r="AD637" s="9" cm="1">
        <f t="array" aca="1" ref="AD637" ca="1">_xll.FDS($E$9,"P_PRICE("&amp;AI637&amp;",0,D,D)")</f>
        <v>4567.46</v>
      </c>
      <c r="AE637" s="9" cm="1">
        <f t="array" aca="1" ref="AE637" ca="1">_xll.FDS($E$9,"P_PRICE("&amp;AJ637&amp;",0,D,D)")</f>
        <v>4439.26</v>
      </c>
      <c r="AF637" s="9" cm="1">
        <f t="array" aca="1" ref="AF637" ca="1">_xll.FDS($E$9,"P_PRICE("&amp;AK637&amp;",0,D,D)")</f>
        <v>4130.62</v>
      </c>
      <c r="AG637" s="20">
        <f t="shared" ca="1" si="169"/>
        <v>45146</v>
      </c>
      <c r="AH637" s="22">
        <f t="shared" ca="1" si="164"/>
        <v>45139</v>
      </c>
      <c r="AI637" s="22">
        <f t="shared" ca="1" si="165"/>
        <v>45132</v>
      </c>
      <c r="AJ637" s="22">
        <f t="shared" ca="1" si="166"/>
        <v>45118</v>
      </c>
      <c r="AK637" s="22">
        <f t="shared" ca="1" si="167"/>
        <v>45057</v>
      </c>
      <c r="AL637" s="22">
        <f t="shared" ca="1" si="168"/>
        <v>44971</v>
      </c>
    </row>
    <row r="638" spans="4:38" x14ac:dyDescent="0.25">
      <c r="D638" s="6">
        <f ca="1"/>
        <v>45145</v>
      </c>
      <c r="E638" s="28" cm="1">
        <f t="array" aca="1" ref="E638" ca="1">_xll.FDS($E$7,"P_PRICE("&amp;D638&amp;",0,D,D)")</f>
        <v>60.04</v>
      </c>
      <c r="F638" s="29" cm="1">
        <f t="array" aca="1" ref="F638" ca="1">_xll.FDS($E$7,"P_BETA_LOCIDX("&amp;$AG638&amp;","&amp;$AL638&amp;",,"""&amp;$E$9&amp;""")")</f>
        <v>1.0607610999999999</v>
      </c>
      <c r="G638" s="30">
        <f t="shared" ca="1" si="154"/>
        <v>1.1989276925778562E-2</v>
      </c>
      <c r="H638" s="30">
        <f t="shared" ca="1" si="154"/>
        <v>2.5713141503974302E-2</v>
      </c>
      <c r="I638" s="30">
        <f t="shared" ca="1" si="154"/>
        <v>8.5652349546390796E-2</v>
      </c>
      <c r="J638" s="30">
        <f t="shared" ca="1" si="154"/>
        <v>0.11800552000596119</v>
      </c>
      <c r="K638" s="30">
        <f t="shared" ca="1" si="155"/>
        <v>-1.6301051386806712E-2</v>
      </c>
      <c r="L638" s="30">
        <f t="shared" ca="1" si="155"/>
        <v>-8.4308643098028879E-3</v>
      </c>
      <c r="M638" s="30">
        <f t="shared" ca="1" si="155"/>
        <v>2.6199502305461073E-2</v>
      </c>
      <c r="N638" s="30">
        <f t="shared" ca="1" si="155"/>
        <v>9.7625174466604028E-2</v>
      </c>
      <c r="O638" s="30">
        <f t="shared" ca="1" si="156"/>
        <v>-4.3117744610281505E-3</v>
      </c>
      <c r="P638" s="30">
        <f t="shared" ca="1" si="157"/>
        <v>1.7282277194171414E-2</v>
      </c>
      <c r="Q638" s="30">
        <f t="shared" ca="1" si="158"/>
        <v>0.11185185185185187</v>
      </c>
      <c r="R638" s="30">
        <f t="shared" ca="1" si="159"/>
        <v>0.21563069447256522</v>
      </c>
      <c r="S638" s="9" cm="1">
        <f t="array" aca="1" ref="S638" ca="1">_xll.FDS($E$7,"P_PRICE("&amp;AG638&amp;",0,D,D)")</f>
        <v>60.04</v>
      </c>
      <c r="T638" s="9" cm="1">
        <f t="array" aca="1" ref="T638" ca="1">_xll.FDS($E$7,"P_PRICE("&amp;AH638&amp;",0,D,D)")</f>
        <v>60.3</v>
      </c>
      <c r="U638" s="9" cm="1">
        <f t="array" aca="1" ref="U638" ca="1">_xll.FDS($E$7,"P_PRICE("&amp;AI638&amp;",0,D,D)")</f>
        <v>59.02</v>
      </c>
      <c r="V638" s="9" cm="1">
        <f t="array" aca="1" ref="V638" ca="1">_xll.FDS($E$7,"P_PRICE("&amp;AJ638&amp;",0,D,D)")</f>
        <v>54</v>
      </c>
      <c r="W638" s="9" cm="1">
        <f t="array" aca="1" ref="W638" ca="1">_xll.FDS($E$7,"P_PRICE("&amp;AK638&amp;",0,D,D)")</f>
        <v>49.39</v>
      </c>
      <c r="X638" s="24">
        <f t="shared" ca="1" si="160"/>
        <v>-1.5367316341829196E-2</v>
      </c>
      <c r="Y638" s="24">
        <f t="shared" ca="1" si="161"/>
        <v>-7.9479388052624556E-3</v>
      </c>
      <c r="Z638" s="24">
        <f t="shared" ca="1" si="162"/>
        <v>2.4698777420722795E-2</v>
      </c>
      <c r="AA638" s="24">
        <f t="shared" ca="1" si="163"/>
        <v>9.2033139664156272E-2</v>
      </c>
      <c r="AB638" s="9" cm="1">
        <f t="array" aca="1" ref="AB638" ca="1">_xll.FDS($E$9,"P_PRICE("&amp;AG638&amp;",0,D,D)")</f>
        <v>4518.4399999999996</v>
      </c>
      <c r="AC638" s="9" cm="1">
        <f t="array" aca="1" ref="AC638" ca="1">_xll.FDS($E$9,"P_PRICE("&amp;AH638&amp;",0,D,D)")</f>
        <v>4588.96</v>
      </c>
      <c r="AD638" s="9" cm="1">
        <f t="array" aca="1" ref="AD638" ca="1">_xll.FDS($E$9,"P_PRICE("&amp;AI638&amp;",0,D,D)")</f>
        <v>4554.6400000000003</v>
      </c>
      <c r="AE638" s="9" cm="1">
        <f t="array" aca="1" ref="AE638" ca="1">_xll.FDS($E$9,"P_PRICE("&amp;AJ638&amp;",0,D,D)")</f>
        <v>4409.53</v>
      </c>
      <c r="AF638" s="9" cm="1">
        <f t="array" aca="1" ref="AF638" ca="1">_xll.FDS($E$9,"P_PRICE("&amp;AK638&amp;",0,D,D)")</f>
        <v>4137.6400000000003</v>
      </c>
      <c r="AG638" s="20">
        <f t="shared" ca="1" si="169"/>
        <v>45145</v>
      </c>
      <c r="AH638" s="22">
        <f t="shared" ca="1" si="164"/>
        <v>45138</v>
      </c>
      <c r="AI638" s="22">
        <f t="shared" ca="1" si="165"/>
        <v>45131</v>
      </c>
      <c r="AJ638" s="22">
        <f t="shared" ca="1" si="166"/>
        <v>45117</v>
      </c>
      <c r="AK638" s="22">
        <f t="shared" ca="1" si="167"/>
        <v>45056</v>
      </c>
      <c r="AL638" s="22">
        <f t="shared" ca="1" si="168"/>
        <v>44970</v>
      </c>
    </row>
    <row r="639" spans="4:38" x14ac:dyDescent="0.25">
      <c r="D639" s="6">
        <f ca="1"/>
        <v>45142</v>
      </c>
      <c r="E639" s="28" cm="1">
        <f t="array" aca="1" ref="E639" ca="1">_xll.FDS($E$7,"P_PRICE("&amp;D639&amp;",0,D,D)")</f>
        <v>59.3</v>
      </c>
      <c r="F639" s="29" cm="1">
        <f t="array" aca="1" ref="F639" ca="1">_xll.FDS($E$7,"P_BETA_LOCIDX("&amp;$AG639&amp;","&amp;$AL639&amp;",,"""&amp;$E$9&amp;""")")</f>
        <v>1.0564644000000001</v>
      </c>
      <c r="G639" s="30">
        <f t="shared" ca="1" si="154"/>
        <v>1.1041331412998834E-2</v>
      </c>
      <c r="H639" s="30">
        <f t="shared" ca="1" si="154"/>
        <v>2.0200034970133555E-2</v>
      </c>
      <c r="I639" s="30">
        <f t="shared" ca="1" si="154"/>
        <v>8.8384205111719405E-2</v>
      </c>
      <c r="J639" s="30">
        <f t="shared" ca="1" si="154"/>
        <v>0.10958243156897872</v>
      </c>
      <c r="K639" s="30">
        <f t="shared" ca="1" si="155"/>
        <v>-2.402402116000284E-2</v>
      </c>
      <c r="L639" s="30">
        <f t="shared" ca="1" si="155"/>
        <v>-1.3579766764396088E-2</v>
      </c>
      <c r="M639" s="30">
        <f t="shared" ca="1" si="155"/>
        <v>1.8992078735152736E-2</v>
      </c>
      <c r="N639" s="30">
        <f t="shared" ca="1" si="155"/>
        <v>9.20386423925207E-2</v>
      </c>
      <c r="O639" s="30">
        <f t="shared" ca="1" si="156"/>
        <v>-1.2982689747004006E-2</v>
      </c>
      <c r="P639" s="30">
        <f t="shared" ca="1" si="157"/>
        <v>6.6202682057374673E-3</v>
      </c>
      <c r="Q639" s="30">
        <f t="shared" ca="1" si="158"/>
        <v>0.10737628384687214</v>
      </c>
      <c r="R639" s="30">
        <f t="shared" ca="1" si="159"/>
        <v>0.20162107396149942</v>
      </c>
      <c r="S639" s="9" cm="1">
        <f t="array" aca="1" ref="S639" ca="1">_xll.FDS($E$7,"P_PRICE("&amp;AG639&amp;",0,D,D)")</f>
        <v>59.3</v>
      </c>
      <c r="T639" s="9" cm="1">
        <f t="array" aca="1" ref="T639" ca="1">_xll.FDS($E$7,"P_PRICE("&amp;AH639&amp;",0,D,D)")</f>
        <v>60.08</v>
      </c>
      <c r="U639" s="9" cm="1">
        <f t="array" aca="1" ref="U639" ca="1">_xll.FDS($E$7,"P_PRICE("&amp;AI639&amp;",0,D,D)")</f>
        <v>58.91</v>
      </c>
      <c r="V639" s="9" cm="1">
        <f t="array" aca="1" ref="V639" ca="1">_xll.FDS($E$7,"P_PRICE("&amp;AJ639&amp;",0,D,D)")</f>
        <v>53.55</v>
      </c>
      <c r="W639" s="9" cm="1">
        <f t="array" aca="1" ref="W639" ca="1">_xll.FDS($E$7,"P_PRICE("&amp;AK639&amp;",0,D,D)")</f>
        <v>49.35</v>
      </c>
      <c r="X639" s="24">
        <f t="shared" ca="1" si="160"/>
        <v>-2.2740019597444872E-2</v>
      </c>
      <c r="Y639" s="24">
        <f t="shared" ca="1" si="161"/>
        <v>-1.2853974790249523E-2</v>
      </c>
      <c r="Z639" s="24">
        <f t="shared" ca="1" si="162"/>
        <v>1.7977017242751137E-2</v>
      </c>
      <c r="AA639" s="24">
        <f t="shared" ca="1" si="163"/>
        <v>8.7119492519123876E-2</v>
      </c>
      <c r="AB639" s="9" cm="1">
        <f t="array" aca="1" ref="AB639" ca="1">_xll.FDS($E$9,"P_PRICE("&amp;AG639&amp;",0,D,D)")</f>
        <v>4478.03</v>
      </c>
      <c r="AC639" s="9" cm="1">
        <f t="array" aca="1" ref="AC639" ca="1">_xll.FDS($E$9,"P_PRICE("&amp;AH639&amp;",0,D,D)")</f>
        <v>4582.2299999999996</v>
      </c>
      <c r="AD639" s="9" cm="1">
        <f t="array" aca="1" ref="AD639" ca="1">_xll.FDS($E$9,"P_PRICE("&amp;AI639&amp;",0,D,D)")</f>
        <v>4536.34</v>
      </c>
      <c r="AE639" s="9" cm="1">
        <f t="array" aca="1" ref="AE639" ca="1">_xll.FDS($E$9,"P_PRICE("&amp;AJ639&amp;",0,D,D)")</f>
        <v>4398.95</v>
      </c>
      <c r="AF639" s="9" cm="1">
        <f t="array" aca="1" ref="AF639" ca="1">_xll.FDS($E$9,"P_PRICE("&amp;AK639&amp;",0,D,D)")</f>
        <v>4119.17</v>
      </c>
      <c r="AG639" s="20">
        <f t="shared" ca="1" si="169"/>
        <v>45142</v>
      </c>
      <c r="AH639" s="22">
        <f t="shared" ca="1" si="164"/>
        <v>45135</v>
      </c>
      <c r="AI639" s="22">
        <f t="shared" ca="1" si="165"/>
        <v>45128</v>
      </c>
      <c r="AJ639" s="22">
        <f t="shared" ca="1" si="166"/>
        <v>45114</v>
      </c>
      <c r="AK639" s="22">
        <f t="shared" ca="1" si="167"/>
        <v>45055</v>
      </c>
      <c r="AL639" s="22">
        <f t="shared" ca="1" si="168"/>
        <v>44967</v>
      </c>
    </row>
    <row r="640" spans="4:38" x14ac:dyDescent="0.25">
      <c r="D640" s="6">
        <f ca="1"/>
        <v>45141</v>
      </c>
      <c r="E640" s="28" cm="1">
        <f t="array" aca="1" ref="E640" ca="1">_xll.FDS($E$7,"P_PRICE("&amp;D640&amp;",0,D,D)")</f>
        <v>59.11</v>
      </c>
      <c r="F640" s="29" cm="1">
        <f t="array" aca="1" ref="F640" ca="1">_xll.FDS($E$7,"P_BETA_LOCIDX("&amp;$AG640&amp;","&amp;$AL640&amp;",,"""&amp;$E$9&amp;""")")</f>
        <v>1.0553287</v>
      </c>
      <c r="G640" s="30">
        <f t="shared" ca="1" si="154"/>
        <v>3.8820654334723141E-3</v>
      </c>
      <c r="H640" s="30">
        <f t="shared" ca="1" si="154"/>
        <v>1.4659582524526923E-2</v>
      </c>
      <c r="I640" s="30">
        <f t="shared" ca="1" si="154"/>
        <v>8.6157297445654688E-2</v>
      </c>
      <c r="J640" s="30">
        <f t="shared" ca="1" si="154"/>
        <v>0.10670154984325322</v>
      </c>
      <c r="K640" s="30">
        <f t="shared" ca="1" si="155"/>
        <v>-8.2613815864114974E-3</v>
      </c>
      <c r="L640" s="30">
        <f t="shared" ca="1" si="155"/>
        <v>-7.6749147221418755E-3</v>
      </c>
      <c r="M640" s="30">
        <f t="shared" ca="1" si="155"/>
        <v>2.1601323244000561E-2</v>
      </c>
      <c r="N640" s="30">
        <f t="shared" ca="1" si="155"/>
        <v>9.2770852754149397E-2</v>
      </c>
      <c r="O640" s="30">
        <f t="shared" ca="1" si="156"/>
        <v>-4.3793161529391833E-3</v>
      </c>
      <c r="P640" s="30">
        <f t="shared" ca="1" si="157"/>
        <v>6.9846678023850473E-3</v>
      </c>
      <c r="Q640" s="30">
        <f t="shared" ca="1" si="158"/>
        <v>0.10775862068965525</v>
      </c>
      <c r="R640" s="30">
        <f t="shared" ca="1" si="159"/>
        <v>0.19947240259740262</v>
      </c>
      <c r="S640" s="9" cm="1">
        <f t="array" aca="1" ref="S640" ca="1">_xll.FDS($E$7,"P_PRICE("&amp;AG640&amp;",0,D,D)")</f>
        <v>59.11</v>
      </c>
      <c r="T640" s="9" cm="1">
        <f t="array" aca="1" ref="T640" ca="1">_xll.FDS($E$7,"P_PRICE("&amp;AH640&amp;",0,D,D)")</f>
        <v>59.37</v>
      </c>
      <c r="U640" s="9" cm="1">
        <f t="array" aca="1" ref="U640" ca="1">_xll.FDS($E$7,"P_PRICE("&amp;AI640&amp;",0,D,D)")</f>
        <v>58.7</v>
      </c>
      <c r="V640" s="9" cm="1">
        <f t="array" aca="1" ref="V640" ca="1">_xll.FDS($E$7,"P_PRICE("&amp;AJ640&amp;",0,D,D)")</f>
        <v>53.36</v>
      </c>
      <c r="W640" s="9" cm="1">
        <f t="array" aca="1" ref="W640" ca="1">_xll.FDS($E$7,"P_PRICE("&amp;AK640&amp;",0,D,D)")</f>
        <v>49.28</v>
      </c>
      <c r="X640" s="24">
        <f t="shared" ca="1" si="160"/>
        <v>-7.8282544447161317E-3</v>
      </c>
      <c r="Y640" s="24">
        <f t="shared" ca="1" si="161"/>
        <v>-7.272534824592447E-3</v>
      </c>
      <c r="Z640" s="24">
        <f t="shared" ca="1" si="162"/>
        <v>2.0468810564898465E-2</v>
      </c>
      <c r="AA640" s="24">
        <f t="shared" ca="1" si="163"/>
        <v>8.7907068910519914E-2</v>
      </c>
      <c r="AB640" s="9" cm="1">
        <f t="array" aca="1" ref="AB640" ca="1">_xll.FDS($E$9,"P_PRICE("&amp;AG640&amp;",0,D,D)")</f>
        <v>4501.8900000000003</v>
      </c>
      <c r="AC640" s="9" cm="1">
        <f t="array" aca="1" ref="AC640" ca="1">_xll.FDS($E$9,"P_PRICE("&amp;AH640&amp;",0,D,D)")</f>
        <v>4537.41</v>
      </c>
      <c r="AD640" s="9" cm="1">
        <f t="array" aca="1" ref="AD640" ca="1">_xll.FDS($E$9,"P_PRICE("&amp;AI640&amp;",0,D,D)")</f>
        <v>4534.87</v>
      </c>
      <c r="AE640" s="9" cm="1">
        <f t="array" aca="1" ref="AE640" ca="1">_xll.FDS($E$9,"P_PRICE("&amp;AJ640&amp;",0,D,D)")</f>
        <v>4411.59</v>
      </c>
      <c r="AF640" s="9" cm="1">
        <f t="array" aca="1" ref="AF640" ca="1">_xll.FDS($E$9,"P_PRICE("&amp;AK640&amp;",0,D,D)")</f>
        <v>4138.12</v>
      </c>
      <c r="AG640" s="20">
        <f t="shared" ca="1" si="169"/>
        <v>45141</v>
      </c>
      <c r="AH640" s="22">
        <f t="shared" ca="1" si="164"/>
        <v>45134</v>
      </c>
      <c r="AI640" s="22">
        <f t="shared" ca="1" si="165"/>
        <v>45127</v>
      </c>
      <c r="AJ640" s="22">
        <f t="shared" ca="1" si="166"/>
        <v>45113</v>
      </c>
      <c r="AK640" s="22">
        <f t="shared" ca="1" si="167"/>
        <v>45054</v>
      </c>
      <c r="AL640" s="22">
        <f t="shared" ca="1" si="168"/>
        <v>44966</v>
      </c>
    </row>
    <row r="641" spans="4:38" x14ac:dyDescent="0.25">
      <c r="D641" s="6">
        <f ca="1"/>
        <v>45140</v>
      </c>
      <c r="E641" s="28" cm="1">
        <f t="array" aca="1" ref="E641" ca="1">_xll.FDS($E$7,"P_PRICE("&amp;D641&amp;",0,D,D)")</f>
        <v>58.69</v>
      </c>
      <c r="F641" s="29" cm="1">
        <f t="array" aca="1" ref="F641" ca="1">_xll.FDS($E$7,"P_BETA_LOCIDX("&amp;$AG641&amp;","&amp;$AL641&amp;",,"""&amp;$E$9&amp;""")")</f>
        <v>1.0540419999999999</v>
      </c>
      <c r="G641" s="30">
        <f t="shared" ca="1" si="154"/>
        <v>1.9673795235524913E-4</v>
      </c>
      <c r="H641" s="30">
        <f t="shared" ca="1" si="154"/>
        <v>2.102021823231074E-2</v>
      </c>
      <c r="I641" s="30">
        <f t="shared" ca="1" si="154"/>
        <v>5.5792757916363483E-2</v>
      </c>
      <c r="J641" s="30">
        <f t="shared" ca="1" si="154"/>
        <v>8.9549850665934044E-2</v>
      </c>
      <c r="K641" s="30">
        <f t="shared" ca="1" si="155"/>
        <v>-1.2315909808944977E-2</v>
      </c>
      <c r="L641" s="30">
        <f t="shared" ca="1" si="155"/>
        <v>-1.2080902433789157E-2</v>
      </c>
      <c r="M641" s="30">
        <f t="shared" ca="1" si="155"/>
        <v>1.5779270566382425E-2</v>
      </c>
      <c r="N641" s="30">
        <f t="shared" ca="1" si="155"/>
        <v>9.6106714990631587E-2</v>
      </c>
      <c r="O641" s="30">
        <f t="shared" ca="1" si="156"/>
        <v>-1.2119171856589728E-2</v>
      </c>
      <c r="P641" s="30">
        <f t="shared" ca="1" si="157"/>
        <v>8.9393157985215854E-3</v>
      </c>
      <c r="Q641" s="30">
        <f t="shared" ca="1" si="158"/>
        <v>7.1572028482745909E-2</v>
      </c>
      <c r="R641" s="30">
        <f t="shared" ca="1" si="159"/>
        <v>0.18565656565656563</v>
      </c>
      <c r="S641" s="9" cm="1">
        <f t="array" aca="1" ref="S641" ca="1">_xll.FDS($E$7,"P_PRICE("&amp;AG641&amp;",0,D,D)")</f>
        <v>58.69</v>
      </c>
      <c r="T641" s="9" cm="1">
        <f t="array" aca="1" ref="T641" ca="1">_xll.FDS($E$7,"P_PRICE("&amp;AH641&amp;",0,D,D)")</f>
        <v>59.41</v>
      </c>
      <c r="U641" s="9" cm="1">
        <f t="array" aca="1" ref="U641" ca="1">_xll.FDS($E$7,"P_PRICE("&amp;AI641&amp;",0,D,D)")</f>
        <v>58.17</v>
      </c>
      <c r="V641" s="9" cm="1">
        <f t="array" aca="1" ref="V641" ca="1">_xll.FDS($E$7,"P_PRICE("&amp;AJ641&amp;",0,D,D)")</f>
        <v>54.77</v>
      </c>
      <c r="W641" s="9" cm="1">
        <f t="array" aca="1" ref="W641" ca="1">_xll.FDS($E$7,"P_PRICE("&amp;AK641&amp;",0,D,D)")</f>
        <v>49.5</v>
      </c>
      <c r="X641" s="24">
        <f t="shared" ca="1" si="160"/>
        <v>-1.1684458312804402E-2</v>
      </c>
      <c r="Y641" s="24">
        <f t="shared" ca="1" si="161"/>
        <v>-1.1461500048185136E-2</v>
      </c>
      <c r="Z641" s="24">
        <f t="shared" ca="1" si="162"/>
        <v>1.4970248402229158E-2</v>
      </c>
      <c r="AA641" s="24">
        <f t="shared" ca="1" si="163"/>
        <v>9.1179208220006025E-2</v>
      </c>
      <c r="AB641" s="9" cm="1">
        <f t="array" aca="1" ref="AB641" ca="1">_xll.FDS($E$9,"P_PRICE("&amp;AG641&amp;",0,D,D)")</f>
        <v>4513.3900000000003</v>
      </c>
      <c r="AC641" s="9" cm="1">
        <f t="array" aca="1" ref="AC641" ca="1">_xll.FDS($E$9,"P_PRICE("&amp;AH641&amp;",0,D,D)")</f>
        <v>4566.75</v>
      </c>
      <c r="AD641" s="9" cm="1">
        <f t="array" aca="1" ref="AD641" ca="1">_xll.FDS($E$9,"P_PRICE("&amp;AI641&amp;",0,D,D)")</f>
        <v>4565.72</v>
      </c>
      <c r="AE641" s="9" cm="1">
        <f t="array" aca="1" ref="AE641" ca="1">_xll.FDS($E$9,"P_PRICE("&amp;AJ641&amp;",0,D,D)")</f>
        <v>4446.82</v>
      </c>
      <c r="AF641" s="9" cm="1">
        <f t="array" aca="1" ref="AF641" ca="1">_xll.FDS($E$9,"P_PRICE("&amp;AK641&amp;",0,D,D)")</f>
        <v>4136.25</v>
      </c>
      <c r="AG641" s="20">
        <f t="shared" ca="1" si="169"/>
        <v>45140</v>
      </c>
      <c r="AH641" s="22">
        <f t="shared" ca="1" si="164"/>
        <v>45133</v>
      </c>
      <c r="AI641" s="22">
        <f t="shared" ca="1" si="165"/>
        <v>45126</v>
      </c>
      <c r="AJ641" s="22">
        <f t="shared" ca="1" si="166"/>
        <v>45112</v>
      </c>
      <c r="AK641" s="22">
        <f t="shared" ca="1" si="167"/>
        <v>45051</v>
      </c>
      <c r="AL641" s="22">
        <f t="shared" ca="1" si="168"/>
        <v>44965</v>
      </c>
    </row>
    <row r="642" spans="4:38" x14ac:dyDescent="0.25">
      <c r="D642" s="6">
        <f ca="1"/>
        <v>45139</v>
      </c>
      <c r="E642" s="28" cm="1">
        <f t="array" aca="1" ref="E642" ca="1">_xll.FDS($E$7,"P_PRICE("&amp;D642&amp;",0,D,D)")</f>
        <v>59.81</v>
      </c>
      <c r="F642" s="29" cm="1">
        <f t="array" aca="1" ref="F642" ca="1">_xll.FDS($E$7,"P_BETA_LOCIDX("&amp;$AG642&amp;","&amp;$AL642&amp;",,"""&amp;$E$9&amp;""")")</f>
        <v>1.0457034999999999</v>
      </c>
      <c r="G642" s="30">
        <f t="shared" ca="1" si="154"/>
        <v>3.0877509546156229E-3</v>
      </c>
      <c r="H642" s="30">
        <f t="shared" ca="1" si="154"/>
        <v>2.5502982070605956E-2</v>
      </c>
      <c r="I642" s="30">
        <f t="shared" ca="1" si="154"/>
        <v>4.1898357213590517E-2</v>
      </c>
      <c r="J642" s="30">
        <f t="shared" ca="1" si="154"/>
        <v>0.10147765815799223</v>
      </c>
      <c r="K642" s="30">
        <f t="shared" ca="1" si="155"/>
        <v>2.1223330789979372E-3</v>
      </c>
      <c r="L642" s="30">
        <f t="shared" ca="1" si="155"/>
        <v>4.9932274400764816E-3</v>
      </c>
      <c r="M642" s="30">
        <f t="shared" ca="1" si="155"/>
        <v>2.8430919808599863E-2</v>
      </c>
      <c r="N642" s="30">
        <f t="shared" ca="1" si="155"/>
        <v>0.13273612640659707</v>
      </c>
      <c r="O642" s="30">
        <f t="shared" ca="1" si="156"/>
        <v>5.2100840336135601E-3</v>
      </c>
      <c r="P642" s="30">
        <f t="shared" ca="1" si="157"/>
        <v>3.0496209510682437E-2</v>
      </c>
      <c r="Q642" s="30">
        <f t="shared" ca="1" si="158"/>
        <v>7.0329277022190384E-2</v>
      </c>
      <c r="R642" s="30">
        <f t="shared" ca="1" si="159"/>
        <v>0.2342137845645893</v>
      </c>
      <c r="S642" s="9" cm="1">
        <f t="array" aca="1" ref="S642" ca="1">_xll.FDS($E$7,"P_PRICE("&amp;AG642&amp;",0,D,D)")</f>
        <v>59.81</v>
      </c>
      <c r="T642" s="9" cm="1">
        <f t="array" aca="1" ref="T642" ca="1">_xll.FDS($E$7,"P_PRICE("&amp;AH642&amp;",0,D,D)")</f>
        <v>59.5</v>
      </c>
      <c r="U642" s="9" cm="1">
        <f t="array" aca="1" ref="U642" ca="1">_xll.FDS($E$7,"P_PRICE("&amp;AI642&amp;",0,D,D)")</f>
        <v>58.04</v>
      </c>
      <c r="V642" s="9" cm="1">
        <f t="array" aca="1" ref="V642" ca="1">_xll.FDS($E$7,"P_PRICE("&amp;AJ642&amp;",0,D,D)")</f>
        <v>55.88</v>
      </c>
      <c r="W642" s="9" cm="1">
        <f t="array" aca="1" ref="W642" ca="1">_xll.FDS($E$7,"P_PRICE("&amp;AK642&amp;",0,D,D)")</f>
        <v>48.46</v>
      </c>
      <c r="X642" s="24">
        <f t="shared" ca="1" si="160"/>
        <v>2.0295744242970759E-3</v>
      </c>
      <c r="Y642" s="24">
        <f t="shared" ca="1" si="161"/>
        <v>4.7749935235719132E-3</v>
      </c>
      <c r="Z642" s="24">
        <f t="shared" ca="1" si="162"/>
        <v>2.7188318494295816E-2</v>
      </c>
      <c r="AA642" s="24">
        <f t="shared" ca="1" si="163"/>
        <v>0.12693476344546717</v>
      </c>
      <c r="AB642" s="9" cm="1">
        <f t="array" aca="1" ref="AB642" ca="1">_xll.FDS($E$9,"P_PRICE("&amp;AG642&amp;",0,D,D)")</f>
        <v>4576.7299999999996</v>
      </c>
      <c r="AC642" s="9" cm="1">
        <f t="array" aca="1" ref="AC642" ca="1">_xll.FDS($E$9,"P_PRICE("&amp;AH642&amp;",0,D,D)")</f>
        <v>4567.46</v>
      </c>
      <c r="AD642" s="9" cm="1">
        <f t="array" aca="1" ref="AD642" ca="1">_xll.FDS($E$9,"P_PRICE("&amp;AI642&amp;",0,D,D)")</f>
        <v>4554.9799999999996</v>
      </c>
      <c r="AE642" s="9" cm="1">
        <f t="array" aca="1" ref="AE642" ca="1">_xll.FDS($E$9,"P_PRICE("&amp;AJ642&amp;",0,D,D)")</f>
        <v>4455.59</v>
      </c>
      <c r="AF642" s="9" cm="1">
        <f t="array" aca="1" ref="AF642" ca="1">_xll.FDS($E$9,"P_PRICE("&amp;AK642&amp;",0,D,D)")</f>
        <v>4061.22</v>
      </c>
      <c r="AG642" s="20">
        <f t="shared" ca="1" si="169"/>
        <v>45139</v>
      </c>
      <c r="AH642" s="22">
        <f t="shared" ca="1" si="164"/>
        <v>45132</v>
      </c>
      <c r="AI642" s="22">
        <f t="shared" ca="1" si="165"/>
        <v>45125</v>
      </c>
      <c r="AJ642" s="22">
        <f t="shared" ca="1" si="166"/>
        <v>45110</v>
      </c>
      <c r="AK642" s="22">
        <f t="shared" ca="1" si="167"/>
        <v>45050</v>
      </c>
      <c r="AL642" s="22">
        <f t="shared" ca="1" si="168"/>
        <v>44964</v>
      </c>
    </row>
    <row r="643" spans="4:38" x14ac:dyDescent="0.25">
      <c r="D643" s="6">
        <f ca="1"/>
        <v>45138</v>
      </c>
      <c r="E643" s="28" cm="1">
        <f t="array" aca="1" ref="E643" ca="1">_xll.FDS($E$7,"P_PRICE("&amp;D643&amp;",0,D,D)")</f>
        <v>60.3</v>
      </c>
      <c r="F643" s="29" cm="1">
        <f t="array" aca="1" ref="F643" ca="1">_xll.FDS($E$7,"P_BETA_LOCIDX("&amp;$AG643&amp;","&amp;$AL643&amp;",,"""&amp;$E$9&amp;""")")</f>
        <v>1.0538392000000001</v>
      </c>
      <c r="G643" s="30">
        <f t="shared" ca="1" si="154"/>
        <v>1.3746702933213471E-2</v>
      </c>
      <c r="H643" s="30">
        <f t="shared" ca="1" si="154"/>
        <v>3.2548595726146629E-2</v>
      </c>
      <c r="I643" s="30">
        <f t="shared" ca="1" si="154"/>
        <v>4.918710391401681E-2</v>
      </c>
      <c r="J643" s="30">
        <f t="shared" ca="1" si="154"/>
        <v>0.13660006029427493</v>
      </c>
      <c r="K643" s="30">
        <f t="shared" ca="1" si="155"/>
        <v>7.9408606045703115E-3</v>
      </c>
      <c r="L643" s="30">
        <f t="shared" ca="1" si="155"/>
        <v>1.5418036182091062E-2</v>
      </c>
      <c r="M643" s="30">
        <f t="shared" ca="1" si="155"/>
        <v>3.2815408197951708E-2</v>
      </c>
      <c r="N643" s="30">
        <f t="shared" ca="1" si="155"/>
        <v>0.12834644694298117</v>
      </c>
      <c r="O643" s="30">
        <f t="shared" ca="1" si="156"/>
        <v>2.1687563537783783E-2</v>
      </c>
      <c r="P643" s="30">
        <f t="shared" ca="1" si="157"/>
        <v>4.7966631908237689E-2</v>
      </c>
      <c r="Q643" s="30">
        <f t="shared" ca="1" si="158"/>
        <v>8.2002512111968517E-2</v>
      </c>
      <c r="R643" s="30">
        <f t="shared" ca="1" si="159"/>
        <v>0.2649465072372561</v>
      </c>
      <c r="S643" s="9" cm="1">
        <f t="array" aca="1" ref="S643" ca="1">_xll.FDS($E$7,"P_PRICE("&amp;AG643&amp;",0,D,D)")</f>
        <v>60.3</v>
      </c>
      <c r="T643" s="9" cm="1">
        <f t="array" aca="1" ref="T643" ca="1">_xll.FDS($E$7,"P_PRICE("&amp;AH643&amp;",0,D,D)")</f>
        <v>59.02</v>
      </c>
      <c r="U643" s="9" cm="1">
        <f t="array" aca="1" ref="U643" ca="1">_xll.FDS($E$7,"P_PRICE("&amp;AI643&amp;",0,D,D)")</f>
        <v>57.54</v>
      </c>
      <c r="V643" s="9" cm="1">
        <f t="array" aca="1" ref="V643" ca="1">_xll.FDS($E$7,"P_PRICE("&amp;AJ643&amp;",0,D,D)")</f>
        <v>55.73</v>
      </c>
      <c r="W643" s="9" cm="1">
        <f t="array" aca="1" ref="W643" ca="1">_xll.FDS($E$7,"P_PRICE("&amp;AK643&amp;",0,D,D)")</f>
        <v>47.67</v>
      </c>
      <c r="X643" s="24">
        <f t="shared" ca="1" si="160"/>
        <v>7.5351729225581199E-3</v>
      </c>
      <c r="Y643" s="24">
        <f t="shared" ca="1" si="161"/>
        <v>1.4630349850424107E-2</v>
      </c>
      <c r="Z643" s="24">
        <f t="shared" ca="1" si="162"/>
        <v>3.1138913980379268E-2</v>
      </c>
      <c r="AA643" s="24">
        <f t="shared" ca="1" si="163"/>
        <v>0.12178940292122475</v>
      </c>
      <c r="AB643" s="9" cm="1">
        <f t="array" aca="1" ref="AB643" ca="1">_xll.FDS($E$9,"P_PRICE("&amp;AG643&amp;",0,D,D)")</f>
        <v>4588.96</v>
      </c>
      <c r="AC643" s="9" cm="1">
        <f t="array" aca="1" ref="AC643" ca="1">_xll.FDS($E$9,"P_PRICE("&amp;AH643&amp;",0,D,D)")</f>
        <v>4554.6400000000003</v>
      </c>
      <c r="AD643" s="9" cm="1">
        <f t="array" aca="1" ref="AD643" ca="1">_xll.FDS($E$9,"P_PRICE("&amp;AI643&amp;",0,D,D)")</f>
        <v>4522.79</v>
      </c>
      <c r="AE643" s="9" cm="1">
        <f t="array" aca="1" ref="AE643" ca="1">_xll.FDS($E$9,"P_PRICE("&amp;AJ643&amp;",0,D,D)")</f>
        <v>4450.38</v>
      </c>
      <c r="AF643" s="9" cm="1">
        <f t="array" aca="1" ref="AF643" ca="1">_xll.FDS($E$9,"P_PRICE("&amp;AK643&amp;",0,D,D)")</f>
        <v>4090.75</v>
      </c>
      <c r="AG643" s="20">
        <f t="shared" ca="1" si="169"/>
        <v>45138</v>
      </c>
      <c r="AH643" s="22">
        <f t="shared" ca="1" si="164"/>
        <v>45131</v>
      </c>
      <c r="AI643" s="22">
        <f t="shared" ca="1" si="165"/>
        <v>45124</v>
      </c>
      <c r="AJ643" s="22">
        <f t="shared" ca="1" si="166"/>
        <v>45107</v>
      </c>
      <c r="AK643" s="22">
        <f t="shared" ca="1" si="167"/>
        <v>45049</v>
      </c>
      <c r="AL643" s="22">
        <f t="shared" ca="1" si="168"/>
        <v>44963</v>
      </c>
    </row>
    <row r="644" spans="4:38" x14ac:dyDescent="0.25">
      <c r="D644" s="6">
        <f ca="1"/>
        <v>45135</v>
      </c>
      <c r="E644" s="28" cm="1">
        <f t="array" aca="1" ref="E644" ca="1">_xll.FDS($E$7,"P_PRICE("&amp;D644&amp;",0,D,D)")</f>
        <v>60.08</v>
      </c>
      <c r="F644" s="29" cm="1">
        <f t="array" aca="1" ref="F644" ca="1">_xll.FDS($E$7,"P_BETA_LOCIDX("&amp;$AG644&amp;","&amp;$AL644&amp;",,"""&amp;$E$9&amp;""")")</f>
        <v>1.0747454999999999</v>
      </c>
      <c r="G644" s="30">
        <f t="shared" ca="1" si="154"/>
        <v>8.988588029611215E-3</v>
      </c>
      <c r="H644" s="30">
        <f t="shared" ca="1" si="154"/>
        <v>2.9097161824117326E-2</v>
      </c>
      <c r="I644" s="30">
        <f t="shared" ca="1" si="154"/>
        <v>4.8337813130778409E-2</v>
      </c>
      <c r="J644" s="30">
        <f t="shared" ca="1" si="154"/>
        <v>0.13148897025077427</v>
      </c>
      <c r="K644" s="30">
        <f t="shared" ca="1" si="155"/>
        <v>1.0872216587601409E-2</v>
      </c>
      <c r="L644" s="30">
        <f t="shared" ca="1" si="155"/>
        <v>1.8322642917863161E-2</v>
      </c>
      <c r="M644" s="30">
        <f t="shared" ca="1" si="155"/>
        <v>4.541787592802364E-2</v>
      </c>
      <c r="N644" s="30">
        <f t="shared" ca="1" si="155"/>
        <v>0.12069944158749175</v>
      </c>
      <c r="O644" s="30">
        <f t="shared" ca="1" si="156"/>
        <v>1.9860804617212624E-2</v>
      </c>
      <c r="P644" s="30">
        <f t="shared" ca="1" si="157"/>
        <v>4.7419804741980487E-2</v>
      </c>
      <c r="Q644" s="30">
        <f t="shared" ca="1" si="158"/>
        <v>9.375568905880205E-2</v>
      </c>
      <c r="R644" s="30">
        <f t="shared" ca="1" si="159"/>
        <v>0.25218841183826601</v>
      </c>
      <c r="S644" s="9" cm="1">
        <f t="array" aca="1" ref="S644" ca="1">_xll.FDS($E$7,"P_PRICE("&amp;AG644&amp;",0,D,D)")</f>
        <v>60.08</v>
      </c>
      <c r="T644" s="9" cm="1">
        <f t="array" aca="1" ref="T644" ca="1">_xll.FDS($E$7,"P_PRICE("&amp;AH644&amp;",0,D,D)")</f>
        <v>58.91</v>
      </c>
      <c r="U644" s="9" cm="1">
        <f t="array" aca="1" ref="U644" ca="1">_xll.FDS($E$7,"P_PRICE("&amp;AI644&amp;",0,D,D)")</f>
        <v>57.36</v>
      </c>
      <c r="V644" s="9" cm="1">
        <f t="array" aca="1" ref="V644" ca="1">_xll.FDS($E$7,"P_PRICE("&amp;AJ644&amp;",0,D,D)")</f>
        <v>54.93</v>
      </c>
      <c r="W644" s="9" cm="1">
        <f t="array" aca="1" ref="W644" ca="1">_xll.FDS($E$7,"P_PRICE("&amp;AK644&amp;",0,D,D)")</f>
        <v>47.98</v>
      </c>
      <c r="X644" s="24">
        <f t="shared" ca="1" si="160"/>
        <v>1.0116084773187151E-2</v>
      </c>
      <c r="Y644" s="24">
        <f t="shared" ca="1" si="161"/>
        <v>1.7048355092310841E-2</v>
      </c>
      <c r="Z644" s="24">
        <f t="shared" ca="1" si="162"/>
        <v>4.2259191527690643E-2</v>
      </c>
      <c r="AA644" s="24">
        <f t="shared" ca="1" si="163"/>
        <v>0.11230513790240737</v>
      </c>
      <c r="AB644" s="9" cm="1">
        <f t="array" aca="1" ref="AB644" ca="1">_xll.FDS($E$9,"P_PRICE("&amp;AG644&amp;",0,D,D)")</f>
        <v>4582.2299999999996</v>
      </c>
      <c r="AC644" s="9" cm="1">
        <f t="array" aca="1" ref="AC644" ca="1">_xll.FDS($E$9,"P_PRICE("&amp;AH644&amp;",0,D,D)")</f>
        <v>4536.34</v>
      </c>
      <c r="AD644" s="9" cm="1">
        <f t="array" aca="1" ref="AD644" ca="1">_xll.FDS($E$9,"P_PRICE("&amp;AI644&amp;",0,D,D)")</f>
        <v>4505.42</v>
      </c>
      <c r="AE644" s="9" cm="1">
        <f t="array" aca="1" ref="AE644" ca="1">_xll.FDS($E$9,"P_PRICE("&amp;AJ644&amp;",0,D,D)")</f>
        <v>4396.4399999999996</v>
      </c>
      <c r="AF644" s="9" cm="1">
        <f t="array" aca="1" ref="AF644" ca="1">_xll.FDS($E$9,"P_PRICE("&amp;AK644&amp;",0,D,D)")</f>
        <v>4119.58</v>
      </c>
      <c r="AG644" s="20">
        <f t="shared" ca="1" si="169"/>
        <v>45135</v>
      </c>
      <c r="AH644" s="22">
        <f t="shared" ca="1" si="164"/>
        <v>45128</v>
      </c>
      <c r="AI644" s="22">
        <f t="shared" ca="1" si="165"/>
        <v>45121</v>
      </c>
      <c r="AJ644" s="22">
        <f t="shared" ca="1" si="166"/>
        <v>45106</v>
      </c>
      <c r="AK644" s="22">
        <f t="shared" ca="1" si="167"/>
        <v>45048</v>
      </c>
      <c r="AL644" s="22">
        <f t="shared" ca="1" si="168"/>
        <v>44960</v>
      </c>
    </row>
    <row r="645" spans="4:38" x14ac:dyDescent="0.25">
      <c r="D645" s="6">
        <f ca="1"/>
        <v>45134</v>
      </c>
      <c r="E645" s="28" cm="1">
        <f t="array" aca="1" ref="E645" ca="1">_xll.FDS($E$7,"P_PRICE("&amp;D645&amp;",0,D,D)")</f>
        <v>59.37</v>
      </c>
      <c r="F645" s="29" cm="1">
        <f t="array" aca="1" ref="F645" ca="1">_xll.FDS($E$7,"P_BETA_LOCIDX("&amp;$AG645&amp;","&amp;$AL645&amp;",,"""&amp;$E$9&amp;""")")</f>
        <v>1.0665368</v>
      </c>
      <c r="G645" s="30">
        <f t="shared" ca="1" si="154"/>
        <v>1.0816597531782109E-2</v>
      </c>
      <c r="H645" s="30">
        <f t="shared" ca="1" si="154"/>
        <v>3.1827631912486359E-2</v>
      </c>
      <c r="I645" s="30">
        <f t="shared" ca="1" si="154"/>
        <v>3.9156021138627338E-2</v>
      </c>
      <c r="J645" s="30">
        <f t="shared" ca="1" si="154"/>
        <v>0.13488367823110825</v>
      </c>
      <c r="K645" s="30">
        <f t="shared" ca="1" si="155"/>
        <v>5.9737180382245854E-4</v>
      </c>
      <c r="L645" s="30">
        <f t="shared" ca="1" si="155"/>
        <v>6.4724730193080086E-3</v>
      </c>
      <c r="M645" s="30">
        <f t="shared" ca="1" si="155"/>
        <v>3.9122220779280216E-2</v>
      </c>
      <c r="N645" s="30">
        <f t="shared" ca="1" si="155"/>
        <v>9.4563412263818147E-2</v>
      </c>
      <c r="O645" s="30">
        <f t="shared" ca="1" si="156"/>
        <v>1.1413969335604568E-2</v>
      </c>
      <c r="P645" s="30">
        <f t="shared" ca="1" si="157"/>
        <v>3.8300104931794365E-2</v>
      </c>
      <c r="Q645" s="30">
        <f t="shared" ca="1" si="158"/>
        <v>7.8278241917907554E-2</v>
      </c>
      <c r="R645" s="30">
        <f t="shared" ca="1" si="159"/>
        <v>0.2294470904949264</v>
      </c>
      <c r="S645" s="9" cm="1">
        <f t="array" aca="1" ref="S645" ca="1">_xll.FDS($E$7,"P_PRICE("&amp;AG645&amp;",0,D,D)")</f>
        <v>59.37</v>
      </c>
      <c r="T645" s="9" cm="1">
        <f t="array" aca="1" ref="T645" ca="1">_xll.FDS($E$7,"P_PRICE("&amp;AH645&amp;",0,D,D)")</f>
        <v>58.7</v>
      </c>
      <c r="U645" s="9" cm="1">
        <f t="array" aca="1" ref="U645" ca="1">_xll.FDS($E$7,"P_PRICE("&amp;AI645&amp;",0,D,D)")</f>
        <v>57.18</v>
      </c>
      <c r="V645" s="9" cm="1">
        <f t="array" aca="1" ref="V645" ca="1">_xll.FDS($E$7,"P_PRICE("&amp;AJ645&amp;",0,D,D)")</f>
        <v>55.06</v>
      </c>
      <c r="W645" s="9" cm="1">
        <f t="array" aca="1" ref="W645" ca="1">_xll.FDS($E$7,"P_PRICE("&amp;AK645&amp;",0,D,D)")</f>
        <v>48.29</v>
      </c>
      <c r="X645" s="24">
        <f t="shared" ca="1" si="160"/>
        <v>5.6010425877706105E-4</v>
      </c>
      <c r="Y645" s="24">
        <f t="shared" ca="1" si="161"/>
        <v>6.068682317673435E-3</v>
      </c>
      <c r="Z645" s="24">
        <f t="shared" ca="1" si="162"/>
        <v>3.6681547959039218E-2</v>
      </c>
      <c r="AA645" s="24">
        <f t="shared" ca="1" si="163"/>
        <v>8.8663993838579369E-2</v>
      </c>
      <c r="AB645" s="9" cm="1">
        <f t="array" aca="1" ref="AB645" ca="1">_xll.FDS($E$9,"P_PRICE("&amp;AG645&amp;",0,D,D)")</f>
        <v>4537.41</v>
      </c>
      <c r="AC645" s="9" cm="1">
        <f t="array" aca="1" ref="AC645" ca="1">_xll.FDS($E$9,"P_PRICE("&amp;AH645&amp;",0,D,D)")</f>
        <v>4534.87</v>
      </c>
      <c r="AD645" s="9" cm="1">
        <f t="array" aca="1" ref="AD645" ca="1">_xll.FDS($E$9,"P_PRICE("&amp;AI645&amp;",0,D,D)")</f>
        <v>4510.04</v>
      </c>
      <c r="AE645" s="9" cm="1">
        <f t="array" aca="1" ref="AE645" ca="1">_xll.FDS($E$9,"P_PRICE("&amp;AJ645&amp;",0,D,D)")</f>
        <v>4376.8599999999997</v>
      </c>
      <c r="AF645" s="9" cm="1">
        <f t="array" aca="1" ref="AF645" ca="1">_xll.FDS($E$9,"P_PRICE("&amp;AK645&amp;",0,D,D)")</f>
        <v>4167.87</v>
      </c>
      <c r="AG645" s="20">
        <f t="shared" ca="1" si="169"/>
        <v>45134</v>
      </c>
      <c r="AH645" s="22">
        <f t="shared" ca="1" si="164"/>
        <v>45127</v>
      </c>
      <c r="AI645" s="22">
        <f t="shared" ca="1" si="165"/>
        <v>45120</v>
      </c>
      <c r="AJ645" s="22">
        <f t="shared" ca="1" si="166"/>
        <v>45105</v>
      </c>
      <c r="AK645" s="22">
        <f t="shared" ca="1" si="167"/>
        <v>45047</v>
      </c>
      <c r="AL645" s="22">
        <f t="shared" ca="1" si="168"/>
        <v>44959</v>
      </c>
    </row>
    <row r="646" spans="4:38" x14ac:dyDescent="0.25">
      <c r="D646" s="6">
        <f ca="1"/>
        <v>45133</v>
      </c>
      <c r="E646" s="28" cm="1">
        <f t="array" aca="1" ref="E646" ca="1">_xll.FDS($E$7,"P_PRICE("&amp;D646&amp;",0,D,D)")</f>
        <v>59.41</v>
      </c>
      <c r="F646" s="29" cm="1">
        <f t="array" aca="1" ref="F646" ca="1">_xll.FDS($E$7,"P_BETA_LOCIDX("&amp;$AG646&amp;","&amp;$AL646&amp;",,"""&amp;$E$9&amp;""")")</f>
        <v>1.0805902000000001</v>
      </c>
      <c r="G646" s="30">
        <f t="shared" ca="1" si="154"/>
        <v>2.1073055087754162E-2</v>
      </c>
      <c r="H646" s="30">
        <f t="shared" ca="1" si="154"/>
        <v>2.9580379104665471E-2</v>
      </c>
      <c r="I646" s="30">
        <f t="shared" ca="1" si="154"/>
        <v>4.2211168999425043E-2</v>
      </c>
      <c r="J646" s="30">
        <f t="shared" ca="1" si="154"/>
        <v>0.12198931511759617</v>
      </c>
      <c r="K646" s="30">
        <f t="shared" ca="1" si="155"/>
        <v>2.4377489333558513E-4</v>
      </c>
      <c r="L646" s="30">
        <f t="shared" ca="1" si="155"/>
        <v>2.2855404774873817E-2</v>
      </c>
      <c r="M646" s="30">
        <f t="shared" ca="1" si="155"/>
        <v>4.6482252294326086E-2</v>
      </c>
      <c r="N646" s="30">
        <f t="shared" ca="1" si="155"/>
        <v>0.10295913849065116</v>
      </c>
      <c r="O646" s="30">
        <f t="shared" ca="1" si="156"/>
        <v>2.1316829981089747E-2</v>
      </c>
      <c r="P646" s="30">
        <f t="shared" ca="1" si="157"/>
        <v>5.2435783879539288E-2</v>
      </c>
      <c r="Q646" s="30">
        <f t="shared" ca="1" si="158"/>
        <v>8.8693421293751129E-2</v>
      </c>
      <c r="R646" s="30">
        <f t="shared" ca="1" si="159"/>
        <v>0.22494845360824733</v>
      </c>
      <c r="S646" s="9" cm="1">
        <f t="array" aca="1" ref="S646" ca="1">_xll.FDS($E$7,"P_PRICE("&amp;AG646&amp;",0,D,D)")</f>
        <v>59.41</v>
      </c>
      <c r="T646" s="9" cm="1">
        <f t="array" aca="1" ref="T646" ca="1">_xll.FDS($E$7,"P_PRICE("&amp;AH646&amp;",0,D,D)")</f>
        <v>58.17</v>
      </c>
      <c r="U646" s="9" cm="1">
        <f t="array" aca="1" ref="U646" ca="1">_xll.FDS($E$7,"P_PRICE("&amp;AI646&amp;",0,D,D)")</f>
        <v>56.45</v>
      </c>
      <c r="V646" s="9" cm="1">
        <f t="array" aca="1" ref="V646" ca="1">_xll.FDS($E$7,"P_PRICE("&amp;AJ646&amp;",0,D,D)")</f>
        <v>54.57</v>
      </c>
      <c r="W646" s="9" cm="1">
        <f t="array" aca="1" ref="W646" ca="1">_xll.FDS($E$7,"P_PRICE("&amp;AK646&amp;",0,D,D)")</f>
        <v>48.5</v>
      </c>
      <c r="X646" s="24">
        <f t="shared" ca="1" si="160"/>
        <v>2.2559421077072983E-4</v>
      </c>
      <c r="Y646" s="24">
        <f t="shared" ca="1" si="161"/>
        <v>2.1150853278952386E-2</v>
      </c>
      <c r="Z646" s="24">
        <f t="shared" ca="1" si="162"/>
        <v>4.3015615257593565E-2</v>
      </c>
      <c r="AA646" s="24">
        <f t="shared" ca="1" si="163"/>
        <v>9.5280466628932192E-2</v>
      </c>
      <c r="AB646" s="9" cm="1">
        <f t="array" aca="1" ref="AB646" ca="1">_xll.FDS($E$9,"P_PRICE("&amp;AG646&amp;",0,D,D)")</f>
        <v>4566.75</v>
      </c>
      <c r="AC646" s="9" cm="1">
        <f t="array" aca="1" ref="AC646" ca="1">_xll.FDS($E$9,"P_PRICE("&amp;AH646&amp;",0,D,D)")</f>
        <v>4565.72</v>
      </c>
      <c r="AD646" s="9" cm="1">
        <f t="array" aca="1" ref="AD646" ca="1">_xll.FDS($E$9,"P_PRICE("&amp;AI646&amp;",0,D,D)")</f>
        <v>4472.16</v>
      </c>
      <c r="AE646" s="9" cm="1">
        <f t="array" aca="1" ref="AE646" ca="1">_xll.FDS($E$9,"P_PRICE("&amp;AJ646&amp;",0,D,D)")</f>
        <v>4378.41</v>
      </c>
      <c r="AF646" s="9" cm="1">
        <f t="array" aca="1" ref="AF646" ca="1">_xll.FDS($E$9,"P_PRICE("&amp;AK646&amp;",0,D,D)")</f>
        <v>4169.4799999999996</v>
      </c>
      <c r="AG646" s="20">
        <f t="shared" ca="1" si="169"/>
        <v>45133</v>
      </c>
      <c r="AH646" s="22">
        <f t="shared" ca="1" si="164"/>
        <v>45126</v>
      </c>
      <c r="AI646" s="22">
        <f t="shared" ca="1" si="165"/>
        <v>45119</v>
      </c>
      <c r="AJ646" s="22">
        <f t="shared" ca="1" si="166"/>
        <v>45104</v>
      </c>
      <c r="AK646" s="22">
        <f t="shared" ca="1" si="167"/>
        <v>45044</v>
      </c>
      <c r="AL646" s="22">
        <f t="shared" ca="1" si="168"/>
        <v>44958</v>
      </c>
    </row>
    <row r="647" spans="4:38" x14ac:dyDescent="0.25">
      <c r="D647" s="6">
        <f ca="1"/>
        <v>45132</v>
      </c>
      <c r="E647" s="28" cm="1">
        <f t="array" aca="1" ref="E647" ca="1">_xll.FDS($E$7,"P_PRICE("&amp;D647&amp;",0,D,D)")</f>
        <v>59.5</v>
      </c>
      <c r="F647" s="29" cm="1">
        <f t="array" aca="1" ref="F647" ca="1">_xll.FDS($E$7,"P_BETA_LOCIDX("&amp;$AG647&amp;","&amp;$AL647&amp;",,"""&amp;$E$9&amp;""")")</f>
        <v>1.0819862</v>
      </c>
      <c r="G647" s="30">
        <f t="shared" ca="1" si="154"/>
        <v>2.2190576544364987E-2</v>
      </c>
      <c r="H647" s="30">
        <f t="shared" ca="1" si="154"/>
        <v>4.276087942106846E-2</v>
      </c>
      <c r="I647" s="30">
        <f t="shared" ca="1" si="154"/>
        <v>6.2146933842265585E-2</v>
      </c>
      <c r="J647" s="30">
        <f t="shared" ca="1" si="154"/>
        <v>0.11122119298292793</v>
      </c>
      <c r="K647" s="30">
        <f t="shared" ca="1" si="155"/>
        <v>2.9644889277232467E-3</v>
      </c>
      <c r="L647" s="30">
        <f t="shared" ca="1" si="155"/>
        <v>3.1246340795537984E-2</v>
      </c>
      <c r="M647" s="30">
        <f t="shared" ca="1" si="155"/>
        <v>5.9647937952606221E-2</v>
      </c>
      <c r="N647" s="30">
        <f t="shared" ca="1" si="155"/>
        <v>0.11305864240801861</v>
      </c>
      <c r="O647" s="30">
        <f t="shared" ca="1" si="156"/>
        <v>2.5155065472088234E-2</v>
      </c>
      <c r="P647" s="30">
        <f t="shared" ca="1" si="157"/>
        <v>7.400722021660644E-2</v>
      </c>
      <c r="Q647" s="30">
        <f t="shared" ca="1" si="158"/>
        <v>0.12179487179487181</v>
      </c>
      <c r="R647" s="30">
        <f t="shared" ca="1" si="159"/>
        <v>0.22427983539094654</v>
      </c>
      <c r="S647" s="9" cm="1">
        <f t="array" aca="1" ref="S647" ca="1">_xll.FDS($E$7,"P_PRICE("&amp;AG647&amp;",0,D,D)")</f>
        <v>59.5</v>
      </c>
      <c r="T647" s="9" cm="1">
        <f t="array" aca="1" ref="T647" ca="1">_xll.FDS($E$7,"P_PRICE("&amp;AH647&amp;",0,D,D)")</f>
        <v>58.04</v>
      </c>
      <c r="U647" s="9" cm="1">
        <f t="array" aca="1" ref="U647" ca="1">_xll.FDS($E$7,"P_PRICE("&amp;AI647&amp;",0,D,D)")</f>
        <v>55.4</v>
      </c>
      <c r="V647" s="9" cm="1">
        <f t="array" aca="1" ref="V647" ca="1">_xll.FDS($E$7,"P_PRICE("&amp;AJ647&amp;",0,D,D)")</f>
        <v>53.04</v>
      </c>
      <c r="W647" s="9" cm="1">
        <f t="array" aca="1" ref="W647" ca="1">_xll.FDS($E$7,"P_PRICE("&amp;AK647&amp;",0,D,D)")</f>
        <v>48.6</v>
      </c>
      <c r="X647" s="24">
        <f t="shared" ca="1" si="160"/>
        <v>2.7398583528359666E-3</v>
      </c>
      <c r="Y647" s="24">
        <f t="shared" ca="1" si="161"/>
        <v>2.8878686988371927E-2</v>
      </c>
      <c r="Z647" s="24">
        <f t="shared" ca="1" si="162"/>
        <v>5.5128187358217895E-2</v>
      </c>
      <c r="AA647" s="24">
        <f t="shared" ca="1" si="163"/>
        <v>0.10449176006867611</v>
      </c>
      <c r="AB647" s="9" cm="1">
        <f t="array" aca="1" ref="AB647" ca="1">_xll.FDS($E$9,"P_PRICE("&amp;AG647&amp;",0,D,D)")</f>
        <v>4567.46</v>
      </c>
      <c r="AC647" s="9" cm="1">
        <f t="array" aca="1" ref="AC647" ca="1">_xll.FDS($E$9,"P_PRICE("&amp;AH647&amp;",0,D,D)")</f>
        <v>4554.9799999999996</v>
      </c>
      <c r="AD647" s="9" cm="1">
        <f t="array" aca="1" ref="AD647" ca="1">_xll.FDS($E$9,"P_PRICE("&amp;AI647&amp;",0,D,D)")</f>
        <v>4439.26</v>
      </c>
      <c r="AE647" s="9" cm="1">
        <f t="array" aca="1" ref="AE647" ca="1">_xll.FDS($E$9,"P_PRICE("&amp;AJ647&amp;",0,D,D)")</f>
        <v>4328.82</v>
      </c>
      <c r="AF647" s="9" cm="1">
        <f t="array" aca="1" ref="AF647" ca="1">_xll.FDS($E$9,"P_PRICE("&amp;AK647&amp;",0,D,D)")</f>
        <v>4135.3500000000004</v>
      </c>
      <c r="AG647" s="20">
        <f t="shared" ca="1" si="169"/>
        <v>45132</v>
      </c>
      <c r="AH647" s="22">
        <f t="shared" ca="1" si="164"/>
        <v>45125</v>
      </c>
      <c r="AI647" s="22">
        <f t="shared" ca="1" si="165"/>
        <v>45118</v>
      </c>
      <c r="AJ647" s="22">
        <f t="shared" ca="1" si="166"/>
        <v>45103</v>
      </c>
      <c r="AK647" s="22">
        <f t="shared" ca="1" si="167"/>
        <v>45043</v>
      </c>
      <c r="AL647" s="22">
        <f t="shared" ca="1" si="168"/>
        <v>44957</v>
      </c>
    </row>
    <row r="648" spans="4:38" x14ac:dyDescent="0.25">
      <c r="D648" s="6">
        <f ca="1"/>
        <v>45131</v>
      </c>
      <c r="E648" s="28" cm="1">
        <f t="array" aca="1" ref="E648" ca="1">_xll.FDS($E$7,"P_PRICE("&amp;D648&amp;",0,D,D)")</f>
        <v>59.02</v>
      </c>
      <c r="F648" s="29" cm="1">
        <f t="array" aca="1" ref="F648" ca="1">_xll.FDS($E$7,"P_BETA_LOCIDX("&amp;$AG648&amp;","&amp;$AL648&amp;",,"""&amp;$E$9&amp;""")")</f>
        <v>1.0680700000000001</v>
      </c>
      <c r="G648" s="30">
        <f t="shared" ca="1" si="154"/>
        <v>1.8199767356136418E-2</v>
      </c>
      <c r="H648" s="30">
        <f t="shared" ca="1" si="154"/>
        <v>5.781462794766646E-2</v>
      </c>
      <c r="I648" s="30">
        <f t="shared" ca="1" si="154"/>
        <v>5.3740730956785006E-2</v>
      </c>
      <c r="J648" s="30">
        <f t="shared" ca="1" si="154"/>
        <v>9.1395353256460504E-2</v>
      </c>
      <c r="K648" s="30">
        <f t="shared" ca="1" si="155"/>
        <v>7.521470043933067E-3</v>
      </c>
      <c r="L648" s="30">
        <f t="shared" ca="1" si="155"/>
        <v>3.5148335015296454E-2</v>
      </c>
      <c r="M648" s="30">
        <f t="shared" ca="1" si="155"/>
        <v>5.067543670788565E-2</v>
      </c>
      <c r="N648" s="30">
        <f t="shared" ca="1" si="155"/>
        <v>0.13131026099669887</v>
      </c>
      <c r="O648" s="30">
        <f t="shared" ca="1" si="156"/>
        <v>2.5721237400069485E-2</v>
      </c>
      <c r="P648" s="30">
        <f t="shared" ca="1" si="157"/>
        <v>9.2962962962962914E-2</v>
      </c>
      <c r="Q648" s="30">
        <f t="shared" ca="1" si="158"/>
        <v>0.10441616766467066</v>
      </c>
      <c r="R648" s="30">
        <f t="shared" ca="1" si="159"/>
        <v>0.22270561425315938</v>
      </c>
      <c r="S648" s="9" cm="1">
        <f t="array" aca="1" ref="S648" ca="1">_xll.FDS($E$7,"P_PRICE("&amp;AG648&amp;",0,D,D)")</f>
        <v>59.02</v>
      </c>
      <c r="T648" s="9" cm="1">
        <f t="array" aca="1" ref="T648" ca="1">_xll.FDS($E$7,"P_PRICE("&amp;AH648&amp;",0,D,D)")</f>
        <v>57.54</v>
      </c>
      <c r="U648" s="9" cm="1">
        <f t="array" aca="1" ref="U648" ca="1">_xll.FDS($E$7,"P_PRICE("&amp;AI648&amp;",0,D,D)")</f>
        <v>54</v>
      </c>
      <c r="V648" s="9" cm="1">
        <f t="array" aca="1" ref="V648" ca="1">_xll.FDS($E$7,"P_PRICE("&amp;AJ648&amp;",0,D,D)")</f>
        <v>53.44</v>
      </c>
      <c r="W648" s="9" cm="1">
        <f t="array" aca="1" ref="W648" ca="1">_xll.FDS($E$7,"P_PRICE("&amp;AK648&amp;",0,D,D)")</f>
        <v>48.27</v>
      </c>
      <c r="X648" s="24">
        <f t="shared" ca="1" si="160"/>
        <v>7.0421133857641038E-3</v>
      </c>
      <c r="Y648" s="24">
        <f t="shared" ca="1" si="161"/>
        <v>3.2908269135259349E-2</v>
      </c>
      <c r="Z648" s="24">
        <f t="shared" ca="1" si="162"/>
        <v>4.7445801031660517E-2</v>
      </c>
      <c r="AA648" s="24">
        <f t="shared" ca="1" si="163"/>
        <v>0.12294162460952829</v>
      </c>
      <c r="AB648" s="9" cm="1">
        <f t="array" aca="1" ref="AB648" ca="1">_xll.FDS($E$9,"P_PRICE("&amp;AG648&amp;",0,D,D)")</f>
        <v>4554.6400000000003</v>
      </c>
      <c r="AC648" s="9" cm="1">
        <f t="array" aca="1" ref="AC648" ca="1">_xll.FDS($E$9,"P_PRICE("&amp;AH648&amp;",0,D,D)")</f>
        <v>4522.79</v>
      </c>
      <c r="AD648" s="9" cm="1">
        <f t="array" aca="1" ref="AD648" ca="1">_xll.FDS($E$9,"P_PRICE("&amp;AI648&amp;",0,D,D)")</f>
        <v>4409.53</v>
      </c>
      <c r="AE648" s="9" cm="1">
        <f t="array" aca="1" ref="AE648" ca="1">_xll.FDS($E$9,"P_PRICE("&amp;AJ648&amp;",0,D,D)")</f>
        <v>4348.33</v>
      </c>
      <c r="AF648" s="9" cm="1">
        <f t="array" aca="1" ref="AF648" ca="1">_xll.FDS($E$9,"P_PRICE("&amp;AK648&amp;",0,D,D)")</f>
        <v>4055.99</v>
      </c>
      <c r="AG648" s="20">
        <f t="shared" ca="1" si="169"/>
        <v>45131</v>
      </c>
      <c r="AH648" s="22">
        <f t="shared" ca="1" si="164"/>
        <v>45124</v>
      </c>
      <c r="AI648" s="22">
        <f t="shared" ca="1" si="165"/>
        <v>45117</v>
      </c>
      <c r="AJ648" s="22">
        <f t="shared" ca="1" si="166"/>
        <v>45100</v>
      </c>
      <c r="AK648" s="22">
        <f t="shared" ca="1" si="167"/>
        <v>45042</v>
      </c>
      <c r="AL648" s="22">
        <f t="shared" ca="1" si="168"/>
        <v>44956</v>
      </c>
    </row>
    <row r="649" spans="4:38" x14ac:dyDescent="0.25">
      <c r="D649" s="6">
        <f ca="1"/>
        <v>45128</v>
      </c>
      <c r="E649" s="28" cm="1">
        <f t="array" aca="1" ref="E649" ca="1">_xll.FDS($E$7,"P_PRICE("&amp;D649&amp;",0,D,D)")</f>
        <v>58.91</v>
      </c>
      <c r="F649" s="29" cm="1">
        <f t="array" aca="1" ref="F649" ca="1">_xll.FDS($E$7,"P_BETA_LOCIDX("&amp;$AG649&amp;","&amp;$AL649&amp;",,"""&amp;$E$9&amp;""")")</f>
        <v>1.0694078</v>
      </c>
      <c r="G649" s="30">
        <f t="shared" ca="1" si="154"/>
        <v>1.9683135020139707E-2</v>
      </c>
      <c r="H649" s="30">
        <f t="shared" ca="1" si="154"/>
        <v>6.6693141617397561E-2</v>
      </c>
      <c r="I649" s="30">
        <f t="shared" ca="1" si="154"/>
        <v>6.4251591264295888E-2</v>
      </c>
      <c r="J649" s="30">
        <f t="shared" ca="1" si="154"/>
        <v>6.6844683608959371E-2</v>
      </c>
      <c r="K649" s="30">
        <f t="shared" ca="1" si="155"/>
        <v>7.3391801820918215E-3</v>
      </c>
      <c r="L649" s="30">
        <f t="shared" ca="1" si="155"/>
        <v>3.340022906420851E-2</v>
      </c>
      <c r="M649" s="30">
        <f t="shared" ca="1" si="155"/>
        <v>3.769378845886142E-2</v>
      </c>
      <c r="N649" s="30">
        <f t="shared" ca="1" si="155"/>
        <v>0.12205541729921429</v>
      </c>
      <c r="O649" s="30">
        <f t="shared" ca="1" si="156"/>
        <v>2.7022315202231528E-2</v>
      </c>
      <c r="P649" s="30">
        <f t="shared" ca="1" si="157"/>
        <v>0.10009337068160606</v>
      </c>
      <c r="Q649" s="30">
        <f t="shared" ca="1" si="158"/>
        <v>0.10194537972315731</v>
      </c>
      <c r="R649" s="30">
        <f t="shared" ca="1" si="159"/>
        <v>0.18890010090817366</v>
      </c>
      <c r="S649" s="9" cm="1">
        <f t="array" aca="1" ref="S649" ca="1">_xll.FDS($E$7,"P_PRICE("&amp;AG649&amp;",0,D,D)")</f>
        <v>58.91</v>
      </c>
      <c r="T649" s="9" cm="1">
        <f t="array" aca="1" ref="T649" ca="1">_xll.FDS($E$7,"P_PRICE("&amp;AH649&amp;",0,D,D)")</f>
        <v>57.36</v>
      </c>
      <c r="U649" s="9" cm="1">
        <f t="array" aca="1" ref="U649" ca="1">_xll.FDS($E$7,"P_PRICE("&amp;AI649&amp;",0,D,D)")</f>
        <v>53.55</v>
      </c>
      <c r="V649" s="9" cm="1">
        <f t="array" aca="1" ref="V649" ca="1">_xll.FDS($E$7,"P_PRICE("&amp;AJ649&amp;",0,D,D)")</f>
        <v>53.46</v>
      </c>
      <c r="W649" s="9" cm="1">
        <f t="array" aca="1" ref="W649" ca="1">_xll.FDS($E$7,"P_PRICE("&amp;AK649&amp;",0,D,D)")</f>
        <v>49.55</v>
      </c>
      <c r="X649" s="24">
        <f t="shared" ca="1" si="160"/>
        <v>6.8628451953425262E-3</v>
      </c>
      <c r="Y649" s="24">
        <f t="shared" ca="1" si="161"/>
        <v>3.1232453199058874E-2</v>
      </c>
      <c r="Z649" s="24">
        <f t="shared" ca="1" si="162"/>
        <v>3.5247347605713575E-2</v>
      </c>
      <c r="AA649" s="24">
        <f t="shared" ca="1" si="163"/>
        <v>0.1141336516333753</v>
      </c>
      <c r="AB649" s="9" cm="1">
        <f t="array" aca="1" ref="AB649" ca="1">_xll.FDS($E$9,"P_PRICE("&amp;AG649&amp;",0,D,D)")</f>
        <v>4536.34</v>
      </c>
      <c r="AC649" s="9" cm="1">
        <f t="array" aca="1" ref="AC649" ca="1">_xll.FDS($E$9,"P_PRICE("&amp;AH649&amp;",0,D,D)")</f>
        <v>4505.42</v>
      </c>
      <c r="AD649" s="9" cm="1">
        <f t="array" aca="1" ref="AD649" ca="1">_xll.FDS($E$9,"P_PRICE("&amp;AI649&amp;",0,D,D)")</f>
        <v>4398.95</v>
      </c>
      <c r="AE649" s="9" cm="1">
        <f t="array" aca="1" ref="AE649" ca="1">_xll.FDS($E$9,"P_PRICE("&amp;AJ649&amp;",0,D,D)")</f>
        <v>4381.8900000000003</v>
      </c>
      <c r="AF649" s="9" cm="1">
        <f t="array" aca="1" ref="AF649" ca="1">_xll.FDS($E$9,"P_PRICE("&amp;AK649&amp;",0,D,D)")</f>
        <v>4071.63</v>
      </c>
      <c r="AG649" s="20">
        <f t="shared" ca="1" si="169"/>
        <v>45128</v>
      </c>
      <c r="AH649" s="22">
        <f t="shared" ca="1" si="164"/>
        <v>45121</v>
      </c>
      <c r="AI649" s="22">
        <f t="shared" ca="1" si="165"/>
        <v>45114</v>
      </c>
      <c r="AJ649" s="22">
        <f t="shared" ca="1" si="166"/>
        <v>45099</v>
      </c>
      <c r="AK649" s="22">
        <f t="shared" ca="1" si="167"/>
        <v>45041</v>
      </c>
      <c r="AL649" s="22">
        <f t="shared" ca="1" si="168"/>
        <v>44953</v>
      </c>
    </row>
    <row r="650" spans="4:38" x14ac:dyDescent="0.25">
      <c r="D650" s="6">
        <f ca="1"/>
        <v>45127</v>
      </c>
      <c r="E650" s="28" cm="1">
        <f t="array" aca="1" ref="E650" ca="1">_xll.FDS($E$7,"P_PRICE("&amp;D650&amp;",0,D,D)")</f>
        <v>58.7</v>
      </c>
      <c r="F650" s="29" cm="1">
        <f t="array" aca="1" ref="F650" ca="1">_xll.FDS($E$7,"P_BETA_LOCIDX("&amp;$AG650&amp;","&amp;$AL650&amp;",,"""&amp;$E$9&amp;""")")</f>
        <v>1.0688523000000001</v>
      </c>
      <c r="G650" s="30">
        <f t="shared" ca="1" si="154"/>
        <v>2.0698160870537677E-2</v>
      </c>
      <c r="H650" s="30">
        <f t="shared" ca="1" si="154"/>
        <v>7.0206341104692691E-2</v>
      </c>
      <c r="I650" s="30">
        <f t="shared" ca="1" si="154"/>
        <v>4.9860551660543061E-2</v>
      </c>
      <c r="J650" s="30">
        <f t="shared" ca="1" si="154"/>
        <v>7.5457672151495764E-2</v>
      </c>
      <c r="K650" s="30">
        <f t="shared" ca="1" si="155"/>
        <v>5.8845603606620797E-3</v>
      </c>
      <c r="L650" s="30">
        <f t="shared" ca="1" si="155"/>
        <v>2.986862141404802E-2</v>
      </c>
      <c r="M650" s="30">
        <f t="shared" ca="1" si="155"/>
        <v>4.1420355571284408E-2</v>
      </c>
      <c r="N650" s="30">
        <f t="shared" ca="1" si="155"/>
        <v>0.10278399786054773</v>
      </c>
      <c r="O650" s="30">
        <f t="shared" ca="1" si="156"/>
        <v>2.6582721231199757E-2</v>
      </c>
      <c r="P650" s="30">
        <f t="shared" ca="1" si="157"/>
        <v>0.10007496251874071</v>
      </c>
      <c r="Q650" s="30">
        <f t="shared" ca="1" si="158"/>
        <v>9.1280907231827468E-2</v>
      </c>
      <c r="R650" s="30">
        <f t="shared" ca="1" si="159"/>
        <v>0.1782416700120435</v>
      </c>
      <c r="S650" s="9" cm="1">
        <f t="array" aca="1" ref="S650" ca="1">_xll.FDS($E$7,"P_PRICE("&amp;AG650&amp;",0,D,D)")</f>
        <v>58.7</v>
      </c>
      <c r="T650" s="9" cm="1">
        <f t="array" aca="1" ref="T650" ca="1">_xll.FDS($E$7,"P_PRICE("&amp;AH650&amp;",0,D,D)")</f>
        <v>57.18</v>
      </c>
      <c r="U650" s="9" cm="1">
        <f t="array" aca="1" ref="U650" ca="1">_xll.FDS($E$7,"P_PRICE("&amp;AI650&amp;",0,D,D)")</f>
        <v>53.36</v>
      </c>
      <c r="V650" s="9" cm="1">
        <f t="array" aca="1" ref="V650" ca="1">_xll.FDS($E$7,"P_PRICE("&amp;AJ650&amp;",0,D,D)")</f>
        <v>53.79</v>
      </c>
      <c r="W650" s="9" cm="1">
        <f t="array" aca="1" ref="W650" ca="1">_xll.FDS($E$7,"P_PRICE("&amp;AK650&amp;",0,D,D)")</f>
        <v>49.82</v>
      </c>
      <c r="X650" s="24">
        <f t="shared" ca="1" si="160"/>
        <v>5.5054944080319412E-3</v>
      </c>
      <c r="Y650" s="24">
        <f t="shared" ca="1" si="161"/>
        <v>2.7944573271768247E-2</v>
      </c>
      <c r="Z650" s="24">
        <f t="shared" ca="1" si="162"/>
        <v>3.8752178922461411E-2</v>
      </c>
      <c r="AA650" s="24">
        <f t="shared" ca="1" si="163"/>
        <v>9.6162957090093482E-2</v>
      </c>
      <c r="AB650" s="9" cm="1">
        <f t="array" aca="1" ref="AB650" ca="1">_xll.FDS($E$9,"P_PRICE("&amp;AG650&amp;",0,D,D)")</f>
        <v>4534.87</v>
      </c>
      <c r="AC650" s="9" cm="1">
        <f t="array" aca="1" ref="AC650" ca="1">_xll.FDS($E$9,"P_PRICE("&amp;AH650&amp;",0,D,D)")</f>
        <v>4510.04</v>
      </c>
      <c r="AD650" s="9" cm="1">
        <f t="array" aca="1" ref="AD650" ca="1">_xll.FDS($E$9,"P_PRICE("&amp;AI650&amp;",0,D,D)")</f>
        <v>4411.59</v>
      </c>
      <c r="AE650" s="9" cm="1">
        <f t="array" aca="1" ref="AE650" ca="1">_xll.FDS($E$9,"P_PRICE("&amp;AJ650&amp;",0,D,D)")</f>
        <v>4365.6899999999996</v>
      </c>
      <c r="AF650" s="9" cm="1">
        <f t="array" aca="1" ref="AF650" ca="1">_xll.FDS($E$9,"P_PRICE("&amp;AK650&amp;",0,D,D)")</f>
        <v>4137.04</v>
      </c>
      <c r="AG650" s="20">
        <f t="shared" ca="1" si="169"/>
        <v>45127</v>
      </c>
      <c r="AH650" s="22">
        <f t="shared" ca="1" si="164"/>
        <v>45120</v>
      </c>
      <c r="AI650" s="22">
        <f t="shared" ca="1" si="165"/>
        <v>45113</v>
      </c>
      <c r="AJ650" s="22">
        <f t="shared" ca="1" si="166"/>
        <v>45098</v>
      </c>
      <c r="AK650" s="22">
        <f t="shared" ca="1" si="167"/>
        <v>45040</v>
      </c>
      <c r="AL650" s="22">
        <f t="shared" ca="1" si="168"/>
        <v>44952</v>
      </c>
    </row>
    <row r="651" spans="4:38" x14ac:dyDescent="0.25">
      <c r="D651" s="6">
        <f ca="1"/>
        <v>45126</v>
      </c>
      <c r="E651" s="28" cm="1">
        <f t="array" aca="1" ref="E651" ca="1">_xll.FDS($E$7,"P_PRICE("&amp;D651&amp;",0,D,D)")</f>
        <v>58.17</v>
      </c>
      <c r="F651" s="29" cm="1">
        <f t="array" aca="1" ref="F651" ca="1">_xll.FDS($E$7,"P_BETA_LOCIDX("&amp;$AG651&amp;","&amp;$AL651&amp;",,"""&amp;$E$9&amp;""")")</f>
        <v>1.0805665</v>
      </c>
      <c r="G651" s="30">
        <f t="shared" ca="1" si="154"/>
        <v>7.8634078215937889E-3</v>
      </c>
      <c r="H651" s="30">
        <f t="shared" ca="1" si="154"/>
        <v>3.3185367509585909E-2</v>
      </c>
      <c r="I651" s="30">
        <f t="shared" ca="1" si="154"/>
        <v>5.7079723722591652E-2</v>
      </c>
      <c r="J651" s="30">
        <f t="shared" ca="1" si="154"/>
        <v>6.3831888245173926E-2</v>
      </c>
      <c r="K651" s="30">
        <f t="shared" ca="1" si="155"/>
        <v>2.2606034162462978E-2</v>
      </c>
      <c r="L651" s="30">
        <f t="shared" ca="1" si="155"/>
        <v>2.8892412296877432E-2</v>
      </c>
      <c r="M651" s="30">
        <f t="shared" ca="1" si="155"/>
        <v>4.3582527933037379E-2</v>
      </c>
      <c r="N651" s="30">
        <f t="shared" ca="1" si="155"/>
        <v>0.11298381072306397</v>
      </c>
      <c r="O651" s="30">
        <f t="shared" ca="1" si="156"/>
        <v>3.0469441984056767E-2</v>
      </c>
      <c r="P651" s="30">
        <f t="shared" ca="1" si="157"/>
        <v>6.207777980646334E-2</v>
      </c>
      <c r="Q651" s="30">
        <f t="shared" ca="1" si="158"/>
        <v>0.10066225165562903</v>
      </c>
      <c r="R651" s="30">
        <f t="shared" ca="1" si="159"/>
        <v>0.1768156989682379</v>
      </c>
      <c r="S651" s="9" cm="1">
        <f t="array" aca="1" ref="S651" ca="1">_xll.FDS($E$7,"P_PRICE("&amp;AG651&amp;",0,D,D)")</f>
        <v>58.17</v>
      </c>
      <c r="T651" s="9" cm="1">
        <f t="array" aca="1" ref="T651" ca="1">_xll.FDS($E$7,"P_PRICE("&amp;AH651&amp;",0,D,D)")</f>
        <v>56.45</v>
      </c>
      <c r="U651" s="9" cm="1">
        <f t="array" aca="1" ref="U651" ca="1">_xll.FDS($E$7,"P_PRICE("&amp;AI651&amp;",0,D,D)")</f>
        <v>54.77</v>
      </c>
      <c r="V651" s="9" cm="1">
        <f t="array" aca="1" ref="V651" ca="1">_xll.FDS($E$7,"P_PRICE("&amp;AJ651&amp;",0,D,D)")</f>
        <v>52.85</v>
      </c>
      <c r="W651" s="9" cm="1">
        <f t="array" aca="1" ref="W651" ca="1">_xll.FDS($E$7,"P_PRICE("&amp;AK651&amp;",0,D,D)")</f>
        <v>49.43</v>
      </c>
      <c r="X651" s="24">
        <f t="shared" ca="1" si="160"/>
        <v>2.0920539515580927E-2</v>
      </c>
      <c r="Y651" s="24">
        <f t="shared" ca="1" si="161"/>
        <v>2.6738208427595556E-2</v>
      </c>
      <c r="Z651" s="24">
        <f t="shared" ca="1" si="162"/>
        <v>4.03330363592036E-2</v>
      </c>
      <c r="AA651" s="24">
        <f t="shared" ca="1" si="163"/>
        <v>0.10455979407381588</v>
      </c>
      <c r="AB651" s="9" cm="1">
        <f t="array" aca="1" ref="AB651" ca="1">_xll.FDS($E$9,"P_PRICE("&amp;AG651&amp;",0,D,D)")</f>
        <v>4565.72</v>
      </c>
      <c r="AC651" s="9" cm="1">
        <f t="array" aca="1" ref="AC651" ca="1">_xll.FDS($E$9,"P_PRICE("&amp;AH651&amp;",0,D,D)")</f>
        <v>4472.16</v>
      </c>
      <c r="AD651" s="9" cm="1">
        <f t="array" aca="1" ref="AD651" ca="1">_xll.FDS($E$9,"P_PRICE("&amp;AI651&amp;",0,D,D)")</f>
        <v>4446.82</v>
      </c>
      <c r="AE651" s="9" cm="1">
        <f t="array" aca="1" ref="AE651" ca="1">_xll.FDS($E$9,"P_PRICE("&amp;AJ651&amp;",0,D,D)")</f>
        <v>4388.71</v>
      </c>
      <c r="AF651" s="9" cm="1">
        <f t="array" aca="1" ref="AF651" ca="1">_xll.FDS($E$9,"P_PRICE("&amp;AK651&amp;",0,D,D)")</f>
        <v>4133.5200000000004</v>
      </c>
      <c r="AG651" s="20">
        <f t="shared" ca="1" si="169"/>
        <v>45126</v>
      </c>
      <c r="AH651" s="22">
        <f t="shared" ca="1" si="164"/>
        <v>45119</v>
      </c>
      <c r="AI651" s="22">
        <f t="shared" ca="1" si="165"/>
        <v>45112</v>
      </c>
      <c r="AJ651" s="22">
        <f t="shared" ca="1" si="166"/>
        <v>45097</v>
      </c>
      <c r="AK651" s="22">
        <f t="shared" ca="1" si="167"/>
        <v>45037</v>
      </c>
      <c r="AL651" s="22">
        <f t="shared" ca="1" si="168"/>
        <v>44951</v>
      </c>
    </row>
    <row r="652" spans="4:38" x14ac:dyDescent="0.25">
      <c r="D652" s="6">
        <f ca="1"/>
        <v>45125</v>
      </c>
      <c r="E652" s="28" cm="1">
        <f t="array" aca="1" ref="E652" ca="1">_xll.FDS($E$7,"P_PRICE("&amp;D652&amp;",0,D,D)")</f>
        <v>58.04</v>
      </c>
      <c r="F652" s="29" cm="1">
        <f t="array" aca="1" ref="F652" ca="1">_xll.FDS($E$7,"P_BETA_LOCIDX("&amp;$AG652&amp;","&amp;$AL652&amp;",,"""&amp;$E$9&amp;""")")</f>
        <v>1.0816295</v>
      </c>
      <c r="G652" s="30">
        <f t="shared" ca="1" si="154"/>
        <v>1.9458152520671804E-2</v>
      </c>
      <c r="H652" s="30">
        <f t="shared" ca="1" si="154"/>
        <v>1.4526555274909484E-2</v>
      </c>
      <c r="I652" s="30">
        <f t="shared" ca="1" si="154"/>
        <v>5.6546506922113229E-2</v>
      </c>
      <c r="J652" s="30">
        <f t="shared" ca="1" si="154"/>
        <v>5.2231500516125892E-2</v>
      </c>
      <c r="K652" s="30">
        <f t="shared" ca="1" si="155"/>
        <v>2.8195277082216294E-2</v>
      </c>
      <c r="L652" s="30">
        <f t="shared" ca="1" si="155"/>
        <v>2.4127703851790579E-2</v>
      </c>
      <c r="M652" s="30">
        <f t="shared" ca="1" si="155"/>
        <v>3.5662751640175003E-2</v>
      </c>
      <c r="N652" s="30">
        <f t="shared" ca="1" si="155"/>
        <v>0.11136112177737835</v>
      </c>
      <c r="O652" s="30">
        <f t="shared" ca="1" si="156"/>
        <v>4.7653429602888098E-2</v>
      </c>
      <c r="P652" s="30">
        <f t="shared" ca="1" si="157"/>
        <v>3.8654259126700063E-2</v>
      </c>
      <c r="Q652" s="30">
        <f t="shared" ca="1" si="158"/>
        <v>9.2209258562288232E-2</v>
      </c>
      <c r="R652" s="30">
        <f t="shared" ca="1" si="159"/>
        <v>0.16359262229350424</v>
      </c>
      <c r="S652" s="9" cm="1">
        <f t="array" aca="1" ref="S652" ca="1">_xll.FDS($E$7,"P_PRICE("&amp;AG652&amp;",0,D,D)")</f>
        <v>58.04</v>
      </c>
      <c r="T652" s="9" cm="1">
        <f t="array" aca="1" ref="T652" ca="1">_xll.FDS($E$7,"P_PRICE("&amp;AH652&amp;",0,D,D)")</f>
        <v>55.4</v>
      </c>
      <c r="U652" s="9" cm="1">
        <f t="array" aca="1" ref="U652" ca="1">_xll.FDS($E$7,"P_PRICE("&amp;AI652&amp;",0,D,D)")</f>
        <v>55.88</v>
      </c>
      <c r="V652" s="9" cm="1">
        <f t="array" aca="1" ref="V652" ca="1">_xll.FDS($E$7,"P_PRICE("&amp;AJ652&amp;",0,D,D)")</f>
        <v>53.14</v>
      </c>
      <c r="W652" s="9" cm="1">
        <f t="array" aca="1" ref="W652" ca="1">_xll.FDS($E$7,"P_PRICE("&amp;AK652&amp;",0,D,D)")</f>
        <v>49.88</v>
      </c>
      <c r="X652" s="24">
        <f t="shared" ca="1" si="160"/>
        <v>2.606740763100146E-2</v>
      </c>
      <c r="Y652" s="24">
        <f t="shared" ca="1" si="161"/>
        <v>2.2306810096979213E-2</v>
      </c>
      <c r="Z652" s="24">
        <f t="shared" ca="1" si="162"/>
        <v>3.2971319329007764E-2</v>
      </c>
      <c r="AA652" s="24">
        <f t="shared" ca="1" si="163"/>
        <v>0.10295680894185888</v>
      </c>
      <c r="AB652" s="9" cm="1">
        <f t="array" aca="1" ref="AB652" ca="1">_xll.FDS($E$9,"P_PRICE("&amp;AG652&amp;",0,D,D)")</f>
        <v>4554.9799999999996</v>
      </c>
      <c r="AC652" s="9" cm="1">
        <f t="array" aca="1" ref="AC652" ca="1">_xll.FDS($E$9,"P_PRICE("&amp;AH652&amp;",0,D,D)")</f>
        <v>4439.26</v>
      </c>
      <c r="AD652" s="9" cm="1">
        <f t="array" aca="1" ref="AD652" ca="1">_xll.FDS($E$9,"P_PRICE("&amp;AI652&amp;",0,D,D)")</f>
        <v>4455.59</v>
      </c>
      <c r="AE652" s="9" cm="1">
        <f t="array" aca="1" ref="AE652" ca="1">_xll.FDS($E$9,"P_PRICE("&amp;AJ652&amp;",0,D,D)")</f>
        <v>4409.59</v>
      </c>
      <c r="AF652" s="9" cm="1">
        <f t="array" aca="1" ref="AF652" ca="1">_xll.FDS($E$9,"P_PRICE("&amp;AK652&amp;",0,D,D)")</f>
        <v>4129.79</v>
      </c>
      <c r="AG652" s="20">
        <f t="shared" ca="1" si="169"/>
        <v>45125</v>
      </c>
      <c r="AH652" s="22">
        <f t="shared" ca="1" si="164"/>
        <v>45118</v>
      </c>
      <c r="AI652" s="22">
        <f t="shared" ca="1" si="165"/>
        <v>45110</v>
      </c>
      <c r="AJ652" s="22">
        <f t="shared" ca="1" si="166"/>
        <v>45093</v>
      </c>
      <c r="AK652" s="22">
        <f t="shared" ca="1" si="167"/>
        <v>45036</v>
      </c>
      <c r="AL652" s="22">
        <f t="shared" ca="1" si="168"/>
        <v>44950</v>
      </c>
    </row>
    <row r="653" spans="4:38" x14ac:dyDescent="0.25">
      <c r="D653" s="6">
        <f ca="1"/>
        <v>45124</v>
      </c>
      <c r="E653" s="28" cm="1">
        <f t="array" aca="1" ref="E653" ca="1">_xll.FDS($E$7,"P_PRICE("&amp;D653&amp;",0,D,D)")</f>
        <v>57.54</v>
      </c>
      <c r="F653" s="29" cm="1">
        <f t="array" aca="1" ref="F653" ca="1">_xll.FDS($E$7,"P_BETA_LOCIDX("&amp;$AG653&amp;","&amp;$AL653&amp;",,"""&amp;$E$9&amp;""")")</f>
        <v>1.0721232000000001</v>
      </c>
      <c r="G653" s="30">
        <f t="shared" ca="1" si="154"/>
        <v>3.8017774061382736E-2</v>
      </c>
      <c r="H653" s="30">
        <f t="shared" ca="1" si="154"/>
        <v>1.5034016280735113E-2</v>
      </c>
      <c r="I653" s="30">
        <f t="shared" ca="1" si="154"/>
        <v>6.7734082610192856E-2</v>
      </c>
      <c r="J653" s="30">
        <f t="shared" ca="1" si="154"/>
        <v>5.5993761189817567E-2</v>
      </c>
      <c r="K653" s="30">
        <f t="shared" ca="1" si="155"/>
        <v>2.7537781494172853E-2</v>
      </c>
      <c r="L653" s="30">
        <f t="shared" ca="1" si="155"/>
        <v>1.7444002739541359E-2</v>
      </c>
      <c r="M653" s="30">
        <f t="shared" ca="1" si="155"/>
        <v>2.3485337074995904E-2</v>
      </c>
      <c r="N653" s="30">
        <f t="shared" ca="1" si="155"/>
        <v>9.5036444851390525E-2</v>
      </c>
      <c r="O653" s="30">
        <f t="shared" ca="1" si="156"/>
        <v>6.5555555555555589E-2</v>
      </c>
      <c r="P653" s="30">
        <f t="shared" ca="1" si="157"/>
        <v>3.2478019020276472E-2</v>
      </c>
      <c r="Q653" s="30">
        <f t="shared" ca="1" si="158"/>
        <v>9.1219419685188763E-2</v>
      </c>
      <c r="R653" s="30">
        <f t="shared" ca="1" si="159"/>
        <v>0.15103020604120809</v>
      </c>
      <c r="S653" s="9" cm="1">
        <f t="array" aca="1" ref="S653" ca="1">_xll.FDS($E$7,"P_PRICE("&amp;AG653&amp;",0,D,D)")</f>
        <v>57.54</v>
      </c>
      <c r="T653" s="9" cm="1">
        <f t="array" aca="1" ref="T653" ca="1">_xll.FDS($E$7,"P_PRICE("&amp;AH653&amp;",0,D,D)")</f>
        <v>54</v>
      </c>
      <c r="U653" s="9" cm="1">
        <f t="array" aca="1" ref="U653" ca="1">_xll.FDS($E$7,"P_PRICE("&amp;AI653&amp;",0,D,D)")</f>
        <v>55.73</v>
      </c>
      <c r="V653" s="9" cm="1">
        <f t="array" aca="1" ref="V653" ca="1">_xll.FDS($E$7,"P_PRICE("&amp;AJ653&amp;",0,D,D)")</f>
        <v>52.73</v>
      </c>
      <c r="W653" s="9" cm="1">
        <f t="array" aca="1" ref="W653" ca="1">_xll.FDS($E$7,"P_PRICE("&amp;AK653&amp;",0,D,D)")</f>
        <v>49.99</v>
      </c>
      <c r="X653" s="24">
        <f t="shared" ca="1" si="160"/>
        <v>2.5685277115701677E-2</v>
      </c>
      <c r="Y653" s="24">
        <f t="shared" ca="1" si="161"/>
        <v>1.6270520719579018E-2</v>
      </c>
      <c r="Z653" s="24">
        <f t="shared" ca="1" si="162"/>
        <v>2.1905446197783895E-2</v>
      </c>
      <c r="AA653" s="24">
        <f t="shared" ca="1" si="163"/>
        <v>8.864321269364428E-2</v>
      </c>
      <c r="AB653" s="9" cm="1">
        <f t="array" aca="1" ref="AB653" ca="1">_xll.FDS($E$9,"P_PRICE("&amp;AG653&amp;",0,D,D)")</f>
        <v>4522.79</v>
      </c>
      <c r="AC653" s="9" cm="1">
        <f t="array" aca="1" ref="AC653" ca="1">_xll.FDS($E$9,"P_PRICE("&amp;AH653&amp;",0,D,D)")</f>
        <v>4409.53</v>
      </c>
      <c r="AD653" s="9" cm="1">
        <f t="array" aca="1" ref="AD653" ca="1">_xll.FDS($E$9,"P_PRICE("&amp;AI653&amp;",0,D,D)")</f>
        <v>4450.38</v>
      </c>
      <c r="AE653" s="9" cm="1">
        <f t="array" aca="1" ref="AE653" ca="1">_xll.FDS($E$9,"P_PRICE("&amp;AJ653&amp;",0,D,D)")</f>
        <v>4425.84</v>
      </c>
      <c r="AF653" s="9" cm="1">
        <f t="array" aca="1" ref="AF653" ca="1">_xll.FDS($E$9,"P_PRICE("&amp;AK653&amp;",0,D,D)")</f>
        <v>4154.5200000000004</v>
      </c>
      <c r="AG653" s="20">
        <f t="shared" ca="1" si="169"/>
        <v>45124</v>
      </c>
      <c r="AH653" s="22">
        <f t="shared" ca="1" si="164"/>
        <v>45117</v>
      </c>
      <c r="AI653" s="22">
        <f t="shared" ca="1" si="165"/>
        <v>45107</v>
      </c>
      <c r="AJ653" s="22">
        <f t="shared" ca="1" si="166"/>
        <v>45092</v>
      </c>
      <c r="AK653" s="22">
        <f t="shared" ca="1" si="167"/>
        <v>45035</v>
      </c>
      <c r="AL653" s="22">
        <f t="shared" ca="1" si="168"/>
        <v>44949</v>
      </c>
    </row>
    <row r="654" spans="4:38" x14ac:dyDescent="0.25">
      <c r="D654" s="6">
        <f ca="1"/>
        <v>45121</v>
      </c>
      <c r="E654" s="28" cm="1">
        <f t="array" aca="1" ref="E654" ca="1">_xll.FDS($E$7,"P_PRICE("&amp;D654&amp;",0,D,D)")</f>
        <v>57.36</v>
      </c>
      <c r="F654" s="29" cm="1">
        <f t="array" aca="1" ref="F654" ca="1">_xll.FDS($E$7,"P_BETA_LOCIDX("&amp;$AG654&amp;","&amp;$AL654&amp;",,"""&amp;$E$9&amp;""")")</f>
        <v>1.0564905</v>
      </c>
      <c r="G654" s="30">
        <f t="shared" ca="1" si="154"/>
        <v>4.5577688282695199E-2</v>
      </c>
      <c r="H654" s="30">
        <f t="shared" ca="1" si="154"/>
        <v>1.8049583544263031E-2</v>
      </c>
      <c r="I654" s="30">
        <f t="shared" ca="1" si="154"/>
        <v>6.9711670739993514E-2</v>
      </c>
      <c r="J654" s="30">
        <f t="shared" ca="1" si="154"/>
        <v>5.8981471308940561E-2</v>
      </c>
      <c r="K654" s="30">
        <f t="shared" ca="1" si="155"/>
        <v>2.5570771101058272E-2</v>
      </c>
      <c r="L654" s="30">
        <f t="shared" ca="1" si="155"/>
        <v>2.6188537700958164E-2</v>
      </c>
      <c r="M654" s="30">
        <f t="shared" ca="1" si="155"/>
        <v>3.209393817279927E-2</v>
      </c>
      <c r="N654" s="30">
        <f t="shared" ca="1" si="155"/>
        <v>8.9137023486896158E-2</v>
      </c>
      <c r="O654" s="30">
        <f t="shared" ca="1" si="156"/>
        <v>7.1148459383753471E-2</v>
      </c>
      <c r="P654" s="30">
        <f t="shared" ca="1" si="157"/>
        <v>4.4238121245221196E-2</v>
      </c>
      <c r="Q654" s="30">
        <f t="shared" ca="1" si="158"/>
        <v>0.10180560891279278</v>
      </c>
      <c r="R654" s="30">
        <f t="shared" ca="1" si="159"/>
        <v>0.14811849479583672</v>
      </c>
      <c r="S654" s="9" cm="1">
        <f t="array" aca="1" ref="S654" ca="1">_xll.FDS($E$7,"P_PRICE("&amp;AG654&amp;",0,D,D)")</f>
        <v>57.36</v>
      </c>
      <c r="T654" s="9" cm="1">
        <f t="array" aca="1" ref="T654" ca="1">_xll.FDS($E$7,"P_PRICE("&amp;AH654&amp;",0,D,D)")</f>
        <v>53.55</v>
      </c>
      <c r="U654" s="9" cm="1">
        <f t="array" aca="1" ref="U654" ca="1">_xll.FDS($E$7,"P_PRICE("&amp;AI654&amp;",0,D,D)")</f>
        <v>54.93</v>
      </c>
      <c r="V654" s="9" cm="1">
        <f t="array" aca="1" ref="V654" ca="1">_xll.FDS($E$7,"P_PRICE("&amp;AJ654&amp;",0,D,D)")</f>
        <v>52.06</v>
      </c>
      <c r="W654" s="9" cm="1">
        <f t="array" aca="1" ref="W654" ca="1">_xll.FDS($E$7,"P_PRICE("&amp;AK654&amp;",0,D,D)")</f>
        <v>49.96</v>
      </c>
      <c r="X654" s="24">
        <f t="shared" ca="1" si="160"/>
        <v>2.4203503108696456E-2</v>
      </c>
      <c r="Y654" s="24">
        <f t="shared" ca="1" si="161"/>
        <v>2.4788237756002696E-2</v>
      </c>
      <c r="Z654" s="24">
        <f t="shared" ca="1" si="162"/>
        <v>3.0377876727523123E-2</v>
      </c>
      <c r="AA654" s="24">
        <f t="shared" ca="1" si="163"/>
        <v>8.4370870809435727E-2</v>
      </c>
      <c r="AB654" s="9" cm="1">
        <f t="array" aca="1" ref="AB654" ca="1">_xll.FDS($E$9,"P_PRICE("&amp;AG654&amp;",0,D,D)")</f>
        <v>4505.42</v>
      </c>
      <c r="AC654" s="9" cm="1">
        <f t="array" aca="1" ref="AC654" ca="1">_xll.FDS($E$9,"P_PRICE("&amp;AH654&amp;",0,D,D)")</f>
        <v>4398.95</v>
      </c>
      <c r="AD654" s="9" cm="1">
        <f t="array" aca="1" ref="AD654" ca="1">_xll.FDS($E$9,"P_PRICE("&amp;AI654&amp;",0,D,D)")</f>
        <v>4396.4399999999996</v>
      </c>
      <c r="AE654" s="9" cm="1">
        <f t="array" aca="1" ref="AE654" ca="1">_xll.FDS($E$9,"P_PRICE("&amp;AJ654&amp;",0,D,D)")</f>
        <v>4372.59</v>
      </c>
      <c r="AF654" s="9" cm="1">
        <f t="array" aca="1" ref="AF654" ca="1">_xll.FDS($E$9,"P_PRICE("&amp;AK654&amp;",0,D,D)")</f>
        <v>4154.87</v>
      </c>
      <c r="AG654" s="20">
        <f t="shared" ca="1" si="169"/>
        <v>45121</v>
      </c>
      <c r="AH654" s="22">
        <f t="shared" ca="1" si="164"/>
        <v>45114</v>
      </c>
      <c r="AI654" s="22">
        <f t="shared" ca="1" si="165"/>
        <v>45106</v>
      </c>
      <c r="AJ654" s="22">
        <f t="shared" ca="1" si="166"/>
        <v>45091</v>
      </c>
      <c r="AK654" s="22">
        <f t="shared" ca="1" si="167"/>
        <v>45034</v>
      </c>
      <c r="AL654" s="22">
        <f t="shared" ca="1" si="168"/>
        <v>44946</v>
      </c>
    </row>
    <row r="655" spans="4:38" x14ac:dyDescent="0.25">
      <c r="D655" s="6">
        <f ca="1"/>
        <v>45120</v>
      </c>
      <c r="E655" s="28" cm="1">
        <f t="array" aca="1" ref="E655" ca="1">_xll.FDS($E$7,"P_PRICE("&amp;D655&amp;",0,D,D)")</f>
        <v>57.18</v>
      </c>
      <c r="F655" s="29" cm="1">
        <f t="array" aca="1" ref="F655" ca="1">_xll.FDS($E$7,"P_BETA_LOCIDX("&amp;$AG655&amp;","&amp;$AL655&amp;",,"""&amp;$E$9&amp;""")")</f>
        <v>1.0564581</v>
      </c>
      <c r="G655" s="30">
        <f t="shared" ca="1" si="154"/>
        <v>4.8013057127629891E-2</v>
      </c>
      <c r="H655" s="30">
        <f t="shared" ca="1" si="154"/>
        <v>6.3573255318148808E-3</v>
      </c>
      <c r="I655" s="30">
        <f t="shared" ca="1" si="154"/>
        <v>0.10835547223042022</v>
      </c>
      <c r="J655" s="30">
        <f t="shared" ca="1" si="154"/>
        <v>6.1300529548885346E-2</v>
      </c>
      <c r="K655" s="30">
        <f t="shared" ca="1" si="155"/>
        <v>2.3576148269671405E-2</v>
      </c>
      <c r="L655" s="30">
        <f t="shared" ca="1" si="155"/>
        <v>3.2146125249151183E-2</v>
      </c>
      <c r="M655" s="30">
        <f t="shared" ca="1" si="155"/>
        <v>3.4102070227122284E-2</v>
      </c>
      <c r="N655" s="30">
        <f t="shared" ca="1" si="155"/>
        <v>9.1289674039100904E-2</v>
      </c>
      <c r="O655" s="30">
        <f t="shared" ca="1" si="156"/>
        <v>7.1589205397301292E-2</v>
      </c>
      <c r="P655" s="30">
        <f t="shared" ca="1" si="157"/>
        <v>3.8503450780966064E-2</v>
      </c>
      <c r="Q655" s="30">
        <f t="shared" ca="1" si="158"/>
        <v>0.1424575424575425</v>
      </c>
      <c r="R655" s="30">
        <f t="shared" ca="1" si="159"/>
        <v>0.15259020358798625</v>
      </c>
      <c r="S655" s="9" cm="1">
        <f t="array" aca="1" ref="S655" ca="1">_xll.FDS($E$7,"P_PRICE("&amp;AG655&amp;",0,D,D)")</f>
        <v>57.18</v>
      </c>
      <c r="T655" s="9" cm="1">
        <f t="array" aca="1" ref="T655" ca="1">_xll.FDS($E$7,"P_PRICE("&amp;AH655&amp;",0,D,D)")</f>
        <v>53.36</v>
      </c>
      <c r="U655" s="9" cm="1">
        <f t="array" aca="1" ref="U655" ca="1">_xll.FDS($E$7,"P_PRICE("&amp;AI655&amp;",0,D,D)")</f>
        <v>55.06</v>
      </c>
      <c r="V655" s="9" cm="1">
        <f t="array" aca="1" ref="V655" ca="1">_xll.FDS($E$7,"P_PRICE("&amp;AJ655&amp;",0,D,D)")</f>
        <v>50.05</v>
      </c>
      <c r="W655" s="9" cm="1">
        <f t="array" aca="1" ref="W655" ca="1">_xll.FDS($E$7,"P_PRICE("&amp;AK655&amp;",0,D,D)")</f>
        <v>49.61</v>
      </c>
      <c r="X655" s="24">
        <f t="shared" ca="1" si="160"/>
        <v>2.2316217055528664E-2</v>
      </c>
      <c r="Y655" s="24">
        <f t="shared" ca="1" si="161"/>
        <v>3.0428206522484125E-2</v>
      </c>
      <c r="Z655" s="24">
        <f t="shared" ca="1" si="162"/>
        <v>3.227962398804296E-2</v>
      </c>
      <c r="AA655" s="24">
        <f t="shared" ca="1" si="163"/>
        <v>8.6411069250262651E-2</v>
      </c>
      <c r="AB655" s="9" cm="1">
        <f t="array" aca="1" ref="AB655" ca="1">_xll.FDS($E$9,"P_PRICE("&amp;AG655&amp;",0,D,D)")</f>
        <v>4510.04</v>
      </c>
      <c r="AC655" s="9" cm="1">
        <f t="array" aca="1" ref="AC655" ca="1">_xll.FDS($E$9,"P_PRICE("&amp;AH655&amp;",0,D,D)")</f>
        <v>4411.59</v>
      </c>
      <c r="AD655" s="9" cm="1">
        <f t="array" aca="1" ref="AD655" ca="1">_xll.FDS($E$9,"P_PRICE("&amp;AI655&amp;",0,D,D)")</f>
        <v>4376.8599999999997</v>
      </c>
      <c r="AE655" s="9" cm="1">
        <f t="array" aca="1" ref="AE655" ca="1">_xll.FDS($E$9,"P_PRICE("&amp;AJ655&amp;",0,D,D)")</f>
        <v>4369.01</v>
      </c>
      <c r="AF655" s="9" cm="1">
        <f t="array" aca="1" ref="AF655" ca="1">_xll.FDS($E$9,"P_PRICE("&amp;AK655&amp;",0,D,D)")</f>
        <v>4151.32</v>
      </c>
      <c r="AG655" s="20">
        <f t="shared" ca="1" si="169"/>
        <v>45120</v>
      </c>
      <c r="AH655" s="22">
        <f t="shared" ca="1" si="164"/>
        <v>45113</v>
      </c>
      <c r="AI655" s="22">
        <f t="shared" ca="1" si="165"/>
        <v>45105</v>
      </c>
      <c r="AJ655" s="22">
        <f t="shared" ca="1" si="166"/>
        <v>45090</v>
      </c>
      <c r="AK655" s="22">
        <f t="shared" ca="1" si="167"/>
        <v>45033</v>
      </c>
      <c r="AL655" s="22">
        <f t="shared" ca="1" si="168"/>
        <v>44945</v>
      </c>
    </row>
    <row r="656" spans="4:38" x14ac:dyDescent="0.25">
      <c r="D656" s="6">
        <f ca="1"/>
        <v>45119</v>
      </c>
      <c r="E656" s="28" cm="1">
        <f t="array" aca="1" ref="E656" ca="1">_xll.FDS($E$7,"P_PRICE("&amp;D656&amp;",0,D,D)")</f>
        <v>56.45</v>
      </c>
      <c r="F656" s="29" cm="1">
        <f t="array" aca="1" ref="F656" ca="1">_xll.FDS($E$7,"P_BETA_LOCIDX("&amp;$AG656&amp;","&amp;$AL656&amp;",,"""&amp;$E$9&amp;""")")</f>
        <v>1.0505004</v>
      </c>
      <c r="G656" s="30">
        <f t="shared" ca="1" si="154"/>
        <v>2.4687498101080608E-2</v>
      </c>
      <c r="H656" s="30">
        <f t="shared" ca="1" si="154"/>
        <v>1.19579726216292E-2</v>
      </c>
      <c r="I656" s="30">
        <f t="shared" ca="1" si="154"/>
        <v>0.10447338390103844</v>
      </c>
      <c r="J656" s="30">
        <f t="shared" ca="1" si="154"/>
        <v>6.1494793211559567E-2</v>
      </c>
      <c r="K656" s="30">
        <f t="shared" ca="1" si="155"/>
        <v>5.9862283915247507E-3</v>
      </c>
      <c r="L656" s="30">
        <f t="shared" ca="1" si="155"/>
        <v>2.249319102139816E-2</v>
      </c>
      <c r="M656" s="30">
        <f t="shared" ca="1" si="155"/>
        <v>3.2256378483174301E-2</v>
      </c>
      <c r="N656" s="30">
        <f t="shared" ca="1" si="155"/>
        <v>8.4930876975280484E-2</v>
      </c>
      <c r="O656" s="30">
        <f t="shared" ca="1" si="156"/>
        <v>3.0673726492605358E-2</v>
      </c>
      <c r="P656" s="30">
        <f t="shared" ca="1" si="157"/>
        <v>3.445116364302736E-2</v>
      </c>
      <c r="Q656" s="30">
        <f t="shared" ca="1" si="158"/>
        <v>0.13672976238421275</v>
      </c>
      <c r="R656" s="30">
        <f t="shared" ca="1" si="159"/>
        <v>0.14642567018684005</v>
      </c>
      <c r="S656" s="9" cm="1">
        <f t="array" aca="1" ref="S656" ca="1">_xll.FDS($E$7,"P_PRICE("&amp;AG656&amp;",0,D,D)")</f>
        <v>56.45</v>
      </c>
      <c r="T656" s="9" cm="1">
        <f t="array" aca="1" ref="T656" ca="1">_xll.FDS($E$7,"P_PRICE("&amp;AH656&amp;",0,D,D)")</f>
        <v>54.77</v>
      </c>
      <c r="U656" s="9" cm="1">
        <f t="array" aca="1" ref="U656" ca="1">_xll.FDS($E$7,"P_PRICE("&amp;AI656&amp;",0,D,D)")</f>
        <v>54.57</v>
      </c>
      <c r="V656" s="9" cm="1">
        <f t="array" aca="1" ref="V656" ca="1">_xll.FDS($E$7,"P_PRICE("&amp;AJ656&amp;",0,D,D)")</f>
        <v>49.66</v>
      </c>
      <c r="W656" s="9" cm="1">
        <f t="array" aca="1" ref="W656" ca="1">_xll.FDS($E$7,"P_PRICE("&amp;AK656&amp;",0,D,D)")</f>
        <v>49.24</v>
      </c>
      <c r="X656" s="24">
        <f t="shared" ca="1" si="160"/>
        <v>5.6984541762428176E-3</v>
      </c>
      <c r="Y656" s="24">
        <f t="shared" ca="1" si="161"/>
        <v>2.1411882395664161E-2</v>
      </c>
      <c r="Z656" s="24">
        <f t="shared" ca="1" si="162"/>
        <v>3.0705726987990012E-2</v>
      </c>
      <c r="AA656" s="24">
        <f t="shared" ca="1" si="163"/>
        <v>8.0848019644048197E-2</v>
      </c>
      <c r="AB656" s="9" cm="1">
        <f t="array" aca="1" ref="AB656" ca="1">_xll.FDS($E$9,"P_PRICE("&amp;AG656&amp;",0,D,D)")</f>
        <v>4472.16</v>
      </c>
      <c r="AC656" s="9" cm="1">
        <f t="array" aca="1" ref="AC656" ca="1">_xll.FDS($E$9,"P_PRICE("&amp;AH656&amp;",0,D,D)")</f>
        <v>4446.82</v>
      </c>
      <c r="AD656" s="9" cm="1">
        <f t="array" aca="1" ref="AD656" ca="1">_xll.FDS($E$9,"P_PRICE("&amp;AI656&amp;",0,D,D)")</f>
        <v>4378.41</v>
      </c>
      <c r="AE656" s="9" cm="1">
        <f t="array" aca="1" ref="AE656" ca="1">_xll.FDS($E$9,"P_PRICE("&amp;AJ656&amp;",0,D,D)")</f>
        <v>4338.93</v>
      </c>
      <c r="AF656" s="9" cm="1">
        <f t="array" aca="1" ref="AF656" ca="1">_xll.FDS($E$9,"P_PRICE("&amp;AK656&amp;",0,D,D)")</f>
        <v>4137.6400000000003</v>
      </c>
      <c r="AG656" s="20">
        <f t="shared" ca="1" si="169"/>
        <v>45119</v>
      </c>
      <c r="AH656" s="22">
        <f t="shared" ca="1" si="164"/>
        <v>45112</v>
      </c>
      <c r="AI656" s="22">
        <f t="shared" ca="1" si="165"/>
        <v>45104</v>
      </c>
      <c r="AJ656" s="22">
        <f t="shared" ca="1" si="166"/>
        <v>45089</v>
      </c>
      <c r="AK656" s="22">
        <f t="shared" ca="1" si="167"/>
        <v>45030</v>
      </c>
      <c r="AL656" s="22">
        <f t="shared" ca="1" si="168"/>
        <v>44944</v>
      </c>
    </row>
    <row r="657" spans="4:38" x14ac:dyDescent="0.25">
      <c r="D657" s="6">
        <f ca="1"/>
        <v>45118</v>
      </c>
      <c r="E657" s="28" cm="1">
        <f t="array" aca="1" ref="E657" ca="1">_xll.FDS($E$7,"P_PRICE("&amp;D657&amp;",0,D,D)")</f>
        <v>55.4</v>
      </c>
      <c r="F657" s="29" cm="1">
        <f t="array" aca="1" ref="F657" ca="1">_xll.FDS($E$7,"P_BETA_LOCIDX("&amp;$AG657&amp;","&amp;$AL657&amp;",,"""&amp;$E$9&amp;""")")</f>
        <v>1.0452074</v>
      </c>
      <c r="G657" s="30">
        <f t="shared" ca="1" si="154"/>
        <v>-4.7590886271619819E-3</v>
      </c>
      <c r="H657" s="30">
        <f t="shared" ca="1" si="154"/>
        <v>1.7828630609045822E-2</v>
      </c>
      <c r="I657" s="30">
        <f t="shared" ca="1" si="154"/>
        <v>0.10367435168200644</v>
      </c>
      <c r="J657" s="30">
        <f t="shared" ca="1" si="154"/>
        <v>5.0088714656507091E-2</v>
      </c>
      <c r="K657" s="30">
        <f t="shared" ca="1" si="155"/>
        <v>-3.8307467343269576E-3</v>
      </c>
      <c r="L657" s="30">
        <f t="shared" ca="1" si="155"/>
        <v>2.6666090356263442E-2</v>
      </c>
      <c r="M657" s="30">
        <f t="shared" ca="1" si="155"/>
        <v>3.4136287052846784E-2</v>
      </c>
      <c r="N657" s="30">
        <f t="shared" ca="1" si="155"/>
        <v>7.3871520685347206E-2</v>
      </c>
      <c r="O657" s="30">
        <f t="shared" ca="1" si="156"/>
        <v>-8.58983536148894E-3</v>
      </c>
      <c r="P657" s="30">
        <f t="shared" ca="1" si="157"/>
        <v>4.4494720965309265E-2</v>
      </c>
      <c r="Q657" s="30">
        <f t="shared" ca="1" si="158"/>
        <v>0.13781063873485322</v>
      </c>
      <c r="R657" s="30">
        <f t="shared" ca="1" si="159"/>
        <v>0.1239602353418543</v>
      </c>
      <c r="S657" s="9" cm="1">
        <f t="array" aca="1" ref="S657" ca="1">_xll.FDS($E$7,"P_PRICE("&amp;AG657&amp;",0,D,D)")</f>
        <v>55.4</v>
      </c>
      <c r="T657" s="9" cm="1">
        <f t="array" aca="1" ref="T657" ca="1">_xll.FDS($E$7,"P_PRICE("&amp;AH657&amp;",0,D,D)")</f>
        <v>55.88</v>
      </c>
      <c r="U657" s="9" cm="1">
        <f t="array" aca="1" ref="U657" ca="1">_xll.FDS($E$7,"P_PRICE("&amp;AI657&amp;",0,D,D)")</f>
        <v>53.04</v>
      </c>
      <c r="V657" s="9" cm="1">
        <f t="array" aca="1" ref="V657" ca="1">_xll.FDS($E$7,"P_PRICE("&amp;AJ657&amp;",0,D,D)")</f>
        <v>48.69</v>
      </c>
      <c r="W657" s="9" cm="1">
        <f t="array" aca="1" ref="W657" ca="1">_xll.FDS($E$7,"P_PRICE("&amp;AK657&amp;",0,D,D)")</f>
        <v>49.29</v>
      </c>
      <c r="X657" s="24">
        <f t="shared" ca="1" si="160"/>
        <v>-3.6650589484220619E-3</v>
      </c>
      <c r="Y657" s="24">
        <f t="shared" ca="1" si="161"/>
        <v>2.5512726331887281E-2</v>
      </c>
      <c r="Z657" s="24">
        <f t="shared" ca="1" si="162"/>
        <v>3.265982144103341E-2</v>
      </c>
      <c r="AA657" s="24">
        <f t="shared" ca="1" si="163"/>
        <v>7.0676423344636863E-2</v>
      </c>
      <c r="AB657" s="9" cm="1">
        <f t="array" aca="1" ref="AB657" ca="1">_xll.FDS($E$9,"P_PRICE("&amp;AG657&amp;",0,D,D)")</f>
        <v>4439.26</v>
      </c>
      <c r="AC657" s="9" cm="1">
        <f t="array" aca="1" ref="AC657" ca="1">_xll.FDS($E$9,"P_PRICE("&amp;AH657&amp;",0,D,D)")</f>
        <v>4455.59</v>
      </c>
      <c r="AD657" s="9" cm="1">
        <f t="array" aca="1" ref="AD657" ca="1">_xll.FDS($E$9,"P_PRICE("&amp;AI657&amp;",0,D,D)")</f>
        <v>4328.82</v>
      </c>
      <c r="AE657" s="9" cm="1">
        <f t="array" aca="1" ref="AE657" ca="1">_xll.FDS($E$9,"P_PRICE("&amp;AJ657&amp;",0,D,D)")</f>
        <v>4298.8599999999997</v>
      </c>
      <c r="AF657" s="9" cm="1">
        <f t="array" aca="1" ref="AF657" ca="1">_xll.FDS($E$9,"P_PRICE("&amp;AK657&amp;",0,D,D)")</f>
        <v>4146.22</v>
      </c>
      <c r="AG657" s="20">
        <f t="shared" ca="1" si="169"/>
        <v>45118</v>
      </c>
      <c r="AH657" s="22">
        <f t="shared" ca="1" si="164"/>
        <v>45110</v>
      </c>
      <c r="AI657" s="22">
        <f t="shared" ca="1" si="165"/>
        <v>45103</v>
      </c>
      <c r="AJ657" s="22">
        <f t="shared" ca="1" si="166"/>
        <v>45086</v>
      </c>
      <c r="AK657" s="22">
        <f t="shared" ca="1" si="167"/>
        <v>45029</v>
      </c>
      <c r="AL657" s="22">
        <f t="shared" ca="1" si="168"/>
        <v>44943</v>
      </c>
    </row>
    <row r="658" spans="4:38" x14ac:dyDescent="0.25">
      <c r="D658" s="6">
        <f ca="1"/>
        <v>45117</v>
      </c>
      <c r="E658" s="28" cm="1">
        <f t="array" aca="1" ref="E658" ca="1">_xll.FDS($E$7,"P_PRICE("&amp;D658&amp;",0,D,D)")</f>
        <v>54</v>
      </c>
      <c r="F658" s="29" cm="1">
        <f t="array" aca="1" ref="F658" ca="1">_xll.FDS($E$7,"P_BETA_LOCIDX("&amp;$AG658&amp;","&amp;$AL658&amp;",,"""&amp;$E$9&amp;""")")</f>
        <v>1.0393705</v>
      </c>
      <c r="G658" s="30">
        <f t="shared" ca="1" si="154"/>
        <v>-2.1502153526830253E-2</v>
      </c>
      <c r="H658" s="30">
        <f t="shared" ca="1" si="154"/>
        <v>-4.1494418005695102E-3</v>
      </c>
      <c r="I658" s="30">
        <f t="shared" ca="1" si="154"/>
        <v>6.2266688205135159E-2</v>
      </c>
      <c r="J658" s="30">
        <f t="shared" ca="1" si="154"/>
        <v>3.1359859457359029E-2</v>
      </c>
      <c r="K658" s="30">
        <f t="shared" ca="1" si="155"/>
        <v>-9.5403729400636191E-3</v>
      </c>
      <c r="L658" s="30">
        <f t="shared" ca="1" si="155"/>
        <v>1.4628483716737285E-2</v>
      </c>
      <c r="M658" s="30">
        <f t="shared" ca="1" si="155"/>
        <v>2.7981646137687267E-2</v>
      </c>
      <c r="N658" s="30">
        <f t="shared" ca="1" si="155"/>
        <v>8.0666499685968673E-2</v>
      </c>
      <c r="O658" s="30">
        <f t="shared" ca="1" si="156"/>
        <v>-3.1042526466893872E-2</v>
      </c>
      <c r="P658" s="30">
        <f t="shared" ca="1" si="157"/>
        <v>1.0479041916167775E-2</v>
      </c>
      <c r="Q658" s="30">
        <f t="shared" ca="1" si="158"/>
        <v>9.0248334342822423E-2</v>
      </c>
      <c r="R658" s="30">
        <f t="shared" ca="1" si="159"/>
        <v>0.1120263591433277</v>
      </c>
      <c r="S658" s="9" cm="1">
        <f t="array" aca="1" ref="S658" ca="1">_xll.FDS($E$7,"P_PRICE("&amp;AG658&amp;",0,D,D)")</f>
        <v>54</v>
      </c>
      <c r="T658" s="9" cm="1">
        <f t="array" aca="1" ref="T658" ca="1">_xll.FDS($E$7,"P_PRICE("&amp;AH658&amp;",0,D,D)")</f>
        <v>55.73</v>
      </c>
      <c r="U658" s="9" cm="1">
        <f t="array" aca="1" ref="U658" ca="1">_xll.FDS($E$7,"P_PRICE("&amp;AI658&amp;",0,D,D)")</f>
        <v>53.44</v>
      </c>
      <c r="V658" s="9" cm="1">
        <f t="array" aca="1" ref="V658" ca="1">_xll.FDS($E$7,"P_PRICE("&amp;AJ658&amp;",0,D,D)")</f>
        <v>49.53</v>
      </c>
      <c r="W658" s="9" cm="1">
        <f t="array" aca="1" ref="W658" ca="1">_xll.FDS($E$7,"P_PRICE("&amp;AK658&amp;",0,D,D)")</f>
        <v>48.56</v>
      </c>
      <c r="X658" s="24">
        <f t="shared" ca="1" si="160"/>
        <v>-9.1789914569093689E-3</v>
      </c>
      <c r="Y658" s="24">
        <f t="shared" ca="1" si="161"/>
        <v>1.4074368780658375E-2</v>
      </c>
      <c r="Z658" s="24">
        <f t="shared" ca="1" si="162"/>
        <v>2.6921724387682033E-2</v>
      </c>
      <c r="AA658" s="24">
        <f t="shared" ca="1" si="163"/>
        <v>7.7610918999498901E-2</v>
      </c>
      <c r="AB658" s="9" cm="1">
        <f t="array" aca="1" ref="AB658" ca="1">_xll.FDS($E$9,"P_PRICE("&amp;AG658&amp;",0,D,D)")</f>
        <v>4409.53</v>
      </c>
      <c r="AC658" s="9" cm="1">
        <f t="array" aca="1" ref="AC658" ca="1">_xll.FDS($E$9,"P_PRICE("&amp;AH658&amp;",0,D,D)")</f>
        <v>4450.38</v>
      </c>
      <c r="AD658" s="9" cm="1">
        <f t="array" aca="1" ref="AD658" ca="1">_xll.FDS($E$9,"P_PRICE("&amp;AI658&amp;",0,D,D)")</f>
        <v>4348.33</v>
      </c>
      <c r="AE658" s="9" cm="1">
        <f t="array" aca="1" ref="AE658" ca="1">_xll.FDS($E$9,"P_PRICE("&amp;AJ658&amp;",0,D,D)")</f>
        <v>4293.93</v>
      </c>
      <c r="AF658" s="9" cm="1">
        <f t="array" aca="1" ref="AF658" ca="1">_xll.FDS($E$9,"P_PRICE("&amp;AK658&amp;",0,D,D)")</f>
        <v>4091.95</v>
      </c>
      <c r="AG658" s="20">
        <f t="shared" ca="1" si="169"/>
        <v>45117</v>
      </c>
      <c r="AH658" s="22">
        <f t="shared" ca="1" si="164"/>
        <v>45107</v>
      </c>
      <c r="AI658" s="22">
        <f t="shared" ca="1" si="165"/>
        <v>45100</v>
      </c>
      <c r="AJ658" s="22">
        <f t="shared" ca="1" si="166"/>
        <v>45085</v>
      </c>
      <c r="AK658" s="22">
        <f t="shared" ca="1" si="167"/>
        <v>45028</v>
      </c>
      <c r="AL658" s="22">
        <f t="shared" ca="1" si="168"/>
        <v>44939</v>
      </c>
    </row>
    <row r="659" spans="4:38" x14ac:dyDescent="0.25">
      <c r="D659" s="6">
        <f ca="1"/>
        <v>45114</v>
      </c>
      <c r="E659" s="28" cm="1">
        <f t="array" aca="1" ref="E659" ca="1">_xll.FDS($E$7,"P_PRICE("&amp;D659&amp;",0,D,D)")</f>
        <v>53.55</v>
      </c>
      <c r="F659" s="29" cm="1">
        <f t="array" aca="1" ref="F659" ca="1">_xll.FDS($E$7,"P_BETA_LOCIDX("&amp;$AG659&amp;","&amp;$AL659&amp;",,"""&amp;$E$9&amp;""")")</f>
        <v>1.0384108000000001</v>
      </c>
      <c r="G659" s="30">
        <f t="shared" ca="1" si="154"/>
        <v>-2.5715729497203865E-2</v>
      </c>
      <c r="H659" s="30">
        <f t="shared" ca="1" si="154"/>
        <v>-2.3593401605427333E-3</v>
      </c>
      <c r="I659" s="30">
        <f t="shared" ca="1" si="154"/>
        <v>7.0324762714693262E-2</v>
      </c>
      <c r="J659" s="30">
        <f t="shared" ca="1" si="154"/>
        <v>4.8409589041267409E-2</v>
      </c>
      <c r="K659" s="30">
        <f t="shared" ca="1" si="155"/>
        <v>5.9284582707825684E-4</v>
      </c>
      <c r="L659" s="30">
        <f t="shared" ca="1" si="155"/>
        <v>4.0428418440442426E-3</v>
      </c>
      <c r="M659" s="30">
        <f t="shared" ca="1" si="155"/>
        <v>3.1980712789629412E-2</v>
      </c>
      <c r="N659" s="30">
        <f t="shared" ca="1" si="155"/>
        <v>7.3291290724128377E-2</v>
      </c>
      <c r="O659" s="30">
        <f t="shared" ca="1" si="156"/>
        <v>-2.5122883670125606E-2</v>
      </c>
      <c r="P659" s="30">
        <f t="shared" ca="1" si="157"/>
        <v>1.6835016835015093E-3</v>
      </c>
      <c r="Q659" s="30">
        <f t="shared" ca="1" si="158"/>
        <v>0.10230547550432267</v>
      </c>
      <c r="R659" s="30">
        <f t="shared" ca="1" si="159"/>
        <v>0.12170087976539579</v>
      </c>
      <c r="S659" s="9" cm="1">
        <f t="array" aca="1" ref="S659" ca="1">_xll.FDS($E$7,"P_PRICE("&amp;AG659&amp;",0,D,D)")</f>
        <v>53.55</v>
      </c>
      <c r="T659" s="9" cm="1">
        <f t="array" aca="1" ref="T659" ca="1">_xll.FDS($E$7,"P_PRICE("&amp;AH659&amp;",0,D,D)")</f>
        <v>54.93</v>
      </c>
      <c r="U659" s="9" cm="1">
        <f t="array" aca="1" ref="U659" ca="1">_xll.FDS($E$7,"P_PRICE("&amp;AI659&amp;",0,D,D)")</f>
        <v>53.46</v>
      </c>
      <c r="V659" s="9" cm="1">
        <f t="array" aca="1" ref="V659" ca="1">_xll.FDS($E$7,"P_PRICE("&amp;AJ659&amp;",0,D,D)")</f>
        <v>48.58</v>
      </c>
      <c r="W659" s="9" cm="1">
        <f t="array" aca="1" ref="W659" ca="1">_xll.FDS($E$7,"P_PRICE("&amp;AK659&amp;",0,D,D)")</f>
        <v>47.74</v>
      </c>
      <c r="X659" s="24">
        <f t="shared" ca="1" si="160"/>
        <v>5.7091646877927005E-4</v>
      </c>
      <c r="Y659" s="24">
        <f t="shared" ca="1" si="161"/>
        <v>3.8932971845480058E-3</v>
      </c>
      <c r="Z659" s="24">
        <f t="shared" ca="1" si="162"/>
        <v>3.0797746700659712E-2</v>
      </c>
      <c r="AA659" s="24">
        <f t="shared" ca="1" si="163"/>
        <v>7.0580246973672045E-2</v>
      </c>
      <c r="AB659" s="9" cm="1">
        <f t="array" aca="1" ref="AB659" ca="1">_xll.FDS($E$9,"P_PRICE("&amp;AG659&amp;",0,D,D)")</f>
        <v>4398.95</v>
      </c>
      <c r="AC659" s="9" cm="1">
        <f t="array" aca="1" ref="AC659" ca="1">_xll.FDS($E$9,"P_PRICE("&amp;AH659&amp;",0,D,D)")</f>
        <v>4396.4399999999996</v>
      </c>
      <c r="AD659" s="9" cm="1">
        <f t="array" aca="1" ref="AD659" ca="1">_xll.FDS($E$9,"P_PRICE("&amp;AI659&amp;",0,D,D)")</f>
        <v>4381.8900000000003</v>
      </c>
      <c r="AE659" s="9" cm="1">
        <f t="array" aca="1" ref="AE659" ca="1">_xll.FDS($E$9,"P_PRICE("&amp;AJ659&amp;",0,D,D)")</f>
        <v>4267.5200000000004</v>
      </c>
      <c r="AF659" s="9" cm="1">
        <f t="array" aca="1" ref="AF659" ca="1">_xll.FDS($E$9,"P_PRICE("&amp;AK659&amp;",0,D,D)")</f>
        <v>4108.9399999999996</v>
      </c>
      <c r="AG659" s="20">
        <f t="shared" ca="1" si="169"/>
        <v>45114</v>
      </c>
      <c r="AH659" s="22">
        <f t="shared" ca="1" si="164"/>
        <v>45106</v>
      </c>
      <c r="AI659" s="22">
        <f t="shared" ca="1" si="165"/>
        <v>45099</v>
      </c>
      <c r="AJ659" s="22">
        <f t="shared" ca="1" si="166"/>
        <v>45084</v>
      </c>
      <c r="AK659" s="22">
        <f t="shared" ca="1" si="167"/>
        <v>45027</v>
      </c>
      <c r="AL659" s="22">
        <f t="shared" ca="1" si="168"/>
        <v>44938</v>
      </c>
    </row>
    <row r="660" spans="4:38" x14ac:dyDescent="0.25">
      <c r="D660" s="6">
        <f ca="1"/>
        <v>45113</v>
      </c>
      <c r="E660" s="28" cm="1">
        <f t="array" aca="1" ref="E660" ca="1">_xll.FDS($E$7,"P_PRICE("&amp;D660&amp;",0,D,D)")</f>
        <v>53.36</v>
      </c>
      <c r="F660" s="29" cm="1">
        <f t="array" aca="1" ref="F660" ca="1">_xll.FDS($E$7,"P_BETA_LOCIDX("&amp;$AG660&amp;","&amp;$AL660&amp;",,"""&amp;$E$9&amp;""")")</f>
        <v>1.0493939000000001</v>
      </c>
      <c r="G660" s="30">
        <f t="shared" ca="1" si="154"/>
        <v>-3.9202257149978867E-2</v>
      </c>
      <c r="H660" s="30">
        <f t="shared" ca="1" si="154"/>
        <v>-1.9027170562538526E-2</v>
      </c>
      <c r="I660" s="30">
        <f t="shared" ca="1" si="154"/>
        <v>7.6451562223995878E-2</v>
      </c>
      <c r="J660" s="30">
        <f t="shared" ca="1" si="154"/>
        <v>3.3261852051276894E-2</v>
      </c>
      <c r="K660" s="30">
        <f t="shared" ca="1" si="155"/>
        <v>8.3268485048643599E-3</v>
      </c>
      <c r="L660" s="30">
        <f t="shared" ca="1" si="155"/>
        <v>1.1033119623702318E-2</v>
      </c>
      <c r="M660" s="30">
        <f t="shared" ca="1" si="155"/>
        <v>3.1291846536643381E-2</v>
      </c>
      <c r="N660" s="30">
        <f t="shared" ca="1" si="155"/>
        <v>7.7248033484623238E-2</v>
      </c>
      <c r="O660" s="30">
        <f t="shared" ca="1" si="156"/>
        <v>-3.087540864511451E-2</v>
      </c>
      <c r="P660" s="30">
        <f t="shared" ca="1" si="157"/>
        <v>-7.9940509388362058E-3</v>
      </c>
      <c r="Q660" s="30">
        <f t="shared" ca="1" si="158"/>
        <v>0.10774340876063926</v>
      </c>
      <c r="R660" s="30">
        <f t="shared" ca="1" si="159"/>
        <v>0.11050988553590013</v>
      </c>
      <c r="S660" s="9" cm="1">
        <f t="array" aca="1" ref="S660" ca="1">_xll.FDS($E$7,"P_PRICE("&amp;AG660&amp;",0,D,D)")</f>
        <v>53.36</v>
      </c>
      <c r="T660" s="9" cm="1">
        <f t="array" aca="1" ref="T660" ca="1">_xll.FDS($E$7,"P_PRICE("&amp;AH660&amp;",0,D,D)")</f>
        <v>55.06</v>
      </c>
      <c r="U660" s="9" cm="1">
        <f t="array" aca="1" ref="U660" ca="1">_xll.FDS($E$7,"P_PRICE("&amp;AI660&amp;",0,D,D)")</f>
        <v>53.79</v>
      </c>
      <c r="V660" s="9" cm="1">
        <f t="array" aca="1" ref="V660" ca="1">_xll.FDS($E$7,"P_PRICE("&amp;AJ660&amp;",0,D,D)")</f>
        <v>48.17</v>
      </c>
      <c r="W660" s="9" cm="1">
        <f t="array" aca="1" ref="W660" ca="1">_xll.FDS($E$7,"P_PRICE("&amp;AK660&amp;",0,D,D)")</f>
        <v>48.05</v>
      </c>
      <c r="X660" s="24">
        <f t="shared" ca="1" si="160"/>
        <v>7.9349122430236729E-3</v>
      </c>
      <c r="Y660" s="24">
        <f t="shared" ca="1" si="161"/>
        <v>1.0513801941961276E-2</v>
      </c>
      <c r="Z660" s="24">
        <f t="shared" ca="1" si="162"/>
        <v>2.9818971252494775E-2</v>
      </c>
      <c r="AA660" s="24">
        <f t="shared" ca="1" si="163"/>
        <v>7.3612047377656031E-2</v>
      </c>
      <c r="AB660" s="9" cm="1">
        <f t="array" aca="1" ref="AB660" ca="1">_xll.FDS($E$9,"P_PRICE("&amp;AG660&amp;",0,D,D)")</f>
        <v>4411.59</v>
      </c>
      <c r="AC660" s="9" cm="1">
        <f t="array" aca="1" ref="AC660" ca="1">_xll.FDS($E$9,"P_PRICE("&amp;AH660&amp;",0,D,D)")</f>
        <v>4376.8599999999997</v>
      </c>
      <c r="AD660" s="9" cm="1">
        <f t="array" aca="1" ref="AD660" ca="1">_xll.FDS($E$9,"P_PRICE("&amp;AI660&amp;",0,D,D)")</f>
        <v>4365.6899999999996</v>
      </c>
      <c r="AE660" s="9" cm="1">
        <f t="array" aca="1" ref="AE660" ca="1">_xll.FDS($E$9,"P_PRICE("&amp;AJ660&amp;",0,D,D)")</f>
        <v>4283.8500000000004</v>
      </c>
      <c r="AF660" s="9" cm="1">
        <f t="array" aca="1" ref="AF660" ca="1">_xll.FDS($E$9,"P_PRICE("&amp;AK660&amp;",0,D,D)")</f>
        <v>4109.1099999999997</v>
      </c>
      <c r="AG660" s="20">
        <f t="shared" ca="1" si="169"/>
        <v>45113</v>
      </c>
      <c r="AH660" s="22">
        <f t="shared" ca="1" si="164"/>
        <v>45105</v>
      </c>
      <c r="AI660" s="22">
        <f t="shared" ca="1" si="165"/>
        <v>45098</v>
      </c>
      <c r="AJ660" s="22">
        <f t="shared" ca="1" si="166"/>
        <v>45083</v>
      </c>
      <c r="AK660" s="22">
        <f t="shared" ca="1" si="167"/>
        <v>45026</v>
      </c>
      <c r="AL660" s="22">
        <f t="shared" ca="1" si="168"/>
        <v>44937</v>
      </c>
    </row>
    <row r="661" spans="4:38" x14ac:dyDescent="0.25">
      <c r="D661" s="6">
        <f ca="1"/>
        <v>45112</v>
      </c>
      <c r="E661" s="28" cm="1">
        <f t="array" aca="1" ref="E661" ca="1">_xll.FDS($E$7,"P_PRICE("&amp;D661&amp;",0,D,D)")</f>
        <v>54.77</v>
      </c>
      <c r="F661" s="29" cm="1">
        <f t="array" aca="1" ref="F661" ca="1">_xll.FDS($E$7,"P_BETA_LOCIDX("&amp;$AG661&amp;","&amp;$AL661&amp;",,"""&amp;$E$9&amp;""")")</f>
        <v>1.0259328000000001</v>
      </c>
      <c r="G661" s="30">
        <f t="shared" ca="1" si="154"/>
        <v>-1.2364560188513996E-2</v>
      </c>
      <c r="H661" s="30">
        <f t="shared" ca="1" si="154"/>
        <v>2.2745069994770599E-2</v>
      </c>
      <c r="I661" s="30">
        <f t="shared" ca="1" si="154"/>
        <v>9.1245562834443961E-2</v>
      </c>
      <c r="J661" s="30">
        <f t="shared" ref="J661:J724" ca="1" si="170">+R661-N661</f>
        <v>6.1112310150970253E-2</v>
      </c>
      <c r="K661" s="30">
        <f t="shared" ca="1" si="155"/>
        <v>1.6029577597346845E-2</v>
      </c>
      <c r="L661" s="30">
        <f t="shared" ca="1" si="155"/>
        <v>1.3584163685456405E-2</v>
      </c>
      <c r="M661" s="30">
        <f t="shared" ca="1" si="155"/>
        <v>4.1536236545080436E-2</v>
      </c>
      <c r="N661" s="30">
        <f t="shared" ref="N661:N724" ca="1" si="171">+AA661*$F661</f>
        <v>8.5423172369440123E-2</v>
      </c>
      <c r="O661" s="30">
        <f t="shared" ca="1" si="156"/>
        <v>3.6650174088328491E-3</v>
      </c>
      <c r="P661" s="30">
        <f t="shared" ca="1" si="157"/>
        <v>3.6329233680227002E-2</v>
      </c>
      <c r="Q661" s="30">
        <f t="shared" ca="1" si="158"/>
        <v>0.13278179937952439</v>
      </c>
      <c r="R661" s="30">
        <f t="shared" ca="1" si="159"/>
        <v>0.14653548252041038</v>
      </c>
      <c r="S661" s="9" cm="1">
        <f t="array" aca="1" ref="S661" ca="1">_xll.FDS($E$7,"P_PRICE("&amp;AG661&amp;",0,D,D)")</f>
        <v>54.77</v>
      </c>
      <c r="T661" s="9" cm="1">
        <f t="array" aca="1" ref="T661" ca="1">_xll.FDS($E$7,"P_PRICE("&amp;AH661&amp;",0,D,D)")</f>
        <v>54.57</v>
      </c>
      <c r="U661" s="9" cm="1">
        <f t="array" aca="1" ref="U661" ca="1">_xll.FDS($E$7,"P_PRICE("&amp;AI661&amp;",0,D,D)")</f>
        <v>52.85</v>
      </c>
      <c r="V661" s="9" cm="1">
        <f t="array" aca="1" ref="V661" ca="1">_xll.FDS($E$7,"P_PRICE("&amp;AJ661&amp;",0,D,D)")</f>
        <v>48.35</v>
      </c>
      <c r="W661" s="9" cm="1">
        <f t="array" aca="1" ref="W661" ca="1">_xll.FDS($E$7,"P_PRICE("&amp;AK661&amp;",0,D,D)")</f>
        <v>47.77</v>
      </c>
      <c r="X661" s="24">
        <f t="shared" ca="1" si="160"/>
        <v>1.5624393329998654E-2</v>
      </c>
      <c r="Y661" s="24">
        <f t="shared" ca="1" si="161"/>
        <v>1.3240792852569294E-2</v>
      </c>
      <c r="Z661" s="24">
        <f t="shared" ca="1" si="162"/>
        <v>4.0486313085106973E-2</v>
      </c>
      <c r="AA661" s="24">
        <f t="shared" ca="1" si="163"/>
        <v>8.3263906144184219E-2</v>
      </c>
      <c r="AB661" s="9" cm="1">
        <f t="array" aca="1" ref="AB661" ca="1">_xll.FDS($E$9,"P_PRICE("&amp;AG661&amp;",0,D,D)")</f>
        <v>4446.82</v>
      </c>
      <c r="AC661" s="9" cm="1">
        <f t="array" aca="1" ref="AC661" ca="1">_xll.FDS($E$9,"P_PRICE("&amp;AH661&amp;",0,D,D)")</f>
        <v>4378.41</v>
      </c>
      <c r="AD661" s="9" cm="1">
        <f t="array" aca="1" ref="AD661" ca="1">_xll.FDS($E$9,"P_PRICE("&amp;AI661&amp;",0,D,D)")</f>
        <v>4388.71</v>
      </c>
      <c r="AE661" s="9" cm="1">
        <f t="array" aca="1" ref="AE661" ca="1">_xll.FDS($E$9,"P_PRICE("&amp;AJ661&amp;",0,D,D)")</f>
        <v>4273.79</v>
      </c>
      <c r="AF661" s="9" cm="1">
        <f t="array" aca="1" ref="AF661" ca="1">_xll.FDS($E$9,"P_PRICE("&amp;AK661&amp;",0,D,D)")</f>
        <v>4105.0200000000004</v>
      </c>
      <c r="AG661" s="20">
        <f t="shared" ca="1" si="169"/>
        <v>45112</v>
      </c>
      <c r="AH661" s="22">
        <f t="shared" ca="1" si="164"/>
        <v>45104</v>
      </c>
      <c r="AI661" s="22">
        <f t="shared" ca="1" si="165"/>
        <v>45097</v>
      </c>
      <c r="AJ661" s="22">
        <f t="shared" ca="1" si="166"/>
        <v>45082</v>
      </c>
      <c r="AK661" s="22">
        <f t="shared" ca="1" si="167"/>
        <v>45022</v>
      </c>
      <c r="AL661" s="22">
        <f t="shared" ca="1" si="168"/>
        <v>44936</v>
      </c>
    </row>
    <row r="662" spans="4:38" x14ac:dyDescent="0.25">
      <c r="D662" s="6">
        <f ca="1"/>
        <v>45110</v>
      </c>
      <c r="E662" s="28" cm="1">
        <f t="array" aca="1" ref="E662" ca="1">_xll.FDS($E$7,"P_PRICE("&amp;D662&amp;",0,D,D)")</f>
        <v>55.88</v>
      </c>
      <c r="F662" s="29" cm="1">
        <f t="array" aca="1" ref="F662" ca="1">_xll.FDS($E$7,"P_BETA_LOCIDX("&amp;$AG662&amp;","&amp;$AL662&amp;",,"""&amp;$E$9&amp;""")")</f>
        <v>1.0195099999999999</v>
      </c>
      <c r="G662" s="30">
        <f t="shared" ref="G662:J725" ca="1" si="172">+O662-K662</f>
        <v>2.3688025128789918E-2</v>
      </c>
      <c r="H662" s="30">
        <f t="shared" ca="1" si="172"/>
        <v>4.0926578487050176E-2</v>
      </c>
      <c r="I662" s="30">
        <f t="shared" ca="1" si="172"/>
        <v>9.7774717775144071E-2</v>
      </c>
      <c r="J662" s="30">
        <f t="shared" ca="1" si="170"/>
        <v>9.5384834139652708E-2</v>
      </c>
      <c r="K662" s="30">
        <f t="shared" ref="K662:N725" ca="1" si="173">+X662*$F662</f>
        <v>2.9856469592175423E-2</v>
      </c>
      <c r="L662" s="30">
        <f t="shared" ca="1" si="173"/>
        <v>1.0635333443698929E-2</v>
      </c>
      <c r="M662" s="30">
        <f t="shared" ca="1" si="173"/>
        <v>4.1238735139654092E-2</v>
      </c>
      <c r="N662" s="30">
        <f t="shared" ca="1" si="171"/>
        <v>9.1027055456950223E-2</v>
      </c>
      <c r="O662" s="30">
        <f t="shared" ref="O662:O725" ca="1" si="174">+S662/T662-1</f>
        <v>5.3544494720965341E-2</v>
      </c>
      <c r="P662" s="30">
        <f t="shared" ref="P662:P725" ca="1" si="175">+S662/U662-1</f>
        <v>5.1561911930749105E-2</v>
      </c>
      <c r="Q662" s="30">
        <f t="shared" ref="Q662:Q725" ca="1" si="176">+S662/V662-1</f>
        <v>0.13901345291479816</v>
      </c>
      <c r="R662" s="30">
        <f t="shared" ref="R662:R725" ca="1" si="177">+S662/W662-1</f>
        <v>0.18641188959660293</v>
      </c>
      <c r="S662" s="9" cm="1">
        <f t="array" aca="1" ref="S662" ca="1">_xll.FDS($E$7,"P_PRICE("&amp;AG662&amp;",0,D,D)")</f>
        <v>55.88</v>
      </c>
      <c r="T662" s="9" cm="1">
        <f t="array" aca="1" ref="T662" ca="1">_xll.FDS($E$7,"P_PRICE("&amp;AH662&amp;",0,D,D)")</f>
        <v>53.04</v>
      </c>
      <c r="U662" s="9" cm="1">
        <f t="array" aca="1" ref="U662" ca="1">_xll.FDS($E$7,"P_PRICE("&amp;AI662&amp;",0,D,D)")</f>
        <v>53.14</v>
      </c>
      <c r="V662" s="9" cm="1">
        <f t="array" aca="1" ref="V662" ca="1">_xll.FDS($E$7,"P_PRICE("&amp;AJ662&amp;",0,D,D)")</f>
        <v>49.06</v>
      </c>
      <c r="W662" s="9" cm="1">
        <f t="array" aca="1" ref="W662" ca="1">_xll.FDS($E$7,"P_PRICE("&amp;AK662&amp;",0,D,D)")</f>
        <v>47.1</v>
      </c>
      <c r="X662" s="24">
        <f t="shared" ref="X662:X725" ca="1" si="178">+AB662/AC662-1</f>
        <v>2.9285116960280355E-2</v>
      </c>
      <c r="Y662" s="24">
        <f t="shared" ref="Y662:Y725" ca="1" si="179">+AB662/AD662-1</f>
        <v>1.0431808852977342E-2</v>
      </c>
      <c r="Z662" s="24">
        <f t="shared" ref="Z662:Z725" ca="1" si="180">+AB662/AE662-1</f>
        <v>4.0449564143219874E-2</v>
      </c>
      <c r="AA662" s="24">
        <f t="shared" ref="AA662:AA725" ca="1" si="181">+AB662/AF662-1</f>
        <v>8.9285103095555929E-2</v>
      </c>
      <c r="AB662" s="9" cm="1">
        <f t="array" aca="1" ref="AB662" ca="1">_xll.FDS($E$9,"P_PRICE("&amp;AG662&amp;",0,D,D)")</f>
        <v>4455.59</v>
      </c>
      <c r="AC662" s="9" cm="1">
        <f t="array" aca="1" ref="AC662" ca="1">_xll.FDS($E$9,"P_PRICE("&amp;AH662&amp;",0,D,D)")</f>
        <v>4328.82</v>
      </c>
      <c r="AD662" s="9" cm="1">
        <f t="array" aca="1" ref="AD662" ca="1">_xll.FDS($E$9,"P_PRICE("&amp;AI662&amp;",0,D,D)")</f>
        <v>4409.59</v>
      </c>
      <c r="AE662" s="9" cm="1">
        <f t="array" aca="1" ref="AE662" ca="1">_xll.FDS($E$9,"P_PRICE("&amp;AJ662&amp;",0,D,D)")</f>
        <v>4282.37</v>
      </c>
      <c r="AF662" s="9" cm="1">
        <f t="array" aca="1" ref="AF662" ca="1">_xll.FDS($E$9,"P_PRICE("&amp;AK662&amp;",0,D,D)")</f>
        <v>4090.38</v>
      </c>
      <c r="AG662" s="20">
        <f t="shared" ca="1" si="169"/>
        <v>45110</v>
      </c>
      <c r="AH662" s="22">
        <f t="shared" ref="AH662:AH725" ca="1" si="182">+WORKDAY($AG662, -5, $AN$2:$AN$100)</f>
        <v>45103</v>
      </c>
      <c r="AI662" s="22">
        <f t="shared" ref="AI662:AI725" ca="1" si="183">+WORKDAY($AG662, -10, $AN$2:$AN$100)</f>
        <v>45093</v>
      </c>
      <c r="AJ662" s="22">
        <f t="shared" ref="AJ662:AJ725" ca="1" si="184">+WORKDAY($AG662, -20, $AN$2:$AN$100)</f>
        <v>45079</v>
      </c>
      <c r="AK662" s="22">
        <f t="shared" ref="AK662:AK725" ca="1" si="185">+WORKDAY($AG662, -60, $AN$2:$AN$100)</f>
        <v>45021</v>
      </c>
      <c r="AL662" s="22">
        <f t="shared" ref="AL662:AL725" ca="1" si="186">+WORKDAY($AG662, -120, $AN$2:$AN$100)</f>
        <v>44935</v>
      </c>
    </row>
    <row r="663" spans="4:38" x14ac:dyDescent="0.25">
      <c r="D663" s="6">
        <f ca="1"/>
        <v>45107</v>
      </c>
      <c r="E663" s="28" cm="1">
        <f t="array" aca="1" ref="E663" ca="1">_xll.FDS($E$7,"P_PRICE("&amp;D663&amp;",0,D,D)")</f>
        <v>55.73</v>
      </c>
      <c r="F663" s="29" cm="1">
        <f t="array" aca="1" ref="F663" ca="1">_xll.FDS($E$7,"P_BETA_LOCIDX("&amp;$AG663&amp;","&amp;$AL663&amp;",,"""&amp;$E$9&amp;""")")</f>
        <v>1.0401313999999999</v>
      </c>
      <c r="G663" s="30">
        <f t="shared" ca="1" si="172"/>
        <v>1.8441181442359903E-2</v>
      </c>
      <c r="H663" s="30">
        <f t="shared" ca="1" si="172"/>
        <v>5.1126381813361724E-2</v>
      </c>
      <c r="I663" s="30">
        <f t="shared" ca="1" si="172"/>
        <v>9.7550945240825138E-2</v>
      </c>
      <c r="J663" s="30">
        <f t="shared" ca="1" si="170"/>
        <v>2.0552568598095455E-2</v>
      </c>
      <c r="K663" s="30">
        <f t="shared" ca="1" si="173"/>
        <v>2.4410614964825602E-2</v>
      </c>
      <c r="L663" s="30">
        <f t="shared" ca="1" si="173"/>
        <v>5.7672271378993289E-3</v>
      </c>
      <c r="M663" s="30">
        <f t="shared" ca="1" si="173"/>
        <v>5.6518220217861841E-2</v>
      </c>
      <c r="N663" s="30">
        <f t="shared" ca="1" si="171"/>
        <v>8.872290910891073E-2</v>
      </c>
      <c r="O663" s="30">
        <f t="shared" ca="1" si="174"/>
        <v>4.2851796407185505E-2</v>
      </c>
      <c r="P663" s="30">
        <f t="shared" ca="1" si="175"/>
        <v>5.6893608951261054E-2</v>
      </c>
      <c r="Q663" s="30">
        <f t="shared" ca="1" si="176"/>
        <v>0.15406916545868699</v>
      </c>
      <c r="R663" s="30">
        <f t="shared" ca="1" si="177"/>
        <v>0.10927547770700619</v>
      </c>
      <c r="S663" s="9" cm="1">
        <f t="array" aca="1" ref="S663" ca="1">_xll.FDS($E$7,"P_PRICE("&amp;AG663&amp;",0,D,D)")</f>
        <v>55.73</v>
      </c>
      <c r="T663" s="9" cm="1">
        <f t="array" aca="1" ref="T663" ca="1">_xll.FDS($E$7,"P_PRICE("&amp;AH663&amp;",0,D,D)")</f>
        <v>53.44</v>
      </c>
      <c r="U663" s="9" cm="1">
        <f t="array" aca="1" ref="U663" ca="1">_xll.FDS($E$7,"P_PRICE("&amp;AI663&amp;",0,D,D)")</f>
        <v>52.73</v>
      </c>
      <c r="V663" s="9" cm="1">
        <f t="array" aca="1" ref="V663" ca="1">_xll.FDS($E$7,"P_PRICE("&amp;AJ663&amp;",0,D,D)")</f>
        <v>48.29</v>
      </c>
      <c r="W663" s="9" cm="1">
        <f t="array" aca="1" ref="W663" ca="1">_xll.FDS($E$7,"P_PRICE("&amp;AK663&amp;",0,D,D)")</f>
        <v>50.24</v>
      </c>
      <c r="X663" s="24">
        <f t="shared" ca="1" si="178"/>
        <v>2.3468779968401687E-2</v>
      </c>
      <c r="Y663" s="24">
        <f t="shared" ca="1" si="179"/>
        <v>5.5447101567160928E-3</v>
      </c>
      <c r="Z663" s="24">
        <f t="shared" ca="1" si="180"/>
        <v>5.4337577173289686E-2</v>
      </c>
      <c r="AA663" s="24">
        <f t="shared" ca="1" si="181"/>
        <v>8.5299712237233427E-2</v>
      </c>
      <c r="AB663" s="9" cm="1">
        <f t="array" aca="1" ref="AB663" ca="1">_xll.FDS($E$9,"P_PRICE("&amp;AG663&amp;",0,D,D)")</f>
        <v>4450.38</v>
      </c>
      <c r="AC663" s="9" cm="1">
        <f t="array" aca="1" ref="AC663" ca="1">_xll.FDS($E$9,"P_PRICE("&amp;AH663&amp;",0,D,D)")</f>
        <v>4348.33</v>
      </c>
      <c r="AD663" s="9" cm="1">
        <f t="array" aca="1" ref="AD663" ca="1">_xll.FDS($E$9,"P_PRICE("&amp;AI663&amp;",0,D,D)")</f>
        <v>4425.84</v>
      </c>
      <c r="AE663" s="9" cm="1">
        <f t="array" aca="1" ref="AE663" ca="1">_xll.FDS($E$9,"P_PRICE("&amp;AJ663&amp;",0,D,D)")</f>
        <v>4221.0200000000004</v>
      </c>
      <c r="AF663" s="9" cm="1">
        <f t="array" aca="1" ref="AF663" ca="1">_xll.FDS($E$9,"P_PRICE("&amp;AK663&amp;",0,D,D)")</f>
        <v>4100.6000000000004</v>
      </c>
      <c r="AG663" s="20">
        <f t="shared" ref="AG663:AG726" ca="1" si="187">+WORKDAY(D663, 0, $AN$2:$AN$59)</f>
        <v>45107</v>
      </c>
      <c r="AH663" s="22">
        <f t="shared" ca="1" si="182"/>
        <v>45100</v>
      </c>
      <c r="AI663" s="22">
        <f t="shared" ca="1" si="183"/>
        <v>45092</v>
      </c>
      <c r="AJ663" s="22">
        <f t="shared" ca="1" si="184"/>
        <v>45078</v>
      </c>
      <c r="AK663" s="22">
        <f t="shared" ca="1" si="185"/>
        <v>45020</v>
      </c>
      <c r="AL663" s="22">
        <f t="shared" ca="1" si="186"/>
        <v>44932</v>
      </c>
    </row>
    <row r="664" spans="4:38" x14ac:dyDescent="0.25">
      <c r="D664" s="6">
        <f ca="1"/>
        <v>45106</v>
      </c>
      <c r="E664" s="28" cm="1">
        <f t="array" aca="1" ref="E664" ca="1">_xll.FDS($E$7,"P_PRICE("&amp;D664&amp;",0,D,D)")</f>
        <v>54.93</v>
      </c>
      <c r="F664" s="29" cm="1">
        <f t="array" aca="1" ref="F664" ca="1">_xll.FDS($E$7,"P_BETA_LOCIDX("&amp;$AG664&amp;","&amp;$AL664&amp;",,"""&amp;$E$9&amp;""")")</f>
        <v>1.0492227999999999</v>
      </c>
      <c r="G664" s="30">
        <f t="shared" ca="1" si="172"/>
        <v>2.4013265598789836E-2</v>
      </c>
      <c r="H664" s="30">
        <f t="shared" ca="1" si="172"/>
        <v>4.9405781997867347E-2</v>
      </c>
      <c r="I664" s="30">
        <f t="shared" ca="1" si="172"/>
        <v>0.10107450446801733</v>
      </c>
      <c r="J664" s="30">
        <f t="shared" ca="1" si="170"/>
        <v>9.7873479023037058E-3</v>
      </c>
      <c r="K664" s="30">
        <f t="shared" ca="1" si="173"/>
        <v>3.4839285650710363E-3</v>
      </c>
      <c r="L664" s="30">
        <f t="shared" ca="1" si="173"/>
        <v>5.722915658682803E-3</v>
      </c>
      <c r="M664" s="30">
        <f t="shared" ca="1" si="173"/>
        <v>5.4373539284611999E-2</v>
      </c>
      <c r="N664" s="30">
        <f t="shared" ca="1" si="171"/>
        <v>6.9175527760630878E-2</v>
      </c>
      <c r="O664" s="30">
        <f t="shared" ca="1" si="174"/>
        <v>2.7497194163860872E-2</v>
      </c>
      <c r="P664" s="30">
        <f t="shared" ca="1" si="175"/>
        <v>5.5128697656550152E-2</v>
      </c>
      <c r="Q664" s="30">
        <f t="shared" ca="1" si="176"/>
        <v>0.15544804375262933</v>
      </c>
      <c r="R664" s="30">
        <f t="shared" ca="1" si="177"/>
        <v>7.8962875662934584E-2</v>
      </c>
      <c r="S664" s="9" cm="1">
        <f t="array" aca="1" ref="S664" ca="1">_xll.FDS($E$7,"P_PRICE("&amp;AG664&amp;",0,D,D)")</f>
        <v>54.93</v>
      </c>
      <c r="T664" s="9" cm="1">
        <f t="array" aca="1" ref="T664" ca="1">_xll.FDS($E$7,"P_PRICE("&amp;AH664&amp;",0,D,D)")</f>
        <v>53.46</v>
      </c>
      <c r="U664" s="9" cm="1">
        <f t="array" aca="1" ref="U664" ca="1">_xll.FDS($E$7,"P_PRICE("&amp;AI664&amp;",0,D,D)")</f>
        <v>52.06</v>
      </c>
      <c r="V664" s="9" cm="1">
        <f t="array" aca="1" ref="V664" ca="1">_xll.FDS($E$7,"P_PRICE("&amp;AJ664&amp;",0,D,D)")</f>
        <v>47.54</v>
      </c>
      <c r="W664" s="9" cm="1">
        <f t="array" aca="1" ref="W664" ca="1">_xll.FDS($E$7,"P_PRICE("&amp;AK664&amp;",0,D,D)")</f>
        <v>50.91</v>
      </c>
      <c r="X664" s="24">
        <f t="shared" ca="1" si="178"/>
        <v>3.3204849962000793E-3</v>
      </c>
      <c r="Y664" s="24">
        <f t="shared" ca="1" si="179"/>
        <v>5.4544331849086802E-3</v>
      </c>
      <c r="Z664" s="24">
        <f t="shared" ca="1" si="180"/>
        <v>5.1822681783708857E-2</v>
      </c>
      <c r="AA664" s="24">
        <f t="shared" ca="1" si="181"/>
        <v>6.593025595767732E-2</v>
      </c>
      <c r="AB664" s="9" cm="1">
        <f t="array" aca="1" ref="AB664" ca="1">_xll.FDS($E$9,"P_PRICE("&amp;AG664&amp;",0,D,D)")</f>
        <v>4396.4399999999996</v>
      </c>
      <c r="AC664" s="9" cm="1">
        <f t="array" aca="1" ref="AC664" ca="1">_xll.FDS($E$9,"P_PRICE("&amp;AH664&amp;",0,D,D)")</f>
        <v>4381.8900000000003</v>
      </c>
      <c r="AD664" s="9" cm="1">
        <f t="array" aca="1" ref="AD664" ca="1">_xll.FDS($E$9,"P_PRICE("&amp;AI664&amp;",0,D,D)")</f>
        <v>4372.59</v>
      </c>
      <c r="AE664" s="9" cm="1">
        <f t="array" aca="1" ref="AE664" ca="1">_xll.FDS($E$9,"P_PRICE("&amp;AJ664&amp;",0,D,D)")</f>
        <v>4179.83</v>
      </c>
      <c r="AF664" s="9" cm="1">
        <f t="array" aca="1" ref="AF664" ca="1">_xll.FDS($E$9,"P_PRICE("&amp;AK664&amp;",0,D,D)")</f>
        <v>4124.51</v>
      </c>
      <c r="AG664" s="20">
        <f t="shared" ca="1" si="187"/>
        <v>45106</v>
      </c>
      <c r="AH664" s="22">
        <f t="shared" ca="1" si="182"/>
        <v>45099</v>
      </c>
      <c r="AI664" s="22">
        <f t="shared" ca="1" si="183"/>
        <v>45091</v>
      </c>
      <c r="AJ664" s="22">
        <f t="shared" ca="1" si="184"/>
        <v>45077</v>
      </c>
      <c r="AK664" s="22">
        <f t="shared" ca="1" si="185"/>
        <v>45019</v>
      </c>
      <c r="AL664" s="22">
        <f t="shared" ca="1" si="186"/>
        <v>44931</v>
      </c>
    </row>
    <row r="665" spans="4:38" x14ac:dyDescent="0.25">
      <c r="D665" s="6">
        <f ca="1"/>
        <v>45105</v>
      </c>
      <c r="E665" s="28" cm="1">
        <f t="array" aca="1" ref="E665" ca="1">_xll.FDS($E$7,"P_PRICE("&amp;D665&amp;",0,D,D)")</f>
        <v>55.06</v>
      </c>
      <c r="F665" s="29" cm="1">
        <f t="array" aca="1" ref="F665" ca="1">_xll.FDS($E$7,"P_BETA_LOCIDX("&amp;$AG665&amp;","&amp;$AL665&amp;",,"""&amp;$E$9&amp;""")")</f>
        <v>1.0766315</v>
      </c>
      <c r="G665" s="30">
        <f t="shared" ca="1" si="172"/>
        <v>2.0855680561949051E-2</v>
      </c>
      <c r="H665" s="30">
        <f t="shared" ca="1" si="172"/>
        <v>9.8165467064727521E-2</v>
      </c>
      <c r="I665" s="30">
        <f t="shared" ca="1" si="172"/>
        <v>9.4445080301464174E-2</v>
      </c>
      <c r="J665" s="30">
        <f t="shared" ca="1" si="170"/>
        <v>1.2269220013351845E-2</v>
      </c>
      <c r="K665" s="30">
        <f t="shared" ca="1" si="173"/>
        <v>2.7546559318230367E-3</v>
      </c>
      <c r="L665" s="30">
        <f t="shared" ca="1" si="173"/>
        <v>1.9344330351725827E-3</v>
      </c>
      <c r="M665" s="30">
        <f t="shared" ca="1" si="173"/>
        <v>4.3863788832296448E-2</v>
      </c>
      <c r="N665" s="30">
        <f t="shared" ca="1" si="171"/>
        <v>7.0097597364277453E-2</v>
      </c>
      <c r="O665" s="30">
        <f t="shared" ca="1" si="174"/>
        <v>2.3610336493772088E-2</v>
      </c>
      <c r="P665" s="30">
        <f t="shared" ca="1" si="175"/>
        <v>0.10009990009990011</v>
      </c>
      <c r="Q665" s="30">
        <f t="shared" ca="1" si="176"/>
        <v>0.13830886913376061</v>
      </c>
      <c r="R665" s="30">
        <f t="shared" ca="1" si="177"/>
        <v>8.2366817377629298E-2</v>
      </c>
      <c r="S665" s="9" cm="1">
        <f t="array" aca="1" ref="S665" ca="1">_xll.FDS($E$7,"P_PRICE("&amp;AG665&amp;",0,D,D)")</f>
        <v>55.06</v>
      </c>
      <c r="T665" s="9" cm="1">
        <f t="array" aca="1" ref="T665" ca="1">_xll.FDS($E$7,"P_PRICE("&amp;AH665&amp;",0,D,D)")</f>
        <v>53.79</v>
      </c>
      <c r="U665" s="9" cm="1">
        <f t="array" aca="1" ref="U665" ca="1">_xll.FDS($E$7,"P_PRICE("&amp;AI665&amp;",0,D,D)")</f>
        <v>50.05</v>
      </c>
      <c r="V665" s="9" cm="1">
        <f t="array" aca="1" ref="V665" ca="1">_xll.FDS($E$7,"P_PRICE("&amp;AJ665&amp;",0,D,D)")</f>
        <v>48.37</v>
      </c>
      <c r="W665" s="9" cm="1">
        <f t="array" aca="1" ref="W665" ca="1">_xll.FDS($E$7,"P_PRICE("&amp;AK665&amp;",0,D,D)")</f>
        <v>50.87</v>
      </c>
      <c r="X665" s="24">
        <f t="shared" ca="1" si="178"/>
        <v>2.5585875314098061E-3</v>
      </c>
      <c r="Y665" s="24">
        <f t="shared" ca="1" si="179"/>
        <v>1.7967457158485356E-3</v>
      </c>
      <c r="Z665" s="24">
        <f t="shared" ca="1" si="180"/>
        <v>4.0741691871635233E-2</v>
      </c>
      <c r="AA665" s="24">
        <f t="shared" ca="1" si="181"/>
        <v>6.510825418379218E-2</v>
      </c>
      <c r="AB665" s="9" cm="1">
        <f t="array" aca="1" ref="AB665" ca="1">_xll.FDS($E$9,"P_PRICE("&amp;AG665&amp;",0,D,D)")</f>
        <v>4376.8599999999997</v>
      </c>
      <c r="AC665" s="9" cm="1">
        <f t="array" aca="1" ref="AC665" ca="1">_xll.FDS($E$9,"P_PRICE("&amp;AH665&amp;",0,D,D)")</f>
        <v>4365.6899999999996</v>
      </c>
      <c r="AD665" s="9" cm="1">
        <f t="array" aca="1" ref="AD665" ca="1">_xll.FDS($E$9,"P_PRICE("&amp;AI665&amp;",0,D,D)")</f>
        <v>4369.01</v>
      </c>
      <c r="AE665" s="9" cm="1">
        <f t="array" aca="1" ref="AE665" ca="1">_xll.FDS($E$9,"P_PRICE("&amp;AJ665&amp;",0,D,D)")</f>
        <v>4205.5200000000004</v>
      </c>
      <c r="AF665" s="9" cm="1">
        <f t="array" aca="1" ref="AF665" ca="1">_xll.FDS($E$9,"P_PRICE("&amp;AK665&amp;",0,D,D)")</f>
        <v>4109.3100000000004</v>
      </c>
      <c r="AG665" s="20">
        <f t="shared" ca="1" si="187"/>
        <v>45105</v>
      </c>
      <c r="AH665" s="22">
        <f t="shared" ca="1" si="182"/>
        <v>45098</v>
      </c>
      <c r="AI665" s="22">
        <f t="shared" ca="1" si="183"/>
        <v>45090</v>
      </c>
      <c r="AJ665" s="22">
        <f t="shared" ca="1" si="184"/>
        <v>45076</v>
      </c>
      <c r="AK665" s="22">
        <f t="shared" ca="1" si="185"/>
        <v>45016</v>
      </c>
      <c r="AL665" s="22">
        <f t="shared" ca="1" si="186"/>
        <v>44930</v>
      </c>
    </row>
    <row r="666" spans="4:38" x14ac:dyDescent="0.25">
      <c r="D666" s="6">
        <f ca="1"/>
        <v>45104</v>
      </c>
      <c r="E666" s="28" cm="1">
        <f t="array" aca="1" ref="E666" ca="1">_xll.FDS($E$7,"P_PRICE("&amp;D666&amp;",0,D,D)")</f>
        <v>54.57</v>
      </c>
      <c r="F666" s="29" cm="1">
        <f t="array" aca="1" ref="F666" ca="1">_xll.FDS($E$7,"P_BETA_LOCIDX("&amp;$AG666&amp;","&amp;$AL666&amp;",,"""&amp;$E$9&amp;""")")</f>
        <v>1.0604861000000001</v>
      </c>
      <c r="G666" s="30">
        <f t="shared" ca="1" si="172"/>
        <v>3.5033826317339603E-2</v>
      </c>
      <c r="H666" s="30">
        <f t="shared" ca="1" si="172"/>
        <v>8.9222950274530075E-2</v>
      </c>
      <c r="I666" s="30">
        <f t="shared" ca="1" si="172"/>
        <v>7.4393373164666293E-2</v>
      </c>
      <c r="J666" s="30">
        <f t="shared" ca="1" si="170"/>
        <v>3.8978194239718406E-3</v>
      </c>
      <c r="K666" s="30">
        <f t="shared" ca="1" si="173"/>
        <v>-2.4888878121361439E-3</v>
      </c>
      <c r="L666" s="30">
        <f t="shared" ca="1" si="173"/>
        <v>9.6493815820950703E-3</v>
      </c>
      <c r="M666" s="30">
        <f t="shared" ca="1" si="173"/>
        <v>4.3615231629433288E-2</v>
      </c>
      <c r="N666" s="30">
        <f t="shared" ca="1" si="171"/>
        <v>8.5758730096795008E-2</v>
      </c>
      <c r="O666" s="30">
        <f t="shared" ca="1" si="174"/>
        <v>3.2544938505203458E-2</v>
      </c>
      <c r="P666" s="30">
        <f t="shared" ca="1" si="175"/>
        <v>9.887233185662514E-2</v>
      </c>
      <c r="Q666" s="30">
        <f t="shared" ca="1" si="176"/>
        <v>0.11800860479409958</v>
      </c>
      <c r="R666" s="30">
        <f t="shared" ca="1" si="177"/>
        <v>8.9656549520766848E-2</v>
      </c>
      <c r="S666" s="9" cm="1">
        <f t="array" aca="1" ref="S666" ca="1">_xll.FDS($E$7,"P_PRICE("&amp;AG666&amp;",0,D,D)")</f>
        <v>54.57</v>
      </c>
      <c r="T666" s="9" cm="1">
        <f t="array" aca="1" ref="T666" ca="1">_xll.FDS($E$7,"P_PRICE("&amp;AH666&amp;",0,D,D)")</f>
        <v>52.85</v>
      </c>
      <c r="U666" s="9" cm="1">
        <f t="array" aca="1" ref="U666" ca="1">_xll.FDS($E$7,"P_PRICE("&amp;AI666&amp;",0,D,D)")</f>
        <v>49.66</v>
      </c>
      <c r="V666" s="9" cm="1">
        <f t="array" aca="1" ref="V666" ca="1">_xll.FDS($E$7,"P_PRICE("&amp;AJ666&amp;",0,D,D)")</f>
        <v>48.81</v>
      </c>
      <c r="W666" s="9" cm="1">
        <f t="array" aca="1" ref="W666" ca="1">_xll.FDS($E$7,"P_PRICE("&amp;AK666&amp;",0,D,D)")</f>
        <v>50.08</v>
      </c>
      <c r="X666" s="24">
        <f t="shared" ca="1" si="178"/>
        <v>-2.346931102761407E-3</v>
      </c>
      <c r="Y666" s="24">
        <f t="shared" ca="1" si="179"/>
        <v>9.0990174997060969E-3</v>
      </c>
      <c r="Z666" s="24">
        <f t="shared" ca="1" si="180"/>
        <v>4.1127584443995335E-2</v>
      </c>
      <c r="AA666" s="24">
        <f t="shared" ca="1" si="181"/>
        <v>8.0867377796649098E-2</v>
      </c>
      <c r="AB666" s="9" cm="1">
        <f t="array" aca="1" ref="AB666" ca="1">_xll.FDS($E$9,"P_PRICE("&amp;AG666&amp;",0,D,D)")</f>
        <v>4378.41</v>
      </c>
      <c r="AC666" s="9" cm="1">
        <f t="array" aca="1" ref="AC666" ca="1">_xll.FDS($E$9,"P_PRICE("&amp;AH666&amp;",0,D,D)")</f>
        <v>4388.71</v>
      </c>
      <c r="AD666" s="9" cm="1">
        <f t="array" aca="1" ref="AD666" ca="1">_xll.FDS($E$9,"P_PRICE("&amp;AI666&amp;",0,D,D)")</f>
        <v>4338.93</v>
      </c>
      <c r="AE666" s="9" cm="1">
        <f t="array" aca="1" ref="AE666" ca="1">_xll.FDS($E$9,"P_PRICE("&amp;AJ666&amp;",0,D,D)")</f>
        <v>4205.45</v>
      </c>
      <c r="AF666" s="9" cm="1">
        <f t="array" aca="1" ref="AF666" ca="1">_xll.FDS($E$9,"P_PRICE("&amp;AK666&amp;",0,D,D)")</f>
        <v>4050.83</v>
      </c>
      <c r="AG666" s="20">
        <f t="shared" ca="1" si="187"/>
        <v>45104</v>
      </c>
      <c r="AH666" s="22">
        <f t="shared" ca="1" si="182"/>
        <v>45097</v>
      </c>
      <c r="AI666" s="22">
        <f t="shared" ca="1" si="183"/>
        <v>45089</v>
      </c>
      <c r="AJ666" s="22">
        <f t="shared" ca="1" si="184"/>
        <v>45072</v>
      </c>
      <c r="AK666" s="22">
        <f t="shared" ca="1" si="185"/>
        <v>45015</v>
      </c>
      <c r="AL666" s="22">
        <f t="shared" ca="1" si="186"/>
        <v>44929</v>
      </c>
    </row>
    <row r="667" spans="4:38" x14ac:dyDescent="0.25">
      <c r="D667" s="6">
        <f ca="1"/>
        <v>45103</v>
      </c>
      <c r="E667" s="28" cm="1">
        <f t="array" aca="1" ref="E667" ca="1">_xll.FDS($E$7,"P_PRICE("&amp;D667&amp;",0,D,D)")</f>
        <v>53.04</v>
      </c>
      <c r="F667" s="29" cm="1">
        <f t="array" aca="1" ref="F667" ca="1">_xll.FDS($E$7,"P_BETA_LOCIDX("&amp;$AG667&amp;","&amp;$AL667&amp;",,"""&amp;$E$9&amp;""")")</f>
        <v>1.0454699999999999</v>
      </c>
      <c r="G667" s="30">
        <f t="shared" ca="1" si="172"/>
        <v>1.7267943318143287E-2</v>
      </c>
      <c r="H667" s="30">
        <f t="shared" ca="1" si="172"/>
        <v>8.205454392105542E-2</v>
      </c>
      <c r="I667" s="30">
        <f t="shared" ca="1" si="172"/>
        <v>5.1155596975685468E-2</v>
      </c>
      <c r="J667" s="30">
        <f t="shared" ca="1" si="170"/>
        <v>-8.5605473032076967E-3</v>
      </c>
      <c r="K667" s="30">
        <f t="shared" ca="1" si="173"/>
        <v>-1.914976492145536E-2</v>
      </c>
      <c r="L667" s="30">
        <f t="shared" ca="1" si="173"/>
        <v>7.2861831276198226E-3</v>
      </c>
      <c r="M667" s="30">
        <f t="shared" ca="1" si="173"/>
        <v>4.4712171619355846E-2</v>
      </c>
      <c r="N667" s="30">
        <f t="shared" ca="1" si="171"/>
        <v>7.8131025222142922E-2</v>
      </c>
      <c r="O667" s="30">
        <f t="shared" ca="1" si="174"/>
        <v>-1.8818216033120727E-3</v>
      </c>
      <c r="P667" s="30">
        <f t="shared" ca="1" si="175"/>
        <v>8.9340727048675239E-2</v>
      </c>
      <c r="Q667" s="30">
        <f t="shared" ca="1" si="176"/>
        <v>9.5867768595041314E-2</v>
      </c>
      <c r="R667" s="30">
        <f t="shared" ca="1" si="177"/>
        <v>6.9570477918935225E-2</v>
      </c>
      <c r="S667" s="9" cm="1">
        <f t="array" aca="1" ref="S667" ca="1">_xll.FDS($E$7,"P_PRICE("&amp;AG667&amp;",0,D,D)")</f>
        <v>53.04</v>
      </c>
      <c r="T667" s="9" cm="1">
        <f t="array" aca="1" ref="T667" ca="1">_xll.FDS($E$7,"P_PRICE("&amp;AH667&amp;",0,D,D)")</f>
        <v>53.14</v>
      </c>
      <c r="U667" s="9" cm="1">
        <f t="array" aca="1" ref="U667" ca="1">_xll.FDS($E$7,"P_PRICE("&amp;AI667&amp;",0,D,D)")</f>
        <v>48.69</v>
      </c>
      <c r="V667" s="9" cm="1">
        <f t="array" aca="1" ref="V667" ca="1">_xll.FDS($E$7,"P_PRICE("&amp;AJ667&amp;",0,D,D)")</f>
        <v>48.4</v>
      </c>
      <c r="W667" s="9" cm="1">
        <f t="array" aca="1" ref="W667" ca="1">_xll.FDS($E$7,"P_PRICE("&amp;AK667&amp;",0,D,D)")</f>
        <v>49.59</v>
      </c>
      <c r="X667" s="24">
        <f t="shared" ca="1" si="178"/>
        <v>-1.8316895675108191E-2</v>
      </c>
      <c r="Y667" s="24">
        <f t="shared" ca="1" si="179"/>
        <v>6.969289532573697E-3</v>
      </c>
      <c r="Z667" s="24">
        <f t="shared" ca="1" si="180"/>
        <v>4.276753194195515E-2</v>
      </c>
      <c r="AA667" s="24">
        <f t="shared" ca="1" si="181"/>
        <v>7.4732919378024176E-2</v>
      </c>
      <c r="AB667" s="9" cm="1">
        <f t="array" aca="1" ref="AB667" ca="1">_xll.FDS($E$9,"P_PRICE("&amp;AG667&amp;",0,D,D)")</f>
        <v>4328.82</v>
      </c>
      <c r="AC667" s="9" cm="1">
        <f t="array" aca="1" ref="AC667" ca="1">_xll.FDS($E$9,"P_PRICE("&amp;AH667&amp;",0,D,D)")</f>
        <v>4409.59</v>
      </c>
      <c r="AD667" s="9" cm="1">
        <f t="array" aca="1" ref="AD667" ca="1">_xll.FDS($E$9,"P_PRICE("&amp;AI667&amp;",0,D,D)")</f>
        <v>4298.8599999999997</v>
      </c>
      <c r="AE667" s="9" cm="1">
        <f t="array" aca="1" ref="AE667" ca="1">_xll.FDS($E$9,"P_PRICE("&amp;AJ667&amp;",0,D,D)")</f>
        <v>4151.28</v>
      </c>
      <c r="AF667" s="9" cm="1">
        <f t="array" aca="1" ref="AF667" ca="1">_xll.FDS($E$9,"P_PRICE("&amp;AK667&amp;",0,D,D)")</f>
        <v>4027.81</v>
      </c>
      <c r="AG667" s="20">
        <f t="shared" ca="1" si="187"/>
        <v>45103</v>
      </c>
      <c r="AH667" s="22">
        <f t="shared" ca="1" si="182"/>
        <v>45093</v>
      </c>
      <c r="AI667" s="22">
        <f t="shared" ca="1" si="183"/>
        <v>45086</v>
      </c>
      <c r="AJ667" s="22">
        <f t="shared" ca="1" si="184"/>
        <v>45071</v>
      </c>
      <c r="AK667" s="22">
        <f t="shared" ca="1" si="185"/>
        <v>45014</v>
      </c>
      <c r="AL667" s="22">
        <f t="shared" ca="1" si="186"/>
        <v>44925</v>
      </c>
    </row>
    <row r="668" spans="4:38" x14ac:dyDescent="0.25">
      <c r="D668" s="6">
        <f ca="1"/>
        <v>45100</v>
      </c>
      <c r="E668" s="28" cm="1">
        <f t="array" aca="1" ref="E668" ca="1">_xll.FDS($E$7,"P_PRICE("&amp;D668&amp;",0,D,D)")</f>
        <v>53.44</v>
      </c>
      <c r="F668" s="29" cm="1">
        <f t="array" aca="1" ref="F668" ca="1">_xll.FDS($E$7,"P_BETA_LOCIDX("&amp;$AG668&amp;","&amp;$AL668&amp;",,"""&amp;$E$9&amp;""")")</f>
        <v>1.0335999</v>
      </c>
      <c r="G668" s="30">
        <f t="shared" ca="1" si="172"/>
        <v>3.1566317506432143E-2</v>
      </c>
      <c r="H668" s="30">
        <f t="shared" ca="1" si="172"/>
        <v>6.5847329844744187E-2</v>
      </c>
      <c r="I668" s="30">
        <f t="shared" ca="1" si="172"/>
        <v>4.9020963636891839E-2</v>
      </c>
      <c r="J668" s="30">
        <f t="shared" ca="1" si="170"/>
        <v>-1.1737490028747855E-2</v>
      </c>
      <c r="K668" s="30">
        <f t="shared" ca="1" si="173"/>
        <v>-1.8101496721300365E-2</v>
      </c>
      <c r="L668" s="30">
        <f t="shared" ca="1" si="173"/>
        <v>1.3094725475263783E-2</v>
      </c>
      <c r="M668" s="30">
        <f t="shared" ca="1" si="173"/>
        <v>5.8543803202486373E-2</v>
      </c>
      <c r="N668" s="30">
        <f t="shared" ca="1" si="171"/>
        <v>9.8137164759384221E-2</v>
      </c>
      <c r="O668" s="30">
        <f t="shared" ca="1" si="174"/>
        <v>1.3464820785131781E-2</v>
      </c>
      <c r="P668" s="30">
        <f t="shared" ca="1" si="175"/>
        <v>7.8942055320007976E-2</v>
      </c>
      <c r="Q668" s="30">
        <f t="shared" ca="1" si="176"/>
        <v>0.10756476683937821</v>
      </c>
      <c r="R668" s="30">
        <f t="shared" ca="1" si="177"/>
        <v>8.6399674730636367E-2</v>
      </c>
      <c r="S668" s="9" cm="1">
        <f t="array" aca="1" ref="S668" ca="1">_xll.FDS($E$7,"P_PRICE("&amp;AG668&amp;",0,D,D)")</f>
        <v>53.44</v>
      </c>
      <c r="T668" s="9" cm="1">
        <f t="array" aca="1" ref="T668" ca="1">_xll.FDS($E$7,"P_PRICE("&amp;AH668&amp;",0,D,D)")</f>
        <v>52.73</v>
      </c>
      <c r="U668" s="9" cm="1">
        <f t="array" aca="1" ref="U668" ca="1">_xll.FDS($E$7,"P_PRICE("&amp;AI668&amp;",0,D,D)")</f>
        <v>49.53</v>
      </c>
      <c r="V668" s="9" cm="1">
        <f t="array" aca="1" ref="V668" ca="1">_xll.FDS($E$7,"P_PRICE("&amp;AJ668&amp;",0,D,D)")</f>
        <v>48.25</v>
      </c>
      <c r="W668" s="9" cm="1">
        <f t="array" aca="1" ref="W668" ca="1">_xll.FDS($E$7,"P_PRICE("&amp;AK668&amp;",0,D,D)")</f>
        <v>49.19</v>
      </c>
      <c r="X668" s="24">
        <f t="shared" ca="1" si="178"/>
        <v>-1.7513059667769282E-2</v>
      </c>
      <c r="Y668" s="24">
        <f t="shared" ca="1" si="179"/>
        <v>1.266904677067382E-2</v>
      </c>
      <c r="Z668" s="24">
        <f t="shared" ca="1" si="180"/>
        <v>5.6640681952935923E-2</v>
      </c>
      <c r="AA668" s="24">
        <f t="shared" ca="1" si="181"/>
        <v>9.4946956515170156E-2</v>
      </c>
      <c r="AB668" s="9" cm="1">
        <f t="array" aca="1" ref="AB668" ca="1">_xll.FDS($E$9,"P_PRICE("&amp;AG668&amp;",0,D,D)")</f>
        <v>4348.33</v>
      </c>
      <c r="AC668" s="9" cm="1">
        <f t="array" aca="1" ref="AC668" ca="1">_xll.FDS($E$9,"P_PRICE("&amp;AH668&amp;",0,D,D)")</f>
        <v>4425.84</v>
      </c>
      <c r="AD668" s="9" cm="1">
        <f t="array" aca="1" ref="AD668" ca="1">_xll.FDS($E$9,"P_PRICE("&amp;AI668&amp;",0,D,D)")</f>
        <v>4293.93</v>
      </c>
      <c r="AE668" s="9" cm="1">
        <f t="array" aca="1" ref="AE668" ca="1">_xll.FDS($E$9,"P_PRICE("&amp;AJ668&amp;",0,D,D)")</f>
        <v>4115.24</v>
      </c>
      <c r="AF668" s="9" cm="1">
        <f t="array" aca="1" ref="AF668" ca="1">_xll.FDS($E$9,"P_PRICE("&amp;AK668&amp;",0,D,D)")</f>
        <v>3971.27</v>
      </c>
      <c r="AG668" s="20">
        <f t="shared" ca="1" si="187"/>
        <v>45100</v>
      </c>
      <c r="AH668" s="22">
        <f t="shared" ca="1" si="182"/>
        <v>45092</v>
      </c>
      <c r="AI668" s="22">
        <f t="shared" ca="1" si="183"/>
        <v>45085</v>
      </c>
      <c r="AJ668" s="22">
        <f t="shared" ca="1" si="184"/>
        <v>45070</v>
      </c>
      <c r="AK668" s="22">
        <f t="shared" ca="1" si="185"/>
        <v>45013</v>
      </c>
      <c r="AL668" s="22">
        <f t="shared" ca="1" si="186"/>
        <v>44924</v>
      </c>
    </row>
    <row r="669" spans="4:38" x14ac:dyDescent="0.25">
      <c r="D669" s="6">
        <f ca="1"/>
        <v>45099</v>
      </c>
      <c r="E669" s="28" cm="1">
        <f t="array" aca="1" ref="E669" ca="1">_xll.FDS($E$7,"P_PRICE("&amp;D669&amp;",0,D,D)")</f>
        <v>53.46</v>
      </c>
      <c r="F669" s="29" cm="1">
        <f t="array" aca="1" ref="F669" ca="1">_xll.FDS($E$7,"P_BETA_LOCIDX("&amp;$AG669&amp;","&amp;$AL669&amp;",,"""&amp;$E$9&amp;""")")</f>
        <v>1.0439327</v>
      </c>
      <c r="G669" s="30">
        <f t="shared" ca="1" si="172"/>
        <v>2.4671721901336062E-2</v>
      </c>
      <c r="H669" s="30">
        <f t="shared" ca="1" si="172"/>
        <v>7.2475351394797591E-2</v>
      </c>
      <c r="I669" s="30">
        <f t="shared" ca="1" si="172"/>
        <v>3.733320690343328E-2</v>
      </c>
      <c r="J669" s="30">
        <f t="shared" ca="1" si="170"/>
        <v>2.4684528355919944E-4</v>
      </c>
      <c r="K669" s="30">
        <f t="shared" ca="1" si="173"/>
        <v>2.2203257360054792E-3</v>
      </c>
      <c r="L669" s="30">
        <f t="shared" ca="1" si="173"/>
        <v>2.7977509864980116E-2</v>
      </c>
      <c r="M669" s="30">
        <f t="shared" ca="1" si="173"/>
        <v>5.9507170609902682E-2</v>
      </c>
      <c r="N669" s="30">
        <f t="shared" ca="1" si="171"/>
        <v>0.10612732690187135</v>
      </c>
      <c r="O669" s="30">
        <f t="shared" ca="1" si="174"/>
        <v>2.6892047637341543E-2</v>
      </c>
      <c r="P669" s="30">
        <f t="shared" ca="1" si="175"/>
        <v>0.1004528612597777</v>
      </c>
      <c r="Q669" s="30">
        <f t="shared" ca="1" si="176"/>
        <v>9.6840377513335962E-2</v>
      </c>
      <c r="R669" s="30">
        <f t="shared" ca="1" si="177"/>
        <v>0.10637417218543055</v>
      </c>
      <c r="S669" s="9" cm="1">
        <f t="array" aca="1" ref="S669" ca="1">_xll.FDS($E$7,"P_PRICE("&amp;AG669&amp;",0,D,D)")</f>
        <v>53.46</v>
      </c>
      <c r="T669" s="9" cm="1">
        <f t="array" aca="1" ref="T669" ca="1">_xll.FDS($E$7,"P_PRICE("&amp;AH669&amp;",0,D,D)")</f>
        <v>52.06</v>
      </c>
      <c r="U669" s="9" cm="1">
        <f t="array" aca="1" ref="U669" ca="1">_xll.FDS($E$7,"P_PRICE("&amp;AI669&amp;",0,D,D)")</f>
        <v>48.58</v>
      </c>
      <c r="V669" s="9" cm="1">
        <f t="array" aca="1" ref="V669" ca="1">_xll.FDS($E$7,"P_PRICE("&amp;AJ669&amp;",0,D,D)")</f>
        <v>48.74</v>
      </c>
      <c r="W669" s="9" cm="1">
        <f t="array" aca="1" ref="W669" ca="1">_xll.FDS($E$7,"P_PRICE("&amp;AK669&amp;",0,D,D)")</f>
        <v>48.32</v>
      </c>
      <c r="X669" s="24">
        <f t="shared" ca="1" si="178"/>
        <v>2.1268858960021841E-3</v>
      </c>
      <c r="Y669" s="24">
        <f t="shared" ca="1" si="179"/>
        <v>2.6800108728254335E-2</v>
      </c>
      <c r="Z669" s="24">
        <f t="shared" ca="1" si="180"/>
        <v>5.7002880175994752E-2</v>
      </c>
      <c r="AA669" s="24">
        <f t="shared" ca="1" si="181"/>
        <v>0.10166108112320971</v>
      </c>
      <c r="AB669" s="9" cm="1">
        <f t="array" aca="1" ref="AB669" ca="1">_xll.FDS($E$9,"P_PRICE("&amp;AG669&amp;",0,D,D)")</f>
        <v>4381.8900000000003</v>
      </c>
      <c r="AC669" s="9" cm="1">
        <f t="array" aca="1" ref="AC669" ca="1">_xll.FDS($E$9,"P_PRICE("&amp;AH669&amp;",0,D,D)")</f>
        <v>4372.59</v>
      </c>
      <c r="AD669" s="9" cm="1">
        <f t="array" aca="1" ref="AD669" ca="1">_xll.FDS($E$9,"P_PRICE("&amp;AI669&amp;",0,D,D)")</f>
        <v>4267.5200000000004</v>
      </c>
      <c r="AE669" s="9" cm="1">
        <f t="array" aca="1" ref="AE669" ca="1">_xll.FDS($E$9,"P_PRICE("&amp;AJ669&amp;",0,D,D)")</f>
        <v>4145.58</v>
      </c>
      <c r="AF669" s="9" cm="1">
        <f t="array" aca="1" ref="AF669" ca="1">_xll.FDS($E$9,"P_PRICE("&amp;AK669&amp;",0,D,D)")</f>
        <v>3977.53</v>
      </c>
      <c r="AG669" s="20">
        <f t="shared" ca="1" si="187"/>
        <v>45099</v>
      </c>
      <c r="AH669" s="22">
        <f t="shared" ca="1" si="182"/>
        <v>45091</v>
      </c>
      <c r="AI669" s="22">
        <f t="shared" ca="1" si="183"/>
        <v>45084</v>
      </c>
      <c r="AJ669" s="22">
        <f t="shared" ca="1" si="184"/>
        <v>45069</v>
      </c>
      <c r="AK669" s="22">
        <f t="shared" ca="1" si="185"/>
        <v>45012</v>
      </c>
      <c r="AL669" s="22">
        <f t="shared" ca="1" si="186"/>
        <v>44923</v>
      </c>
    </row>
    <row r="670" spans="4:38" x14ac:dyDescent="0.25">
      <c r="D670" s="6">
        <f ca="1"/>
        <v>45098</v>
      </c>
      <c r="E670" s="28" cm="1">
        <f t="array" aca="1" ref="E670" ca="1">_xll.FDS($E$7,"P_PRICE("&amp;D670&amp;",0,D,D)")</f>
        <v>53.79</v>
      </c>
      <c r="F670" s="29" cm="1">
        <f t="array" aca="1" ref="F670" ca="1">_xll.FDS($E$7,"P_BETA_LOCIDX("&amp;$AG670&amp;","&amp;$AL670&amp;",,"""&amp;$E$9&amp;""")")</f>
        <v>1.044133</v>
      </c>
      <c r="G670" s="30">
        <f t="shared" ca="1" si="172"/>
        <v>7.5518708835061663E-2</v>
      </c>
      <c r="H670" s="30">
        <f t="shared" ca="1" si="172"/>
        <v>9.6722685730041405E-2</v>
      </c>
      <c r="I670" s="30">
        <f t="shared" ca="1" si="172"/>
        <v>3.0339555507475788E-2</v>
      </c>
      <c r="J670" s="30">
        <f t="shared" ca="1" si="170"/>
        <v>1.4512711892532643E-2</v>
      </c>
      <c r="K670" s="30">
        <f t="shared" ca="1" si="173"/>
        <v>-7.9343410978698374E-4</v>
      </c>
      <c r="L670" s="30">
        <f t="shared" ca="1" si="173"/>
        <v>1.9947440904793484E-2</v>
      </c>
      <c r="M670" s="30">
        <f t="shared" ca="1" si="173"/>
        <v>4.3098879934551651E-2</v>
      </c>
      <c r="N670" s="30">
        <f t="shared" ca="1" si="171"/>
        <v>0.10378250640268552</v>
      </c>
      <c r="O670" s="30">
        <f t="shared" ca="1" si="174"/>
        <v>7.4725274725274682E-2</v>
      </c>
      <c r="P670" s="30">
        <f t="shared" ca="1" si="175"/>
        <v>0.11667012663483489</v>
      </c>
      <c r="Q670" s="30">
        <f t="shared" ca="1" si="176"/>
        <v>7.3438435442027439E-2</v>
      </c>
      <c r="R670" s="30">
        <f t="shared" ca="1" si="177"/>
        <v>0.11829521829521816</v>
      </c>
      <c r="S670" s="9" cm="1">
        <f t="array" aca="1" ref="S670" ca="1">_xll.FDS($E$7,"P_PRICE("&amp;AG670&amp;",0,D,D)")</f>
        <v>53.79</v>
      </c>
      <c r="T670" s="9" cm="1">
        <f t="array" aca="1" ref="T670" ca="1">_xll.FDS($E$7,"P_PRICE("&amp;AH670&amp;",0,D,D)")</f>
        <v>50.05</v>
      </c>
      <c r="U670" s="9" cm="1">
        <f t="array" aca="1" ref="U670" ca="1">_xll.FDS($E$7,"P_PRICE("&amp;AI670&amp;",0,D,D)")</f>
        <v>48.17</v>
      </c>
      <c r="V670" s="9" cm="1">
        <f t="array" aca="1" ref="V670" ca="1">_xll.FDS($E$7,"P_PRICE("&amp;AJ670&amp;",0,D,D)")</f>
        <v>50.11</v>
      </c>
      <c r="W670" s="9" cm="1">
        <f t="array" aca="1" ref="W670" ca="1">_xll.FDS($E$7,"P_PRICE("&amp;AK670&amp;",0,D,D)")</f>
        <v>48.1</v>
      </c>
      <c r="X670" s="24">
        <f t="shared" ca="1" si="178"/>
        <v>-7.5989755116157021E-4</v>
      </c>
      <c r="Y670" s="24">
        <f t="shared" ca="1" si="179"/>
        <v>1.9104310375013034E-2</v>
      </c>
      <c r="Z670" s="24">
        <f t="shared" ca="1" si="180"/>
        <v>4.1277193551541469E-2</v>
      </c>
      <c r="AA670" s="24">
        <f t="shared" ca="1" si="181"/>
        <v>9.939586853656146E-2</v>
      </c>
      <c r="AB670" s="9" cm="1">
        <f t="array" aca="1" ref="AB670" ca="1">_xll.FDS($E$9,"P_PRICE("&amp;AG670&amp;",0,D,D)")</f>
        <v>4365.6899999999996</v>
      </c>
      <c r="AC670" s="9" cm="1">
        <f t="array" aca="1" ref="AC670" ca="1">_xll.FDS($E$9,"P_PRICE("&amp;AH670&amp;",0,D,D)")</f>
        <v>4369.01</v>
      </c>
      <c r="AD670" s="9" cm="1">
        <f t="array" aca="1" ref="AD670" ca="1">_xll.FDS($E$9,"P_PRICE("&amp;AI670&amp;",0,D,D)")</f>
        <v>4283.8500000000004</v>
      </c>
      <c r="AE670" s="9" cm="1">
        <f t="array" aca="1" ref="AE670" ca="1">_xll.FDS($E$9,"P_PRICE("&amp;AJ670&amp;",0,D,D)")</f>
        <v>4192.63</v>
      </c>
      <c r="AF670" s="9" cm="1">
        <f t="array" aca="1" ref="AF670" ca="1">_xll.FDS($E$9,"P_PRICE("&amp;AK670&amp;",0,D,D)")</f>
        <v>3970.99</v>
      </c>
      <c r="AG670" s="20">
        <f t="shared" ca="1" si="187"/>
        <v>45098</v>
      </c>
      <c r="AH670" s="22">
        <f t="shared" ca="1" si="182"/>
        <v>45090</v>
      </c>
      <c r="AI670" s="22">
        <f t="shared" ca="1" si="183"/>
        <v>45083</v>
      </c>
      <c r="AJ670" s="22">
        <f t="shared" ca="1" si="184"/>
        <v>45068</v>
      </c>
      <c r="AK670" s="22">
        <f t="shared" ca="1" si="185"/>
        <v>45009</v>
      </c>
      <c r="AL670" s="22">
        <f t="shared" ca="1" si="186"/>
        <v>44922</v>
      </c>
    </row>
    <row r="671" spans="4:38" x14ac:dyDescent="0.25">
      <c r="D671" s="6">
        <f ca="1"/>
        <v>45097</v>
      </c>
      <c r="E671" s="28" cm="1">
        <f t="array" aca="1" ref="E671" ca="1">_xll.FDS($E$7,"P_PRICE("&amp;D671&amp;",0,D,D)")</f>
        <v>52.85</v>
      </c>
      <c r="F671" s="29" cm="1">
        <f t="array" aca="1" ref="F671" ca="1">_xll.FDS($E$7,"P_BETA_LOCIDX("&amp;$AG671&amp;","&amp;$AL671&amp;",,"""&amp;$E$9&amp;""")")</f>
        <v>1.0582262</v>
      </c>
      <c r="G671" s="30">
        <f t="shared" ca="1" si="172"/>
        <v>5.2095913767412835E-2</v>
      </c>
      <c r="H671" s="30">
        <f t="shared" ca="1" si="172"/>
        <v>6.4616200169370114E-2</v>
      </c>
      <c r="I671" s="30">
        <f t="shared" ca="1" si="172"/>
        <v>2.4974125669139924E-3</v>
      </c>
      <c r="J671" s="30">
        <f t="shared" ca="1" si="170"/>
        <v>-4.8075835856660198E-2</v>
      </c>
      <c r="K671" s="30">
        <f t="shared" ca="1" si="173"/>
        <v>1.2140896542695911E-2</v>
      </c>
      <c r="L671" s="30">
        <f t="shared" ca="1" si="173"/>
        <v>2.8455154535903839E-2</v>
      </c>
      <c r="M671" s="30">
        <f t="shared" ca="1" si="173"/>
        <v>4.9662651140034153E-2</v>
      </c>
      <c r="N671" s="30">
        <f t="shared" ca="1" si="171"/>
        <v>0.11791389253682216</v>
      </c>
      <c r="O671" s="30">
        <f t="shared" ca="1" si="174"/>
        <v>6.423681031010875E-2</v>
      </c>
      <c r="P671" s="30">
        <f t="shared" ca="1" si="175"/>
        <v>9.3071354705273945E-2</v>
      </c>
      <c r="Q671" s="30">
        <f t="shared" ca="1" si="176"/>
        <v>5.2160063706948145E-2</v>
      </c>
      <c r="R671" s="30">
        <f t="shared" ca="1" si="177"/>
        <v>6.9838056680161964E-2</v>
      </c>
      <c r="S671" s="9" cm="1">
        <f t="array" aca="1" ref="S671" ca="1">_xll.FDS($E$7,"P_PRICE("&amp;AG671&amp;",0,D,D)")</f>
        <v>52.85</v>
      </c>
      <c r="T671" s="9" cm="1">
        <f t="array" aca="1" ref="T671" ca="1">_xll.FDS($E$7,"P_PRICE("&amp;AH671&amp;",0,D,D)")</f>
        <v>49.66</v>
      </c>
      <c r="U671" s="9" cm="1">
        <f t="array" aca="1" ref="U671" ca="1">_xll.FDS($E$7,"P_PRICE("&amp;AI671&amp;",0,D,D)")</f>
        <v>48.35</v>
      </c>
      <c r="V671" s="9" cm="1">
        <f t="array" aca="1" ref="V671" ca="1">_xll.FDS($E$7,"P_PRICE("&amp;AJ671&amp;",0,D,D)")</f>
        <v>50.23</v>
      </c>
      <c r="W671" s="9" cm="1">
        <f t="array" aca="1" ref="W671" ca="1">_xll.FDS($E$7,"P_PRICE("&amp;AK671&amp;",0,D,D)")</f>
        <v>49.4</v>
      </c>
      <c r="X671" s="24">
        <f t="shared" ca="1" si="178"/>
        <v>1.1472874648818854E-2</v>
      </c>
      <c r="Y671" s="24">
        <f t="shared" ca="1" si="179"/>
        <v>2.6889482169222267E-2</v>
      </c>
      <c r="Z671" s="24">
        <f t="shared" ca="1" si="180"/>
        <v>4.6930090315316475E-2</v>
      </c>
      <c r="AA671" s="24">
        <f t="shared" ca="1" si="181"/>
        <v>0.11142598107741253</v>
      </c>
      <c r="AB671" s="9" cm="1">
        <f t="array" aca="1" ref="AB671" ca="1">_xll.FDS($E$9,"P_PRICE("&amp;AG671&amp;",0,D,D)")</f>
        <v>4388.71</v>
      </c>
      <c r="AC671" s="9" cm="1">
        <f t="array" aca="1" ref="AC671" ca="1">_xll.FDS($E$9,"P_PRICE("&amp;AH671&amp;",0,D,D)")</f>
        <v>4338.93</v>
      </c>
      <c r="AD671" s="9" cm="1">
        <f t="array" aca="1" ref="AD671" ca="1">_xll.FDS($E$9,"P_PRICE("&amp;AI671&amp;",0,D,D)")</f>
        <v>4273.79</v>
      </c>
      <c r="AE671" s="9" cm="1">
        <f t="array" aca="1" ref="AE671" ca="1">_xll.FDS($E$9,"P_PRICE("&amp;AJ671&amp;",0,D,D)")</f>
        <v>4191.9799999999996</v>
      </c>
      <c r="AF671" s="9" cm="1">
        <f t="array" aca="1" ref="AF671" ca="1">_xll.FDS($E$9,"P_PRICE("&amp;AK671&amp;",0,D,D)")</f>
        <v>3948.72</v>
      </c>
      <c r="AG671" s="20">
        <f t="shared" ca="1" si="187"/>
        <v>45097</v>
      </c>
      <c r="AH671" s="22">
        <f t="shared" ca="1" si="182"/>
        <v>45089</v>
      </c>
      <c r="AI671" s="22">
        <f t="shared" ca="1" si="183"/>
        <v>45082</v>
      </c>
      <c r="AJ671" s="22">
        <f t="shared" ca="1" si="184"/>
        <v>45065</v>
      </c>
      <c r="AK671" s="22">
        <f t="shared" ca="1" si="185"/>
        <v>45008</v>
      </c>
      <c r="AL671" s="22">
        <f t="shared" ca="1" si="186"/>
        <v>44918</v>
      </c>
    </row>
    <row r="672" spans="4:38" x14ac:dyDescent="0.25">
      <c r="D672" s="6">
        <f ca="1"/>
        <v>45093</v>
      </c>
      <c r="E672" s="28" cm="1">
        <f t="array" aca="1" ref="E672" ca="1">_xll.FDS($E$7,"P_PRICE("&amp;D672&amp;",0,D,D)")</f>
        <v>53.14</v>
      </c>
      <c r="F672" s="29" cm="1">
        <f t="array" aca="1" ref="F672" ca="1">_xll.FDS($E$7,"P_BETA_LOCIDX("&amp;$AG672&amp;","&amp;$AL672&amp;",,"""&amp;$E$9&amp;""")")</f>
        <v>1.0503072</v>
      </c>
      <c r="G672" s="30">
        <f t="shared" ca="1" si="172"/>
        <v>6.4340732774569073E-2</v>
      </c>
      <c r="H672" s="30">
        <f t="shared" ca="1" si="172"/>
        <v>5.1961105921059299E-2</v>
      </c>
      <c r="I672" s="30">
        <f t="shared" ca="1" si="172"/>
        <v>9.0253946659683143E-3</v>
      </c>
      <c r="J672" s="30">
        <f t="shared" ca="1" si="170"/>
        <v>-6.8783815470407961E-2</v>
      </c>
      <c r="K672" s="30">
        <f t="shared" ca="1" si="173"/>
        <v>2.7053804091317312E-2</v>
      </c>
      <c r="L672" s="30">
        <f t="shared" ca="1" si="173"/>
        <v>3.1202367376943145E-2</v>
      </c>
      <c r="M672" s="30">
        <f t="shared" ca="1" si="173"/>
        <v>5.2925044982313194E-2</v>
      </c>
      <c r="N672" s="30">
        <f t="shared" ca="1" si="171"/>
        <v>0.1260858449172842</v>
      </c>
      <c r="O672" s="30">
        <f t="shared" ca="1" si="174"/>
        <v>9.1394536865886389E-2</v>
      </c>
      <c r="P672" s="30">
        <f t="shared" ca="1" si="175"/>
        <v>8.3163473298002444E-2</v>
      </c>
      <c r="Q672" s="30">
        <f t="shared" ca="1" si="176"/>
        <v>6.1950439648281508E-2</v>
      </c>
      <c r="R672" s="30">
        <f t="shared" ca="1" si="177"/>
        <v>5.7302029446876235E-2</v>
      </c>
      <c r="S672" s="9" cm="1">
        <f t="array" aca="1" ref="S672" ca="1">_xll.FDS($E$7,"P_PRICE("&amp;AG672&amp;",0,D,D)")</f>
        <v>53.14</v>
      </c>
      <c r="T672" s="9" cm="1">
        <f t="array" aca="1" ref="T672" ca="1">_xll.FDS($E$7,"P_PRICE("&amp;AH672&amp;",0,D,D)")</f>
        <v>48.69</v>
      </c>
      <c r="U672" s="9" cm="1">
        <f t="array" aca="1" ref="U672" ca="1">_xll.FDS($E$7,"P_PRICE("&amp;AI672&amp;",0,D,D)")</f>
        <v>49.06</v>
      </c>
      <c r="V672" s="9" cm="1">
        <f t="array" aca="1" ref="V672" ca="1">_xll.FDS($E$7,"P_PRICE("&amp;AJ672&amp;",0,D,D)")</f>
        <v>50.04</v>
      </c>
      <c r="W672" s="9" cm="1">
        <f t="array" aca="1" ref="W672" ca="1">_xll.FDS($E$7,"P_PRICE("&amp;AK672&amp;",0,D,D)")</f>
        <v>50.26</v>
      </c>
      <c r="X672" s="24">
        <f t="shared" ca="1" si="178"/>
        <v>2.5757991653601264E-2</v>
      </c>
      <c r="Y672" s="24">
        <f t="shared" ca="1" si="179"/>
        <v>2.9707848691262084E-2</v>
      </c>
      <c r="Z672" s="24">
        <f t="shared" ca="1" si="180"/>
        <v>5.0390062052619644E-2</v>
      </c>
      <c r="AA672" s="24">
        <f t="shared" ca="1" si="181"/>
        <v>0.12004663484862732</v>
      </c>
      <c r="AB672" s="9" cm="1">
        <f t="array" aca="1" ref="AB672" ca="1">_xll.FDS($E$9,"P_PRICE("&amp;AG672&amp;",0,D,D)")</f>
        <v>4409.59</v>
      </c>
      <c r="AC672" s="9" cm="1">
        <f t="array" aca="1" ref="AC672" ca="1">_xll.FDS($E$9,"P_PRICE("&amp;AH672&amp;",0,D,D)")</f>
        <v>4298.8599999999997</v>
      </c>
      <c r="AD672" s="9" cm="1">
        <f t="array" aca="1" ref="AD672" ca="1">_xll.FDS($E$9,"P_PRICE("&amp;AI672&amp;",0,D,D)")</f>
        <v>4282.37</v>
      </c>
      <c r="AE672" s="9" cm="1">
        <f t="array" aca="1" ref="AE672" ca="1">_xll.FDS($E$9,"P_PRICE("&amp;AJ672&amp;",0,D,D)")</f>
        <v>4198.05</v>
      </c>
      <c r="AF672" s="9" cm="1">
        <f t="array" aca="1" ref="AF672" ca="1">_xll.FDS($E$9,"P_PRICE("&amp;AK672&amp;",0,D,D)")</f>
        <v>3936.97</v>
      </c>
      <c r="AG672" s="20">
        <f t="shared" ca="1" si="187"/>
        <v>45093</v>
      </c>
      <c r="AH672" s="22">
        <f t="shared" ca="1" si="182"/>
        <v>45086</v>
      </c>
      <c r="AI672" s="22">
        <f t="shared" ca="1" si="183"/>
        <v>45079</v>
      </c>
      <c r="AJ672" s="22">
        <f t="shared" ca="1" si="184"/>
        <v>45064</v>
      </c>
      <c r="AK672" s="22">
        <f t="shared" ca="1" si="185"/>
        <v>45007</v>
      </c>
      <c r="AL672" s="22">
        <f t="shared" ca="1" si="186"/>
        <v>44917</v>
      </c>
    </row>
    <row r="673" spans="4:38" x14ac:dyDescent="0.25">
      <c r="D673" s="6">
        <f ca="1"/>
        <v>45092</v>
      </c>
      <c r="E673" s="28" cm="1">
        <f t="array" aca="1" ref="E673" ca="1">_xll.FDS($E$7,"P_PRICE("&amp;D673&amp;",0,D,D)")</f>
        <v>52.73</v>
      </c>
      <c r="F673" s="29" cm="1">
        <f t="array" aca="1" ref="F673" ca="1">_xll.FDS($E$7,"P_BETA_LOCIDX("&amp;$AG673&amp;","&amp;$AL673&amp;",,"""&amp;$E$9&amp;""")")</f>
        <v>1.0505544</v>
      </c>
      <c r="G673" s="30">
        <f t="shared" ca="1" si="172"/>
        <v>3.2334162445570011E-2</v>
      </c>
      <c r="H673" s="30">
        <f t="shared" ca="1" si="172"/>
        <v>4.0967593019206841E-2</v>
      </c>
      <c r="I673" s="30">
        <f t="shared" ca="1" si="172"/>
        <v>-6.0721203464682988E-3</v>
      </c>
      <c r="J673" s="30">
        <f t="shared" ca="1" si="170"/>
        <v>-6.5815339317407628E-2</v>
      </c>
      <c r="K673" s="30">
        <f t="shared" ca="1" si="173"/>
        <v>3.2273146256226862E-2</v>
      </c>
      <c r="L673" s="30">
        <f t="shared" ca="1" si="173"/>
        <v>5.0976908948074037E-2</v>
      </c>
      <c r="M673" s="30">
        <f t="shared" ca="1" si="173"/>
        <v>6.7465035000252457E-2</v>
      </c>
      <c r="N673" s="30">
        <f t="shared" ca="1" si="171"/>
        <v>0.11100859997152041</v>
      </c>
      <c r="O673" s="30">
        <f t="shared" ca="1" si="174"/>
        <v>6.4607308701796873E-2</v>
      </c>
      <c r="P673" s="30">
        <f t="shared" ca="1" si="175"/>
        <v>9.1944501967280878E-2</v>
      </c>
      <c r="Q673" s="30">
        <f t="shared" ca="1" si="176"/>
        <v>6.1392914653784159E-2</v>
      </c>
      <c r="R673" s="30">
        <f t="shared" ca="1" si="177"/>
        <v>4.5193260654112777E-2</v>
      </c>
      <c r="S673" s="9" cm="1">
        <f t="array" aca="1" ref="S673" ca="1">_xll.FDS($E$7,"P_PRICE("&amp;AG673&amp;",0,D,D)")</f>
        <v>52.73</v>
      </c>
      <c r="T673" s="9" cm="1">
        <f t="array" aca="1" ref="T673" ca="1">_xll.FDS($E$7,"P_PRICE("&amp;AH673&amp;",0,D,D)")</f>
        <v>49.53</v>
      </c>
      <c r="U673" s="9" cm="1">
        <f t="array" aca="1" ref="U673" ca="1">_xll.FDS($E$7,"P_PRICE("&amp;AI673&amp;",0,D,D)")</f>
        <v>48.29</v>
      </c>
      <c r="V673" s="9" cm="1">
        <f t="array" aca="1" ref="V673" ca="1">_xll.FDS($E$7,"P_PRICE("&amp;AJ673&amp;",0,D,D)")</f>
        <v>49.68</v>
      </c>
      <c r="W673" s="9" cm="1">
        <f t="array" aca="1" ref="W673" ca="1">_xll.FDS($E$7,"P_PRICE("&amp;AK673&amp;",0,D,D)")</f>
        <v>50.45</v>
      </c>
      <c r="X673" s="24">
        <f t="shared" ca="1" si="178"/>
        <v>3.0720109549992713E-2</v>
      </c>
      <c r="Y673" s="24">
        <f t="shared" ca="1" si="179"/>
        <v>4.8523816518282192E-2</v>
      </c>
      <c r="Z673" s="24">
        <f t="shared" ca="1" si="180"/>
        <v>6.4218506914303974E-2</v>
      </c>
      <c r="AA673" s="24">
        <f t="shared" ca="1" si="181"/>
        <v>0.10566668415411939</v>
      </c>
      <c r="AB673" s="9" cm="1">
        <f t="array" aca="1" ref="AB673" ca="1">_xll.FDS($E$9,"P_PRICE("&amp;AG673&amp;",0,D,D)")</f>
        <v>4425.84</v>
      </c>
      <c r="AC673" s="9" cm="1">
        <f t="array" aca="1" ref="AC673" ca="1">_xll.FDS($E$9,"P_PRICE("&amp;AH673&amp;",0,D,D)")</f>
        <v>4293.93</v>
      </c>
      <c r="AD673" s="9" cm="1">
        <f t="array" aca="1" ref="AD673" ca="1">_xll.FDS($E$9,"P_PRICE("&amp;AI673&amp;",0,D,D)")</f>
        <v>4221.0200000000004</v>
      </c>
      <c r="AE673" s="9" cm="1">
        <f t="array" aca="1" ref="AE673" ca="1">_xll.FDS($E$9,"P_PRICE("&amp;AJ673&amp;",0,D,D)")</f>
        <v>4158.7700000000004</v>
      </c>
      <c r="AF673" s="9" cm="1">
        <f t="array" aca="1" ref="AF673" ca="1">_xll.FDS($E$9,"P_PRICE("&amp;AK673&amp;",0,D,D)")</f>
        <v>4002.87</v>
      </c>
      <c r="AG673" s="20">
        <f t="shared" ca="1" si="187"/>
        <v>45092</v>
      </c>
      <c r="AH673" s="22">
        <f t="shared" ca="1" si="182"/>
        <v>45085</v>
      </c>
      <c r="AI673" s="22">
        <f t="shared" ca="1" si="183"/>
        <v>45078</v>
      </c>
      <c r="AJ673" s="22">
        <f t="shared" ca="1" si="184"/>
        <v>45063</v>
      </c>
      <c r="AK673" s="22">
        <f t="shared" ca="1" si="185"/>
        <v>45006</v>
      </c>
      <c r="AL673" s="22">
        <f t="shared" ca="1" si="186"/>
        <v>44916</v>
      </c>
    </row>
    <row r="674" spans="4:38" x14ac:dyDescent="0.25">
      <c r="D674" s="6">
        <f ca="1"/>
        <v>45091</v>
      </c>
      <c r="E674" s="28" cm="1">
        <f t="array" aca="1" ref="E674" ca="1">_xll.FDS($E$7,"P_PRICE("&amp;D674&amp;",0,D,D)")</f>
        <v>52.06</v>
      </c>
      <c r="F674" s="29" cm="1">
        <f t="array" aca="1" ref="F674" ca="1">_xll.FDS($E$7,"P_BETA_LOCIDX("&amp;$AG674&amp;","&amp;$AL674&amp;",,"""&amp;$E$9&amp;""")")</f>
        <v>1.0517458</v>
      </c>
      <c r="G674" s="30">
        <f t="shared" ca="1" si="172"/>
        <v>4.5739534430942086E-2</v>
      </c>
      <c r="H674" s="30">
        <f t="shared" ca="1" si="172"/>
        <v>4.6574775146899595E-2</v>
      </c>
      <c r="I674" s="30">
        <f t="shared" ca="1" si="172"/>
        <v>-7.5861061793154605E-3</v>
      </c>
      <c r="J674" s="30">
        <f t="shared" ca="1" si="170"/>
        <v>-5.6502693878466834E-2</v>
      </c>
      <c r="K674" s="30">
        <f t="shared" ca="1" si="173"/>
        <v>2.5894883024801193E-2</v>
      </c>
      <c r="L674" s="30">
        <f t="shared" ca="1" si="173"/>
        <v>4.8503054049566639E-2</v>
      </c>
      <c r="M674" s="30">
        <f t="shared" ca="1" si="173"/>
        <v>6.7223802088128864E-2</v>
      </c>
      <c r="N674" s="30">
        <f t="shared" ca="1" si="171"/>
        <v>0.11205824943402241</v>
      </c>
      <c r="O674" s="30">
        <f t="shared" ca="1" si="174"/>
        <v>7.1634417455743282E-2</v>
      </c>
      <c r="P674" s="30">
        <f t="shared" ca="1" si="175"/>
        <v>9.5077829196466235E-2</v>
      </c>
      <c r="Q674" s="30">
        <f t="shared" ca="1" si="176"/>
        <v>5.9637695908813404E-2</v>
      </c>
      <c r="R674" s="30">
        <f t="shared" ca="1" si="177"/>
        <v>5.555555555555558E-2</v>
      </c>
      <c r="S674" s="9" cm="1">
        <f t="array" aca="1" ref="S674" ca="1">_xll.FDS($E$7,"P_PRICE("&amp;AG674&amp;",0,D,D)")</f>
        <v>52.06</v>
      </c>
      <c r="T674" s="9" cm="1">
        <f t="array" aca="1" ref="T674" ca="1">_xll.FDS($E$7,"P_PRICE("&amp;AH674&amp;",0,D,D)")</f>
        <v>48.58</v>
      </c>
      <c r="U674" s="9" cm="1">
        <f t="array" aca="1" ref="U674" ca="1">_xll.FDS($E$7,"P_PRICE("&amp;AI674&amp;",0,D,D)")</f>
        <v>47.54</v>
      </c>
      <c r="V674" s="9" cm="1">
        <f t="array" aca="1" ref="V674" ca="1">_xll.FDS($E$7,"P_PRICE("&amp;AJ674&amp;",0,D,D)")</f>
        <v>49.13</v>
      </c>
      <c r="W674" s="9" cm="1">
        <f t="array" aca="1" ref="W674" ca="1">_xll.FDS($E$7,"P_PRICE("&amp;AK674&amp;",0,D,D)")</f>
        <v>49.32</v>
      </c>
      <c r="X674" s="24">
        <f t="shared" ca="1" si="178"/>
        <v>2.4620857078584191E-2</v>
      </c>
      <c r="Y674" s="24">
        <f t="shared" ca="1" si="179"/>
        <v>4.6116708095783832E-2</v>
      </c>
      <c r="Z674" s="24">
        <f t="shared" ca="1" si="180"/>
        <v>6.3916396992627744E-2</v>
      </c>
      <c r="AA674" s="24">
        <f t="shared" ca="1" si="181"/>
        <v>0.10654499350890911</v>
      </c>
      <c r="AB674" s="9" cm="1">
        <f t="array" aca="1" ref="AB674" ca="1">_xll.FDS($E$9,"P_PRICE("&amp;AG674&amp;",0,D,D)")</f>
        <v>4372.59</v>
      </c>
      <c r="AC674" s="9" cm="1">
        <f t="array" aca="1" ref="AC674" ca="1">_xll.FDS($E$9,"P_PRICE("&amp;AH674&amp;",0,D,D)")</f>
        <v>4267.5200000000004</v>
      </c>
      <c r="AD674" s="9" cm="1">
        <f t="array" aca="1" ref="AD674" ca="1">_xll.FDS($E$9,"P_PRICE("&amp;AI674&amp;",0,D,D)")</f>
        <v>4179.83</v>
      </c>
      <c r="AE674" s="9" cm="1">
        <f t="array" aca="1" ref="AE674" ca="1">_xll.FDS($E$9,"P_PRICE("&amp;AJ674&amp;",0,D,D)")</f>
        <v>4109.8999999999996</v>
      </c>
      <c r="AF674" s="9" cm="1">
        <f t="array" aca="1" ref="AF674" ca="1">_xll.FDS($E$9,"P_PRICE("&amp;AK674&amp;",0,D,D)")</f>
        <v>3951.57</v>
      </c>
      <c r="AG674" s="20">
        <f t="shared" ca="1" si="187"/>
        <v>45091</v>
      </c>
      <c r="AH674" s="22">
        <f t="shared" ca="1" si="182"/>
        <v>45084</v>
      </c>
      <c r="AI674" s="22">
        <f t="shared" ca="1" si="183"/>
        <v>45077</v>
      </c>
      <c r="AJ674" s="22">
        <f t="shared" ca="1" si="184"/>
        <v>45062</v>
      </c>
      <c r="AK674" s="22">
        <f t="shared" ca="1" si="185"/>
        <v>45005</v>
      </c>
      <c r="AL674" s="22">
        <f t="shared" ca="1" si="186"/>
        <v>44915</v>
      </c>
    </row>
    <row r="675" spans="4:38" x14ac:dyDescent="0.25">
      <c r="D675" s="6">
        <f ca="1"/>
        <v>45090</v>
      </c>
      <c r="E675" s="28" cm="1">
        <f t="array" aca="1" ref="E675" ca="1">_xll.FDS($E$7,"P_PRICE("&amp;D675&amp;",0,D,D)")</f>
        <v>50.05</v>
      </c>
      <c r="F675" s="29" cm="1">
        <f t="array" aca="1" ref="F675" ca="1">_xll.FDS($E$7,"P_BETA_LOCIDX("&amp;$AG675&amp;","&amp;$AL675&amp;",,"""&amp;$E$9&amp;""")")</f>
        <v>1.0413380000000001</v>
      </c>
      <c r="G675" s="30">
        <f t="shared" ca="1" si="172"/>
        <v>1.832735568092304E-2</v>
      </c>
      <c r="H675" s="30">
        <f t="shared" ca="1" si="172"/>
        <v>-5.7498442015316842E-3</v>
      </c>
      <c r="I675" s="30">
        <f t="shared" ca="1" si="172"/>
        <v>-4.7684550398412101E-2</v>
      </c>
      <c r="J675" s="30">
        <f t="shared" ca="1" si="170"/>
        <v>-8.0165965343948223E-2</v>
      </c>
      <c r="K675" s="30">
        <f t="shared" ca="1" si="173"/>
        <v>2.0701085257420194E-2</v>
      </c>
      <c r="L675" s="30">
        <f t="shared" ca="1" si="173"/>
        <v>4.0482116270996182E-2</v>
      </c>
      <c r="M675" s="30">
        <f t="shared" ca="1" si="173"/>
        <v>5.8591437895887249E-2</v>
      </c>
      <c r="N675" s="30">
        <f t="shared" ca="1" si="171"/>
        <v>0.12027402851934317</v>
      </c>
      <c r="O675" s="30">
        <f t="shared" ca="1" si="174"/>
        <v>3.9028440938343234E-2</v>
      </c>
      <c r="P675" s="30">
        <f t="shared" ca="1" si="175"/>
        <v>3.4732272069464498E-2</v>
      </c>
      <c r="Q675" s="30">
        <f t="shared" ca="1" si="176"/>
        <v>1.0906887497475148E-2</v>
      </c>
      <c r="R675" s="30">
        <f t="shared" ca="1" si="177"/>
        <v>4.0108063175394948E-2</v>
      </c>
      <c r="S675" s="9" cm="1">
        <f t="array" aca="1" ref="S675" ca="1">_xll.FDS($E$7,"P_PRICE("&amp;AG675&amp;",0,D,D)")</f>
        <v>50.05</v>
      </c>
      <c r="T675" s="9" cm="1">
        <f t="array" aca="1" ref="T675" ca="1">_xll.FDS($E$7,"P_PRICE("&amp;AH675&amp;",0,D,D)")</f>
        <v>48.17</v>
      </c>
      <c r="U675" s="9" cm="1">
        <f t="array" aca="1" ref="U675" ca="1">_xll.FDS($E$7,"P_PRICE("&amp;AI675&amp;",0,D,D)")</f>
        <v>48.37</v>
      </c>
      <c r="V675" s="9" cm="1">
        <f t="array" aca="1" ref="V675" ca="1">_xll.FDS($E$7,"P_PRICE("&amp;AJ675&amp;",0,D,D)")</f>
        <v>49.51</v>
      </c>
      <c r="W675" s="9" cm="1">
        <f t="array" aca="1" ref="W675" ca="1">_xll.FDS($E$7,"P_PRICE("&amp;AK675&amp;",0,D,D)")</f>
        <v>48.12</v>
      </c>
      <c r="X675" s="24">
        <f t="shared" ca="1" si="178"/>
        <v>1.9879314168329776E-2</v>
      </c>
      <c r="Y675" s="24">
        <f t="shared" ca="1" si="179"/>
        <v>3.8875097490916666E-2</v>
      </c>
      <c r="Z675" s="24">
        <f t="shared" ca="1" si="180"/>
        <v>5.6265533281112612E-2</v>
      </c>
      <c r="AA675" s="24">
        <f t="shared" ca="1" si="181"/>
        <v>0.11549950978389645</v>
      </c>
      <c r="AB675" s="9" cm="1">
        <f t="array" aca="1" ref="AB675" ca="1">_xll.FDS($E$9,"P_PRICE("&amp;AG675&amp;",0,D,D)")</f>
        <v>4369.01</v>
      </c>
      <c r="AC675" s="9" cm="1">
        <f t="array" aca="1" ref="AC675" ca="1">_xll.FDS($E$9,"P_PRICE("&amp;AH675&amp;",0,D,D)")</f>
        <v>4283.8500000000004</v>
      </c>
      <c r="AD675" s="9" cm="1">
        <f t="array" aca="1" ref="AD675" ca="1">_xll.FDS($E$9,"P_PRICE("&amp;AI675&amp;",0,D,D)")</f>
        <v>4205.5200000000004</v>
      </c>
      <c r="AE675" s="9" cm="1">
        <f t="array" aca="1" ref="AE675" ca="1">_xll.FDS($E$9,"P_PRICE("&amp;AJ675&amp;",0,D,D)")</f>
        <v>4136.28</v>
      </c>
      <c r="AF675" s="9" cm="1">
        <f t="array" aca="1" ref="AF675" ca="1">_xll.FDS($E$9,"P_PRICE("&amp;AK675&amp;",0,D,D)")</f>
        <v>3916.64</v>
      </c>
      <c r="AG675" s="20">
        <f t="shared" ca="1" si="187"/>
        <v>45090</v>
      </c>
      <c r="AH675" s="22">
        <f t="shared" ca="1" si="182"/>
        <v>45083</v>
      </c>
      <c r="AI675" s="22">
        <f t="shared" ca="1" si="183"/>
        <v>45076</v>
      </c>
      <c r="AJ675" s="22">
        <f t="shared" ca="1" si="184"/>
        <v>45061</v>
      </c>
      <c r="AK675" s="22">
        <f t="shared" ca="1" si="185"/>
        <v>45002</v>
      </c>
      <c r="AL675" s="22">
        <f t="shared" ca="1" si="186"/>
        <v>44914</v>
      </c>
    </row>
    <row r="676" spans="4:38" x14ac:dyDescent="0.25">
      <c r="D676" s="6">
        <f ca="1"/>
        <v>45089</v>
      </c>
      <c r="E676" s="28" cm="1">
        <f t="array" aca="1" ref="E676" ca="1">_xll.FDS($E$7,"P_PRICE("&amp;D676&amp;",0,D,D)")</f>
        <v>49.66</v>
      </c>
      <c r="F676" s="29" cm="1">
        <f t="array" aca="1" ref="F676" ca="1">_xll.FDS($E$7,"P_BETA_LOCIDX("&amp;$AG676&amp;","&amp;$AL676&amp;",,"""&amp;$E$9&amp;""")")</f>
        <v>1.0341191000000001</v>
      </c>
      <c r="G676" s="30">
        <f t="shared" ca="1" si="172"/>
        <v>1.1332330060457214E-2</v>
      </c>
      <c r="H676" s="30">
        <f t="shared" ca="1" si="172"/>
        <v>-1.5408234265417604E-2</v>
      </c>
      <c r="I676" s="30">
        <f t="shared" ca="1" si="172"/>
        <v>-3.9990734522811433E-2</v>
      </c>
      <c r="J676" s="30">
        <f t="shared" ca="1" si="170"/>
        <v>-8.2708782701157696E-2</v>
      </c>
      <c r="K676" s="30">
        <f t="shared" ca="1" si="173"/>
        <v>1.5761775420411444E-2</v>
      </c>
      <c r="L676" s="30">
        <f t="shared" ca="1" si="173"/>
        <v>3.2822698514546784E-2</v>
      </c>
      <c r="M676" s="30">
        <f t="shared" ca="1" si="173"/>
        <v>5.3873952162664329E-2</v>
      </c>
      <c r="N676" s="30">
        <f t="shared" ca="1" si="171"/>
        <v>9.8874119308483249E-2</v>
      </c>
      <c r="O676" s="30">
        <f t="shared" ca="1" si="174"/>
        <v>2.7094105480868658E-2</v>
      </c>
      <c r="P676" s="30">
        <f t="shared" ca="1" si="175"/>
        <v>1.741446424912918E-2</v>
      </c>
      <c r="Q676" s="30">
        <f t="shared" ca="1" si="176"/>
        <v>1.3883217639852896E-2</v>
      </c>
      <c r="R676" s="30">
        <f t="shared" ca="1" si="177"/>
        <v>1.6165336607325553E-2</v>
      </c>
      <c r="S676" s="9" cm="1">
        <f t="array" aca="1" ref="S676" ca="1">_xll.FDS($E$7,"P_PRICE("&amp;AG676&amp;",0,D,D)")</f>
        <v>49.66</v>
      </c>
      <c r="T676" s="9" cm="1">
        <f t="array" aca="1" ref="T676" ca="1">_xll.FDS($E$7,"P_PRICE("&amp;AH676&amp;",0,D,D)")</f>
        <v>48.35</v>
      </c>
      <c r="U676" s="9" cm="1">
        <f t="array" aca="1" ref="U676" ca="1">_xll.FDS($E$7,"P_PRICE("&amp;AI676&amp;",0,D,D)")</f>
        <v>48.81</v>
      </c>
      <c r="V676" s="9" cm="1">
        <f t="array" aca="1" ref="V676" ca="1">_xll.FDS($E$7,"P_PRICE("&amp;AJ676&amp;",0,D,D)")</f>
        <v>48.98</v>
      </c>
      <c r="W676" s="9" cm="1">
        <f t="array" aca="1" ref="W676" ca="1">_xll.FDS($E$7,"P_PRICE("&amp;AK676&amp;",0,D,D)")</f>
        <v>48.87</v>
      </c>
      <c r="X676" s="24">
        <f t="shared" ca="1" si="178"/>
        <v>1.5241740937200987E-2</v>
      </c>
      <c r="Y676" s="24">
        <f t="shared" ca="1" si="179"/>
        <v>3.1739766255692192E-2</v>
      </c>
      <c r="Z676" s="24">
        <f t="shared" ca="1" si="180"/>
        <v>5.2096467575798888E-2</v>
      </c>
      <c r="AA676" s="24">
        <f t="shared" ca="1" si="181"/>
        <v>9.5611926429444383E-2</v>
      </c>
      <c r="AB676" s="9" cm="1">
        <f t="array" aca="1" ref="AB676" ca="1">_xll.FDS($E$9,"P_PRICE("&amp;AG676&amp;",0,D,D)")</f>
        <v>4338.93</v>
      </c>
      <c r="AC676" s="9" cm="1">
        <f t="array" aca="1" ref="AC676" ca="1">_xll.FDS($E$9,"P_PRICE("&amp;AH676&amp;",0,D,D)")</f>
        <v>4273.79</v>
      </c>
      <c r="AD676" s="9" cm="1">
        <f t="array" aca="1" ref="AD676" ca="1">_xll.FDS($E$9,"P_PRICE("&amp;AI676&amp;",0,D,D)")</f>
        <v>4205.45</v>
      </c>
      <c r="AE676" s="9" cm="1">
        <f t="array" aca="1" ref="AE676" ca="1">_xll.FDS($E$9,"P_PRICE("&amp;AJ676&amp;",0,D,D)")</f>
        <v>4124.08</v>
      </c>
      <c r="AF676" s="9" cm="1">
        <f t="array" aca="1" ref="AF676" ca="1">_xll.FDS($E$9,"P_PRICE("&amp;AK676&amp;",0,D,D)")</f>
        <v>3960.28</v>
      </c>
      <c r="AG676" s="20">
        <f t="shared" ca="1" si="187"/>
        <v>45089</v>
      </c>
      <c r="AH676" s="22">
        <f t="shared" ca="1" si="182"/>
        <v>45082</v>
      </c>
      <c r="AI676" s="22">
        <f t="shared" ca="1" si="183"/>
        <v>45072</v>
      </c>
      <c r="AJ676" s="22">
        <f t="shared" ca="1" si="184"/>
        <v>45058</v>
      </c>
      <c r="AK676" s="22">
        <f t="shared" ca="1" si="185"/>
        <v>45001</v>
      </c>
      <c r="AL676" s="22">
        <f t="shared" ca="1" si="186"/>
        <v>44911</v>
      </c>
    </row>
    <row r="677" spans="4:38" x14ac:dyDescent="0.25">
      <c r="D677" s="6">
        <f ca="1"/>
        <v>45086</v>
      </c>
      <c r="E677" s="28" cm="1">
        <f t="array" aca="1" ref="E677" ca="1">_xll.FDS($E$7,"P_PRICE("&amp;D677&amp;",0,D,D)")</f>
        <v>48.69</v>
      </c>
      <c r="F677" s="29" cm="1">
        <f t="array" aca="1" ref="F677" ca="1">_xll.FDS($E$7,"P_BETA_LOCIDX("&amp;$AG677&amp;","&amp;$AL677&amp;",,"""&amp;$E$9&amp;""")")</f>
        <v>1.0536110000000001</v>
      </c>
      <c r="G677" s="30">
        <f t="shared" ca="1" si="172"/>
        <v>-1.1598895391056085E-2</v>
      </c>
      <c r="H677" s="30">
        <f t="shared" ca="1" si="172"/>
        <v>-3.1464642105368194E-2</v>
      </c>
      <c r="I677" s="30">
        <f t="shared" ca="1" si="172"/>
        <v>-6.3629546759872341E-2</v>
      </c>
      <c r="J677" s="30">
        <f t="shared" ca="1" si="170"/>
        <v>-9.9577499525782001E-2</v>
      </c>
      <c r="K677" s="30">
        <f t="shared" ca="1" si="173"/>
        <v>4.0571098223646344E-3</v>
      </c>
      <c r="L677" s="30">
        <f t="shared" ca="1" si="173"/>
        <v>3.7456377642558318E-2</v>
      </c>
      <c r="M677" s="30">
        <f t="shared" ca="1" si="173"/>
        <v>4.291353710580962E-2</v>
      </c>
      <c r="N677" s="30">
        <f t="shared" ca="1" si="171"/>
        <v>0.11016280463163509</v>
      </c>
      <c r="O677" s="30">
        <f t="shared" ca="1" si="174"/>
        <v>-7.5417855686914503E-3</v>
      </c>
      <c r="P677" s="30">
        <f t="shared" ca="1" si="175"/>
        <v>5.9917355371901238E-3</v>
      </c>
      <c r="Q677" s="30">
        <f t="shared" ca="1" si="176"/>
        <v>-2.0716009654062728E-2</v>
      </c>
      <c r="R677" s="30">
        <f t="shared" ca="1" si="177"/>
        <v>1.0585305105853093E-2</v>
      </c>
      <c r="S677" s="9" cm="1">
        <f t="array" aca="1" ref="S677" ca="1">_xll.FDS($E$7,"P_PRICE("&amp;AG677&amp;",0,D,D)")</f>
        <v>48.69</v>
      </c>
      <c r="T677" s="9" cm="1">
        <f t="array" aca="1" ref="T677" ca="1">_xll.FDS($E$7,"P_PRICE("&amp;AH677&amp;",0,D,D)")</f>
        <v>49.06</v>
      </c>
      <c r="U677" s="9" cm="1">
        <f t="array" aca="1" ref="U677" ca="1">_xll.FDS($E$7,"P_PRICE("&amp;AI677&amp;",0,D,D)")</f>
        <v>48.4</v>
      </c>
      <c r="V677" s="9" cm="1">
        <f t="array" aca="1" ref="V677" ca="1">_xll.FDS($E$7,"P_PRICE("&amp;AJ677&amp;",0,D,D)")</f>
        <v>49.72</v>
      </c>
      <c r="W677" s="9" cm="1">
        <f t="array" aca="1" ref="W677" ca="1">_xll.FDS($E$7,"P_PRICE("&amp;AK677&amp;",0,D,D)")</f>
        <v>48.18</v>
      </c>
      <c r="X677" s="24">
        <f t="shared" ca="1" si="178"/>
        <v>3.8506714739734438E-3</v>
      </c>
      <c r="Y677" s="24">
        <f t="shared" ca="1" si="179"/>
        <v>3.5550480815555563E-2</v>
      </c>
      <c r="Z677" s="24">
        <f t="shared" ca="1" si="180"/>
        <v>4.0729963056393315E-2</v>
      </c>
      <c r="AA677" s="24">
        <f t="shared" ca="1" si="181"/>
        <v>0.10455737898677508</v>
      </c>
      <c r="AB677" s="9" cm="1">
        <f t="array" aca="1" ref="AB677" ca="1">_xll.FDS($E$9,"P_PRICE("&amp;AG677&amp;",0,D,D)")</f>
        <v>4298.8599999999997</v>
      </c>
      <c r="AC677" s="9" cm="1">
        <f t="array" aca="1" ref="AC677" ca="1">_xll.FDS($E$9,"P_PRICE("&amp;AH677&amp;",0,D,D)")</f>
        <v>4282.37</v>
      </c>
      <c r="AD677" s="9" cm="1">
        <f t="array" aca="1" ref="AD677" ca="1">_xll.FDS($E$9,"P_PRICE("&amp;AI677&amp;",0,D,D)")</f>
        <v>4151.28</v>
      </c>
      <c r="AE677" s="9" cm="1">
        <f t="array" aca="1" ref="AE677" ca="1">_xll.FDS($E$9,"P_PRICE("&amp;AJ677&amp;",0,D,D)")</f>
        <v>4130.62</v>
      </c>
      <c r="AF677" s="9" cm="1">
        <f t="array" aca="1" ref="AF677" ca="1">_xll.FDS($E$9,"P_PRICE("&amp;AK677&amp;",0,D,D)")</f>
        <v>3891.93</v>
      </c>
      <c r="AG677" s="20">
        <f t="shared" ca="1" si="187"/>
        <v>45086</v>
      </c>
      <c r="AH677" s="22">
        <f t="shared" ca="1" si="182"/>
        <v>45079</v>
      </c>
      <c r="AI677" s="22">
        <f t="shared" ca="1" si="183"/>
        <v>45071</v>
      </c>
      <c r="AJ677" s="22">
        <f t="shared" ca="1" si="184"/>
        <v>45057</v>
      </c>
      <c r="AK677" s="22">
        <f t="shared" ca="1" si="185"/>
        <v>45000</v>
      </c>
      <c r="AL677" s="22">
        <f t="shared" ca="1" si="186"/>
        <v>44910</v>
      </c>
    </row>
    <row r="678" spans="4:38" x14ac:dyDescent="0.25">
      <c r="D678" s="6">
        <f ca="1"/>
        <v>45085</v>
      </c>
      <c r="E678" s="28" cm="1">
        <f t="array" aca="1" ref="E678" ca="1">_xll.FDS($E$7,"P_PRICE("&amp;D678&amp;",0,D,D)")</f>
        <v>49.53</v>
      </c>
      <c r="F678" s="29" cm="1">
        <f t="array" aca="1" ref="F678" ca="1">_xll.FDS($E$7,"P_BETA_LOCIDX("&amp;$AG678&amp;","&amp;$AL678&amp;",,"""&amp;$E$9&amp;""")")</f>
        <v>1.0516801</v>
      </c>
      <c r="G678" s="30">
        <f t="shared" ca="1" si="172"/>
        <v>7.5124437631358433E-3</v>
      </c>
      <c r="H678" s="30">
        <f t="shared" ca="1" si="172"/>
        <v>-1.9137057228799277E-2</v>
      </c>
      <c r="I678" s="30">
        <f t="shared" ca="1" si="172"/>
        <v>-3.689025709818107E-2</v>
      </c>
      <c r="J678" s="30">
        <f t="shared" ca="1" si="170"/>
        <v>-0.11505325031727323</v>
      </c>
      <c r="K678" s="30">
        <f t="shared" ca="1" si="173"/>
        <v>1.8165750479978728E-2</v>
      </c>
      <c r="L678" s="30">
        <f t="shared" ca="1" si="173"/>
        <v>4.5665554638125778E-2</v>
      </c>
      <c r="M678" s="30">
        <f t="shared" ca="1" si="173"/>
        <v>3.9724838997351034E-2</v>
      </c>
      <c r="N678" s="30">
        <f t="shared" ca="1" si="171"/>
        <v>0.10052877757553039</v>
      </c>
      <c r="O678" s="30">
        <f t="shared" ca="1" si="174"/>
        <v>2.5678194243114572E-2</v>
      </c>
      <c r="P678" s="30">
        <f t="shared" ca="1" si="175"/>
        <v>2.6528497409326501E-2</v>
      </c>
      <c r="Q678" s="30">
        <f t="shared" ca="1" si="176"/>
        <v>2.8345818991699634E-3</v>
      </c>
      <c r="R678" s="30">
        <f t="shared" ca="1" si="177"/>
        <v>-1.4524472741742844E-2</v>
      </c>
      <c r="S678" s="9" cm="1">
        <f t="array" aca="1" ref="S678" ca="1">_xll.FDS($E$7,"P_PRICE("&amp;AG678&amp;",0,D,D)")</f>
        <v>49.53</v>
      </c>
      <c r="T678" s="9" cm="1">
        <f t="array" aca="1" ref="T678" ca="1">_xll.FDS($E$7,"P_PRICE("&amp;AH678&amp;",0,D,D)")</f>
        <v>48.29</v>
      </c>
      <c r="U678" s="9" cm="1">
        <f t="array" aca="1" ref="U678" ca="1">_xll.FDS($E$7,"P_PRICE("&amp;AI678&amp;",0,D,D)")</f>
        <v>48.25</v>
      </c>
      <c r="V678" s="9" cm="1">
        <f t="array" aca="1" ref="V678" ca="1">_xll.FDS($E$7,"P_PRICE("&amp;AJ678&amp;",0,D,D)")</f>
        <v>49.39</v>
      </c>
      <c r="W678" s="9" cm="1">
        <f t="array" aca="1" ref="W678" ca="1">_xll.FDS($E$7,"P_PRICE("&amp;AK678&amp;",0,D,D)")</f>
        <v>50.26</v>
      </c>
      <c r="X678" s="24">
        <f t="shared" ca="1" si="178"/>
        <v>1.727307617590057E-2</v>
      </c>
      <c r="Y678" s="24">
        <f t="shared" ca="1" si="179"/>
        <v>4.3421525840534381E-2</v>
      </c>
      <c r="Z678" s="24">
        <f t="shared" ca="1" si="180"/>
        <v>3.777274001604769E-2</v>
      </c>
      <c r="AA678" s="24">
        <f t="shared" ca="1" si="181"/>
        <v>9.5588741838445346E-2</v>
      </c>
      <c r="AB678" s="9" cm="1">
        <f t="array" aca="1" ref="AB678" ca="1">_xll.FDS($E$9,"P_PRICE("&amp;AG678&amp;",0,D,D)")</f>
        <v>4293.93</v>
      </c>
      <c r="AC678" s="9" cm="1">
        <f t="array" aca="1" ref="AC678" ca="1">_xll.FDS($E$9,"P_PRICE("&amp;AH678&amp;",0,D,D)")</f>
        <v>4221.0200000000004</v>
      </c>
      <c r="AD678" s="9" cm="1">
        <f t="array" aca="1" ref="AD678" ca="1">_xll.FDS($E$9,"P_PRICE("&amp;AI678&amp;",0,D,D)")</f>
        <v>4115.24</v>
      </c>
      <c r="AE678" s="9" cm="1">
        <f t="array" aca="1" ref="AE678" ca="1">_xll.FDS($E$9,"P_PRICE("&amp;AJ678&amp;",0,D,D)")</f>
        <v>4137.6400000000003</v>
      </c>
      <c r="AF678" s="9" cm="1">
        <f t="array" aca="1" ref="AF678" ca="1">_xll.FDS($E$9,"P_PRICE("&amp;AK678&amp;",0,D,D)")</f>
        <v>3919.29</v>
      </c>
      <c r="AG678" s="20">
        <f t="shared" ca="1" si="187"/>
        <v>45085</v>
      </c>
      <c r="AH678" s="22">
        <f t="shared" ca="1" si="182"/>
        <v>45078</v>
      </c>
      <c r="AI678" s="22">
        <f t="shared" ca="1" si="183"/>
        <v>45070</v>
      </c>
      <c r="AJ678" s="22">
        <f t="shared" ca="1" si="184"/>
        <v>45056</v>
      </c>
      <c r="AK678" s="22">
        <f t="shared" ca="1" si="185"/>
        <v>44999</v>
      </c>
      <c r="AL678" s="22">
        <f t="shared" ca="1" si="186"/>
        <v>44909</v>
      </c>
    </row>
    <row r="679" spans="4:38" x14ac:dyDescent="0.25">
      <c r="D679" s="6">
        <f ca="1"/>
        <v>45084</v>
      </c>
      <c r="E679" s="28" cm="1">
        <f t="array" aca="1" ref="E679" ca="1">_xll.FDS($E$7,"P_PRICE("&amp;D679&amp;",0,D,D)")</f>
        <v>48.58</v>
      </c>
      <c r="F679" s="29" cm="1">
        <f t="array" aca="1" ref="F679" ca="1">_xll.FDS($E$7,"P_BETA_LOCIDX("&amp;$AG679&amp;","&amp;$AL679&amp;",,"""&amp;$E$9&amp;""")")</f>
        <v>1.0512515</v>
      </c>
      <c r="G679" s="30">
        <f t="shared" ca="1" si="172"/>
        <v>-1.7822917108577599E-4</v>
      </c>
      <c r="H679" s="30">
        <f t="shared" ca="1" si="172"/>
        <v>-3.4204720596899205E-2</v>
      </c>
      <c r="I679" s="30">
        <f t="shared" ca="1" si="172"/>
        <v>-5.346317282696586E-2</v>
      </c>
      <c r="J679" s="30">
        <f t="shared" ca="1" si="170"/>
        <v>-0.11880803912073454</v>
      </c>
      <c r="K679" s="30">
        <f t="shared" ca="1" si="173"/>
        <v>2.2054543853458387E-2</v>
      </c>
      <c r="L679" s="30">
        <f t="shared" ca="1" si="173"/>
        <v>3.0921995935430147E-2</v>
      </c>
      <c r="M679" s="30">
        <f t="shared" ca="1" si="173"/>
        <v>3.7860335947533214E-2</v>
      </c>
      <c r="N679" s="30">
        <f t="shared" ca="1" si="171"/>
        <v>0.11226407184057094</v>
      </c>
      <c r="O679" s="30">
        <f t="shared" ca="1" si="174"/>
        <v>2.1876314682372611E-2</v>
      </c>
      <c r="P679" s="30">
        <f t="shared" ca="1" si="175"/>
        <v>-3.2827246614690608E-3</v>
      </c>
      <c r="Q679" s="30">
        <f t="shared" ca="1" si="176"/>
        <v>-1.5602836879432647E-2</v>
      </c>
      <c r="R679" s="30">
        <f t="shared" ca="1" si="177"/>
        <v>-6.5439672801635984E-3</v>
      </c>
      <c r="S679" s="9" cm="1">
        <f t="array" aca="1" ref="S679" ca="1">_xll.FDS($E$7,"P_PRICE("&amp;AG679&amp;",0,D,D)")</f>
        <v>48.58</v>
      </c>
      <c r="T679" s="9" cm="1">
        <f t="array" aca="1" ref="T679" ca="1">_xll.FDS($E$7,"P_PRICE("&amp;AH679&amp;",0,D,D)")</f>
        <v>47.54</v>
      </c>
      <c r="U679" s="9" cm="1">
        <f t="array" aca="1" ref="U679" ca="1">_xll.FDS($E$7,"P_PRICE("&amp;AI679&amp;",0,D,D)")</f>
        <v>48.74</v>
      </c>
      <c r="V679" s="9" cm="1">
        <f t="array" aca="1" ref="V679" ca="1">_xll.FDS($E$7,"P_PRICE("&amp;AJ679&amp;",0,D,D)")</f>
        <v>49.35</v>
      </c>
      <c r="W679" s="9" cm="1">
        <f t="array" aca="1" ref="W679" ca="1">_xll.FDS($E$7,"P_PRICE("&amp;AK679&amp;",0,D,D)")</f>
        <v>48.9</v>
      </c>
      <c r="X679" s="24">
        <f t="shared" ca="1" si="178"/>
        <v>2.0979322125541211E-2</v>
      </c>
      <c r="Y679" s="24">
        <f t="shared" ca="1" si="179"/>
        <v>2.9414460702724465E-2</v>
      </c>
      <c r="Z679" s="24">
        <f t="shared" ca="1" si="180"/>
        <v>3.6014536909134698E-2</v>
      </c>
      <c r="AA679" s="24">
        <f t="shared" ca="1" si="181"/>
        <v>0.10679087910035889</v>
      </c>
      <c r="AB679" s="9" cm="1">
        <f t="array" aca="1" ref="AB679" ca="1">_xll.FDS($E$9,"P_PRICE("&amp;AG679&amp;",0,D,D)")</f>
        <v>4267.5200000000004</v>
      </c>
      <c r="AC679" s="9" cm="1">
        <f t="array" aca="1" ref="AC679" ca="1">_xll.FDS($E$9,"P_PRICE("&amp;AH679&amp;",0,D,D)")</f>
        <v>4179.83</v>
      </c>
      <c r="AD679" s="9" cm="1">
        <f t="array" aca="1" ref="AD679" ca="1">_xll.FDS($E$9,"P_PRICE("&amp;AI679&amp;",0,D,D)")</f>
        <v>4145.58</v>
      </c>
      <c r="AE679" s="9" cm="1">
        <f t="array" aca="1" ref="AE679" ca="1">_xll.FDS($E$9,"P_PRICE("&amp;AJ679&amp;",0,D,D)")</f>
        <v>4119.17</v>
      </c>
      <c r="AF679" s="9" cm="1">
        <f t="array" aca="1" ref="AF679" ca="1">_xll.FDS($E$9,"P_PRICE("&amp;AK679&amp;",0,D,D)")</f>
        <v>3855.76</v>
      </c>
      <c r="AG679" s="20">
        <f t="shared" ca="1" si="187"/>
        <v>45084</v>
      </c>
      <c r="AH679" s="22">
        <f t="shared" ca="1" si="182"/>
        <v>45077</v>
      </c>
      <c r="AI679" s="22">
        <f t="shared" ca="1" si="183"/>
        <v>45069</v>
      </c>
      <c r="AJ679" s="22">
        <f t="shared" ca="1" si="184"/>
        <v>45055</v>
      </c>
      <c r="AK679" s="22">
        <f t="shared" ca="1" si="185"/>
        <v>44998</v>
      </c>
      <c r="AL679" s="22">
        <f t="shared" ca="1" si="186"/>
        <v>44908</v>
      </c>
    </row>
    <row r="680" spans="4:38" x14ac:dyDescent="0.25">
      <c r="D680" s="6">
        <f ca="1"/>
        <v>45083</v>
      </c>
      <c r="E680" s="28" cm="1">
        <f t="array" aca="1" ref="E680" ca="1">_xll.FDS($E$7,"P_PRICE("&amp;D680&amp;",0,D,D)")</f>
        <v>48.17</v>
      </c>
      <c r="F680" s="29" cm="1">
        <f t="array" aca="1" ref="F680" ca="1">_xll.FDS($E$7,"P_BETA_LOCIDX("&amp;$AG680&amp;","&amp;$AL680&amp;",,"""&amp;$E$9&amp;""")")</f>
        <v>1.0395475999999999</v>
      </c>
      <c r="G680" s="30">
        <f t="shared" ca="1" si="172"/>
        <v>-2.3496909682330501E-2</v>
      </c>
      <c r="H680" s="30">
        <f t="shared" ca="1" si="172"/>
        <v>-6.1332499836432547E-2</v>
      </c>
      <c r="I680" s="30">
        <f t="shared" ca="1" si="172"/>
        <v>-5.9133552834884216E-2</v>
      </c>
      <c r="J680" s="30">
        <f t="shared" ca="1" si="170"/>
        <v>-0.15353768082182476</v>
      </c>
      <c r="K680" s="30">
        <f t="shared" ca="1" si="173"/>
        <v>1.9362115388346722E-2</v>
      </c>
      <c r="L680" s="30">
        <f t="shared" ca="1" si="173"/>
        <v>2.2617672456668046E-2</v>
      </c>
      <c r="M680" s="30">
        <f t="shared" ca="1" si="173"/>
        <v>3.6609202185533561E-2</v>
      </c>
      <c r="N680" s="30">
        <f t="shared" ca="1" si="171"/>
        <v>0.11367321998865756</v>
      </c>
      <c r="O680" s="30">
        <f t="shared" ca="1" si="174"/>
        <v>-4.134794293983779E-3</v>
      </c>
      <c r="P680" s="30">
        <f t="shared" ca="1" si="175"/>
        <v>-3.8714827379764505E-2</v>
      </c>
      <c r="Q680" s="30">
        <f t="shared" ca="1" si="176"/>
        <v>-2.2524350649350655E-2</v>
      </c>
      <c r="R680" s="30">
        <f t="shared" ca="1" si="177"/>
        <v>-3.9864460833167192E-2</v>
      </c>
      <c r="S680" s="9" cm="1">
        <f t="array" aca="1" ref="S680" ca="1">_xll.FDS($E$7,"P_PRICE("&amp;AG680&amp;",0,D,D)")</f>
        <v>48.17</v>
      </c>
      <c r="T680" s="9" cm="1">
        <f t="array" aca="1" ref="T680" ca="1">_xll.FDS($E$7,"P_PRICE("&amp;AH680&amp;",0,D,D)")</f>
        <v>48.37</v>
      </c>
      <c r="U680" s="9" cm="1">
        <f t="array" aca="1" ref="U680" ca="1">_xll.FDS($E$7,"P_PRICE("&amp;AI680&amp;",0,D,D)")</f>
        <v>50.11</v>
      </c>
      <c r="V680" s="9" cm="1">
        <f t="array" aca="1" ref="V680" ca="1">_xll.FDS($E$7,"P_PRICE("&amp;AJ680&amp;",0,D,D)")</f>
        <v>49.28</v>
      </c>
      <c r="W680" s="9" cm="1">
        <f t="array" aca="1" ref="W680" ca="1">_xll.FDS($E$7,"P_PRICE("&amp;AK680&amp;",0,D,D)")</f>
        <v>50.17</v>
      </c>
      <c r="X680" s="24">
        <f t="shared" ca="1" si="178"/>
        <v>1.8625520744164792E-2</v>
      </c>
      <c r="Y680" s="24">
        <f t="shared" ca="1" si="179"/>
        <v>2.1757226371036831E-2</v>
      </c>
      <c r="Z680" s="24">
        <f t="shared" ca="1" si="180"/>
        <v>3.5216475114303147E-2</v>
      </c>
      <c r="AA680" s="24">
        <f t="shared" ca="1" si="181"/>
        <v>0.10934873976781589</v>
      </c>
      <c r="AB680" s="9" cm="1">
        <f t="array" aca="1" ref="AB680" ca="1">_xll.FDS($E$9,"P_PRICE("&amp;AG680&amp;",0,D,D)")</f>
        <v>4283.8500000000004</v>
      </c>
      <c r="AC680" s="9" cm="1">
        <f t="array" aca="1" ref="AC680" ca="1">_xll.FDS($E$9,"P_PRICE("&amp;AH680&amp;",0,D,D)")</f>
        <v>4205.5200000000004</v>
      </c>
      <c r="AD680" s="9" cm="1">
        <f t="array" aca="1" ref="AD680" ca="1">_xll.FDS($E$9,"P_PRICE("&amp;AI680&amp;",0,D,D)")</f>
        <v>4192.63</v>
      </c>
      <c r="AE680" s="9" cm="1">
        <f t="array" aca="1" ref="AE680" ca="1">_xll.FDS($E$9,"P_PRICE("&amp;AJ680&amp;",0,D,D)")</f>
        <v>4138.12</v>
      </c>
      <c r="AF680" s="9" cm="1">
        <f t="array" aca="1" ref="AF680" ca="1">_xll.FDS($E$9,"P_PRICE("&amp;AK680&amp;",0,D,D)")</f>
        <v>3861.59</v>
      </c>
      <c r="AG680" s="20">
        <f t="shared" ca="1" si="187"/>
        <v>45083</v>
      </c>
      <c r="AH680" s="22">
        <f t="shared" ca="1" si="182"/>
        <v>45076</v>
      </c>
      <c r="AI680" s="22">
        <f t="shared" ca="1" si="183"/>
        <v>45068</v>
      </c>
      <c r="AJ680" s="22">
        <f t="shared" ca="1" si="184"/>
        <v>45054</v>
      </c>
      <c r="AK680" s="22">
        <f t="shared" ca="1" si="185"/>
        <v>44995</v>
      </c>
      <c r="AL680" s="22">
        <f t="shared" ca="1" si="186"/>
        <v>44907</v>
      </c>
    </row>
    <row r="681" spans="4:38" x14ac:dyDescent="0.25">
      <c r="D681" s="6">
        <f ca="1"/>
        <v>45082</v>
      </c>
      <c r="E681" s="28" cm="1">
        <f t="array" aca="1" ref="E681" ca="1">_xll.FDS($E$7,"P_PRICE("&amp;D681&amp;",0,D,D)")</f>
        <v>48.35</v>
      </c>
      <c r="F681" s="29" cm="1">
        <f t="array" aca="1" ref="F681" ca="1">_xll.FDS($E$7,"P_BETA_LOCIDX("&amp;$AG681&amp;","&amp;$AL681&amp;",,"""&amp;$E$9&amp;""")")</f>
        <v>1.0295401</v>
      </c>
      <c r="G681" s="30">
        <f t="shared" ca="1" si="172"/>
        <v>-2.6154676840232056E-2</v>
      </c>
      <c r="H681" s="30">
        <f t="shared" ca="1" si="172"/>
        <v>-5.7520169145573216E-2</v>
      </c>
      <c r="I681" s="30">
        <f t="shared" ca="1" si="172"/>
        <v>-5.7466942840422232E-2</v>
      </c>
      <c r="J681" s="30">
        <f t="shared" ca="1" si="170"/>
        <v>-0.14275104044159209</v>
      </c>
      <c r="K681" s="30">
        <f t="shared" ca="1" si="173"/>
        <v>1.6730378540703212E-2</v>
      </c>
      <c r="L681" s="30">
        <f t="shared" ca="1" si="173"/>
        <v>2.0092337172648782E-2</v>
      </c>
      <c r="M681" s="30">
        <f t="shared" ca="1" si="173"/>
        <v>3.4234619608099072E-2</v>
      </c>
      <c r="N681" s="30">
        <f t="shared" ca="1" si="171"/>
        <v>9.3399880394403764E-2</v>
      </c>
      <c r="O681" s="30">
        <f t="shared" ca="1" si="174"/>
        <v>-9.4242982995288438E-3</v>
      </c>
      <c r="P681" s="30">
        <f t="shared" ca="1" si="175"/>
        <v>-3.742783197292443E-2</v>
      </c>
      <c r="Q681" s="30">
        <f t="shared" ca="1" si="176"/>
        <v>-2.323232323232316E-2</v>
      </c>
      <c r="R681" s="30">
        <f t="shared" ca="1" si="177"/>
        <v>-4.9351160047188314E-2</v>
      </c>
      <c r="S681" s="9" cm="1">
        <f t="array" aca="1" ref="S681" ca="1">_xll.FDS($E$7,"P_PRICE("&amp;AG681&amp;",0,D,D)")</f>
        <v>48.35</v>
      </c>
      <c r="T681" s="9" cm="1">
        <f t="array" aca="1" ref="T681" ca="1">_xll.FDS($E$7,"P_PRICE("&amp;AH681&amp;",0,D,D)")</f>
        <v>48.81</v>
      </c>
      <c r="U681" s="9" cm="1">
        <f t="array" aca="1" ref="U681" ca="1">_xll.FDS($E$7,"P_PRICE("&amp;AI681&amp;",0,D,D)")</f>
        <v>50.23</v>
      </c>
      <c r="V681" s="9" cm="1">
        <f t="array" aca="1" ref="V681" ca="1">_xll.FDS($E$7,"P_PRICE("&amp;AJ681&amp;",0,D,D)")</f>
        <v>49.5</v>
      </c>
      <c r="W681" s="9" cm="1">
        <f t="array" aca="1" ref="W681" ca="1">_xll.FDS($E$7,"P_PRICE("&amp;AK681&amp;",0,D,D)")</f>
        <v>50.86</v>
      </c>
      <c r="X681" s="24">
        <f t="shared" ca="1" si="178"/>
        <v>1.625034181835483E-2</v>
      </c>
      <c r="Y681" s="24">
        <f t="shared" ca="1" si="179"/>
        <v>1.9515837384720403E-2</v>
      </c>
      <c r="Z681" s="24">
        <f t="shared" ca="1" si="180"/>
        <v>3.3252342097310317E-2</v>
      </c>
      <c r="AA681" s="24">
        <f t="shared" ca="1" si="181"/>
        <v>9.0720002450029646E-2</v>
      </c>
      <c r="AB681" s="9" cm="1">
        <f t="array" aca="1" ref="AB681" ca="1">_xll.FDS($E$9,"P_PRICE("&amp;AG681&amp;",0,D,D)")</f>
        <v>4273.79</v>
      </c>
      <c r="AC681" s="9" cm="1">
        <f t="array" aca="1" ref="AC681" ca="1">_xll.FDS($E$9,"P_PRICE("&amp;AH681&amp;",0,D,D)")</f>
        <v>4205.45</v>
      </c>
      <c r="AD681" s="9" cm="1">
        <f t="array" aca="1" ref="AD681" ca="1">_xll.FDS($E$9,"P_PRICE("&amp;AI681&amp;",0,D,D)")</f>
        <v>4191.9799999999996</v>
      </c>
      <c r="AE681" s="9" cm="1">
        <f t="array" aca="1" ref="AE681" ca="1">_xll.FDS($E$9,"P_PRICE("&amp;AJ681&amp;",0,D,D)")</f>
        <v>4136.25</v>
      </c>
      <c r="AF681" s="9" cm="1">
        <f t="array" aca="1" ref="AF681" ca="1">_xll.FDS($E$9,"P_PRICE("&amp;AK681&amp;",0,D,D)")</f>
        <v>3918.32</v>
      </c>
      <c r="AG681" s="20">
        <f t="shared" ca="1" si="187"/>
        <v>45082</v>
      </c>
      <c r="AH681" s="22">
        <f t="shared" ca="1" si="182"/>
        <v>45072</v>
      </c>
      <c r="AI681" s="22">
        <f t="shared" ca="1" si="183"/>
        <v>45065</v>
      </c>
      <c r="AJ681" s="22">
        <f t="shared" ca="1" si="184"/>
        <v>45051</v>
      </c>
      <c r="AK681" s="22">
        <f t="shared" ca="1" si="185"/>
        <v>44994</v>
      </c>
      <c r="AL681" s="22">
        <f t="shared" ca="1" si="186"/>
        <v>44904</v>
      </c>
    </row>
    <row r="682" spans="4:38" x14ac:dyDescent="0.25">
      <c r="D682" s="6">
        <f ca="1"/>
        <v>45079</v>
      </c>
      <c r="E682" s="28" cm="1">
        <f t="array" aca="1" ref="E682" ca="1">_xll.FDS($E$7,"P_PRICE("&amp;D682&amp;",0,D,D)")</f>
        <v>49.06</v>
      </c>
      <c r="F682" s="29" cm="1">
        <f t="array" aca="1" ref="F682" ca="1">_xll.FDS($E$7,"P_BETA_LOCIDX("&amp;$AG682&amp;","&amp;$AL682&amp;",,"""&amp;$E$9&amp;""")")</f>
        <v>1.0204964999999999</v>
      </c>
      <c r="G682" s="30">
        <f t="shared" ca="1" si="172"/>
        <v>-1.8589091207684566E-2</v>
      </c>
      <c r="H682" s="30">
        <f t="shared" ca="1" si="172"/>
        <v>-4.008153120478402E-2</v>
      </c>
      <c r="I682" s="30">
        <f t="shared" ca="1" si="172"/>
        <v>-4.3188852918344879E-2</v>
      </c>
      <c r="J682" s="30">
        <f t="shared" ca="1" si="170"/>
        <v>-0.12693898651905777</v>
      </c>
      <c r="K682" s="30">
        <f t="shared" ca="1" si="173"/>
        <v>3.2225454844048235E-2</v>
      </c>
      <c r="L682" s="30">
        <f t="shared" ca="1" si="173"/>
        <v>2.0497198670811283E-2</v>
      </c>
      <c r="M682" s="30">
        <f t="shared" ca="1" si="173"/>
        <v>5.5570198357882718E-2</v>
      </c>
      <c r="N682" s="30">
        <f t="shared" ca="1" si="171"/>
        <v>7.4226107584900669E-2</v>
      </c>
      <c r="O682" s="30">
        <f t="shared" ca="1" si="174"/>
        <v>1.3636363636363669E-2</v>
      </c>
      <c r="P682" s="30">
        <f t="shared" ca="1" si="175"/>
        <v>-1.9584332533972737E-2</v>
      </c>
      <c r="Q682" s="30">
        <f t="shared" ca="1" si="176"/>
        <v>1.2381345439537839E-2</v>
      </c>
      <c r="R682" s="30">
        <f t="shared" ca="1" si="177"/>
        <v>-5.2712878934157104E-2</v>
      </c>
      <c r="S682" s="9" cm="1">
        <f t="array" aca="1" ref="S682" ca="1">_xll.FDS($E$7,"P_PRICE("&amp;AG682&amp;",0,D,D)")</f>
        <v>49.06</v>
      </c>
      <c r="T682" s="9" cm="1">
        <f t="array" aca="1" ref="T682" ca="1">_xll.FDS($E$7,"P_PRICE("&amp;AH682&amp;",0,D,D)")</f>
        <v>48.4</v>
      </c>
      <c r="U682" s="9" cm="1">
        <f t="array" aca="1" ref="U682" ca="1">_xll.FDS($E$7,"P_PRICE("&amp;AI682&amp;",0,D,D)")</f>
        <v>50.04</v>
      </c>
      <c r="V682" s="9" cm="1">
        <f t="array" aca="1" ref="V682" ca="1">_xll.FDS($E$7,"P_PRICE("&amp;AJ682&amp;",0,D,D)")</f>
        <v>48.46</v>
      </c>
      <c r="W682" s="9" cm="1">
        <f t="array" aca="1" ref="W682" ca="1">_xll.FDS($E$7,"P_PRICE("&amp;AK682&amp;",0,D,D)")</f>
        <v>51.79</v>
      </c>
      <c r="X682" s="24">
        <f t="shared" ca="1" si="178"/>
        <v>3.1578212021352581E-2</v>
      </c>
      <c r="Y682" s="24">
        <f t="shared" ca="1" si="179"/>
        <v>2.0085515894284089E-2</v>
      </c>
      <c r="Z682" s="24">
        <f t="shared" ca="1" si="180"/>
        <v>5.4454080300993413E-2</v>
      </c>
      <c r="AA682" s="24">
        <f t="shared" ca="1" si="181"/>
        <v>7.2735288739256498E-2</v>
      </c>
      <c r="AB682" s="9" cm="1">
        <f t="array" aca="1" ref="AB682" ca="1">_xll.FDS($E$9,"P_PRICE("&amp;AG682&amp;",0,D,D)")</f>
        <v>4282.37</v>
      </c>
      <c r="AC682" s="9" cm="1">
        <f t="array" aca="1" ref="AC682" ca="1">_xll.FDS($E$9,"P_PRICE("&amp;AH682&amp;",0,D,D)")</f>
        <v>4151.28</v>
      </c>
      <c r="AD682" s="9" cm="1">
        <f t="array" aca="1" ref="AD682" ca="1">_xll.FDS($E$9,"P_PRICE("&amp;AI682&amp;",0,D,D)")</f>
        <v>4198.05</v>
      </c>
      <c r="AE682" s="9" cm="1">
        <f t="array" aca="1" ref="AE682" ca="1">_xll.FDS($E$9,"P_PRICE("&amp;AJ682&amp;",0,D,D)")</f>
        <v>4061.22</v>
      </c>
      <c r="AF682" s="9" cm="1">
        <f t="array" aca="1" ref="AF682" ca="1">_xll.FDS($E$9,"P_PRICE("&amp;AK682&amp;",0,D,D)")</f>
        <v>3992.01</v>
      </c>
      <c r="AG682" s="20">
        <f t="shared" ca="1" si="187"/>
        <v>45079</v>
      </c>
      <c r="AH682" s="22">
        <f t="shared" ca="1" si="182"/>
        <v>45071</v>
      </c>
      <c r="AI682" s="22">
        <f t="shared" ca="1" si="183"/>
        <v>45064</v>
      </c>
      <c r="AJ682" s="22">
        <f t="shared" ca="1" si="184"/>
        <v>45050</v>
      </c>
      <c r="AK682" s="22">
        <f t="shared" ca="1" si="185"/>
        <v>44993</v>
      </c>
      <c r="AL682" s="22">
        <f t="shared" ca="1" si="186"/>
        <v>44903</v>
      </c>
    </row>
    <row r="683" spans="4:38" x14ac:dyDescent="0.25">
      <c r="D683" s="6">
        <f ca="1"/>
        <v>45078</v>
      </c>
      <c r="E683" s="28" cm="1">
        <f t="array" aca="1" ref="E683" ca="1">_xll.FDS($E$7,"P_PRICE("&amp;D683&amp;",0,D,D)")</f>
        <v>48.29</v>
      </c>
      <c r="F683" s="29" cm="1">
        <f t="array" aca="1" ref="F683" ca="1">_xll.FDS($E$7,"P_BETA_LOCIDX("&amp;$AG683&amp;","&amp;$AL683&amp;",,"""&amp;$E$9&amp;""")")</f>
        <v>1.0209007999999999</v>
      </c>
      <c r="G683" s="30">
        <f t="shared" ca="1" si="172"/>
        <v>-2.5412682783152302E-2</v>
      </c>
      <c r="H683" s="30">
        <f t="shared" ca="1" si="172"/>
        <v>-4.3260284940637918E-2</v>
      </c>
      <c r="I683" s="30">
        <f t="shared" ca="1" si="172"/>
        <v>-1.9504519018899401E-2</v>
      </c>
      <c r="J683" s="30">
        <f t="shared" ca="1" si="170"/>
        <v>-0.12059919788453491</v>
      </c>
      <c r="K683" s="30">
        <f t="shared" ca="1" si="173"/>
        <v>2.6241698327193658E-2</v>
      </c>
      <c r="L683" s="30">
        <f t="shared" ca="1" si="173"/>
        <v>1.5281218918093623E-2</v>
      </c>
      <c r="M683" s="30">
        <f t="shared" ca="1" si="173"/>
        <v>3.25106025095643E-2</v>
      </c>
      <c r="N683" s="30">
        <f t="shared" ca="1" si="171"/>
        <v>6.0093361308659422E-2</v>
      </c>
      <c r="O683" s="30">
        <f t="shared" ca="1" si="174"/>
        <v>8.2901554404135602E-4</v>
      </c>
      <c r="P683" s="30">
        <f t="shared" ca="1" si="175"/>
        <v>-2.7979066022544297E-2</v>
      </c>
      <c r="Q683" s="30">
        <f t="shared" ca="1" si="176"/>
        <v>1.3006083490664899E-2</v>
      </c>
      <c r="R683" s="30">
        <f t="shared" ca="1" si="177"/>
        <v>-6.0505836575875493E-2</v>
      </c>
      <c r="S683" s="9" cm="1">
        <f t="array" aca="1" ref="S683" ca="1">_xll.FDS($E$7,"P_PRICE("&amp;AG683&amp;",0,D,D)")</f>
        <v>48.29</v>
      </c>
      <c r="T683" s="9" cm="1">
        <f t="array" aca="1" ref="T683" ca="1">_xll.FDS($E$7,"P_PRICE("&amp;AH683&amp;",0,D,D)")</f>
        <v>48.25</v>
      </c>
      <c r="U683" s="9" cm="1">
        <f t="array" aca="1" ref="U683" ca="1">_xll.FDS($E$7,"P_PRICE("&amp;AI683&amp;",0,D,D)")</f>
        <v>49.68</v>
      </c>
      <c r="V683" s="9" cm="1">
        <f t="array" aca="1" ref="V683" ca="1">_xll.FDS($E$7,"P_PRICE("&amp;AJ683&amp;",0,D,D)")</f>
        <v>47.67</v>
      </c>
      <c r="W683" s="9" cm="1">
        <f t="array" aca="1" ref="W683" ca="1">_xll.FDS($E$7,"P_PRICE("&amp;AK683&amp;",0,D,D)")</f>
        <v>51.4</v>
      </c>
      <c r="X683" s="24">
        <f t="shared" ca="1" si="178"/>
        <v>2.5704454661210629E-2</v>
      </c>
      <c r="Y683" s="24">
        <f t="shared" ca="1" si="179"/>
        <v>1.4968368051130554E-2</v>
      </c>
      <c r="Z683" s="24">
        <f t="shared" ca="1" si="180"/>
        <v>3.1845016195074294E-2</v>
      </c>
      <c r="AA683" s="24">
        <f t="shared" ca="1" si="181"/>
        <v>5.8863075931235853E-2</v>
      </c>
      <c r="AB683" s="9" cm="1">
        <f t="array" aca="1" ref="AB683" ca="1">_xll.FDS($E$9,"P_PRICE("&amp;AG683&amp;",0,D,D)")</f>
        <v>4221.0200000000004</v>
      </c>
      <c r="AC683" s="9" cm="1">
        <f t="array" aca="1" ref="AC683" ca="1">_xll.FDS($E$9,"P_PRICE("&amp;AH683&amp;",0,D,D)")</f>
        <v>4115.24</v>
      </c>
      <c r="AD683" s="9" cm="1">
        <f t="array" aca="1" ref="AD683" ca="1">_xll.FDS($E$9,"P_PRICE("&amp;AI683&amp;",0,D,D)")</f>
        <v>4158.7700000000004</v>
      </c>
      <c r="AE683" s="9" cm="1">
        <f t="array" aca="1" ref="AE683" ca="1">_xll.FDS($E$9,"P_PRICE("&amp;AJ683&amp;",0,D,D)")</f>
        <v>4090.75</v>
      </c>
      <c r="AF683" s="9" cm="1">
        <f t="array" aca="1" ref="AF683" ca="1">_xll.FDS($E$9,"P_PRICE("&amp;AK683&amp;",0,D,D)")</f>
        <v>3986.37</v>
      </c>
      <c r="AG683" s="20">
        <f t="shared" ca="1" si="187"/>
        <v>45078</v>
      </c>
      <c r="AH683" s="22">
        <f t="shared" ca="1" si="182"/>
        <v>45070</v>
      </c>
      <c r="AI683" s="22">
        <f t="shared" ca="1" si="183"/>
        <v>45063</v>
      </c>
      <c r="AJ683" s="22">
        <f t="shared" ca="1" si="184"/>
        <v>45049</v>
      </c>
      <c r="AK683" s="22">
        <f t="shared" ca="1" si="185"/>
        <v>44992</v>
      </c>
      <c r="AL683" s="22">
        <f t="shared" ca="1" si="186"/>
        <v>44902</v>
      </c>
    </row>
    <row r="684" spans="4:38" x14ac:dyDescent="0.25">
      <c r="D684" s="6">
        <f ca="1"/>
        <v>45077</v>
      </c>
      <c r="E684" s="28" cm="1">
        <f t="array" aca="1" ref="E684" ca="1">_xll.FDS($E$7,"P_PRICE("&amp;D684&amp;",0,D,D)")</f>
        <v>47.54</v>
      </c>
      <c r="F684" s="29" cm="1">
        <f t="array" aca="1" ref="F684" ca="1">_xll.FDS($E$7,"P_BETA_LOCIDX("&amp;$AG684&amp;","&amp;$AL684&amp;",,"""&amp;$E$9&amp;""")")</f>
        <v>1.0073582000000001</v>
      </c>
      <c r="G684" s="30">
        <f t="shared" ca="1" si="172"/>
        <v>-3.2943038396483895E-2</v>
      </c>
      <c r="H684" s="30">
        <f t="shared" ca="1" si="172"/>
        <v>-4.9503330653606015E-2</v>
      </c>
      <c r="I684" s="30">
        <f t="shared" ca="1" si="172"/>
        <v>-2.3903380752986494E-2</v>
      </c>
      <c r="J684" s="30">
        <f t="shared" ca="1" si="170"/>
        <v>-0.1128067800138656</v>
      </c>
      <c r="K684" s="30">
        <f t="shared" ca="1" si="173"/>
        <v>8.3226034354661627E-3</v>
      </c>
      <c r="L684" s="30">
        <f t="shared" ca="1" si="173"/>
        <v>1.7140212395922224E-2</v>
      </c>
      <c r="M684" s="30">
        <f t="shared" ca="1" si="173"/>
        <v>1.4732893049776886E-2</v>
      </c>
      <c r="N684" s="30">
        <f t="shared" ca="1" si="171"/>
        <v>3.2698420880738627E-2</v>
      </c>
      <c r="O684" s="30">
        <f t="shared" ca="1" si="174"/>
        <v>-2.4620434961017734E-2</v>
      </c>
      <c r="P684" s="30">
        <f t="shared" ca="1" si="175"/>
        <v>-3.2363118257683787E-2</v>
      </c>
      <c r="Q684" s="30">
        <f t="shared" ca="1" si="176"/>
        <v>-9.1704877032096066E-3</v>
      </c>
      <c r="R684" s="30">
        <f t="shared" ca="1" si="177"/>
        <v>-8.0108359133126972E-2</v>
      </c>
      <c r="S684" s="9" cm="1">
        <f t="array" aca="1" ref="S684" ca="1">_xll.FDS($E$7,"P_PRICE("&amp;AG684&amp;",0,D,D)")</f>
        <v>47.54</v>
      </c>
      <c r="T684" s="9" cm="1">
        <f t="array" aca="1" ref="T684" ca="1">_xll.FDS($E$7,"P_PRICE("&amp;AH684&amp;",0,D,D)")</f>
        <v>48.74</v>
      </c>
      <c r="U684" s="9" cm="1">
        <f t="array" aca="1" ref="U684" ca="1">_xll.FDS($E$7,"P_PRICE("&amp;AI684&amp;",0,D,D)")</f>
        <v>49.13</v>
      </c>
      <c r="V684" s="9" cm="1">
        <f t="array" aca="1" ref="V684" ca="1">_xll.FDS($E$7,"P_PRICE("&amp;AJ684&amp;",0,D,D)")</f>
        <v>47.98</v>
      </c>
      <c r="W684" s="9" cm="1">
        <f t="array" aca="1" ref="W684" ca="1">_xll.FDS($E$7,"P_PRICE("&amp;AK684&amp;",0,D,D)")</f>
        <v>51.68</v>
      </c>
      <c r="X684" s="24">
        <f t="shared" ca="1" si="178"/>
        <v>8.2618113750065891E-3</v>
      </c>
      <c r="Y684" s="24">
        <f t="shared" ca="1" si="179"/>
        <v>1.7015012530718687E-2</v>
      </c>
      <c r="Z684" s="24">
        <f t="shared" ca="1" si="180"/>
        <v>1.4625277334097131E-2</v>
      </c>
      <c r="AA684" s="24">
        <f t="shared" ca="1" si="181"/>
        <v>3.2459576822562841E-2</v>
      </c>
      <c r="AB684" s="9" cm="1">
        <f t="array" aca="1" ref="AB684" ca="1">_xll.FDS($E$9,"P_PRICE("&amp;AG684&amp;",0,D,D)")</f>
        <v>4179.83</v>
      </c>
      <c r="AC684" s="9" cm="1">
        <f t="array" aca="1" ref="AC684" ca="1">_xll.FDS($E$9,"P_PRICE("&amp;AH684&amp;",0,D,D)")</f>
        <v>4145.58</v>
      </c>
      <c r="AD684" s="9" cm="1">
        <f t="array" aca="1" ref="AD684" ca="1">_xll.FDS($E$9,"P_PRICE("&amp;AI684&amp;",0,D,D)")</f>
        <v>4109.8999999999996</v>
      </c>
      <c r="AE684" s="9" cm="1">
        <f t="array" aca="1" ref="AE684" ca="1">_xll.FDS($E$9,"P_PRICE("&amp;AJ684&amp;",0,D,D)")</f>
        <v>4119.58</v>
      </c>
      <c r="AF684" s="9" cm="1">
        <f t="array" aca="1" ref="AF684" ca="1">_xll.FDS($E$9,"P_PRICE("&amp;AK684&amp;",0,D,D)")</f>
        <v>4048.42</v>
      </c>
      <c r="AG684" s="20">
        <f t="shared" ca="1" si="187"/>
        <v>45077</v>
      </c>
      <c r="AH684" s="22">
        <f t="shared" ca="1" si="182"/>
        <v>45069</v>
      </c>
      <c r="AI684" s="22">
        <f t="shared" ca="1" si="183"/>
        <v>45062</v>
      </c>
      <c r="AJ684" s="22">
        <f t="shared" ca="1" si="184"/>
        <v>45048</v>
      </c>
      <c r="AK684" s="22">
        <f t="shared" ca="1" si="185"/>
        <v>44991</v>
      </c>
      <c r="AL684" s="22">
        <f t="shared" ca="1" si="186"/>
        <v>44901</v>
      </c>
    </row>
    <row r="685" spans="4:38" x14ac:dyDescent="0.25">
      <c r="D685" s="6">
        <f ca="1"/>
        <v>45076</v>
      </c>
      <c r="E685" s="28" cm="1">
        <f t="array" aca="1" ref="E685" ca="1">_xll.FDS($E$7,"P_PRICE("&amp;D685&amp;",0,D,D)")</f>
        <v>48.37</v>
      </c>
      <c r="F685" s="29" cm="1">
        <f t="array" aca="1" ref="F685" ca="1">_xll.FDS($E$7,"P_BETA_LOCIDX("&amp;$AG685&amp;","&amp;$AL685&amp;",,"""&amp;$E$9&amp;""")")</f>
        <v>1.0032964</v>
      </c>
      <c r="G685" s="30">
        <f t="shared" ca="1" si="172"/>
        <v>-3.7808185188315246E-2</v>
      </c>
      <c r="H685" s="30">
        <f t="shared" ca="1" si="172"/>
        <v>-3.9820511193823405E-2</v>
      </c>
      <c r="I685" s="30">
        <f t="shared" ca="1" si="172"/>
        <v>-7.406511134138689E-3</v>
      </c>
      <c r="J685" s="30">
        <f t="shared" ca="1" si="170"/>
        <v>-0.10333499479034194</v>
      </c>
      <c r="K685" s="30">
        <f t="shared" ca="1" si="173"/>
        <v>3.0845771260521993E-3</v>
      </c>
      <c r="L685" s="30">
        <f t="shared" ca="1" si="173"/>
        <v>1.6794859810264465E-2</v>
      </c>
      <c r="M685" s="30">
        <f t="shared" ca="1" si="173"/>
        <v>9.063168827242769E-3</v>
      </c>
      <c r="N685" s="30">
        <f t="shared" ca="1" si="171"/>
        <v>3.9649357933973416E-2</v>
      </c>
      <c r="O685" s="30">
        <f t="shared" ca="1" si="174"/>
        <v>-3.4723608062263045E-2</v>
      </c>
      <c r="P685" s="30">
        <f t="shared" ca="1" si="175"/>
        <v>-2.3025651383558943E-2</v>
      </c>
      <c r="Q685" s="30">
        <f t="shared" ca="1" si="176"/>
        <v>1.65665769310408E-3</v>
      </c>
      <c r="R685" s="30">
        <f t="shared" ca="1" si="177"/>
        <v>-6.3685636856368522E-2</v>
      </c>
      <c r="S685" s="9" cm="1">
        <f t="array" aca="1" ref="S685" ca="1">_xll.FDS($E$7,"P_PRICE("&amp;AG685&amp;",0,D,D)")</f>
        <v>48.37</v>
      </c>
      <c r="T685" s="9" cm="1">
        <f t="array" aca="1" ref="T685" ca="1">_xll.FDS($E$7,"P_PRICE("&amp;AH685&amp;",0,D,D)")</f>
        <v>50.11</v>
      </c>
      <c r="U685" s="9" cm="1">
        <f t="array" aca="1" ref="U685" ca="1">_xll.FDS($E$7,"P_PRICE("&amp;AI685&amp;",0,D,D)")</f>
        <v>49.51</v>
      </c>
      <c r="V685" s="9" cm="1">
        <f t="array" aca="1" ref="V685" ca="1">_xll.FDS($E$7,"P_PRICE("&amp;AJ685&amp;",0,D,D)")</f>
        <v>48.29</v>
      </c>
      <c r="W685" s="9" cm="1">
        <f t="array" aca="1" ref="W685" ca="1">_xll.FDS($E$7,"P_PRICE("&amp;AK685&amp;",0,D,D)")</f>
        <v>51.66</v>
      </c>
      <c r="X685" s="24">
        <f t="shared" ca="1" si="178"/>
        <v>3.074442533684163E-3</v>
      </c>
      <c r="Y685" s="24">
        <f t="shared" ca="1" si="179"/>
        <v>1.6739679131973828E-2</v>
      </c>
      <c r="Z685" s="24">
        <f t="shared" ca="1" si="180"/>
        <v>9.0333911566340408E-3</v>
      </c>
      <c r="AA685" s="24">
        <f t="shared" ca="1" si="181"/>
        <v>3.951908721487829E-2</v>
      </c>
      <c r="AB685" s="9" cm="1">
        <f t="array" aca="1" ref="AB685" ca="1">_xll.FDS($E$9,"P_PRICE("&amp;AG685&amp;",0,D,D)")</f>
        <v>4205.5200000000004</v>
      </c>
      <c r="AC685" s="9" cm="1">
        <f t="array" aca="1" ref="AC685" ca="1">_xll.FDS($E$9,"P_PRICE("&amp;AH685&amp;",0,D,D)")</f>
        <v>4192.63</v>
      </c>
      <c r="AD685" s="9" cm="1">
        <f t="array" aca="1" ref="AD685" ca="1">_xll.FDS($E$9,"P_PRICE("&amp;AI685&amp;",0,D,D)")</f>
        <v>4136.28</v>
      </c>
      <c r="AE685" s="9" cm="1">
        <f t="array" aca="1" ref="AE685" ca="1">_xll.FDS($E$9,"P_PRICE("&amp;AJ685&amp;",0,D,D)")</f>
        <v>4167.87</v>
      </c>
      <c r="AF685" s="9" cm="1">
        <f t="array" aca="1" ref="AF685" ca="1">_xll.FDS($E$9,"P_PRICE("&amp;AK685&amp;",0,D,D)")</f>
        <v>4045.64</v>
      </c>
      <c r="AG685" s="20">
        <f t="shared" ca="1" si="187"/>
        <v>45076</v>
      </c>
      <c r="AH685" s="22">
        <f t="shared" ca="1" si="182"/>
        <v>45068</v>
      </c>
      <c r="AI685" s="22">
        <f t="shared" ca="1" si="183"/>
        <v>45061</v>
      </c>
      <c r="AJ685" s="22">
        <f t="shared" ca="1" si="184"/>
        <v>45047</v>
      </c>
      <c r="AK685" s="22">
        <f t="shared" ca="1" si="185"/>
        <v>44988</v>
      </c>
      <c r="AL685" s="22">
        <f t="shared" ca="1" si="186"/>
        <v>44900</v>
      </c>
    </row>
    <row r="686" spans="4:38" x14ac:dyDescent="0.25">
      <c r="D686" s="6">
        <f ca="1"/>
        <v>45072</v>
      </c>
      <c r="E686" s="28" cm="1">
        <f t="array" aca="1" ref="E686" ca="1">_xll.FDS($E$7,"P_PRICE("&amp;D686&amp;",0,D,D)")</f>
        <v>48.81</v>
      </c>
      <c r="F686" s="29" cm="1">
        <f t="array" aca="1" ref="F686" ca="1">_xll.FDS($E$7,"P_BETA_LOCIDX("&amp;$AG686&amp;","&amp;$AL686&amp;",,"""&amp;$E$9&amp;""")")</f>
        <v>1.0025606</v>
      </c>
      <c r="G686" s="30">
        <f t="shared" ca="1" si="172"/>
        <v>-3.1491464803033976E-2</v>
      </c>
      <c r="H686" s="30">
        <f t="shared" ca="1" si="172"/>
        <v>-2.3251787325425474E-2</v>
      </c>
      <c r="I686" s="30">
        <f t="shared" ca="1" si="172"/>
        <v>-2.2573127214706775E-3</v>
      </c>
      <c r="J686" s="30">
        <f t="shared" ca="1" si="170"/>
        <v>-0.11451725101340388</v>
      </c>
      <c r="K686" s="30">
        <f t="shared" ca="1" si="173"/>
        <v>3.2215066107187146E-3</v>
      </c>
      <c r="L686" s="30">
        <f t="shared" ca="1" si="173"/>
        <v>1.9780982915462306E-2</v>
      </c>
      <c r="M686" s="30">
        <f t="shared" ca="1" si="173"/>
        <v>8.6490652987902868E-3</v>
      </c>
      <c r="N686" s="30">
        <f t="shared" ca="1" si="171"/>
        <v>5.6431569809235631E-2</v>
      </c>
      <c r="O686" s="30">
        <f t="shared" ca="1" si="174"/>
        <v>-2.8269958192315259E-2</v>
      </c>
      <c r="P686" s="30">
        <f t="shared" ca="1" si="175"/>
        <v>-3.4708044099631685E-3</v>
      </c>
      <c r="Q686" s="30">
        <f t="shared" ca="1" si="176"/>
        <v>6.3917525773196093E-3</v>
      </c>
      <c r="R686" s="30">
        <f t="shared" ca="1" si="177"/>
        <v>-5.8085681204168238E-2</v>
      </c>
      <c r="S686" s="9" cm="1">
        <f t="array" aca="1" ref="S686" ca="1">_xll.FDS($E$7,"P_PRICE("&amp;AG686&amp;",0,D,D)")</f>
        <v>48.81</v>
      </c>
      <c r="T686" s="9" cm="1">
        <f t="array" aca="1" ref="T686" ca="1">_xll.FDS($E$7,"P_PRICE("&amp;AH686&amp;",0,D,D)")</f>
        <v>50.23</v>
      </c>
      <c r="U686" s="9" cm="1">
        <f t="array" aca="1" ref="U686" ca="1">_xll.FDS($E$7,"P_PRICE("&amp;AI686&amp;",0,D,D)")</f>
        <v>48.98</v>
      </c>
      <c r="V686" s="9" cm="1">
        <f t="array" aca="1" ref="V686" ca="1">_xll.FDS($E$7,"P_PRICE("&amp;AJ686&amp;",0,D,D)")</f>
        <v>48.5</v>
      </c>
      <c r="W686" s="9" cm="1">
        <f t="array" aca="1" ref="W686" ca="1">_xll.FDS($E$7,"P_PRICE("&amp;AK686&amp;",0,D,D)")</f>
        <v>51.82</v>
      </c>
      <c r="X686" s="24">
        <f t="shared" ca="1" si="178"/>
        <v>3.2132786893068754E-3</v>
      </c>
      <c r="Y686" s="24">
        <f t="shared" ca="1" si="179"/>
        <v>1.9730461096777896E-2</v>
      </c>
      <c r="Z686" s="24">
        <f t="shared" ca="1" si="180"/>
        <v>8.6269750664351719E-3</v>
      </c>
      <c r="AA686" s="24">
        <f t="shared" ca="1" si="181"/>
        <v>5.6287440189885407E-2</v>
      </c>
      <c r="AB686" s="9" cm="1">
        <f t="array" aca="1" ref="AB686" ca="1">_xll.FDS($E$9,"P_PRICE("&amp;AG686&amp;",0,D,D)")</f>
        <v>4205.45</v>
      </c>
      <c r="AC686" s="9" cm="1">
        <f t="array" aca="1" ref="AC686" ca="1">_xll.FDS($E$9,"P_PRICE("&amp;AH686&amp;",0,D,D)")</f>
        <v>4191.9799999999996</v>
      </c>
      <c r="AD686" s="9" cm="1">
        <f t="array" aca="1" ref="AD686" ca="1">_xll.FDS($E$9,"P_PRICE("&amp;AI686&amp;",0,D,D)")</f>
        <v>4124.08</v>
      </c>
      <c r="AE686" s="9" cm="1">
        <f t="array" aca="1" ref="AE686" ca="1">_xll.FDS($E$9,"P_PRICE("&amp;AJ686&amp;",0,D,D)")</f>
        <v>4169.4799999999996</v>
      </c>
      <c r="AF686" s="9" cm="1">
        <f t="array" aca="1" ref="AF686" ca="1">_xll.FDS($E$9,"P_PRICE("&amp;AK686&amp;",0,D,D)")</f>
        <v>3981.35</v>
      </c>
      <c r="AG686" s="20">
        <f t="shared" ca="1" si="187"/>
        <v>45072</v>
      </c>
      <c r="AH686" s="22">
        <f t="shared" ca="1" si="182"/>
        <v>45065</v>
      </c>
      <c r="AI686" s="22">
        <f t="shared" ca="1" si="183"/>
        <v>45058</v>
      </c>
      <c r="AJ686" s="22">
        <f t="shared" ca="1" si="184"/>
        <v>45044</v>
      </c>
      <c r="AK686" s="22">
        <f t="shared" ca="1" si="185"/>
        <v>44987</v>
      </c>
      <c r="AL686" s="22">
        <f t="shared" ca="1" si="186"/>
        <v>44897</v>
      </c>
    </row>
    <row r="687" spans="4:38" x14ac:dyDescent="0.25">
      <c r="D687" s="6">
        <f ca="1"/>
        <v>45071</v>
      </c>
      <c r="E687" s="28" cm="1">
        <f t="array" aca="1" ref="E687" ca="1">_xll.FDS($E$7,"P_PRICE("&amp;D687&amp;",0,D,D)")</f>
        <v>48.4</v>
      </c>
      <c r="F687" s="29" cm="1">
        <f t="array" aca="1" ref="F687" ca="1">_xll.FDS($E$7,"P_BETA_LOCIDX("&amp;$AG687&amp;","&amp;$AL687&amp;",,"""&amp;$E$9&amp;""")")</f>
        <v>1.0089326000000001</v>
      </c>
      <c r="G687" s="30">
        <f t="shared" ca="1" si="172"/>
        <v>-2.153337704911127E-2</v>
      </c>
      <c r="H687" s="30">
        <f t="shared" ca="1" si="172"/>
        <v>-3.1595020939255071E-2</v>
      </c>
      <c r="I687" s="30">
        <f t="shared" ca="1" si="172"/>
        <v>-8.0017888576705328E-3</v>
      </c>
      <c r="J687" s="30">
        <f t="shared" ca="1" si="170"/>
        <v>-3.1232984922108652E-2</v>
      </c>
      <c r="K687" s="30">
        <f t="shared" ca="1" si="173"/>
        <v>-1.1240403926108608E-2</v>
      </c>
      <c r="L687" s="30">
        <f t="shared" ca="1" si="173"/>
        <v>5.0463483728833474E-3</v>
      </c>
      <c r="M687" s="30">
        <f t="shared" ca="1" si="173"/>
        <v>3.8865625202218804E-3</v>
      </c>
      <c r="N687" s="30">
        <f t="shared" ca="1" si="171"/>
        <v>5.1039137471623884E-2</v>
      </c>
      <c r="O687" s="30">
        <f t="shared" ca="1" si="174"/>
        <v>-3.2773780975219879E-2</v>
      </c>
      <c r="P687" s="30">
        <f t="shared" ca="1" si="175"/>
        <v>-2.6548672566371723E-2</v>
      </c>
      <c r="Q687" s="30">
        <f t="shared" ca="1" si="176"/>
        <v>-4.115226337448652E-3</v>
      </c>
      <c r="R687" s="30">
        <f t="shared" ca="1" si="177"/>
        <v>1.9806152549515232E-2</v>
      </c>
      <c r="S687" s="9" cm="1">
        <f t="array" aca="1" ref="S687" ca="1">_xll.FDS($E$7,"P_PRICE("&amp;AG687&amp;",0,D,D)")</f>
        <v>48.4</v>
      </c>
      <c r="T687" s="9" cm="1">
        <f t="array" aca="1" ref="T687" ca="1">_xll.FDS($E$7,"P_PRICE("&amp;AH687&amp;",0,D,D)")</f>
        <v>50.04</v>
      </c>
      <c r="U687" s="9" cm="1">
        <f t="array" aca="1" ref="U687" ca="1">_xll.FDS($E$7,"P_PRICE("&amp;AI687&amp;",0,D,D)")</f>
        <v>49.72</v>
      </c>
      <c r="V687" s="9" cm="1">
        <f t="array" aca="1" ref="V687" ca="1">_xll.FDS($E$7,"P_PRICE("&amp;AJ687&amp;",0,D,D)")</f>
        <v>48.6</v>
      </c>
      <c r="W687" s="9" cm="1">
        <f t="array" aca="1" ref="W687" ca="1">_xll.FDS($E$7,"P_PRICE("&amp;AK687&amp;",0,D,D)")</f>
        <v>47.46</v>
      </c>
      <c r="X687" s="24">
        <f t="shared" ca="1" si="178"/>
        <v>-1.1140886840318776E-2</v>
      </c>
      <c r="Y687" s="24">
        <f t="shared" ca="1" si="179"/>
        <v>5.0016704514090904E-3</v>
      </c>
      <c r="Z687" s="24">
        <f t="shared" ca="1" si="180"/>
        <v>3.8521527802966027E-3</v>
      </c>
      <c r="AA687" s="24">
        <f t="shared" ca="1" si="181"/>
        <v>5.0587261697782271E-2</v>
      </c>
      <c r="AB687" s="9" cm="1">
        <f t="array" aca="1" ref="AB687" ca="1">_xll.FDS($E$9,"P_PRICE("&amp;AG687&amp;",0,D,D)")</f>
        <v>4151.28</v>
      </c>
      <c r="AC687" s="9" cm="1">
        <f t="array" aca="1" ref="AC687" ca="1">_xll.FDS($E$9,"P_PRICE("&amp;AH687&amp;",0,D,D)")</f>
        <v>4198.05</v>
      </c>
      <c r="AD687" s="9" cm="1">
        <f t="array" aca="1" ref="AD687" ca="1">_xll.FDS($E$9,"P_PRICE("&amp;AI687&amp;",0,D,D)")</f>
        <v>4130.62</v>
      </c>
      <c r="AE687" s="9" cm="1">
        <f t="array" aca="1" ref="AE687" ca="1">_xll.FDS($E$9,"P_PRICE("&amp;AJ687&amp;",0,D,D)")</f>
        <v>4135.3500000000004</v>
      </c>
      <c r="AF687" s="9" cm="1">
        <f t="array" aca="1" ref="AF687" ca="1">_xll.FDS($E$9,"P_PRICE("&amp;AK687&amp;",0,D,D)")</f>
        <v>3951.39</v>
      </c>
      <c r="AG687" s="20">
        <f t="shared" ca="1" si="187"/>
        <v>45071</v>
      </c>
      <c r="AH687" s="22">
        <f t="shared" ca="1" si="182"/>
        <v>45064</v>
      </c>
      <c r="AI687" s="22">
        <f t="shared" ca="1" si="183"/>
        <v>45057</v>
      </c>
      <c r="AJ687" s="22">
        <f t="shared" ca="1" si="184"/>
        <v>45043</v>
      </c>
      <c r="AK687" s="22">
        <f t="shared" ca="1" si="185"/>
        <v>44986</v>
      </c>
      <c r="AL687" s="22">
        <f t="shared" ca="1" si="186"/>
        <v>44896</v>
      </c>
    </row>
    <row r="688" spans="4:38" x14ac:dyDescent="0.25">
      <c r="D688" s="6">
        <f ca="1"/>
        <v>45070</v>
      </c>
      <c r="E688" s="28" cm="1">
        <f t="array" aca="1" ref="E688" ca="1">_xll.FDS($E$7,"P_PRICE("&amp;D688&amp;",0,D,D)")</f>
        <v>48.25</v>
      </c>
      <c r="F688" s="29" cm="1">
        <f t="array" aca="1" ref="F688" ca="1">_xll.FDS($E$7,"P_BETA_LOCIDX("&amp;$AG688&amp;","&amp;$AL688&amp;",,"""&amp;$E$9&amp;""")")</f>
        <v>0.95411414000000005</v>
      </c>
      <c r="G688" s="30">
        <f t="shared" ca="1" si="172"/>
        <v>-1.8797470873149088E-2</v>
      </c>
      <c r="H688" s="30">
        <f t="shared" ca="1" si="172"/>
        <v>-1.7916294293953101E-2</v>
      </c>
      <c r="I688" s="30">
        <f t="shared" ca="1" si="172"/>
        <v>-1.4352058455566908E-2</v>
      </c>
      <c r="J688" s="30">
        <f t="shared" ca="1" si="170"/>
        <v>-1.4999360423682974E-2</v>
      </c>
      <c r="K688" s="30">
        <f t="shared" ca="1" si="173"/>
        <v>-9.9867481284612349E-3</v>
      </c>
      <c r="L688" s="30">
        <f t="shared" ca="1" si="173"/>
        <v>-5.165301170715824E-3</v>
      </c>
      <c r="M688" s="30">
        <f t="shared" ca="1" si="173"/>
        <v>1.3937722429049382E-2</v>
      </c>
      <c r="N688" s="30">
        <f t="shared" ca="1" si="171"/>
        <v>3.4868309905822105E-2</v>
      </c>
      <c r="O688" s="30">
        <f t="shared" ca="1" si="174"/>
        <v>-2.8784219001610323E-2</v>
      </c>
      <c r="P688" s="30">
        <f t="shared" ca="1" si="175"/>
        <v>-2.3081595464668925E-2</v>
      </c>
      <c r="Q688" s="30">
        <f t="shared" ca="1" si="176"/>
        <v>-4.1433602651752555E-4</v>
      </c>
      <c r="R688" s="30">
        <f t="shared" ca="1" si="177"/>
        <v>1.9868949482139131E-2</v>
      </c>
      <c r="S688" s="9" cm="1">
        <f t="array" aca="1" ref="S688" ca="1">_xll.FDS($E$7,"P_PRICE("&amp;AG688&amp;",0,D,D)")</f>
        <v>48.25</v>
      </c>
      <c r="T688" s="9" cm="1">
        <f t="array" aca="1" ref="T688" ca="1">_xll.FDS($E$7,"P_PRICE("&amp;AH688&amp;",0,D,D)")</f>
        <v>49.68</v>
      </c>
      <c r="U688" s="9" cm="1">
        <f t="array" aca="1" ref="U688" ca="1">_xll.FDS($E$7,"P_PRICE("&amp;AI688&amp;",0,D,D)")</f>
        <v>49.39</v>
      </c>
      <c r="V688" s="9" cm="1">
        <f t="array" aca="1" ref="V688" ca="1">_xll.FDS($E$7,"P_PRICE("&amp;AJ688&amp;",0,D,D)")</f>
        <v>48.27</v>
      </c>
      <c r="W688" s="9" cm="1">
        <f t="array" aca="1" ref="W688" ca="1">_xll.FDS($E$7,"P_PRICE("&amp;AK688&amp;",0,D,D)")</f>
        <v>47.31</v>
      </c>
      <c r="X688" s="24">
        <f t="shared" ca="1" si="178"/>
        <v>-1.0467037128766621E-2</v>
      </c>
      <c r="Y688" s="24">
        <f t="shared" ca="1" si="179"/>
        <v>-5.4137140978917087E-3</v>
      </c>
      <c r="Z688" s="24">
        <f t="shared" ca="1" si="180"/>
        <v>1.4608024181519186E-2</v>
      </c>
      <c r="AA688" s="24">
        <f t="shared" ca="1" si="181"/>
        <v>3.6545218694507664E-2</v>
      </c>
      <c r="AB688" s="9" cm="1">
        <f t="array" aca="1" ref="AB688" ca="1">_xll.FDS($E$9,"P_PRICE("&amp;AG688&amp;",0,D,D)")</f>
        <v>4115.24</v>
      </c>
      <c r="AC688" s="9" cm="1">
        <f t="array" aca="1" ref="AC688" ca="1">_xll.FDS($E$9,"P_PRICE("&amp;AH688&amp;",0,D,D)")</f>
        <v>4158.7700000000004</v>
      </c>
      <c r="AD688" s="9" cm="1">
        <f t="array" aca="1" ref="AD688" ca="1">_xll.FDS($E$9,"P_PRICE("&amp;AI688&amp;",0,D,D)")</f>
        <v>4137.6400000000003</v>
      </c>
      <c r="AE688" s="9" cm="1">
        <f t="array" aca="1" ref="AE688" ca="1">_xll.FDS($E$9,"P_PRICE("&amp;AJ688&amp;",0,D,D)")</f>
        <v>4055.99</v>
      </c>
      <c r="AF688" s="9" cm="1">
        <f t="array" aca="1" ref="AF688" ca="1">_xll.FDS($E$9,"P_PRICE("&amp;AK688&amp;",0,D,D)")</f>
        <v>3970.15</v>
      </c>
      <c r="AG688" s="20">
        <f t="shared" ca="1" si="187"/>
        <v>45070</v>
      </c>
      <c r="AH688" s="22">
        <f t="shared" ca="1" si="182"/>
        <v>45063</v>
      </c>
      <c r="AI688" s="22">
        <f t="shared" ca="1" si="183"/>
        <v>45056</v>
      </c>
      <c r="AJ688" s="22">
        <f t="shared" ca="1" si="184"/>
        <v>45042</v>
      </c>
      <c r="AK688" s="22">
        <f t="shared" ca="1" si="185"/>
        <v>44985</v>
      </c>
      <c r="AL688" s="22">
        <f t="shared" ca="1" si="186"/>
        <v>44895</v>
      </c>
    </row>
    <row r="689" spans="4:38" x14ac:dyDescent="0.25">
      <c r="D689" s="6">
        <f ca="1"/>
        <v>45069</v>
      </c>
      <c r="E689" s="28" cm="1">
        <f t="array" aca="1" ref="E689" ca="1">_xll.FDS($E$7,"P_PRICE("&amp;D689&amp;",0,D,D)")</f>
        <v>48.74</v>
      </c>
      <c r="F689" s="29" cm="1">
        <f t="array" aca="1" ref="F689" ca="1">_xll.FDS($E$7,"P_BETA_LOCIDX("&amp;$AG689&amp;","&amp;$AL689&amp;",,"""&amp;$E$9&amp;""")")</f>
        <v>0.94944209999999996</v>
      </c>
      <c r="G689" s="30">
        <f t="shared" ca="1" si="172"/>
        <v>-1.6180682563723667E-2</v>
      </c>
      <c r="H689" s="30">
        <f t="shared" ca="1" si="172"/>
        <v>-1.8448023507083314E-2</v>
      </c>
      <c r="I689" s="30">
        <f t="shared" ca="1" si="172"/>
        <v>-3.3591137766378162E-2</v>
      </c>
      <c r="J689" s="30">
        <f t="shared" ca="1" si="170"/>
        <v>-3.2442692239415122E-3</v>
      </c>
      <c r="K689" s="30">
        <f t="shared" ca="1" si="173"/>
        <v>8.2425592174993224E-3</v>
      </c>
      <c r="L689" s="30">
        <f t="shared" ca="1" si="173"/>
        <v>6.0873345506497045E-3</v>
      </c>
      <c r="M689" s="30">
        <f t="shared" ca="1" si="173"/>
        <v>1.7244013649324746E-2</v>
      </c>
      <c r="N689" s="30">
        <f t="shared" ca="1" si="171"/>
        <v>3.894337674625338E-2</v>
      </c>
      <c r="O689" s="30">
        <f t="shared" ca="1" si="174"/>
        <v>-7.9381233462243461E-3</v>
      </c>
      <c r="P689" s="30">
        <f t="shared" ca="1" si="175"/>
        <v>-1.2360688956433608E-2</v>
      </c>
      <c r="Q689" s="30">
        <f t="shared" ca="1" si="176"/>
        <v>-1.6347124117053413E-2</v>
      </c>
      <c r="R689" s="30">
        <f t="shared" ca="1" si="177"/>
        <v>3.5699107522311868E-2</v>
      </c>
      <c r="S689" s="9" cm="1">
        <f t="array" aca="1" ref="S689" ca="1">_xll.FDS($E$7,"P_PRICE("&amp;AG689&amp;",0,D,D)")</f>
        <v>48.74</v>
      </c>
      <c r="T689" s="9" cm="1">
        <f t="array" aca="1" ref="T689" ca="1">_xll.FDS($E$7,"P_PRICE("&amp;AH689&amp;",0,D,D)")</f>
        <v>49.13</v>
      </c>
      <c r="U689" s="9" cm="1">
        <f t="array" aca="1" ref="U689" ca="1">_xll.FDS($E$7,"P_PRICE("&amp;AI689&amp;",0,D,D)")</f>
        <v>49.35</v>
      </c>
      <c r="V689" s="9" cm="1">
        <f t="array" aca="1" ref="V689" ca="1">_xll.FDS($E$7,"P_PRICE("&amp;AJ689&amp;",0,D,D)")</f>
        <v>49.55</v>
      </c>
      <c r="W689" s="9" cm="1">
        <f t="array" aca="1" ref="W689" ca="1">_xll.FDS($E$7,"P_PRICE("&amp;AK689&amp;",0,D,D)")</f>
        <v>47.06</v>
      </c>
      <c r="X689" s="24">
        <f t="shared" ca="1" si="178"/>
        <v>8.6814764349498752E-3</v>
      </c>
      <c r="Y689" s="24">
        <f t="shared" ca="1" si="179"/>
        <v>6.4114858090342786E-3</v>
      </c>
      <c r="Z689" s="24">
        <f t="shared" ca="1" si="180"/>
        <v>1.8162259340853693E-2</v>
      </c>
      <c r="AA689" s="24">
        <f t="shared" ca="1" si="181"/>
        <v>4.1017115995017894E-2</v>
      </c>
      <c r="AB689" s="9" cm="1">
        <f t="array" aca="1" ref="AB689" ca="1">_xll.FDS($E$9,"P_PRICE("&amp;AG689&amp;",0,D,D)")</f>
        <v>4145.58</v>
      </c>
      <c r="AC689" s="9" cm="1">
        <f t="array" aca="1" ref="AC689" ca="1">_xll.FDS($E$9,"P_PRICE("&amp;AH689&amp;",0,D,D)")</f>
        <v>4109.8999999999996</v>
      </c>
      <c r="AD689" s="9" cm="1">
        <f t="array" aca="1" ref="AD689" ca="1">_xll.FDS($E$9,"P_PRICE("&amp;AI689&amp;",0,D,D)")</f>
        <v>4119.17</v>
      </c>
      <c r="AE689" s="9" cm="1">
        <f t="array" aca="1" ref="AE689" ca="1">_xll.FDS($E$9,"P_PRICE("&amp;AJ689&amp;",0,D,D)")</f>
        <v>4071.63</v>
      </c>
      <c r="AF689" s="9" cm="1">
        <f t="array" aca="1" ref="AF689" ca="1">_xll.FDS($E$9,"P_PRICE("&amp;AK689&amp;",0,D,D)")</f>
        <v>3982.24</v>
      </c>
      <c r="AG689" s="20">
        <f t="shared" ca="1" si="187"/>
        <v>45069</v>
      </c>
      <c r="AH689" s="22">
        <f t="shared" ca="1" si="182"/>
        <v>45062</v>
      </c>
      <c r="AI689" s="22">
        <f t="shared" ca="1" si="183"/>
        <v>45055</v>
      </c>
      <c r="AJ689" s="22">
        <f t="shared" ca="1" si="184"/>
        <v>45041</v>
      </c>
      <c r="AK689" s="22">
        <f t="shared" ca="1" si="185"/>
        <v>44984</v>
      </c>
      <c r="AL689" s="22">
        <f t="shared" ca="1" si="186"/>
        <v>44894</v>
      </c>
    </row>
    <row r="690" spans="4:38" x14ac:dyDescent="0.25">
      <c r="D690" s="6">
        <f ca="1"/>
        <v>45068</v>
      </c>
      <c r="E690" s="28" cm="1">
        <f t="array" aca="1" ref="E690" ca="1">_xll.FDS($E$7,"P_PRICE("&amp;D690&amp;",0,D,D)")</f>
        <v>50.11</v>
      </c>
      <c r="F690" s="29" cm="1">
        <f t="array" aca="1" ref="F690" ca="1">_xll.FDS($E$7,"P_BETA_LOCIDX("&amp;$AG690&amp;","&amp;$AL690&amp;",,"""&amp;$E$9&amp;""")")</f>
        <v>0.9495382</v>
      </c>
      <c r="G690" s="30">
        <f t="shared" ca="1" si="172"/>
        <v>-8.1712961484011609E-4</v>
      </c>
      <c r="H690" s="30">
        <f t="shared" ca="1" si="172"/>
        <v>4.3345995699848247E-3</v>
      </c>
      <c r="I690" s="30">
        <f t="shared" ca="1" si="172"/>
        <v>-6.938125579213552E-3</v>
      </c>
      <c r="J690" s="30">
        <f t="shared" ca="1" si="170"/>
        <v>2.8817530549503638E-2</v>
      </c>
      <c r="K690" s="30">
        <f t="shared" ca="1" si="173"/>
        <v>1.2935893500923688E-2</v>
      </c>
      <c r="L690" s="30">
        <f t="shared" ca="1" si="173"/>
        <v>1.2507932897547709E-2</v>
      </c>
      <c r="M690" s="30">
        <f t="shared" ca="1" si="173"/>
        <v>1.275908101879605E-2</v>
      </c>
      <c r="N690" s="30">
        <f t="shared" ca="1" si="171"/>
        <v>5.3238180959889532E-2</v>
      </c>
      <c r="O690" s="30">
        <f t="shared" ca="1" si="174"/>
        <v>1.2118763886083572E-2</v>
      </c>
      <c r="P690" s="30">
        <f t="shared" ca="1" si="175"/>
        <v>1.6842532467532534E-2</v>
      </c>
      <c r="Q690" s="30">
        <f t="shared" ca="1" si="176"/>
        <v>5.8209554395824981E-3</v>
      </c>
      <c r="R690" s="30">
        <f t="shared" ca="1" si="177"/>
        <v>8.205571150939317E-2</v>
      </c>
      <c r="S690" s="9" cm="1">
        <f t="array" aca="1" ref="S690" ca="1">_xll.FDS($E$7,"P_PRICE("&amp;AG690&amp;",0,D,D)")</f>
        <v>50.11</v>
      </c>
      <c r="T690" s="9" cm="1">
        <f t="array" aca="1" ref="T690" ca="1">_xll.FDS($E$7,"P_PRICE("&amp;AH690&amp;",0,D,D)")</f>
        <v>49.51</v>
      </c>
      <c r="U690" s="9" cm="1">
        <f t="array" aca="1" ref="U690" ca="1">_xll.FDS($E$7,"P_PRICE("&amp;AI690&amp;",0,D,D)")</f>
        <v>49.28</v>
      </c>
      <c r="V690" s="9" cm="1">
        <f t="array" aca="1" ref="V690" ca="1">_xll.FDS($E$7,"P_PRICE("&amp;AJ690&amp;",0,D,D)")</f>
        <v>49.82</v>
      </c>
      <c r="W690" s="9" cm="1">
        <f t="array" aca="1" ref="W690" ca="1">_xll.FDS($E$7,"P_PRICE("&amp;AK690&amp;",0,D,D)")</f>
        <v>46.31</v>
      </c>
      <c r="X690" s="24">
        <f t="shared" ca="1" si="178"/>
        <v>1.362335238426815E-2</v>
      </c>
      <c r="Y690" s="24">
        <f t="shared" ca="1" si="179"/>
        <v>1.3172648449054192E-2</v>
      </c>
      <c r="Z690" s="24">
        <f t="shared" ca="1" si="180"/>
        <v>1.3437143464892776E-2</v>
      </c>
      <c r="AA690" s="24">
        <f t="shared" ca="1" si="181"/>
        <v>5.6067445164280416E-2</v>
      </c>
      <c r="AB690" s="9" cm="1">
        <f t="array" aca="1" ref="AB690" ca="1">_xll.FDS($E$9,"P_PRICE("&amp;AG690&amp;",0,D,D)")</f>
        <v>4192.63</v>
      </c>
      <c r="AC690" s="9" cm="1">
        <f t="array" aca="1" ref="AC690" ca="1">_xll.FDS($E$9,"P_PRICE("&amp;AH690&amp;",0,D,D)")</f>
        <v>4136.28</v>
      </c>
      <c r="AD690" s="9" cm="1">
        <f t="array" aca="1" ref="AD690" ca="1">_xll.FDS($E$9,"P_PRICE("&amp;AI690&amp;",0,D,D)")</f>
        <v>4138.12</v>
      </c>
      <c r="AE690" s="9" cm="1">
        <f t="array" aca="1" ref="AE690" ca="1">_xll.FDS($E$9,"P_PRICE("&amp;AJ690&amp;",0,D,D)")</f>
        <v>4137.04</v>
      </c>
      <c r="AF690" s="9" cm="1">
        <f t="array" aca="1" ref="AF690" ca="1">_xll.FDS($E$9,"P_PRICE("&amp;AK690&amp;",0,D,D)")</f>
        <v>3970.04</v>
      </c>
      <c r="AG690" s="20">
        <f t="shared" ca="1" si="187"/>
        <v>45068</v>
      </c>
      <c r="AH690" s="22">
        <f t="shared" ca="1" si="182"/>
        <v>45061</v>
      </c>
      <c r="AI690" s="22">
        <f t="shared" ca="1" si="183"/>
        <v>45054</v>
      </c>
      <c r="AJ690" s="22">
        <f t="shared" ca="1" si="184"/>
        <v>45040</v>
      </c>
      <c r="AK690" s="22">
        <f t="shared" ca="1" si="185"/>
        <v>44981</v>
      </c>
      <c r="AL690" s="22">
        <f t="shared" ca="1" si="186"/>
        <v>44893</v>
      </c>
    </row>
    <row r="691" spans="4:38" x14ac:dyDescent="0.25">
      <c r="D691" s="6">
        <f ca="1"/>
        <v>45065</v>
      </c>
      <c r="E691" s="28" cm="1">
        <f t="array" aca="1" ref="E691" ca="1">_xll.FDS($E$7,"P_PRICE("&amp;D691&amp;",0,D,D)")</f>
        <v>50.23</v>
      </c>
      <c r="F691" s="29" cm="1">
        <f t="array" aca="1" ref="F691" ca="1">_xll.FDS($E$7,"P_BETA_LOCIDX("&amp;$AG691&amp;","&amp;$AL691&amp;",,"""&amp;$E$9&amp;""")")</f>
        <v>0.94907564</v>
      </c>
      <c r="G691" s="30">
        <f t="shared" ca="1" si="172"/>
        <v>9.8947753927314218E-3</v>
      </c>
      <c r="H691" s="30">
        <f t="shared" ca="1" si="172"/>
        <v>1.9600500470335971E-3</v>
      </c>
      <c r="I691" s="30">
        <f t="shared" ca="1" si="172"/>
        <v>2.761812286746497E-3</v>
      </c>
      <c r="J691" s="30">
        <f t="shared" ca="1" si="170"/>
        <v>2.7820652043267467E-2</v>
      </c>
      <c r="K691" s="30">
        <f t="shared" ca="1" si="173"/>
        <v>1.5625845268762987E-2</v>
      </c>
      <c r="L691" s="30">
        <f t="shared" ca="1" si="173"/>
        <v>1.2787424700441134E-2</v>
      </c>
      <c r="M691" s="30">
        <f t="shared" ca="1" si="173"/>
        <v>1.342269105130716E-2</v>
      </c>
      <c r="N691" s="30">
        <f t="shared" ca="1" si="171"/>
        <v>4.2496842096941247E-2</v>
      </c>
      <c r="O691" s="30">
        <f t="shared" ca="1" si="174"/>
        <v>2.5520620661494409E-2</v>
      </c>
      <c r="P691" s="30">
        <f t="shared" ca="1" si="175"/>
        <v>1.4747474747474731E-2</v>
      </c>
      <c r="Q691" s="30">
        <f t="shared" ca="1" si="176"/>
        <v>1.6184503338053657E-2</v>
      </c>
      <c r="R691" s="30">
        <f t="shared" ca="1" si="177"/>
        <v>7.0317494140208714E-2</v>
      </c>
      <c r="S691" s="9" cm="1">
        <f t="array" aca="1" ref="S691" ca="1">_xll.FDS($E$7,"P_PRICE("&amp;AG691&amp;",0,D,D)")</f>
        <v>50.23</v>
      </c>
      <c r="T691" s="9" cm="1">
        <f t="array" aca="1" ref="T691" ca="1">_xll.FDS($E$7,"P_PRICE("&amp;AH691&amp;",0,D,D)")</f>
        <v>48.98</v>
      </c>
      <c r="U691" s="9" cm="1">
        <f t="array" aca="1" ref="U691" ca="1">_xll.FDS($E$7,"P_PRICE("&amp;AI691&amp;",0,D,D)")</f>
        <v>49.5</v>
      </c>
      <c r="V691" s="9" cm="1">
        <f t="array" aca="1" ref="V691" ca="1">_xll.FDS($E$7,"P_PRICE("&amp;AJ691&amp;",0,D,D)")</f>
        <v>49.43</v>
      </c>
      <c r="W691" s="9" cm="1">
        <f t="array" aca="1" ref="W691" ca="1">_xll.FDS($E$7,"P_PRICE("&amp;AK691&amp;",0,D,D)")</f>
        <v>46.93</v>
      </c>
      <c r="X691" s="24">
        <f t="shared" ca="1" si="178"/>
        <v>1.6464278093538454E-2</v>
      </c>
      <c r="Y691" s="24">
        <f t="shared" ca="1" si="179"/>
        <v>1.3473556965850619E-2</v>
      </c>
      <c r="Z691" s="24">
        <f t="shared" ca="1" si="180"/>
        <v>1.4142909675046722E-2</v>
      </c>
      <c r="AA691" s="24">
        <f t="shared" ca="1" si="181"/>
        <v>4.4777086573353886E-2</v>
      </c>
      <c r="AB691" s="9" cm="1">
        <f t="array" aca="1" ref="AB691" ca="1">_xll.FDS($E$9,"P_PRICE("&amp;AG691&amp;",0,D,D)")</f>
        <v>4191.9799999999996</v>
      </c>
      <c r="AC691" s="9" cm="1">
        <f t="array" aca="1" ref="AC691" ca="1">_xll.FDS($E$9,"P_PRICE("&amp;AH691&amp;",0,D,D)")</f>
        <v>4124.08</v>
      </c>
      <c r="AD691" s="9" cm="1">
        <f t="array" aca="1" ref="AD691" ca="1">_xll.FDS($E$9,"P_PRICE("&amp;AI691&amp;",0,D,D)")</f>
        <v>4136.25</v>
      </c>
      <c r="AE691" s="9" cm="1">
        <f t="array" aca="1" ref="AE691" ca="1">_xll.FDS($E$9,"P_PRICE("&amp;AJ691&amp;",0,D,D)")</f>
        <v>4133.5200000000004</v>
      </c>
      <c r="AF691" s="9" cm="1">
        <f t="array" aca="1" ref="AF691" ca="1">_xll.FDS($E$9,"P_PRICE("&amp;AK691&amp;",0,D,D)")</f>
        <v>4012.32</v>
      </c>
      <c r="AG691" s="20">
        <f t="shared" ca="1" si="187"/>
        <v>45065</v>
      </c>
      <c r="AH691" s="22">
        <f t="shared" ca="1" si="182"/>
        <v>45058</v>
      </c>
      <c r="AI691" s="22">
        <f t="shared" ca="1" si="183"/>
        <v>45051</v>
      </c>
      <c r="AJ691" s="22">
        <f t="shared" ca="1" si="184"/>
        <v>45037</v>
      </c>
      <c r="AK691" s="22">
        <f t="shared" ca="1" si="185"/>
        <v>44980</v>
      </c>
      <c r="AL691" s="22">
        <f t="shared" ca="1" si="186"/>
        <v>44890</v>
      </c>
    </row>
    <row r="692" spans="4:38" x14ac:dyDescent="0.25">
      <c r="D692" s="6">
        <f ca="1"/>
        <v>45064</v>
      </c>
      <c r="E692" s="28" cm="1">
        <f t="array" aca="1" ref="E692" ca="1">_xll.FDS($E$7,"P_PRICE("&amp;D692&amp;",0,D,D)")</f>
        <v>50.04</v>
      </c>
      <c r="F692" s="29" cm="1">
        <f t="array" aca="1" ref="F692" ca="1">_xll.FDS($E$7,"P_BETA_LOCIDX("&amp;$AG692&amp;","&amp;$AL692&amp;",,"""&amp;$E$9&amp;""")")</f>
        <v>0.95320539999999998</v>
      </c>
      <c r="G692" s="30">
        <f t="shared" ca="1" si="172"/>
        <v>-9.1244890598795193E-3</v>
      </c>
      <c r="H692" s="30">
        <f t="shared" ca="1" si="172"/>
        <v>4.8895983547464494E-4</v>
      </c>
      <c r="I692" s="30">
        <f t="shared" ca="1" si="172"/>
        <v>-1.2547533776144214E-2</v>
      </c>
      <c r="J692" s="30">
        <f t="shared" ca="1" si="170"/>
        <v>3.0405627461687061E-2</v>
      </c>
      <c r="K692" s="30">
        <f t="shared" ca="1" si="173"/>
        <v>1.5560530894151452E-2</v>
      </c>
      <c r="L692" s="30">
        <f t="shared" ca="1" si="173"/>
        <v>3.2115249821974834E-2</v>
      </c>
      <c r="M692" s="30">
        <f t="shared" ca="1" si="173"/>
        <v>1.5755232252487383E-2</v>
      </c>
      <c r="N692" s="30">
        <f t="shared" ca="1" si="171"/>
        <v>4.9438999210734032E-2</v>
      </c>
      <c r="O692" s="30">
        <f t="shared" ca="1" si="174"/>
        <v>6.4360418342719328E-3</v>
      </c>
      <c r="P692" s="30">
        <f t="shared" ca="1" si="175"/>
        <v>3.2604209657449479E-2</v>
      </c>
      <c r="Q692" s="30">
        <f t="shared" ca="1" si="176"/>
        <v>3.2076984763431682E-3</v>
      </c>
      <c r="R692" s="30">
        <f t="shared" ca="1" si="177"/>
        <v>7.9844626672421093E-2</v>
      </c>
      <c r="S692" s="9" cm="1">
        <f t="array" aca="1" ref="S692" ca="1">_xll.FDS($E$7,"P_PRICE("&amp;AG692&amp;",0,D,D)")</f>
        <v>50.04</v>
      </c>
      <c r="T692" s="9" cm="1">
        <f t="array" aca="1" ref="T692" ca="1">_xll.FDS($E$7,"P_PRICE("&amp;AH692&amp;",0,D,D)")</f>
        <v>49.72</v>
      </c>
      <c r="U692" s="9" cm="1">
        <f t="array" aca="1" ref="U692" ca="1">_xll.FDS($E$7,"P_PRICE("&amp;AI692&amp;",0,D,D)")</f>
        <v>48.46</v>
      </c>
      <c r="V692" s="9" cm="1">
        <f t="array" aca="1" ref="V692" ca="1">_xll.FDS($E$7,"P_PRICE("&amp;AJ692&amp;",0,D,D)")</f>
        <v>49.88</v>
      </c>
      <c r="W692" s="9" cm="1">
        <f t="array" aca="1" ref="W692" ca="1">_xll.FDS($E$7,"P_PRICE("&amp;AK692&amp;",0,D,D)")</f>
        <v>46.34</v>
      </c>
      <c r="X692" s="24">
        <f t="shared" ca="1" si="178"/>
        <v>1.6324425873113446E-2</v>
      </c>
      <c r="Y692" s="24">
        <f t="shared" ca="1" si="179"/>
        <v>3.3691846292493555E-2</v>
      </c>
      <c r="Z692" s="24">
        <f t="shared" ca="1" si="180"/>
        <v>1.6528685477954053E-2</v>
      </c>
      <c r="AA692" s="24">
        <f t="shared" ca="1" si="181"/>
        <v>5.1866050287518339E-2</v>
      </c>
      <c r="AB692" s="9" cm="1">
        <f t="array" aca="1" ref="AB692" ca="1">_xll.FDS($E$9,"P_PRICE("&amp;AG692&amp;",0,D,D)")</f>
        <v>4198.05</v>
      </c>
      <c r="AC692" s="9" cm="1">
        <f t="array" aca="1" ref="AC692" ca="1">_xll.FDS($E$9,"P_PRICE("&amp;AH692&amp;",0,D,D)")</f>
        <v>4130.62</v>
      </c>
      <c r="AD692" s="9" cm="1">
        <f t="array" aca="1" ref="AD692" ca="1">_xll.FDS($E$9,"P_PRICE("&amp;AI692&amp;",0,D,D)")</f>
        <v>4061.22</v>
      </c>
      <c r="AE692" s="9" cm="1">
        <f t="array" aca="1" ref="AE692" ca="1">_xll.FDS($E$9,"P_PRICE("&amp;AJ692&amp;",0,D,D)")</f>
        <v>4129.79</v>
      </c>
      <c r="AF692" s="9" cm="1">
        <f t="array" aca="1" ref="AF692" ca="1">_xll.FDS($E$9,"P_PRICE("&amp;AK692&amp;",0,D,D)")</f>
        <v>3991.05</v>
      </c>
      <c r="AG692" s="20">
        <f t="shared" ca="1" si="187"/>
        <v>45064</v>
      </c>
      <c r="AH692" s="22">
        <f t="shared" ca="1" si="182"/>
        <v>45057</v>
      </c>
      <c r="AI692" s="22">
        <f t="shared" ca="1" si="183"/>
        <v>45050</v>
      </c>
      <c r="AJ692" s="22">
        <f t="shared" ca="1" si="184"/>
        <v>45036</v>
      </c>
      <c r="AK692" s="22">
        <f t="shared" ca="1" si="185"/>
        <v>44979</v>
      </c>
      <c r="AL692" s="22">
        <f t="shared" ca="1" si="186"/>
        <v>44888</v>
      </c>
    </row>
    <row r="693" spans="4:38" x14ac:dyDescent="0.25">
      <c r="D693" s="6">
        <f ca="1"/>
        <v>45063</v>
      </c>
      <c r="E693" s="28" cm="1">
        <f t="array" aca="1" ref="E693" ca="1">_xll.FDS($E$7,"P_PRICE("&amp;D693&amp;",0,D,D)")</f>
        <v>49.68</v>
      </c>
      <c r="F693" s="29" cm="1">
        <f t="array" aca="1" ref="F693" ca="1">_xll.FDS($E$7,"P_BETA_LOCIDX("&amp;$AG693&amp;","&amp;$AL693&amp;",,"""&amp;$E$9&amp;""")")</f>
        <v>0.94276386000000001</v>
      </c>
      <c r="G693" s="30">
        <f t="shared" ca="1" si="172"/>
        <v>1.0571502278724151E-3</v>
      </c>
      <c r="H693" s="30">
        <f t="shared" ca="1" si="172"/>
        <v>2.6488834498684326E-2</v>
      </c>
      <c r="I693" s="30">
        <f t="shared" ca="1" si="172"/>
        <v>-7.1656708934672679E-3</v>
      </c>
      <c r="J693" s="30">
        <f t="shared" ca="1" si="170"/>
        <v>2.2332638660725136E-2</v>
      </c>
      <c r="K693" s="30">
        <f t="shared" ca="1" si="173"/>
        <v>4.814483706122398E-3</v>
      </c>
      <c r="L693" s="30">
        <f t="shared" ca="1" si="173"/>
        <v>1.5676049075890826E-2</v>
      </c>
      <c r="M693" s="30">
        <f t="shared" ca="1" si="173"/>
        <v>9.6443064541757882E-4</v>
      </c>
      <c r="N693" s="30">
        <f t="shared" ca="1" si="171"/>
        <v>3.8072910965742356E-2</v>
      </c>
      <c r="O693" s="30">
        <f t="shared" ca="1" si="174"/>
        <v>5.8716339339948131E-3</v>
      </c>
      <c r="P693" s="30">
        <f t="shared" ca="1" si="175"/>
        <v>4.2164883574575152E-2</v>
      </c>
      <c r="Q693" s="30">
        <f t="shared" ca="1" si="176"/>
        <v>-6.2012402480496887E-3</v>
      </c>
      <c r="R693" s="30">
        <f t="shared" ca="1" si="177"/>
        <v>6.0405549626467492E-2</v>
      </c>
      <c r="S693" s="9" cm="1">
        <f t="array" aca="1" ref="S693" ca="1">_xll.FDS($E$7,"P_PRICE("&amp;AG693&amp;",0,D,D)")</f>
        <v>49.68</v>
      </c>
      <c r="T693" s="9" cm="1">
        <f t="array" aca="1" ref="T693" ca="1">_xll.FDS($E$7,"P_PRICE("&amp;AH693&amp;",0,D,D)")</f>
        <v>49.39</v>
      </c>
      <c r="U693" s="9" cm="1">
        <f t="array" aca="1" ref="U693" ca="1">_xll.FDS($E$7,"P_PRICE("&amp;AI693&amp;",0,D,D)")</f>
        <v>47.67</v>
      </c>
      <c r="V693" s="9" cm="1">
        <f t="array" aca="1" ref="V693" ca="1">_xll.FDS($E$7,"P_PRICE("&amp;AJ693&amp;",0,D,D)")</f>
        <v>49.99</v>
      </c>
      <c r="W693" s="9" cm="1">
        <f t="array" aca="1" ref="W693" ca="1">_xll.FDS($E$7,"P_PRICE("&amp;AK693&amp;",0,D,D)")</f>
        <v>46.85</v>
      </c>
      <c r="X693" s="24">
        <f t="shared" ca="1" si="178"/>
        <v>5.1067758432343791E-3</v>
      </c>
      <c r="Y693" s="24">
        <f t="shared" ca="1" si="179"/>
        <v>1.6627757746134675E-2</v>
      </c>
      <c r="Z693" s="24">
        <f t="shared" ca="1" si="180"/>
        <v>1.0229821977028042E-3</v>
      </c>
      <c r="AA693" s="24">
        <f t="shared" ca="1" si="181"/>
        <v>4.0384355596471799E-2</v>
      </c>
      <c r="AB693" s="9" cm="1">
        <f t="array" aca="1" ref="AB693" ca="1">_xll.FDS($E$9,"P_PRICE("&amp;AG693&amp;",0,D,D)")</f>
        <v>4158.7700000000004</v>
      </c>
      <c r="AC693" s="9" cm="1">
        <f t="array" aca="1" ref="AC693" ca="1">_xll.FDS($E$9,"P_PRICE("&amp;AH693&amp;",0,D,D)")</f>
        <v>4137.6400000000003</v>
      </c>
      <c r="AD693" s="9" cm="1">
        <f t="array" aca="1" ref="AD693" ca="1">_xll.FDS($E$9,"P_PRICE("&amp;AI693&amp;",0,D,D)")</f>
        <v>4090.75</v>
      </c>
      <c r="AE693" s="9" cm="1">
        <f t="array" aca="1" ref="AE693" ca="1">_xll.FDS($E$9,"P_PRICE("&amp;AJ693&amp;",0,D,D)")</f>
        <v>4154.5200000000004</v>
      </c>
      <c r="AF693" s="9" cm="1">
        <f t="array" aca="1" ref="AF693" ca="1">_xll.FDS($E$9,"P_PRICE("&amp;AK693&amp;",0,D,D)")</f>
        <v>3997.34</v>
      </c>
      <c r="AG693" s="20">
        <f t="shared" ca="1" si="187"/>
        <v>45063</v>
      </c>
      <c r="AH693" s="22">
        <f t="shared" ca="1" si="182"/>
        <v>45056</v>
      </c>
      <c r="AI693" s="22">
        <f t="shared" ca="1" si="183"/>
        <v>45049</v>
      </c>
      <c r="AJ693" s="22">
        <f t="shared" ca="1" si="184"/>
        <v>45035</v>
      </c>
      <c r="AK693" s="22">
        <f t="shared" ca="1" si="185"/>
        <v>44978</v>
      </c>
      <c r="AL693" s="22">
        <f t="shared" ca="1" si="186"/>
        <v>44887</v>
      </c>
    </row>
    <row r="694" spans="4:38" x14ac:dyDescent="0.25">
      <c r="D694" s="6">
        <f ca="1"/>
        <v>45062</v>
      </c>
      <c r="E694" s="28" cm="1">
        <f t="array" aca="1" ref="E694" ca="1">_xll.FDS($E$7,"P_PRICE("&amp;D694&amp;",0,D,D)")</f>
        <v>49.13</v>
      </c>
      <c r="F694" s="29" cm="1">
        <f t="array" aca="1" ref="F694" ca="1">_xll.FDS($E$7,"P_BETA_LOCIDX("&amp;$AG694&amp;","&amp;$AL694&amp;",,"""&amp;$E$9&amp;""")")</f>
        <v>0.94419043999999996</v>
      </c>
      <c r="G694" s="30">
        <f t="shared" ca="1" si="172"/>
        <v>-2.3330968383610418E-3</v>
      </c>
      <c r="H694" s="30">
        <f t="shared" ca="1" si="172"/>
        <v>2.6186935492042297E-2</v>
      </c>
      <c r="I694" s="30">
        <f t="shared" ca="1" si="172"/>
        <v>-6.3938989098286693E-3</v>
      </c>
      <c r="J694" s="30">
        <f t="shared" ca="1" si="170"/>
        <v>3.2876850432900243E-2</v>
      </c>
      <c r="K694" s="30">
        <f t="shared" ca="1" si="173"/>
        <v>-2.1248565557625398E-3</v>
      </c>
      <c r="L694" s="30">
        <f t="shared" ca="1" si="173"/>
        <v>-2.2186153586531772E-3</v>
      </c>
      <c r="M694" s="30">
        <f t="shared" ca="1" si="173"/>
        <v>-1.021939172267727E-2</v>
      </c>
      <c r="N694" s="30">
        <f t="shared" ca="1" si="171"/>
        <v>7.1316169676078726E-3</v>
      </c>
      <c r="O694" s="30">
        <f t="shared" ca="1" si="174"/>
        <v>-4.4579533941235816E-3</v>
      </c>
      <c r="P694" s="30">
        <f t="shared" ca="1" si="175"/>
        <v>2.396832013338912E-2</v>
      </c>
      <c r="Q694" s="30">
        <f t="shared" ca="1" si="176"/>
        <v>-1.6613290632505939E-2</v>
      </c>
      <c r="R694" s="30">
        <f t="shared" ca="1" si="177"/>
        <v>4.0008467400508119E-2</v>
      </c>
      <c r="S694" s="9" cm="1">
        <f t="array" aca="1" ref="S694" ca="1">_xll.FDS($E$7,"P_PRICE("&amp;AG694&amp;",0,D,D)")</f>
        <v>49.13</v>
      </c>
      <c r="T694" s="9" cm="1">
        <f t="array" aca="1" ref="T694" ca="1">_xll.FDS($E$7,"P_PRICE("&amp;AH694&amp;",0,D,D)")</f>
        <v>49.35</v>
      </c>
      <c r="U694" s="9" cm="1">
        <f t="array" aca="1" ref="U694" ca="1">_xll.FDS($E$7,"P_PRICE("&amp;AI694&amp;",0,D,D)")</f>
        <v>47.98</v>
      </c>
      <c r="V694" s="9" cm="1">
        <f t="array" aca="1" ref="V694" ca="1">_xll.FDS($E$7,"P_PRICE("&amp;AJ694&amp;",0,D,D)")</f>
        <v>49.96</v>
      </c>
      <c r="W694" s="9" cm="1">
        <f t="array" aca="1" ref="W694" ca="1">_xll.FDS($E$7,"P_PRICE("&amp;AK694&amp;",0,D,D)")</f>
        <v>47.24</v>
      </c>
      <c r="X694" s="24">
        <f t="shared" ca="1" si="178"/>
        <v>-2.2504533680329786E-3</v>
      </c>
      <c r="Y694" s="24">
        <f t="shared" ca="1" si="179"/>
        <v>-2.3497541011463507E-3</v>
      </c>
      <c r="Z694" s="24">
        <f t="shared" ca="1" si="180"/>
        <v>-1.0823443332763749E-2</v>
      </c>
      <c r="AA694" s="24">
        <f t="shared" ca="1" si="181"/>
        <v>7.5531552380554423E-3</v>
      </c>
      <c r="AB694" s="9" cm="1">
        <f t="array" aca="1" ref="AB694" ca="1">_xll.FDS($E$9,"P_PRICE("&amp;AG694&amp;",0,D,D)")</f>
        <v>4109.8999999999996</v>
      </c>
      <c r="AC694" s="9" cm="1">
        <f t="array" aca="1" ref="AC694" ca="1">_xll.FDS($E$9,"P_PRICE("&amp;AH694&amp;",0,D,D)")</f>
        <v>4119.17</v>
      </c>
      <c r="AD694" s="9" cm="1">
        <f t="array" aca="1" ref="AD694" ca="1">_xll.FDS($E$9,"P_PRICE("&amp;AI694&amp;",0,D,D)")</f>
        <v>4119.58</v>
      </c>
      <c r="AE694" s="9" cm="1">
        <f t="array" aca="1" ref="AE694" ca="1">_xll.FDS($E$9,"P_PRICE("&amp;AJ694&amp;",0,D,D)")</f>
        <v>4154.87</v>
      </c>
      <c r="AF694" s="9" cm="1">
        <f t="array" aca="1" ref="AF694" ca="1">_xll.FDS($E$9,"P_PRICE("&amp;AK694&amp;",0,D,D)")</f>
        <v>4079.09</v>
      </c>
      <c r="AG694" s="20">
        <f t="shared" ca="1" si="187"/>
        <v>45062</v>
      </c>
      <c r="AH694" s="22">
        <f t="shared" ca="1" si="182"/>
        <v>45055</v>
      </c>
      <c r="AI694" s="22">
        <f t="shared" ca="1" si="183"/>
        <v>45048</v>
      </c>
      <c r="AJ694" s="22">
        <f t="shared" ca="1" si="184"/>
        <v>45034</v>
      </c>
      <c r="AK694" s="22">
        <f t="shared" ca="1" si="185"/>
        <v>44974</v>
      </c>
      <c r="AL694" s="22">
        <f t="shared" ca="1" si="186"/>
        <v>44886</v>
      </c>
    </row>
    <row r="695" spans="4:38" x14ac:dyDescent="0.25">
      <c r="D695" s="6">
        <f ca="1"/>
        <v>45061</v>
      </c>
      <c r="E695" s="28" cm="1">
        <f t="array" aca="1" ref="E695" ca="1">_xll.FDS($E$7,"P_PRICE("&amp;D695&amp;",0,D,D)")</f>
        <v>49.51</v>
      </c>
      <c r="F695" s="29" cm="1">
        <f t="array" aca="1" ref="F695" ca="1">_xll.FDS($E$7,"P_BETA_LOCIDX("&amp;$AG695&amp;","&amp;$AL695&amp;",,"""&amp;$E$9&amp;""")")</f>
        <v>0.94586307000000003</v>
      </c>
      <c r="G695" s="30">
        <f t="shared" ca="1" si="172"/>
        <v>5.0877823644288264E-3</v>
      </c>
      <c r="H695" s="30">
        <f t="shared" ca="1" si="172"/>
        <v>3.2433114839596905E-2</v>
      </c>
      <c r="I695" s="30">
        <f t="shared" ca="1" si="172"/>
        <v>1.4110863236691164E-3</v>
      </c>
      <c r="J695" s="30">
        <f t="shared" ca="1" si="170"/>
        <v>3.5231672916612528E-2</v>
      </c>
      <c r="K695" s="30">
        <f t="shared" ca="1" si="173"/>
        <v>-4.2057457222118743E-4</v>
      </c>
      <c r="L695" s="30">
        <f t="shared" ca="1" si="173"/>
        <v>-7.1690850197583499E-3</v>
      </c>
      <c r="M695" s="30">
        <f t="shared" ca="1" si="173"/>
        <v>-3.426808960234359E-3</v>
      </c>
      <c r="N695" s="30">
        <f t="shared" ca="1" si="171"/>
        <v>1.0606941363066193E-2</v>
      </c>
      <c r="O695" s="30">
        <f t="shared" ca="1" si="174"/>
        <v>4.6672077922076394E-3</v>
      </c>
      <c r="P695" s="30">
        <f t="shared" ca="1" si="175"/>
        <v>2.5264029819838552E-2</v>
      </c>
      <c r="Q695" s="30">
        <f t="shared" ca="1" si="176"/>
        <v>-2.0157226365652425E-3</v>
      </c>
      <c r="R695" s="30">
        <f t="shared" ca="1" si="177"/>
        <v>4.5838614279678724E-2</v>
      </c>
      <c r="S695" s="9" cm="1">
        <f t="array" aca="1" ref="S695" ca="1">_xll.FDS($E$7,"P_PRICE("&amp;AG695&amp;",0,D,D)")</f>
        <v>49.51</v>
      </c>
      <c r="T695" s="9" cm="1">
        <f t="array" aca="1" ref="T695" ca="1">_xll.FDS($E$7,"P_PRICE("&amp;AH695&amp;",0,D,D)")</f>
        <v>49.28</v>
      </c>
      <c r="U695" s="9" cm="1">
        <f t="array" aca="1" ref="U695" ca="1">_xll.FDS($E$7,"P_PRICE("&amp;AI695&amp;",0,D,D)")</f>
        <v>48.29</v>
      </c>
      <c r="V695" s="9" cm="1">
        <f t="array" aca="1" ref="V695" ca="1">_xll.FDS($E$7,"P_PRICE("&amp;AJ695&amp;",0,D,D)")</f>
        <v>49.61</v>
      </c>
      <c r="W695" s="9" cm="1">
        <f t="array" aca="1" ref="W695" ca="1">_xll.FDS($E$7,"P_PRICE("&amp;AK695&amp;",0,D,D)")</f>
        <v>47.34</v>
      </c>
      <c r="X695" s="24">
        <f t="shared" ca="1" si="178"/>
        <v>-4.4464636114949219E-4</v>
      </c>
      <c r="Y695" s="24">
        <f t="shared" ca="1" si="179"/>
        <v>-7.579411066084174E-3</v>
      </c>
      <c r="Z695" s="24">
        <f t="shared" ca="1" si="180"/>
        <v>-3.6229440274418989E-3</v>
      </c>
      <c r="AA695" s="24">
        <f t="shared" ca="1" si="181"/>
        <v>1.1214034778909587E-2</v>
      </c>
      <c r="AB695" s="9" cm="1">
        <f t="array" aca="1" ref="AB695" ca="1">_xll.FDS($E$9,"P_PRICE("&amp;AG695&amp;",0,D,D)")</f>
        <v>4136.28</v>
      </c>
      <c r="AC695" s="9" cm="1">
        <f t="array" aca="1" ref="AC695" ca="1">_xll.FDS($E$9,"P_PRICE("&amp;AH695&amp;",0,D,D)")</f>
        <v>4138.12</v>
      </c>
      <c r="AD695" s="9" cm="1">
        <f t="array" aca="1" ref="AD695" ca="1">_xll.FDS($E$9,"P_PRICE("&amp;AI695&amp;",0,D,D)")</f>
        <v>4167.87</v>
      </c>
      <c r="AE695" s="9" cm="1">
        <f t="array" aca="1" ref="AE695" ca="1">_xll.FDS($E$9,"P_PRICE("&amp;AJ695&amp;",0,D,D)")</f>
        <v>4151.32</v>
      </c>
      <c r="AF695" s="9" cm="1">
        <f t="array" aca="1" ref="AF695" ca="1">_xll.FDS($E$9,"P_PRICE("&amp;AK695&amp;",0,D,D)")</f>
        <v>4090.41</v>
      </c>
      <c r="AG695" s="20">
        <f t="shared" ca="1" si="187"/>
        <v>45061</v>
      </c>
      <c r="AH695" s="22">
        <f t="shared" ca="1" si="182"/>
        <v>45054</v>
      </c>
      <c r="AI695" s="22">
        <f t="shared" ca="1" si="183"/>
        <v>45047</v>
      </c>
      <c r="AJ695" s="22">
        <f t="shared" ca="1" si="184"/>
        <v>45033</v>
      </c>
      <c r="AK695" s="22">
        <f t="shared" ca="1" si="185"/>
        <v>44973</v>
      </c>
      <c r="AL695" s="22">
        <f t="shared" ca="1" si="186"/>
        <v>44883</v>
      </c>
    </row>
    <row r="696" spans="4:38" x14ac:dyDescent="0.25">
      <c r="D696" s="6">
        <f ca="1"/>
        <v>45058</v>
      </c>
      <c r="E696" s="28" cm="1">
        <f t="array" aca="1" ref="E696" ca="1">_xll.FDS($E$7,"P_PRICE("&amp;D696&amp;",0,D,D)")</f>
        <v>48.98</v>
      </c>
      <c r="F696" s="29" cm="1">
        <f t="array" aca="1" ref="F696" ca="1">_xll.FDS($E$7,"P_BETA_LOCIDX("&amp;$AG696&amp;","&amp;$AL696&amp;",,"""&amp;$E$9&amp;""")")</f>
        <v>0.94544079999999997</v>
      </c>
      <c r="G696" s="30">
        <f t="shared" ca="1" si="172"/>
        <v>-7.7233002394718493E-3</v>
      </c>
      <c r="H696" s="30">
        <f t="shared" ca="1" si="172"/>
        <v>2.0191479278238566E-2</v>
      </c>
      <c r="I696" s="30">
        <f t="shared" ca="1" si="172"/>
        <v>-2.181832526930356E-3</v>
      </c>
      <c r="J696" s="30">
        <f t="shared" ca="1" si="170"/>
        <v>2.1965757967182031E-2</v>
      </c>
      <c r="K696" s="30">
        <f t="shared" ca="1" si="173"/>
        <v>-2.781750265578723E-3</v>
      </c>
      <c r="L696" s="30">
        <f t="shared" ca="1" si="173"/>
        <v>-1.0294572061743845E-2</v>
      </c>
      <c r="M696" s="30">
        <f t="shared" ca="1" si="173"/>
        <v>-3.0984274243288914E-3</v>
      </c>
      <c r="N696" s="30">
        <f t="shared" ca="1" si="171"/>
        <v>-5.3613578011381122E-3</v>
      </c>
      <c r="O696" s="30">
        <f t="shared" ca="1" si="174"/>
        <v>-1.0505050505050573E-2</v>
      </c>
      <c r="P696" s="30">
        <f t="shared" ca="1" si="175"/>
        <v>9.8969072164947214E-3</v>
      </c>
      <c r="Q696" s="30">
        <f t="shared" ca="1" si="176"/>
        <v>-5.2802599512592474E-3</v>
      </c>
      <c r="R696" s="30">
        <f t="shared" ca="1" si="177"/>
        <v>1.660440016604392E-2</v>
      </c>
      <c r="S696" s="9" cm="1">
        <f t="array" aca="1" ref="S696" ca="1">_xll.FDS($E$7,"P_PRICE("&amp;AG696&amp;",0,D,D)")</f>
        <v>48.98</v>
      </c>
      <c r="T696" s="9" cm="1">
        <f t="array" aca="1" ref="T696" ca="1">_xll.FDS($E$7,"P_PRICE("&amp;AH696&amp;",0,D,D)")</f>
        <v>49.5</v>
      </c>
      <c r="U696" s="9" cm="1">
        <f t="array" aca="1" ref="U696" ca="1">_xll.FDS($E$7,"P_PRICE("&amp;AI696&amp;",0,D,D)")</f>
        <v>48.5</v>
      </c>
      <c r="V696" s="9" cm="1">
        <f t="array" aca="1" ref="V696" ca="1">_xll.FDS($E$7,"P_PRICE("&amp;AJ696&amp;",0,D,D)")</f>
        <v>49.24</v>
      </c>
      <c r="W696" s="9" cm="1">
        <f t="array" aca="1" ref="W696" ca="1">_xll.FDS($E$7,"P_PRICE("&amp;AK696&amp;",0,D,D)")</f>
        <v>48.18</v>
      </c>
      <c r="X696" s="24">
        <f t="shared" ca="1" si="178"/>
        <v>-2.9422786340284057E-3</v>
      </c>
      <c r="Y696" s="24">
        <f t="shared" ca="1" si="179"/>
        <v>-1.088864798488054E-2</v>
      </c>
      <c r="Z696" s="24">
        <f t="shared" ca="1" si="180"/>
        <v>-3.2772304985451139E-3</v>
      </c>
      <c r="AA696" s="24">
        <f t="shared" ca="1" si="181"/>
        <v>-5.6707493490212313E-3</v>
      </c>
      <c r="AB696" s="9" cm="1">
        <f t="array" aca="1" ref="AB696" ca="1">_xll.FDS($E$9,"P_PRICE("&amp;AG696&amp;",0,D,D)")</f>
        <v>4124.08</v>
      </c>
      <c r="AC696" s="9" cm="1">
        <f t="array" aca="1" ref="AC696" ca="1">_xll.FDS($E$9,"P_PRICE("&amp;AH696&amp;",0,D,D)")</f>
        <v>4136.25</v>
      </c>
      <c r="AD696" s="9" cm="1">
        <f t="array" aca="1" ref="AD696" ca="1">_xll.FDS($E$9,"P_PRICE("&amp;AI696&amp;",0,D,D)")</f>
        <v>4169.4799999999996</v>
      </c>
      <c r="AE696" s="9" cm="1">
        <f t="array" aca="1" ref="AE696" ca="1">_xll.FDS($E$9,"P_PRICE("&amp;AJ696&amp;",0,D,D)")</f>
        <v>4137.6400000000003</v>
      </c>
      <c r="AF696" s="9" cm="1">
        <f t="array" aca="1" ref="AF696" ca="1">_xll.FDS($E$9,"P_PRICE("&amp;AK696&amp;",0,D,D)")</f>
        <v>4147.6000000000004</v>
      </c>
      <c r="AG696" s="20">
        <f t="shared" ca="1" si="187"/>
        <v>45058</v>
      </c>
      <c r="AH696" s="22">
        <f t="shared" ca="1" si="182"/>
        <v>45051</v>
      </c>
      <c r="AI696" s="22">
        <f t="shared" ca="1" si="183"/>
        <v>45044</v>
      </c>
      <c r="AJ696" s="22">
        <f t="shared" ca="1" si="184"/>
        <v>45030</v>
      </c>
      <c r="AK696" s="22">
        <f t="shared" ca="1" si="185"/>
        <v>44972</v>
      </c>
      <c r="AL696" s="22">
        <f t="shared" ca="1" si="186"/>
        <v>44882</v>
      </c>
    </row>
    <row r="697" spans="4:38" x14ac:dyDescent="0.25">
      <c r="D697" s="6">
        <f ca="1"/>
        <v>45057</v>
      </c>
      <c r="E697" s="28" cm="1">
        <f t="array" aca="1" ref="E697" ca="1">_xll.FDS($E$7,"P_PRICE("&amp;D697&amp;",0,D,D)")</f>
        <v>49.72</v>
      </c>
      <c r="F697" s="29" cm="1">
        <f t="array" aca="1" ref="F697" ca="1">_xll.FDS($E$7,"P_BETA_LOCIDX("&amp;$AG697&amp;","&amp;$AL697&amp;",,"""&amp;$E$9&amp;""")")</f>
        <v>0.94783276000000005</v>
      </c>
      <c r="G697" s="30">
        <f t="shared" ca="1" si="172"/>
        <v>9.8038221717895724E-3</v>
      </c>
      <c r="H697" s="30">
        <f t="shared" ca="1" si="172"/>
        <v>2.4129395545330053E-2</v>
      </c>
      <c r="I697" s="30">
        <f t="shared" ca="1" si="172"/>
        <v>1.229006492357532E-2</v>
      </c>
      <c r="J697" s="30">
        <f t="shared" ca="1" si="170"/>
        <v>5.4206335819513875E-2</v>
      </c>
      <c r="K697" s="30">
        <f t="shared" ca="1" si="173"/>
        <v>1.6197003251239711E-2</v>
      </c>
      <c r="L697" s="30">
        <f t="shared" ca="1" si="173"/>
        <v>-1.0841280556181348E-3</v>
      </c>
      <c r="M697" s="30">
        <f t="shared" ca="1" si="173"/>
        <v>-3.5661858405970958E-3</v>
      </c>
      <c r="N697" s="30">
        <f t="shared" ca="1" si="171"/>
        <v>-1.2626678821991207E-3</v>
      </c>
      <c r="O697" s="30">
        <f t="shared" ca="1" si="174"/>
        <v>2.6000825423029283E-2</v>
      </c>
      <c r="P697" s="30">
        <f t="shared" ca="1" si="175"/>
        <v>2.3045267489711918E-2</v>
      </c>
      <c r="Q697" s="30">
        <f t="shared" ca="1" si="176"/>
        <v>8.7238790829782253E-3</v>
      </c>
      <c r="R697" s="30">
        <f t="shared" ca="1" si="177"/>
        <v>5.2943667937314753E-2</v>
      </c>
      <c r="S697" s="9" cm="1">
        <f t="array" aca="1" ref="S697" ca="1">_xll.FDS($E$7,"P_PRICE("&amp;AG697&amp;",0,D,D)")</f>
        <v>49.72</v>
      </c>
      <c r="T697" s="9" cm="1">
        <f t="array" aca="1" ref="T697" ca="1">_xll.FDS($E$7,"P_PRICE("&amp;AH697&amp;",0,D,D)")</f>
        <v>48.46</v>
      </c>
      <c r="U697" s="9" cm="1">
        <f t="array" aca="1" ref="U697" ca="1">_xll.FDS($E$7,"P_PRICE("&amp;AI697&amp;",0,D,D)")</f>
        <v>48.6</v>
      </c>
      <c r="V697" s="9" cm="1">
        <f t="array" aca="1" ref="V697" ca="1">_xll.FDS($E$7,"P_PRICE("&amp;AJ697&amp;",0,D,D)")</f>
        <v>49.29</v>
      </c>
      <c r="W697" s="9" cm="1">
        <f t="array" aca="1" ref="W697" ca="1">_xll.FDS($E$7,"P_PRICE("&amp;AK697&amp;",0,D,D)")</f>
        <v>47.22</v>
      </c>
      <c r="X697" s="24">
        <f t="shared" ca="1" si="178"/>
        <v>1.7088461102821251E-2</v>
      </c>
      <c r="Y697" s="24">
        <f t="shared" ca="1" si="179"/>
        <v>-1.1437967765728363E-3</v>
      </c>
      <c r="Z697" s="24">
        <f t="shared" ca="1" si="180"/>
        <v>-3.7624631592150237E-3</v>
      </c>
      <c r="AA697" s="24">
        <f t="shared" ca="1" si="181"/>
        <v>-1.3321631573476322E-3</v>
      </c>
      <c r="AB697" s="9" cm="1">
        <f t="array" aca="1" ref="AB697" ca="1">_xll.FDS($E$9,"P_PRICE("&amp;AG697&amp;",0,D,D)")</f>
        <v>4130.62</v>
      </c>
      <c r="AC697" s="9" cm="1">
        <f t="array" aca="1" ref="AC697" ca="1">_xll.FDS($E$9,"P_PRICE("&amp;AH697&amp;",0,D,D)")</f>
        <v>4061.22</v>
      </c>
      <c r="AD697" s="9" cm="1">
        <f t="array" aca="1" ref="AD697" ca="1">_xll.FDS($E$9,"P_PRICE("&amp;AI697&amp;",0,D,D)")</f>
        <v>4135.3500000000004</v>
      </c>
      <c r="AE697" s="9" cm="1">
        <f t="array" aca="1" ref="AE697" ca="1">_xll.FDS($E$9,"P_PRICE("&amp;AJ697&amp;",0,D,D)")</f>
        <v>4146.22</v>
      </c>
      <c r="AF697" s="9" cm="1">
        <f t="array" aca="1" ref="AF697" ca="1">_xll.FDS($E$9,"P_PRICE("&amp;AK697&amp;",0,D,D)")</f>
        <v>4136.13</v>
      </c>
      <c r="AG697" s="20">
        <f t="shared" ca="1" si="187"/>
        <v>45057</v>
      </c>
      <c r="AH697" s="22">
        <f t="shared" ca="1" si="182"/>
        <v>45050</v>
      </c>
      <c r="AI697" s="22">
        <f t="shared" ca="1" si="183"/>
        <v>45043</v>
      </c>
      <c r="AJ697" s="22">
        <f t="shared" ca="1" si="184"/>
        <v>45029</v>
      </c>
      <c r="AK697" s="22">
        <f t="shared" ca="1" si="185"/>
        <v>44971</v>
      </c>
      <c r="AL697" s="22">
        <f t="shared" ca="1" si="186"/>
        <v>44881</v>
      </c>
    </row>
    <row r="698" spans="4:38" x14ac:dyDescent="0.25">
      <c r="D698" s="6">
        <f ca="1"/>
        <v>45056</v>
      </c>
      <c r="E698" s="28" cm="1">
        <f t="array" aca="1" ref="E698" ca="1">_xll.FDS($E$7,"P_PRICE("&amp;D698&amp;",0,D,D)")</f>
        <v>49.39</v>
      </c>
      <c r="F698" s="29" cm="1">
        <f t="array" aca="1" ref="F698" ca="1">_xll.FDS($E$7,"P_BETA_LOCIDX("&amp;$AG698&amp;","&amp;$AL698&amp;",,"""&amp;$E$9&amp;""")")</f>
        <v>0.94906305999999996</v>
      </c>
      <c r="G698" s="30">
        <f t="shared" ca="1" si="172"/>
        <v>2.5202809059827913E-2</v>
      </c>
      <c r="H698" s="30">
        <f t="shared" ca="1" si="172"/>
        <v>4.097494530781693E-3</v>
      </c>
      <c r="I698" s="30">
        <f t="shared" ca="1" si="172"/>
        <v>6.4951844051102173E-3</v>
      </c>
      <c r="J698" s="30">
        <f t="shared" ca="1" si="170"/>
        <v>4.5431990375728808E-2</v>
      </c>
      <c r="K698" s="30">
        <f t="shared" ca="1" si="173"/>
        <v>1.0878583849758762E-2</v>
      </c>
      <c r="L698" s="30">
        <f t="shared" ca="1" si="173"/>
        <v>1.9105322954198627E-2</v>
      </c>
      <c r="M698" s="30">
        <f t="shared" ca="1" si="173"/>
        <v>1.0597072596537187E-2</v>
      </c>
      <c r="N698" s="30">
        <f t="shared" ca="1" si="171"/>
        <v>8.0287355007819175E-5</v>
      </c>
      <c r="O698" s="30">
        <f t="shared" ca="1" si="174"/>
        <v>3.6081392909586674E-2</v>
      </c>
      <c r="P698" s="30">
        <f t="shared" ca="1" si="175"/>
        <v>2.320281748498032E-2</v>
      </c>
      <c r="Q698" s="30">
        <f t="shared" ca="1" si="176"/>
        <v>1.7092257001647404E-2</v>
      </c>
      <c r="R698" s="30">
        <f t="shared" ca="1" si="177"/>
        <v>4.5512277730736628E-2</v>
      </c>
      <c r="S698" s="9" cm="1">
        <f t="array" aca="1" ref="S698" ca="1">_xll.FDS($E$7,"P_PRICE("&amp;AG698&amp;",0,D,D)")</f>
        <v>49.39</v>
      </c>
      <c r="T698" s="9" cm="1">
        <f t="array" aca="1" ref="T698" ca="1">_xll.FDS($E$7,"P_PRICE("&amp;AH698&amp;",0,D,D)")</f>
        <v>47.67</v>
      </c>
      <c r="U698" s="9" cm="1">
        <f t="array" aca="1" ref="U698" ca="1">_xll.FDS($E$7,"P_PRICE("&amp;AI698&amp;",0,D,D)")</f>
        <v>48.27</v>
      </c>
      <c r="V698" s="9" cm="1">
        <f t="array" aca="1" ref="V698" ca="1">_xll.FDS($E$7,"P_PRICE("&amp;AJ698&amp;",0,D,D)")</f>
        <v>48.56</v>
      </c>
      <c r="W698" s="9" cm="1">
        <f t="array" aca="1" ref="W698" ca="1">_xll.FDS($E$7,"P_PRICE("&amp;AK698&amp;",0,D,D)")</f>
        <v>47.24</v>
      </c>
      <c r="X698" s="24">
        <f t="shared" ca="1" si="178"/>
        <v>1.1462445761779794E-2</v>
      </c>
      <c r="Y698" s="24">
        <f t="shared" ca="1" si="179"/>
        <v>2.013072024339313E-2</v>
      </c>
      <c r="Z698" s="24">
        <f t="shared" ca="1" si="180"/>
        <v>1.1165825584379174E-2</v>
      </c>
      <c r="AA698" s="24">
        <f t="shared" ca="1" si="181"/>
        <v>8.4596438731709966E-5</v>
      </c>
      <c r="AB698" s="9" cm="1">
        <f t="array" aca="1" ref="AB698" ca="1">_xll.FDS($E$9,"P_PRICE("&amp;AG698&amp;",0,D,D)")</f>
        <v>4137.6400000000003</v>
      </c>
      <c r="AC698" s="9" cm="1">
        <f t="array" aca="1" ref="AC698" ca="1">_xll.FDS($E$9,"P_PRICE("&amp;AH698&amp;",0,D,D)")</f>
        <v>4090.75</v>
      </c>
      <c r="AD698" s="9" cm="1">
        <f t="array" aca="1" ref="AD698" ca="1">_xll.FDS($E$9,"P_PRICE("&amp;AI698&amp;",0,D,D)")</f>
        <v>4055.99</v>
      </c>
      <c r="AE698" s="9" cm="1">
        <f t="array" aca="1" ref="AE698" ca="1">_xll.FDS($E$9,"P_PRICE("&amp;AJ698&amp;",0,D,D)")</f>
        <v>4091.95</v>
      </c>
      <c r="AF698" s="9" cm="1">
        <f t="array" aca="1" ref="AF698" ca="1">_xll.FDS($E$9,"P_PRICE("&amp;AK698&amp;",0,D,D)")</f>
        <v>4137.29</v>
      </c>
      <c r="AG698" s="20">
        <f t="shared" ca="1" si="187"/>
        <v>45056</v>
      </c>
      <c r="AH698" s="22">
        <f t="shared" ca="1" si="182"/>
        <v>45049</v>
      </c>
      <c r="AI698" s="22">
        <f t="shared" ca="1" si="183"/>
        <v>45042</v>
      </c>
      <c r="AJ698" s="22">
        <f t="shared" ca="1" si="184"/>
        <v>45028</v>
      </c>
      <c r="AK698" s="22">
        <f t="shared" ca="1" si="185"/>
        <v>44970</v>
      </c>
      <c r="AL698" s="22">
        <f t="shared" ca="1" si="186"/>
        <v>44880</v>
      </c>
    </row>
    <row r="699" spans="4:38" x14ac:dyDescent="0.25">
      <c r="D699" s="6">
        <f ca="1"/>
        <v>45055</v>
      </c>
      <c r="E699" s="28" cm="1">
        <f t="array" aca="1" ref="E699" ca="1">_xll.FDS($E$7,"P_PRICE("&amp;D699&amp;",0,D,D)")</f>
        <v>49.35</v>
      </c>
      <c r="F699" s="29" cm="1">
        <f t="array" aca="1" ref="F699" ca="1">_xll.FDS($E$7,"P_BETA_LOCIDX("&amp;$AG699&amp;","&amp;$AL699&amp;",,"""&amp;$E$9&amp;""")")</f>
        <v>0.96355634999999995</v>
      </c>
      <c r="G699" s="30">
        <f t="shared" ca="1" si="172"/>
        <v>2.8649461650168392E-2</v>
      </c>
      <c r="H699" s="30">
        <f t="shared" ca="1" si="172"/>
        <v>-1.5286727612238605E-2</v>
      </c>
      <c r="I699" s="30">
        <f t="shared" ca="1" si="172"/>
        <v>3.1325380478196239E-2</v>
      </c>
      <c r="J699" s="30">
        <f t="shared" ca="1" si="170"/>
        <v>5.9802828490414406E-2</v>
      </c>
      <c r="K699" s="30">
        <f t="shared" ca="1" si="173"/>
        <v>-9.5897665174524423E-5</v>
      </c>
      <c r="L699" s="30">
        <f t="shared" ca="1" si="173"/>
        <v>1.1250400669756367E-2</v>
      </c>
      <c r="M699" s="30">
        <f t="shared" ca="1" si="173"/>
        <v>2.3989596977568115E-3</v>
      </c>
      <c r="N699" s="30">
        <f t="shared" ca="1" si="171"/>
        <v>6.7629808893132646E-3</v>
      </c>
      <c r="O699" s="30">
        <f t="shared" ca="1" si="174"/>
        <v>2.8553563984993868E-2</v>
      </c>
      <c r="P699" s="30">
        <f t="shared" ca="1" si="175"/>
        <v>-4.0363269424822379E-3</v>
      </c>
      <c r="Q699" s="30">
        <f t="shared" ca="1" si="176"/>
        <v>3.3724340175953049E-2</v>
      </c>
      <c r="R699" s="30">
        <f t="shared" ca="1" si="177"/>
        <v>6.656580937972767E-2</v>
      </c>
      <c r="S699" s="9" cm="1">
        <f t="array" aca="1" ref="S699" ca="1">_xll.FDS($E$7,"P_PRICE("&amp;AG699&amp;",0,D,D)")</f>
        <v>49.35</v>
      </c>
      <c r="T699" s="9" cm="1">
        <f t="array" aca="1" ref="T699" ca="1">_xll.FDS($E$7,"P_PRICE("&amp;AH699&amp;",0,D,D)")</f>
        <v>47.98</v>
      </c>
      <c r="U699" s="9" cm="1">
        <f t="array" aca="1" ref="U699" ca="1">_xll.FDS($E$7,"P_PRICE("&amp;AI699&amp;",0,D,D)")</f>
        <v>49.55</v>
      </c>
      <c r="V699" s="9" cm="1">
        <f t="array" aca="1" ref="V699" ca="1">_xll.FDS($E$7,"P_PRICE("&amp;AJ699&amp;",0,D,D)")</f>
        <v>47.74</v>
      </c>
      <c r="W699" s="9" cm="1">
        <f t="array" aca="1" ref="W699" ca="1">_xll.FDS($E$7,"P_PRICE("&amp;AK699&amp;",0,D,D)")</f>
        <v>46.27</v>
      </c>
      <c r="X699" s="24">
        <f t="shared" ca="1" si="178"/>
        <v>-9.9524708829457076E-5</v>
      </c>
      <c r="Y699" s="24">
        <f t="shared" ca="1" si="179"/>
        <v>1.1675913577608998E-2</v>
      </c>
      <c r="Z699" s="24">
        <f t="shared" ca="1" si="180"/>
        <v>2.4896932055471499E-3</v>
      </c>
      <c r="AA699" s="24">
        <f t="shared" ca="1" si="181"/>
        <v>7.0187705050288596E-3</v>
      </c>
      <c r="AB699" s="9" cm="1">
        <f t="array" aca="1" ref="AB699" ca="1">_xll.FDS($E$9,"P_PRICE("&amp;AG699&amp;",0,D,D)")</f>
        <v>4119.17</v>
      </c>
      <c r="AC699" s="9" cm="1">
        <f t="array" aca="1" ref="AC699" ca="1">_xll.FDS($E$9,"P_PRICE("&amp;AH699&amp;",0,D,D)")</f>
        <v>4119.58</v>
      </c>
      <c r="AD699" s="9" cm="1">
        <f t="array" aca="1" ref="AD699" ca="1">_xll.FDS($E$9,"P_PRICE("&amp;AI699&amp;",0,D,D)")</f>
        <v>4071.63</v>
      </c>
      <c r="AE699" s="9" cm="1">
        <f t="array" aca="1" ref="AE699" ca="1">_xll.FDS($E$9,"P_PRICE("&amp;AJ699&amp;",0,D,D)")</f>
        <v>4108.9399999999996</v>
      </c>
      <c r="AF699" s="9" cm="1">
        <f t="array" aca="1" ref="AF699" ca="1">_xll.FDS($E$9,"P_PRICE("&amp;AK699&amp;",0,D,D)")</f>
        <v>4090.46</v>
      </c>
      <c r="AG699" s="20">
        <f t="shared" ca="1" si="187"/>
        <v>45055</v>
      </c>
      <c r="AH699" s="22">
        <f t="shared" ca="1" si="182"/>
        <v>45048</v>
      </c>
      <c r="AI699" s="22">
        <f t="shared" ca="1" si="183"/>
        <v>45041</v>
      </c>
      <c r="AJ699" s="22">
        <f t="shared" ca="1" si="184"/>
        <v>45027</v>
      </c>
      <c r="AK699" s="22">
        <f t="shared" ca="1" si="185"/>
        <v>44967</v>
      </c>
      <c r="AL699" s="22">
        <f t="shared" ca="1" si="186"/>
        <v>44879</v>
      </c>
    </row>
    <row r="700" spans="4:38" x14ac:dyDescent="0.25">
      <c r="D700" s="6">
        <f ca="1"/>
        <v>45054</v>
      </c>
      <c r="E700" s="28" cm="1">
        <f t="array" aca="1" ref="E700" ca="1">_xll.FDS($E$7,"P_PRICE("&amp;D700&amp;",0,D,D)")</f>
        <v>49.28</v>
      </c>
      <c r="F700" s="29" cm="1">
        <f t="array" aca="1" ref="F700" ca="1">_xll.FDS($E$7,"P_BETA_LOCIDX("&amp;$AG700&amp;","&amp;$AL700&amp;",,"""&amp;$E$9&amp;""")")</f>
        <v>0.97896850000000002</v>
      </c>
      <c r="G700" s="30">
        <f t="shared" ca="1" si="172"/>
        <v>2.7488955960612037E-2</v>
      </c>
      <c r="H700" s="30">
        <f t="shared" ca="1" si="172"/>
        <v>-1.1094586284043157E-2</v>
      </c>
      <c r="I700" s="30">
        <f t="shared" ca="1" si="172"/>
        <v>1.868689288551079E-2</v>
      </c>
      <c r="J700" s="30">
        <f t="shared" ca="1" si="170"/>
        <v>3.8736296377441956E-2</v>
      </c>
      <c r="K700" s="30">
        <f t="shared" ca="1" si="173"/>
        <v>-6.9878170084479371E-3</v>
      </c>
      <c r="L700" s="30">
        <f t="shared" ca="1" si="173"/>
        <v>2.555658103378267E-4</v>
      </c>
      <c r="M700" s="30">
        <f t="shared" ca="1" si="173"/>
        <v>6.9114421821270767E-3</v>
      </c>
      <c r="N700" s="30">
        <f t="shared" ca="1" si="171"/>
        <v>1.3580594504471428E-2</v>
      </c>
      <c r="O700" s="30">
        <f t="shared" ca="1" si="174"/>
        <v>2.05011389521641E-2</v>
      </c>
      <c r="P700" s="30">
        <f t="shared" ca="1" si="175"/>
        <v>-1.083902047370533E-2</v>
      </c>
      <c r="Q700" s="30">
        <f t="shared" ca="1" si="176"/>
        <v>2.5598335067637867E-2</v>
      </c>
      <c r="R700" s="30">
        <f t="shared" ca="1" si="177"/>
        <v>5.231689088191338E-2</v>
      </c>
      <c r="S700" s="9" cm="1">
        <f t="array" aca="1" ref="S700" ca="1">_xll.FDS($E$7,"P_PRICE("&amp;AG700&amp;",0,D,D)")</f>
        <v>49.28</v>
      </c>
      <c r="T700" s="9" cm="1">
        <f t="array" aca="1" ref="T700" ca="1">_xll.FDS($E$7,"P_PRICE("&amp;AH700&amp;",0,D,D)")</f>
        <v>48.29</v>
      </c>
      <c r="U700" s="9" cm="1">
        <f t="array" aca="1" ref="U700" ca="1">_xll.FDS($E$7,"P_PRICE("&amp;AI700&amp;",0,D,D)")</f>
        <v>49.82</v>
      </c>
      <c r="V700" s="9" cm="1">
        <f t="array" aca="1" ref="V700" ca="1">_xll.FDS($E$7,"P_PRICE("&amp;AJ700&amp;",0,D,D)")</f>
        <v>48.05</v>
      </c>
      <c r="W700" s="9" cm="1">
        <f t="array" aca="1" ref="W700" ca="1">_xll.FDS($E$7,"P_PRICE("&amp;AK700&amp;",0,D,D)")</f>
        <v>46.83</v>
      </c>
      <c r="X700" s="24">
        <f t="shared" ca="1" si="178"/>
        <v>-7.1379385633428827E-3</v>
      </c>
      <c r="Y700" s="24">
        <f t="shared" ca="1" si="179"/>
        <v>2.610562141047712E-4</v>
      </c>
      <c r="Z700" s="24">
        <f t="shared" ca="1" si="180"/>
        <v>7.0599229516854489E-3</v>
      </c>
      <c r="AA700" s="24">
        <f t="shared" ca="1" si="181"/>
        <v>1.3872350851402704E-2</v>
      </c>
      <c r="AB700" s="9" cm="1">
        <f t="array" aca="1" ref="AB700" ca="1">_xll.FDS($E$9,"P_PRICE("&amp;AG700&amp;",0,D,D)")</f>
        <v>4138.12</v>
      </c>
      <c r="AC700" s="9" cm="1">
        <f t="array" aca="1" ref="AC700" ca="1">_xll.FDS($E$9,"P_PRICE("&amp;AH700&amp;",0,D,D)")</f>
        <v>4167.87</v>
      </c>
      <c r="AD700" s="9" cm="1">
        <f t="array" aca="1" ref="AD700" ca="1">_xll.FDS($E$9,"P_PRICE("&amp;AI700&amp;",0,D,D)")</f>
        <v>4137.04</v>
      </c>
      <c r="AE700" s="9" cm="1">
        <f t="array" aca="1" ref="AE700" ca="1">_xll.FDS($E$9,"P_PRICE("&amp;AJ700&amp;",0,D,D)")</f>
        <v>4109.1099999999997</v>
      </c>
      <c r="AF700" s="9" cm="1">
        <f t="array" aca="1" ref="AF700" ca="1">_xll.FDS($E$9,"P_PRICE("&amp;AK700&amp;",0,D,D)")</f>
        <v>4081.5</v>
      </c>
      <c r="AG700" s="20">
        <f t="shared" ca="1" si="187"/>
        <v>45054</v>
      </c>
      <c r="AH700" s="22">
        <f t="shared" ca="1" si="182"/>
        <v>45047</v>
      </c>
      <c r="AI700" s="22">
        <f t="shared" ca="1" si="183"/>
        <v>45040</v>
      </c>
      <c r="AJ700" s="22">
        <f t="shared" ca="1" si="184"/>
        <v>45026</v>
      </c>
      <c r="AK700" s="22">
        <f t="shared" ca="1" si="185"/>
        <v>44966</v>
      </c>
      <c r="AL700" s="22">
        <f t="shared" ca="1" si="186"/>
        <v>44876</v>
      </c>
    </row>
    <row r="701" spans="4:38" x14ac:dyDescent="0.25">
      <c r="D701" s="6">
        <f ca="1"/>
        <v>45051</v>
      </c>
      <c r="E701" s="28" cm="1">
        <f t="array" aca="1" ref="E701" ca="1">_xll.FDS($E$7,"P_PRICE("&amp;D701&amp;",0,D,D)")</f>
        <v>49.5</v>
      </c>
      <c r="F701" s="29" cm="1">
        <f t="array" aca="1" ref="F701" ca="1">_xll.FDS($E$7,"P_BETA_LOCIDX("&amp;$AG701&amp;","&amp;$AL701&amp;",,"""&amp;$E$9&amp;""")")</f>
        <v>1.0693961000000001</v>
      </c>
      <c r="G701" s="30">
        <f t="shared" ca="1" si="172"/>
        <v>2.9141449820316641E-2</v>
      </c>
      <c r="H701" s="30">
        <f t="shared" ca="1" si="172"/>
        <v>7.0985706318539251E-4</v>
      </c>
      <c r="I701" s="30">
        <f t="shared" ca="1" si="172"/>
        <v>2.8079490761060026E-2</v>
      </c>
      <c r="J701" s="30">
        <f t="shared" ca="1" si="170"/>
        <v>4.9761878937075135E-2</v>
      </c>
      <c r="K701" s="30">
        <f t="shared" ca="1" si="173"/>
        <v>-8.5228931192857845E-3</v>
      </c>
      <c r="L701" s="30">
        <f t="shared" ca="1" si="173"/>
        <v>7.0628697889428863E-4</v>
      </c>
      <c r="M701" s="30">
        <f t="shared" ca="1" si="173"/>
        <v>8.1357070618412533E-3</v>
      </c>
      <c r="N701" s="30">
        <f t="shared" ca="1" si="171"/>
        <v>4.7758287748977278E-3</v>
      </c>
      <c r="O701" s="30">
        <f t="shared" ca="1" si="174"/>
        <v>2.0618556701030855E-2</v>
      </c>
      <c r="P701" s="30">
        <f t="shared" ca="1" si="175"/>
        <v>1.4161440420796811E-3</v>
      </c>
      <c r="Q701" s="30">
        <f t="shared" ca="1" si="176"/>
        <v>3.6215197822901279E-2</v>
      </c>
      <c r="R701" s="30">
        <f t="shared" ca="1" si="177"/>
        <v>5.453770771197286E-2</v>
      </c>
      <c r="S701" s="9" cm="1">
        <f t="array" aca="1" ref="S701" ca="1">_xll.FDS($E$7,"P_PRICE("&amp;AG701&amp;",0,D,D)")</f>
        <v>49.5</v>
      </c>
      <c r="T701" s="9" cm="1">
        <f t="array" aca="1" ref="T701" ca="1">_xll.FDS($E$7,"P_PRICE("&amp;AH701&amp;",0,D,D)")</f>
        <v>48.5</v>
      </c>
      <c r="U701" s="9" cm="1">
        <f t="array" aca="1" ref="U701" ca="1">_xll.FDS($E$7,"P_PRICE("&amp;AI701&amp;",0,D,D)")</f>
        <v>49.43</v>
      </c>
      <c r="V701" s="9" cm="1">
        <f t="array" aca="1" ref="V701" ca="1">_xll.FDS($E$7,"P_PRICE("&amp;AJ701&amp;",0,D,D)")</f>
        <v>47.77</v>
      </c>
      <c r="W701" s="9" cm="1">
        <f t="array" aca="1" ref="W701" ca="1">_xll.FDS($E$7,"P_PRICE("&amp;AK701&amp;",0,D,D)")</f>
        <v>46.94</v>
      </c>
      <c r="X701" s="24">
        <f t="shared" ca="1" si="178"/>
        <v>-7.9698187783607821E-3</v>
      </c>
      <c r="Y701" s="24">
        <f t="shared" ca="1" si="179"/>
        <v>6.604540440107165E-4</v>
      </c>
      <c r="Z701" s="24">
        <f t="shared" ca="1" si="180"/>
        <v>7.6077583056841647E-3</v>
      </c>
      <c r="AA701" s="24">
        <f t="shared" ca="1" si="181"/>
        <v>4.4659119056986718E-3</v>
      </c>
      <c r="AB701" s="9" cm="1">
        <f t="array" aca="1" ref="AB701" ca="1">_xll.FDS($E$9,"P_PRICE("&amp;AG701&amp;",0,D,D)")</f>
        <v>4136.25</v>
      </c>
      <c r="AC701" s="9" cm="1">
        <f t="array" aca="1" ref="AC701" ca="1">_xll.FDS($E$9,"P_PRICE("&amp;AH701&amp;",0,D,D)")</f>
        <v>4169.4799999999996</v>
      </c>
      <c r="AD701" s="9" cm="1">
        <f t="array" aca="1" ref="AD701" ca="1">_xll.FDS($E$9,"P_PRICE("&amp;AI701&amp;",0,D,D)")</f>
        <v>4133.5200000000004</v>
      </c>
      <c r="AE701" s="9" cm="1">
        <f t="array" aca="1" ref="AE701" ca="1">_xll.FDS($E$9,"P_PRICE("&amp;AJ701&amp;",0,D,D)")</f>
        <v>4105.0200000000004</v>
      </c>
      <c r="AF701" s="9" cm="1">
        <f t="array" aca="1" ref="AF701" ca="1">_xll.FDS($E$9,"P_PRICE("&amp;AK701&amp;",0,D,D)")</f>
        <v>4117.8599999999997</v>
      </c>
      <c r="AG701" s="20">
        <f t="shared" ca="1" si="187"/>
        <v>45051</v>
      </c>
      <c r="AH701" s="22">
        <f t="shared" ca="1" si="182"/>
        <v>45044</v>
      </c>
      <c r="AI701" s="22">
        <f t="shared" ca="1" si="183"/>
        <v>45037</v>
      </c>
      <c r="AJ701" s="22">
        <f t="shared" ca="1" si="184"/>
        <v>45022</v>
      </c>
      <c r="AK701" s="22">
        <f t="shared" ca="1" si="185"/>
        <v>44965</v>
      </c>
      <c r="AL701" s="22">
        <f t="shared" ca="1" si="186"/>
        <v>44875</v>
      </c>
    </row>
    <row r="702" spans="4:38" x14ac:dyDescent="0.25">
      <c r="D702" s="6">
        <f ca="1"/>
        <v>45050</v>
      </c>
      <c r="E702" s="28" cm="1">
        <f t="array" aca="1" ref="E702" ca="1">_xll.FDS($E$7,"P_PRICE("&amp;D702&amp;",0,D,D)")</f>
        <v>48.46</v>
      </c>
      <c r="F702" s="29" cm="1">
        <f t="array" aca="1" ref="F702" ca="1">_xll.FDS($E$7,"P_BETA_LOCIDX("&amp;$AG702&amp;","&amp;$AL702&amp;",,"""&amp;$E$9&amp;""")")</f>
        <v>1.0695003000000001</v>
      </c>
      <c r="G702" s="30">
        <f t="shared" ca="1" si="172"/>
        <v>1.6291130466539211E-2</v>
      </c>
      <c r="H702" s="30">
        <f t="shared" ca="1" si="172"/>
        <v>-1.0710608555938694E-2</v>
      </c>
      <c r="I702" s="30">
        <f t="shared" ca="1" si="172"/>
        <v>3.6499118832645255E-2</v>
      </c>
      <c r="J702" s="30">
        <f t="shared" ca="1" si="170"/>
        <v>5.1356171638333517E-2</v>
      </c>
      <c r="K702" s="30">
        <f t="shared" ca="1" si="173"/>
        <v>-1.9171788902753201E-2</v>
      </c>
      <c r="L702" s="30">
        <f t="shared" ca="1" si="173"/>
        <v>-1.7757715421607478E-2</v>
      </c>
      <c r="M702" s="30">
        <f t="shared" ca="1" si="173"/>
        <v>-7.6243842254265764E-3</v>
      </c>
      <c r="N702" s="30">
        <f t="shared" ca="1" si="171"/>
        <v>-2.6398472822766649E-2</v>
      </c>
      <c r="O702" s="30">
        <f t="shared" ca="1" si="174"/>
        <v>-2.8806584362139898E-3</v>
      </c>
      <c r="P702" s="30">
        <f t="shared" ca="1" si="175"/>
        <v>-2.8468323977546173E-2</v>
      </c>
      <c r="Q702" s="30">
        <f t="shared" ca="1" si="176"/>
        <v>2.8874734607218677E-2</v>
      </c>
      <c r="R702" s="30">
        <f t="shared" ca="1" si="177"/>
        <v>2.4957698815566864E-2</v>
      </c>
      <c r="S702" s="9" cm="1">
        <f t="array" aca="1" ref="S702" ca="1">_xll.FDS($E$7,"P_PRICE("&amp;AG702&amp;",0,D,D)")</f>
        <v>48.46</v>
      </c>
      <c r="T702" s="9" cm="1">
        <f t="array" aca="1" ref="T702" ca="1">_xll.FDS($E$7,"P_PRICE("&amp;AH702&amp;",0,D,D)")</f>
        <v>48.6</v>
      </c>
      <c r="U702" s="9" cm="1">
        <f t="array" aca="1" ref="U702" ca="1">_xll.FDS($E$7,"P_PRICE("&amp;AI702&amp;",0,D,D)")</f>
        <v>49.88</v>
      </c>
      <c r="V702" s="9" cm="1">
        <f t="array" aca="1" ref="V702" ca="1">_xll.FDS($E$7,"P_PRICE("&amp;AJ702&amp;",0,D,D)")</f>
        <v>47.1</v>
      </c>
      <c r="W702" s="9" cm="1">
        <f t="array" aca="1" ref="W702" ca="1">_xll.FDS($E$7,"P_PRICE("&amp;AK702&amp;",0,D,D)")</f>
        <v>47.28</v>
      </c>
      <c r="X702" s="24">
        <f t="shared" ca="1" si="178"/>
        <v>-1.7925931299648257E-2</v>
      </c>
      <c r="Y702" s="24">
        <f t="shared" ca="1" si="179"/>
        <v>-1.6603749827473147E-2</v>
      </c>
      <c r="Z702" s="24">
        <f t="shared" ca="1" si="180"/>
        <v>-7.1289220072463522E-3</v>
      </c>
      <c r="AA702" s="24">
        <f t="shared" ca="1" si="181"/>
        <v>-2.4682997118155692E-2</v>
      </c>
      <c r="AB702" s="9" cm="1">
        <f t="array" aca="1" ref="AB702" ca="1">_xll.FDS($E$9,"P_PRICE("&amp;AG702&amp;",0,D,D)")</f>
        <v>4061.22</v>
      </c>
      <c r="AC702" s="9" cm="1">
        <f t="array" aca="1" ref="AC702" ca="1">_xll.FDS($E$9,"P_PRICE("&amp;AH702&amp;",0,D,D)")</f>
        <v>4135.3500000000004</v>
      </c>
      <c r="AD702" s="9" cm="1">
        <f t="array" aca="1" ref="AD702" ca="1">_xll.FDS($E$9,"P_PRICE("&amp;AI702&amp;",0,D,D)")</f>
        <v>4129.79</v>
      </c>
      <c r="AE702" s="9" cm="1">
        <f t="array" aca="1" ref="AE702" ca="1">_xll.FDS($E$9,"P_PRICE("&amp;AJ702&amp;",0,D,D)")</f>
        <v>4090.38</v>
      </c>
      <c r="AF702" s="9" cm="1">
        <f t="array" aca="1" ref="AF702" ca="1">_xll.FDS($E$9,"P_PRICE("&amp;AK702&amp;",0,D,D)")</f>
        <v>4164</v>
      </c>
      <c r="AG702" s="20">
        <f t="shared" ca="1" si="187"/>
        <v>45050</v>
      </c>
      <c r="AH702" s="22">
        <f t="shared" ca="1" si="182"/>
        <v>45043</v>
      </c>
      <c r="AI702" s="22">
        <f t="shared" ca="1" si="183"/>
        <v>45036</v>
      </c>
      <c r="AJ702" s="22">
        <f t="shared" ca="1" si="184"/>
        <v>45021</v>
      </c>
      <c r="AK702" s="22">
        <f t="shared" ca="1" si="185"/>
        <v>44964</v>
      </c>
      <c r="AL702" s="22">
        <f t="shared" ca="1" si="186"/>
        <v>44874</v>
      </c>
    </row>
    <row r="703" spans="4:38" x14ac:dyDescent="0.25">
      <c r="D703" s="6">
        <f ca="1"/>
        <v>45049</v>
      </c>
      <c r="E703" s="28" cm="1">
        <f t="array" aca="1" ref="E703" ca="1">_xll.FDS($E$7,"P_PRICE("&amp;D703&amp;",0,D,D)")</f>
        <v>47.67</v>
      </c>
      <c r="F703" s="29" cm="1">
        <f t="array" aca="1" ref="F703" ca="1">_xll.FDS($E$7,"P_BETA_LOCIDX("&amp;$AG703&amp;","&amp;$AL703&amp;",,"""&amp;$E$9&amp;""")")</f>
        <v>1.0756124</v>
      </c>
      <c r="G703" s="30">
        <f t="shared" ca="1" si="172"/>
        <v>-2.1648123005688465E-2</v>
      </c>
      <c r="H703" s="30">
        <f t="shared" ca="1" si="172"/>
        <v>-2.9899118769420051E-2</v>
      </c>
      <c r="I703" s="30">
        <f t="shared" ca="1" si="172"/>
        <v>-4.8570743498496813E-2</v>
      </c>
      <c r="J703" s="30">
        <f t="shared" ca="1" si="170"/>
        <v>2.9379239299531738E-2</v>
      </c>
      <c r="K703" s="30">
        <f t="shared" ca="1" si="173"/>
        <v>9.2180422101632541E-3</v>
      </c>
      <c r="L703" s="30">
        <f t="shared" ca="1" si="173"/>
        <v>-1.6510163086951225E-2</v>
      </c>
      <c r="M703" s="30">
        <f t="shared" ca="1" si="173"/>
        <v>-2.583715100229323E-3</v>
      </c>
      <c r="N703" s="30">
        <f t="shared" ca="1" si="171"/>
        <v>-5.3190889235918458E-3</v>
      </c>
      <c r="O703" s="30">
        <f t="shared" ca="1" si="174"/>
        <v>-1.2430080795525211E-2</v>
      </c>
      <c r="P703" s="30">
        <f t="shared" ca="1" si="175"/>
        <v>-4.6409281856371276E-2</v>
      </c>
      <c r="Q703" s="30">
        <f t="shared" ca="1" si="176"/>
        <v>-5.1154458598726138E-2</v>
      </c>
      <c r="R703" s="30">
        <f t="shared" ca="1" si="177"/>
        <v>2.4060150375939893E-2</v>
      </c>
      <c r="S703" s="9" cm="1">
        <f t="array" aca="1" ref="S703" ca="1">_xll.FDS($E$7,"P_PRICE("&amp;AG703&amp;",0,D,D)")</f>
        <v>47.67</v>
      </c>
      <c r="T703" s="9" cm="1">
        <f t="array" aca="1" ref="T703" ca="1">_xll.FDS($E$7,"P_PRICE("&amp;AH703&amp;",0,D,D)")</f>
        <v>48.27</v>
      </c>
      <c r="U703" s="9" cm="1">
        <f t="array" aca="1" ref="U703" ca="1">_xll.FDS($E$7,"P_PRICE("&amp;AI703&amp;",0,D,D)")</f>
        <v>49.99</v>
      </c>
      <c r="V703" s="9" cm="1">
        <f t="array" aca="1" ref="V703" ca="1">_xll.FDS($E$7,"P_PRICE("&amp;AJ703&amp;",0,D,D)")</f>
        <v>50.24</v>
      </c>
      <c r="W703" s="9" cm="1">
        <f t="array" aca="1" ref="W703" ca="1">_xll.FDS($E$7,"P_PRICE("&amp;AK703&amp;",0,D,D)")</f>
        <v>46.55</v>
      </c>
      <c r="X703" s="24">
        <f t="shared" ca="1" si="178"/>
        <v>8.5700408531579342E-3</v>
      </c>
      <c r="Y703" s="24">
        <f t="shared" ca="1" si="179"/>
        <v>-1.5349546999412822E-2</v>
      </c>
      <c r="Z703" s="24">
        <f t="shared" ca="1" si="180"/>
        <v>-2.4020874993904151E-3</v>
      </c>
      <c r="AA703" s="24">
        <f t="shared" ca="1" si="181"/>
        <v>-4.9451725580625938E-3</v>
      </c>
      <c r="AB703" s="9" cm="1">
        <f t="array" aca="1" ref="AB703" ca="1">_xll.FDS($E$9,"P_PRICE("&amp;AG703&amp;",0,D,D)")</f>
        <v>4090.75</v>
      </c>
      <c r="AC703" s="9" cm="1">
        <f t="array" aca="1" ref="AC703" ca="1">_xll.FDS($E$9,"P_PRICE("&amp;AH703&amp;",0,D,D)")</f>
        <v>4055.99</v>
      </c>
      <c r="AD703" s="9" cm="1">
        <f t="array" aca="1" ref="AD703" ca="1">_xll.FDS($E$9,"P_PRICE("&amp;AI703&amp;",0,D,D)")</f>
        <v>4154.5200000000004</v>
      </c>
      <c r="AE703" s="9" cm="1">
        <f t="array" aca="1" ref="AE703" ca="1">_xll.FDS($E$9,"P_PRICE("&amp;AJ703&amp;",0,D,D)")</f>
        <v>4100.6000000000004</v>
      </c>
      <c r="AF703" s="9" cm="1">
        <f t="array" aca="1" ref="AF703" ca="1">_xll.FDS($E$9,"P_PRICE("&amp;AK703&amp;",0,D,D)")</f>
        <v>4111.08</v>
      </c>
      <c r="AG703" s="20">
        <f t="shared" ca="1" si="187"/>
        <v>45049</v>
      </c>
      <c r="AH703" s="22">
        <f t="shared" ca="1" si="182"/>
        <v>45042</v>
      </c>
      <c r="AI703" s="22">
        <f t="shared" ca="1" si="183"/>
        <v>45035</v>
      </c>
      <c r="AJ703" s="22">
        <f t="shared" ca="1" si="184"/>
        <v>45020</v>
      </c>
      <c r="AK703" s="22">
        <f t="shared" ca="1" si="185"/>
        <v>44963</v>
      </c>
      <c r="AL703" s="22">
        <f t="shared" ca="1" si="186"/>
        <v>44873</v>
      </c>
    </row>
    <row r="704" spans="4:38" x14ac:dyDescent="0.25">
      <c r="D704" s="6">
        <f ca="1"/>
        <v>45048</v>
      </c>
      <c r="E704" s="28" cm="1">
        <f t="array" aca="1" ref="E704" ca="1">_xll.FDS($E$7,"P_PRICE("&amp;D704&amp;",0,D,D)")</f>
        <v>47.98</v>
      </c>
      <c r="F704" s="29" cm="1">
        <f t="array" aca="1" ref="F704" ca="1">_xll.FDS($E$7,"P_BETA_LOCIDX("&amp;$AG704&amp;","&amp;$AL704&amp;",,"""&amp;$E$9&amp;""")")</f>
        <v>1.0697771</v>
      </c>
      <c r="G704" s="30">
        <f t="shared" ca="1" si="172"/>
        <v>-4.4283514566704832E-2</v>
      </c>
      <c r="H704" s="30">
        <f t="shared" ca="1" si="172"/>
        <v>-3.0545396079283783E-2</v>
      </c>
      <c r="I704" s="30">
        <f t="shared" ca="1" si="172"/>
        <v>-5.6273846088859915E-2</v>
      </c>
      <c r="J704" s="30">
        <f t="shared" ca="1" si="170"/>
        <v>1.6606967544420086E-2</v>
      </c>
      <c r="K704" s="30">
        <f t="shared" ca="1" si="173"/>
        <v>1.2598348068218424E-2</v>
      </c>
      <c r="L704" s="30">
        <f t="shared" ca="1" si="173"/>
        <v>-9.0863092850077213E-3</v>
      </c>
      <c r="M704" s="30">
        <f t="shared" ca="1" si="173"/>
        <v>-1.2786976157168244E-3</v>
      </c>
      <c r="N704" s="30">
        <f t="shared" ca="1" si="171"/>
        <v>-4.370680624588944E-3</v>
      </c>
      <c r="O704" s="30">
        <f t="shared" ca="1" si="174"/>
        <v>-3.1685166498486406E-2</v>
      </c>
      <c r="P704" s="30">
        <f t="shared" ca="1" si="175"/>
        <v>-3.9631705364291503E-2</v>
      </c>
      <c r="Q704" s="30">
        <f t="shared" ca="1" si="176"/>
        <v>-5.7552543704576742E-2</v>
      </c>
      <c r="R704" s="30">
        <f t="shared" ca="1" si="177"/>
        <v>1.2236286919831141E-2</v>
      </c>
      <c r="S704" s="9" cm="1">
        <f t="array" aca="1" ref="S704" ca="1">_xll.FDS($E$7,"P_PRICE("&amp;AG704&amp;",0,D,D)")</f>
        <v>47.98</v>
      </c>
      <c r="T704" s="9" cm="1">
        <f t="array" aca="1" ref="T704" ca="1">_xll.FDS($E$7,"P_PRICE("&amp;AH704&amp;",0,D,D)")</f>
        <v>49.55</v>
      </c>
      <c r="U704" s="9" cm="1">
        <f t="array" aca="1" ref="U704" ca="1">_xll.FDS($E$7,"P_PRICE("&amp;AI704&amp;",0,D,D)")</f>
        <v>49.96</v>
      </c>
      <c r="V704" s="9" cm="1">
        <f t="array" aca="1" ref="V704" ca="1">_xll.FDS($E$7,"P_PRICE("&amp;AJ704&amp;",0,D,D)")</f>
        <v>50.91</v>
      </c>
      <c r="W704" s="9" cm="1">
        <f t="array" aca="1" ref="W704" ca="1">_xll.FDS($E$7,"P_PRICE("&amp;AK704&amp;",0,D,D)")</f>
        <v>47.4</v>
      </c>
      <c r="X704" s="24">
        <f t="shared" ca="1" si="178"/>
        <v>1.1776610350154648E-2</v>
      </c>
      <c r="Y704" s="24">
        <f t="shared" ca="1" si="179"/>
        <v>-8.4936472139922614E-3</v>
      </c>
      <c r="Z704" s="24">
        <f t="shared" ca="1" si="180"/>
        <v>-1.1952935015311361E-3</v>
      </c>
      <c r="AA704" s="24">
        <f t="shared" ca="1" si="181"/>
        <v>-4.0855993501720533E-3</v>
      </c>
      <c r="AB704" s="9" cm="1">
        <f t="array" aca="1" ref="AB704" ca="1">_xll.FDS($E$9,"P_PRICE("&amp;AG704&amp;",0,D,D)")</f>
        <v>4119.58</v>
      </c>
      <c r="AC704" s="9" cm="1">
        <f t="array" aca="1" ref="AC704" ca="1">_xll.FDS($E$9,"P_PRICE("&amp;AH704&amp;",0,D,D)")</f>
        <v>4071.63</v>
      </c>
      <c r="AD704" s="9" cm="1">
        <f t="array" aca="1" ref="AD704" ca="1">_xll.FDS($E$9,"P_PRICE("&amp;AI704&amp;",0,D,D)")</f>
        <v>4154.87</v>
      </c>
      <c r="AE704" s="9" cm="1">
        <f t="array" aca="1" ref="AE704" ca="1">_xll.FDS($E$9,"P_PRICE("&amp;AJ704&amp;",0,D,D)")</f>
        <v>4124.51</v>
      </c>
      <c r="AF704" s="9" cm="1">
        <f t="array" aca="1" ref="AF704" ca="1">_xll.FDS($E$9,"P_PRICE("&amp;AK704&amp;",0,D,D)")</f>
        <v>4136.4799999999996</v>
      </c>
      <c r="AG704" s="20">
        <f t="shared" ca="1" si="187"/>
        <v>45048</v>
      </c>
      <c r="AH704" s="22">
        <f t="shared" ca="1" si="182"/>
        <v>45041</v>
      </c>
      <c r="AI704" s="22">
        <f t="shared" ca="1" si="183"/>
        <v>45034</v>
      </c>
      <c r="AJ704" s="22">
        <f t="shared" ca="1" si="184"/>
        <v>45019</v>
      </c>
      <c r="AK704" s="22">
        <f t="shared" ca="1" si="185"/>
        <v>44960</v>
      </c>
      <c r="AL704" s="22">
        <f t="shared" ca="1" si="186"/>
        <v>44872</v>
      </c>
    </row>
    <row r="705" spans="4:38" x14ac:dyDescent="0.25">
      <c r="D705" s="6">
        <f ca="1"/>
        <v>45047</v>
      </c>
      <c r="E705" s="28" cm="1">
        <f t="array" aca="1" ref="E705" ca="1">_xll.FDS($E$7,"P_PRICE("&amp;D705&amp;",0,D,D)")</f>
        <v>48.29</v>
      </c>
      <c r="F705" s="29" cm="1">
        <f t="array" aca="1" ref="F705" ca="1">_xll.FDS($E$7,"P_BETA_LOCIDX("&amp;$AG705&amp;","&amp;$AL705&amp;",,"""&amp;$E$9&amp;""")")</f>
        <v>1.0992569999999999</v>
      </c>
      <c r="G705" s="30">
        <f t="shared" ca="1" si="172"/>
        <v>-3.8902427874726357E-2</v>
      </c>
      <c r="H705" s="30">
        <f t="shared" ca="1" si="172"/>
        <v>-3.0989928825593302E-2</v>
      </c>
      <c r="I705" s="30">
        <f t="shared" ca="1" si="172"/>
        <v>-6.6382551438070689E-2</v>
      </c>
      <c r="J705" s="30">
        <f t="shared" ca="1" si="170"/>
        <v>-3.8645555421946308E-3</v>
      </c>
      <c r="K705" s="30">
        <f t="shared" ca="1" si="173"/>
        <v>8.1918698658945324E-3</v>
      </c>
      <c r="L705" s="30">
        <f t="shared" ca="1" si="173"/>
        <v>4.3823900229325464E-3</v>
      </c>
      <c r="M705" s="30">
        <f t="shared" ca="1" si="173"/>
        <v>1.5665036203158164E-2</v>
      </c>
      <c r="N705" s="30">
        <f t="shared" ca="1" si="171"/>
        <v>-3.127013448140631E-3</v>
      </c>
      <c r="O705" s="30">
        <f t="shared" ca="1" si="174"/>
        <v>-3.0710558008831823E-2</v>
      </c>
      <c r="P705" s="30">
        <f t="shared" ca="1" si="175"/>
        <v>-2.6607538802660757E-2</v>
      </c>
      <c r="Q705" s="30">
        <f t="shared" ca="1" si="176"/>
        <v>-5.0717515234912525E-2</v>
      </c>
      <c r="R705" s="30">
        <f t="shared" ca="1" si="177"/>
        <v>-6.9915689903352618E-3</v>
      </c>
      <c r="S705" s="9" cm="1">
        <f t="array" aca="1" ref="S705" ca="1">_xll.FDS($E$7,"P_PRICE("&amp;AG705&amp;",0,D,D)")</f>
        <v>48.29</v>
      </c>
      <c r="T705" s="9" cm="1">
        <f t="array" aca="1" ref="T705" ca="1">_xll.FDS($E$7,"P_PRICE("&amp;AH705&amp;",0,D,D)")</f>
        <v>49.82</v>
      </c>
      <c r="U705" s="9" cm="1">
        <f t="array" aca="1" ref="U705" ca="1">_xll.FDS($E$7,"P_PRICE("&amp;AI705&amp;",0,D,D)")</f>
        <v>49.61</v>
      </c>
      <c r="V705" s="9" cm="1">
        <f t="array" aca="1" ref="V705" ca="1">_xll.FDS($E$7,"P_PRICE("&amp;AJ705&amp;",0,D,D)")</f>
        <v>50.87</v>
      </c>
      <c r="W705" s="9" cm="1">
        <f t="array" aca="1" ref="W705" ca="1">_xll.FDS($E$7,"P_PRICE("&amp;AK705&amp;",0,D,D)")</f>
        <v>48.63</v>
      </c>
      <c r="X705" s="24">
        <f t="shared" ca="1" si="178"/>
        <v>7.4521880378242145E-3</v>
      </c>
      <c r="Y705" s="24">
        <f t="shared" ca="1" si="179"/>
        <v>3.9866837536013389E-3</v>
      </c>
      <c r="Z705" s="24">
        <f t="shared" ca="1" si="180"/>
        <v>1.4250567613540932E-2</v>
      </c>
      <c r="AA705" s="24">
        <f t="shared" ca="1" si="181"/>
        <v>-2.8446609374701559E-3</v>
      </c>
      <c r="AB705" s="9" cm="1">
        <f t="array" aca="1" ref="AB705" ca="1">_xll.FDS($E$9,"P_PRICE("&amp;AG705&amp;",0,D,D)")</f>
        <v>4167.87</v>
      </c>
      <c r="AC705" s="9" cm="1">
        <f t="array" aca="1" ref="AC705" ca="1">_xll.FDS($E$9,"P_PRICE("&amp;AH705&amp;",0,D,D)")</f>
        <v>4137.04</v>
      </c>
      <c r="AD705" s="9" cm="1">
        <f t="array" aca="1" ref="AD705" ca="1">_xll.FDS($E$9,"P_PRICE("&amp;AI705&amp;",0,D,D)")</f>
        <v>4151.32</v>
      </c>
      <c r="AE705" s="9" cm="1">
        <f t="array" aca="1" ref="AE705" ca="1">_xll.FDS($E$9,"P_PRICE("&amp;AJ705&amp;",0,D,D)")</f>
        <v>4109.3100000000004</v>
      </c>
      <c r="AF705" s="9" cm="1">
        <f t="array" aca="1" ref="AF705" ca="1">_xll.FDS($E$9,"P_PRICE("&amp;AK705&amp;",0,D,D)")</f>
        <v>4179.76</v>
      </c>
      <c r="AG705" s="20">
        <f t="shared" ca="1" si="187"/>
        <v>45047</v>
      </c>
      <c r="AH705" s="22">
        <f t="shared" ca="1" si="182"/>
        <v>45040</v>
      </c>
      <c r="AI705" s="22">
        <f t="shared" ca="1" si="183"/>
        <v>45033</v>
      </c>
      <c r="AJ705" s="22">
        <f t="shared" ca="1" si="184"/>
        <v>45016</v>
      </c>
      <c r="AK705" s="22">
        <f t="shared" ca="1" si="185"/>
        <v>44959</v>
      </c>
      <c r="AL705" s="22">
        <f t="shared" ca="1" si="186"/>
        <v>44869</v>
      </c>
    </row>
    <row r="706" spans="4:38" x14ac:dyDescent="0.25">
      <c r="D706" s="6">
        <f ca="1"/>
        <v>45044</v>
      </c>
      <c r="E706" s="28" cm="1">
        <f t="array" aca="1" ref="E706" ca="1">_xll.FDS($E$7,"P_PRICE("&amp;D706&amp;",0,D,D)")</f>
        <v>48.5</v>
      </c>
      <c r="F706" s="29" cm="1">
        <f t="array" aca="1" ref="F706" ca="1">_xll.FDS($E$7,"P_BETA_LOCIDX("&amp;$AG706&amp;","&amp;$AL706&amp;",,"""&amp;$E$9&amp;""")")</f>
        <v>1.0786929999999999</v>
      </c>
      <c r="G706" s="30">
        <f t="shared" ca="1" si="172"/>
        <v>-2.8198690427667365E-2</v>
      </c>
      <c r="H706" s="30">
        <f t="shared" ca="1" si="172"/>
        <v>-2.3329199060239357E-2</v>
      </c>
      <c r="I706" s="30">
        <f t="shared" ca="1" si="172"/>
        <v>-6.3144755434729832E-2</v>
      </c>
      <c r="J706" s="30">
        <f t="shared" ca="1" si="170"/>
        <v>-3.7989051689493233E-3</v>
      </c>
      <c r="K706" s="30">
        <f t="shared" ca="1" si="173"/>
        <v>9.3842052971798099E-3</v>
      </c>
      <c r="L706" s="30">
        <f t="shared" ca="1" si="173"/>
        <v>8.3007668912710372E-3</v>
      </c>
      <c r="M706" s="30">
        <f t="shared" ca="1" si="173"/>
        <v>3.1595234667956752E-2</v>
      </c>
      <c r="N706" s="30">
        <f t="shared" ca="1" si="171"/>
        <v>1.3164149705890088E-2</v>
      </c>
      <c r="O706" s="30">
        <f t="shared" ca="1" si="174"/>
        <v>-1.8814485130487557E-2</v>
      </c>
      <c r="P706" s="30">
        <f t="shared" ca="1" si="175"/>
        <v>-1.502843216896832E-2</v>
      </c>
      <c r="Q706" s="30">
        <f t="shared" ca="1" si="176"/>
        <v>-3.1549520766773087E-2</v>
      </c>
      <c r="R706" s="30">
        <f t="shared" ca="1" si="177"/>
        <v>9.3652445369407644E-3</v>
      </c>
      <c r="S706" s="9" cm="1">
        <f t="array" aca="1" ref="S706" ca="1">_xll.FDS($E$7,"P_PRICE("&amp;AG706&amp;",0,D,D)")</f>
        <v>48.5</v>
      </c>
      <c r="T706" s="9" cm="1">
        <f t="array" aca="1" ref="T706" ca="1">_xll.FDS($E$7,"P_PRICE("&amp;AH706&amp;",0,D,D)")</f>
        <v>49.43</v>
      </c>
      <c r="U706" s="9" cm="1">
        <f t="array" aca="1" ref="U706" ca="1">_xll.FDS($E$7,"P_PRICE("&amp;AI706&amp;",0,D,D)")</f>
        <v>49.24</v>
      </c>
      <c r="V706" s="9" cm="1">
        <f t="array" aca="1" ref="V706" ca="1">_xll.FDS($E$7,"P_PRICE("&amp;AJ706&amp;",0,D,D)")</f>
        <v>50.08</v>
      </c>
      <c r="W706" s="9" cm="1">
        <f t="array" aca="1" ref="W706" ca="1">_xll.FDS($E$7,"P_PRICE("&amp;AK706&amp;",0,D,D)")</f>
        <v>48.05</v>
      </c>
      <c r="X706" s="24">
        <f t="shared" ca="1" si="178"/>
        <v>8.6996071145171161E-3</v>
      </c>
      <c r="Y706" s="24">
        <f t="shared" ca="1" si="179"/>
        <v>7.6952078962884141E-3</v>
      </c>
      <c r="Z706" s="24">
        <f t="shared" ca="1" si="180"/>
        <v>2.9290293594152139E-2</v>
      </c>
      <c r="AA706" s="24">
        <f t="shared" ca="1" si="181"/>
        <v>1.2203796359010477E-2</v>
      </c>
      <c r="AB706" s="9" cm="1">
        <f t="array" aca="1" ref="AB706" ca="1">_xll.FDS($E$9,"P_PRICE("&amp;AG706&amp;",0,D,D)")</f>
        <v>4169.4799999999996</v>
      </c>
      <c r="AC706" s="9" cm="1">
        <f t="array" aca="1" ref="AC706" ca="1">_xll.FDS($E$9,"P_PRICE("&amp;AH706&amp;",0,D,D)")</f>
        <v>4133.5200000000004</v>
      </c>
      <c r="AD706" s="9" cm="1">
        <f t="array" aca="1" ref="AD706" ca="1">_xll.FDS($E$9,"P_PRICE("&amp;AI706&amp;",0,D,D)")</f>
        <v>4137.6400000000003</v>
      </c>
      <c r="AE706" s="9" cm="1">
        <f t="array" aca="1" ref="AE706" ca="1">_xll.FDS($E$9,"P_PRICE("&amp;AJ706&amp;",0,D,D)")</f>
        <v>4050.83</v>
      </c>
      <c r="AF706" s="9" cm="1">
        <f t="array" aca="1" ref="AF706" ca="1">_xll.FDS($E$9,"P_PRICE("&amp;AK706&amp;",0,D,D)")</f>
        <v>4119.21</v>
      </c>
      <c r="AG706" s="20">
        <f t="shared" ca="1" si="187"/>
        <v>45044</v>
      </c>
      <c r="AH706" s="22">
        <f t="shared" ca="1" si="182"/>
        <v>45037</v>
      </c>
      <c r="AI706" s="22">
        <f t="shared" ca="1" si="183"/>
        <v>45030</v>
      </c>
      <c r="AJ706" s="22">
        <f t="shared" ca="1" si="184"/>
        <v>45015</v>
      </c>
      <c r="AK706" s="22">
        <f t="shared" ca="1" si="185"/>
        <v>44958</v>
      </c>
      <c r="AL706" s="22">
        <f t="shared" ca="1" si="186"/>
        <v>44868</v>
      </c>
    </row>
    <row r="707" spans="4:38" x14ac:dyDescent="0.25">
      <c r="D707" s="6">
        <f ca="1"/>
        <v>45043</v>
      </c>
      <c r="E707" s="28" cm="1">
        <f t="array" aca="1" ref="E707" ca="1">_xll.FDS($E$7,"P_PRICE("&amp;D707&amp;",0,D,D)")</f>
        <v>48.6</v>
      </c>
      <c r="F707" s="29" cm="1">
        <f t="array" aca="1" ref="F707" ca="1">_xll.FDS($E$7,"P_BETA_LOCIDX("&amp;$AG707&amp;","&amp;$AL707&amp;",,"""&amp;$E$9&amp;""")")</f>
        <v>1.1090306000000001</v>
      </c>
      <c r="G707" s="30">
        <f t="shared" ca="1" si="172"/>
        <v>-2.7154692819959518E-2</v>
      </c>
      <c r="H707" s="30">
        <f t="shared" ca="1" si="172"/>
        <v>-1.1091275968160688E-2</v>
      </c>
      <c r="I707" s="30">
        <f t="shared" ca="1" si="172"/>
        <v>-4.9574123586763177E-2</v>
      </c>
      <c r="J707" s="30">
        <f t="shared" ca="1" si="170"/>
        <v>1.6302655526916576E-2</v>
      </c>
      <c r="K707" s="30">
        <f t="shared" ca="1" si="173"/>
        <v>1.4931050092137281E-3</v>
      </c>
      <c r="L707" s="30">
        <f t="shared" ca="1" si="173"/>
        <v>-2.9075067463857759E-3</v>
      </c>
      <c r="M707" s="30">
        <f t="shared" ca="1" si="173"/>
        <v>2.9610421227416542E-2</v>
      </c>
      <c r="N707" s="30">
        <f t="shared" ca="1" si="171"/>
        <v>1.5982816010891455E-2</v>
      </c>
      <c r="O707" s="30">
        <f t="shared" ca="1" si="174"/>
        <v>-2.566158781074579E-2</v>
      </c>
      <c r="P707" s="30">
        <f t="shared" ca="1" si="175"/>
        <v>-1.3998782714546465E-2</v>
      </c>
      <c r="Q707" s="30">
        <f t="shared" ca="1" si="176"/>
        <v>-1.9963702359346636E-2</v>
      </c>
      <c r="R707" s="30">
        <f t="shared" ca="1" si="177"/>
        <v>3.228547153780803E-2</v>
      </c>
      <c r="S707" s="9" cm="1">
        <f t="array" aca="1" ref="S707" ca="1">_xll.FDS($E$7,"P_PRICE("&amp;AG707&amp;",0,D,D)")</f>
        <v>48.6</v>
      </c>
      <c r="T707" s="9" cm="1">
        <f t="array" aca="1" ref="T707" ca="1">_xll.FDS($E$7,"P_PRICE("&amp;AH707&amp;",0,D,D)")</f>
        <v>49.88</v>
      </c>
      <c r="U707" s="9" cm="1">
        <f t="array" aca="1" ref="U707" ca="1">_xll.FDS($E$7,"P_PRICE("&amp;AI707&amp;",0,D,D)")</f>
        <v>49.29</v>
      </c>
      <c r="V707" s="9" cm="1">
        <f t="array" aca="1" ref="V707" ca="1">_xll.FDS($E$7,"P_PRICE("&amp;AJ707&amp;",0,D,D)")</f>
        <v>49.59</v>
      </c>
      <c r="W707" s="9" cm="1">
        <f t="array" aca="1" ref="W707" ca="1">_xll.FDS($E$7,"P_PRICE("&amp;AK707&amp;",0,D,D)")</f>
        <v>47.08</v>
      </c>
      <c r="X707" s="24">
        <f t="shared" ca="1" si="178"/>
        <v>1.3463154300825675E-3</v>
      </c>
      <c r="Y707" s="24">
        <f t="shared" ca="1" si="179"/>
        <v>-2.6216650346579939E-3</v>
      </c>
      <c r="Z707" s="24">
        <f t="shared" ca="1" si="180"/>
        <v>2.6699372611915795E-2</v>
      </c>
      <c r="AA707" s="24">
        <f t="shared" ca="1" si="181"/>
        <v>1.4411519403424444E-2</v>
      </c>
      <c r="AB707" s="9" cm="1">
        <f t="array" aca="1" ref="AB707" ca="1">_xll.FDS($E$9,"P_PRICE("&amp;AG707&amp;",0,D,D)")</f>
        <v>4135.3500000000004</v>
      </c>
      <c r="AC707" s="9" cm="1">
        <f t="array" aca="1" ref="AC707" ca="1">_xll.FDS($E$9,"P_PRICE("&amp;AH707&amp;",0,D,D)")</f>
        <v>4129.79</v>
      </c>
      <c r="AD707" s="9" cm="1">
        <f t="array" aca="1" ref="AD707" ca="1">_xll.FDS($E$9,"P_PRICE("&amp;AI707&amp;",0,D,D)")</f>
        <v>4146.22</v>
      </c>
      <c r="AE707" s="9" cm="1">
        <f t="array" aca="1" ref="AE707" ca="1">_xll.FDS($E$9,"P_PRICE("&amp;AJ707&amp;",0,D,D)")</f>
        <v>4027.81</v>
      </c>
      <c r="AF707" s="9" cm="1">
        <f t="array" aca="1" ref="AF707" ca="1">_xll.FDS($E$9,"P_PRICE("&amp;AK707&amp;",0,D,D)")</f>
        <v>4076.6</v>
      </c>
      <c r="AG707" s="20">
        <f t="shared" ca="1" si="187"/>
        <v>45043</v>
      </c>
      <c r="AH707" s="22">
        <f t="shared" ca="1" si="182"/>
        <v>45036</v>
      </c>
      <c r="AI707" s="22">
        <f t="shared" ca="1" si="183"/>
        <v>45029</v>
      </c>
      <c r="AJ707" s="22">
        <f t="shared" ca="1" si="184"/>
        <v>45014</v>
      </c>
      <c r="AK707" s="22">
        <f t="shared" ca="1" si="185"/>
        <v>44957</v>
      </c>
      <c r="AL707" s="22">
        <f t="shared" ca="1" si="186"/>
        <v>44867</v>
      </c>
    </row>
    <row r="708" spans="4:38" x14ac:dyDescent="0.25">
      <c r="D708" s="6">
        <f ca="1"/>
        <v>45042</v>
      </c>
      <c r="E708" s="28" cm="1">
        <f t="array" aca="1" ref="E708" ca="1">_xll.FDS($E$7,"P_PRICE("&amp;D708&amp;",0,D,D)")</f>
        <v>48.27</v>
      </c>
      <c r="F708" s="29" cm="1">
        <f t="array" aca="1" ref="F708" ca="1">_xll.FDS($E$7,"P_BETA_LOCIDX("&amp;$AG708&amp;","&amp;$AL708&amp;",,"""&amp;$E$9&amp;""")")</f>
        <v>1.1274925</v>
      </c>
      <c r="G708" s="30">
        <f t="shared" ca="1" si="172"/>
        <v>-7.666888302466271E-3</v>
      </c>
      <c r="H708" s="30">
        <f t="shared" ca="1" si="172"/>
        <v>3.9363950842689396E-3</v>
      </c>
      <c r="I708" s="30">
        <f t="shared" ca="1" si="172"/>
        <v>-4.2756040609686671E-2</v>
      </c>
      <c r="J708" s="30">
        <f t="shared" ca="1" si="170"/>
        <v>3.2950133061240512E-2</v>
      </c>
      <c r="K708" s="30">
        <f t="shared" ca="1" si="173"/>
        <v>-2.6739993073808963E-2</v>
      </c>
      <c r="L708" s="30">
        <f t="shared" ca="1" si="173"/>
        <v>-9.9083884944830888E-3</v>
      </c>
      <c r="M708" s="30">
        <f t="shared" ca="1" si="173"/>
        <v>2.405305219740787E-2</v>
      </c>
      <c r="N708" s="30">
        <f t="shared" ca="1" si="171"/>
        <v>1.0725542614435249E-2</v>
      </c>
      <c r="O708" s="30">
        <f t="shared" ca="1" si="174"/>
        <v>-3.4406881376275233E-2</v>
      </c>
      <c r="P708" s="30">
        <f t="shared" ca="1" si="175"/>
        <v>-5.9719934102141492E-3</v>
      </c>
      <c r="Q708" s="30">
        <f t="shared" ca="1" si="176"/>
        <v>-1.8702988412278798E-2</v>
      </c>
      <c r="R708" s="30">
        <f t="shared" ca="1" si="177"/>
        <v>4.3675675675675762E-2</v>
      </c>
      <c r="S708" s="9" cm="1">
        <f t="array" aca="1" ref="S708" ca="1">_xll.FDS($E$7,"P_PRICE("&amp;AG708&amp;",0,D,D)")</f>
        <v>48.27</v>
      </c>
      <c r="T708" s="9" cm="1">
        <f t="array" aca="1" ref="T708" ca="1">_xll.FDS($E$7,"P_PRICE("&amp;AH708&amp;",0,D,D)")</f>
        <v>49.99</v>
      </c>
      <c r="U708" s="9" cm="1">
        <f t="array" aca="1" ref="U708" ca="1">_xll.FDS($E$7,"P_PRICE("&amp;AI708&amp;",0,D,D)")</f>
        <v>48.56</v>
      </c>
      <c r="V708" s="9" cm="1">
        <f t="array" aca="1" ref="V708" ca="1">_xll.FDS($E$7,"P_PRICE("&amp;AJ708&amp;",0,D,D)")</f>
        <v>49.19</v>
      </c>
      <c r="W708" s="9" cm="1">
        <f t="array" aca="1" ref="W708" ca="1">_xll.FDS($E$7,"P_PRICE("&amp;AK708&amp;",0,D,D)")</f>
        <v>46.25</v>
      </c>
      <c r="X708" s="24">
        <f t="shared" ca="1" si="178"/>
        <v>-2.3716337868153414E-2</v>
      </c>
      <c r="Y708" s="24">
        <f t="shared" ca="1" si="179"/>
        <v>-8.7879861679639459E-3</v>
      </c>
      <c r="Z708" s="24">
        <f t="shared" ca="1" si="180"/>
        <v>2.1333225894990759E-2</v>
      </c>
      <c r="AA708" s="24">
        <f t="shared" ca="1" si="181"/>
        <v>9.5127396540866105E-3</v>
      </c>
      <c r="AB708" s="9" cm="1">
        <f t="array" aca="1" ref="AB708" ca="1">_xll.FDS($E$9,"P_PRICE("&amp;AG708&amp;",0,D,D)")</f>
        <v>4055.99</v>
      </c>
      <c r="AC708" s="9" cm="1">
        <f t="array" aca="1" ref="AC708" ca="1">_xll.FDS($E$9,"P_PRICE("&amp;AH708&amp;",0,D,D)")</f>
        <v>4154.5200000000004</v>
      </c>
      <c r="AD708" s="9" cm="1">
        <f t="array" aca="1" ref="AD708" ca="1">_xll.FDS($E$9,"P_PRICE("&amp;AI708&amp;",0,D,D)")</f>
        <v>4091.95</v>
      </c>
      <c r="AE708" s="9" cm="1">
        <f t="array" aca="1" ref="AE708" ca="1">_xll.FDS($E$9,"P_PRICE("&amp;AJ708&amp;",0,D,D)")</f>
        <v>3971.27</v>
      </c>
      <c r="AF708" s="9" cm="1">
        <f t="array" aca="1" ref="AF708" ca="1">_xll.FDS($E$9,"P_PRICE("&amp;AK708&amp;",0,D,D)")</f>
        <v>4017.77</v>
      </c>
      <c r="AG708" s="20">
        <f t="shared" ca="1" si="187"/>
        <v>45042</v>
      </c>
      <c r="AH708" s="22">
        <f t="shared" ca="1" si="182"/>
        <v>45035</v>
      </c>
      <c r="AI708" s="22">
        <f t="shared" ca="1" si="183"/>
        <v>45028</v>
      </c>
      <c r="AJ708" s="22">
        <f t="shared" ca="1" si="184"/>
        <v>45013</v>
      </c>
      <c r="AK708" s="22">
        <f t="shared" ca="1" si="185"/>
        <v>44956</v>
      </c>
      <c r="AL708" s="22">
        <f t="shared" ca="1" si="186"/>
        <v>44866</v>
      </c>
    </row>
    <row r="709" spans="4:38" x14ac:dyDescent="0.25">
      <c r="D709" s="6">
        <f ca="1"/>
        <v>45041</v>
      </c>
      <c r="E709" s="28" cm="1">
        <f t="array" aca="1" ref="E709" ca="1">_xll.FDS($E$7,"P_PRICE("&amp;D709&amp;",0,D,D)")</f>
        <v>49.55</v>
      </c>
      <c r="F709" s="29" cm="1">
        <f t="array" aca="1" ref="F709" ca="1">_xll.FDS($E$7,"P_BETA_LOCIDX("&amp;$AG709&amp;","&amp;$AL709&amp;",,"""&amp;$E$9&amp;""")")</f>
        <v>1.1236079999999999</v>
      </c>
      <c r="G709" s="30">
        <f t="shared" ca="1" si="172"/>
        <v>1.4304158289088181E-2</v>
      </c>
      <c r="H709" s="30">
        <f t="shared" ca="1" si="172"/>
        <v>4.8116285389266336E-2</v>
      </c>
      <c r="I709" s="30">
        <f t="shared" ca="1" si="172"/>
        <v>-1.1269057162051621E-3</v>
      </c>
      <c r="J709" s="30">
        <f t="shared" ca="1" si="170"/>
        <v>6.5983964914940865E-2</v>
      </c>
      <c r="K709" s="30">
        <f t="shared" ca="1" si="173"/>
        <v>-2.2510723541290051E-2</v>
      </c>
      <c r="L709" s="30">
        <f t="shared" ca="1" si="173"/>
        <v>-1.020258618524468E-2</v>
      </c>
      <c r="M709" s="30">
        <f t="shared" ca="1" si="173"/>
        <v>2.6582203729450138E-2</v>
      </c>
      <c r="N709" s="30">
        <f t="shared" ca="1" si="171"/>
        <v>2.9535507645138675E-4</v>
      </c>
      <c r="O709" s="30">
        <f t="shared" ca="1" si="174"/>
        <v>-8.2065652522018695E-3</v>
      </c>
      <c r="P709" s="30">
        <f t="shared" ca="1" si="175"/>
        <v>3.7913699204021656E-2</v>
      </c>
      <c r="Q709" s="30">
        <f t="shared" ca="1" si="176"/>
        <v>2.5455298013244976E-2</v>
      </c>
      <c r="R709" s="30">
        <f t="shared" ca="1" si="177"/>
        <v>6.6279319991392249E-2</v>
      </c>
      <c r="S709" s="9" cm="1">
        <f t="array" aca="1" ref="S709" ca="1">_xll.FDS($E$7,"P_PRICE("&amp;AG709&amp;",0,D,D)")</f>
        <v>49.55</v>
      </c>
      <c r="T709" s="9" cm="1">
        <f t="array" aca="1" ref="T709" ca="1">_xll.FDS($E$7,"P_PRICE("&amp;AH709&amp;",0,D,D)")</f>
        <v>49.96</v>
      </c>
      <c r="U709" s="9" cm="1">
        <f t="array" aca="1" ref="U709" ca="1">_xll.FDS($E$7,"P_PRICE("&amp;AI709&amp;",0,D,D)")</f>
        <v>47.74</v>
      </c>
      <c r="V709" s="9" cm="1">
        <f t="array" aca="1" ref="V709" ca="1">_xll.FDS($E$7,"P_PRICE("&amp;AJ709&amp;",0,D,D)")</f>
        <v>48.32</v>
      </c>
      <c r="W709" s="9" cm="1">
        <f t="array" aca="1" ref="W709" ca="1">_xll.FDS($E$7,"P_PRICE("&amp;AK709&amp;",0,D,D)")</f>
        <v>46.47</v>
      </c>
      <c r="X709" s="24">
        <f t="shared" ca="1" si="178"/>
        <v>-2.0034321170096736E-2</v>
      </c>
      <c r="Y709" s="24">
        <f t="shared" ca="1" si="179"/>
        <v>-9.0802007330356149E-3</v>
      </c>
      <c r="Z709" s="24">
        <f t="shared" ca="1" si="180"/>
        <v>2.3657898243382158E-2</v>
      </c>
      <c r="AA709" s="24">
        <f t="shared" ca="1" si="181"/>
        <v>2.6286309500411775E-4</v>
      </c>
      <c r="AB709" s="9" cm="1">
        <f t="array" aca="1" ref="AB709" ca="1">_xll.FDS($E$9,"P_PRICE("&amp;AG709&amp;",0,D,D)")</f>
        <v>4071.63</v>
      </c>
      <c r="AC709" s="9" cm="1">
        <f t="array" aca="1" ref="AC709" ca="1">_xll.FDS($E$9,"P_PRICE("&amp;AH709&amp;",0,D,D)")</f>
        <v>4154.87</v>
      </c>
      <c r="AD709" s="9" cm="1">
        <f t="array" aca="1" ref="AD709" ca="1">_xll.FDS($E$9,"P_PRICE("&amp;AI709&amp;",0,D,D)")</f>
        <v>4108.9399999999996</v>
      </c>
      <c r="AE709" s="9" cm="1">
        <f t="array" aca="1" ref="AE709" ca="1">_xll.FDS($E$9,"P_PRICE("&amp;AJ709&amp;",0,D,D)")</f>
        <v>3977.53</v>
      </c>
      <c r="AF709" s="9" cm="1">
        <f t="array" aca="1" ref="AF709" ca="1">_xll.FDS($E$9,"P_PRICE("&amp;AK709&amp;",0,D,D)")</f>
        <v>4070.56</v>
      </c>
      <c r="AG709" s="20">
        <f t="shared" ca="1" si="187"/>
        <v>45041</v>
      </c>
      <c r="AH709" s="22">
        <f t="shared" ca="1" si="182"/>
        <v>45034</v>
      </c>
      <c r="AI709" s="22">
        <f t="shared" ca="1" si="183"/>
        <v>45027</v>
      </c>
      <c r="AJ709" s="22">
        <f t="shared" ca="1" si="184"/>
        <v>45012</v>
      </c>
      <c r="AK709" s="22">
        <f t="shared" ca="1" si="185"/>
        <v>44953</v>
      </c>
      <c r="AL709" s="22">
        <f t="shared" ca="1" si="186"/>
        <v>44865</v>
      </c>
    </row>
    <row r="710" spans="4:38" x14ac:dyDescent="0.25">
      <c r="D710" s="6">
        <f ca="1"/>
        <v>45040</v>
      </c>
      <c r="E710" s="28" cm="1">
        <f t="array" aca="1" ref="E710" ca="1">_xll.FDS($E$7,"P_PRICE("&amp;D710&amp;",0,D,D)")</f>
        <v>49.82</v>
      </c>
      <c r="F710" s="29" cm="1">
        <f t="array" aca="1" ref="F710" ca="1">_xll.FDS($E$7,"P_BETA_LOCIDX("&amp;$AG710&amp;","&amp;$AL710&amp;",,"""&amp;$E$9&amp;""")")</f>
        <v>1.1466651999999999</v>
      </c>
      <c r="G710" s="30">
        <f t="shared" ca="1" si="172"/>
        <v>8.1773964466277139E-3</v>
      </c>
      <c r="H710" s="30">
        <f t="shared" ca="1" si="172"/>
        <v>2.9042639293863391E-2</v>
      </c>
      <c r="I710" s="30">
        <f t="shared" ca="1" si="172"/>
        <v>-1.2189851208394324E-2</v>
      </c>
      <c r="J710" s="30">
        <f t="shared" ca="1" si="170"/>
        <v>5.5088919370118734E-2</v>
      </c>
      <c r="K710" s="30">
        <f t="shared" ca="1" si="173"/>
        <v>-3.9443789098406483E-3</v>
      </c>
      <c r="L710" s="30">
        <f t="shared" ca="1" si="173"/>
        <v>7.7939892181033942E-3</v>
      </c>
      <c r="M710" s="30">
        <f t="shared" ca="1" si="173"/>
        <v>4.7948686967229974E-2</v>
      </c>
      <c r="N710" s="30">
        <f t="shared" ca="1" si="171"/>
        <v>2.1634659622749235E-2</v>
      </c>
      <c r="O710" s="30">
        <f t="shared" ca="1" si="174"/>
        <v>4.2330175367870648E-3</v>
      </c>
      <c r="P710" s="30">
        <f t="shared" ca="1" si="175"/>
        <v>3.6836628511966785E-2</v>
      </c>
      <c r="Q710" s="30">
        <f t="shared" ca="1" si="176"/>
        <v>3.575883575883565E-2</v>
      </c>
      <c r="R710" s="30">
        <f t="shared" ca="1" si="177"/>
        <v>7.6723578992867969E-2</v>
      </c>
      <c r="S710" s="9" cm="1">
        <f t="array" aca="1" ref="S710" ca="1">_xll.FDS($E$7,"P_PRICE("&amp;AG710&amp;",0,D,D)")</f>
        <v>49.82</v>
      </c>
      <c r="T710" s="9" cm="1">
        <f t="array" aca="1" ref="T710" ca="1">_xll.FDS($E$7,"P_PRICE("&amp;AH710&amp;",0,D,D)")</f>
        <v>49.61</v>
      </c>
      <c r="U710" s="9" cm="1">
        <f t="array" aca="1" ref="U710" ca="1">_xll.FDS($E$7,"P_PRICE("&amp;AI710&amp;",0,D,D)")</f>
        <v>48.05</v>
      </c>
      <c r="V710" s="9" cm="1">
        <f t="array" aca="1" ref="V710" ca="1">_xll.FDS($E$7,"P_PRICE("&amp;AJ710&amp;",0,D,D)")</f>
        <v>48.1</v>
      </c>
      <c r="W710" s="9" cm="1">
        <f t="array" aca="1" ref="W710" ca="1">_xll.FDS($E$7,"P_PRICE("&amp;AK710&amp;",0,D,D)")</f>
        <v>46.27</v>
      </c>
      <c r="X710" s="24">
        <f t="shared" ca="1" si="178"/>
        <v>-3.4398697281827761E-3</v>
      </c>
      <c r="Y710" s="24">
        <f t="shared" ca="1" si="179"/>
        <v>6.797092314394293E-3</v>
      </c>
      <c r="Z710" s="24">
        <f t="shared" ca="1" si="180"/>
        <v>4.1815768863683989E-2</v>
      </c>
      <c r="AA710" s="24">
        <f t="shared" ca="1" si="181"/>
        <v>1.8867459850311352E-2</v>
      </c>
      <c r="AB710" s="9" cm="1">
        <f t="array" aca="1" ref="AB710" ca="1">_xll.FDS($E$9,"P_PRICE("&amp;AG710&amp;",0,D,D)")</f>
        <v>4137.04</v>
      </c>
      <c r="AC710" s="9" cm="1">
        <f t="array" aca="1" ref="AC710" ca="1">_xll.FDS($E$9,"P_PRICE("&amp;AH710&amp;",0,D,D)")</f>
        <v>4151.32</v>
      </c>
      <c r="AD710" s="9" cm="1">
        <f t="array" aca="1" ref="AD710" ca="1">_xll.FDS($E$9,"P_PRICE("&amp;AI710&amp;",0,D,D)")</f>
        <v>4109.1099999999997</v>
      </c>
      <c r="AE710" s="9" cm="1">
        <f t="array" aca="1" ref="AE710" ca="1">_xll.FDS($E$9,"P_PRICE("&amp;AJ710&amp;",0,D,D)")</f>
        <v>3970.99</v>
      </c>
      <c r="AF710" s="9" cm="1">
        <f t="array" aca="1" ref="AF710" ca="1">_xll.FDS($E$9,"P_PRICE("&amp;AK710&amp;",0,D,D)")</f>
        <v>4060.43</v>
      </c>
      <c r="AG710" s="20">
        <f t="shared" ca="1" si="187"/>
        <v>45040</v>
      </c>
      <c r="AH710" s="22">
        <f t="shared" ca="1" si="182"/>
        <v>45033</v>
      </c>
      <c r="AI710" s="22">
        <f t="shared" ca="1" si="183"/>
        <v>45026</v>
      </c>
      <c r="AJ710" s="22">
        <f t="shared" ca="1" si="184"/>
        <v>45009</v>
      </c>
      <c r="AK710" s="22">
        <f t="shared" ca="1" si="185"/>
        <v>44952</v>
      </c>
      <c r="AL710" s="22">
        <f t="shared" ca="1" si="186"/>
        <v>44862</v>
      </c>
    </row>
    <row r="711" spans="4:38" x14ac:dyDescent="0.25">
      <c r="D711" s="6">
        <f ca="1"/>
        <v>45037</v>
      </c>
      <c r="E711" s="28" cm="1">
        <f t="array" aca="1" ref="E711" ca="1">_xll.FDS($E$7,"P_PRICE("&amp;D711&amp;",0,D,D)")</f>
        <v>49.43</v>
      </c>
      <c r="F711" s="29" cm="1">
        <f t="array" aca="1" ref="F711" ca="1">_xll.FDS($E$7,"P_BETA_LOCIDX("&amp;$AG711&amp;","&amp;$AL711&amp;",,"""&amp;$E$9&amp;""")")</f>
        <v>1.1467483999999999</v>
      </c>
      <c r="G711" s="30">
        <f t="shared" ca="1" si="172"/>
        <v>5.0005109705589775E-3</v>
      </c>
      <c r="H711" s="30">
        <f t="shared" ca="1" si="172"/>
        <v>2.678829119039771E-2</v>
      </c>
      <c r="I711" s="30">
        <f t="shared" ca="1" si="172"/>
        <v>-5.3060509791232134E-2</v>
      </c>
      <c r="J711" s="30">
        <f t="shared" ca="1" si="170"/>
        <v>4.7890045221269828E-2</v>
      </c>
      <c r="K711" s="30">
        <f t="shared" ca="1" si="173"/>
        <v>-1.1418594677158305E-3</v>
      </c>
      <c r="L711" s="30">
        <f t="shared" ca="1" si="173"/>
        <v>7.9615518072994104E-3</v>
      </c>
      <c r="M711" s="30">
        <f t="shared" ca="1" si="173"/>
        <v>5.3667797240624891E-2</v>
      </c>
      <c r="N711" s="30">
        <f t="shared" ca="1" si="171"/>
        <v>3.3492584400257153E-2</v>
      </c>
      <c r="O711" s="30">
        <f t="shared" ca="1" si="174"/>
        <v>3.8586515028431467E-3</v>
      </c>
      <c r="P711" s="30">
        <f t="shared" ca="1" si="175"/>
        <v>3.4749842997697122E-2</v>
      </c>
      <c r="Q711" s="30">
        <f t="shared" ca="1" si="176"/>
        <v>6.0728744939275714E-4</v>
      </c>
      <c r="R711" s="30">
        <f t="shared" ca="1" si="177"/>
        <v>8.1382629621526981E-2</v>
      </c>
      <c r="S711" s="9" cm="1">
        <f t="array" aca="1" ref="S711" ca="1">_xll.FDS($E$7,"P_PRICE("&amp;AG711&amp;",0,D,D)")</f>
        <v>49.43</v>
      </c>
      <c r="T711" s="9" cm="1">
        <f t="array" aca="1" ref="T711" ca="1">_xll.FDS($E$7,"P_PRICE("&amp;AH711&amp;",0,D,D)")</f>
        <v>49.24</v>
      </c>
      <c r="U711" s="9" cm="1">
        <f t="array" aca="1" ref="U711" ca="1">_xll.FDS($E$7,"P_PRICE("&amp;AI711&amp;",0,D,D)")</f>
        <v>47.77</v>
      </c>
      <c r="V711" s="9" cm="1">
        <f t="array" aca="1" ref="V711" ca="1">_xll.FDS($E$7,"P_PRICE("&amp;AJ711&amp;",0,D,D)")</f>
        <v>49.4</v>
      </c>
      <c r="W711" s="9" cm="1">
        <f t="array" aca="1" ref="W711" ca="1">_xll.FDS($E$7,"P_PRICE("&amp;AK711&amp;",0,D,D)")</f>
        <v>45.71</v>
      </c>
      <c r="X711" s="24">
        <f t="shared" ca="1" si="178"/>
        <v>-9.9573670014785343E-4</v>
      </c>
      <c r="Y711" s="24">
        <f t="shared" ca="1" si="179"/>
        <v>6.9427189148896229E-3</v>
      </c>
      <c r="Z711" s="24">
        <f t="shared" ca="1" si="180"/>
        <v>4.6799975688324391E-2</v>
      </c>
      <c r="AA711" s="24">
        <f t="shared" ca="1" si="181"/>
        <v>2.9206567369317593E-2</v>
      </c>
      <c r="AB711" s="9" cm="1">
        <f t="array" aca="1" ref="AB711" ca="1">_xll.FDS($E$9,"P_PRICE("&amp;AG711&amp;",0,D,D)")</f>
        <v>4133.5200000000004</v>
      </c>
      <c r="AC711" s="9" cm="1">
        <f t="array" aca="1" ref="AC711" ca="1">_xll.FDS($E$9,"P_PRICE("&amp;AH711&amp;",0,D,D)")</f>
        <v>4137.6400000000003</v>
      </c>
      <c r="AD711" s="9" cm="1">
        <f t="array" aca="1" ref="AD711" ca="1">_xll.FDS($E$9,"P_PRICE("&amp;AI711&amp;",0,D,D)")</f>
        <v>4105.0200000000004</v>
      </c>
      <c r="AE711" s="9" cm="1">
        <f t="array" aca="1" ref="AE711" ca="1">_xll.FDS($E$9,"P_PRICE("&amp;AJ711&amp;",0,D,D)")</f>
        <v>3948.72</v>
      </c>
      <c r="AF711" s="9" cm="1">
        <f t="array" aca="1" ref="AF711" ca="1">_xll.FDS($E$9,"P_PRICE("&amp;AK711&amp;",0,D,D)")</f>
        <v>4016.22</v>
      </c>
      <c r="AG711" s="20">
        <f t="shared" ca="1" si="187"/>
        <v>45037</v>
      </c>
      <c r="AH711" s="22">
        <f t="shared" ca="1" si="182"/>
        <v>45030</v>
      </c>
      <c r="AI711" s="22">
        <f t="shared" ca="1" si="183"/>
        <v>45022</v>
      </c>
      <c r="AJ711" s="22">
        <f t="shared" ca="1" si="184"/>
        <v>45008</v>
      </c>
      <c r="AK711" s="22">
        <f t="shared" ca="1" si="185"/>
        <v>44951</v>
      </c>
      <c r="AL711" s="22">
        <f t="shared" ca="1" si="186"/>
        <v>44861</v>
      </c>
    </row>
    <row r="712" spans="4:38" x14ac:dyDescent="0.25">
      <c r="D712" s="6">
        <f ca="1"/>
        <v>45036</v>
      </c>
      <c r="E712" s="28" cm="1">
        <f t="array" aca="1" ref="E712" ca="1">_xll.FDS($E$7,"P_PRICE("&amp;D712&amp;",0,D,D)")</f>
        <v>49.88</v>
      </c>
      <c r="F712" s="29" cm="1">
        <f t="array" aca="1" ref="F712" ca="1">_xll.FDS($E$7,"P_BETA_LOCIDX("&amp;$AG712&amp;","&amp;$AL712&amp;",,"""&amp;$E$9&amp;""")")</f>
        <v>1.1454285</v>
      </c>
      <c r="G712" s="30">
        <f t="shared" ca="1" si="172"/>
        <v>1.6508900709669524E-2</v>
      </c>
      <c r="H712" s="30">
        <f t="shared" ca="1" si="172"/>
        <v>4.7987378155473666E-2</v>
      </c>
      <c r="I712" s="30">
        <f t="shared" ca="1" si="172"/>
        <v>-6.3660051052794014E-2</v>
      </c>
      <c r="J712" s="30">
        <f t="shared" ca="1" si="170"/>
        <v>7.3810504856546236E-2</v>
      </c>
      <c r="K712" s="30">
        <f t="shared" ca="1" si="173"/>
        <v>-4.5389270841876116E-3</v>
      </c>
      <c r="L712" s="30">
        <f t="shared" ca="1" si="173"/>
        <v>1.1035976409282161E-2</v>
      </c>
      <c r="M712" s="30">
        <f t="shared" ca="1" si="173"/>
        <v>5.6099366611886824E-2</v>
      </c>
      <c r="N712" s="30">
        <f t="shared" ca="1" si="171"/>
        <v>3.2176191374052407E-2</v>
      </c>
      <c r="O712" s="30">
        <f t="shared" ca="1" si="174"/>
        <v>1.1969973625481911E-2</v>
      </c>
      <c r="P712" s="30">
        <f t="shared" ca="1" si="175"/>
        <v>5.9023354564755826E-2</v>
      </c>
      <c r="Q712" s="30">
        <f t="shared" ca="1" si="176"/>
        <v>-7.5606844409071838E-3</v>
      </c>
      <c r="R712" s="30">
        <f t="shared" ca="1" si="177"/>
        <v>0.10598669623059864</v>
      </c>
      <c r="S712" s="9" cm="1">
        <f t="array" aca="1" ref="S712" ca="1">_xll.FDS($E$7,"P_PRICE("&amp;AG712&amp;",0,D,D)")</f>
        <v>49.88</v>
      </c>
      <c r="T712" s="9" cm="1">
        <f t="array" aca="1" ref="T712" ca="1">_xll.FDS($E$7,"P_PRICE("&amp;AH712&amp;",0,D,D)")</f>
        <v>49.29</v>
      </c>
      <c r="U712" s="9" cm="1">
        <f t="array" aca="1" ref="U712" ca="1">_xll.FDS($E$7,"P_PRICE("&amp;AI712&amp;",0,D,D)")</f>
        <v>47.1</v>
      </c>
      <c r="V712" s="9" cm="1">
        <f t="array" aca="1" ref="V712" ca="1">_xll.FDS($E$7,"P_PRICE("&amp;AJ712&amp;",0,D,D)")</f>
        <v>50.26</v>
      </c>
      <c r="W712" s="9" cm="1">
        <f t="array" aca="1" ref="W712" ca="1">_xll.FDS($E$7,"P_PRICE("&amp;AK712&amp;",0,D,D)")</f>
        <v>45.1</v>
      </c>
      <c r="X712" s="24">
        <f t="shared" ca="1" si="178"/>
        <v>-3.9626454939680755E-3</v>
      </c>
      <c r="Y712" s="24">
        <f t="shared" ca="1" si="179"/>
        <v>9.6348016565697137E-3</v>
      </c>
      <c r="Z712" s="24">
        <f t="shared" ca="1" si="180"/>
        <v>4.8976751156346143E-2</v>
      </c>
      <c r="AA712" s="24">
        <f t="shared" ca="1" si="181"/>
        <v>2.8090964537771157E-2</v>
      </c>
      <c r="AB712" s="9" cm="1">
        <f t="array" aca="1" ref="AB712" ca="1">_xll.FDS($E$9,"P_PRICE("&amp;AG712&amp;",0,D,D)")</f>
        <v>4129.79</v>
      </c>
      <c r="AC712" s="9" cm="1">
        <f t="array" aca="1" ref="AC712" ca="1">_xll.FDS($E$9,"P_PRICE("&amp;AH712&amp;",0,D,D)")</f>
        <v>4146.22</v>
      </c>
      <c r="AD712" s="9" cm="1">
        <f t="array" aca="1" ref="AD712" ca="1">_xll.FDS($E$9,"P_PRICE("&amp;AI712&amp;",0,D,D)")</f>
        <v>4090.38</v>
      </c>
      <c r="AE712" s="9" cm="1">
        <f t="array" aca="1" ref="AE712" ca="1">_xll.FDS($E$9,"P_PRICE("&amp;AJ712&amp;",0,D,D)")</f>
        <v>3936.97</v>
      </c>
      <c r="AF712" s="9" cm="1">
        <f t="array" aca="1" ref="AF712" ca="1">_xll.FDS($E$9,"P_PRICE("&amp;AK712&amp;",0,D,D)")</f>
        <v>4016.95</v>
      </c>
      <c r="AG712" s="20">
        <f t="shared" ca="1" si="187"/>
        <v>45036</v>
      </c>
      <c r="AH712" s="22">
        <f t="shared" ca="1" si="182"/>
        <v>45029</v>
      </c>
      <c r="AI712" s="22">
        <f t="shared" ca="1" si="183"/>
        <v>45021</v>
      </c>
      <c r="AJ712" s="22">
        <f t="shared" ca="1" si="184"/>
        <v>45007</v>
      </c>
      <c r="AK712" s="22">
        <f t="shared" ca="1" si="185"/>
        <v>44950</v>
      </c>
      <c r="AL712" s="22">
        <f t="shared" ca="1" si="186"/>
        <v>44860</v>
      </c>
    </row>
    <row r="713" spans="4:38" x14ac:dyDescent="0.25">
      <c r="D713" s="6">
        <f ca="1"/>
        <v>45035</v>
      </c>
      <c r="E713" s="28" cm="1">
        <f t="array" aca="1" ref="E713" ca="1">_xll.FDS($E$7,"P_PRICE("&amp;D713&amp;",0,D,D)")</f>
        <v>49.99</v>
      </c>
      <c r="F713" s="29" cm="1">
        <f t="array" aca="1" ref="F713" ca="1">_xll.FDS($E$7,"P_BETA_LOCIDX("&amp;$AG713&amp;","&amp;$AL713&amp;",,"""&amp;$E$9&amp;""")")</f>
        <v>1.1522436</v>
      </c>
      <c r="G713" s="30">
        <f t="shared" ca="1" si="172"/>
        <v>1.1829150646803038E-2</v>
      </c>
      <c r="H713" s="30">
        <f t="shared" ca="1" si="172"/>
        <v>-2.0127305917301004E-2</v>
      </c>
      <c r="I713" s="30">
        <f t="shared" ca="1" si="172"/>
        <v>-5.2771052928458663E-2</v>
      </c>
      <c r="J713" s="30">
        <f t="shared" ca="1" si="170"/>
        <v>6.540598390468727E-2</v>
      </c>
      <c r="K713" s="30">
        <f t="shared" ca="1" si="173"/>
        <v>1.7618954789770352E-2</v>
      </c>
      <c r="L713" s="30">
        <f t="shared" ca="1" si="173"/>
        <v>1.5151191267619497E-2</v>
      </c>
      <c r="M713" s="30">
        <f t="shared" ca="1" si="173"/>
        <v>4.3653114375435877E-2</v>
      </c>
      <c r="N713" s="30">
        <f t="shared" ca="1" si="171"/>
        <v>3.8613450724288061E-2</v>
      </c>
      <c r="O713" s="30">
        <f t="shared" ca="1" si="174"/>
        <v>2.9448105436573391E-2</v>
      </c>
      <c r="P713" s="30">
        <f t="shared" ca="1" si="175"/>
        <v>-4.9761146496815067E-3</v>
      </c>
      <c r="Q713" s="30">
        <f t="shared" ca="1" si="176"/>
        <v>-9.1179385530227863E-3</v>
      </c>
      <c r="R713" s="30">
        <f t="shared" ca="1" si="177"/>
        <v>0.10401943462897534</v>
      </c>
      <c r="S713" s="9" cm="1">
        <f t="array" aca="1" ref="S713" ca="1">_xll.FDS($E$7,"P_PRICE("&amp;AG713&amp;",0,D,D)")</f>
        <v>49.99</v>
      </c>
      <c r="T713" s="9" cm="1">
        <f t="array" aca="1" ref="T713" ca="1">_xll.FDS($E$7,"P_PRICE("&amp;AH713&amp;",0,D,D)")</f>
        <v>48.56</v>
      </c>
      <c r="U713" s="9" cm="1">
        <f t="array" aca="1" ref="U713" ca="1">_xll.FDS($E$7,"P_PRICE("&amp;AI713&amp;",0,D,D)")</f>
        <v>50.24</v>
      </c>
      <c r="V713" s="9" cm="1">
        <f t="array" aca="1" ref="V713" ca="1">_xll.FDS($E$7,"P_PRICE("&amp;AJ713&amp;",0,D,D)")</f>
        <v>50.45</v>
      </c>
      <c r="W713" s="9" cm="1">
        <f t="array" aca="1" ref="W713" ca="1">_xll.FDS($E$7,"P_PRICE("&amp;AK713&amp;",0,D,D)")</f>
        <v>45.28</v>
      </c>
      <c r="X713" s="24">
        <f t="shared" ca="1" si="178"/>
        <v>1.5290998179352311E-2</v>
      </c>
      <c r="Y713" s="24">
        <f t="shared" ca="1" si="179"/>
        <v>1.3149295225089119E-2</v>
      </c>
      <c r="Z713" s="24">
        <f t="shared" ca="1" si="180"/>
        <v>3.7885317284848341E-2</v>
      </c>
      <c r="AA713" s="24">
        <f t="shared" ca="1" si="181"/>
        <v>3.3511534127234954E-2</v>
      </c>
      <c r="AB713" s="9" cm="1">
        <f t="array" aca="1" ref="AB713" ca="1">_xll.FDS($E$9,"P_PRICE("&amp;AG713&amp;",0,D,D)")</f>
        <v>4154.5200000000004</v>
      </c>
      <c r="AC713" s="9" cm="1">
        <f t="array" aca="1" ref="AC713" ca="1">_xll.FDS($E$9,"P_PRICE("&amp;AH713&amp;",0,D,D)")</f>
        <v>4091.95</v>
      </c>
      <c r="AD713" s="9" cm="1">
        <f t="array" aca="1" ref="AD713" ca="1">_xll.FDS($E$9,"P_PRICE("&amp;AI713&amp;",0,D,D)")</f>
        <v>4100.6000000000004</v>
      </c>
      <c r="AE713" s="9" cm="1">
        <f t="array" aca="1" ref="AE713" ca="1">_xll.FDS($E$9,"P_PRICE("&amp;AJ713&amp;",0,D,D)")</f>
        <v>4002.87</v>
      </c>
      <c r="AF713" s="9" cm="1">
        <f t="array" aca="1" ref="AF713" ca="1">_xll.FDS($E$9,"P_PRICE("&amp;AK713&amp;",0,D,D)")</f>
        <v>4019.81</v>
      </c>
      <c r="AG713" s="20">
        <f t="shared" ca="1" si="187"/>
        <v>45035</v>
      </c>
      <c r="AH713" s="22">
        <f t="shared" ca="1" si="182"/>
        <v>45028</v>
      </c>
      <c r="AI713" s="22">
        <f t="shared" ca="1" si="183"/>
        <v>45020</v>
      </c>
      <c r="AJ713" s="22">
        <f t="shared" ca="1" si="184"/>
        <v>45006</v>
      </c>
      <c r="AK713" s="22">
        <f t="shared" ca="1" si="185"/>
        <v>44949</v>
      </c>
      <c r="AL713" s="22">
        <f t="shared" ca="1" si="186"/>
        <v>44859</v>
      </c>
    </row>
    <row r="714" spans="4:38" x14ac:dyDescent="0.25">
      <c r="D714" s="6">
        <f ca="1"/>
        <v>45034</v>
      </c>
      <c r="E714" s="28" cm="1">
        <f t="array" aca="1" ref="E714" ca="1">_xll.FDS($E$7,"P_PRICE("&amp;D714&amp;",0,D,D)")</f>
        <v>49.96</v>
      </c>
      <c r="F714" s="29" cm="1">
        <f t="array" aca="1" ref="F714" ca="1">_xll.FDS($E$7,"P_BETA_LOCIDX("&amp;$AG714&amp;","&amp;$AL714&amp;",,"""&amp;$E$9&amp;""")")</f>
        <v>1.1533867</v>
      </c>
      <c r="G714" s="30">
        <f t="shared" ca="1" si="172"/>
        <v>3.3609253260013058E-2</v>
      </c>
      <c r="H714" s="30">
        <f t="shared" ca="1" si="172"/>
        <v>-2.7150315677947439E-2</v>
      </c>
      <c r="I714" s="30">
        <f t="shared" ca="1" si="172"/>
        <v>-4.6362849835287025E-2</v>
      </c>
      <c r="J714" s="30">
        <f t="shared" ca="1" si="170"/>
        <v>5.7059150882762581E-2</v>
      </c>
      <c r="K714" s="30">
        <f t="shared" ca="1" si="173"/>
        <v>1.2892631951549561E-2</v>
      </c>
      <c r="L714" s="30">
        <f t="shared" ca="1" si="173"/>
        <v>8.4899346133236846E-3</v>
      </c>
      <c r="M714" s="30">
        <f t="shared" ca="1" si="173"/>
        <v>5.9339329965051736E-2</v>
      </c>
      <c r="N714" s="30">
        <f t="shared" ca="1" si="171"/>
        <v>5.291641010368487E-2</v>
      </c>
      <c r="O714" s="30">
        <f t="shared" ca="1" si="174"/>
        <v>4.6501885211562621E-2</v>
      </c>
      <c r="P714" s="30">
        <f t="shared" ca="1" si="175"/>
        <v>-1.8660381064623754E-2</v>
      </c>
      <c r="Q714" s="30">
        <f t="shared" ca="1" si="176"/>
        <v>1.2976480129764711E-2</v>
      </c>
      <c r="R714" s="30">
        <f t="shared" ca="1" si="177"/>
        <v>0.10997556098644745</v>
      </c>
      <c r="S714" s="9" cm="1">
        <f t="array" aca="1" ref="S714" ca="1">_xll.FDS($E$7,"P_PRICE("&amp;AG714&amp;",0,D,D)")</f>
        <v>49.96</v>
      </c>
      <c r="T714" s="9" cm="1">
        <f t="array" aca="1" ref="T714" ca="1">_xll.FDS($E$7,"P_PRICE("&amp;AH714&amp;",0,D,D)")</f>
        <v>47.74</v>
      </c>
      <c r="U714" s="9" cm="1">
        <f t="array" aca="1" ref="U714" ca="1">_xll.FDS($E$7,"P_PRICE("&amp;AI714&amp;",0,D,D)")</f>
        <v>50.91</v>
      </c>
      <c r="V714" s="9" cm="1">
        <f t="array" aca="1" ref="V714" ca="1">_xll.FDS($E$7,"P_PRICE("&amp;AJ714&amp;",0,D,D)")</f>
        <v>49.32</v>
      </c>
      <c r="W714" s="9" cm="1">
        <f t="array" aca="1" ref="W714" ca="1">_xll.FDS($E$7,"P_PRICE("&amp;AK714&amp;",0,D,D)")</f>
        <v>45.01</v>
      </c>
      <c r="X714" s="24">
        <f t="shared" ca="1" si="178"/>
        <v>1.1178065389127134E-2</v>
      </c>
      <c r="Y714" s="24">
        <f t="shared" ca="1" si="179"/>
        <v>7.3608743826538703E-3</v>
      </c>
      <c r="Z714" s="24">
        <f t="shared" ca="1" si="180"/>
        <v>5.1447905516035286E-2</v>
      </c>
      <c r="AA714" s="24">
        <f t="shared" ca="1" si="181"/>
        <v>4.5879157531194759E-2</v>
      </c>
      <c r="AB714" s="9" cm="1">
        <f t="array" aca="1" ref="AB714" ca="1">_xll.FDS($E$9,"P_PRICE("&amp;AG714&amp;",0,D,D)")</f>
        <v>4154.87</v>
      </c>
      <c r="AC714" s="9" cm="1">
        <f t="array" aca="1" ref="AC714" ca="1">_xll.FDS($E$9,"P_PRICE("&amp;AH714&amp;",0,D,D)")</f>
        <v>4108.9399999999996</v>
      </c>
      <c r="AD714" s="9" cm="1">
        <f t="array" aca="1" ref="AD714" ca="1">_xll.FDS($E$9,"P_PRICE("&amp;AI714&amp;",0,D,D)")</f>
        <v>4124.51</v>
      </c>
      <c r="AE714" s="9" cm="1">
        <f t="array" aca="1" ref="AE714" ca="1">_xll.FDS($E$9,"P_PRICE("&amp;AJ714&amp;",0,D,D)")</f>
        <v>3951.57</v>
      </c>
      <c r="AF714" s="9" cm="1">
        <f t="array" aca="1" ref="AF714" ca="1">_xll.FDS($E$9,"P_PRICE("&amp;AK714&amp;",0,D,D)")</f>
        <v>3972.61</v>
      </c>
      <c r="AG714" s="20">
        <f t="shared" ca="1" si="187"/>
        <v>45034</v>
      </c>
      <c r="AH714" s="22">
        <f t="shared" ca="1" si="182"/>
        <v>45027</v>
      </c>
      <c r="AI714" s="22">
        <f t="shared" ca="1" si="183"/>
        <v>45019</v>
      </c>
      <c r="AJ714" s="22">
        <f t="shared" ca="1" si="184"/>
        <v>45005</v>
      </c>
      <c r="AK714" s="22">
        <f t="shared" ca="1" si="185"/>
        <v>44946</v>
      </c>
      <c r="AL714" s="22">
        <f t="shared" ca="1" si="186"/>
        <v>44858</v>
      </c>
    </row>
    <row r="715" spans="4:38" x14ac:dyDescent="0.25">
      <c r="D715" s="6">
        <f ca="1"/>
        <v>45033</v>
      </c>
      <c r="E715" s="28" cm="1">
        <f t="array" aca="1" ref="E715" ca="1">_xll.FDS($E$7,"P_PRICE("&amp;D715&amp;",0,D,D)")</f>
        <v>49.61</v>
      </c>
      <c r="F715" s="29" cm="1">
        <f t="array" aca="1" ref="F715" ca="1">_xll.FDS($E$7,"P_BETA_LOCIDX("&amp;$AG715&amp;","&amp;$AL715&amp;",,"""&amp;$E$9&amp;""")")</f>
        <v>1.1369928</v>
      </c>
      <c r="G715" s="30">
        <f t="shared" ca="1" si="172"/>
        <v>2.0786652869644845E-2</v>
      </c>
      <c r="H715" s="30">
        <f t="shared" ca="1" si="172"/>
        <v>-3.6392641410649851E-2</v>
      </c>
      <c r="I715" s="30">
        <f t="shared" ca="1" si="172"/>
        <v>-3.716288108684411E-2</v>
      </c>
      <c r="J715" s="30">
        <f t="shared" ca="1" si="170"/>
        <v>4.2710674158384226E-2</v>
      </c>
      <c r="K715" s="30">
        <f t="shared" ca="1" si="173"/>
        <v>1.1679528191749581E-2</v>
      </c>
      <c r="L715" s="30">
        <f t="shared" ca="1" si="173"/>
        <v>1.16236223424368E-2</v>
      </c>
      <c r="M715" s="30">
        <f t="shared" ca="1" si="173"/>
        <v>6.8127137113444244E-2</v>
      </c>
      <c r="N715" s="30">
        <f t="shared" ca="1" si="171"/>
        <v>7.3625959504982214E-2</v>
      </c>
      <c r="O715" s="30">
        <f t="shared" ca="1" si="174"/>
        <v>3.2466181061394428E-2</v>
      </c>
      <c r="P715" s="30">
        <f t="shared" ca="1" si="175"/>
        <v>-2.476901906821305E-2</v>
      </c>
      <c r="Q715" s="30">
        <f t="shared" ca="1" si="176"/>
        <v>3.0964256026600134E-2</v>
      </c>
      <c r="R715" s="30">
        <f t="shared" ca="1" si="177"/>
        <v>0.11633663366336644</v>
      </c>
      <c r="S715" s="9" cm="1">
        <f t="array" aca="1" ref="S715" ca="1">_xll.FDS($E$7,"P_PRICE("&amp;AG715&amp;",0,D,D)")</f>
        <v>49.61</v>
      </c>
      <c r="T715" s="9" cm="1">
        <f t="array" aca="1" ref="T715" ca="1">_xll.FDS($E$7,"P_PRICE("&amp;AH715&amp;",0,D,D)")</f>
        <v>48.05</v>
      </c>
      <c r="U715" s="9" cm="1">
        <f t="array" aca="1" ref="U715" ca="1">_xll.FDS($E$7,"P_PRICE("&amp;AI715&amp;",0,D,D)")</f>
        <v>50.87</v>
      </c>
      <c r="V715" s="9" cm="1">
        <f t="array" aca="1" ref="V715" ca="1">_xll.FDS($E$7,"P_PRICE("&amp;AJ715&amp;",0,D,D)")</f>
        <v>48.12</v>
      </c>
      <c r="W715" s="9" cm="1">
        <f t="array" aca="1" ref="W715" ca="1">_xll.FDS($E$7,"P_PRICE("&amp;AK715&amp;",0,D,D)")</f>
        <v>44.44</v>
      </c>
      <c r="X715" s="24">
        <f t="shared" ca="1" si="178"/>
        <v>1.0272297407467823E-2</v>
      </c>
      <c r="Y715" s="24">
        <f t="shared" ca="1" si="179"/>
        <v>1.0223127483689254E-2</v>
      </c>
      <c r="Z715" s="24">
        <f t="shared" ca="1" si="180"/>
        <v>5.9918705829486552E-2</v>
      </c>
      <c r="AA715" s="24">
        <f t="shared" ca="1" si="181"/>
        <v>6.4754991856573074E-2</v>
      </c>
      <c r="AB715" s="9" cm="1">
        <f t="array" aca="1" ref="AB715" ca="1">_xll.FDS($E$9,"P_PRICE("&amp;AG715&amp;",0,D,D)")</f>
        <v>4151.32</v>
      </c>
      <c r="AC715" s="9" cm="1">
        <f t="array" aca="1" ref="AC715" ca="1">_xll.FDS($E$9,"P_PRICE("&amp;AH715&amp;",0,D,D)")</f>
        <v>4109.1099999999997</v>
      </c>
      <c r="AD715" s="9" cm="1">
        <f t="array" aca="1" ref="AD715" ca="1">_xll.FDS($E$9,"P_PRICE("&amp;AI715&amp;",0,D,D)")</f>
        <v>4109.3100000000004</v>
      </c>
      <c r="AE715" s="9" cm="1">
        <f t="array" aca="1" ref="AE715" ca="1">_xll.FDS($E$9,"P_PRICE("&amp;AJ715&amp;",0,D,D)")</f>
        <v>3916.64</v>
      </c>
      <c r="AF715" s="9" cm="1">
        <f t="array" aca="1" ref="AF715" ca="1">_xll.FDS($E$9,"P_PRICE("&amp;AK715&amp;",0,D,D)")</f>
        <v>3898.85</v>
      </c>
      <c r="AG715" s="20">
        <f t="shared" ca="1" si="187"/>
        <v>45033</v>
      </c>
      <c r="AH715" s="22">
        <f t="shared" ca="1" si="182"/>
        <v>45026</v>
      </c>
      <c r="AI715" s="22">
        <f t="shared" ca="1" si="183"/>
        <v>45016</v>
      </c>
      <c r="AJ715" s="22">
        <f t="shared" ca="1" si="184"/>
        <v>45002</v>
      </c>
      <c r="AK715" s="22">
        <f t="shared" ca="1" si="185"/>
        <v>44945</v>
      </c>
      <c r="AL715" s="22">
        <f t="shared" ca="1" si="186"/>
        <v>44855</v>
      </c>
    </row>
    <row r="716" spans="4:38" x14ac:dyDescent="0.25">
      <c r="D716" s="6">
        <f ca="1"/>
        <v>45030</v>
      </c>
      <c r="E716" s="28" cm="1">
        <f t="array" aca="1" ref="E716" ca="1">_xll.FDS($E$7,"P_PRICE("&amp;D716&amp;",0,D,D)")</f>
        <v>49.24</v>
      </c>
      <c r="F716" s="29" cm="1">
        <f t="array" aca="1" ref="F716" ca="1">_xll.FDS($E$7,"P_BETA_LOCIDX("&amp;$AG716&amp;","&amp;$AL716&amp;",,"""&amp;$E$9&amp;""")")</f>
        <v>1.1353279999999999</v>
      </c>
      <c r="G716" s="30">
        <f t="shared" ca="1" si="172"/>
        <v>2.1750717120926744E-2</v>
      </c>
      <c r="H716" s="30">
        <f t="shared" ca="1" si="172"/>
        <v>-4.1103441840164547E-2</v>
      </c>
      <c r="I716" s="30">
        <f t="shared" ca="1" si="172"/>
        <v>-4.3274230704974478E-2</v>
      </c>
      <c r="J716" s="30">
        <f t="shared" ca="1" si="170"/>
        <v>4.0741905645865356E-2</v>
      </c>
      <c r="K716" s="30">
        <f t="shared" ca="1" si="173"/>
        <v>9.0217342083594443E-3</v>
      </c>
      <c r="L716" s="30">
        <f t="shared" ca="1" si="173"/>
        <v>2.4330278900867454E-2</v>
      </c>
      <c r="M716" s="30">
        <f t="shared" ca="1" si="173"/>
        <v>5.0845337723595327E-2</v>
      </c>
      <c r="N716" s="30">
        <f t="shared" ca="1" si="171"/>
        <v>6.0331439613526577E-2</v>
      </c>
      <c r="O716" s="30">
        <f t="shared" ca="1" si="174"/>
        <v>3.0772451329286188E-2</v>
      </c>
      <c r="P716" s="30">
        <f t="shared" ca="1" si="175"/>
        <v>-1.6773162939297093E-2</v>
      </c>
      <c r="Q716" s="30">
        <f t="shared" ca="1" si="176"/>
        <v>7.5711070186208485E-3</v>
      </c>
      <c r="R716" s="30">
        <f t="shared" ca="1" si="177"/>
        <v>0.10107334525939193</v>
      </c>
      <c r="S716" s="9" cm="1">
        <f t="array" aca="1" ref="S716" ca="1">_xll.FDS($E$7,"P_PRICE("&amp;AG716&amp;",0,D,D)")</f>
        <v>49.24</v>
      </c>
      <c r="T716" s="9" cm="1">
        <f t="array" aca="1" ref="T716" ca="1">_xll.FDS($E$7,"P_PRICE("&amp;AH716&amp;",0,D,D)")</f>
        <v>47.77</v>
      </c>
      <c r="U716" s="9" cm="1">
        <f t="array" aca="1" ref="U716" ca="1">_xll.FDS($E$7,"P_PRICE("&amp;AI716&amp;",0,D,D)")</f>
        <v>50.08</v>
      </c>
      <c r="V716" s="9" cm="1">
        <f t="array" aca="1" ref="V716" ca="1">_xll.FDS($E$7,"P_PRICE("&amp;AJ716&amp;",0,D,D)")</f>
        <v>48.87</v>
      </c>
      <c r="W716" s="9" cm="1">
        <f t="array" aca="1" ref="W716" ca="1">_xll.FDS($E$7,"P_PRICE("&amp;AK716&amp;",0,D,D)")</f>
        <v>44.72</v>
      </c>
      <c r="X716" s="24">
        <f t="shared" ca="1" si="178"/>
        <v>7.9463681053928426E-3</v>
      </c>
      <c r="Y716" s="24">
        <f t="shared" ca="1" si="179"/>
        <v>2.143017603799735E-2</v>
      </c>
      <c r="Z716" s="24">
        <f t="shared" ca="1" si="180"/>
        <v>4.4784712192067255E-2</v>
      </c>
      <c r="AA716" s="24">
        <f t="shared" ca="1" si="181"/>
        <v>5.3140096618357502E-2</v>
      </c>
      <c r="AB716" s="9" cm="1">
        <f t="array" aca="1" ref="AB716" ca="1">_xll.FDS($E$9,"P_PRICE("&amp;AG716&amp;",0,D,D)")</f>
        <v>4137.6400000000003</v>
      </c>
      <c r="AC716" s="9" cm="1">
        <f t="array" aca="1" ref="AC716" ca="1">_xll.FDS($E$9,"P_PRICE("&amp;AH716&amp;",0,D,D)")</f>
        <v>4105.0200000000004</v>
      </c>
      <c r="AD716" s="9" cm="1">
        <f t="array" aca="1" ref="AD716" ca="1">_xll.FDS($E$9,"P_PRICE("&amp;AI716&amp;",0,D,D)")</f>
        <v>4050.83</v>
      </c>
      <c r="AE716" s="9" cm="1">
        <f t="array" aca="1" ref="AE716" ca="1">_xll.FDS($E$9,"P_PRICE("&amp;AJ716&amp;",0,D,D)")</f>
        <v>3960.28</v>
      </c>
      <c r="AF716" s="9" cm="1">
        <f t="array" aca="1" ref="AF716" ca="1">_xll.FDS($E$9,"P_PRICE("&amp;AK716&amp;",0,D,D)")</f>
        <v>3928.86</v>
      </c>
      <c r="AG716" s="20">
        <f t="shared" ca="1" si="187"/>
        <v>45030</v>
      </c>
      <c r="AH716" s="22">
        <f t="shared" ca="1" si="182"/>
        <v>45022</v>
      </c>
      <c r="AI716" s="22">
        <f t="shared" ca="1" si="183"/>
        <v>45015</v>
      </c>
      <c r="AJ716" s="22">
        <f t="shared" ca="1" si="184"/>
        <v>45001</v>
      </c>
      <c r="AK716" s="22">
        <f t="shared" ca="1" si="185"/>
        <v>44944</v>
      </c>
      <c r="AL716" s="22">
        <f t="shared" ca="1" si="186"/>
        <v>44854</v>
      </c>
    </row>
    <row r="717" spans="4:38" x14ac:dyDescent="0.25">
      <c r="D717" s="6">
        <f ca="1"/>
        <v>45029</v>
      </c>
      <c r="E717" s="28" cm="1">
        <f t="array" aca="1" ref="E717" ca="1">_xll.FDS($E$7,"P_PRICE("&amp;D717&amp;",0,D,D)")</f>
        <v>49.29</v>
      </c>
      <c r="F717" s="29" cm="1">
        <f t="array" aca="1" ref="F717" ca="1">_xll.FDS($E$7,"P_BETA_LOCIDX("&amp;$AG717&amp;","&amp;$AL717&amp;",,"""&amp;$E$9&amp;""")")</f>
        <v>1.1384213999999999</v>
      </c>
      <c r="G717" s="30">
        <f t="shared" ca="1" si="172"/>
        <v>3.0955606162777247E-2</v>
      </c>
      <c r="H717" s="30">
        <f t="shared" ca="1" si="172"/>
        <v>-3.9517043912366129E-2</v>
      </c>
      <c r="I717" s="30">
        <f t="shared" ca="1" si="172"/>
        <v>-5.1343302410809893E-2</v>
      </c>
      <c r="J717" s="30">
        <f t="shared" ca="1" si="170"/>
        <v>4.3074410788302611E-2</v>
      </c>
      <c r="K717" s="30">
        <f t="shared" ca="1" si="173"/>
        <v>1.5541209123846836E-2</v>
      </c>
      <c r="L717" s="30">
        <f t="shared" ca="1" si="173"/>
        <v>3.3467437136806472E-2</v>
      </c>
      <c r="M717" s="30">
        <f t="shared" ca="1" si="173"/>
        <v>7.4381907641196038E-2</v>
      </c>
      <c r="N717" s="30">
        <f t="shared" ca="1" si="171"/>
        <v>4.428495387086355E-2</v>
      </c>
      <c r="O717" s="30">
        <f t="shared" ca="1" si="174"/>
        <v>4.6496815286624082E-2</v>
      </c>
      <c r="P717" s="30">
        <f t="shared" ca="1" si="175"/>
        <v>-6.0496067755596572E-3</v>
      </c>
      <c r="Q717" s="30">
        <f t="shared" ca="1" si="176"/>
        <v>2.3038605230386144E-2</v>
      </c>
      <c r="R717" s="30">
        <f t="shared" ca="1" si="177"/>
        <v>8.7359364659166161E-2</v>
      </c>
      <c r="S717" s="9" cm="1">
        <f t="array" aca="1" ref="S717" ca="1">_xll.FDS($E$7,"P_PRICE("&amp;AG717&amp;",0,D,D)")</f>
        <v>49.29</v>
      </c>
      <c r="T717" s="9" cm="1">
        <f t="array" aca="1" ref="T717" ca="1">_xll.FDS($E$7,"P_PRICE("&amp;AH717&amp;",0,D,D)")</f>
        <v>47.1</v>
      </c>
      <c r="U717" s="9" cm="1">
        <f t="array" aca="1" ref="U717" ca="1">_xll.FDS($E$7,"P_PRICE("&amp;AI717&amp;",0,D,D)")</f>
        <v>49.59</v>
      </c>
      <c r="V717" s="9" cm="1">
        <f t="array" aca="1" ref="V717" ca="1">_xll.FDS($E$7,"P_PRICE("&amp;AJ717&amp;",0,D,D)")</f>
        <v>48.18</v>
      </c>
      <c r="W717" s="9" cm="1">
        <f t="array" aca="1" ref="W717" ca="1">_xll.FDS($E$7,"P_PRICE("&amp;AK717&amp;",0,D,D)")</f>
        <v>45.33</v>
      </c>
      <c r="X717" s="24">
        <f t="shared" ca="1" si="178"/>
        <v>1.3651543377388053E-2</v>
      </c>
      <c r="Y717" s="24">
        <f t="shared" ca="1" si="179"/>
        <v>2.9398109642709169E-2</v>
      </c>
      <c r="Z717" s="24">
        <f t="shared" ca="1" si="180"/>
        <v>6.5337763012181638E-2</v>
      </c>
      <c r="AA717" s="24">
        <f t="shared" ca="1" si="181"/>
        <v>3.89003174666811E-2</v>
      </c>
      <c r="AB717" s="9" cm="1">
        <f t="array" aca="1" ref="AB717" ca="1">_xll.FDS($E$9,"P_PRICE("&amp;AG717&amp;",0,D,D)")</f>
        <v>4146.22</v>
      </c>
      <c r="AC717" s="9" cm="1">
        <f t="array" aca="1" ref="AC717" ca="1">_xll.FDS($E$9,"P_PRICE("&amp;AH717&amp;",0,D,D)")</f>
        <v>4090.38</v>
      </c>
      <c r="AD717" s="9" cm="1">
        <f t="array" aca="1" ref="AD717" ca="1">_xll.FDS($E$9,"P_PRICE("&amp;AI717&amp;",0,D,D)")</f>
        <v>4027.81</v>
      </c>
      <c r="AE717" s="9" cm="1">
        <f t="array" aca="1" ref="AE717" ca="1">_xll.FDS($E$9,"P_PRICE("&amp;AJ717&amp;",0,D,D)")</f>
        <v>3891.93</v>
      </c>
      <c r="AF717" s="9" cm="1">
        <f t="array" aca="1" ref="AF717" ca="1">_xll.FDS($E$9,"P_PRICE("&amp;AK717&amp;",0,D,D)")</f>
        <v>3990.97</v>
      </c>
      <c r="AG717" s="20">
        <f t="shared" ca="1" si="187"/>
        <v>45029</v>
      </c>
      <c r="AH717" s="22">
        <f t="shared" ca="1" si="182"/>
        <v>45021</v>
      </c>
      <c r="AI717" s="22">
        <f t="shared" ca="1" si="183"/>
        <v>45014</v>
      </c>
      <c r="AJ717" s="22">
        <f t="shared" ca="1" si="184"/>
        <v>45000</v>
      </c>
      <c r="AK717" s="22">
        <f t="shared" ca="1" si="185"/>
        <v>44943</v>
      </c>
      <c r="AL717" s="22">
        <f t="shared" ca="1" si="186"/>
        <v>44853</v>
      </c>
    </row>
    <row r="718" spans="4:38" x14ac:dyDescent="0.25">
      <c r="D718" s="6">
        <f ca="1"/>
        <v>45028</v>
      </c>
      <c r="E718" s="28" cm="1">
        <f t="array" aca="1" ref="E718" ca="1">_xll.FDS($E$7,"P_PRICE("&amp;D718&amp;",0,D,D)")</f>
        <v>48.56</v>
      </c>
      <c r="F718" s="29" cm="1">
        <f t="array" aca="1" ref="F718" ca="1">_xll.FDS($E$7,"P_BETA_LOCIDX("&amp;$AG718&amp;","&amp;$AL718&amp;",,"""&amp;$E$9&amp;""")")</f>
        <v>1.1426725</v>
      </c>
      <c r="G718" s="30">
        <f t="shared" ca="1" si="172"/>
        <v>-3.1029082914035104E-2</v>
      </c>
      <c r="H718" s="30">
        <f t="shared" ca="1" si="172"/>
        <v>-4.7531314452735694E-2</v>
      </c>
      <c r="I718" s="30">
        <f t="shared" ca="1" si="172"/>
        <v>-8.4163291814726954E-2</v>
      </c>
      <c r="J718" s="30">
        <f t="shared" ca="1" si="170"/>
        <v>3.7445787433874118E-2</v>
      </c>
      <c r="K718" s="30">
        <f t="shared" ca="1" si="173"/>
        <v>-2.4104075318248158E-3</v>
      </c>
      <c r="L718" s="30">
        <f t="shared" ca="1" si="173"/>
        <v>3.4723833257370905E-2</v>
      </c>
      <c r="M718" s="30">
        <f t="shared" ca="1" si="173"/>
        <v>5.0339177210668183E-2</v>
      </c>
      <c r="N718" s="30">
        <f t="shared" ca="1" si="171"/>
        <v>2.6533178385582605E-2</v>
      </c>
      <c r="O718" s="30">
        <f t="shared" ca="1" si="174"/>
        <v>-3.3439490445859921E-2</v>
      </c>
      <c r="P718" s="30">
        <f t="shared" ca="1" si="175"/>
        <v>-1.2807481195364789E-2</v>
      </c>
      <c r="Q718" s="30">
        <f t="shared" ca="1" si="176"/>
        <v>-3.3824114604058764E-2</v>
      </c>
      <c r="R718" s="30">
        <f t="shared" ca="1" si="177"/>
        <v>6.3978965819456723E-2</v>
      </c>
      <c r="S718" s="9" cm="1">
        <f t="array" aca="1" ref="S718" ca="1">_xll.FDS($E$7,"P_PRICE("&amp;AG718&amp;",0,D,D)")</f>
        <v>48.56</v>
      </c>
      <c r="T718" s="9" cm="1">
        <f t="array" aca="1" ref="T718" ca="1">_xll.FDS($E$7,"P_PRICE("&amp;AH718&amp;",0,D,D)")</f>
        <v>50.24</v>
      </c>
      <c r="U718" s="9" cm="1">
        <f t="array" aca="1" ref="U718" ca="1">_xll.FDS($E$7,"P_PRICE("&amp;AI718&amp;",0,D,D)")</f>
        <v>49.19</v>
      </c>
      <c r="V718" s="9" cm="1">
        <f t="array" aca="1" ref="V718" ca="1">_xll.FDS($E$7,"P_PRICE("&amp;AJ718&amp;",0,D,D)")</f>
        <v>50.26</v>
      </c>
      <c r="W718" s="9" cm="1">
        <f t="array" aca="1" ref="W718" ca="1">_xll.FDS($E$7,"P_PRICE("&amp;AK718&amp;",0,D,D)")</f>
        <v>45.64</v>
      </c>
      <c r="X718" s="24">
        <f t="shared" ca="1" si="178"/>
        <v>-2.1094473979419437E-3</v>
      </c>
      <c r="Y718" s="24">
        <f t="shared" ca="1" si="179"/>
        <v>3.038826370405423E-2</v>
      </c>
      <c r="Z718" s="24">
        <f t="shared" ca="1" si="180"/>
        <v>4.4053897517152274E-2</v>
      </c>
      <c r="AA718" s="24">
        <f t="shared" ca="1" si="181"/>
        <v>2.3220282614294652E-2</v>
      </c>
      <c r="AB718" s="9" cm="1">
        <f t="array" aca="1" ref="AB718" ca="1">_xll.FDS($E$9,"P_PRICE("&amp;AG718&amp;",0,D,D)")</f>
        <v>4091.95</v>
      </c>
      <c r="AC718" s="9" cm="1">
        <f t="array" aca="1" ref="AC718" ca="1">_xll.FDS($E$9,"P_PRICE("&amp;AH718&amp;",0,D,D)")</f>
        <v>4100.6000000000004</v>
      </c>
      <c r="AD718" s="9" cm="1">
        <f t="array" aca="1" ref="AD718" ca="1">_xll.FDS($E$9,"P_PRICE("&amp;AI718&amp;",0,D,D)")</f>
        <v>3971.27</v>
      </c>
      <c r="AE718" s="9" cm="1">
        <f t="array" aca="1" ref="AE718" ca="1">_xll.FDS($E$9,"P_PRICE("&amp;AJ718&amp;",0,D,D)")</f>
        <v>3919.29</v>
      </c>
      <c r="AF718" s="9" cm="1">
        <f t="array" aca="1" ref="AF718" ca="1">_xll.FDS($E$9,"P_PRICE("&amp;AK718&amp;",0,D,D)")</f>
        <v>3999.09</v>
      </c>
      <c r="AG718" s="20">
        <f t="shared" ca="1" si="187"/>
        <v>45028</v>
      </c>
      <c r="AH718" s="22">
        <f t="shared" ca="1" si="182"/>
        <v>45020</v>
      </c>
      <c r="AI718" s="22">
        <f t="shared" ca="1" si="183"/>
        <v>45013</v>
      </c>
      <c r="AJ718" s="22">
        <f t="shared" ca="1" si="184"/>
        <v>44999</v>
      </c>
      <c r="AK718" s="22">
        <f t="shared" ca="1" si="185"/>
        <v>44939</v>
      </c>
      <c r="AL718" s="22">
        <f t="shared" ca="1" si="186"/>
        <v>44852</v>
      </c>
    </row>
    <row r="719" spans="4:38" x14ac:dyDescent="0.25">
      <c r="D719" s="6">
        <f ca="1"/>
        <v>45027</v>
      </c>
      <c r="E719" s="28" cm="1">
        <f t="array" aca="1" ref="E719" ca="1">_xll.FDS($E$7,"P_PRICE("&amp;D719&amp;",0,D,D)")</f>
        <v>47.74</v>
      </c>
      <c r="F719" s="29" cm="1">
        <f t="array" aca="1" ref="F719" ca="1">_xll.FDS($E$7,"P_BETA_LOCIDX("&amp;$AG719&amp;","&amp;$AL719&amp;",,"""&amp;$E$9&amp;""")")</f>
        <v>1.1661155000000001</v>
      </c>
      <c r="G719" s="30">
        <f t="shared" ca="1" si="172"/>
        <v>-5.7864666363080262E-2</v>
      </c>
      <c r="H719" s="30">
        <f t="shared" ca="1" si="172"/>
        <v>-5.0529541822220796E-2</v>
      </c>
      <c r="I719" s="30">
        <f t="shared" ca="1" si="172"/>
        <v>-0.10029229093112431</v>
      </c>
      <c r="J719" s="30">
        <f t="shared" ca="1" si="170"/>
        <v>3.1427421285777482E-2</v>
      </c>
      <c r="K719" s="30">
        <f t="shared" ca="1" si="173"/>
        <v>-4.4020788736118029E-3</v>
      </c>
      <c r="L719" s="30">
        <f t="shared" ca="1" si="173"/>
        <v>3.8526230563942658E-2</v>
      </c>
      <c r="M719" s="30">
        <f t="shared" ca="1" si="173"/>
        <v>7.6570409540531362E-2</v>
      </c>
      <c r="N719" s="30">
        <f t="shared" ca="1" si="171"/>
        <v>3.6820508899946466E-2</v>
      </c>
      <c r="O719" s="30">
        <f t="shared" ca="1" si="174"/>
        <v>-6.2266745236692067E-2</v>
      </c>
      <c r="P719" s="30">
        <f t="shared" ca="1" si="175"/>
        <v>-1.2003311258278138E-2</v>
      </c>
      <c r="Q719" s="30">
        <f t="shared" ca="1" si="176"/>
        <v>-2.3721881390592947E-2</v>
      </c>
      <c r="R719" s="30">
        <f t="shared" ca="1" si="177"/>
        <v>6.8247930185723948E-2</v>
      </c>
      <c r="S719" s="9" cm="1">
        <f t="array" aca="1" ref="S719" ca="1">_xll.FDS($E$7,"P_PRICE("&amp;AG719&amp;",0,D,D)")</f>
        <v>47.74</v>
      </c>
      <c r="T719" s="9" cm="1">
        <f t="array" aca="1" ref="T719" ca="1">_xll.FDS($E$7,"P_PRICE("&amp;AH719&amp;",0,D,D)")</f>
        <v>50.91</v>
      </c>
      <c r="U719" s="9" cm="1">
        <f t="array" aca="1" ref="U719" ca="1">_xll.FDS($E$7,"P_PRICE("&amp;AI719&amp;",0,D,D)")</f>
        <v>48.32</v>
      </c>
      <c r="V719" s="9" cm="1">
        <f t="array" aca="1" ref="V719" ca="1">_xll.FDS($E$7,"P_PRICE("&amp;AJ719&amp;",0,D,D)")</f>
        <v>48.9</v>
      </c>
      <c r="W719" s="9" cm="1">
        <f t="array" aca="1" ref="W719" ca="1">_xll.FDS($E$7,"P_PRICE("&amp;AK719&amp;",0,D,D)")</f>
        <v>44.69</v>
      </c>
      <c r="X719" s="24">
        <f t="shared" ca="1" si="178"/>
        <v>-3.774993878060795E-3</v>
      </c>
      <c r="Y719" s="24">
        <f t="shared" ca="1" si="179"/>
        <v>3.303809147888237E-2</v>
      </c>
      <c r="Z719" s="24">
        <f t="shared" ca="1" si="180"/>
        <v>6.5662800589248116E-2</v>
      </c>
      <c r="AA719" s="24">
        <f t="shared" ca="1" si="181"/>
        <v>3.1575353299005515E-2</v>
      </c>
      <c r="AB719" s="9" cm="1">
        <f t="array" aca="1" ref="AB719" ca="1">_xll.FDS($E$9,"P_PRICE("&amp;AG719&amp;",0,D,D)")</f>
        <v>4108.9399999999996</v>
      </c>
      <c r="AC719" s="9" cm="1">
        <f t="array" aca="1" ref="AC719" ca="1">_xll.FDS($E$9,"P_PRICE("&amp;AH719&amp;",0,D,D)")</f>
        <v>4124.51</v>
      </c>
      <c r="AD719" s="9" cm="1">
        <f t="array" aca="1" ref="AD719" ca="1">_xll.FDS($E$9,"P_PRICE("&amp;AI719&amp;",0,D,D)")</f>
        <v>3977.53</v>
      </c>
      <c r="AE719" s="9" cm="1">
        <f t="array" aca="1" ref="AE719" ca="1">_xll.FDS($E$9,"P_PRICE("&amp;AJ719&amp;",0,D,D)")</f>
        <v>3855.76</v>
      </c>
      <c r="AF719" s="9" cm="1">
        <f t="array" aca="1" ref="AF719" ca="1">_xll.FDS($E$9,"P_PRICE("&amp;AK719&amp;",0,D,D)")</f>
        <v>3983.17</v>
      </c>
      <c r="AG719" s="20">
        <f t="shared" ca="1" si="187"/>
        <v>45027</v>
      </c>
      <c r="AH719" s="22">
        <f t="shared" ca="1" si="182"/>
        <v>45019</v>
      </c>
      <c r="AI719" s="22">
        <f t="shared" ca="1" si="183"/>
        <v>45012</v>
      </c>
      <c r="AJ719" s="22">
        <f t="shared" ca="1" si="184"/>
        <v>44998</v>
      </c>
      <c r="AK719" s="22">
        <f t="shared" ca="1" si="185"/>
        <v>44938</v>
      </c>
      <c r="AL719" s="22">
        <f t="shared" ca="1" si="186"/>
        <v>44851</v>
      </c>
    </row>
    <row r="720" spans="4:38" x14ac:dyDescent="0.25">
      <c r="D720" s="6">
        <f ca="1"/>
        <v>45026</v>
      </c>
      <c r="E720" s="28" cm="1">
        <f t="array" aca="1" ref="E720" ca="1">_xll.FDS($E$7,"P_PRICE("&amp;D720&amp;",0,D,D)")</f>
        <v>48.05</v>
      </c>
      <c r="F720" s="29" cm="1">
        <f t="array" aca="1" ref="F720" ca="1">_xll.FDS($E$7,"P_BETA_LOCIDX("&amp;$AG720&amp;","&amp;$AL720&amp;",,"""&amp;$E$9&amp;""")")</f>
        <v>1.1781477</v>
      </c>
      <c r="G720" s="30">
        <f t="shared" ca="1" si="172"/>
        <v>-5.5378083214043534E-2</v>
      </c>
      <c r="H720" s="30">
        <f t="shared" ca="1" si="172"/>
        <v>-4.2018138690061699E-2</v>
      </c>
      <c r="I720" s="30">
        <f t="shared" ca="1" si="172"/>
        <v>-0.11777318001426232</v>
      </c>
      <c r="J720" s="30">
        <f t="shared" ca="1" si="170"/>
        <v>3.7887750450229456E-2</v>
      </c>
      <c r="K720" s="30">
        <f t="shared" ca="1" si="173"/>
        <v>-5.7340414814357149E-5</v>
      </c>
      <c r="L720" s="30">
        <f t="shared" ca="1" si="173"/>
        <v>4.0978637650560576E-2</v>
      </c>
      <c r="M720" s="30">
        <f t="shared" ca="1" si="173"/>
        <v>7.5516851531105017E-2</v>
      </c>
      <c r="N720" s="30">
        <f t="shared" ca="1" si="171"/>
        <v>4.140245619846767E-2</v>
      </c>
      <c r="O720" s="30">
        <f t="shared" ca="1" si="174"/>
        <v>-5.5435423628857894E-2</v>
      </c>
      <c r="P720" s="30">
        <f t="shared" ca="1" si="175"/>
        <v>-1.0395010395011228E-3</v>
      </c>
      <c r="Q720" s="30">
        <f t="shared" ca="1" si="176"/>
        <v>-4.2256328483157302E-2</v>
      </c>
      <c r="R720" s="30">
        <f t="shared" ca="1" si="177"/>
        <v>7.9290206648697126E-2</v>
      </c>
      <c r="S720" s="9" cm="1">
        <f t="array" aca="1" ref="S720" ca="1">_xll.FDS($E$7,"P_PRICE("&amp;AG720&amp;",0,D,D)")</f>
        <v>48.05</v>
      </c>
      <c r="T720" s="9" cm="1">
        <f t="array" aca="1" ref="T720" ca="1">_xll.FDS($E$7,"P_PRICE("&amp;AH720&amp;",0,D,D)")</f>
        <v>50.87</v>
      </c>
      <c r="U720" s="9" cm="1">
        <f t="array" aca="1" ref="U720" ca="1">_xll.FDS($E$7,"P_PRICE("&amp;AI720&amp;",0,D,D)")</f>
        <v>48.1</v>
      </c>
      <c r="V720" s="9" cm="1">
        <f t="array" aca="1" ref="V720" ca="1">_xll.FDS($E$7,"P_PRICE("&amp;AJ720&amp;",0,D,D)")</f>
        <v>50.17</v>
      </c>
      <c r="W720" s="9" cm="1">
        <f t="array" aca="1" ref="W720" ca="1">_xll.FDS($E$7,"P_PRICE("&amp;AK720&amp;",0,D,D)")</f>
        <v>44.52</v>
      </c>
      <c r="X720" s="24">
        <f t="shared" ca="1" si="178"/>
        <v>-4.8669971357884201E-5</v>
      </c>
      <c r="Y720" s="24">
        <f t="shared" ca="1" si="179"/>
        <v>3.4782258328527549E-2</v>
      </c>
      <c r="Z720" s="24">
        <f t="shared" ca="1" si="180"/>
        <v>6.4097949290318201E-2</v>
      </c>
      <c r="AA720" s="24">
        <f t="shared" ca="1" si="181"/>
        <v>3.514199127874007E-2</v>
      </c>
      <c r="AB720" s="9" cm="1">
        <f t="array" aca="1" ref="AB720" ca="1">_xll.FDS($E$9,"P_PRICE("&amp;AG720&amp;",0,D,D)")</f>
        <v>4109.1099999999997</v>
      </c>
      <c r="AC720" s="9" cm="1">
        <f t="array" aca="1" ref="AC720" ca="1">_xll.FDS($E$9,"P_PRICE("&amp;AH720&amp;",0,D,D)")</f>
        <v>4109.3100000000004</v>
      </c>
      <c r="AD720" s="9" cm="1">
        <f t="array" aca="1" ref="AD720" ca="1">_xll.FDS($E$9,"P_PRICE("&amp;AI720&amp;",0,D,D)")</f>
        <v>3970.99</v>
      </c>
      <c r="AE720" s="9" cm="1">
        <f t="array" aca="1" ref="AE720" ca="1">_xll.FDS($E$9,"P_PRICE("&amp;AJ720&amp;",0,D,D)")</f>
        <v>3861.59</v>
      </c>
      <c r="AF720" s="9" cm="1">
        <f t="array" aca="1" ref="AF720" ca="1">_xll.FDS($E$9,"P_PRICE("&amp;AK720&amp;",0,D,D)")</f>
        <v>3969.61</v>
      </c>
      <c r="AG720" s="20">
        <f t="shared" ca="1" si="187"/>
        <v>45026</v>
      </c>
      <c r="AH720" s="22">
        <f t="shared" ca="1" si="182"/>
        <v>45016</v>
      </c>
      <c r="AI720" s="22">
        <f t="shared" ca="1" si="183"/>
        <v>45009</v>
      </c>
      <c r="AJ720" s="22">
        <f t="shared" ca="1" si="184"/>
        <v>44995</v>
      </c>
      <c r="AK720" s="22">
        <f t="shared" ca="1" si="185"/>
        <v>44937</v>
      </c>
      <c r="AL720" s="22">
        <f t="shared" ca="1" si="186"/>
        <v>44848</v>
      </c>
    </row>
    <row r="721" spans="4:38" x14ac:dyDescent="0.25">
      <c r="D721" s="6">
        <f ca="1"/>
        <v>45022</v>
      </c>
      <c r="E721" s="28" cm="1">
        <f t="array" aca="1" ref="E721" ca="1">_xll.FDS($E$7,"P_PRICE("&amp;D721&amp;",0,D,D)")</f>
        <v>47.77</v>
      </c>
      <c r="F721" s="29" cm="1">
        <f t="array" aca="1" ref="F721" ca="1">_xll.FDS($E$7,"P_BETA_LOCIDX("&amp;$AG721&amp;","&amp;$AL721&amp;",,"""&amp;$E$9&amp;""")")</f>
        <v>1.1775161000000001</v>
      </c>
      <c r="G721" s="30">
        <f t="shared" ca="1" si="172"/>
        <v>-6.1878426011417624E-2</v>
      </c>
      <c r="H721" s="30">
        <f t="shared" ca="1" si="172"/>
        <v>-7.9604920001760698E-2</v>
      </c>
      <c r="I721" s="30">
        <f t="shared" ca="1" si="172"/>
        <v>-0.11686126743065986</v>
      </c>
      <c r="J721" s="30">
        <f t="shared" ca="1" si="170"/>
        <v>3.982867478325787E-2</v>
      </c>
      <c r="K721" s="30">
        <f t="shared" ca="1" si="173"/>
        <v>1.5752227928350675E-2</v>
      </c>
      <c r="L721" s="30">
        <f t="shared" ca="1" si="173"/>
        <v>4.6608968584756751E-2</v>
      </c>
      <c r="M721" s="30">
        <f t="shared" ca="1" si="173"/>
        <v>5.610625366738823E-2</v>
      </c>
      <c r="N721" s="30">
        <f t="shared" ca="1" si="171"/>
        <v>5.5813527051604514E-2</v>
      </c>
      <c r="O721" s="30">
        <f t="shared" ca="1" si="174"/>
        <v>-4.6126198083066949E-2</v>
      </c>
      <c r="P721" s="30">
        <f t="shared" ca="1" si="175"/>
        <v>-3.2995951417003955E-2</v>
      </c>
      <c r="Q721" s="30">
        <f t="shared" ca="1" si="176"/>
        <v>-6.0755013763271637E-2</v>
      </c>
      <c r="R721" s="30">
        <f t="shared" ca="1" si="177"/>
        <v>9.5642201834862384E-2</v>
      </c>
      <c r="S721" s="9" cm="1">
        <f t="array" aca="1" ref="S721" ca="1">_xll.FDS($E$7,"P_PRICE("&amp;AG721&amp;",0,D,D)")</f>
        <v>47.77</v>
      </c>
      <c r="T721" s="9" cm="1">
        <f t="array" aca="1" ref="T721" ca="1">_xll.FDS($E$7,"P_PRICE("&amp;AH721&amp;",0,D,D)")</f>
        <v>50.08</v>
      </c>
      <c r="U721" s="9" cm="1">
        <f t="array" aca="1" ref="U721" ca="1">_xll.FDS($E$7,"P_PRICE("&amp;AI721&amp;",0,D,D)")</f>
        <v>49.4</v>
      </c>
      <c r="V721" s="9" cm="1">
        <f t="array" aca="1" ref="V721" ca="1">_xll.FDS($E$7,"P_PRICE("&amp;AJ721&amp;",0,D,D)")</f>
        <v>50.86</v>
      </c>
      <c r="W721" s="9" cm="1">
        <f t="array" aca="1" ref="W721" ca="1">_xll.FDS($E$7,"P_PRICE("&amp;AK721&amp;",0,D,D)")</f>
        <v>43.6</v>
      </c>
      <c r="X721" s="24">
        <f t="shared" ca="1" si="178"/>
        <v>1.3377505350755436E-2</v>
      </c>
      <c r="Y721" s="24">
        <f t="shared" ca="1" si="179"/>
        <v>3.9582446970157559E-2</v>
      </c>
      <c r="Z721" s="24">
        <f t="shared" ca="1" si="180"/>
        <v>4.7647971579656723E-2</v>
      </c>
      <c r="AA721" s="24">
        <f t="shared" ca="1" si="181"/>
        <v>4.7399374880398248E-2</v>
      </c>
      <c r="AB721" s="9" cm="1">
        <f t="array" aca="1" ref="AB721" ca="1">_xll.FDS($E$9,"P_PRICE("&amp;AG721&amp;",0,D,D)")</f>
        <v>4105.0200000000004</v>
      </c>
      <c r="AC721" s="9" cm="1">
        <f t="array" aca="1" ref="AC721" ca="1">_xll.FDS($E$9,"P_PRICE("&amp;AH721&amp;",0,D,D)")</f>
        <v>4050.83</v>
      </c>
      <c r="AD721" s="9" cm="1">
        <f t="array" aca="1" ref="AD721" ca="1">_xll.FDS($E$9,"P_PRICE("&amp;AI721&amp;",0,D,D)")</f>
        <v>3948.72</v>
      </c>
      <c r="AE721" s="9" cm="1">
        <f t="array" aca="1" ref="AE721" ca="1">_xll.FDS($E$9,"P_PRICE("&amp;AJ721&amp;",0,D,D)")</f>
        <v>3918.32</v>
      </c>
      <c r="AF721" s="9" cm="1">
        <f t="array" aca="1" ref="AF721" ca="1">_xll.FDS($E$9,"P_PRICE("&amp;AK721&amp;",0,D,D)")</f>
        <v>3919.25</v>
      </c>
      <c r="AG721" s="20">
        <f t="shared" ca="1" si="187"/>
        <v>45022</v>
      </c>
      <c r="AH721" s="22">
        <f t="shared" ca="1" si="182"/>
        <v>45015</v>
      </c>
      <c r="AI721" s="22">
        <f t="shared" ca="1" si="183"/>
        <v>45008</v>
      </c>
      <c r="AJ721" s="22">
        <f t="shared" ca="1" si="184"/>
        <v>44994</v>
      </c>
      <c r="AK721" s="22">
        <f t="shared" ca="1" si="185"/>
        <v>44936</v>
      </c>
      <c r="AL721" s="22">
        <f t="shared" ca="1" si="186"/>
        <v>44847</v>
      </c>
    </row>
    <row r="722" spans="4:38" x14ac:dyDescent="0.25">
      <c r="D722" s="6">
        <f ca="1"/>
        <v>45021</v>
      </c>
      <c r="E722" s="28" cm="1">
        <f t="array" aca="1" ref="E722" ca="1">_xll.FDS($E$7,"P_PRICE("&amp;D722&amp;",0,D,D)")</f>
        <v>47.1</v>
      </c>
      <c r="F722" s="29" cm="1">
        <f t="array" aca="1" ref="F722" ca="1">_xll.FDS($E$7,"P_BETA_LOCIDX("&amp;$AG722&amp;","&amp;$AL722&amp;",,"""&amp;$E$9&amp;""")")</f>
        <v>1.1783840000000001</v>
      </c>
      <c r="G722" s="30">
        <f t="shared" ca="1" si="172"/>
        <v>-6.8517338259087041E-2</v>
      </c>
      <c r="H722" s="30">
        <f t="shared" ca="1" si="172"/>
        <v>-0.10879057773182457</v>
      </c>
      <c r="I722" s="30">
        <f t="shared" ca="1" si="172"/>
        <v>-0.11959543353229035</v>
      </c>
      <c r="J722" s="30">
        <f t="shared" ca="1" si="170"/>
        <v>1.8014860977255485E-2</v>
      </c>
      <c r="K722" s="30">
        <f t="shared" ca="1" si="173"/>
        <v>1.8305602021942459E-2</v>
      </c>
      <c r="L722" s="30">
        <f t="shared" ca="1" si="173"/>
        <v>4.5917517644279891E-2</v>
      </c>
      <c r="M722" s="30">
        <f t="shared" ca="1" si="173"/>
        <v>2.9037410747969113E-2</v>
      </c>
      <c r="N722" s="30">
        <f t="shared" ca="1" si="171"/>
        <v>6.0035036024346879E-2</v>
      </c>
      <c r="O722" s="30">
        <f t="shared" ca="1" si="174"/>
        <v>-5.0211736237144589E-2</v>
      </c>
      <c r="P722" s="30">
        <f t="shared" ca="1" si="175"/>
        <v>-6.2873060087544674E-2</v>
      </c>
      <c r="Q722" s="30">
        <f t="shared" ca="1" si="176"/>
        <v>-9.0558022784321235E-2</v>
      </c>
      <c r="R722" s="30">
        <f t="shared" ca="1" si="177"/>
        <v>7.8049897001602364E-2</v>
      </c>
      <c r="S722" s="9" cm="1">
        <f t="array" aca="1" ref="S722" ca="1">_xll.FDS($E$7,"P_PRICE("&amp;AG722&amp;",0,D,D)")</f>
        <v>47.1</v>
      </c>
      <c r="T722" s="9" cm="1">
        <f t="array" aca="1" ref="T722" ca="1">_xll.FDS($E$7,"P_PRICE("&amp;AH722&amp;",0,D,D)")</f>
        <v>49.59</v>
      </c>
      <c r="U722" s="9" cm="1">
        <f t="array" aca="1" ref="U722" ca="1">_xll.FDS($E$7,"P_PRICE("&amp;AI722&amp;",0,D,D)")</f>
        <v>50.26</v>
      </c>
      <c r="V722" s="9" cm="1">
        <f t="array" aca="1" ref="V722" ca="1">_xll.FDS($E$7,"P_PRICE("&amp;AJ722&amp;",0,D,D)")</f>
        <v>51.79</v>
      </c>
      <c r="W722" s="9" cm="1">
        <f t="array" aca="1" ref="W722" ca="1">_xll.FDS($E$7,"P_PRICE("&amp;AK722&amp;",0,D,D)")</f>
        <v>43.69</v>
      </c>
      <c r="X722" s="24">
        <f t="shared" ca="1" si="178"/>
        <v>1.5534496413683874E-2</v>
      </c>
      <c r="Y722" s="24">
        <f t="shared" ca="1" si="179"/>
        <v>3.8966514857873058E-2</v>
      </c>
      <c r="Z722" s="24">
        <f t="shared" ca="1" si="180"/>
        <v>2.4641721839374187E-2</v>
      </c>
      <c r="AA722" s="24">
        <f t="shared" ca="1" si="181"/>
        <v>5.0946920549113761E-2</v>
      </c>
      <c r="AB722" s="9" cm="1">
        <f t="array" aca="1" ref="AB722" ca="1">_xll.FDS($E$9,"P_PRICE("&amp;AG722&amp;",0,D,D)")</f>
        <v>4090.38</v>
      </c>
      <c r="AC722" s="9" cm="1">
        <f t="array" aca="1" ref="AC722" ca="1">_xll.FDS($E$9,"P_PRICE("&amp;AH722&amp;",0,D,D)")</f>
        <v>4027.81</v>
      </c>
      <c r="AD722" s="9" cm="1">
        <f t="array" aca="1" ref="AD722" ca="1">_xll.FDS($E$9,"P_PRICE("&amp;AI722&amp;",0,D,D)")</f>
        <v>3936.97</v>
      </c>
      <c r="AE722" s="9" cm="1">
        <f t="array" aca="1" ref="AE722" ca="1">_xll.FDS($E$9,"P_PRICE("&amp;AJ722&amp;",0,D,D)")</f>
        <v>3992.01</v>
      </c>
      <c r="AF722" s="9" cm="1">
        <f t="array" aca="1" ref="AF722" ca="1">_xll.FDS($E$9,"P_PRICE("&amp;AK722&amp;",0,D,D)")</f>
        <v>3892.09</v>
      </c>
      <c r="AG722" s="20">
        <f t="shared" ca="1" si="187"/>
        <v>45021</v>
      </c>
      <c r="AH722" s="22">
        <f t="shared" ca="1" si="182"/>
        <v>45014</v>
      </c>
      <c r="AI722" s="22">
        <f t="shared" ca="1" si="183"/>
        <v>45007</v>
      </c>
      <c r="AJ722" s="22">
        <f t="shared" ca="1" si="184"/>
        <v>44993</v>
      </c>
      <c r="AK722" s="22">
        <f t="shared" ca="1" si="185"/>
        <v>44935</v>
      </c>
      <c r="AL722" s="22">
        <f t="shared" ca="1" si="186"/>
        <v>44846</v>
      </c>
    </row>
    <row r="723" spans="4:38" x14ac:dyDescent="0.25">
      <c r="D723" s="6">
        <f ca="1"/>
        <v>45020</v>
      </c>
      <c r="E723" s="28" cm="1">
        <f t="array" aca="1" ref="E723" ca="1">_xll.FDS($E$7,"P_PRICE("&amp;D723&amp;",0,D,D)")</f>
        <v>50.24</v>
      </c>
      <c r="F723" s="29" cm="1">
        <f t="array" aca="1" ref="F723" ca="1">_xll.FDS($E$7,"P_BETA_LOCIDX("&amp;$AG723&amp;","&amp;$AL723&amp;",,"""&amp;$E$9&amp;""")")</f>
        <v>1.1703463999999999</v>
      </c>
      <c r="G723" s="30">
        <f t="shared" ca="1" si="172"/>
        <v>-1.6768176637231486E-2</v>
      </c>
      <c r="H723" s="30">
        <f t="shared" ca="1" si="172"/>
        <v>-3.2736523748137451E-2</v>
      </c>
      <c r="I723" s="30">
        <f t="shared" ca="1" si="172"/>
        <v>-5.6104536131873335E-2</v>
      </c>
      <c r="J723" s="30">
        <f t="shared" ca="1" si="170"/>
        <v>9.0013088187245044E-2</v>
      </c>
      <c r="K723" s="30">
        <f t="shared" ca="1" si="173"/>
        <v>3.8113978629506468E-2</v>
      </c>
      <c r="L723" s="30">
        <f t="shared" ca="1" si="173"/>
        <v>2.8573986582627046E-2</v>
      </c>
      <c r="M723" s="30">
        <f t="shared" ca="1" si="173"/>
        <v>3.3536442746659408E-2</v>
      </c>
      <c r="N723" s="30">
        <f t="shared" ca="1" si="171"/>
        <v>6.1752157113076044E-2</v>
      </c>
      <c r="O723" s="30">
        <f t="shared" ca="1" si="174"/>
        <v>2.1345801992274982E-2</v>
      </c>
      <c r="P723" s="30">
        <f t="shared" ca="1" si="175"/>
        <v>-4.1625371655104049E-3</v>
      </c>
      <c r="Q723" s="30">
        <f t="shared" ca="1" si="176"/>
        <v>-2.2568093385213928E-2</v>
      </c>
      <c r="R723" s="30">
        <f t="shared" ca="1" si="177"/>
        <v>0.15176524530032109</v>
      </c>
      <c r="S723" s="9" cm="1">
        <f t="array" aca="1" ref="S723" ca="1">_xll.FDS($E$7,"P_PRICE("&amp;AG723&amp;",0,D,D)")</f>
        <v>50.24</v>
      </c>
      <c r="T723" s="9" cm="1">
        <f t="array" aca="1" ref="T723" ca="1">_xll.FDS($E$7,"P_PRICE("&amp;AH723&amp;",0,D,D)")</f>
        <v>49.19</v>
      </c>
      <c r="U723" s="9" cm="1">
        <f t="array" aca="1" ref="U723" ca="1">_xll.FDS($E$7,"P_PRICE("&amp;AI723&amp;",0,D,D)")</f>
        <v>50.45</v>
      </c>
      <c r="V723" s="9" cm="1">
        <f t="array" aca="1" ref="V723" ca="1">_xll.FDS($E$7,"P_PRICE("&amp;AJ723&amp;",0,D,D)")</f>
        <v>51.4</v>
      </c>
      <c r="W723" s="9" cm="1">
        <f t="array" aca="1" ref="W723" ca="1">_xll.FDS($E$7,"P_PRICE("&amp;AK723&amp;",0,D,D)")</f>
        <v>43.62</v>
      </c>
      <c r="X723" s="24">
        <f t="shared" ca="1" si="178"/>
        <v>3.2566408227091115E-2</v>
      </c>
      <c r="Y723" s="24">
        <f t="shared" ca="1" si="179"/>
        <v>2.4414982250235528E-2</v>
      </c>
      <c r="Z723" s="24">
        <f t="shared" ca="1" si="180"/>
        <v>2.8655142397720379E-2</v>
      </c>
      <c r="AA723" s="24">
        <f t="shared" ca="1" si="181"/>
        <v>5.2763999712457821E-2</v>
      </c>
      <c r="AB723" s="9" cm="1">
        <f t="array" aca="1" ref="AB723" ca="1">_xll.FDS($E$9,"P_PRICE("&amp;AG723&amp;",0,D,D)")</f>
        <v>4100.6000000000004</v>
      </c>
      <c r="AC723" s="9" cm="1">
        <f t="array" aca="1" ref="AC723" ca="1">_xll.FDS($E$9,"P_PRICE("&amp;AH723&amp;",0,D,D)")</f>
        <v>3971.27</v>
      </c>
      <c r="AD723" s="9" cm="1">
        <f t="array" aca="1" ref="AD723" ca="1">_xll.FDS($E$9,"P_PRICE("&amp;AI723&amp;",0,D,D)")</f>
        <v>4002.87</v>
      </c>
      <c r="AE723" s="9" cm="1">
        <f t="array" aca="1" ref="AE723" ca="1">_xll.FDS($E$9,"P_PRICE("&amp;AJ723&amp;",0,D,D)")</f>
        <v>3986.37</v>
      </c>
      <c r="AF723" s="9" cm="1">
        <f t="array" aca="1" ref="AF723" ca="1">_xll.FDS($E$9,"P_PRICE("&amp;AK723&amp;",0,D,D)")</f>
        <v>3895.08</v>
      </c>
      <c r="AG723" s="20">
        <f t="shared" ca="1" si="187"/>
        <v>45020</v>
      </c>
      <c r="AH723" s="22">
        <f t="shared" ca="1" si="182"/>
        <v>45013</v>
      </c>
      <c r="AI723" s="22">
        <f t="shared" ca="1" si="183"/>
        <v>45006</v>
      </c>
      <c r="AJ723" s="22">
        <f t="shared" ca="1" si="184"/>
        <v>44992</v>
      </c>
      <c r="AK723" s="22">
        <f t="shared" ca="1" si="185"/>
        <v>44932</v>
      </c>
      <c r="AL723" s="22">
        <f t="shared" ca="1" si="186"/>
        <v>44845</v>
      </c>
    </row>
    <row r="724" spans="4:38" x14ac:dyDescent="0.25">
      <c r="D724" s="6">
        <f ca="1"/>
        <v>45019</v>
      </c>
      <c r="E724" s="28" cm="1">
        <f t="array" aca="1" ref="E724" ca="1">_xll.FDS($E$7,"P_PRICE("&amp;D724&amp;",0,D,D)")</f>
        <v>50.91</v>
      </c>
      <c r="F724" s="29" cm="1">
        <f t="array" aca="1" ref="F724" ca="1">_xll.FDS($E$7,"P_BETA_LOCIDX("&amp;$AG724&amp;","&amp;$AL724&amp;",,"""&amp;$E$9&amp;""")")</f>
        <v>1.1592956999999999</v>
      </c>
      <c r="G724" s="30">
        <f t="shared" ca="1" si="172"/>
        <v>1.0762024975988133E-2</v>
      </c>
      <c r="H724" s="30">
        <f t="shared" ca="1" si="172"/>
        <v>-1.8497998227122517E-2</v>
      </c>
      <c r="I724" s="30">
        <f t="shared" ca="1" si="172"/>
        <v>-3.6688328051780836E-2</v>
      </c>
      <c r="J724" s="30">
        <f t="shared" ca="1" si="170"/>
        <v>0.11035969961263592</v>
      </c>
      <c r="K724" s="30">
        <f t="shared" ca="1" si="173"/>
        <v>4.2838968401495342E-2</v>
      </c>
      <c r="L724" s="30">
        <f t="shared" ca="1" si="173"/>
        <v>5.0736441049506822E-2</v>
      </c>
      <c r="M724" s="30">
        <f t="shared" ca="1" si="173"/>
        <v>2.178894724682727E-2</v>
      </c>
      <c r="N724" s="30">
        <f t="shared" ca="1" si="171"/>
        <v>9.6324348740054244E-2</v>
      </c>
      <c r="O724" s="30">
        <f t="shared" ca="1" si="174"/>
        <v>5.3600993377483475E-2</v>
      </c>
      <c r="P724" s="30">
        <f t="shared" ca="1" si="175"/>
        <v>3.2238442822384306E-2</v>
      </c>
      <c r="Q724" s="30">
        <f t="shared" ca="1" si="176"/>
        <v>-1.4899380804953566E-2</v>
      </c>
      <c r="R724" s="30">
        <f t="shared" ca="1" si="177"/>
        <v>0.20668404835269016</v>
      </c>
      <c r="S724" s="9" cm="1">
        <f t="array" aca="1" ref="S724" ca="1">_xll.FDS($E$7,"P_PRICE("&amp;AG724&amp;",0,D,D)")</f>
        <v>50.91</v>
      </c>
      <c r="T724" s="9" cm="1">
        <f t="array" aca="1" ref="T724" ca="1">_xll.FDS($E$7,"P_PRICE("&amp;AH724&amp;",0,D,D)")</f>
        <v>48.32</v>
      </c>
      <c r="U724" s="9" cm="1">
        <f t="array" aca="1" ref="U724" ca="1">_xll.FDS($E$7,"P_PRICE("&amp;AI724&amp;",0,D,D)")</f>
        <v>49.32</v>
      </c>
      <c r="V724" s="9" cm="1">
        <f t="array" aca="1" ref="V724" ca="1">_xll.FDS($E$7,"P_PRICE("&amp;AJ724&amp;",0,D,D)")</f>
        <v>51.68</v>
      </c>
      <c r="W724" s="9" cm="1">
        <f t="array" aca="1" ref="W724" ca="1">_xll.FDS($E$7,"P_PRICE("&amp;AK724&amp;",0,D,D)")</f>
        <v>42.19</v>
      </c>
      <c r="X724" s="24">
        <f t="shared" ca="1" si="178"/>
        <v>3.6952581124466644E-2</v>
      </c>
      <c r="Y724" s="24">
        <f t="shared" ca="1" si="179"/>
        <v>4.3764883324855619E-2</v>
      </c>
      <c r="Z724" s="24">
        <f t="shared" ca="1" si="180"/>
        <v>1.8794986686164084E-2</v>
      </c>
      <c r="AA724" s="24">
        <f t="shared" ca="1" si="181"/>
        <v>8.3088679393923615E-2</v>
      </c>
      <c r="AB724" s="9" cm="1">
        <f t="array" aca="1" ref="AB724" ca="1">_xll.FDS($E$9,"P_PRICE("&amp;AG724&amp;",0,D,D)")</f>
        <v>4124.51</v>
      </c>
      <c r="AC724" s="9" cm="1">
        <f t="array" aca="1" ref="AC724" ca="1">_xll.FDS($E$9,"P_PRICE("&amp;AH724&amp;",0,D,D)")</f>
        <v>3977.53</v>
      </c>
      <c r="AD724" s="9" cm="1">
        <f t="array" aca="1" ref="AD724" ca="1">_xll.FDS($E$9,"P_PRICE("&amp;AI724&amp;",0,D,D)")</f>
        <v>3951.57</v>
      </c>
      <c r="AE724" s="9" cm="1">
        <f t="array" aca="1" ref="AE724" ca="1">_xll.FDS($E$9,"P_PRICE("&amp;AJ724&amp;",0,D,D)")</f>
        <v>4048.42</v>
      </c>
      <c r="AF724" s="9" cm="1">
        <f t="array" aca="1" ref="AF724" ca="1">_xll.FDS($E$9,"P_PRICE("&amp;AK724&amp;",0,D,D)")</f>
        <v>3808.1</v>
      </c>
      <c r="AG724" s="20">
        <f t="shared" ca="1" si="187"/>
        <v>45019</v>
      </c>
      <c r="AH724" s="22">
        <f t="shared" ca="1" si="182"/>
        <v>45012</v>
      </c>
      <c r="AI724" s="22">
        <f t="shared" ca="1" si="183"/>
        <v>45005</v>
      </c>
      <c r="AJ724" s="22">
        <f t="shared" ca="1" si="184"/>
        <v>44991</v>
      </c>
      <c r="AK724" s="22">
        <f t="shared" ca="1" si="185"/>
        <v>44931</v>
      </c>
      <c r="AL724" s="22">
        <f t="shared" ca="1" si="186"/>
        <v>44844</v>
      </c>
    </row>
    <row r="725" spans="4:38" x14ac:dyDescent="0.25">
      <c r="D725" s="6">
        <f ca="1"/>
        <v>45016</v>
      </c>
      <c r="E725" s="28" cm="1">
        <f t="array" aca="1" ref="E725" ca="1">_xll.FDS($E$7,"P_PRICE("&amp;D725&amp;",0,D,D)")</f>
        <v>50.87</v>
      </c>
      <c r="F725" s="29" cm="1">
        <f t="array" aca="1" ref="F725" ca="1">_xll.FDS($E$7,"P_BETA_LOCIDX("&amp;$AG725&amp;","&amp;$AL725&amp;",,"""&amp;$E$9&amp;""")")</f>
        <v>1.1619811</v>
      </c>
      <c r="G725" s="30">
        <f t="shared" ca="1" si="172"/>
        <v>1.7113507298631141E-2</v>
      </c>
      <c r="H725" s="30">
        <f t="shared" ca="1" si="172"/>
        <v>-1.2164340264970985E-5</v>
      </c>
      <c r="I725" s="30">
        <f t="shared" ca="1" si="172"/>
        <v>-3.3579473244482058E-2</v>
      </c>
      <c r="J725" s="30">
        <f t="shared" ca="1" si="172"/>
        <v>0.10571607844844048</v>
      </c>
      <c r="K725" s="30">
        <f t="shared" ca="1" si="173"/>
        <v>4.0474850289726423E-2</v>
      </c>
      <c r="L725" s="30">
        <f t="shared" ca="1" si="173"/>
        <v>5.7160959020231668E-2</v>
      </c>
      <c r="M725" s="30">
        <f t="shared" ca="1" si="173"/>
        <v>1.8287177464381452E-2</v>
      </c>
      <c r="N725" s="30">
        <f t="shared" ca="1" si="173"/>
        <v>7.7307177365513027E-2</v>
      </c>
      <c r="O725" s="30">
        <f t="shared" ca="1" si="174"/>
        <v>5.7588357588357564E-2</v>
      </c>
      <c r="P725" s="30">
        <f t="shared" ca="1" si="175"/>
        <v>5.7148794679966697E-2</v>
      </c>
      <c r="Q725" s="30">
        <f t="shared" ca="1" si="176"/>
        <v>-1.5292295780100607E-2</v>
      </c>
      <c r="R725" s="30">
        <f t="shared" ca="1" si="177"/>
        <v>0.18302325581395351</v>
      </c>
      <c r="S725" s="9" cm="1">
        <f t="array" aca="1" ref="S725" ca="1">_xll.FDS($E$7,"P_PRICE("&amp;AG725&amp;",0,D,D)")</f>
        <v>50.87</v>
      </c>
      <c r="T725" s="9" cm="1">
        <f t="array" aca="1" ref="T725" ca="1">_xll.FDS($E$7,"P_PRICE("&amp;AH725&amp;",0,D,D)")</f>
        <v>48.1</v>
      </c>
      <c r="U725" s="9" cm="1">
        <f t="array" aca="1" ref="U725" ca="1">_xll.FDS($E$7,"P_PRICE("&amp;AI725&amp;",0,D,D)")</f>
        <v>48.12</v>
      </c>
      <c r="V725" s="9" cm="1">
        <f t="array" aca="1" ref="V725" ca="1">_xll.FDS($E$7,"P_PRICE("&amp;AJ725&amp;",0,D,D)")</f>
        <v>51.66</v>
      </c>
      <c r="W725" s="9" cm="1">
        <f t="array" aca="1" ref="W725" ca="1">_xll.FDS($E$7,"P_PRICE("&amp;AK725&amp;",0,D,D)")</f>
        <v>43</v>
      </c>
      <c r="X725" s="24">
        <f t="shared" ca="1" si="178"/>
        <v>3.4832623602678581E-2</v>
      </c>
      <c r="Y725" s="24">
        <f t="shared" ca="1" si="179"/>
        <v>4.9192675354385429E-2</v>
      </c>
      <c r="Z725" s="24">
        <f t="shared" ca="1" si="180"/>
        <v>1.5737930216232821E-2</v>
      </c>
      <c r="AA725" s="24">
        <f t="shared" ca="1" si="181"/>
        <v>6.6530494657368378E-2</v>
      </c>
      <c r="AB725" s="9" cm="1">
        <f t="array" aca="1" ref="AB725" ca="1">_xll.FDS($E$9,"P_PRICE("&amp;AG725&amp;",0,D,D)")</f>
        <v>4109.3100000000004</v>
      </c>
      <c r="AC725" s="9" cm="1">
        <f t="array" aca="1" ref="AC725" ca="1">_xll.FDS($E$9,"P_PRICE("&amp;AH725&amp;",0,D,D)")</f>
        <v>3970.99</v>
      </c>
      <c r="AD725" s="9" cm="1">
        <f t="array" aca="1" ref="AD725" ca="1">_xll.FDS($E$9,"P_PRICE("&amp;AI725&amp;",0,D,D)")</f>
        <v>3916.64</v>
      </c>
      <c r="AE725" s="9" cm="1">
        <f t="array" aca="1" ref="AE725" ca="1">_xll.FDS($E$9,"P_PRICE("&amp;AJ725&amp;",0,D,D)")</f>
        <v>4045.64</v>
      </c>
      <c r="AF725" s="9" cm="1">
        <f t="array" aca="1" ref="AF725" ca="1">_xll.FDS($E$9,"P_PRICE("&amp;AK725&amp;",0,D,D)")</f>
        <v>3852.97</v>
      </c>
      <c r="AG725" s="20">
        <f t="shared" ca="1" si="187"/>
        <v>45016</v>
      </c>
      <c r="AH725" s="22">
        <f t="shared" ca="1" si="182"/>
        <v>45009</v>
      </c>
      <c r="AI725" s="22">
        <f t="shared" ca="1" si="183"/>
        <v>45002</v>
      </c>
      <c r="AJ725" s="22">
        <f t="shared" ca="1" si="184"/>
        <v>44988</v>
      </c>
      <c r="AK725" s="22">
        <f t="shared" ca="1" si="185"/>
        <v>44930</v>
      </c>
      <c r="AL725" s="22">
        <f t="shared" ca="1" si="186"/>
        <v>44841</v>
      </c>
    </row>
    <row r="726" spans="4:38" x14ac:dyDescent="0.25">
      <c r="D726" s="6">
        <f ca="1"/>
        <v>45015</v>
      </c>
      <c r="E726" s="28" cm="1">
        <f t="array" aca="1" ref="E726" ca="1">_xll.FDS($E$7,"P_PRICE("&amp;D726&amp;",0,D,D)")</f>
        <v>50.08</v>
      </c>
      <c r="F726" s="29" cm="1">
        <f t="array" aca="1" ref="F726" ca="1">_xll.FDS($E$7,"P_BETA_LOCIDX("&amp;$AG726&amp;","&amp;$AL726&amp;",,"""&amp;$E$9&amp;""")")</f>
        <v>1.1757006999999999</v>
      </c>
      <c r="G726" s="30">
        <f t="shared" ref="G726:J773" ca="1" si="188">+O726-K726</f>
        <v>-1.6637276959260469E-2</v>
      </c>
      <c r="H726" s="30">
        <f t="shared" ca="1" si="188"/>
        <v>-2.1222952847235396E-3</v>
      </c>
      <c r="I726" s="30">
        <f t="shared" ca="1" si="188"/>
        <v>-5.4095353597328227E-2</v>
      </c>
      <c r="J726" s="30">
        <f t="shared" ca="1" si="188"/>
        <v>0.15087632002025911</v>
      </c>
      <c r="K726" s="30">
        <f t="shared" ref="K726:N773" ca="1" si="189">+X726*$F726</f>
        <v>3.0402459145495261E-2</v>
      </c>
      <c r="L726" s="30">
        <f t="shared" ca="1" si="189"/>
        <v>2.6881861480753798E-2</v>
      </c>
      <c r="M726" s="30">
        <f t="shared" ca="1" si="189"/>
        <v>2.0517584396247537E-2</v>
      </c>
      <c r="N726" s="30">
        <f t="shared" ca="1" si="189"/>
        <v>6.9693994383835361E-2</v>
      </c>
      <c r="O726" s="30">
        <f t="shared" ref="O726:O773" ca="1" si="190">+S726/T726-1</f>
        <v>1.3765182186234792E-2</v>
      </c>
      <c r="P726" s="30">
        <f t="shared" ref="P726:P773" ca="1" si="191">+S726/U726-1</f>
        <v>2.4759566196030258E-2</v>
      </c>
      <c r="Q726" s="30">
        <f t="shared" ref="Q726:Q773" ca="1" si="192">+S726/V726-1</f>
        <v>-3.3577769201080687E-2</v>
      </c>
      <c r="R726" s="30">
        <f t="shared" ref="R726:R773" ca="1" si="193">+S726/W726-1</f>
        <v>0.22057031440409447</v>
      </c>
      <c r="S726" s="9" cm="1">
        <f t="array" aca="1" ref="S726" ca="1">_xll.FDS($E$7,"P_PRICE("&amp;AG726&amp;",0,D,D)")</f>
        <v>50.08</v>
      </c>
      <c r="T726" s="9" cm="1">
        <f t="array" aca="1" ref="T726" ca="1">_xll.FDS($E$7,"P_PRICE("&amp;AH726&amp;",0,D,D)")</f>
        <v>49.4</v>
      </c>
      <c r="U726" s="9" cm="1">
        <f t="array" aca="1" ref="U726" ca="1">_xll.FDS($E$7,"P_PRICE("&amp;AI726&amp;",0,D,D)")</f>
        <v>48.87</v>
      </c>
      <c r="V726" s="9" cm="1">
        <f t="array" aca="1" ref="V726" ca="1">_xll.FDS($E$7,"P_PRICE("&amp;AJ726&amp;",0,D,D)")</f>
        <v>51.82</v>
      </c>
      <c r="W726" s="9" cm="1">
        <f t="array" aca="1" ref="W726" ca="1">_xll.FDS($E$7,"P_PRICE("&amp;AK726&amp;",0,D,D)")</f>
        <v>41.03</v>
      </c>
      <c r="X726" s="24">
        <f t="shared" ref="X726:X773" ca="1" si="194">+AB726/AC726-1</f>
        <v>2.5859012540772719E-2</v>
      </c>
      <c r="Y726" s="24">
        <f t="shared" ref="Y726:Y773" ca="1" si="195">+AB726/AD726-1</f>
        <v>2.2864544931166408E-2</v>
      </c>
      <c r="Z726" s="24">
        <f t="shared" ref="Z726:Z773" ca="1" si="196">+AB726/AE726-1</f>
        <v>1.7451366998631146E-2</v>
      </c>
      <c r="AA726" s="24">
        <f t="shared" ref="AA726:AA773" ca="1" si="197">+AB726/AF726-1</f>
        <v>5.9278687495750715E-2</v>
      </c>
      <c r="AB726" s="9" cm="1">
        <f t="array" aca="1" ref="AB726" ca="1">_xll.FDS($E$9,"P_PRICE("&amp;AG726&amp;",0,D,D)")</f>
        <v>4050.83</v>
      </c>
      <c r="AC726" s="9" cm="1">
        <f t="array" aca="1" ref="AC726" ca="1">_xll.FDS($E$9,"P_PRICE("&amp;AH726&amp;",0,D,D)")</f>
        <v>3948.72</v>
      </c>
      <c r="AD726" s="9" cm="1">
        <f t="array" aca="1" ref="AD726" ca="1">_xll.FDS($E$9,"P_PRICE("&amp;AI726&amp;",0,D,D)")</f>
        <v>3960.28</v>
      </c>
      <c r="AE726" s="9" cm="1">
        <f t="array" aca="1" ref="AE726" ca="1">_xll.FDS($E$9,"P_PRICE("&amp;AJ726&amp;",0,D,D)")</f>
        <v>3981.35</v>
      </c>
      <c r="AF726" s="9" cm="1">
        <f t="array" aca="1" ref="AF726" ca="1">_xll.FDS($E$9,"P_PRICE("&amp;AK726&amp;",0,D,D)")</f>
        <v>3824.14</v>
      </c>
      <c r="AG726" s="20">
        <f t="shared" ca="1" si="187"/>
        <v>45015</v>
      </c>
      <c r="AH726" s="22">
        <f t="shared" ref="AH726:AH773" ca="1" si="198">+WORKDAY($AG726, -5, $AN$2:$AN$100)</f>
        <v>45008</v>
      </c>
      <c r="AI726" s="22">
        <f t="shared" ref="AI726:AI773" ca="1" si="199">+WORKDAY($AG726, -10, $AN$2:$AN$100)</f>
        <v>45001</v>
      </c>
      <c r="AJ726" s="22">
        <f t="shared" ref="AJ726:AJ773" ca="1" si="200">+WORKDAY($AG726, -20, $AN$2:$AN$100)</f>
        <v>44987</v>
      </c>
      <c r="AK726" s="22">
        <f t="shared" ref="AK726:AK773" ca="1" si="201">+WORKDAY($AG726, -60, $AN$2:$AN$100)</f>
        <v>44929</v>
      </c>
      <c r="AL726" s="22">
        <f t="shared" ref="AL726:AL773" ca="1" si="202">+WORKDAY($AG726, -120, $AN$2:$AN$100)</f>
        <v>44840</v>
      </c>
    </row>
    <row r="727" spans="4:38" x14ac:dyDescent="0.25">
      <c r="D727" s="6">
        <f ca="1"/>
        <v>45014</v>
      </c>
      <c r="E727" s="28" cm="1">
        <f t="array" aca="1" ref="E727" ca="1">_xll.FDS($E$7,"P_PRICE("&amp;D727&amp;",0,D,D)")</f>
        <v>49.59</v>
      </c>
      <c r="F727" s="29" cm="1">
        <f t="array" aca="1" ref="F727" ca="1">_xll.FDS($E$7,"P_BETA_LOCIDX("&amp;$AG727&amp;","&amp;$AL727&amp;",,"""&amp;$E$9&amp;""")")</f>
        <v>1.1779103</v>
      </c>
      <c r="G727" s="30">
        <f t="shared" ca="1" si="188"/>
        <v>-4.0509290319434337E-2</v>
      </c>
      <c r="H727" s="30">
        <f t="shared" ca="1" si="188"/>
        <v>-1.1859444165970782E-2</v>
      </c>
      <c r="I727" s="30">
        <f t="shared" ca="1" si="188"/>
        <v>2.2099078663231887E-2</v>
      </c>
      <c r="J727" s="30">
        <f t="shared" ca="1" si="188"/>
        <v>0.18852189934704114</v>
      </c>
      <c r="K727" s="30">
        <f t="shared" ca="1" si="189"/>
        <v>2.7178609857834761E-2</v>
      </c>
      <c r="L727" s="30">
        <f t="shared" ca="1" si="189"/>
        <v>4.1124699458623452E-2</v>
      </c>
      <c r="M727" s="30">
        <f t="shared" ca="1" si="189"/>
        <v>2.2780820198968009E-2</v>
      </c>
      <c r="N727" s="30">
        <f t="shared" ca="1" si="189"/>
        <v>5.7771139104831302E-2</v>
      </c>
      <c r="O727" s="30">
        <f t="shared" ca="1" si="190"/>
        <v>-1.3330680461599576E-2</v>
      </c>
      <c r="P727" s="30">
        <f t="shared" ca="1" si="191"/>
        <v>2.926525529265267E-2</v>
      </c>
      <c r="Q727" s="30">
        <f t="shared" ca="1" si="192"/>
        <v>4.4879898862199896E-2</v>
      </c>
      <c r="R727" s="30">
        <f t="shared" ca="1" si="193"/>
        <v>0.24629303845187245</v>
      </c>
      <c r="S727" s="9" cm="1">
        <f t="array" aca="1" ref="S727" ca="1">_xll.FDS($E$7,"P_PRICE("&amp;AG727&amp;",0,D,D)")</f>
        <v>49.59</v>
      </c>
      <c r="T727" s="9" cm="1">
        <f t="array" aca="1" ref="T727" ca="1">_xll.FDS($E$7,"P_PRICE("&amp;AH727&amp;",0,D,D)")</f>
        <v>50.26</v>
      </c>
      <c r="U727" s="9" cm="1">
        <f t="array" aca="1" ref="U727" ca="1">_xll.FDS($E$7,"P_PRICE("&amp;AI727&amp;",0,D,D)")</f>
        <v>48.18</v>
      </c>
      <c r="V727" s="9" cm="1">
        <f t="array" aca="1" ref="V727" ca="1">_xll.FDS($E$7,"P_PRICE("&amp;AJ727&amp;",0,D,D)")</f>
        <v>47.46</v>
      </c>
      <c r="W727" s="9" cm="1">
        <f t="array" aca="1" ref="W727" ca="1">_xll.FDS($E$7,"P_PRICE("&amp;AK727&amp;",0,D,D)")</f>
        <v>39.79</v>
      </c>
      <c r="X727" s="24">
        <f t="shared" ca="1" si="194"/>
        <v>2.307358196785847E-2</v>
      </c>
      <c r="Y727" s="24">
        <f t="shared" ca="1" si="195"/>
        <v>3.4913269252016432E-2</v>
      </c>
      <c r="Z727" s="24">
        <f t="shared" ca="1" si="196"/>
        <v>1.9340029711063744E-2</v>
      </c>
      <c r="AA727" s="24">
        <f t="shared" ca="1" si="197"/>
        <v>4.9045448626123145E-2</v>
      </c>
      <c r="AB727" s="9" cm="1">
        <f t="array" aca="1" ref="AB727" ca="1">_xll.FDS($E$9,"P_PRICE("&amp;AG727&amp;",0,D,D)")</f>
        <v>4027.81</v>
      </c>
      <c r="AC727" s="9" cm="1">
        <f t="array" aca="1" ref="AC727" ca="1">_xll.FDS($E$9,"P_PRICE("&amp;AH727&amp;",0,D,D)")</f>
        <v>3936.97</v>
      </c>
      <c r="AD727" s="9" cm="1">
        <f t="array" aca="1" ref="AD727" ca="1">_xll.FDS($E$9,"P_PRICE("&amp;AI727&amp;",0,D,D)")</f>
        <v>3891.93</v>
      </c>
      <c r="AE727" s="9" cm="1">
        <f t="array" aca="1" ref="AE727" ca="1">_xll.FDS($E$9,"P_PRICE("&amp;AJ727&amp;",0,D,D)")</f>
        <v>3951.39</v>
      </c>
      <c r="AF727" s="9" cm="1">
        <f t="array" aca="1" ref="AF727" ca="1">_xll.FDS($E$9,"P_PRICE("&amp;AK727&amp;",0,D,D)")</f>
        <v>3839.5</v>
      </c>
      <c r="AG727" s="20">
        <f t="shared" ref="AG727:AG773" ca="1" si="203">+WORKDAY(D727, 0, $AN$2:$AN$59)</f>
        <v>45014</v>
      </c>
      <c r="AH727" s="22">
        <f t="shared" ca="1" si="198"/>
        <v>45007</v>
      </c>
      <c r="AI727" s="22">
        <f t="shared" ca="1" si="199"/>
        <v>45000</v>
      </c>
      <c r="AJ727" s="22">
        <f t="shared" ca="1" si="200"/>
        <v>44986</v>
      </c>
      <c r="AK727" s="22">
        <f t="shared" ca="1" si="201"/>
        <v>44925</v>
      </c>
      <c r="AL727" s="22">
        <f t="shared" ca="1" si="202"/>
        <v>44839</v>
      </c>
    </row>
    <row r="728" spans="4:38" x14ac:dyDescent="0.25">
      <c r="D728" s="6">
        <f ca="1"/>
        <v>45013</v>
      </c>
      <c r="E728" s="28" cm="1">
        <f t="array" aca="1" ref="E728" ca="1">_xll.FDS($E$7,"P_PRICE("&amp;D728&amp;",0,D,D)")</f>
        <v>49.19</v>
      </c>
      <c r="F728" s="29" cm="1">
        <f t="array" aca="1" ref="F728" ca="1">_xll.FDS($E$7,"P_BETA_LOCIDX("&amp;$AG728&amp;","&amp;$AL728&amp;",,"""&amp;$E$9&amp;""")")</f>
        <v>1.2229611</v>
      </c>
      <c r="G728" s="30">
        <f t="shared" ca="1" si="188"/>
        <v>-1.5320757382138386E-2</v>
      </c>
      <c r="H728" s="30">
        <f t="shared" ca="1" si="188"/>
        <v>-3.7508947175456331E-2</v>
      </c>
      <c r="I728" s="30">
        <f t="shared" ca="1" si="188"/>
        <v>3.9392895266181109E-2</v>
      </c>
      <c r="J728" s="30">
        <f t="shared" ca="1" si="188"/>
        <v>0.19345678467776473</v>
      </c>
      <c r="K728" s="30">
        <f t="shared" ca="1" si="189"/>
        <v>-9.6544656109241542E-3</v>
      </c>
      <c r="L728" s="30">
        <f t="shared" ca="1" si="189"/>
        <v>1.6219651512901556E-2</v>
      </c>
      <c r="M728" s="30">
        <f t="shared" ca="1" si="189"/>
        <v>3.4500369809692871E-4</v>
      </c>
      <c r="N728" s="30">
        <f t="shared" ca="1" si="189"/>
        <v>3.8757644179950548E-2</v>
      </c>
      <c r="O728" s="30">
        <f t="shared" ca="1" si="190"/>
        <v>-2.497522299306254E-2</v>
      </c>
      <c r="P728" s="30">
        <f t="shared" ca="1" si="191"/>
        <v>-2.1289295662554775E-2</v>
      </c>
      <c r="Q728" s="30">
        <f t="shared" ca="1" si="192"/>
        <v>3.973789896427804E-2</v>
      </c>
      <c r="R728" s="30">
        <f t="shared" ca="1" si="193"/>
        <v>0.23221442885771526</v>
      </c>
      <c r="S728" s="9" cm="1">
        <f t="array" aca="1" ref="S728" ca="1">_xll.FDS($E$7,"P_PRICE("&amp;AG728&amp;",0,D,D)")</f>
        <v>49.19</v>
      </c>
      <c r="T728" s="9" cm="1">
        <f t="array" aca="1" ref="T728" ca="1">_xll.FDS($E$7,"P_PRICE("&amp;AH728&amp;",0,D,D)")</f>
        <v>50.45</v>
      </c>
      <c r="U728" s="9" cm="1">
        <f t="array" aca="1" ref="U728" ca="1">_xll.FDS($E$7,"P_PRICE("&amp;AI728&amp;",0,D,D)")</f>
        <v>50.26</v>
      </c>
      <c r="V728" s="9" cm="1">
        <f t="array" aca="1" ref="V728" ca="1">_xll.FDS($E$7,"P_PRICE("&amp;AJ728&amp;",0,D,D)")</f>
        <v>47.31</v>
      </c>
      <c r="W728" s="9" cm="1">
        <f t="array" aca="1" ref="W728" ca="1">_xll.FDS($E$7,"P_PRICE("&amp;AK728&amp;",0,D,D)")</f>
        <v>39.92</v>
      </c>
      <c r="X728" s="24">
        <f t="shared" ca="1" si="194"/>
        <v>-7.8943358140534103E-3</v>
      </c>
      <c r="Y728" s="24">
        <f t="shared" ca="1" si="195"/>
        <v>1.3262606237354202E-2</v>
      </c>
      <c r="Z728" s="24">
        <f t="shared" ca="1" si="196"/>
        <v>2.8210521013050105E-4</v>
      </c>
      <c r="AA728" s="24">
        <f t="shared" ca="1" si="197"/>
        <v>3.1691641034167439E-2</v>
      </c>
      <c r="AB728" s="9" cm="1">
        <f t="array" aca="1" ref="AB728" ca="1">_xll.FDS($E$9,"P_PRICE("&amp;AG728&amp;",0,D,D)")</f>
        <v>3971.27</v>
      </c>
      <c r="AC728" s="9" cm="1">
        <f t="array" aca="1" ref="AC728" ca="1">_xll.FDS($E$9,"P_PRICE("&amp;AH728&amp;",0,D,D)")</f>
        <v>4002.87</v>
      </c>
      <c r="AD728" s="9" cm="1">
        <f t="array" aca="1" ref="AD728" ca="1">_xll.FDS($E$9,"P_PRICE("&amp;AI728&amp;",0,D,D)")</f>
        <v>3919.29</v>
      </c>
      <c r="AE728" s="9" cm="1">
        <f t="array" aca="1" ref="AE728" ca="1">_xll.FDS($E$9,"P_PRICE("&amp;AJ728&amp;",0,D,D)")</f>
        <v>3970.15</v>
      </c>
      <c r="AF728" s="9" cm="1">
        <f t="array" aca="1" ref="AF728" ca="1">_xll.FDS($E$9,"P_PRICE("&amp;AK728&amp;",0,D,D)")</f>
        <v>3849.28</v>
      </c>
      <c r="AG728" s="20">
        <f t="shared" ca="1" si="203"/>
        <v>45013</v>
      </c>
      <c r="AH728" s="22">
        <f t="shared" ca="1" si="198"/>
        <v>45006</v>
      </c>
      <c r="AI728" s="22">
        <f t="shared" ca="1" si="199"/>
        <v>44999</v>
      </c>
      <c r="AJ728" s="22">
        <f t="shared" ca="1" si="200"/>
        <v>44985</v>
      </c>
      <c r="AK728" s="22">
        <f t="shared" ca="1" si="201"/>
        <v>44924</v>
      </c>
      <c r="AL728" s="22">
        <f t="shared" ca="1" si="202"/>
        <v>44838</v>
      </c>
    </row>
    <row r="729" spans="4:38" x14ac:dyDescent="0.25">
      <c r="D729" s="6">
        <f ca="1"/>
        <v>45012</v>
      </c>
      <c r="E729" s="28" cm="1">
        <f t="array" aca="1" ref="E729" ca="1">_xll.FDS($E$7,"P_PRICE("&amp;D729&amp;",0,D,D)")</f>
        <v>48.32</v>
      </c>
      <c r="F729" s="29" cm="1">
        <f t="array" aca="1" ref="F729" ca="1">_xll.FDS($E$7,"P_BETA_LOCIDX("&amp;$AG729&amp;","&amp;$AL729&amp;",,"""&amp;$E$9&amp;""")")</f>
        <v>1.2116635</v>
      </c>
      <c r="G729" s="30">
        <f t="shared" ca="1" si="188"/>
        <v>-2.8235822897914244E-2</v>
      </c>
      <c r="H729" s="30">
        <f t="shared" ca="1" si="188"/>
        <v>-5.0126876436888367E-2</v>
      </c>
      <c r="I729" s="30">
        <f t="shared" ca="1" si="188"/>
        <v>2.8207427362423574E-2</v>
      </c>
      <c r="J729" s="30">
        <f t="shared" ca="1" si="188"/>
        <v>0.16478653020523915</v>
      </c>
      <c r="K729" s="30">
        <f t="shared" ca="1" si="189"/>
        <v>7.9600726951567294E-3</v>
      </c>
      <c r="L729" s="30">
        <f t="shared" ca="1" si="189"/>
        <v>3.8265935741591837E-2</v>
      </c>
      <c r="M729" s="30">
        <f t="shared" ca="1" si="189"/>
        <v>-1.4330967206897271E-3</v>
      </c>
      <c r="N729" s="30">
        <f t="shared" ca="1" si="189"/>
        <v>6.2232261059362186E-2</v>
      </c>
      <c r="O729" s="30">
        <f t="shared" ca="1" si="190"/>
        <v>-2.0275750202757514E-2</v>
      </c>
      <c r="P729" s="30">
        <f t="shared" ca="1" si="191"/>
        <v>-1.1860940695296529E-2</v>
      </c>
      <c r="Q729" s="30">
        <f t="shared" ca="1" si="192"/>
        <v>2.6774330641733846E-2</v>
      </c>
      <c r="R729" s="30">
        <f t="shared" ca="1" si="193"/>
        <v>0.22701879126460134</v>
      </c>
      <c r="S729" s="9" cm="1">
        <f t="array" aca="1" ref="S729" ca="1">_xll.FDS($E$7,"P_PRICE("&amp;AG729&amp;",0,D,D)")</f>
        <v>48.32</v>
      </c>
      <c r="T729" s="9" cm="1">
        <f t="array" aca="1" ref="T729" ca="1">_xll.FDS($E$7,"P_PRICE("&amp;AH729&amp;",0,D,D)")</f>
        <v>49.32</v>
      </c>
      <c r="U729" s="9" cm="1">
        <f t="array" aca="1" ref="U729" ca="1">_xll.FDS($E$7,"P_PRICE("&amp;AI729&amp;",0,D,D)")</f>
        <v>48.9</v>
      </c>
      <c r="V729" s="9" cm="1">
        <f t="array" aca="1" ref="V729" ca="1">_xll.FDS($E$7,"P_PRICE("&amp;AJ729&amp;",0,D,D)")</f>
        <v>47.06</v>
      </c>
      <c r="W729" s="9" cm="1">
        <f t="array" aca="1" ref="W729" ca="1">_xll.FDS($E$7,"P_PRICE("&amp;AK729&amp;",0,D,D)")</f>
        <v>39.380000000000003</v>
      </c>
      <c r="X729" s="24">
        <f t="shared" ca="1" si="194"/>
        <v>6.5695407141972417E-3</v>
      </c>
      <c r="Y729" s="24">
        <f t="shared" ca="1" si="195"/>
        <v>3.1581322488951624E-2</v>
      </c>
      <c r="Z729" s="24">
        <f t="shared" ca="1" si="196"/>
        <v>-1.182751416288208E-3</v>
      </c>
      <c r="AA729" s="24">
        <f t="shared" ca="1" si="197"/>
        <v>5.1361009933337254E-2</v>
      </c>
      <c r="AB729" s="9" cm="1">
        <f t="array" aca="1" ref="AB729" ca="1">_xll.FDS($E$9,"P_PRICE("&amp;AG729&amp;",0,D,D)")</f>
        <v>3977.53</v>
      </c>
      <c r="AC729" s="9" cm="1">
        <f t="array" aca="1" ref="AC729" ca="1">_xll.FDS($E$9,"P_PRICE("&amp;AH729&amp;",0,D,D)")</f>
        <v>3951.57</v>
      </c>
      <c r="AD729" s="9" cm="1">
        <f t="array" aca="1" ref="AD729" ca="1">_xll.FDS($E$9,"P_PRICE("&amp;AI729&amp;",0,D,D)")</f>
        <v>3855.76</v>
      </c>
      <c r="AE729" s="9" cm="1">
        <f t="array" aca="1" ref="AE729" ca="1">_xll.FDS($E$9,"P_PRICE("&amp;AJ729&amp;",0,D,D)")</f>
        <v>3982.24</v>
      </c>
      <c r="AF729" s="9" cm="1">
        <f t="array" aca="1" ref="AF729" ca="1">_xll.FDS($E$9,"P_PRICE("&amp;AK729&amp;",0,D,D)")</f>
        <v>3783.22</v>
      </c>
      <c r="AG729" s="20">
        <f t="shared" ca="1" si="203"/>
        <v>45012</v>
      </c>
      <c r="AH729" s="22">
        <f t="shared" ca="1" si="198"/>
        <v>45005</v>
      </c>
      <c r="AI729" s="22">
        <f t="shared" ca="1" si="199"/>
        <v>44998</v>
      </c>
      <c r="AJ729" s="22">
        <f t="shared" ca="1" si="200"/>
        <v>44984</v>
      </c>
      <c r="AK729" s="22">
        <f t="shared" ca="1" si="201"/>
        <v>44923</v>
      </c>
      <c r="AL729" s="22">
        <f t="shared" ca="1" si="202"/>
        <v>44837</v>
      </c>
    </row>
    <row r="730" spans="4:38" x14ac:dyDescent="0.25">
      <c r="D730" s="6">
        <f ca="1"/>
        <v>45009</v>
      </c>
      <c r="E730" s="28" cm="1">
        <f t="array" aca="1" ref="E730" ca="1">_xll.FDS($E$7,"P_PRICE("&amp;D730&amp;",0,D,D)")</f>
        <v>48.1</v>
      </c>
      <c r="F730" s="29" cm="1">
        <f t="array" aca="1" ref="F730" ca="1">_xll.FDS($E$7,"P_BETA_LOCIDX("&amp;$AG730&amp;","&amp;$AL730&amp;",,"""&amp;$E$9&amp;""")")</f>
        <v>1.1987680999999999</v>
      </c>
      <c r="G730" s="30">
        <f t="shared" ca="1" si="188"/>
        <v>-1.7050561172113638E-2</v>
      </c>
      <c r="H730" s="30">
        <f t="shared" ca="1" si="188"/>
        <v>-7.5221175879509772E-2</v>
      </c>
      <c r="I730" s="30">
        <f t="shared" ca="1" si="188"/>
        <v>3.8365702867579746E-2</v>
      </c>
      <c r="J730" s="30">
        <f t="shared" ca="1" si="188"/>
        <v>0.15872905211533683</v>
      </c>
      <c r="K730" s="30">
        <f t="shared" ca="1" si="189"/>
        <v>1.6634933574441197E-2</v>
      </c>
      <c r="L730" s="30">
        <f t="shared" ca="1" si="189"/>
        <v>3.3961458917181671E-2</v>
      </c>
      <c r="M730" s="30">
        <f t="shared" ca="1" si="189"/>
        <v>2.8685597500281506E-4</v>
      </c>
      <c r="N730" s="30">
        <f t="shared" ca="1" si="189"/>
        <v>4.4372498660050899E-2</v>
      </c>
      <c r="O730" s="30">
        <f t="shared" ca="1" si="190"/>
        <v>-4.1562759767244106E-4</v>
      </c>
      <c r="P730" s="30">
        <f t="shared" ca="1" si="191"/>
        <v>-4.1259716962328108E-2</v>
      </c>
      <c r="Q730" s="30">
        <f t="shared" ca="1" si="192"/>
        <v>3.8652558842582563E-2</v>
      </c>
      <c r="R730" s="30">
        <f t="shared" ca="1" si="193"/>
        <v>0.20310155077538772</v>
      </c>
      <c r="S730" s="9" cm="1">
        <f t="array" aca="1" ref="S730" ca="1">_xll.FDS($E$7,"P_PRICE("&amp;AG730&amp;",0,D,D)")</f>
        <v>48.1</v>
      </c>
      <c r="T730" s="9" cm="1">
        <f t="array" aca="1" ref="T730" ca="1">_xll.FDS($E$7,"P_PRICE("&amp;AH730&amp;",0,D,D)")</f>
        <v>48.12</v>
      </c>
      <c r="U730" s="9" cm="1">
        <f t="array" aca="1" ref="U730" ca="1">_xll.FDS($E$7,"P_PRICE("&amp;AI730&amp;",0,D,D)")</f>
        <v>50.17</v>
      </c>
      <c r="V730" s="9" cm="1">
        <f t="array" aca="1" ref="V730" ca="1">_xll.FDS($E$7,"P_PRICE("&amp;AJ730&amp;",0,D,D)")</f>
        <v>46.31</v>
      </c>
      <c r="W730" s="9" cm="1">
        <f t="array" aca="1" ref="W730" ca="1">_xll.FDS($E$7,"P_PRICE("&amp;AK730&amp;",0,D,D)")</f>
        <v>39.979999999999997</v>
      </c>
      <c r="X730" s="24">
        <f t="shared" ca="1" si="194"/>
        <v>1.3876690224273736E-2</v>
      </c>
      <c r="Y730" s="24">
        <f t="shared" ca="1" si="195"/>
        <v>2.8330299177281804E-2</v>
      </c>
      <c r="Z730" s="24">
        <f t="shared" ca="1" si="196"/>
        <v>2.3929229932195817E-4</v>
      </c>
      <c r="AA730" s="24">
        <f t="shared" ca="1" si="197"/>
        <v>3.7015081282235407E-2</v>
      </c>
      <c r="AB730" s="9" cm="1">
        <f t="array" aca="1" ref="AB730" ca="1">_xll.FDS($E$9,"P_PRICE("&amp;AG730&amp;",0,D,D)")</f>
        <v>3970.99</v>
      </c>
      <c r="AC730" s="9" cm="1">
        <f t="array" aca="1" ref="AC730" ca="1">_xll.FDS($E$9,"P_PRICE("&amp;AH730&amp;",0,D,D)")</f>
        <v>3916.64</v>
      </c>
      <c r="AD730" s="9" cm="1">
        <f t="array" aca="1" ref="AD730" ca="1">_xll.FDS($E$9,"P_PRICE("&amp;AI730&amp;",0,D,D)")</f>
        <v>3861.59</v>
      </c>
      <c r="AE730" s="9" cm="1">
        <f t="array" aca="1" ref="AE730" ca="1">_xll.FDS($E$9,"P_PRICE("&amp;AJ730&amp;",0,D,D)")</f>
        <v>3970.04</v>
      </c>
      <c r="AF730" s="9" cm="1">
        <f t="array" aca="1" ref="AF730" ca="1">_xll.FDS($E$9,"P_PRICE("&amp;AK730&amp;",0,D,D)")</f>
        <v>3829.25</v>
      </c>
      <c r="AG730" s="20">
        <f t="shared" ca="1" si="203"/>
        <v>45009</v>
      </c>
      <c r="AH730" s="22">
        <f t="shared" ca="1" si="198"/>
        <v>45002</v>
      </c>
      <c r="AI730" s="22">
        <f t="shared" ca="1" si="199"/>
        <v>44995</v>
      </c>
      <c r="AJ730" s="22">
        <f t="shared" ca="1" si="200"/>
        <v>44981</v>
      </c>
      <c r="AK730" s="22">
        <f t="shared" ca="1" si="201"/>
        <v>44922</v>
      </c>
      <c r="AL730" s="22">
        <f t="shared" ca="1" si="202"/>
        <v>44834</v>
      </c>
    </row>
    <row r="731" spans="4:38" x14ac:dyDescent="0.25">
      <c r="D731" s="6">
        <f ca="1"/>
        <v>45008</v>
      </c>
      <c r="E731" s="28" cm="1">
        <f t="array" aca="1" ref="E731" ca="1">_xll.FDS($E$7,"P_PRICE("&amp;D731&amp;",0,D,D)")</f>
        <v>49.4</v>
      </c>
      <c r="F731" s="29" cm="1">
        <f t="array" aca="1" ref="F731" ca="1">_xll.FDS($E$7,"P_BETA_LOCIDX("&amp;$AG731&amp;","&amp;$AL731&amp;",,"""&amp;$E$9&amp;""")")</f>
        <v>1.1978712</v>
      </c>
      <c r="G731" s="30">
        <f t="shared" ca="1" si="188"/>
        <v>1.4341667938032106E-2</v>
      </c>
      <c r="H731" s="30">
        <f t="shared" ca="1" si="188"/>
        <v>-3.7999848815349652E-2</v>
      </c>
      <c r="I731" s="30">
        <f t="shared" ca="1" si="188"/>
        <v>7.1619249003595259E-2</v>
      </c>
      <c r="J731" s="30">
        <f t="shared" ca="1" si="188"/>
        <v>0.20634562975265355</v>
      </c>
      <c r="K731" s="30">
        <f t="shared" ca="1" si="189"/>
        <v>-3.4965686951428732E-3</v>
      </c>
      <c r="L731" s="30">
        <f t="shared" ca="1" si="189"/>
        <v>9.293596357622582E-3</v>
      </c>
      <c r="M731" s="30">
        <f t="shared" ca="1" si="189"/>
        <v>-1.8987670056226896E-2</v>
      </c>
      <c r="N731" s="30">
        <f t="shared" ca="1" si="189"/>
        <v>3.2370518692682405E-2</v>
      </c>
      <c r="O731" s="30">
        <f t="shared" ca="1" si="190"/>
        <v>1.0845099242889233E-2</v>
      </c>
      <c r="P731" s="30">
        <f t="shared" ca="1" si="191"/>
        <v>-2.8706252457727066E-2</v>
      </c>
      <c r="Q731" s="30">
        <f t="shared" ca="1" si="192"/>
        <v>5.2631578947368363E-2</v>
      </c>
      <c r="R731" s="30">
        <f t="shared" ca="1" si="193"/>
        <v>0.23871614844533595</v>
      </c>
      <c r="S731" s="9" cm="1">
        <f t="array" aca="1" ref="S731" ca="1">_xll.FDS($E$7,"P_PRICE("&amp;AG731&amp;",0,D,D)")</f>
        <v>49.4</v>
      </c>
      <c r="T731" s="9" cm="1">
        <f t="array" aca="1" ref="T731" ca="1">_xll.FDS($E$7,"P_PRICE("&amp;AH731&amp;",0,D,D)")</f>
        <v>48.87</v>
      </c>
      <c r="U731" s="9" cm="1">
        <f t="array" aca="1" ref="U731" ca="1">_xll.FDS($E$7,"P_PRICE("&amp;AI731&amp;",0,D,D)")</f>
        <v>50.86</v>
      </c>
      <c r="V731" s="9" cm="1">
        <f t="array" aca="1" ref="V731" ca="1">_xll.FDS($E$7,"P_PRICE("&amp;AJ731&amp;",0,D,D)")</f>
        <v>46.93</v>
      </c>
      <c r="W731" s="9" cm="1">
        <f t="array" aca="1" ref="W731" ca="1">_xll.FDS($E$7,"P_PRICE("&amp;AK731&amp;",0,D,D)")</f>
        <v>39.880000000000003</v>
      </c>
      <c r="X731" s="24">
        <f t="shared" ca="1" si="194"/>
        <v>-2.9189855262760078E-3</v>
      </c>
      <c r="Y731" s="24">
        <f t="shared" ca="1" si="195"/>
        <v>7.7584270809938349E-3</v>
      </c>
      <c r="Z731" s="24">
        <f t="shared" ca="1" si="196"/>
        <v>-1.5851178370618557E-2</v>
      </c>
      <c r="AA731" s="24">
        <f t="shared" ca="1" si="197"/>
        <v>2.702337170530722E-2</v>
      </c>
      <c r="AB731" s="9" cm="1">
        <f t="array" aca="1" ref="AB731" ca="1">_xll.FDS($E$9,"P_PRICE("&amp;AG731&amp;",0,D,D)")</f>
        <v>3948.72</v>
      </c>
      <c r="AC731" s="9" cm="1">
        <f t="array" aca="1" ref="AC731" ca="1">_xll.FDS($E$9,"P_PRICE("&amp;AH731&amp;",0,D,D)")</f>
        <v>3960.28</v>
      </c>
      <c r="AD731" s="9" cm="1">
        <f t="array" aca="1" ref="AD731" ca="1">_xll.FDS($E$9,"P_PRICE("&amp;AI731&amp;",0,D,D)")</f>
        <v>3918.32</v>
      </c>
      <c r="AE731" s="9" cm="1">
        <f t="array" aca="1" ref="AE731" ca="1">_xll.FDS($E$9,"P_PRICE("&amp;AJ731&amp;",0,D,D)")</f>
        <v>4012.32</v>
      </c>
      <c r="AF731" s="9" cm="1">
        <f t="array" aca="1" ref="AF731" ca="1">_xll.FDS($E$9,"P_PRICE("&amp;AK731&amp;",0,D,D)")</f>
        <v>3844.82</v>
      </c>
      <c r="AG731" s="20">
        <f t="shared" ca="1" si="203"/>
        <v>45008</v>
      </c>
      <c r="AH731" s="22">
        <f t="shared" ca="1" si="198"/>
        <v>45001</v>
      </c>
      <c r="AI731" s="22">
        <f t="shared" ca="1" si="199"/>
        <v>44994</v>
      </c>
      <c r="AJ731" s="22">
        <f t="shared" ca="1" si="200"/>
        <v>44980</v>
      </c>
      <c r="AK731" s="22">
        <f t="shared" ca="1" si="201"/>
        <v>44918</v>
      </c>
      <c r="AL731" s="22">
        <f t="shared" ca="1" si="202"/>
        <v>44833</v>
      </c>
    </row>
    <row r="732" spans="4:38" x14ac:dyDescent="0.25">
      <c r="D732" s="6">
        <f ca="1"/>
        <v>45007</v>
      </c>
      <c r="E732" s="28" cm="1">
        <f t="array" aca="1" ref="E732" ca="1">_xll.FDS($E$7,"P_PRICE("&amp;D732&amp;",0,D,D)")</f>
        <v>50.26</v>
      </c>
      <c r="F732" s="29" cm="1">
        <f t="array" aca="1" ref="F732" ca="1">_xll.FDS($E$7,"P_BETA_LOCIDX("&amp;$AG732&amp;","&amp;$AL732&amp;",,"""&amp;$E$9&amp;""")")</f>
        <v>1.2060325000000001</v>
      </c>
      <c r="G732" s="30">
        <f t="shared" ca="1" si="188"/>
        <v>2.9214430978820864E-2</v>
      </c>
      <c r="H732" s="30">
        <f t="shared" ca="1" si="188"/>
        <v>-1.2914160625770714E-2</v>
      </c>
      <c r="I732" s="30">
        <f t="shared" ca="1" si="188"/>
        <v>0.10093426991957952</v>
      </c>
      <c r="J732" s="30">
        <f t="shared" ca="1" si="188"/>
        <v>0.23528737109622255</v>
      </c>
      <c r="K732" s="30">
        <f t="shared" ca="1" si="189"/>
        <v>1.3957009452893418E-2</v>
      </c>
      <c r="L732" s="30">
        <f t="shared" ca="1" si="189"/>
        <v>-1.662822207359211E-2</v>
      </c>
      <c r="M732" s="30">
        <f t="shared" ca="1" si="189"/>
        <v>-1.6342124904473815E-2</v>
      </c>
      <c r="N732" s="30">
        <f t="shared" ca="1" si="189"/>
        <v>3.6152042007749137E-2</v>
      </c>
      <c r="O732" s="30">
        <f t="shared" ca="1" si="190"/>
        <v>4.3171440431714281E-2</v>
      </c>
      <c r="P732" s="30">
        <f t="shared" ca="1" si="191"/>
        <v>-2.9542382699362824E-2</v>
      </c>
      <c r="Q732" s="30">
        <f t="shared" ca="1" si="192"/>
        <v>8.4592145015105702E-2</v>
      </c>
      <c r="R732" s="30">
        <f t="shared" ca="1" si="193"/>
        <v>0.27143941310397168</v>
      </c>
      <c r="S732" s="9" cm="1">
        <f t="array" aca="1" ref="S732" ca="1">_xll.FDS($E$7,"P_PRICE("&amp;AG732&amp;",0,D,D)")</f>
        <v>50.26</v>
      </c>
      <c r="T732" s="9" cm="1">
        <f t="array" aca="1" ref="T732" ca="1">_xll.FDS($E$7,"P_PRICE("&amp;AH732&amp;",0,D,D)")</f>
        <v>48.18</v>
      </c>
      <c r="U732" s="9" cm="1">
        <f t="array" aca="1" ref="U732" ca="1">_xll.FDS($E$7,"P_PRICE("&amp;AI732&amp;",0,D,D)")</f>
        <v>51.79</v>
      </c>
      <c r="V732" s="9" cm="1">
        <f t="array" aca="1" ref="V732" ca="1">_xll.FDS($E$7,"P_PRICE("&amp;AJ732&amp;",0,D,D)")</f>
        <v>46.34</v>
      </c>
      <c r="W732" s="9" cm="1">
        <f t="array" aca="1" ref="W732" ca="1">_xll.FDS($E$7,"P_PRICE("&amp;AK732&amp;",0,D,D)")</f>
        <v>39.53</v>
      </c>
      <c r="X732" s="24">
        <f t="shared" ca="1" si="194"/>
        <v>1.1572664462104809E-2</v>
      </c>
      <c r="Y732" s="24">
        <f t="shared" ca="1" si="195"/>
        <v>-1.3787540612373306E-2</v>
      </c>
      <c r="Z732" s="24">
        <f t="shared" ca="1" si="196"/>
        <v>-1.3550318838400965E-2</v>
      </c>
      <c r="AA732" s="24">
        <f t="shared" ca="1" si="197"/>
        <v>2.997600977398962E-2</v>
      </c>
      <c r="AB732" s="9" cm="1">
        <f t="array" aca="1" ref="AB732" ca="1">_xll.FDS($E$9,"P_PRICE("&amp;AG732&amp;",0,D,D)")</f>
        <v>3936.97</v>
      </c>
      <c r="AC732" s="9" cm="1">
        <f t="array" aca="1" ref="AC732" ca="1">_xll.FDS($E$9,"P_PRICE("&amp;AH732&amp;",0,D,D)")</f>
        <v>3891.93</v>
      </c>
      <c r="AD732" s="9" cm="1">
        <f t="array" aca="1" ref="AD732" ca="1">_xll.FDS($E$9,"P_PRICE("&amp;AI732&amp;",0,D,D)")</f>
        <v>3992.01</v>
      </c>
      <c r="AE732" s="9" cm="1">
        <f t="array" aca="1" ref="AE732" ca="1">_xll.FDS($E$9,"P_PRICE("&amp;AJ732&amp;",0,D,D)")</f>
        <v>3991.05</v>
      </c>
      <c r="AF732" s="9" cm="1">
        <f t="array" aca="1" ref="AF732" ca="1">_xll.FDS($E$9,"P_PRICE("&amp;AK732&amp;",0,D,D)")</f>
        <v>3822.39</v>
      </c>
      <c r="AG732" s="20">
        <f t="shared" ca="1" si="203"/>
        <v>45007</v>
      </c>
      <c r="AH732" s="22">
        <f t="shared" ca="1" si="198"/>
        <v>45000</v>
      </c>
      <c r="AI732" s="22">
        <f t="shared" ca="1" si="199"/>
        <v>44993</v>
      </c>
      <c r="AJ732" s="22">
        <f t="shared" ca="1" si="200"/>
        <v>44979</v>
      </c>
      <c r="AK732" s="22">
        <f t="shared" ca="1" si="201"/>
        <v>44917</v>
      </c>
      <c r="AL732" s="22">
        <f t="shared" ca="1" si="202"/>
        <v>44832</v>
      </c>
    </row>
    <row r="733" spans="4:38" x14ac:dyDescent="0.25">
      <c r="D733" s="6">
        <f ca="1"/>
        <v>45006</v>
      </c>
      <c r="E733" s="28" cm="1">
        <f t="array" aca="1" ref="E733" ca="1">_xll.FDS($E$7,"P_PRICE("&amp;D733&amp;",0,D,D)")</f>
        <v>50.45</v>
      </c>
      <c r="F733" s="29" cm="1">
        <f t="array" aca="1" ref="F733" ca="1">_xll.FDS($E$7,"P_BETA_LOCIDX("&amp;$AG733&amp;","&amp;$AL733&amp;",,"""&amp;$E$9&amp;""")")</f>
        <v>1.2173358000000001</v>
      </c>
      <c r="G733" s="30">
        <f t="shared" ca="1" si="188"/>
        <v>-2.2179698032755338E-2</v>
      </c>
      <c r="H733" s="30">
        <f t="shared" ca="1" si="188"/>
        <v>-2.3521169747685478E-2</v>
      </c>
      <c r="I733" s="30">
        <f t="shared" ca="1" si="188"/>
        <v>7.5156895195860843E-2</v>
      </c>
      <c r="J733" s="30">
        <f t="shared" ca="1" si="188"/>
        <v>0.2253558678670835</v>
      </c>
      <c r="K733" s="30">
        <f t="shared" ca="1" si="189"/>
        <v>2.5960040253208985E-2</v>
      </c>
      <c r="L733" s="30">
        <f t="shared" ca="1" si="189"/>
        <v>5.0386794753120032E-3</v>
      </c>
      <c r="M733" s="30">
        <f t="shared" ca="1" si="189"/>
        <v>1.6840866611295537E-3</v>
      </c>
      <c r="N733" s="30">
        <f t="shared" ca="1" si="189"/>
        <v>3.9055159701838933E-2</v>
      </c>
      <c r="O733" s="30">
        <f t="shared" ca="1" si="190"/>
        <v>3.7803422204536474E-3</v>
      </c>
      <c r="P733" s="30">
        <f t="shared" ca="1" si="191"/>
        <v>-1.8482490272373475E-2</v>
      </c>
      <c r="Q733" s="30">
        <f t="shared" ca="1" si="192"/>
        <v>7.6840981856990398E-2</v>
      </c>
      <c r="R733" s="30">
        <f t="shared" ca="1" si="193"/>
        <v>0.26441102756892243</v>
      </c>
      <c r="S733" s="9" cm="1">
        <f t="array" aca="1" ref="S733" ca="1">_xll.FDS($E$7,"P_PRICE("&amp;AG733&amp;",0,D,D)")</f>
        <v>50.45</v>
      </c>
      <c r="T733" s="9" cm="1">
        <f t="array" aca="1" ref="T733" ca="1">_xll.FDS($E$7,"P_PRICE("&amp;AH733&amp;",0,D,D)")</f>
        <v>50.26</v>
      </c>
      <c r="U733" s="9" cm="1">
        <f t="array" aca="1" ref="U733" ca="1">_xll.FDS($E$7,"P_PRICE("&amp;AI733&amp;",0,D,D)")</f>
        <v>51.4</v>
      </c>
      <c r="V733" s="9" cm="1">
        <f t="array" aca="1" ref="V733" ca="1">_xll.FDS($E$7,"P_PRICE("&amp;AJ733&amp;",0,D,D)")</f>
        <v>46.85</v>
      </c>
      <c r="W733" s="9" cm="1">
        <f t="array" aca="1" ref="W733" ca="1">_xll.FDS($E$7,"P_PRICE("&amp;AK733&amp;",0,D,D)")</f>
        <v>39.9</v>
      </c>
      <c r="X733" s="24">
        <f t="shared" ca="1" si="194"/>
        <v>2.132529106037051E-2</v>
      </c>
      <c r="Y733" s="24">
        <f t="shared" ca="1" si="195"/>
        <v>4.1391039968692311E-3</v>
      </c>
      <c r="Z733" s="24">
        <f t="shared" ca="1" si="196"/>
        <v>1.3834199742828179E-3</v>
      </c>
      <c r="AA733" s="24">
        <f t="shared" ca="1" si="197"/>
        <v>3.2082486773032493E-2</v>
      </c>
      <c r="AB733" s="9" cm="1">
        <f t="array" aca="1" ref="AB733" ca="1">_xll.FDS($E$9,"P_PRICE("&amp;AG733&amp;",0,D,D)")</f>
        <v>4002.87</v>
      </c>
      <c r="AC733" s="9" cm="1">
        <f t="array" aca="1" ref="AC733" ca="1">_xll.FDS($E$9,"P_PRICE("&amp;AH733&amp;",0,D,D)")</f>
        <v>3919.29</v>
      </c>
      <c r="AD733" s="9" cm="1">
        <f t="array" aca="1" ref="AD733" ca="1">_xll.FDS($E$9,"P_PRICE("&amp;AI733&amp;",0,D,D)")</f>
        <v>3986.37</v>
      </c>
      <c r="AE733" s="9" cm="1">
        <f t="array" aca="1" ref="AE733" ca="1">_xll.FDS($E$9,"P_PRICE("&amp;AJ733&amp;",0,D,D)")</f>
        <v>3997.34</v>
      </c>
      <c r="AF733" s="9" cm="1">
        <f t="array" aca="1" ref="AF733" ca="1">_xll.FDS($E$9,"P_PRICE("&amp;AK733&amp;",0,D,D)")</f>
        <v>3878.44</v>
      </c>
      <c r="AG733" s="20">
        <f t="shared" ca="1" si="203"/>
        <v>45006</v>
      </c>
      <c r="AH733" s="22">
        <f t="shared" ca="1" si="198"/>
        <v>44999</v>
      </c>
      <c r="AI733" s="22">
        <f t="shared" ca="1" si="199"/>
        <v>44992</v>
      </c>
      <c r="AJ733" s="22">
        <f t="shared" ca="1" si="200"/>
        <v>44978</v>
      </c>
      <c r="AK733" s="22">
        <f t="shared" ca="1" si="201"/>
        <v>44916</v>
      </c>
      <c r="AL733" s="22">
        <f t="shared" ca="1" si="202"/>
        <v>44831</v>
      </c>
    </row>
    <row r="734" spans="4:38" x14ac:dyDescent="0.25">
      <c r="D734" s="6">
        <f ca="1"/>
        <v>45005</v>
      </c>
      <c r="E734" s="28" cm="1">
        <f t="array" aca="1" ref="E734" ca="1">_xll.FDS($E$7,"P_PRICE("&amp;D734&amp;",0,D,D)")</f>
        <v>49.32</v>
      </c>
      <c r="F734" s="29" cm="1">
        <f t="array" aca="1" ref="F734" ca="1">_xll.FDS($E$7,"P_BETA_LOCIDX("&amp;$AG734&amp;","&amp;$AL734&amp;",,"""&amp;$E$9&amp;""")")</f>
        <v>1.2154254</v>
      </c>
      <c r="G734" s="30">
        <f t="shared" ca="1" si="188"/>
        <v>-2.1612587536253759E-2</v>
      </c>
      <c r="H734" s="30">
        <f t="shared" ca="1" si="188"/>
        <v>-1.6589118406847625E-2</v>
      </c>
      <c r="I734" s="30">
        <f t="shared" ca="1" si="188"/>
        <v>8.2026959063776023E-2</v>
      </c>
      <c r="J734" s="30">
        <f t="shared" ca="1" si="188"/>
        <v>0.2114012967144584</v>
      </c>
      <c r="K734" s="30">
        <f t="shared" ca="1" si="189"/>
        <v>3.0201544591468434E-2</v>
      </c>
      <c r="L734" s="30">
        <f t="shared" ca="1" si="189"/>
        <v>-2.9076516268074948E-2</v>
      </c>
      <c r="M734" s="30">
        <f t="shared" ca="1" si="189"/>
        <v>-3.7996476421947055E-2</v>
      </c>
      <c r="N734" s="30">
        <f t="shared" ca="1" si="189"/>
        <v>4.1329208746552548E-2</v>
      </c>
      <c r="O734" s="30">
        <f t="shared" ca="1" si="190"/>
        <v>8.5889570552146743E-3</v>
      </c>
      <c r="P734" s="30">
        <f t="shared" ca="1" si="191"/>
        <v>-4.5665634674922573E-2</v>
      </c>
      <c r="Q734" s="30">
        <f t="shared" ca="1" si="192"/>
        <v>4.4030482641828961E-2</v>
      </c>
      <c r="R734" s="30">
        <f t="shared" ca="1" si="193"/>
        <v>0.25273050546101095</v>
      </c>
      <c r="S734" s="9" cm="1">
        <f t="array" aca="1" ref="S734" ca="1">_xll.FDS($E$7,"P_PRICE("&amp;AG734&amp;",0,D,D)")</f>
        <v>49.32</v>
      </c>
      <c r="T734" s="9" cm="1">
        <f t="array" aca="1" ref="T734" ca="1">_xll.FDS($E$7,"P_PRICE("&amp;AH734&amp;",0,D,D)")</f>
        <v>48.9</v>
      </c>
      <c r="U734" s="9" cm="1">
        <f t="array" aca="1" ref="U734" ca="1">_xll.FDS($E$7,"P_PRICE("&amp;AI734&amp;",0,D,D)")</f>
        <v>51.68</v>
      </c>
      <c r="V734" s="9" cm="1">
        <f t="array" aca="1" ref="V734" ca="1">_xll.FDS($E$7,"P_PRICE("&amp;AJ734&amp;",0,D,D)")</f>
        <v>47.24</v>
      </c>
      <c r="W734" s="9" cm="1">
        <f t="array" aca="1" ref="W734" ca="1">_xll.FDS($E$7,"P_PRICE("&amp;AK734&amp;",0,D,D)")</f>
        <v>39.369999999999997</v>
      </c>
      <c r="X734" s="24">
        <f t="shared" ca="1" si="194"/>
        <v>2.4848538290765054E-2</v>
      </c>
      <c r="Y734" s="24">
        <f t="shared" ca="1" si="195"/>
        <v>-2.3922913136482871E-2</v>
      </c>
      <c r="Z734" s="24">
        <f t="shared" ca="1" si="196"/>
        <v>-3.1261874584772587E-2</v>
      </c>
      <c r="AA734" s="24">
        <f t="shared" ca="1" si="197"/>
        <v>3.4003904103495408E-2</v>
      </c>
      <c r="AB734" s="9" cm="1">
        <f t="array" aca="1" ref="AB734" ca="1">_xll.FDS($E$9,"P_PRICE("&amp;AG734&amp;",0,D,D)")</f>
        <v>3951.57</v>
      </c>
      <c r="AC734" s="9" cm="1">
        <f t="array" aca="1" ref="AC734" ca="1">_xll.FDS($E$9,"P_PRICE("&amp;AH734&amp;",0,D,D)")</f>
        <v>3855.76</v>
      </c>
      <c r="AD734" s="9" cm="1">
        <f t="array" aca="1" ref="AD734" ca="1">_xll.FDS($E$9,"P_PRICE("&amp;AI734&amp;",0,D,D)")</f>
        <v>4048.42</v>
      </c>
      <c r="AE734" s="9" cm="1">
        <f t="array" aca="1" ref="AE734" ca="1">_xll.FDS($E$9,"P_PRICE("&amp;AJ734&amp;",0,D,D)")</f>
        <v>4079.09</v>
      </c>
      <c r="AF734" s="9" cm="1">
        <f t="array" aca="1" ref="AF734" ca="1">_xll.FDS($E$9,"P_PRICE("&amp;AK734&amp;",0,D,D)")</f>
        <v>3821.62</v>
      </c>
      <c r="AG734" s="20">
        <f t="shared" ca="1" si="203"/>
        <v>45005</v>
      </c>
      <c r="AH734" s="22">
        <f t="shared" ca="1" si="198"/>
        <v>44998</v>
      </c>
      <c r="AI734" s="22">
        <f t="shared" ca="1" si="199"/>
        <v>44991</v>
      </c>
      <c r="AJ734" s="22">
        <f t="shared" ca="1" si="200"/>
        <v>44974</v>
      </c>
      <c r="AK734" s="22">
        <f t="shared" ca="1" si="201"/>
        <v>44915</v>
      </c>
      <c r="AL734" s="22">
        <f t="shared" ca="1" si="202"/>
        <v>44830</v>
      </c>
    </row>
    <row r="735" spans="4:38" x14ac:dyDescent="0.25">
      <c r="D735" s="6">
        <f ca="1"/>
        <v>45002</v>
      </c>
      <c r="E735" s="28" cm="1">
        <f t="array" aca="1" ref="E735" ca="1">_xll.FDS($E$7,"P_PRICE("&amp;D735&amp;",0,D,D)")</f>
        <v>48.12</v>
      </c>
      <c r="F735" s="29" cm="1">
        <f t="array" aca="1" ref="F735" ca="1">_xll.FDS($E$7,"P_BETA_LOCIDX("&amp;$AG735&amp;","&amp;$AL735&amp;",,"""&amp;$E$9&amp;""")")</f>
        <v>1.2291297999999999</v>
      </c>
      <c r="G735" s="30">
        <f t="shared" ca="1" si="188"/>
        <v>-5.8383283539026415E-2</v>
      </c>
      <c r="H735" s="30">
        <f t="shared" ca="1" si="188"/>
        <v>-2.9332718514444661E-2</v>
      </c>
      <c r="I735" s="30">
        <f t="shared" ca="1" si="188"/>
        <v>6.8692806065726378E-2</v>
      </c>
      <c r="J735" s="30">
        <f t="shared" ca="1" si="188"/>
        <v>0.19662369549907055</v>
      </c>
      <c r="K735" s="30">
        <f t="shared" ca="1" si="189"/>
        <v>1.7522211185029921E-2</v>
      </c>
      <c r="L735" s="30">
        <f t="shared" ca="1" si="189"/>
        <v>-3.9192252449550685E-2</v>
      </c>
      <c r="M735" s="30">
        <f t="shared" ca="1" si="189"/>
        <v>-5.221625346750082E-2</v>
      </c>
      <c r="N735" s="30">
        <f t="shared" ca="1" si="189"/>
        <v>3.186749673988775E-2</v>
      </c>
      <c r="O735" s="30">
        <f t="shared" ca="1" si="190"/>
        <v>-4.0861072353996497E-2</v>
      </c>
      <c r="P735" s="30">
        <f t="shared" ca="1" si="191"/>
        <v>-6.8524970963995346E-2</v>
      </c>
      <c r="Q735" s="30">
        <f t="shared" ca="1" si="192"/>
        <v>1.6476552598225558E-2</v>
      </c>
      <c r="R735" s="30">
        <f t="shared" ca="1" si="193"/>
        <v>0.22849119223895831</v>
      </c>
      <c r="S735" s="9" cm="1">
        <f t="array" aca="1" ref="S735" ca="1">_xll.FDS($E$7,"P_PRICE("&amp;AG735&amp;",0,D,D)")</f>
        <v>48.12</v>
      </c>
      <c r="T735" s="9" cm="1">
        <f t="array" aca="1" ref="T735" ca="1">_xll.FDS($E$7,"P_PRICE("&amp;AH735&amp;",0,D,D)")</f>
        <v>50.17</v>
      </c>
      <c r="U735" s="9" cm="1">
        <f t="array" aca="1" ref="U735" ca="1">_xll.FDS($E$7,"P_PRICE("&amp;AI735&amp;",0,D,D)")</f>
        <v>51.66</v>
      </c>
      <c r="V735" s="9" cm="1">
        <f t="array" aca="1" ref="V735" ca="1">_xll.FDS($E$7,"P_PRICE("&amp;AJ735&amp;",0,D,D)")</f>
        <v>47.34</v>
      </c>
      <c r="W735" s="9" cm="1">
        <f t="array" aca="1" ref="W735" ca="1">_xll.FDS($E$7,"P_PRICE("&amp;AK735&amp;",0,D,D)")</f>
        <v>39.17</v>
      </c>
      <c r="X735" s="24">
        <f t="shared" ca="1" si="194"/>
        <v>1.4255785829153211E-2</v>
      </c>
      <c r="Y735" s="24">
        <f t="shared" ca="1" si="195"/>
        <v>-3.1886178701021395E-2</v>
      </c>
      <c r="Z735" s="24">
        <f t="shared" ca="1" si="196"/>
        <v>-4.2482293950973138E-2</v>
      </c>
      <c r="AA735" s="24">
        <f t="shared" ca="1" si="197"/>
        <v>2.5926876673145305E-2</v>
      </c>
      <c r="AB735" s="9" cm="1">
        <f t="array" aca="1" ref="AB735" ca="1">_xll.FDS($E$9,"P_PRICE("&amp;AG735&amp;",0,D,D)")</f>
        <v>3916.64</v>
      </c>
      <c r="AC735" s="9" cm="1">
        <f t="array" aca="1" ref="AC735" ca="1">_xll.FDS($E$9,"P_PRICE("&amp;AH735&amp;",0,D,D)")</f>
        <v>3861.59</v>
      </c>
      <c r="AD735" s="9" cm="1">
        <f t="array" aca="1" ref="AD735" ca="1">_xll.FDS($E$9,"P_PRICE("&amp;AI735&amp;",0,D,D)")</f>
        <v>4045.64</v>
      </c>
      <c r="AE735" s="9" cm="1">
        <f t="array" aca="1" ref="AE735" ca="1">_xll.FDS($E$9,"P_PRICE("&amp;AJ735&amp;",0,D,D)")</f>
        <v>4090.41</v>
      </c>
      <c r="AF735" s="9" cm="1">
        <f t="array" aca="1" ref="AF735" ca="1">_xll.FDS($E$9,"P_PRICE("&amp;AK735&amp;",0,D,D)")</f>
        <v>3817.66</v>
      </c>
      <c r="AG735" s="20">
        <f t="shared" ca="1" si="203"/>
        <v>45002</v>
      </c>
      <c r="AH735" s="22">
        <f t="shared" ca="1" si="198"/>
        <v>44995</v>
      </c>
      <c r="AI735" s="22">
        <f t="shared" ca="1" si="199"/>
        <v>44988</v>
      </c>
      <c r="AJ735" s="22">
        <f t="shared" ca="1" si="200"/>
        <v>44973</v>
      </c>
      <c r="AK735" s="22">
        <f t="shared" ca="1" si="201"/>
        <v>44914</v>
      </c>
      <c r="AL735" s="22">
        <f t="shared" ca="1" si="202"/>
        <v>44827</v>
      </c>
    </row>
    <row r="736" spans="4:38" x14ac:dyDescent="0.25">
      <c r="D736" s="6">
        <f ca="1"/>
        <v>45001</v>
      </c>
      <c r="E736" s="28" cm="1">
        <f t="array" aca="1" ref="E736" ca="1">_xll.FDS($E$7,"P_PRICE("&amp;D736&amp;",0,D,D)")</f>
        <v>48.87</v>
      </c>
      <c r="F736" s="29" cm="1">
        <f t="array" aca="1" ref="F736" ca="1">_xll.FDS($E$7,"P_BETA_LOCIDX("&amp;$AG736&amp;","&amp;$AL736&amp;",,"""&amp;$E$9&amp;""")")</f>
        <v>1.2292584</v>
      </c>
      <c r="G736" s="30">
        <f t="shared" ca="1" si="188"/>
        <v>-5.2290739193380516E-2</v>
      </c>
      <c r="H736" s="30">
        <f t="shared" ca="1" si="188"/>
        <v>-5.0422376809837355E-2</v>
      </c>
      <c r="I736" s="30">
        <f t="shared" ca="1" si="188"/>
        <v>6.9838867591858034E-2</v>
      </c>
      <c r="J736" s="30">
        <f t="shared" ca="1" si="188"/>
        <v>0.21799820824136457</v>
      </c>
      <c r="K736" s="30">
        <f t="shared" ca="1" si="189"/>
        <v>1.3163723857163421E-2</v>
      </c>
      <c r="L736" s="30">
        <f t="shared" ca="1" si="189"/>
        <v>-6.5054502839488318E-3</v>
      </c>
      <c r="M736" s="30">
        <f t="shared" ca="1" si="189"/>
        <v>-5.5517572448645025E-2</v>
      </c>
      <c r="N736" s="30">
        <f t="shared" ca="1" si="189"/>
        <v>3.4436440656636376E-2</v>
      </c>
      <c r="O736" s="30">
        <f t="shared" ca="1" si="190"/>
        <v>-3.9127015336217097E-2</v>
      </c>
      <c r="P736" s="30">
        <f t="shared" ca="1" si="191"/>
        <v>-5.6927827093786187E-2</v>
      </c>
      <c r="Q736" s="30">
        <f t="shared" ca="1" si="192"/>
        <v>1.4321295143213009E-2</v>
      </c>
      <c r="R736" s="30">
        <f t="shared" ca="1" si="193"/>
        <v>0.25243464889800094</v>
      </c>
      <c r="S736" s="9" cm="1">
        <f t="array" aca="1" ref="S736" ca="1">_xll.FDS($E$7,"P_PRICE("&amp;AG736&amp;",0,D,D)")</f>
        <v>48.87</v>
      </c>
      <c r="T736" s="9" cm="1">
        <f t="array" aca="1" ref="T736" ca="1">_xll.FDS($E$7,"P_PRICE("&amp;AH736&amp;",0,D,D)")</f>
        <v>50.86</v>
      </c>
      <c r="U736" s="9" cm="1">
        <f t="array" aca="1" ref="U736" ca="1">_xll.FDS($E$7,"P_PRICE("&amp;AI736&amp;",0,D,D)")</f>
        <v>51.82</v>
      </c>
      <c r="V736" s="9" cm="1">
        <f t="array" aca="1" ref="V736" ca="1">_xll.FDS($E$7,"P_PRICE("&amp;AJ736&amp;",0,D,D)")</f>
        <v>48.18</v>
      </c>
      <c r="W736" s="9" cm="1">
        <f t="array" aca="1" ref="W736" ca="1">_xll.FDS($E$7,"P_PRICE("&amp;AK736&amp;",0,D,D)")</f>
        <v>39.020000000000003</v>
      </c>
      <c r="X736" s="24">
        <f t="shared" ca="1" si="194"/>
        <v>1.0708671063108799E-2</v>
      </c>
      <c r="Y736" s="24">
        <f t="shared" ca="1" si="195"/>
        <v>-5.2921747648410067E-3</v>
      </c>
      <c r="Z736" s="24">
        <f t="shared" ca="1" si="196"/>
        <v>-4.5163468029703946E-2</v>
      </c>
      <c r="AA736" s="24">
        <f t="shared" ca="1" si="197"/>
        <v>2.8013996615061876E-2</v>
      </c>
      <c r="AB736" s="9" cm="1">
        <f t="array" aca="1" ref="AB736" ca="1">_xll.FDS($E$9,"P_PRICE("&amp;AG736&amp;",0,D,D)")</f>
        <v>3960.28</v>
      </c>
      <c r="AC736" s="9" cm="1">
        <f t="array" aca="1" ref="AC736" ca="1">_xll.FDS($E$9,"P_PRICE("&amp;AH736&amp;",0,D,D)")</f>
        <v>3918.32</v>
      </c>
      <c r="AD736" s="9" cm="1">
        <f t="array" aca="1" ref="AD736" ca="1">_xll.FDS($E$9,"P_PRICE("&amp;AI736&amp;",0,D,D)")</f>
        <v>3981.35</v>
      </c>
      <c r="AE736" s="9" cm="1">
        <f t="array" aca="1" ref="AE736" ca="1">_xll.FDS($E$9,"P_PRICE("&amp;AJ736&amp;",0,D,D)")</f>
        <v>4147.6000000000004</v>
      </c>
      <c r="AF736" s="9" cm="1">
        <f t="array" aca="1" ref="AF736" ca="1">_xll.FDS($E$9,"P_PRICE("&amp;AK736&amp;",0,D,D)")</f>
        <v>3852.36</v>
      </c>
      <c r="AG736" s="20">
        <f t="shared" ca="1" si="203"/>
        <v>45001</v>
      </c>
      <c r="AH736" s="22">
        <f t="shared" ca="1" si="198"/>
        <v>44994</v>
      </c>
      <c r="AI736" s="22">
        <f t="shared" ca="1" si="199"/>
        <v>44987</v>
      </c>
      <c r="AJ736" s="22">
        <f t="shared" ca="1" si="200"/>
        <v>44972</v>
      </c>
      <c r="AK736" s="22">
        <f t="shared" ca="1" si="201"/>
        <v>44911</v>
      </c>
      <c r="AL736" s="22">
        <f t="shared" ca="1" si="202"/>
        <v>44826</v>
      </c>
    </row>
    <row r="737" spans="4:38" x14ac:dyDescent="0.25">
      <c r="D737" s="6">
        <f ca="1"/>
        <v>45000</v>
      </c>
      <c r="E737" s="28" cm="1">
        <f t="array" aca="1" ref="E737" ca="1">_xll.FDS($E$7,"P_PRICE("&amp;D737&amp;",0,D,D)")</f>
        <v>48.18</v>
      </c>
      <c r="F737" s="29" cm="1">
        <f t="array" aca="1" ref="F737" ca="1">_xll.FDS($E$7,"P_BETA_LOCIDX("&amp;$AG737&amp;","&amp;$AL737&amp;",,"""&amp;$E$9&amp;""")")</f>
        <v>1.2334293000000001</v>
      </c>
      <c r="G737" s="30">
        <f t="shared" ca="1" si="188"/>
        <v>-3.8782408056192895E-2</v>
      </c>
      <c r="H737" s="30">
        <f t="shared" ca="1" si="188"/>
        <v>3.3731152849797927E-2</v>
      </c>
      <c r="I737" s="30">
        <f t="shared" ca="1" si="188"/>
        <v>9.3152894631933075E-2</v>
      </c>
      <c r="J737" s="30">
        <f t="shared" ca="1" si="188"/>
        <v>0.23123242294030183</v>
      </c>
      <c r="K737" s="30">
        <f t="shared" ca="1" si="189"/>
        <v>-3.092216811681351E-2</v>
      </c>
      <c r="L737" s="30">
        <f t="shared" ca="1" si="189"/>
        <v>-1.8560482811871327E-2</v>
      </c>
      <c r="M737" s="30">
        <f t="shared" ca="1" si="189"/>
        <v>-7.2822526144004279E-2</v>
      </c>
      <c r="N737" s="30">
        <f t="shared" ca="1" si="189"/>
        <v>-1.2094461723673442E-3</v>
      </c>
      <c r="O737" s="30">
        <f t="shared" ca="1" si="190"/>
        <v>-6.9704576173006405E-2</v>
      </c>
      <c r="P737" s="30">
        <f t="shared" ca="1" si="191"/>
        <v>1.5170670037926604E-2</v>
      </c>
      <c r="Q737" s="30">
        <f t="shared" ca="1" si="192"/>
        <v>2.0330368487928796E-2</v>
      </c>
      <c r="R737" s="30">
        <f t="shared" ca="1" si="193"/>
        <v>0.23002297676793448</v>
      </c>
      <c r="S737" s="9" cm="1">
        <f t="array" aca="1" ref="S737" ca="1">_xll.FDS($E$7,"P_PRICE("&amp;AG737&amp;",0,D,D)")</f>
        <v>48.18</v>
      </c>
      <c r="T737" s="9" cm="1">
        <f t="array" aca="1" ref="T737" ca="1">_xll.FDS($E$7,"P_PRICE("&amp;AH737&amp;",0,D,D)")</f>
        <v>51.79</v>
      </c>
      <c r="U737" s="9" cm="1">
        <f t="array" aca="1" ref="U737" ca="1">_xll.FDS($E$7,"P_PRICE("&amp;AI737&amp;",0,D,D)")</f>
        <v>47.46</v>
      </c>
      <c r="V737" s="9" cm="1">
        <f t="array" aca="1" ref="V737" ca="1">_xll.FDS($E$7,"P_PRICE("&amp;AJ737&amp;",0,D,D)")</f>
        <v>47.22</v>
      </c>
      <c r="W737" s="9" cm="1">
        <f t="array" aca="1" ref="W737" ca="1">_xll.FDS($E$7,"P_PRICE("&amp;AK737&amp;",0,D,D)")</f>
        <v>39.17</v>
      </c>
      <c r="X737" s="24">
        <f t="shared" ca="1" si="194"/>
        <v>-2.5070077479765973E-2</v>
      </c>
      <c r="Y737" s="24">
        <f t="shared" ca="1" si="195"/>
        <v>-1.5047869230827682E-2</v>
      </c>
      <c r="Z737" s="24">
        <f t="shared" ca="1" si="196"/>
        <v>-5.9040697463571101E-2</v>
      </c>
      <c r="AA737" s="24">
        <f t="shared" ca="1" si="197"/>
        <v>-9.8055573381250483E-4</v>
      </c>
      <c r="AB737" s="9" cm="1">
        <f t="array" aca="1" ref="AB737" ca="1">_xll.FDS($E$9,"P_PRICE("&amp;AG737&amp;",0,D,D)")</f>
        <v>3891.93</v>
      </c>
      <c r="AC737" s="9" cm="1">
        <f t="array" aca="1" ref="AC737" ca="1">_xll.FDS($E$9,"P_PRICE("&amp;AH737&amp;",0,D,D)")</f>
        <v>3992.01</v>
      </c>
      <c r="AD737" s="9" cm="1">
        <f t="array" aca="1" ref="AD737" ca="1">_xll.FDS($E$9,"P_PRICE("&amp;AI737&amp;",0,D,D)")</f>
        <v>3951.39</v>
      </c>
      <c r="AE737" s="9" cm="1">
        <f t="array" aca="1" ref="AE737" ca="1">_xll.FDS($E$9,"P_PRICE("&amp;AJ737&amp;",0,D,D)")</f>
        <v>4136.13</v>
      </c>
      <c r="AF737" s="9" cm="1">
        <f t="array" aca="1" ref="AF737" ca="1">_xll.FDS($E$9,"P_PRICE("&amp;AK737&amp;",0,D,D)")</f>
        <v>3895.75</v>
      </c>
      <c r="AG737" s="20">
        <f t="shared" ca="1" si="203"/>
        <v>45000</v>
      </c>
      <c r="AH737" s="22">
        <f t="shared" ca="1" si="198"/>
        <v>44993</v>
      </c>
      <c r="AI737" s="22">
        <f t="shared" ca="1" si="199"/>
        <v>44986</v>
      </c>
      <c r="AJ737" s="22">
        <f t="shared" ca="1" si="200"/>
        <v>44971</v>
      </c>
      <c r="AK737" s="22">
        <f t="shared" ca="1" si="201"/>
        <v>44910</v>
      </c>
      <c r="AL737" s="22">
        <f t="shared" ca="1" si="202"/>
        <v>44825</v>
      </c>
    </row>
    <row r="738" spans="4:38" x14ac:dyDescent="0.25">
      <c r="D738" s="6">
        <f ca="1"/>
        <v>44999</v>
      </c>
      <c r="E738" s="28" cm="1">
        <f t="array" aca="1" ref="E738" ca="1">_xll.FDS($E$7,"P_PRICE("&amp;D738&amp;",0,D,D)")</f>
        <v>50.26</v>
      </c>
      <c r="F738" s="29" cm="1">
        <f t="array" aca="1" ref="F738" ca="1">_xll.FDS($E$7,"P_BETA_LOCIDX("&amp;$AG738&amp;","&amp;$AL738&amp;",,"""&amp;$E$9&amp;""")")</f>
        <v>1.2380956000000001</v>
      </c>
      <c r="G738" s="30">
        <f t="shared" ca="1" si="188"/>
        <v>-1.3451337553961051E-3</v>
      </c>
      <c r="H738" s="30">
        <f t="shared" ca="1" si="188"/>
        <v>7.8215428259251013E-2</v>
      </c>
      <c r="I738" s="30">
        <f t="shared" ca="1" si="188"/>
        <v>0.12916598334461388</v>
      </c>
      <c r="J738" s="30">
        <f t="shared" ca="1" si="188"/>
        <v>0.25996903218231621</v>
      </c>
      <c r="K738" s="30">
        <f t="shared" ca="1" si="189"/>
        <v>-2.0833854571452176E-2</v>
      </c>
      <c r="L738" s="30">
        <f t="shared" ca="1" si="189"/>
        <v>-1.5860746373814662E-2</v>
      </c>
      <c r="M738" s="30">
        <f t="shared" ca="1" si="189"/>
        <v>-6.5237109508881438E-2</v>
      </c>
      <c r="N738" s="30">
        <f t="shared" ca="1" si="189"/>
        <v>-2.3560668098675474E-2</v>
      </c>
      <c r="O738" s="30">
        <f t="shared" ca="1" si="190"/>
        <v>-2.2178988326848281E-2</v>
      </c>
      <c r="P738" s="30">
        <f t="shared" ca="1" si="191"/>
        <v>6.2354681885436358E-2</v>
      </c>
      <c r="Q738" s="30">
        <f t="shared" ca="1" si="192"/>
        <v>6.3928873835732425E-2</v>
      </c>
      <c r="R738" s="30">
        <f t="shared" ca="1" si="193"/>
        <v>0.23640836408364074</v>
      </c>
      <c r="S738" s="9" cm="1">
        <f t="array" aca="1" ref="S738" ca="1">_xll.FDS($E$7,"P_PRICE("&amp;AG738&amp;",0,D,D)")</f>
        <v>50.26</v>
      </c>
      <c r="T738" s="9" cm="1">
        <f t="array" aca="1" ref="T738" ca="1">_xll.FDS($E$7,"P_PRICE("&amp;AH738&amp;",0,D,D)")</f>
        <v>51.4</v>
      </c>
      <c r="U738" s="9" cm="1">
        <f t="array" aca="1" ref="U738" ca="1">_xll.FDS($E$7,"P_PRICE("&amp;AI738&amp;",0,D,D)")</f>
        <v>47.31</v>
      </c>
      <c r="V738" s="9" cm="1">
        <f t="array" aca="1" ref="V738" ca="1">_xll.FDS($E$7,"P_PRICE("&amp;AJ738&amp;",0,D,D)")</f>
        <v>47.24</v>
      </c>
      <c r="W738" s="9" cm="1">
        <f t="array" aca="1" ref="W738" ca="1">_xll.FDS($E$7,"P_PRICE("&amp;AK738&amp;",0,D,D)")</f>
        <v>40.65</v>
      </c>
      <c r="X738" s="24">
        <f t="shared" ca="1" si="194"/>
        <v>-1.6827339158181465E-2</v>
      </c>
      <c r="Y738" s="24">
        <f t="shared" ca="1" si="195"/>
        <v>-1.2810599095752107E-2</v>
      </c>
      <c r="Z738" s="24">
        <f t="shared" ca="1" si="196"/>
        <v>-5.2691496124274595E-2</v>
      </c>
      <c r="AA738" s="24">
        <f t="shared" ca="1" si="197"/>
        <v>-1.9029764824845086E-2</v>
      </c>
      <c r="AB738" s="9" cm="1">
        <f t="array" aca="1" ref="AB738" ca="1">_xll.FDS($E$9,"P_PRICE("&amp;AG738&amp;",0,D,D)")</f>
        <v>3919.29</v>
      </c>
      <c r="AC738" s="9" cm="1">
        <f t="array" aca="1" ref="AC738" ca="1">_xll.FDS($E$9,"P_PRICE("&amp;AH738&amp;",0,D,D)")</f>
        <v>3986.37</v>
      </c>
      <c r="AD738" s="9" cm="1">
        <f t="array" aca="1" ref="AD738" ca="1">_xll.FDS($E$9,"P_PRICE("&amp;AI738&amp;",0,D,D)")</f>
        <v>3970.15</v>
      </c>
      <c r="AE738" s="9" cm="1">
        <f t="array" aca="1" ref="AE738" ca="1">_xll.FDS($E$9,"P_PRICE("&amp;AJ738&amp;",0,D,D)")</f>
        <v>4137.29</v>
      </c>
      <c r="AF738" s="9" cm="1">
        <f t="array" aca="1" ref="AF738" ca="1">_xll.FDS($E$9,"P_PRICE("&amp;AK738&amp;",0,D,D)")</f>
        <v>3995.32</v>
      </c>
      <c r="AG738" s="20">
        <f t="shared" ca="1" si="203"/>
        <v>44999</v>
      </c>
      <c r="AH738" s="22">
        <f t="shared" ca="1" si="198"/>
        <v>44992</v>
      </c>
      <c r="AI738" s="22">
        <f t="shared" ca="1" si="199"/>
        <v>44985</v>
      </c>
      <c r="AJ738" s="22">
        <f t="shared" ca="1" si="200"/>
        <v>44970</v>
      </c>
      <c r="AK738" s="22">
        <f t="shared" ca="1" si="201"/>
        <v>44909</v>
      </c>
      <c r="AL738" s="22">
        <f t="shared" ca="1" si="202"/>
        <v>44824</v>
      </c>
    </row>
    <row r="739" spans="4:38" x14ac:dyDescent="0.25">
      <c r="D739" s="6">
        <f ca="1"/>
        <v>44998</v>
      </c>
      <c r="E739" s="28" cm="1">
        <f t="array" aca="1" ref="E739" ca="1">_xll.FDS($E$7,"P_PRICE("&amp;D739&amp;",0,D,D)")</f>
        <v>48.9</v>
      </c>
      <c r="F739" s="29" cm="1">
        <f t="array" aca="1" ref="F739" ca="1">_xll.FDS($E$7,"P_BETA_LOCIDX("&amp;$AG739&amp;","&amp;$AL739&amp;",,"""&amp;$E$9&amp;""")")</f>
        <v>1.2365371000000001</v>
      </c>
      <c r="G739" s="30">
        <f t="shared" ca="1" si="188"/>
        <v>5.0529151682183818E-3</v>
      </c>
      <c r="H739" s="30">
        <f t="shared" ca="1" si="188"/>
        <v>7.8372700757792652E-2</v>
      </c>
      <c r="I739" s="30">
        <f t="shared" ca="1" si="188"/>
        <v>0.12778958129520229</v>
      </c>
      <c r="J739" s="30">
        <f t="shared" ca="1" si="188"/>
        <v>0.25277680828707011</v>
      </c>
      <c r="K739" s="30">
        <f t="shared" ca="1" si="189"/>
        <v>-5.8845484827661172E-2</v>
      </c>
      <c r="L739" s="30">
        <f t="shared" ca="1" si="189"/>
        <v>-3.9273678233355903E-2</v>
      </c>
      <c r="M739" s="30">
        <f t="shared" ca="1" si="189"/>
        <v>-7.0949296013162286E-2</v>
      </c>
      <c r="N739" s="30">
        <f t="shared" ca="1" si="189"/>
        <v>-5.0416346029878156E-2</v>
      </c>
      <c r="O739" s="30">
        <f t="shared" ca="1" si="190"/>
        <v>-5.379256965944279E-2</v>
      </c>
      <c r="P739" s="30">
        <f t="shared" ca="1" si="191"/>
        <v>3.9099022524436755E-2</v>
      </c>
      <c r="Q739" s="30">
        <f t="shared" ca="1" si="192"/>
        <v>5.6840285282039993E-2</v>
      </c>
      <c r="R739" s="30">
        <f t="shared" ca="1" si="193"/>
        <v>0.20236046225719195</v>
      </c>
      <c r="S739" s="9" cm="1">
        <f t="array" aca="1" ref="S739" ca="1">_xll.FDS($E$7,"P_PRICE("&amp;AG739&amp;",0,D,D)")</f>
        <v>48.9</v>
      </c>
      <c r="T739" s="9" cm="1">
        <f t="array" aca="1" ref="T739" ca="1">_xll.FDS($E$7,"P_PRICE("&amp;AH739&amp;",0,D,D)")</f>
        <v>51.68</v>
      </c>
      <c r="U739" s="9" cm="1">
        <f t="array" aca="1" ref="U739" ca="1">_xll.FDS($E$7,"P_PRICE("&amp;AI739&amp;",0,D,D)")</f>
        <v>47.06</v>
      </c>
      <c r="V739" s="9" cm="1">
        <f t="array" aca="1" ref="V739" ca="1">_xll.FDS($E$7,"P_PRICE("&amp;AJ739&amp;",0,D,D)")</f>
        <v>46.27</v>
      </c>
      <c r="W739" s="9" cm="1">
        <f t="array" aca="1" ref="W739" ca="1">_xll.FDS($E$7,"P_PRICE("&amp;AK739&amp;",0,D,D)")</f>
        <v>40.67</v>
      </c>
      <c r="X739" s="24">
        <f t="shared" ca="1" si="194"/>
        <v>-4.7588935930560572E-2</v>
      </c>
      <c r="Y739" s="24">
        <f t="shared" ca="1" si="195"/>
        <v>-3.1761018924022499E-2</v>
      </c>
      <c r="Z739" s="24">
        <f t="shared" ca="1" si="196"/>
        <v>-5.7377409875661867E-2</v>
      </c>
      <c r="AA739" s="24">
        <f t="shared" ca="1" si="197"/>
        <v>-4.0772206535394817E-2</v>
      </c>
      <c r="AB739" s="9" cm="1">
        <f t="array" aca="1" ref="AB739" ca="1">_xll.FDS($E$9,"P_PRICE("&amp;AG739&amp;",0,D,D)")</f>
        <v>3855.76</v>
      </c>
      <c r="AC739" s="9" cm="1">
        <f t="array" aca="1" ref="AC739" ca="1">_xll.FDS($E$9,"P_PRICE("&amp;AH739&amp;",0,D,D)")</f>
        <v>4048.42</v>
      </c>
      <c r="AD739" s="9" cm="1">
        <f t="array" aca="1" ref="AD739" ca="1">_xll.FDS($E$9,"P_PRICE("&amp;AI739&amp;",0,D,D)")</f>
        <v>3982.24</v>
      </c>
      <c r="AE739" s="9" cm="1">
        <f t="array" aca="1" ref="AE739" ca="1">_xll.FDS($E$9,"P_PRICE("&amp;AJ739&amp;",0,D,D)")</f>
        <v>4090.46</v>
      </c>
      <c r="AF739" s="9" cm="1">
        <f t="array" aca="1" ref="AF739" ca="1">_xll.FDS($E$9,"P_PRICE("&amp;AK739&amp;",0,D,D)")</f>
        <v>4019.65</v>
      </c>
      <c r="AG739" s="20">
        <f t="shared" ca="1" si="203"/>
        <v>44998</v>
      </c>
      <c r="AH739" s="22">
        <f t="shared" ca="1" si="198"/>
        <v>44991</v>
      </c>
      <c r="AI739" s="22">
        <f t="shared" ca="1" si="199"/>
        <v>44984</v>
      </c>
      <c r="AJ739" s="22">
        <f t="shared" ca="1" si="200"/>
        <v>44967</v>
      </c>
      <c r="AK739" s="22">
        <f t="shared" ca="1" si="201"/>
        <v>44908</v>
      </c>
      <c r="AL739" s="22">
        <f t="shared" ca="1" si="202"/>
        <v>44823</v>
      </c>
    </row>
    <row r="740" spans="4:38" x14ac:dyDescent="0.25">
      <c r="D740" s="6">
        <f ca="1"/>
        <v>44995</v>
      </c>
      <c r="E740" s="28" cm="1">
        <f t="array" aca="1" ref="E740" ca="1">_xll.FDS($E$7,"P_PRICE("&amp;D740&amp;",0,D,D)")</f>
        <v>50.17</v>
      </c>
      <c r="F740" s="29" cm="1">
        <f t="array" aca="1" ref="F740" ca="1">_xll.FDS($E$7,"P_BETA_LOCIDX("&amp;$AG740&amp;","&amp;$AL740&amp;",,"""&amp;$E$9&amp;""")")</f>
        <v>1.2313502000000001</v>
      </c>
      <c r="G740" s="30">
        <f t="shared" ca="1" si="188"/>
        <v>2.7175900628946655E-2</v>
      </c>
      <c r="H740" s="30">
        <f t="shared" ca="1" si="188"/>
        <v>0.11698825085655383</v>
      </c>
      <c r="I740" s="30">
        <f t="shared" ca="1" si="188"/>
        <v>0.13766658297696963</v>
      </c>
      <c r="J740" s="30">
        <f t="shared" ca="1" si="188"/>
        <v>0.29561550145700088</v>
      </c>
      <c r="K740" s="30">
        <f t="shared" ca="1" si="189"/>
        <v>-5.6018331910402237E-2</v>
      </c>
      <c r="L740" s="30">
        <f t="shared" ca="1" si="189"/>
        <v>-3.3636922849643799E-2</v>
      </c>
      <c r="M740" s="30">
        <f t="shared" ca="1" si="189"/>
        <v>-6.6344780713463142E-2</v>
      </c>
      <c r="N740" s="30">
        <f t="shared" ca="1" si="189"/>
        <v>-3.9795726738603009E-2</v>
      </c>
      <c r="O740" s="30">
        <f t="shared" ca="1" si="190"/>
        <v>-2.8842431281455583E-2</v>
      </c>
      <c r="P740" s="30">
        <f t="shared" ca="1" si="191"/>
        <v>8.335132800691003E-2</v>
      </c>
      <c r="Q740" s="30">
        <f t="shared" ca="1" si="192"/>
        <v>7.1321802263506484E-2</v>
      </c>
      <c r="R740" s="30">
        <f t="shared" ca="1" si="193"/>
        <v>0.2558197747183979</v>
      </c>
      <c r="S740" s="9" cm="1">
        <f t="array" aca="1" ref="S740" ca="1">_xll.FDS($E$7,"P_PRICE("&amp;AG740&amp;",0,D,D)")</f>
        <v>50.17</v>
      </c>
      <c r="T740" s="9" cm="1">
        <f t="array" aca="1" ref="T740" ca="1">_xll.FDS($E$7,"P_PRICE("&amp;AH740&amp;",0,D,D)")</f>
        <v>51.66</v>
      </c>
      <c r="U740" s="9" cm="1">
        <f t="array" aca="1" ref="U740" ca="1">_xll.FDS($E$7,"P_PRICE("&amp;AI740&amp;",0,D,D)")</f>
        <v>46.31</v>
      </c>
      <c r="V740" s="9" cm="1">
        <f t="array" aca="1" ref="V740" ca="1">_xll.FDS($E$7,"P_PRICE("&amp;AJ740&amp;",0,D,D)")</f>
        <v>46.83</v>
      </c>
      <c r="W740" s="9" cm="1">
        <f t="array" aca="1" ref="W740" ca="1">_xll.FDS($E$7,"P_PRICE("&amp;AK740&amp;",0,D,D)")</f>
        <v>39.950000000000003</v>
      </c>
      <c r="X740" s="24">
        <f t="shared" ca="1" si="194"/>
        <v>-4.5493420076922253E-2</v>
      </c>
      <c r="Y740" s="24">
        <f t="shared" ca="1" si="195"/>
        <v>-2.7317105117328766E-2</v>
      </c>
      <c r="Z740" s="24">
        <f t="shared" ca="1" si="196"/>
        <v>-5.3879701090285392E-2</v>
      </c>
      <c r="AA740" s="24">
        <f t="shared" ca="1" si="197"/>
        <v>-3.2318772302634136E-2</v>
      </c>
      <c r="AB740" s="9" cm="1">
        <f t="array" aca="1" ref="AB740" ca="1">_xll.FDS($E$9,"P_PRICE("&amp;AG740&amp;",0,D,D)")</f>
        <v>3861.59</v>
      </c>
      <c r="AC740" s="9" cm="1">
        <f t="array" aca="1" ref="AC740" ca="1">_xll.FDS($E$9,"P_PRICE("&amp;AH740&amp;",0,D,D)")</f>
        <v>4045.64</v>
      </c>
      <c r="AD740" s="9" cm="1">
        <f t="array" aca="1" ref="AD740" ca="1">_xll.FDS($E$9,"P_PRICE("&amp;AI740&amp;",0,D,D)")</f>
        <v>3970.04</v>
      </c>
      <c r="AE740" s="9" cm="1">
        <f t="array" aca="1" ref="AE740" ca="1">_xll.FDS($E$9,"P_PRICE("&amp;AJ740&amp;",0,D,D)")</f>
        <v>4081.5</v>
      </c>
      <c r="AF740" s="9" cm="1">
        <f t="array" aca="1" ref="AF740" ca="1">_xll.FDS($E$9,"P_PRICE("&amp;AK740&amp;",0,D,D)")</f>
        <v>3990.56</v>
      </c>
      <c r="AG740" s="20">
        <f t="shared" ca="1" si="203"/>
        <v>44995</v>
      </c>
      <c r="AH740" s="22">
        <f t="shared" ca="1" si="198"/>
        <v>44988</v>
      </c>
      <c r="AI740" s="22">
        <f t="shared" ca="1" si="199"/>
        <v>44981</v>
      </c>
      <c r="AJ740" s="22">
        <f t="shared" ca="1" si="200"/>
        <v>44966</v>
      </c>
      <c r="AK740" s="22">
        <f t="shared" ca="1" si="201"/>
        <v>44907</v>
      </c>
      <c r="AL740" s="22">
        <f t="shared" ca="1" si="202"/>
        <v>44820</v>
      </c>
    </row>
    <row r="741" spans="4:38" x14ac:dyDescent="0.25">
      <c r="D741" s="6">
        <f ca="1"/>
        <v>44994</v>
      </c>
      <c r="E741" s="28" cm="1">
        <f t="array" aca="1" ref="E741" ca="1">_xll.FDS($E$7,"P_PRICE("&amp;D741&amp;",0,D,D)")</f>
        <v>50.86</v>
      </c>
      <c r="F741" s="29" cm="1">
        <f t="array" aca="1" ref="F741" ca="1">_xll.FDS($E$7,"P_BETA_LOCIDX("&amp;$AG741&amp;","&amp;$AL741&amp;",,"""&amp;$E$9&amp;""")")</f>
        <v>1.2294841999999999</v>
      </c>
      <c r="G741" s="30">
        <f t="shared" ca="1" si="188"/>
        <v>9.3868404638718095E-4</v>
      </c>
      <c r="H741" s="30">
        <f t="shared" ca="1" si="188"/>
        <v>0.11254590490292675</v>
      </c>
      <c r="I741" s="30">
        <f t="shared" ca="1" si="188"/>
        <v>0.1430882369835178</v>
      </c>
      <c r="J741" s="30">
        <f t="shared" ca="1" si="188"/>
        <v>0.28098459159927486</v>
      </c>
      <c r="K741" s="30">
        <f t="shared" ca="1" si="189"/>
        <v>-1.9464349812500656E-2</v>
      </c>
      <c r="L741" s="30">
        <f t="shared" ca="1" si="189"/>
        <v>-2.8804161881405266E-2</v>
      </c>
      <c r="M741" s="30">
        <f t="shared" ca="1" si="189"/>
        <v>-5.957737204955961E-2</v>
      </c>
      <c r="N741" s="30">
        <f t="shared" ca="1" si="189"/>
        <v>-5.0187110172378001E-3</v>
      </c>
      <c r="O741" s="30">
        <f t="shared" ca="1" si="190"/>
        <v>-1.8525665766113475E-2</v>
      </c>
      <c r="P741" s="30">
        <f t="shared" ca="1" si="191"/>
        <v>8.3741743021521486E-2</v>
      </c>
      <c r="Q741" s="30">
        <f t="shared" ca="1" si="192"/>
        <v>8.3510864933958207E-2</v>
      </c>
      <c r="R741" s="30">
        <f t="shared" ca="1" si="193"/>
        <v>0.27596588058203708</v>
      </c>
      <c r="S741" s="9" cm="1">
        <f t="array" aca="1" ref="S741" ca="1">_xll.FDS($E$7,"P_PRICE("&amp;AG741&amp;",0,D,D)")</f>
        <v>50.86</v>
      </c>
      <c r="T741" s="9" cm="1">
        <f t="array" aca="1" ref="T741" ca="1">_xll.FDS($E$7,"P_PRICE("&amp;AH741&amp;",0,D,D)")</f>
        <v>51.82</v>
      </c>
      <c r="U741" s="9" cm="1">
        <f t="array" aca="1" ref="U741" ca="1">_xll.FDS($E$7,"P_PRICE("&amp;AI741&amp;",0,D,D)")</f>
        <v>46.93</v>
      </c>
      <c r="V741" s="9" cm="1">
        <f t="array" aca="1" ref="V741" ca="1">_xll.FDS($E$7,"P_PRICE("&amp;AJ741&amp;",0,D,D)")</f>
        <v>46.94</v>
      </c>
      <c r="W741" s="9" cm="1">
        <f t="array" aca="1" ref="W741" ca="1">_xll.FDS($E$7,"P_PRICE("&amp;AK741&amp;",0,D,D)")</f>
        <v>39.86</v>
      </c>
      <c r="X741" s="24">
        <f t="shared" ca="1" si="194"/>
        <v>-1.583131349918987E-2</v>
      </c>
      <c r="Y741" s="24">
        <f t="shared" ca="1" si="195"/>
        <v>-2.342784224588268E-2</v>
      </c>
      <c r="Z741" s="24">
        <f t="shared" ca="1" si="196"/>
        <v>-4.8457208355796366E-2</v>
      </c>
      <c r="AA741" s="24">
        <f t="shared" ca="1" si="197"/>
        <v>-4.0819646297510781E-3</v>
      </c>
      <c r="AB741" s="9" cm="1">
        <f t="array" aca="1" ref="AB741" ca="1">_xll.FDS($E$9,"P_PRICE("&amp;AG741&amp;",0,D,D)")</f>
        <v>3918.32</v>
      </c>
      <c r="AC741" s="9" cm="1">
        <f t="array" aca="1" ref="AC741" ca="1">_xll.FDS($E$9,"P_PRICE("&amp;AH741&amp;",0,D,D)")</f>
        <v>3981.35</v>
      </c>
      <c r="AD741" s="9" cm="1">
        <f t="array" aca="1" ref="AD741" ca="1">_xll.FDS($E$9,"P_PRICE("&amp;AI741&amp;",0,D,D)")</f>
        <v>4012.32</v>
      </c>
      <c r="AE741" s="9" cm="1">
        <f t="array" aca="1" ref="AE741" ca="1">_xll.FDS($E$9,"P_PRICE("&amp;AJ741&amp;",0,D,D)")</f>
        <v>4117.8599999999997</v>
      </c>
      <c r="AF741" s="9" cm="1">
        <f t="array" aca="1" ref="AF741" ca="1">_xll.FDS($E$9,"P_PRICE("&amp;AK741&amp;",0,D,D)")</f>
        <v>3934.38</v>
      </c>
      <c r="AG741" s="20">
        <f t="shared" ca="1" si="203"/>
        <v>44994</v>
      </c>
      <c r="AH741" s="22">
        <f t="shared" ca="1" si="198"/>
        <v>44987</v>
      </c>
      <c r="AI741" s="22">
        <f t="shared" ca="1" si="199"/>
        <v>44980</v>
      </c>
      <c r="AJ741" s="22">
        <f t="shared" ca="1" si="200"/>
        <v>44965</v>
      </c>
      <c r="AK741" s="22">
        <f t="shared" ca="1" si="201"/>
        <v>44904</v>
      </c>
      <c r="AL741" s="22">
        <f t="shared" ca="1" si="202"/>
        <v>44819</v>
      </c>
    </row>
    <row r="742" spans="4:38" x14ac:dyDescent="0.25">
      <c r="D742" s="6">
        <f ca="1"/>
        <v>44993</v>
      </c>
      <c r="E742" s="28" cm="1">
        <f t="array" aca="1" ref="E742" ca="1">_xll.FDS($E$7,"P_PRICE("&amp;D742&amp;",0,D,D)")</f>
        <v>51.79</v>
      </c>
      <c r="F742" s="29" cm="1">
        <f t="array" aca="1" ref="F742" ca="1">_xll.FDS($E$7,"P_BETA_LOCIDX("&amp;$AG742&amp;","&amp;$AL742&amp;",,"""&amp;$E$9&amp;""")")</f>
        <v>1.2263613</v>
      </c>
      <c r="G742" s="30">
        <f t="shared" ca="1" si="188"/>
        <v>7.862781957077683E-2</v>
      </c>
      <c r="H742" s="30">
        <f t="shared" ca="1" si="188"/>
        <v>0.11731399038075153</v>
      </c>
      <c r="I742" s="30">
        <f t="shared" ca="1" si="188"/>
        <v>0.14604284044217408</v>
      </c>
      <c r="J742" s="30">
        <f t="shared" ca="1" si="188"/>
        <v>0.30265298962573817</v>
      </c>
      <c r="K742" s="30">
        <f t="shared" ca="1" si="189"/>
        <v>1.2606904407310026E-2</v>
      </c>
      <c r="L742" s="30">
        <f t="shared" ca="1" si="189"/>
        <v>2.94986744841729E-4</v>
      </c>
      <c r="M742" s="30">
        <f t="shared" ca="1" si="189"/>
        <v>-5.0653669545388968E-2</v>
      </c>
      <c r="N742" s="30">
        <f t="shared" ca="1" si="189"/>
        <v>8.8182689207292539E-3</v>
      </c>
      <c r="O742" s="30">
        <f t="shared" ca="1" si="190"/>
        <v>9.1234723978086851E-2</v>
      </c>
      <c r="P742" s="30">
        <f t="shared" ca="1" si="191"/>
        <v>0.11760897712559326</v>
      </c>
      <c r="Q742" s="30">
        <f t="shared" ca="1" si="192"/>
        <v>9.5389170896785114E-2</v>
      </c>
      <c r="R742" s="30">
        <f t="shared" ca="1" si="193"/>
        <v>0.3114712585464674</v>
      </c>
      <c r="S742" s="9" cm="1">
        <f t="array" aca="1" ref="S742" ca="1">_xll.FDS($E$7,"P_PRICE("&amp;AG742&amp;",0,D,D)")</f>
        <v>51.79</v>
      </c>
      <c r="T742" s="9" cm="1">
        <f t="array" aca="1" ref="T742" ca="1">_xll.FDS($E$7,"P_PRICE("&amp;AH742&amp;",0,D,D)")</f>
        <v>47.46</v>
      </c>
      <c r="U742" s="9" cm="1">
        <f t="array" aca="1" ref="U742" ca="1">_xll.FDS($E$7,"P_PRICE("&amp;AI742&amp;",0,D,D)")</f>
        <v>46.34</v>
      </c>
      <c r="V742" s="9" cm="1">
        <f t="array" aca="1" ref="V742" ca="1">_xll.FDS($E$7,"P_PRICE("&amp;AJ742&amp;",0,D,D)")</f>
        <v>47.28</v>
      </c>
      <c r="W742" s="9" cm="1">
        <f t="array" aca="1" ref="W742" ca="1">_xll.FDS($E$7,"P_PRICE("&amp;AK742&amp;",0,D,D)")</f>
        <v>39.49</v>
      </c>
      <c r="X742" s="24">
        <f t="shared" ca="1" si="194"/>
        <v>1.0279926810565554E-2</v>
      </c>
      <c r="Y742" s="24">
        <f t="shared" ca="1" si="195"/>
        <v>2.4053820423208805E-4</v>
      </c>
      <c r="Z742" s="24">
        <f t="shared" ca="1" si="196"/>
        <v>-4.1304034582132498E-2</v>
      </c>
      <c r="AA742" s="24">
        <f t="shared" ca="1" si="197"/>
        <v>7.1905962139617863E-3</v>
      </c>
      <c r="AB742" s="9" cm="1">
        <f t="array" aca="1" ref="AB742" ca="1">_xll.FDS($E$9,"P_PRICE("&amp;AG742&amp;",0,D,D)")</f>
        <v>3992.01</v>
      </c>
      <c r="AC742" s="9" cm="1">
        <f t="array" aca="1" ref="AC742" ca="1">_xll.FDS($E$9,"P_PRICE("&amp;AH742&amp;",0,D,D)")</f>
        <v>3951.39</v>
      </c>
      <c r="AD742" s="9" cm="1">
        <f t="array" aca="1" ref="AD742" ca="1">_xll.FDS($E$9,"P_PRICE("&amp;AI742&amp;",0,D,D)")</f>
        <v>3991.05</v>
      </c>
      <c r="AE742" s="9" cm="1">
        <f t="array" aca="1" ref="AE742" ca="1">_xll.FDS($E$9,"P_PRICE("&amp;AJ742&amp;",0,D,D)")</f>
        <v>4164</v>
      </c>
      <c r="AF742" s="9" cm="1">
        <f t="array" aca="1" ref="AF742" ca="1">_xll.FDS($E$9,"P_PRICE("&amp;AK742&amp;",0,D,D)")</f>
        <v>3963.51</v>
      </c>
      <c r="AG742" s="20">
        <f t="shared" ca="1" si="203"/>
        <v>44993</v>
      </c>
      <c r="AH742" s="22">
        <f t="shared" ca="1" si="198"/>
        <v>44986</v>
      </c>
      <c r="AI742" s="22">
        <f t="shared" ca="1" si="199"/>
        <v>44979</v>
      </c>
      <c r="AJ742" s="22">
        <f t="shared" ca="1" si="200"/>
        <v>44964</v>
      </c>
      <c r="AK742" s="22">
        <f t="shared" ca="1" si="201"/>
        <v>44903</v>
      </c>
      <c r="AL742" s="22">
        <f t="shared" ca="1" si="202"/>
        <v>44818</v>
      </c>
    </row>
    <row r="743" spans="4:38" x14ac:dyDescent="0.25">
      <c r="D743" s="6">
        <f ca="1"/>
        <v>44992</v>
      </c>
      <c r="E743" s="28" cm="1">
        <f t="array" aca="1" ref="E743" ca="1">_xll.FDS($E$7,"P_PRICE("&amp;D743&amp;",0,D,D)")</f>
        <v>51.4</v>
      </c>
      <c r="F743" s="29" cm="1">
        <f t="array" aca="1" ref="F743" ca="1">_xll.FDS($E$7,"P_BETA_LOCIDX("&amp;$AG743&amp;","&amp;$AL743&amp;",,"""&amp;$E$9&amp;""")")</f>
        <v>1.2217749</v>
      </c>
      <c r="G743" s="30">
        <f t="shared" ca="1" si="188"/>
        <v>8.145952079133191E-2</v>
      </c>
      <c r="H743" s="30">
        <f t="shared" ca="1" si="188"/>
        <v>0.10047141055361611</v>
      </c>
      <c r="I743" s="30">
        <f t="shared" ca="1" si="188"/>
        <v>0.14125170099961271</v>
      </c>
      <c r="J743" s="30">
        <f t="shared" ca="1" si="188"/>
        <v>0.28365979027924404</v>
      </c>
      <c r="K743" s="30">
        <f t="shared" ca="1" si="189"/>
        <v>4.9915466362732037E-3</v>
      </c>
      <c r="L743" s="30">
        <f t="shared" ca="1" si="189"/>
        <v>-3.3529473732533369E-3</v>
      </c>
      <c r="M743" s="30">
        <f t="shared" ca="1" si="189"/>
        <v>-3.706265696094458E-2</v>
      </c>
      <c r="N743" s="30">
        <f t="shared" ca="1" si="189"/>
        <v>1.6289628031327486E-2</v>
      </c>
      <c r="O743" s="30">
        <f t="shared" ca="1" si="190"/>
        <v>8.6451067427605111E-2</v>
      </c>
      <c r="P743" s="30">
        <f t="shared" ca="1" si="191"/>
        <v>9.7118463180362768E-2</v>
      </c>
      <c r="Q743" s="30">
        <f t="shared" ca="1" si="192"/>
        <v>0.10418904403866813</v>
      </c>
      <c r="R743" s="30">
        <f t="shared" ca="1" si="193"/>
        <v>0.29994941831057154</v>
      </c>
      <c r="S743" s="9" cm="1">
        <f t="array" aca="1" ref="S743" ca="1">_xll.FDS($E$7,"P_PRICE("&amp;AG743&amp;",0,D,D)")</f>
        <v>51.4</v>
      </c>
      <c r="T743" s="9" cm="1">
        <f t="array" aca="1" ref="T743" ca="1">_xll.FDS($E$7,"P_PRICE("&amp;AH743&amp;",0,D,D)")</f>
        <v>47.31</v>
      </c>
      <c r="U743" s="9" cm="1">
        <f t="array" aca="1" ref="U743" ca="1">_xll.FDS($E$7,"P_PRICE("&amp;AI743&amp;",0,D,D)")</f>
        <v>46.85</v>
      </c>
      <c r="V743" s="9" cm="1">
        <f t="array" aca="1" ref="V743" ca="1">_xll.FDS($E$7,"P_PRICE("&amp;AJ743&amp;",0,D,D)")</f>
        <v>46.55</v>
      </c>
      <c r="W743" s="9" cm="1">
        <f t="array" aca="1" ref="W743" ca="1">_xll.FDS($E$7,"P_PRICE("&amp;AK743&amp;",0,D,D)")</f>
        <v>39.54</v>
      </c>
      <c r="X743" s="24">
        <f t="shared" ca="1" si="194"/>
        <v>4.0854879538556599E-3</v>
      </c>
      <c r="Y743" s="24">
        <f t="shared" ca="1" si="195"/>
        <v>-2.7443249761092137E-3</v>
      </c>
      <c r="Z743" s="24">
        <f t="shared" ca="1" si="196"/>
        <v>-3.0335094427741627E-2</v>
      </c>
      <c r="AA743" s="24">
        <f t="shared" ca="1" si="197"/>
        <v>1.3332757148086349E-2</v>
      </c>
      <c r="AB743" s="9" cm="1">
        <f t="array" aca="1" ref="AB743" ca="1">_xll.FDS($E$9,"P_PRICE("&amp;AG743&amp;",0,D,D)")</f>
        <v>3986.37</v>
      </c>
      <c r="AC743" s="9" cm="1">
        <f t="array" aca="1" ref="AC743" ca="1">_xll.FDS($E$9,"P_PRICE("&amp;AH743&amp;",0,D,D)")</f>
        <v>3970.15</v>
      </c>
      <c r="AD743" s="9" cm="1">
        <f t="array" aca="1" ref="AD743" ca="1">_xll.FDS($E$9,"P_PRICE("&amp;AI743&amp;",0,D,D)")</f>
        <v>3997.34</v>
      </c>
      <c r="AE743" s="9" cm="1">
        <f t="array" aca="1" ref="AE743" ca="1">_xll.FDS($E$9,"P_PRICE("&amp;AJ743&amp;",0,D,D)")</f>
        <v>4111.08</v>
      </c>
      <c r="AF743" s="9" cm="1">
        <f t="array" aca="1" ref="AF743" ca="1">_xll.FDS($E$9,"P_PRICE("&amp;AK743&amp;",0,D,D)")</f>
        <v>3933.92</v>
      </c>
      <c r="AG743" s="20">
        <f t="shared" ca="1" si="203"/>
        <v>44992</v>
      </c>
      <c r="AH743" s="22">
        <f t="shared" ca="1" si="198"/>
        <v>44985</v>
      </c>
      <c r="AI743" s="22">
        <f t="shared" ca="1" si="199"/>
        <v>44978</v>
      </c>
      <c r="AJ743" s="22">
        <f t="shared" ca="1" si="200"/>
        <v>44963</v>
      </c>
      <c r="AK743" s="22">
        <f t="shared" ca="1" si="201"/>
        <v>44902</v>
      </c>
      <c r="AL743" s="22">
        <f t="shared" ca="1" si="202"/>
        <v>44817</v>
      </c>
    </row>
    <row r="744" spans="4:38" x14ac:dyDescent="0.25">
      <c r="D744" s="6">
        <f ca="1"/>
        <v>44991</v>
      </c>
      <c r="E744" s="28" cm="1">
        <f t="array" aca="1" ref="E744" ca="1">_xll.FDS($E$7,"P_PRICE("&amp;D744&amp;",0,D,D)")</f>
        <v>51.68</v>
      </c>
      <c r="F744" s="29" cm="1">
        <f t="array" aca="1" ref="F744" ca="1">_xll.FDS($E$7,"P_BETA_LOCIDX("&amp;$AG744&amp;","&amp;$AL744&amp;",,"""&amp;$E$9&amp;""")")</f>
        <v>1.2318171</v>
      </c>
      <c r="G744" s="30">
        <f t="shared" ca="1" si="188"/>
        <v>7.7701239165906946E-2</v>
      </c>
      <c r="H744" s="30">
        <f t="shared" ca="1" si="188"/>
        <v>0.1032499737570796</v>
      </c>
      <c r="I744" s="30">
        <f t="shared" ca="1" si="188"/>
        <v>0.11651905943548102</v>
      </c>
      <c r="J744" s="30">
        <f t="shared" ca="1" si="188"/>
        <v>0.2705703655936692</v>
      </c>
      <c r="K744" s="30">
        <f t="shared" ca="1" si="189"/>
        <v>2.0471306520450861E-2</v>
      </c>
      <c r="L744" s="30">
        <f t="shared" ca="1" si="189"/>
        <v>-9.2618281177910093E-3</v>
      </c>
      <c r="M744" s="30">
        <f t="shared" ca="1" si="189"/>
        <v>-2.6223700785692024E-2</v>
      </c>
      <c r="N744" s="30">
        <f t="shared" ca="1" si="189"/>
        <v>3.3492213260733934E-2</v>
      </c>
      <c r="O744" s="30">
        <f t="shared" ca="1" si="190"/>
        <v>9.8172545686357804E-2</v>
      </c>
      <c r="P744" s="30">
        <f t="shared" ca="1" si="191"/>
        <v>9.3988145639288589E-2</v>
      </c>
      <c r="Q744" s="30">
        <f t="shared" ca="1" si="192"/>
        <v>9.0295358649788993E-2</v>
      </c>
      <c r="R744" s="30">
        <f t="shared" ca="1" si="193"/>
        <v>0.30406257885440313</v>
      </c>
      <c r="S744" s="9" cm="1">
        <f t="array" aca="1" ref="S744" ca="1">_xll.FDS($E$7,"P_PRICE("&amp;AG744&amp;",0,D,D)")</f>
        <v>51.68</v>
      </c>
      <c r="T744" s="9" cm="1">
        <f t="array" aca="1" ref="T744" ca="1">_xll.FDS($E$7,"P_PRICE("&amp;AH744&amp;",0,D,D)")</f>
        <v>47.06</v>
      </c>
      <c r="U744" s="9" cm="1">
        <f t="array" aca="1" ref="U744" ca="1">_xll.FDS($E$7,"P_PRICE("&amp;AI744&amp;",0,D,D)")</f>
        <v>47.24</v>
      </c>
      <c r="V744" s="9" cm="1">
        <f t="array" aca="1" ref="V744" ca="1">_xll.FDS($E$7,"P_PRICE("&amp;AJ744&amp;",0,D,D)")</f>
        <v>47.4</v>
      </c>
      <c r="W744" s="9" cm="1">
        <f t="array" aca="1" ref="W744" ca="1">_xll.FDS($E$7,"P_PRICE("&amp;AK744&amp;",0,D,D)")</f>
        <v>39.630000000000003</v>
      </c>
      <c r="X744" s="24">
        <f t="shared" ca="1" si="194"/>
        <v>1.6618787416127656E-2</v>
      </c>
      <c r="Y744" s="24">
        <f t="shared" ca="1" si="195"/>
        <v>-7.5188338575515878E-3</v>
      </c>
      <c r="Z744" s="24">
        <f t="shared" ca="1" si="196"/>
        <v>-2.1288631880245878E-2</v>
      </c>
      <c r="AA744" s="24">
        <f t="shared" ca="1" si="197"/>
        <v>2.7189274495973415E-2</v>
      </c>
      <c r="AB744" s="9" cm="1">
        <f t="array" aca="1" ref="AB744" ca="1">_xll.FDS($E$9,"P_PRICE("&amp;AG744&amp;",0,D,D)")</f>
        <v>4048.42</v>
      </c>
      <c r="AC744" s="9" cm="1">
        <f t="array" aca="1" ref="AC744" ca="1">_xll.FDS($E$9,"P_PRICE("&amp;AH744&amp;",0,D,D)")</f>
        <v>3982.24</v>
      </c>
      <c r="AD744" s="9" cm="1">
        <f t="array" aca="1" ref="AD744" ca="1">_xll.FDS($E$9,"P_PRICE("&amp;AI744&amp;",0,D,D)")</f>
        <v>4079.09</v>
      </c>
      <c r="AE744" s="9" cm="1">
        <f t="array" aca="1" ref="AE744" ca="1">_xll.FDS($E$9,"P_PRICE("&amp;AJ744&amp;",0,D,D)")</f>
        <v>4136.4799999999996</v>
      </c>
      <c r="AF744" s="9" cm="1">
        <f t="array" aca="1" ref="AF744" ca="1">_xll.FDS($E$9,"P_PRICE("&amp;AK744&amp;",0,D,D)")</f>
        <v>3941.26</v>
      </c>
      <c r="AG744" s="20">
        <f t="shared" ca="1" si="203"/>
        <v>44991</v>
      </c>
      <c r="AH744" s="22">
        <f t="shared" ca="1" si="198"/>
        <v>44984</v>
      </c>
      <c r="AI744" s="22">
        <f t="shared" ca="1" si="199"/>
        <v>44974</v>
      </c>
      <c r="AJ744" s="22">
        <f t="shared" ca="1" si="200"/>
        <v>44960</v>
      </c>
      <c r="AK744" s="22">
        <f t="shared" ca="1" si="201"/>
        <v>44901</v>
      </c>
      <c r="AL744" s="22">
        <f t="shared" ca="1" si="202"/>
        <v>44816</v>
      </c>
    </row>
    <row r="745" spans="4:38" x14ac:dyDescent="0.25">
      <c r="D745" s="6">
        <f ca="1"/>
        <v>44988</v>
      </c>
      <c r="E745" s="28" cm="1">
        <f t="array" aca="1" ref="E745" ca="1">_xll.FDS($E$7,"P_PRICE("&amp;D745&amp;",0,D,D)")</f>
        <v>51.66</v>
      </c>
      <c r="F745" s="29" cm="1">
        <f t="array" aca="1" ref="F745" ca="1">_xll.FDS($E$7,"P_BETA_LOCIDX("&amp;$AG745&amp;","&amp;$AL745&amp;",,"""&amp;$E$9&amp;""")")</f>
        <v>1.2328988000000001</v>
      </c>
      <c r="G745" s="30">
        <f t="shared" ca="1" si="188"/>
        <v>9.2048169557221643E-2</v>
      </c>
      <c r="H745" s="30">
        <f t="shared" ca="1" si="188"/>
        <v>0.1047489696358475</v>
      </c>
      <c r="I745" s="30">
        <f t="shared" ca="1" si="188"/>
        <v>0.10186843349594331</v>
      </c>
      <c r="J745" s="30">
        <f t="shared" ca="1" si="188"/>
        <v>0.28160702604343307</v>
      </c>
      <c r="K745" s="30">
        <f t="shared" ca="1" si="189"/>
        <v>2.3477634804687092E-2</v>
      </c>
      <c r="L745" s="30">
        <f t="shared" ca="1" si="189"/>
        <v>-1.3494216784136584E-2</v>
      </c>
      <c r="M745" s="30">
        <f t="shared" ca="1" si="189"/>
        <v>-3.9561215729132834E-2</v>
      </c>
      <c r="N745" s="30">
        <f t="shared" ca="1" si="189"/>
        <v>1.4429100399115777E-2</v>
      </c>
      <c r="O745" s="30">
        <f t="shared" ca="1" si="190"/>
        <v>0.11552580436190873</v>
      </c>
      <c r="P745" s="30">
        <f t="shared" ca="1" si="191"/>
        <v>9.1254752851710919E-2</v>
      </c>
      <c r="Q745" s="30">
        <f t="shared" ca="1" si="192"/>
        <v>6.2307217766810474E-2</v>
      </c>
      <c r="R745" s="30">
        <f t="shared" ca="1" si="193"/>
        <v>0.29603612644254884</v>
      </c>
      <c r="S745" s="9" cm="1">
        <f t="array" aca="1" ref="S745" ca="1">_xll.FDS($E$7,"P_PRICE("&amp;AG745&amp;",0,D,D)")</f>
        <v>51.66</v>
      </c>
      <c r="T745" s="9" cm="1">
        <f t="array" aca="1" ref="T745" ca="1">_xll.FDS($E$7,"P_PRICE("&amp;AH745&amp;",0,D,D)")</f>
        <v>46.31</v>
      </c>
      <c r="U745" s="9" cm="1">
        <f t="array" aca="1" ref="U745" ca="1">_xll.FDS($E$7,"P_PRICE("&amp;AI745&amp;",0,D,D)")</f>
        <v>47.34</v>
      </c>
      <c r="V745" s="9" cm="1">
        <f t="array" aca="1" ref="V745" ca="1">_xll.FDS($E$7,"P_PRICE("&amp;AJ745&amp;",0,D,D)")</f>
        <v>48.63</v>
      </c>
      <c r="W745" s="9" cm="1">
        <f t="array" aca="1" ref="W745" ca="1">_xll.FDS($E$7,"P_PRICE("&amp;AK745&amp;",0,D,D)")</f>
        <v>39.86</v>
      </c>
      <c r="X745" s="24">
        <f t="shared" ca="1" si="194"/>
        <v>1.9042629293407609E-2</v>
      </c>
      <c r="Y745" s="24">
        <f t="shared" ca="1" si="195"/>
        <v>-1.0945113081573754E-2</v>
      </c>
      <c r="Z745" s="24">
        <f t="shared" ca="1" si="196"/>
        <v>-3.2087966773211907E-2</v>
      </c>
      <c r="AA745" s="24">
        <f t="shared" ca="1" si="197"/>
        <v>1.1703393984255461E-2</v>
      </c>
      <c r="AB745" s="9" cm="1">
        <f t="array" aca="1" ref="AB745" ca="1">_xll.FDS($E$9,"P_PRICE("&amp;AG745&amp;",0,D,D)")</f>
        <v>4045.64</v>
      </c>
      <c r="AC745" s="9" cm="1">
        <f t="array" aca="1" ref="AC745" ca="1">_xll.FDS($E$9,"P_PRICE("&amp;AH745&amp;",0,D,D)")</f>
        <v>3970.04</v>
      </c>
      <c r="AD745" s="9" cm="1">
        <f t="array" aca="1" ref="AD745" ca="1">_xll.FDS($E$9,"P_PRICE("&amp;AI745&amp;",0,D,D)")</f>
        <v>4090.41</v>
      </c>
      <c r="AE745" s="9" cm="1">
        <f t="array" aca="1" ref="AE745" ca="1">_xll.FDS($E$9,"P_PRICE("&amp;AJ745&amp;",0,D,D)")</f>
        <v>4179.76</v>
      </c>
      <c r="AF745" s="9" cm="1">
        <f t="array" aca="1" ref="AF745" ca="1">_xll.FDS($E$9,"P_PRICE("&amp;AK745&amp;",0,D,D)")</f>
        <v>3998.84</v>
      </c>
      <c r="AG745" s="20">
        <f t="shared" ca="1" si="203"/>
        <v>44988</v>
      </c>
      <c r="AH745" s="22">
        <f t="shared" ca="1" si="198"/>
        <v>44981</v>
      </c>
      <c r="AI745" s="22">
        <f t="shared" ca="1" si="199"/>
        <v>44973</v>
      </c>
      <c r="AJ745" s="22">
        <f t="shared" ca="1" si="200"/>
        <v>44959</v>
      </c>
      <c r="AK745" s="22">
        <f t="shared" ca="1" si="201"/>
        <v>44900</v>
      </c>
      <c r="AL745" s="22">
        <f t="shared" ca="1" si="202"/>
        <v>44813</v>
      </c>
    </row>
    <row r="746" spans="4:38" x14ac:dyDescent="0.25">
      <c r="D746" s="6">
        <f ca="1"/>
        <v>44987</v>
      </c>
      <c r="E746" s="28" cm="1">
        <f t="array" aca="1" ref="E746" ca="1">_xll.FDS($E$7,"P_PRICE("&amp;D746&amp;",0,D,D)")</f>
        <v>51.82</v>
      </c>
      <c r="F746" s="29" cm="1">
        <f t="array" aca="1" ref="F746" ca="1">_xll.FDS($E$7,"P_BETA_LOCIDX("&amp;$AG746&amp;","&amp;$AL746&amp;",,"""&amp;$E$9&amp;""")")</f>
        <v>1.2454620999999999</v>
      </c>
      <c r="G746" s="30">
        <f t="shared" ca="1" si="188"/>
        <v>0.11381112241233092</v>
      </c>
      <c r="H746" s="30">
        <f t="shared" ca="1" si="188"/>
        <v>0.12547240336833668</v>
      </c>
      <c r="I746" s="30">
        <f t="shared" ca="1" si="188"/>
        <v>0.12014254299326191</v>
      </c>
      <c r="J746" s="30">
        <f t="shared" ca="1" si="188"/>
        <v>0.30367687522295789</v>
      </c>
      <c r="K746" s="30">
        <f t="shared" ca="1" si="189"/>
        <v>-9.6133810954760375E-3</v>
      </c>
      <c r="L746" s="30">
        <f t="shared" ca="1" si="189"/>
        <v>-4.9922382612836456E-2</v>
      </c>
      <c r="M746" s="30">
        <f t="shared" ca="1" si="189"/>
        <v>-4.1682605428225362E-2</v>
      </c>
      <c r="N746" s="30">
        <f t="shared" ca="1" si="189"/>
        <v>-2.7636491081120835E-2</v>
      </c>
      <c r="O746" s="30">
        <f t="shared" ca="1" si="190"/>
        <v>0.10419774131685489</v>
      </c>
      <c r="P746" s="30">
        <f t="shared" ca="1" si="191"/>
        <v>7.5550020755500213E-2</v>
      </c>
      <c r="Q746" s="30">
        <f t="shared" ca="1" si="192"/>
        <v>7.8459937565036553E-2</v>
      </c>
      <c r="R746" s="30">
        <f t="shared" ca="1" si="193"/>
        <v>0.27604038414183707</v>
      </c>
      <c r="S746" s="9" cm="1">
        <f t="array" aca="1" ref="S746" ca="1">_xll.FDS($E$7,"P_PRICE("&amp;AG746&amp;",0,D,D)")</f>
        <v>51.82</v>
      </c>
      <c r="T746" s="9" cm="1">
        <f t="array" aca="1" ref="T746" ca="1">_xll.FDS($E$7,"P_PRICE("&amp;AH746&amp;",0,D,D)")</f>
        <v>46.93</v>
      </c>
      <c r="U746" s="9" cm="1">
        <f t="array" aca="1" ref="U746" ca="1">_xll.FDS($E$7,"P_PRICE("&amp;AI746&amp;",0,D,D)")</f>
        <v>48.18</v>
      </c>
      <c r="V746" s="9" cm="1">
        <f t="array" aca="1" ref="V746" ca="1">_xll.FDS($E$7,"P_PRICE("&amp;AJ746&amp;",0,D,D)")</f>
        <v>48.05</v>
      </c>
      <c r="W746" s="9" cm="1">
        <f t="array" aca="1" ref="W746" ca="1">_xll.FDS($E$7,"P_PRICE("&amp;AK746&amp;",0,D,D)")</f>
        <v>40.61</v>
      </c>
      <c r="X746" s="24">
        <f t="shared" ca="1" si="194"/>
        <v>-7.7187263229254732E-3</v>
      </c>
      <c r="Y746" s="24">
        <f t="shared" ca="1" si="195"/>
        <v>-4.0083421737872604E-2</v>
      </c>
      <c r="Z746" s="24">
        <f t="shared" ca="1" si="196"/>
        <v>-3.3467582376232374E-2</v>
      </c>
      <c r="AA746" s="24">
        <f t="shared" ca="1" si="197"/>
        <v>-2.2189748753591809E-2</v>
      </c>
      <c r="AB746" s="9" cm="1">
        <f t="array" aca="1" ref="AB746" ca="1">_xll.FDS($E$9,"P_PRICE("&amp;AG746&amp;",0,D,D)")</f>
        <v>3981.35</v>
      </c>
      <c r="AC746" s="9" cm="1">
        <f t="array" aca="1" ref="AC746" ca="1">_xll.FDS($E$9,"P_PRICE("&amp;AH746&amp;",0,D,D)")</f>
        <v>4012.32</v>
      </c>
      <c r="AD746" s="9" cm="1">
        <f t="array" aca="1" ref="AD746" ca="1">_xll.FDS($E$9,"P_PRICE("&amp;AI746&amp;",0,D,D)")</f>
        <v>4147.6000000000004</v>
      </c>
      <c r="AE746" s="9" cm="1">
        <f t="array" aca="1" ref="AE746" ca="1">_xll.FDS($E$9,"P_PRICE("&amp;AJ746&amp;",0,D,D)")</f>
        <v>4119.21</v>
      </c>
      <c r="AF746" s="9" cm="1">
        <f t="array" aca="1" ref="AF746" ca="1">_xll.FDS($E$9,"P_PRICE("&amp;AK746&amp;",0,D,D)")</f>
        <v>4071.7</v>
      </c>
      <c r="AG746" s="20">
        <f t="shared" ca="1" si="203"/>
        <v>44987</v>
      </c>
      <c r="AH746" s="22">
        <f t="shared" ca="1" si="198"/>
        <v>44980</v>
      </c>
      <c r="AI746" s="22">
        <f t="shared" ca="1" si="199"/>
        <v>44972</v>
      </c>
      <c r="AJ746" s="22">
        <f t="shared" ca="1" si="200"/>
        <v>44958</v>
      </c>
      <c r="AK746" s="22">
        <f t="shared" ca="1" si="201"/>
        <v>44897</v>
      </c>
      <c r="AL746" s="22">
        <f t="shared" ca="1" si="202"/>
        <v>44812</v>
      </c>
    </row>
    <row r="747" spans="4:38" x14ac:dyDescent="0.25">
      <c r="D747" s="6">
        <f ca="1"/>
        <v>44986</v>
      </c>
      <c r="E747" s="28" cm="1">
        <f t="array" aca="1" ref="E747" ca="1">_xll.FDS($E$7,"P_PRICE("&amp;D747&amp;",0,D,D)")</f>
        <v>47.46</v>
      </c>
      <c r="F747" s="29" cm="1">
        <f t="array" aca="1" ref="F747" ca="1">_xll.FDS($E$7,"P_BETA_LOCIDX("&amp;$AG747&amp;","&amp;$AL747&amp;",,"""&amp;$E$9&amp;""")")</f>
        <v>1.2196034</v>
      </c>
      <c r="G747" s="30">
        <f t="shared" ca="1" si="188"/>
        <v>3.6288669348849445E-2</v>
      </c>
      <c r="H747" s="30">
        <f t="shared" ca="1" si="188"/>
        <v>5.955610531329867E-2</v>
      </c>
      <c r="I747" s="30">
        <f t="shared" ca="1" si="188"/>
        <v>4.5530657908982246E-2</v>
      </c>
      <c r="J747" s="30">
        <f t="shared" ca="1" si="188"/>
        <v>0.21075096130301837</v>
      </c>
      <c r="K747" s="30">
        <f t="shared" ca="1" si="189"/>
        <v>-1.2119485058819214E-2</v>
      </c>
      <c r="L747" s="30">
        <f t="shared" ca="1" si="189"/>
        <v>-5.4473513191316526E-2</v>
      </c>
      <c r="M747" s="30">
        <f t="shared" ca="1" si="189"/>
        <v>-3.7459290024530294E-2</v>
      </c>
      <c r="N747" s="30">
        <f t="shared" ca="1" si="189"/>
        <v>-3.7450590474835538E-2</v>
      </c>
      <c r="O747" s="30">
        <f t="shared" ca="1" si="190"/>
        <v>2.4169184290030232E-2</v>
      </c>
      <c r="P747" s="30">
        <f t="shared" ca="1" si="191"/>
        <v>5.0825921219821435E-3</v>
      </c>
      <c r="Q747" s="30">
        <f t="shared" ca="1" si="192"/>
        <v>8.0713678844519521E-3</v>
      </c>
      <c r="R747" s="30">
        <f t="shared" ca="1" si="193"/>
        <v>0.17330037082818284</v>
      </c>
      <c r="S747" s="9" cm="1">
        <f t="array" aca="1" ref="S747" ca="1">_xll.FDS($E$7,"P_PRICE("&amp;AG747&amp;",0,D,D)")</f>
        <v>47.46</v>
      </c>
      <c r="T747" s="9" cm="1">
        <f t="array" aca="1" ref="T747" ca="1">_xll.FDS($E$7,"P_PRICE("&amp;AH747&amp;",0,D,D)")</f>
        <v>46.34</v>
      </c>
      <c r="U747" s="9" cm="1">
        <f t="array" aca="1" ref="U747" ca="1">_xll.FDS($E$7,"P_PRICE("&amp;AI747&amp;",0,D,D)")</f>
        <v>47.22</v>
      </c>
      <c r="V747" s="9" cm="1">
        <f t="array" aca="1" ref="V747" ca="1">_xll.FDS($E$7,"P_PRICE("&amp;AJ747&amp;",0,D,D)")</f>
        <v>47.08</v>
      </c>
      <c r="W747" s="9" cm="1">
        <f t="array" aca="1" ref="W747" ca="1">_xll.FDS($E$7,"P_PRICE("&amp;AK747&amp;",0,D,D)")</f>
        <v>40.450000000000003</v>
      </c>
      <c r="X747" s="24">
        <f t="shared" ca="1" si="194"/>
        <v>-9.937234562333308E-3</v>
      </c>
      <c r="Y747" s="24">
        <f t="shared" ca="1" si="195"/>
        <v>-4.4664940415315768E-2</v>
      </c>
      <c r="Z747" s="24">
        <f t="shared" ca="1" si="196"/>
        <v>-3.0714320757494029E-2</v>
      </c>
      <c r="AA747" s="24">
        <f t="shared" ca="1" si="197"/>
        <v>-3.0707187660214408E-2</v>
      </c>
      <c r="AB747" s="9" cm="1">
        <f t="array" aca="1" ref="AB747" ca="1">_xll.FDS($E$9,"P_PRICE("&amp;AG747&amp;",0,D,D)")</f>
        <v>3951.39</v>
      </c>
      <c r="AC747" s="9" cm="1">
        <f t="array" aca="1" ref="AC747" ca="1">_xll.FDS($E$9,"P_PRICE("&amp;AH747&amp;",0,D,D)")</f>
        <v>3991.05</v>
      </c>
      <c r="AD747" s="9" cm="1">
        <f t="array" aca="1" ref="AD747" ca="1">_xll.FDS($E$9,"P_PRICE("&amp;AI747&amp;",0,D,D)")</f>
        <v>4136.13</v>
      </c>
      <c r="AE747" s="9" cm="1">
        <f t="array" aca="1" ref="AE747" ca="1">_xll.FDS($E$9,"P_PRICE("&amp;AJ747&amp;",0,D,D)")</f>
        <v>4076.6</v>
      </c>
      <c r="AF747" s="9" cm="1">
        <f t="array" aca="1" ref="AF747" ca="1">_xll.FDS($E$9,"P_PRICE("&amp;AK747&amp;",0,D,D)")</f>
        <v>4076.57</v>
      </c>
      <c r="AG747" s="20">
        <f t="shared" ca="1" si="203"/>
        <v>44986</v>
      </c>
      <c r="AH747" s="22">
        <f t="shared" ca="1" si="198"/>
        <v>44979</v>
      </c>
      <c r="AI747" s="22">
        <f t="shared" ca="1" si="199"/>
        <v>44971</v>
      </c>
      <c r="AJ747" s="22">
        <f t="shared" ca="1" si="200"/>
        <v>44957</v>
      </c>
      <c r="AK747" s="22">
        <f t="shared" ca="1" si="201"/>
        <v>44896</v>
      </c>
      <c r="AL747" s="22">
        <f t="shared" ca="1" si="202"/>
        <v>44811</v>
      </c>
    </row>
    <row r="748" spans="4:38" x14ac:dyDescent="0.25">
      <c r="D748" s="6">
        <f ca="1"/>
        <v>44985</v>
      </c>
      <c r="E748" s="28" cm="1">
        <f t="array" aca="1" ref="E748" ca="1">_xll.FDS($E$7,"P_PRICE("&amp;D748&amp;",0,D,D)")</f>
        <v>47.31</v>
      </c>
      <c r="F748" s="29" cm="1">
        <f t="array" aca="1" ref="F748" ca="1">_xll.FDS($E$7,"P_BETA_LOCIDX("&amp;$AG748&amp;","&amp;$AL748&amp;",,"""&amp;$E$9&amp;""")")</f>
        <v>1.2236028000000001</v>
      </c>
      <c r="G748" s="30">
        <f t="shared" ca="1" si="188"/>
        <v>1.8141544715198344E-2</v>
      </c>
      <c r="H748" s="30">
        <f t="shared" ca="1" si="188"/>
        <v>5.0913421103037627E-2</v>
      </c>
      <c r="I748" s="30">
        <f t="shared" ca="1" si="188"/>
        <v>3.7421482613704891E-2</v>
      </c>
      <c r="J748" s="30">
        <f t="shared" ca="1" si="188"/>
        <v>0.20546711232052117</v>
      </c>
      <c r="K748" s="30">
        <f t="shared" ca="1" si="189"/>
        <v>-8.3229748112495401E-3</v>
      </c>
      <c r="L748" s="30">
        <f t="shared" ca="1" si="189"/>
        <v>-4.943162601412996E-2</v>
      </c>
      <c r="M748" s="30">
        <f t="shared" ca="1" si="189"/>
        <v>-1.4502563694785942E-2</v>
      </c>
      <c r="N748" s="30">
        <f t="shared" ca="1" si="189"/>
        <v>-3.2976406000818637E-2</v>
      </c>
      <c r="O748" s="30">
        <f t="shared" ca="1" si="190"/>
        <v>9.8185699039488039E-3</v>
      </c>
      <c r="P748" s="30">
        <f t="shared" ca="1" si="191"/>
        <v>1.481795088907667E-3</v>
      </c>
      <c r="Q748" s="30">
        <f t="shared" ca="1" si="192"/>
        <v>2.2918918918918951E-2</v>
      </c>
      <c r="R748" s="30">
        <f t="shared" ca="1" si="193"/>
        <v>0.17249070631970254</v>
      </c>
      <c r="S748" s="9" cm="1">
        <f t="array" aca="1" ref="S748" ca="1">_xll.FDS($E$7,"P_PRICE("&amp;AG748&amp;",0,D,D)")</f>
        <v>47.31</v>
      </c>
      <c r="T748" s="9" cm="1">
        <f t="array" aca="1" ref="T748" ca="1">_xll.FDS($E$7,"P_PRICE("&amp;AH748&amp;",0,D,D)")</f>
        <v>46.85</v>
      </c>
      <c r="U748" s="9" cm="1">
        <f t="array" aca="1" ref="U748" ca="1">_xll.FDS($E$7,"P_PRICE("&amp;AI748&amp;",0,D,D)")</f>
        <v>47.24</v>
      </c>
      <c r="V748" s="9" cm="1">
        <f t="array" aca="1" ref="V748" ca="1">_xll.FDS($E$7,"P_PRICE("&amp;AJ748&amp;",0,D,D)")</f>
        <v>46.25</v>
      </c>
      <c r="W748" s="9" cm="1">
        <f t="array" aca="1" ref="W748" ca="1">_xll.FDS($E$7,"P_PRICE("&amp;AK748&amp;",0,D,D)")</f>
        <v>40.35</v>
      </c>
      <c r="X748" s="24">
        <f t="shared" ca="1" si="194"/>
        <v>-6.8020233455248214E-3</v>
      </c>
      <c r="Y748" s="24">
        <f t="shared" ca="1" si="195"/>
        <v>-4.0398425056014875E-2</v>
      </c>
      <c r="Z748" s="24">
        <f t="shared" ca="1" si="196"/>
        <v>-1.185234595310336E-2</v>
      </c>
      <c r="AA748" s="24">
        <f t="shared" ca="1" si="197"/>
        <v>-2.6950253792177192E-2</v>
      </c>
      <c r="AB748" s="9" cm="1">
        <f t="array" aca="1" ref="AB748" ca="1">_xll.FDS($E$9,"P_PRICE("&amp;AG748&amp;",0,D,D)")</f>
        <v>3970.15</v>
      </c>
      <c r="AC748" s="9" cm="1">
        <f t="array" aca="1" ref="AC748" ca="1">_xll.FDS($E$9,"P_PRICE("&amp;AH748&amp;",0,D,D)")</f>
        <v>3997.34</v>
      </c>
      <c r="AD748" s="9" cm="1">
        <f t="array" aca="1" ref="AD748" ca="1">_xll.FDS($E$9,"P_PRICE("&amp;AI748&amp;",0,D,D)")</f>
        <v>4137.29</v>
      </c>
      <c r="AE748" s="9" cm="1">
        <f t="array" aca="1" ref="AE748" ca="1">_xll.FDS($E$9,"P_PRICE("&amp;AJ748&amp;",0,D,D)")</f>
        <v>4017.77</v>
      </c>
      <c r="AF748" s="9" cm="1">
        <f t="array" aca="1" ref="AF748" ca="1">_xll.FDS($E$9,"P_PRICE("&amp;AK748&amp;",0,D,D)")</f>
        <v>4080.11</v>
      </c>
      <c r="AG748" s="20">
        <f t="shared" ca="1" si="203"/>
        <v>44985</v>
      </c>
      <c r="AH748" s="22">
        <f t="shared" ca="1" si="198"/>
        <v>44978</v>
      </c>
      <c r="AI748" s="22">
        <f t="shared" ca="1" si="199"/>
        <v>44970</v>
      </c>
      <c r="AJ748" s="22">
        <f t="shared" ca="1" si="200"/>
        <v>44956</v>
      </c>
      <c r="AK748" s="22">
        <f t="shared" ca="1" si="201"/>
        <v>44895</v>
      </c>
      <c r="AL748" s="22">
        <f t="shared" ca="1" si="202"/>
        <v>44810</v>
      </c>
    </row>
    <row r="749" spans="4:38" x14ac:dyDescent="0.25">
      <c r="D749" s="6">
        <f ca="1"/>
        <v>44984</v>
      </c>
      <c r="E749" s="28" cm="1">
        <f t="array" aca="1" ref="E749" ca="1">_xll.FDS($E$7,"P_PRICE("&amp;D749&amp;",0,D,D)")</f>
        <v>47.06</v>
      </c>
      <c r="F749" s="29" cm="1">
        <f t="array" aca="1" ref="F749" ca="1">_xll.FDS($E$7,"P_BETA_LOCIDX("&amp;$AG749&amp;","&amp;$AL749&amp;",,"""&amp;$E$9&amp;""")")</f>
        <v>1.2149395000000001</v>
      </c>
      <c r="G749" s="30">
        <f t="shared" ca="1" si="188"/>
        <v>2.5036027800989891E-2</v>
      </c>
      <c r="H749" s="30">
        <f t="shared" ca="1" si="188"/>
        <v>4.9216966023378626E-2</v>
      </c>
      <c r="I749" s="30">
        <f t="shared" ca="1" si="188"/>
        <v>3.9057221859152766E-2</v>
      </c>
      <c r="J749" s="30">
        <f t="shared" ca="1" si="188"/>
        <v>0.16806334529914024</v>
      </c>
      <c r="K749" s="30">
        <f t="shared" ca="1" si="189"/>
        <v>-2.8846358029609654E-2</v>
      </c>
      <c r="L749" s="30">
        <f t="shared" ca="1" si="189"/>
        <v>-3.214326816299392E-2</v>
      </c>
      <c r="M749" s="30">
        <f t="shared" ca="1" si="189"/>
        <v>-2.6360858614048285E-2</v>
      </c>
      <c r="N749" s="30">
        <f t="shared" ca="1" si="189"/>
        <v>7.5549409861457445E-3</v>
      </c>
      <c r="O749" s="30">
        <f t="shared" ca="1" si="190"/>
        <v>-3.8103302286197627E-3</v>
      </c>
      <c r="P749" s="30">
        <f t="shared" ca="1" si="191"/>
        <v>1.7073697860384707E-2</v>
      </c>
      <c r="Q749" s="30">
        <f t="shared" ca="1" si="192"/>
        <v>1.2696363245104481E-2</v>
      </c>
      <c r="R749" s="30">
        <f t="shared" ca="1" si="193"/>
        <v>0.17561828628528597</v>
      </c>
      <c r="S749" s="9" cm="1">
        <f t="array" aca="1" ref="S749" ca="1">_xll.FDS($E$7,"P_PRICE("&amp;AG749&amp;",0,D,D)")</f>
        <v>47.06</v>
      </c>
      <c r="T749" s="9" cm="1">
        <f t="array" aca="1" ref="T749" ca="1">_xll.FDS($E$7,"P_PRICE("&amp;AH749&amp;",0,D,D)")</f>
        <v>47.24</v>
      </c>
      <c r="U749" s="9" cm="1">
        <f t="array" aca="1" ref="U749" ca="1">_xll.FDS($E$7,"P_PRICE("&amp;AI749&amp;",0,D,D)")</f>
        <v>46.27</v>
      </c>
      <c r="V749" s="9" cm="1">
        <f t="array" aca="1" ref="V749" ca="1">_xll.FDS($E$7,"P_PRICE("&amp;AJ749&amp;",0,D,D)")</f>
        <v>46.47</v>
      </c>
      <c r="W749" s="9" cm="1">
        <f t="array" aca="1" ref="W749" ca="1">_xll.FDS($E$7,"P_PRICE("&amp;AK749&amp;",0,D,D)")</f>
        <v>40.03</v>
      </c>
      <c r="X749" s="24">
        <f t="shared" ca="1" si="194"/>
        <v>-2.374304072722111E-2</v>
      </c>
      <c r="Y749" s="24">
        <f t="shared" ca="1" si="195"/>
        <v>-2.6456682133549791E-2</v>
      </c>
      <c r="Z749" s="24">
        <f t="shared" ca="1" si="196"/>
        <v>-2.169726032781738E-2</v>
      </c>
      <c r="AA749" s="24">
        <f t="shared" ca="1" si="197"/>
        <v>6.2183680637148964E-3</v>
      </c>
      <c r="AB749" s="9" cm="1">
        <f t="array" aca="1" ref="AB749" ca="1">_xll.FDS($E$9,"P_PRICE("&amp;AG749&amp;",0,D,D)")</f>
        <v>3982.24</v>
      </c>
      <c r="AC749" s="9" cm="1">
        <f t="array" aca="1" ref="AC749" ca="1">_xll.FDS($E$9,"P_PRICE("&amp;AH749&amp;",0,D,D)")</f>
        <v>4079.09</v>
      </c>
      <c r="AD749" s="9" cm="1">
        <f t="array" aca="1" ref="AD749" ca="1">_xll.FDS($E$9,"P_PRICE("&amp;AI749&amp;",0,D,D)")</f>
        <v>4090.46</v>
      </c>
      <c r="AE749" s="9" cm="1">
        <f t="array" aca="1" ref="AE749" ca="1">_xll.FDS($E$9,"P_PRICE("&amp;AJ749&amp;",0,D,D)")</f>
        <v>4070.56</v>
      </c>
      <c r="AF749" s="9" cm="1">
        <f t="array" aca="1" ref="AF749" ca="1">_xll.FDS($E$9,"P_PRICE("&amp;AK749&amp;",0,D,D)")</f>
        <v>3957.63</v>
      </c>
      <c r="AG749" s="20">
        <f t="shared" ca="1" si="203"/>
        <v>44984</v>
      </c>
      <c r="AH749" s="22">
        <f t="shared" ca="1" si="198"/>
        <v>44974</v>
      </c>
      <c r="AI749" s="22">
        <f t="shared" ca="1" si="199"/>
        <v>44967</v>
      </c>
      <c r="AJ749" s="22">
        <f t="shared" ca="1" si="200"/>
        <v>44953</v>
      </c>
      <c r="AK749" s="22">
        <f t="shared" ca="1" si="201"/>
        <v>44894</v>
      </c>
      <c r="AL749" s="22">
        <f t="shared" ca="1" si="202"/>
        <v>44806</v>
      </c>
    </row>
    <row r="750" spans="4:38" x14ac:dyDescent="0.25">
      <c r="D750" s="6">
        <f ca="1"/>
        <v>44981</v>
      </c>
      <c r="E750" s="28" cm="1">
        <f t="array" aca="1" ref="E750" ca="1">_xll.FDS($E$7,"P_PRICE("&amp;D750&amp;",0,D,D)")</f>
        <v>46.31</v>
      </c>
      <c r="F750" s="29" cm="1">
        <f t="array" aca="1" ref="F750" ca="1">_xll.FDS($E$7,"P_BETA_LOCIDX("&amp;$AG750&amp;","&amp;$AL750&amp;",,"""&amp;$E$9&amp;""")")</f>
        <v>1.2102733999999999</v>
      </c>
      <c r="G750" s="30">
        <f t="shared" ca="1" si="188"/>
        <v>1.3857661677740586E-2</v>
      </c>
      <c r="H750" s="30">
        <f t="shared" ca="1" si="188"/>
        <v>2.1946863911261695E-2</v>
      </c>
      <c r="I750" s="30">
        <f t="shared" ca="1" si="188"/>
        <v>2.7806616033922305E-2</v>
      </c>
      <c r="J750" s="30">
        <f t="shared" ca="1" si="188"/>
        <v>0.16906042544259006</v>
      </c>
      <c r="K750" s="30">
        <f t="shared" ca="1" si="189"/>
        <v>-3.5615160621551324E-2</v>
      </c>
      <c r="L750" s="30">
        <f t="shared" ca="1" si="189"/>
        <v>-3.3050857078035047E-2</v>
      </c>
      <c r="M750" s="30">
        <f t="shared" ca="1" si="189"/>
        <v>-2.6942125003016838E-2</v>
      </c>
      <c r="N750" s="30">
        <f t="shared" ca="1" si="189"/>
        <v>1.8624569847171945E-3</v>
      </c>
      <c r="O750" s="30">
        <f t="shared" ca="1" si="190"/>
        <v>-2.1757498943810738E-2</v>
      </c>
      <c r="P750" s="30">
        <f t="shared" ca="1" si="191"/>
        <v>-1.1103993166773352E-2</v>
      </c>
      <c r="Q750" s="30">
        <f t="shared" ca="1" si="192"/>
        <v>8.6449103090546764E-4</v>
      </c>
      <c r="R750" s="30">
        <f t="shared" ca="1" si="193"/>
        <v>0.17092288242730724</v>
      </c>
      <c r="S750" s="9" cm="1">
        <f t="array" aca="1" ref="S750" ca="1">_xll.FDS($E$7,"P_PRICE("&amp;AG750&amp;",0,D,D)")</f>
        <v>46.31</v>
      </c>
      <c r="T750" s="9" cm="1">
        <f t="array" aca="1" ref="T750" ca="1">_xll.FDS($E$7,"P_PRICE("&amp;AH750&amp;",0,D,D)")</f>
        <v>47.34</v>
      </c>
      <c r="U750" s="9" cm="1">
        <f t="array" aca="1" ref="U750" ca="1">_xll.FDS($E$7,"P_PRICE("&amp;AI750&amp;",0,D,D)")</f>
        <v>46.83</v>
      </c>
      <c r="V750" s="9" cm="1">
        <f t="array" aca="1" ref="V750" ca="1">_xll.FDS($E$7,"P_PRICE("&amp;AJ750&amp;",0,D,D)")</f>
        <v>46.27</v>
      </c>
      <c r="W750" s="9" cm="1">
        <f t="array" aca="1" ref="W750" ca="1">_xll.FDS($E$7,"P_PRICE("&amp;AK750&amp;",0,D,D)")</f>
        <v>39.549999999999997</v>
      </c>
      <c r="X750" s="24">
        <f t="shared" ca="1" si="194"/>
        <v>-2.942736791666356E-2</v>
      </c>
      <c r="Y750" s="24">
        <f t="shared" ca="1" si="195"/>
        <v>-2.7308587529094708E-2</v>
      </c>
      <c r="Z750" s="24">
        <f t="shared" ca="1" si="196"/>
        <v>-2.2261189085884925E-2</v>
      </c>
      <c r="AA750" s="24">
        <f t="shared" ca="1" si="197"/>
        <v>1.5388729395500178E-3</v>
      </c>
      <c r="AB750" s="9" cm="1">
        <f t="array" aca="1" ref="AB750" ca="1">_xll.FDS($E$9,"P_PRICE("&amp;AG750&amp;",0,D,D)")</f>
        <v>3970.04</v>
      </c>
      <c r="AC750" s="9" cm="1">
        <f t="array" aca="1" ref="AC750" ca="1">_xll.FDS($E$9,"P_PRICE("&amp;AH750&amp;",0,D,D)")</f>
        <v>4090.41</v>
      </c>
      <c r="AD750" s="9" cm="1">
        <f t="array" aca="1" ref="AD750" ca="1">_xll.FDS($E$9,"P_PRICE("&amp;AI750&amp;",0,D,D)")</f>
        <v>4081.5</v>
      </c>
      <c r="AE750" s="9" cm="1">
        <f t="array" aca="1" ref="AE750" ca="1">_xll.FDS($E$9,"P_PRICE("&amp;AJ750&amp;",0,D,D)")</f>
        <v>4060.43</v>
      </c>
      <c r="AF750" s="9" cm="1">
        <f t="array" aca="1" ref="AF750" ca="1">_xll.FDS($E$9,"P_PRICE("&amp;AK750&amp;",0,D,D)")</f>
        <v>3963.94</v>
      </c>
      <c r="AG750" s="20">
        <f t="shared" ca="1" si="203"/>
        <v>44981</v>
      </c>
      <c r="AH750" s="22">
        <f t="shared" ca="1" si="198"/>
        <v>44973</v>
      </c>
      <c r="AI750" s="22">
        <f t="shared" ca="1" si="199"/>
        <v>44966</v>
      </c>
      <c r="AJ750" s="22">
        <f t="shared" ca="1" si="200"/>
        <v>44952</v>
      </c>
      <c r="AK750" s="22">
        <f t="shared" ca="1" si="201"/>
        <v>44893</v>
      </c>
      <c r="AL750" s="22">
        <f t="shared" ca="1" si="202"/>
        <v>44805</v>
      </c>
    </row>
    <row r="751" spans="4:38" x14ac:dyDescent="0.25">
      <c r="D751" s="6">
        <f ca="1"/>
        <v>44980</v>
      </c>
      <c r="E751" s="28" cm="1">
        <f t="array" aca="1" ref="E751" ca="1">_xll.FDS($E$7,"P_PRICE("&amp;D751&amp;",0,D,D)")</f>
        <v>46.93</v>
      </c>
      <c r="F751" s="29" cm="1">
        <f t="array" aca="1" ref="F751" ca="1">_xll.FDS($E$7,"P_BETA_LOCIDX("&amp;$AG751&amp;","&amp;$AL751&amp;",,"""&amp;$E$9&amp;""")")</f>
        <v>1.2103488</v>
      </c>
      <c r="G751" s="30">
        <f t="shared" ca="1" si="188"/>
        <v>1.3532909354308842E-2</v>
      </c>
      <c r="H751" s="30">
        <f t="shared" ca="1" si="188"/>
        <v>3.0807980849193554E-2</v>
      </c>
      <c r="I751" s="30">
        <f t="shared" ca="1" si="188"/>
        <v>2.786532632831467E-2</v>
      </c>
      <c r="J751" s="30">
        <f t="shared" ca="1" si="188"/>
        <v>0.15920645195284316</v>
      </c>
      <c r="K751" s="30">
        <f t="shared" ca="1" si="189"/>
        <v>-3.947728461375255E-2</v>
      </c>
      <c r="L751" s="30">
        <f t="shared" ca="1" si="189"/>
        <v>-3.1021018769943447E-2</v>
      </c>
      <c r="M751" s="30">
        <f t="shared" ca="1" si="189"/>
        <v>-1.1753241406096627E-3</v>
      </c>
      <c r="N751" s="30">
        <f t="shared" ca="1" si="189"/>
        <v>-4.1486129176476318E-3</v>
      </c>
      <c r="O751" s="30">
        <f t="shared" ca="1" si="190"/>
        <v>-2.5944375259443708E-2</v>
      </c>
      <c r="P751" s="30">
        <f t="shared" ca="1" si="191"/>
        <v>-2.1303792074989225E-4</v>
      </c>
      <c r="Q751" s="30">
        <f t="shared" ca="1" si="192"/>
        <v>2.6690002187705009E-2</v>
      </c>
      <c r="R751" s="30">
        <f t="shared" ca="1" si="193"/>
        <v>0.15505783903519554</v>
      </c>
      <c r="S751" s="9" cm="1">
        <f t="array" aca="1" ref="S751" ca="1">_xll.FDS($E$7,"P_PRICE("&amp;AG751&amp;",0,D,D)")</f>
        <v>46.93</v>
      </c>
      <c r="T751" s="9" cm="1">
        <f t="array" aca="1" ref="T751" ca="1">_xll.FDS($E$7,"P_PRICE("&amp;AH751&amp;",0,D,D)")</f>
        <v>48.18</v>
      </c>
      <c r="U751" s="9" cm="1">
        <f t="array" aca="1" ref="U751" ca="1">_xll.FDS($E$7,"P_PRICE("&amp;AI751&amp;",0,D,D)")</f>
        <v>46.94</v>
      </c>
      <c r="V751" s="9" cm="1">
        <f t="array" aca="1" ref="V751" ca="1">_xll.FDS($E$7,"P_PRICE("&amp;AJ751&amp;",0,D,D)")</f>
        <v>45.71</v>
      </c>
      <c r="W751" s="9" cm="1">
        <f t="array" aca="1" ref="W751" ca="1">_xll.FDS($E$7,"P_PRICE("&amp;AK751&amp;",0,D,D)")</f>
        <v>40.630000000000003</v>
      </c>
      <c r="X751" s="24">
        <f t="shared" ca="1" si="194"/>
        <v>-3.2616452888417413E-2</v>
      </c>
      <c r="Y751" s="24">
        <f t="shared" ca="1" si="195"/>
        <v>-2.5629817429441371E-2</v>
      </c>
      <c r="Z751" s="24">
        <f t="shared" ca="1" si="196"/>
        <v>-9.7106234220223353E-4</v>
      </c>
      <c r="AA751" s="24">
        <f t="shared" ca="1" si="197"/>
        <v>-3.4276176567016314E-3</v>
      </c>
      <c r="AB751" s="9" cm="1">
        <f t="array" aca="1" ref="AB751" ca="1">_xll.FDS($E$9,"P_PRICE("&amp;AG751&amp;",0,D,D)")</f>
        <v>4012.32</v>
      </c>
      <c r="AC751" s="9" cm="1">
        <f t="array" aca="1" ref="AC751" ca="1">_xll.FDS($E$9,"P_PRICE("&amp;AH751&amp;",0,D,D)")</f>
        <v>4147.6000000000004</v>
      </c>
      <c r="AD751" s="9" cm="1">
        <f t="array" aca="1" ref="AD751" ca="1">_xll.FDS($E$9,"P_PRICE("&amp;AI751&amp;",0,D,D)")</f>
        <v>4117.8599999999997</v>
      </c>
      <c r="AE751" s="9" cm="1">
        <f t="array" aca="1" ref="AE751" ca="1">_xll.FDS($E$9,"P_PRICE("&amp;AJ751&amp;",0,D,D)")</f>
        <v>4016.22</v>
      </c>
      <c r="AF751" s="9" cm="1">
        <f t="array" aca="1" ref="AF751" ca="1">_xll.FDS($E$9,"P_PRICE("&amp;AK751&amp;",0,D,D)")</f>
        <v>4026.12</v>
      </c>
      <c r="AG751" s="20">
        <f t="shared" ca="1" si="203"/>
        <v>44980</v>
      </c>
      <c r="AH751" s="22">
        <f t="shared" ca="1" si="198"/>
        <v>44972</v>
      </c>
      <c r="AI751" s="22">
        <f t="shared" ca="1" si="199"/>
        <v>44965</v>
      </c>
      <c r="AJ751" s="22">
        <f t="shared" ca="1" si="200"/>
        <v>44951</v>
      </c>
      <c r="AK751" s="22">
        <f t="shared" ca="1" si="201"/>
        <v>44890</v>
      </c>
      <c r="AL751" s="22">
        <f t="shared" ca="1" si="202"/>
        <v>44804</v>
      </c>
    </row>
    <row r="752" spans="4:38" x14ac:dyDescent="0.25">
      <c r="D752" s="6">
        <f ca="1"/>
        <v>44979</v>
      </c>
      <c r="E752" s="28" cm="1">
        <f t="array" aca="1" ref="E752" ca="1">_xll.FDS($E$7,"P_PRICE("&amp;D752&amp;",0,D,D)")</f>
        <v>46.34</v>
      </c>
      <c r="F752" s="29" cm="1">
        <f t="array" aca="1" ref="F752" ca="1">_xll.FDS($E$7,"P_BETA_LOCIDX("&amp;$AG752&amp;","&amp;$AL752&amp;",,"""&amp;$E$9&amp;""")")</f>
        <v>1.2104303999999999</v>
      </c>
      <c r="G752" s="30">
        <f t="shared" ca="1" si="188"/>
        <v>2.3821208715035819E-2</v>
      </c>
      <c r="H752" s="30">
        <f t="shared" ca="1" si="188"/>
        <v>3.0393164180966194E-2</v>
      </c>
      <c r="I752" s="30">
        <f t="shared" ca="1" si="188"/>
        <v>3.5298922180541592E-2</v>
      </c>
      <c r="J752" s="30">
        <f t="shared" ca="1" si="188"/>
        <v>0.1613301237314691</v>
      </c>
      <c r="K752" s="30">
        <f t="shared" ca="1" si="189"/>
        <v>-4.2457379828970493E-2</v>
      </c>
      <c r="L752" s="30">
        <f t="shared" ca="1" si="189"/>
        <v>-5.0274720864553236E-2</v>
      </c>
      <c r="M752" s="30">
        <f t="shared" ca="1" si="189"/>
        <v>-7.8044654177920605E-3</v>
      </c>
      <c r="N752" s="30">
        <f t="shared" ca="1" si="189"/>
        <v>-1.0883251834746196E-2</v>
      </c>
      <c r="O752" s="30">
        <f t="shared" ca="1" si="190"/>
        <v>-1.8636171113934674E-2</v>
      </c>
      <c r="P752" s="30">
        <f t="shared" ca="1" si="191"/>
        <v>-1.9881556683587043E-2</v>
      </c>
      <c r="Q752" s="30">
        <f t="shared" ca="1" si="192"/>
        <v>2.7494456762749531E-2</v>
      </c>
      <c r="R752" s="30">
        <f t="shared" ca="1" si="193"/>
        <v>0.1504468718967229</v>
      </c>
      <c r="S752" s="9" cm="1">
        <f t="array" aca="1" ref="S752" ca="1">_xll.FDS($E$7,"P_PRICE("&amp;AG752&amp;",0,D,D)")</f>
        <v>46.34</v>
      </c>
      <c r="T752" s="9" cm="1">
        <f t="array" aca="1" ref="T752" ca="1">_xll.FDS($E$7,"P_PRICE("&amp;AH752&amp;",0,D,D)")</f>
        <v>47.22</v>
      </c>
      <c r="U752" s="9" cm="1">
        <f t="array" aca="1" ref="U752" ca="1">_xll.FDS($E$7,"P_PRICE("&amp;AI752&amp;",0,D,D)")</f>
        <v>47.28</v>
      </c>
      <c r="V752" s="9" cm="1">
        <f t="array" aca="1" ref="V752" ca="1">_xll.FDS($E$7,"P_PRICE("&amp;AJ752&amp;",0,D,D)")</f>
        <v>45.1</v>
      </c>
      <c r="W752" s="9" cm="1">
        <f t="array" aca="1" ref="W752" ca="1">_xll.FDS($E$7,"P_PRICE("&amp;AK752&amp;",0,D,D)")</f>
        <v>40.28</v>
      </c>
      <c r="X752" s="24">
        <f t="shared" ca="1" si="194"/>
        <v>-3.5076266945187839E-2</v>
      </c>
      <c r="Y752" s="24">
        <f t="shared" ca="1" si="195"/>
        <v>-4.1534582132564779E-2</v>
      </c>
      <c r="Z752" s="24">
        <f t="shared" ca="1" si="196"/>
        <v>-6.447677964624865E-3</v>
      </c>
      <c r="AA752" s="24">
        <f t="shared" ca="1" si="197"/>
        <v>-8.9912248029677677E-3</v>
      </c>
      <c r="AB752" s="9" cm="1">
        <f t="array" aca="1" ref="AB752" ca="1">_xll.FDS($E$9,"P_PRICE("&amp;AG752&amp;",0,D,D)")</f>
        <v>3991.05</v>
      </c>
      <c r="AC752" s="9" cm="1">
        <f t="array" aca="1" ref="AC752" ca="1">_xll.FDS($E$9,"P_PRICE("&amp;AH752&amp;",0,D,D)")</f>
        <v>4136.13</v>
      </c>
      <c r="AD752" s="9" cm="1">
        <f t="array" aca="1" ref="AD752" ca="1">_xll.FDS($E$9,"P_PRICE("&amp;AI752&amp;",0,D,D)")</f>
        <v>4164</v>
      </c>
      <c r="AE752" s="9" cm="1">
        <f t="array" aca="1" ref="AE752" ca="1">_xll.FDS($E$9,"P_PRICE("&amp;AJ752&amp;",0,D,D)")</f>
        <v>4016.95</v>
      </c>
      <c r="AF752" s="9" cm="1">
        <f t="array" aca="1" ref="AF752" ca="1">_xll.FDS($E$9,"P_PRICE("&amp;AK752&amp;",0,D,D)")</f>
        <v>4027.26</v>
      </c>
      <c r="AG752" s="20">
        <f t="shared" ca="1" si="203"/>
        <v>44979</v>
      </c>
      <c r="AH752" s="22">
        <f t="shared" ca="1" si="198"/>
        <v>44971</v>
      </c>
      <c r="AI752" s="22">
        <f t="shared" ca="1" si="199"/>
        <v>44964</v>
      </c>
      <c r="AJ752" s="22">
        <f t="shared" ca="1" si="200"/>
        <v>44950</v>
      </c>
      <c r="AK752" s="22">
        <f t="shared" ca="1" si="201"/>
        <v>44888</v>
      </c>
      <c r="AL752" s="22">
        <f t="shared" ca="1" si="202"/>
        <v>44803</v>
      </c>
    </row>
    <row r="753" spans="4:38" x14ac:dyDescent="0.25">
      <c r="D753" s="6">
        <f ca="1"/>
        <v>44978</v>
      </c>
      <c r="E753" s="28" cm="1">
        <f t="array" aca="1" ref="E753" ca="1">_xll.FDS($E$7,"P_PRICE("&amp;D753&amp;",0,D,D)")</f>
        <v>46.85</v>
      </c>
      <c r="F753" s="29" cm="1">
        <f t="array" aca="1" ref="F753" ca="1">_xll.FDS($E$7,"P_BETA_LOCIDX("&amp;$AG753&amp;","&amp;$AL753&amp;",,"""&amp;$E$9&amp;""")")</f>
        <v>1.2059841</v>
      </c>
      <c r="G753" s="30">
        <f t="shared" ca="1" si="188"/>
        <v>3.2538493949728478E-2</v>
      </c>
      <c r="H753" s="30">
        <f t="shared" ca="1" si="188"/>
        <v>3.9810278438376867E-2</v>
      </c>
      <c r="I753" s="30">
        <f t="shared" ca="1" si="188"/>
        <v>4.1414374617780532E-2</v>
      </c>
      <c r="J753" s="30">
        <f t="shared" ca="1" si="188"/>
        <v>0.18317062617946772</v>
      </c>
      <c r="K753" s="30">
        <f t="shared" ca="1" si="189"/>
        <v>-4.0794209445071464E-2</v>
      </c>
      <c r="L753" s="30">
        <f t="shared" ca="1" si="189"/>
        <v>-3.3365595301964424E-2</v>
      </c>
      <c r="M753" s="30">
        <f t="shared" ca="1" si="189"/>
        <v>-6.7412297414554193E-3</v>
      </c>
      <c r="N753" s="30">
        <f t="shared" ca="1" si="189"/>
        <v>-1.8796529066485367E-3</v>
      </c>
      <c r="O753" s="30">
        <f t="shared" ca="1" si="190"/>
        <v>-8.2557154953429857E-3</v>
      </c>
      <c r="P753" s="30">
        <f t="shared" ca="1" si="191"/>
        <v>6.4446831364124435E-3</v>
      </c>
      <c r="Q753" s="30">
        <f t="shared" ca="1" si="192"/>
        <v>3.4673144876325113E-2</v>
      </c>
      <c r="R753" s="30">
        <f t="shared" ca="1" si="193"/>
        <v>0.18129097327281918</v>
      </c>
      <c r="S753" s="9" cm="1">
        <f t="array" aca="1" ref="S753" ca="1">_xll.FDS($E$7,"P_PRICE("&amp;AG753&amp;",0,D,D)")</f>
        <v>46.85</v>
      </c>
      <c r="T753" s="9" cm="1">
        <f t="array" aca="1" ref="T753" ca="1">_xll.FDS($E$7,"P_PRICE("&amp;AH753&amp;",0,D,D)")</f>
        <v>47.24</v>
      </c>
      <c r="U753" s="9" cm="1">
        <f t="array" aca="1" ref="U753" ca="1">_xll.FDS($E$7,"P_PRICE("&amp;AI753&amp;",0,D,D)")</f>
        <v>46.55</v>
      </c>
      <c r="V753" s="9" cm="1">
        <f t="array" aca="1" ref="V753" ca="1">_xll.FDS($E$7,"P_PRICE("&amp;AJ753&amp;",0,D,D)")</f>
        <v>45.28</v>
      </c>
      <c r="W753" s="9" cm="1">
        <f t="array" aca="1" ref="W753" ca="1">_xll.FDS($E$7,"P_PRICE("&amp;AK753&amp;",0,D,D)")</f>
        <v>39.659999999999997</v>
      </c>
      <c r="X753" s="24">
        <f t="shared" ca="1" si="194"/>
        <v>-3.3826490287120259E-2</v>
      </c>
      <c r="Y753" s="24">
        <f t="shared" ca="1" si="195"/>
        <v>-2.7666695856076728E-2</v>
      </c>
      <c r="Z753" s="24">
        <f t="shared" ca="1" si="196"/>
        <v>-5.5898164341100509E-3</v>
      </c>
      <c r="AA753" s="24">
        <f t="shared" ca="1" si="197"/>
        <v>-1.5586050484815983E-3</v>
      </c>
      <c r="AB753" s="9" cm="1">
        <f t="array" aca="1" ref="AB753" ca="1">_xll.FDS($E$9,"P_PRICE("&amp;AG753&amp;",0,D,D)")</f>
        <v>3997.34</v>
      </c>
      <c r="AC753" s="9" cm="1">
        <f t="array" aca="1" ref="AC753" ca="1">_xll.FDS($E$9,"P_PRICE("&amp;AH753&amp;",0,D,D)")</f>
        <v>4137.29</v>
      </c>
      <c r="AD753" s="9" cm="1">
        <f t="array" aca="1" ref="AD753" ca="1">_xll.FDS($E$9,"P_PRICE("&amp;AI753&amp;",0,D,D)")</f>
        <v>4111.08</v>
      </c>
      <c r="AE753" s="9" cm="1">
        <f t="array" aca="1" ref="AE753" ca="1">_xll.FDS($E$9,"P_PRICE("&amp;AJ753&amp;",0,D,D)")</f>
        <v>4019.81</v>
      </c>
      <c r="AF753" s="9" cm="1">
        <f t="array" aca="1" ref="AF753" ca="1">_xll.FDS($E$9,"P_PRICE("&amp;AK753&amp;",0,D,D)")</f>
        <v>4003.58</v>
      </c>
      <c r="AG753" s="20">
        <f t="shared" ca="1" si="203"/>
        <v>44978</v>
      </c>
      <c r="AH753" s="22">
        <f t="shared" ca="1" si="198"/>
        <v>44970</v>
      </c>
      <c r="AI753" s="22">
        <f t="shared" ca="1" si="199"/>
        <v>44963</v>
      </c>
      <c r="AJ753" s="22">
        <f t="shared" ca="1" si="200"/>
        <v>44949</v>
      </c>
      <c r="AK753" s="22">
        <f t="shared" ca="1" si="201"/>
        <v>44887</v>
      </c>
      <c r="AL753" s="22">
        <f t="shared" ca="1" si="202"/>
        <v>44802</v>
      </c>
    </row>
    <row r="754" spans="4:38" x14ac:dyDescent="0.25">
      <c r="D754" s="6">
        <f ca="1"/>
        <v>44974</v>
      </c>
      <c r="E754" s="28" cm="1">
        <f t="array" aca="1" ref="E754" ca="1">_xll.FDS($E$7,"P_PRICE("&amp;D754&amp;",0,D,D)")</f>
        <v>47.24</v>
      </c>
      <c r="F754" s="29" cm="1">
        <f t="array" aca="1" ref="F754" ca="1">_xll.FDS($E$7,"P_BETA_LOCIDX("&amp;$AG754&amp;","&amp;$AL754&amp;",,"""&amp;$E$9&amp;""")")</f>
        <v>1.2050666000000001</v>
      </c>
      <c r="G754" s="30">
        <f t="shared" ca="1" si="188"/>
        <v>2.4313556986803393E-2</v>
      </c>
      <c r="H754" s="30">
        <f t="shared" ca="1" si="188"/>
        <v>1.334370539353159E-2</v>
      </c>
      <c r="I754" s="30">
        <f t="shared" ca="1" si="188"/>
        <v>1.7244498189490289E-2</v>
      </c>
      <c r="J754" s="30">
        <f t="shared" ca="1" si="188"/>
        <v>0.15413038678802343</v>
      </c>
      <c r="K754" s="30">
        <f t="shared" ca="1" si="189"/>
        <v>-3.3496494873437492E-3</v>
      </c>
      <c r="L754" s="30">
        <f t="shared" ca="1" si="189"/>
        <v>-1.6719232819691909E-2</v>
      </c>
      <c r="M754" s="30">
        <f t="shared" ca="1" si="189"/>
        <v>3.23000474670306E-2</v>
      </c>
      <c r="N754" s="30">
        <f t="shared" ca="1" si="189"/>
        <v>3.9401700124558847E-2</v>
      </c>
      <c r="O754" s="30">
        <f t="shared" ca="1" si="190"/>
        <v>2.0963907499459644E-2</v>
      </c>
      <c r="P754" s="30">
        <f t="shared" ca="1" si="191"/>
        <v>-3.3755274261603185E-3</v>
      </c>
      <c r="Q754" s="30">
        <f t="shared" ca="1" si="192"/>
        <v>4.9544545656520889E-2</v>
      </c>
      <c r="R754" s="30">
        <f t="shared" ca="1" si="193"/>
        <v>0.19353208691258228</v>
      </c>
      <c r="S754" s="9" cm="1">
        <f t="array" aca="1" ref="S754" ca="1">_xll.FDS($E$7,"P_PRICE("&amp;AG754&amp;",0,D,D)")</f>
        <v>47.24</v>
      </c>
      <c r="T754" s="9" cm="1">
        <f t="array" aca="1" ref="T754" ca="1">_xll.FDS($E$7,"P_PRICE("&amp;AH754&amp;",0,D,D)")</f>
        <v>46.27</v>
      </c>
      <c r="U754" s="9" cm="1">
        <f t="array" aca="1" ref="U754" ca="1">_xll.FDS($E$7,"P_PRICE("&amp;AI754&amp;",0,D,D)")</f>
        <v>47.4</v>
      </c>
      <c r="V754" s="9" cm="1">
        <f t="array" aca="1" ref="V754" ca="1">_xll.FDS($E$7,"P_PRICE("&amp;AJ754&amp;",0,D,D)")</f>
        <v>45.01</v>
      </c>
      <c r="W754" s="9" cm="1">
        <f t="array" aca="1" ref="W754" ca="1">_xll.FDS($E$7,"P_PRICE("&amp;AK754&amp;",0,D,D)")</f>
        <v>39.58</v>
      </c>
      <c r="X754" s="24">
        <f t="shared" ca="1" si="194"/>
        <v>-2.7796384758682624E-3</v>
      </c>
      <c r="Y754" s="24">
        <f t="shared" ca="1" si="195"/>
        <v>-1.3874115189726366E-2</v>
      </c>
      <c r="Z754" s="24">
        <f t="shared" ca="1" si="196"/>
        <v>2.680353722112172E-2</v>
      </c>
      <c r="AA754" s="24">
        <f t="shared" ca="1" si="197"/>
        <v>3.269669919036744E-2</v>
      </c>
      <c r="AB754" s="9" cm="1">
        <f t="array" aca="1" ref="AB754" ca="1">_xll.FDS($E$9,"P_PRICE("&amp;AG754&amp;",0,D,D)")</f>
        <v>4079.09</v>
      </c>
      <c r="AC754" s="9" cm="1">
        <f t="array" aca="1" ref="AC754" ca="1">_xll.FDS($E$9,"P_PRICE("&amp;AH754&amp;",0,D,D)")</f>
        <v>4090.46</v>
      </c>
      <c r="AD754" s="9" cm="1">
        <f t="array" aca="1" ref="AD754" ca="1">_xll.FDS($E$9,"P_PRICE("&amp;AI754&amp;",0,D,D)")</f>
        <v>4136.4799999999996</v>
      </c>
      <c r="AE754" s="9" cm="1">
        <f t="array" aca="1" ref="AE754" ca="1">_xll.FDS($E$9,"P_PRICE("&amp;AJ754&amp;",0,D,D)")</f>
        <v>3972.61</v>
      </c>
      <c r="AF754" s="9" cm="1">
        <f t="array" aca="1" ref="AF754" ca="1">_xll.FDS($E$9,"P_PRICE("&amp;AK754&amp;",0,D,D)")</f>
        <v>3949.94</v>
      </c>
      <c r="AG754" s="20">
        <f t="shared" ca="1" si="203"/>
        <v>44974</v>
      </c>
      <c r="AH754" s="22">
        <f t="shared" ca="1" si="198"/>
        <v>44967</v>
      </c>
      <c r="AI754" s="22">
        <f t="shared" ca="1" si="199"/>
        <v>44960</v>
      </c>
      <c r="AJ754" s="22">
        <f t="shared" ca="1" si="200"/>
        <v>44946</v>
      </c>
      <c r="AK754" s="22">
        <f t="shared" ca="1" si="201"/>
        <v>44886</v>
      </c>
      <c r="AL754" s="22">
        <f t="shared" ca="1" si="202"/>
        <v>44799</v>
      </c>
    </row>
    <row r="755" spans="4:38" x14ac:dyDescent="0.25">
      <c r="D755" s="6">
        <f ca="1"/>
        <v>44973</v>
      </c>
      <c r="E755" s="28" cm="1">
        <f t="array" aca="1" ref="E755" ca="1">_xll.FDS($E$7,"P_PRICE("&amp;D755&amp;",0,D,D)")</f>
        <v>47.34</v>
      </c>
      <c r="F755" s="29" cm="1">
        <f t="array" aca="1" ref="F755" ca="1">_xll.FDS($E$7,"P_BETA_LOCIDX("&amp;$AG755&amp;","&amp;$AL755&amp;",,"""&amp;$E$9&amp;""")")</f>
        <v>1.2148652</v>
      </c>
      <c r="G755" s="30">
        <f t="shared" ca="1" si="188"/>
        <v>8.2383786558274576E-3</v>
      </c>
      <c r="H755" s="30">
        <f t="shared" ca="1" si="188"/>
        <v>-5.5687394458186004E-4</v>
      </c>
      <c r="I755" s="30">
        <f t="shared" ca="1" si="188"/>
        <v>5.5672383724701541E-3</v>
      </c>
      <c r="J755" s="30">
        <f t="shared" ca="1" si="188"/>
        <v>0.15532816935798494</v>
      </c>
      <c r="K755" s="30">
        <f t="shared" ca="1" si="189"/>
        <v>2.6520761808158468E-3</v>
      </c>
      <c r="L755" s="30">
        <f t="shared" ca="1" si="189"/>
        <v>-2.5969961342278091E-2</v>
      </c>
      <c r="M755" s="30">
        <f t="shared" ca="1" si="189"/>
        <v>5.9689287280095302E-2</v>
      </c>
      <c r="N755" s="30">
        <f t="shared" ca="1" si="189"/>
        <v>3.8317821564859342E-2</v>
      </c>
      <c r="O755" s="30">
        <f t="shared" ca="1" si="190"/>
        <v>1.0890454836643304E-2</v>
      </c>
      <c r="P755" s="30">
        <f t="shared" ca="1" si="191"/>
        <v>-2.6526835286859951E-2</v>
      </c>
      <c r="Q755" s="30">
        <f t="shared" ca="1" si="192"/>
        <v>6.5256525652565456E-2</v>
      </c>
      <c r="R755" s="30">
        <f t="shared" ca="1" si="193"/>
        <v>0.19364599092284429</v>
      </c>
      <c r="S755" s="9" cm="1">
        <f t="array" aca="1" ref="S755" ca="1">_xll.FDS($E$7,"P_PRICE("&amp;AG755&amp;",0,D,D)")</f>
        <v>47.34</v>
      </c>
      <c r="T755" s="9" cm="1">
        <f t="array" aca="1" ref="T755" ca="1">_xll.FDS($E$7,"P_PRICE("&amp;AH755&amp;",0,D,D)")</f>
        <v>46.83</v>
      </c>
      <c r="U755" s="9" cm="1">
        <f t="array" aca="1" ref="U755" ca="1">_xll.FDS($E$7,"P_PRICE("&amp;AI755&amp;",0,D,D)")</f>
        <v>48.63</v>
      </c>
      <c r="V755" s="9" cm="1">
        <f t="array" aca="1" ref="V755" ca="1">_xll.FDS($E$7,"P_PRICE("&amp;AJ755&amp;",0,D,D)")</f>
        <v>44.44</v>
      </c>
      <c r="W755" s="9" cm="1">
        <f t="array" aca="1" ref="W755" ca="1">_xll.FDS($E$7,"P_PRICE("&amp;AK755&amp;",0,D,D)")</f>
        <v>39.659999999999997</v>
      </c>
      <c r="X755" s="24">
        <f t="shared" ca="1" si="194"/>
        <v>2.1830209481807916E-3</v>
      </c>
      <c r="Y755" s="24">
        <f t="shared" ca="1" si="195"/>
        <v>-2.1376825463663041E-2</v>
      </c>
      <c r="Z755" s="24">
        <f t="shared" ca="1" si="196"/>
        <v>4.9132436487682174E-2</v>
      </c>
      <c r="AA755" s="24">
        <f t="shared" ca="1" si="197"/>
        <v>3.1540801041020305E-2</v>
      </c>
      <c r="AB755" s="9" cm="1">
        <f t="array" aca="1" ref="AB755" ca="1">_xll.FDS($E$9,"P_PRICE("&amp;AG755&amp;",0,D,D)")</f>
        <v>4090.41</v>
      </c>
      <c r="AC755" s="9" cm="1">
        <f t="array" aca="1" ref="AC755" ca="1">_xll.FDS($E$9,"P_PRICE("&amp;AH755&amp;",0,D,D)")</f>
        <v>4081.5</v>
      </c>
      <c r="AD755" s="9" cm="1">
        <f t="array" aca="1" ref="AD755" ca="1">_xll.FDS($E$9,"P_PRICE("&amp;AI755&amp;",0,D,D)")</f>
        <v>4179.76</v>
      </c>
      <c r="AE755" s="9" cm="1">
        <f t="array" aca="1" ref="AE755" ca="1">_xll.FDS($E$9,"P_PRICE("&amp;AJ755&amp;",0,D,D)")</f>
        <v>3898.85</v>
      </c>
      <c r="AF755" s="9" cm="1">
        <f t="array" aca="1" ref="AF755" ca="1">_xll.FDS($E$9,"P_PRICE("&amp;AK755&amp;",0,D,D)")</f>
        <v>3965.34</v>
      </c>
      <c r="AG755" s="20">
        <f t="shared" ca="1" si="203"/>
        <v>44973</v>
      </c>
      <c r="AH755" s="22">
        <f t="shared" ca="1" si="198"/>
        <v>44966</v>
      </c>
      <c r="AI755" s="22">
        <f t="shared" ca="1" si="199"/>
        <v>44959</v>
      </c>
      <c r="AJ755" s="22">
        <f t="shared" ca="1" si="200"/>
        <v>44945</v>
      </c>
      <c r="AK755" s="22">
        <f t="shared" ca="1" si="201"/>
        <v>44883</v>
      </c>
      <c r="AL755" s="22">
        <f t="shared" ca="1" si="202"/>
        <v>44798</v>
      </c>
    </row>
    <row r="756" spans="4:38" x14ac:dyDescent="0.25">
      <c r="D756" s="6">
        <f ca="1"/>
        <v>44972</v>
      </c>
      <c r="E756" s="28" cm="1">
        <f t="array" aca="1" ref="E756" ca="1">_xll.FDS($E$7,"P_PRICE("&amp;D756&amp;",0,D,D)")</f>
        <v>48.18</v>
      </c>
      <c r="F756" s="29" cm="1">
        <f t="array" aca="1" ref="F756" ca="1">_xll.FDS($E$7,"P_BETA_LOCIDX("&amp;$AG756&amp;","&amp;$AL756&amp;",,"""&amp;$E$9&amp;""")")</f>
        <v>1.2109053000000001</v>
      </c>
      <c r="G756" s="30">
        <f t="shared" ca="1" si="188"/>
        <v>1.7671304412499339E-2</v>
      </c>
      <c r="H756" s="30">
        <f t="shared" ca="1" si="188"/>
        <v>-5.6401632010768879E-3</v>
      </c>
      <c r="I756" s="30">
        <f t="shared" ca="1" si="188"/>
        <v>9.9529297814773821E-3</v>
      </c>
      <c r="J756" s="30">
        <f t="shared" ca="1" si="188"/>
        <v>0.17275084865410004</v>
      </c>
      <c r="K756" s="30">
        <f t="shared" ca="1" si="189"/>
        <v>8.7453977604875204E-3</v>
      </c>
      <c r="L756" s="30">
        <f t="shared" ca="1" si="189"/>
        <v>8.3456782895265161E-3</v>
      </c>
      <c r="M756" s="30">
        <f t="shared" ca="1" si="189"/>
        <v>6.7417374333012814E-2</v>
      </c>
      <c r="N756" s="30">
        <f t="shared" ca="1" si="189"/>
        <v>6.1684201307467899E-2</v>
      </c>
      <c r="O756" s="30">
        <f t="shared" ca="1" si="190"/>
        <v>2.6416702172986861E-2</v>
      </c>
      <c r="P756" s="30">
        <f t="shared" ca="1" si="191"/>
        <v>2.7055150884496282E-3</v>
      </c>
      <c r="Q756" s="30">
        <f t="shared" ca="1" si="192"/>
        <v>7.7370304114490196E-2</v>
      </c>
      <c r="R756" s="30">
        <f t="shared" ca="1" si="193"/>
        <v>0.23443504996156794</v>
      </c>
      <c r="S756" s="9" cm="1">
        <f t="array" aca="1" ref="S756" ca="1">_xll.FDS($E$7,"P_PRICE("&amp;AG756&amp;",0,D,D)")</f>
        <v>48.18</v>
      </c>
      <c r="T756" s="9" cm="1">
        <f t="array" aca="1" ref="T756" ca="1">_xll.FDS($E$7,"P_PRICE("&amp;AH756&amp;",0,D,D)")</f>
        <v>46.94</v>
      </c>
      <c r="U756" s="9" cm="1">
        <f t="array" aca="1" ref="U756" ca="1">_xll.FDS($E$7,"P_PRICE("&amp;AI756&amp;",0,D,D)")</f>
        <v>48.05</v>
      </c>
      <c r="V756" s="9" cm="1">
        <f t="array" aca="1" ref="V756" ca="1">_xll.FDS($E$7,"P_PRICE("&amp;AJ756&amp;",0,D,D)")</f>
        <v>44.72</v>
      </c>
      <c r="W756" s="9" cm="1">
        <f t="array" aca="1" ref="W756" ca="1">_xll.FDS($E$7,"P_PRICE("&amp;AK756&amp;",0,D,D)")</f>
        <v>39.03</v>
      </c>
      <c r="X756" s="24">
        <f t="shared" ca="1" si="194"/>
        <v>7.2221979377640189E-3</v>
      </c>
      <c r="Y756" s="24">
        <f t="shared" ca="1" si="195"/>
        <v>6.8920982421387667E-3</v>
      </c>
      <c r="Z756" s="24">
        <f t="shared" ca="1" si="196"/>
        <v>5.5675183132002815E-2</v>
      </c>
      <c r="AA756" s="24">
        <f t="shared" ca="1" si="197"/>
        <v>5.0940565961242301E-2</v>
      </c>
      <c r="AB756" s="9" cm="1">
        <f t="array" aca="1" ref="AB756" ca="1">_xll.FDS($E$9,"P_PRICE("&amp;AG756&amp;",0,D,D)")</f>
        <v>4147.6000000000004</v>
      </c>
      <c r="AC756" s="9" cm="1">
        <f t="array" aca="1" ref="AC756" ca="1">_xll.FDS($E$9,"P_PRICE("&amp;AH756&amp;",0,D,D)")</f>
        <v>4117.8599999999997</v>
      </c>
      <c r="AD756" s="9" cm="1">
        <f t="array" aca="1" ref="AD756" ca="1">_xll.FDS($E$9,"P_PRICE("&amp;AI756&amp;",0,D,D)")</f>
        <v>4119.21</v>
      </c>
      <c r="AE756" s="9" cm="1">
        <f t="array" aca="1" ref="AE756" ca="1">_xll.FDS($E$9,"P_PRICE("&amp;AJ756&amp;",0,D,D)")</f>
        <v>3928.86</v>
      </c>
      <c r="AF756" s="9" cm="1">
        <f t="array" aca="1" ref="AF756" ca="1">_xll.FDS($E$9,"P_PRICE("&amp;AK756&amp;",0,D,D)")</f>
        <v>3946.56</v>
      </c>
      <c r="AG756" s="20">
        <f t="shared" ca="1" si="203"/>
        <v>44972</v>
      </c>
      <c r="AH756" s="22">
        <f t="shared" ca="1" si="198"/>
        <v>44965</v>
      </c>
      <c r="AI756" s="22">
        <f t="shared" ca="1" si="199"/>
        <v>44958</v>
      </c>
      <c r="AJ756" s="22">
        <f t="shared" ca="1" si="200"/>
        <v>44944</v>
      </c>
      <c r="AK756" s="22">
        <f t="shared" ca="1" si="201"/>
        <v>44882</v>
      </c>
      <c r="AL756" s="22">
        <f t="shared" ca="1" si="202"/>
        <v>44797</v>
      </c>
    </row>
    <row r="757" spans="4:38" x14ac:dyDescent="0.25">
      <c r="D757" s="6">
        <f ca="1"/>
        <v>44971</v>
      </c>
      <c r="E757" s="28" cm="1">
        <f t="array" aca="1" ref="E757" ca="1">_xll.FDS($E$7,"P_PRICE("&amp;D757&amp;",0,D,D)")</f>
        <v>47.22</v>
      </c>
      <c r="F757" s="29" cm="1">
        <f t="array" aca="1" ref="F757" ca="1">_xll.FDS($E$7,"P_BETA_LOCIDX("&amp;$AG757&amp;","&amp;$AL757&amp;",,"""&amp;$E$9&amp;""")")</f>
        <v>1.2084790000000001</v>
      </c>
      <c r="G757" s="30">
        <f t="shared" ca="1" si="188"/>
        <v>6.8194154108090037E-3</v>
      </c>
      <c r="H757" s="30">
        <f t="shared" ca="1" si="188"/>
        <v>-1.4673582142829347E-2</v>
      </c>
      <c r="I757" s="30">
        <f t="shared" ca="1" si="188"/>
        <v>-2.2606889434168415E-3</v>
      </c>
      <c r="J757" s="30">
        <f t="shared" ca="1" si="188"/>
        <v>0.15045618774598757</v>
      </c>
      <c r="K757" s="30">
        <f t="shared" ca="1" si="189"/>
        <v>-8.0884509438039591E-3</v>
      </c>
      <c r="L757" s="30">
        <f t="shared" ca="1" si="189"/>
        <v>1.7647243994995867E-2</v>
      </c>
      <c r="M757" s="30">
        <f t="shared" ca="1" si="189"/>
        <v>4.3954931167109842E-2</v>
      </c>
      <c r="N757" s="30">
        <f t="shared" ca="1" si="189"/>
        <v>5.4135648988706153E-2</v>
      </c>
      <c r="O757" s="30">
        <f t="shared" ca="1" si="190"/>
        <v>-1.2690355329949554E-3</v>
      </c>
      <c r="P757" s="30">
        <f t="shared" ca="1" si="191"/>
        <v>2.9736618521665203E-3</v>
      </c>
      <c r="Q757" s="30">
        <f t="shared" ca="1" si="192"/>
        <v>4.1694242223693001E-2</v>
      </c>
      <c r="R757" s="30">
        <f t="shared" ca="1" si="193"/>
        <v>0.20459183673469372</v>
      </c>
      <c r="S757" s="9" cm="1">
        <f t="array" aca="1" ref="S757" ca="1">_xll.FDS($E$7,"P_PRICE("&amp;AG757&amp;",0,D,D)")</f>
        <v>47.22</v>
      </c>
      <c r="T757" s="9" cm="1">
        <f t="array" aca="1" ref="T757" ca="1">_xll.FDS($E$7,"P_PRICE("&amp;AH757&amp;",0,D,D)")</f>
        <v>47.28</v>
      </c>
      <c r="U757" s="9" cm="1">
        <f t="array" aca="1" ref="U757" ca="1">_xll.FDS($E$7,"P_PRICE("&amp;AI757&amp;",0,D,D)")</f>
        <v>47.08</v>
      </c>
      <c r="V757" s="9" cm="1">
        <f t="array" aca="1" ref="V757" ca="1">_xll.FDS($E$7,"P_PRICE("&amp;AJ757&amp;",0,D,D)")</f>
        <v>45.33</v>
      </c>
      <c r="W757" s="9" cm="1">
        <f t="array" aca="1" ref="W757" ca="1">_xll.FDS($E$7,"P_PRICE("&amp;AK757&amp;",0,D,D)")</f>
        <v>39.200000000000003</v>
      </c>
      <c r="X757" s="24">
        <f t="shared" ca="1" si="194"/>
        <v>-6.6930835734869687E-3</v>
      </c>
      <c r="Y757" s="24">
        <f t="shared" ca="1" si="195"/>
        <v>1.4602855320610342E-2</v>
      </c>
      <c r="Z757" s="24">
        <f t="shared" ca="1" si="196"/>
        <v>3.6372110038411787E-2</v>
      </c>
      <c r="AA757" s="24">
        <f t="shared" ca="1" si="197"/>
        <v>4.4796516107194373E-2</v>
      </c>
      <c r="AB757" s="9" cm="1">
        <f t="array" aca="1" ref="AB757" ca="1">_xll.FDS($E$9,"P_PRICE("&amp;AG757&amp;",0,D,D)")</f>
        <v>4136.13</v>
      </c>
      <c r="AC757" s="9" cm="1">
        <f t="array" aca="1" ref="AC757" ca="1">_xll.FDS($E$9,"P_PRICE("&amp;AH757&amp;",0,D,D)")</f>
        <v>4164</v>
      </c>
      <c r="AD757" s="9" cm="1">
        <f t="array" aca="1" ref="AD757" ca="1">_xll.FDS($E$9,"P_PRICE("&amp;AI757&amp;",0,D,D)")</f>
        <v>4076.6</v>
      </c>
      <c r="AE757" s="9" cm="1">
        <f t="array" aca="1" ref="AE757" ca="1">_xll.FDS($E$9,"P_PRICE("&amp;AJ757&amp;",0,D,D)")</f>
        <v>3990.97</v>
      </c>
      <c r="AF757" s="9" cm="1">
        <f t="array" aca="1" ref="AF757" ca="1">_xll.FDS($E$9,"P_PRICE("&amp;AK757&amp;",0,D,D)")</f>
        <v>3958.79</v>
      </c>
      <c r="AG757" s="20">
        <f t="shared" ca="1" si="203"/>
        <v>44971</v>
      </c>
      <c r="AH757" s="22">
        <f t="shared" ca="1" si="198"/>
        <v>44964</v>
      </c>
      <c r="AI757" s="22">
        <f t="shared" ca="1" si="199"/>
        <v>44957</v>
      </c>
      <c r="AJ757" s="22">
        <f t="shared" ca="1" si="200"/>
        <v>44943</v>
      </c>
      <c r="AK757" s="22">
        <f t="shared" ca="1" si="201"/>
        <v>44881</v>
      </c>
      <c r="AL757" s="22">
        <f t="shared" ca="1" si="202"/>
        <v>44796</v>
      </c>
    </row>
    <row r="758" spans="4:38" x14ac:dyDescent="0.25">
      <c r="D758" s="6">
        <f ca="1"/>
        <v>44970</v>
      </c>
      <c r="E758" s="28" cm="1">
        <f t="array" aca="1" ref="E758" ca="1">_xll.FDS($E$7,"P_PRICE("&amp;D758&amp;",0,D,D)")</f>
        <v>47.24</v>
      </c>
      <c r="F758" s="29" cm="1">
        <f t="array" aca="1" ref="F758" ca="1">_xll.FDS($E$7,"P_BETA_LOCIDX("&amp;$AG758&amp;","&amp;$AL758&amp;",,"""&amp;$E$9&amp;""")")</f>
        <v>1.2150536999999999</v>
      </c>
      <c r="G758" s="30">
        <f t="shared" ca="1" si="188"/>
        <v>7.0762526646083752E-3</v>
      </c>
      <c r="H758" s="30">
        <f t="shared" ca="1" si="188"/>
        <v>-1.4739823969098335E-2</v>
      </c>
      <c r="I758" s="30">
        <f t="shared" ca="1" si="188"/>
        <v>-6.9326904098860262E-3</v>
      </c>
      <c r="J758" s="30">
        <f t="shared" ca="1" si="188"/>
        <v>0.14501786722598919</v>
      </c>
      <c r="K758" s="30">
        <f t="shared" ca="1" si="189"/>
        <v>7.7465185491403781E-3</v>
      </c>
      <c r="L758" s="30">
        <f t="shared" ca="1" si="189"/>
        <v>3.61452293745037E-2</v>
      </c>
      <c r="M758" s="30">
        <f t="shared" ca="1" si="189"/>
        <v>4.1989657982190946E-2</v>
      </c>
      <c r="N758" s="30">
        <f t="shared" ca="1" si="189"/>
        <v>4.4307409712580834E-2</v>
      </c>
      <c r="O758" s="30">
        <f t="shared" ca="1" si="190"/>
        <v>1.4822771213748753E-2</v>
      </c>
      <c r="P758" s="30">
        <f t="shared" ca="1" si="191"/>
        <v>2.1405405405405364E-2</v>
      </c>
      <c r="Q758" s="30">
        <f t="shared" ca="1" si="192"/>
        <v>3.505696757230492E-2</v>
      </c>
      <c r="R758" s="30">
        <f t="shared" ca="1" si="193"/>
        <v>0.18932527693857004</v>
      </c>
      <c r="S758" s="9" cm="1">
        <f t="array" aca="1" ref="S758" ca="1">_xll.FDS($E$7,"P_PRICE("&amp;AG758&amp;",0,D,D)")</f>
        <v>47.24</v>
      </c>
      <c r="T758" s="9" cm="1">
        <f t="array" aca="1" ref="T758" ca="1">_xll.FDS($E$7,"P_PRICE("&amp;AH758&amp;",0,D,D)")</f>
        <v>46.55</v>
      </c>
      <c r="U758" s="9" cm="1">
        <f t="array" aca="1" ref="U758" ca="1">_xll.FDS($E$7,"P_PRICE("&amp;AI758&amp;",0,D,D)")</f>
        <v>46.25</v>
      </c>
      <c r="V758" s="9" cm="1">
        <f t="array" aca="1" ref="V758" ca="1">_xll.FDS($E$7,"P_PRICE("&amp;AJ758&amp;",0,D,D)")</f>
        <v>45.64</v>
      </c>
      <c r="W758" s="9" cm="1">
        <f t="array" aca="1" ref="W758" ca="1">_xll.FDS($E$7,"P_PRICE("&amp;AK758&amp;",0,D,D)")</f>
        <v>39.72</v>
      </c>
      <c r="X758" s="24">
        <f t="shared" ca="1" si="194"/>
        <v>6.3754536520816973E-3</v>
      </c>
      <c r="Y758" s="24">
        <f t="shared" ca="1" si="195"/>
        <v>2.9747845197709122E-2</v>
      </c>
      <c r="Z758" s="24">
        <f t="shared" ca="1" si="196"/>
        <v>3.4557861913585342E-2</v>
      </c>
      <c r="AA758" s="24">
        <f t="shared" ca="1" si="197"/>
        <v>3.6465392198370195E-2</v>
      </c>
      <c r="AB758" s="9" cm="1">
        <f t="array" aca="1" ref="AB758" ca="1">_xll.FDS($E$9,"P_PRICE("&amp;AG758&amp;",0,D,D)")</f>
        <v>4137.29</v>
      </c>
      <c r="AC758" s="9" cm="1">
        <f t="array" aca="1" ref="AC758" ca="1">_xll.FDS($E$9,"P_PRICE("&amp;AH758&amp;",0,D,D)")</f>
        <v>4111.08</v>
      </c>
      <c r="AD758" s="9" cm="1">
        <f t="array" aca="1" ref="AD758" ca="1">_xll.FDS($E$9,"P_PRICE("&amp;AI758&amp;",0,D,D)")</f>
        <v>4017.77</v>
      </c>
      <c r="AE758" s="9" cm="1">
        <f t="array" aca="1" ref="AE758" ca="1">_xll.FDS($E$9,"P_PRICE("&amp;AJ758&amp;",0,D,D)")</f>
        <v>3999.09</v>
      </c>
      <c r="AF758" s="9" cm="1">
        <f t="array" aca="1" ref="AF758" ca="1">_xll.FDS($E$9,"P_PRICE("&amp;AK758&amp;",0,D,D)")</f>
        <v>3991.73</v>
      </c>
      <c r="AG758" s="20">
        <f t="shared" ca="1" si="203"/>
        <v>44970</v>
      </c>
      <c r="AH758" s="22">
        <f t="shared" ca="1" si="198"/>
        <v>44963</v>
      </c>
      <c r="AI758" s="22">
        <f t="shared" ca="1" si="199"/>
        <v>44956</v>
      </c>
      <c r="AJ758" s="22">
        <f t="shared" ca="1" si="200"/>
        <v>44939</v>
      </c>
      <c r="AK758" s="22">
        <f t="shared" ca="1" si="201"/>
        <v>44880</v>
      </c>
      <c r="AL758" s="22">
        <f t="shared" ca="1" si="202"/>
        <v>44795</v>
      </c>
    </row>
    <row r="759" spans="4:38" x14ac:dyDescent="0.25">
      <c r="D759" s="6">
        <f ca="1"/>
        <v>44967</v>
      </c>
      <c r="E759" s="28" cm="1">
        <f t="array" aca="1" ref="E759" ca="1">_xll.FDS($E$7,"P_PRICE("&amp;D759&amp;",0,D,D)")</f>
        <v>46.27</v>
      </c>
      <c r="F759" s="29" cm="1">
        <f t="array" aca="1" ref="F759" ca="1">_xll.FDS($E$7,"P_BETA_LOCIDX("&amp;$AG759&amp;","&amp;$AL759&amp;",,"""&amp;$E$9&amp;""")")</f>
        <v>1.213911</v>
      </c>
      <c r="G759" s="30">
        <f t="shared" ca="1" si="188"/>
        <v>-1.0334415420800158E-2</v>
      </c>
      <c r="H759" s="30">
        <f t="shared" ca="1" si="188"/>
        <v>-1.0238374199959401E-2</v>
      </c>
      <c r="I759" s="30">
        <f t="shared" ca="1" si="188"/>
        <v>2.6569620887701151E-3</v>
      </c>
      <c r="J759" s="30">
        <f t="shared" ca="1" si="188"/>
        <v>0.13589183781709491</v>
      </c>
      <c r="K759" s="30">
        <f t="shared" ca="1" si="189"/>
        <v>-1.3505247026457168E-2</v>
      </c>
      <c r="L759" s="30">
        <f t="shared" ca="1" si="189"/>
        <v>5.9345222524664594E-3</v>
      </c>
      <c r="M759" s="30">
        <f t="shared" ca="1" si="189"/>
        <v>3.2697703384490268E-2</v>
      </c>
      <c r="N759" s="30">
        <f t="shared" ca="1" si="189"/>
        <v>4.0862994329395545E-2</v>
      </c>
      <c r="O759" s="30">
        <f t="shared" ca="1" si="190"/>
        <v>-2.3839662447257326E-2</v>
      </c>
      <c r="P759" s="30">
        <f t="shared" ca="1" si="191"/>
        <v>-4.3038519474929426E-3</v>
      </c>
      <c r="Q759" s="30">
        <f t="shared" ca="1" si="192"/>
        <v>3.5354665473260383E-2</v>
      </c>
      <c r="R759" s="30">
        <f t="shared" ca="1" si="193"/>
        <v>0.17675483214649046</v>
      </c>
      <c r="S759" s="9" cm="1">
        <f t="array" aca="1" ref="S759" ca="1">_xll.FDS($E$7,"P_PRICE("&amp;AG759&amp;",0,D,D)")</f>
        <v>46.27</v>
      </c>
      <c r="T759" s="9" cm="1">
        <f t="array" aca="1" ref="T759" ca="1">_xll.FDS($E$7,"P_PRICE("&amp;AH759&amp;",0,D,D)")</f>
        <v>47.4</v>
      </c>
      <c r="U759" s="9" cm="1">
        <f t="array" aca="1" ref="U759" ca="1">_xll.FDS($E$7,"P_PRICE("&amp;AI759&amp;",0,D,D)")</f>
        <v>46.47</v>
      </c>
      <c r="V759" s="9" cm="1">
        <f t="array" aca="1" ref="V759" ca="1">_xll.FDS($E$7,"P_PRICE("&amp;AJ759&amp;",0,D,D)")</f>
        <v>44.69</v>
      </c>
      <c r="W759" s="9" cm="1">
        <f t="array" aca="1" ref="W759" ca="1">_xll.FDS($E$7,"P_PRICE("&amp;AK759&amp;",0,D,D)")</f>
        <v>39.32</v>
      </c>
      <c r="X759" s="24">
        <f t="shared" ca="1" si="194"/>
        <v>-1.1125401307391702E-2</v>
      </c>
      <c r="Y759" s="24">
        <f t="shared" ca="1" si="195"/>
        <v>4.8887622341888815E-3</v>
      </c>
      <c r="Z759" s="24">
        <f t="shared" ca="1" si="196"/>
        <v>2.6935832515308178E-2</v>
      </c>
      <c r="AA759" s="24">
        <f t="shared" ca="1" si="197"/>
        <v>3.3662265462126584E-2</v>
      </c>
      <c r="AB759" s="9" cm="1">
        <f t="array" aca="1" ref="AB759" ca="1">_xll.FDS($E$9,"P_PRICE("&amp;AG759&amp;",0,D,D)")</f>
        <v>4090.46</v>
      </c>
      <c r="AC759" s="9" cm="1">
        <f t="array" aca="1" ref="AC759" ca="1">_xll.FDS($E$9,"P_PRICE("&amp;AH759&amp;",0,D,D)")</f>
        <v>4136.4799999999996</v>
      </c>
      <c r="AD759" s="9" cm="1">
        <f t="array" aca="1" ref="AD759" ca="1">_xll.FDS($E$9,"P_PRICE("&amp;AI759&amp;",0,D,D)")</f>
        <v>4070.56</v>
      </c>
      <c r="AE759" s="9" cm="1">
        <f t="array" aca="1" ref="AE759" ca="1">_xll.FDS($E$9,"P_PRICE("&amp;AJ759&amp;",0,D,D)")</f>
        <v>3983.17</v>
      </c>
      <c r="AF759" s="9" cm="1">
        <f t="array" aca="1" ref="AF759" ca="1">_xll.FDS($E$9,"P_PRICE("&amp;AK759&amp;",0,D,D)")</f>
        <v>3957.25</v>
      </c>
      <c r="AG759" s="20">
        <f t="shared" ca="1" si="203"/>
        <v>44967</v>
      </c>
      <c r="AH759" s="22">
        <f t="shared" ca="1" si="198"/>
        <v>44960</v>
      </c>
      <c r="AI759" s="22">
        <f t="shared" ca="1" si="199"/>
        <v>44953</v>
      </c>
      <c r="AJ759" s="22">
        <f t="shared" ca="1" si="200"/>
        <v>44938</v>
      </c>
      <c r="AK759" s="22">
        <f t="shared" ca="1" si="201"/>
        <v>44879</v>
      </c>
      <c r="AL759" s="22">
        <f t="shared" ca="1" si="202"/>
        <v>44792</v>
      </c>
    </row>
    <row r="760" spans="4:38" x14ac:dyDescent="0.25">
      <c r="D760" s="6">
        <f ca="1"/>
        <v>44966</v>
      </c>
      <c r="E760" s="28" cm="1">
        <f t="array" aca="1" ref="E760" ca="1">_xll.FDS($E$7,"P_PRICE("&amp;D760&amp;",0,D,D)")</f>
        <v>46.83</v>
      </c>
      <c r="F760" s="29" cm="1">
        <f t="array" aca="1" ref="F760" ca="1">_xll.FDS($E$7,"P_BETA_LOCIDX("&amp;$AG760&amp;","&amp;$AL760&amp;",,"""&amp;$E$9&amp;""")")</f>
        <v>1.2155098</v>
      </c>
      <c r="G760" s="30">
        <f t="shared" ca="1" si="188"/>
        <v>-8.4393440568767339E-3</v>
      </c>
      <c r="H760" s="30">
        <f t="shared" ca="1" si="188"/>
        <v>5.7954657380320986E-3</v>
      </c>
      <c r="I760" s="30">
        <f t="shared" ca="1" si="188"/>
        <v>1.7625645508419885E-2</v>
      </c>
      <c r="J760" s="30">
        <f t="shared" ca="1" si="188"/>
        <v>0.13449625210826802</v>
      </c>
      <c r="K760" s="30">
        <f t="shared" ca="1" si="189"/>
        <v>-2.857484471548611E-2</v>
      </c>
      <c r="L760" s="30">
        <f t="shared" ca="1" si="189"/>
        <v>6.3074086946455585E-3</v>
      </c>
      <c r="M760" s="30">
        <f t="shared" ca="1" si="189"/>
        <v>3.4261146944410237E-2</v>
      </c>
      <c r="N760" s="30">
        <f t="shared" ca="1" si="189"/>
        <v>2.6962081225065253E-2</v>
      </c>
      <c r="O760" s="30">
        <f t="shared" ca="1" si="190"/>
        <v>-3.7014188772362844E-2</v>
      </c>
      <c r="P760" s="30">
        <f t="shared" ca="1" si="191"/>
        <v>1.2102874432677657E-2</v>
      </c>
      <c r="Q760" s="30">
        <f t="shared" ca="1" si="192"/>
        <v>5.1886792452830122E-2</v>
      </c>
      <c r="R760" s="30">
        <f t="shared" ca="1" si="193"/>
        <v>0.16145833333333326</v>
      </c>
      <c r="S760" s="9" cm="1">
        <f t="array" aca="1" ref="S760" ca="1">_xll.FDS($E$7,"P_PRICE("&amp;AG760&amp;",0,D,D)")</f>
        <v>46.83</v>
      </c>
      <c r="T760" s="9" cm="1">
        <f t="array" aca="1" ref="T760" ca="1">_xll.FDS($E$7,"P_PRICE("&amp;AH760&amp;",0,D,D)")</f>
        <v>48.63</v>
      </c>
      <c r="U760" s="9" cm="1">
        <f t="array" aca="1" ref="U760" ca="1">_xll.FDS($E$7,"P_PRICE("&amp;AI760&amp;",0,D,D)")</f>
        <v>46.27</v>
      </c>
      <c r="V760" s="9" cm="1">
        <f t="array" aca="1" ref="V760" ca="1">_xll.FDS($E$7,"P_PRICE("&amp;AJ760&amp;",0,D,D)")</f>
        <v>44.52</v>
      </c>
      <c r="W760" s="9" cm="1">
        <f t="array" aca="1" ref="W760" ca="1">_xll.FDS($E$7,"P_PRICE("&amp;AK760&amp;",0,D,D)")</f>
        <v>40.32</v>
      </c>
      <c r="X760" s="24">
        <f t="shared" ca="1" si="194"/>
        <v>-2.3508526805366858E-2</v>
      </c>
      <c r="Y760" s="24">
        <f t="shared" ca="1" si="195"/>
        <v>5.1891055873392045E-3</v>
      </c>
      <c r="Z760" s="24">
        <f t="shared" ca="1" si="196"/>
        <v>2.8186648058625474E-2</v>
      </c>
      <c r="AA760" s="24">
        <f t="shared" ca="1" si="197"/>
        <v>2.2181706165647741E-2</v>
      </c>
      <c r="AB760" s="9" cm="1">
        <f t="array" aca="1" ref="AB760" ca="1">_xll.FDS($E$9,"P_PRICE("&amp;AG760&amp;",0,D,D)")</f>
        <v>4081.5</v>
      </c>
      <c r="AC760" s="9" cm="1">
        <f t="array" aca="1" ref="AC760" ca="1">_xll.FDS($E$9,"P_PRICE("&amp;AH760&amp;",0,D,D)")</f>
        <v>4179.76</v>
      </c>
      <c r="AD760" s="9" cm="1">
        <f t="array" aca="1" ref="AD760" ca="1">_xll.FDS($E$9,"P_PRICE("&amp;AI760&amp;",0,D,D)")</f>
        <v>4060.43</v>
      </c>
      <c r="AE760" s="9" cm="1">
        <f t="array" aca="1" ref="AE760" ca="1">_xll.FDS($E$9,"P_PRICE("&amp;AJ760&amp;",0,D,D)")</f>
        <v>3969.61</v>
      </c>
      <c r="AF760" s="9" cm="1">
        <f t="array" aca="1" ref="AF760" ca="1">_xll.FDS($E$9,"P_PRICE("&amp;AK760&amp;",0,D,D)")</f>
        <v>3992.93</v>
      </c>
      <c r="AG760" s="20">
        <f t="shared" ca="1" si="203"/>
        <v>44966</v>
      </c>
      <c r="AH760" s="22">
        <f t="shared" ca="1" si="198"/>
        <v>44959</v>
      </c>
      <c r="AI760" s="22">
        <f t="shared" ca="1" si="199"/>
        <v>44952</v>
      </c>
      <c r="AJ760" s="22">
        <f t="shared" ca="1" si="200"/>
        <v>44937</v>
      </c>
      <c r="AK760" s="22">
        <f t="shared" ca="1" si="201"/>
        <v>44876</v>
      </c>
      <c r="AL760" s="22">
        <f t="shared" ca="1" si="202"/>
        <v>44791</v>
      </c>
    </row>
    <row r="761" spans="4:38" x14ac:dyDescent="0.25">
      <c r="D761" s="6">
        <f ca="1"/>
        <v>44965</v>
      </c>
      <c r="E761" s="28" cm="1">
        <f t="array" aca="1" ref="E761" ca="1">_xll.FDS($E$7,"P_PRICE("&amp;D761&amp;",0,D,D)")</f>
        <v>46.94</v>
      </c>
      <c r="F761" s="29" cm="1">
        <f t="array" aca="1" ref="F761" ca="1">_xll.FDS($E$7,"P_BETA_LOCIDX("&amp;$AG761&amp;","&amp;$AL761&amp;",,"""&amp;$E$9&amp;""")")</f>
        <v>1.2209847</v>
      </c>
      <c r="G761" s="30">
        <f t="shared" ca="1" si="188"/>
        <v>-2.2700779857277073E-2</v>
      </c>
      <c r="H761" s="30">
        <f t="shared" ca="1" si="188"/>
        <v>-3.9911493456745994E-3</v>
      </c>
      <c r="I761" s="30">
        <f t="shared" ca="1" si="188"/>
        <v>1.473147989697296E-2</v>
      </c>
      <c r="J761" s="30">
        <f t="shared" ca="1" si="188"/>
        <v>0.15005993979005594</v>
      </c>
      <c r="K761" s="30">
        <f t="shared" ca="1" si="189"/>
        <v>-4.0015666717659059E-4</v>
      </c>
      <c r="L761" s="30">
        <f t="shared" ca="1" si="189"/>
        <v>3.0899922043115008E-2</v>
      </c>
      <c r="M761" s="30">
        <f t="shared" ca="1" si="189"/>
        <v>6.1874024690182911E-2</v>
      </c>
      <c r="N761" s="30">
        <f t="shared" ca="1" si="189"/>
        <v>4.9837810721191436E-2</v>
      </c>
      <c r="O761" s="30">
        <f t="shared" ca="1" si="190"/>
        <v>-2.3100936524453664E-2</v>
      </c>
      <c r="P761" s="30">
        <f t="shared" ca="1" si="191"/>
        <v>2.6908772697440408E-2</v>
      </c>
      <c r="Q761" s="30">
        <f t="shared" ca="1" si="192"/>
        <v>7.660550458715587E-2</v>
      </c>
      <c r="R761" s="30">
        <f t="shared" ca="1" si="193"/>
        <v>0.19989775051124736</v>
      </c>
      <c r="S761" s="9" cm="1">
        <f t="array" aca="1" ref="S761" ca="1">_xll.FDS($E$7,"P_PRICE("&amp;AG761&amp;",0,D,D)")</f>
        <v>46.94</v>
      </c>
      <c r="T761" s="9" cm="1">
        <f t="array" aca="1" ref="T761" ca="1">_xll.FDS($E$7,"P_PRICE("&amp;AH761&amp;",0,D,D)")</f>
        <v>48.05</v>
      </c>
      <c r="U761" s="9" cm="1">
        <f t="array" aca="1" ref="U761" ca="1">_xll.FDS($E$7,"P_PRICE("&amp;AI761&amp;",0,D,D)")</f>
        <v>45.71</v>
      </c>
      <c r="V761" s="9" cm="1">
        <f t="array" aca="1" ref="V761" ca="1">_xll.FDS($E$7,"P_PRICE("&amp;AJ761&amp;",0,D,D)")</f>
        <v>43.6</v>
      </c>
      <c r="W761" s="9" cm="1">
        <f t="array" aca="1" ref="W761" ca="1">_xll.FDS($E$7,"P_PRICE("&amp;AK761&amp;",0,D,D)")</f>
        <v>39.119999999999997</v>
      </c>
      <c r="X761" s="24">
        <f t="shared" ca="1" si="194"/>
        <v>-3.2773274487107873E-4</v>
      </c>
      <c r="Y761" s="24">
        <f t="shared" ca="1" si="195"/>
        <v>2.5307378579858542E-2</v>
      </c>
      <c r="Z761" s="24">
        <f t="shared" ca="1" si="196"/>
        <v>5.067551189640862E-2</v>
      </c>
      <c r="AA761" s="24">
        <f t="shared" ca="1" si="197"/>
        <v>4.0817719272969955E-2</v>
      </c>
      <c r="AB761" s="9" cm="1">
        <f t="array" aca="1" ref="AB761" ca="1">_xll.FDS($E$9,"P_PRICE("&amp;AG761&amp;",0,D,D)")</f>
        <v>4117.8599999999997</v>
      </c>
      <c r="AC761" s="9" cm="1">
        <f t="array" aca="1" ref="AC761" ca="1">_xll.FDS($E$9,"P_PRICE("&amp;AH761&amp;",0,D,D)")</f>
        <v>4119.21</v>
      </c>
      <c r="AD761" s="9" cm="1">
        <f t="array" aca="1" ref="AD761" ca="1">_xll.FDS($E$9,"P_PRICE("&amp;AI761&amp;",0,D,D)")</f>
        <v>4016.22</v>
      </c>
      <c r="AE761" s="9" cm="1">
        <f t="array" aca="1" ref="AE761" ca="1">_xll.FDS($E$9,"P_PRICE("&amp;AJ761&amp;",0,D,D)")</f>
        <v>3919.25</v>
      </c>
      <c r="AF761" s="9" cm="1">
        <f t="array" aca="1" ref="AF761" ca="1">_xll.FDS($E$9,"P_PRICE("&amp;AK761&amp;",0,D,D)")</f>
        <v>3956.37</v>
      </c>
      <c r="AG761" s="20">
        <f t="shared" ca="1" si="203"/>
        <v>44965</v>
      </c>
      <c r="AH761" s="22">
        <f t="shared" ca="1" si="198"/>
        <v>44958</v>
      </c>
      <c r="AI761" s="22">
        <f t="shared" ca="1" si="199"/>
        <v>44951</v>
      </c>
      <c r="AJ761" s="22">
        <f t="shared" ca="1" si="200"/>
        <v>44936</v>
      </c>
      <c r="AK761" s="22">
        <f t="shared" ca="1" si="201"/>
        <v>44875</v>
      </c>
      <c r="AL761" s="22">
        <f t="shared" ca="1" si="202"/>
        <v>44790</v>
      </c>
    </row>
    <row r="762" spans="4:38" x14ac:dyDescent="0.25">
      <c r="D762" s="6">
        <f ca="1"/>
        <v>44964</v>
      </c>
      <c r="E762" s="28" cm="1">
        <f t="array" aca="1" ref="E762" ca="1">_xll.FDS($E$7,"P_PRICE("&amp;D762&amp;",0,D,D)")</f>
        <v>47.28</v>
      </c>
      <c r="F762" s="29" cm="1">
        <f t="array" aca="1" ref="F762" ca="1">_xll.FDS($E$7,"P_BETA_LOCIDX("&amp;$AG762&amp;","&amp;$AL762&amp;",,"""&amp;$E$9&amp;""")")</f>
        <v>1.2235464</v>
      </c>
      <c r="G762" s="30">
        <f t="shared" ca="1" si="188"/>
        <v>-2.1984054935645914E-2</v>
      </c>
      <c r="H762" s="30">
        <f t="shared" ca="1" si="188"/>
        <v>3.5462054090580619E-3</v>
      </c>
      <c r="I762" s="30">
        <f t="shared" ca="1" si="188"/>
        <v>-3.3098198240216758E-3</v>
      </c>
      <c r="J762" s="30">
        <f t="shared" ca="1" si="188"/>
        <v>0.17264790157149998</v>
      </c>
      <c r="K762" s="30">
        <f t="shared" ca="1" si="189"/>
        <v>2.6232143295883959E-2</v>
      </c>
      <c r="L762" s="30">
        <f t="shared" ca="1" si="189"/>
        <v>4.4790823415775644E-2</v>
      </c>
      <c r="M762" s="30">
        <f t="shared" ca="1" si="189"/>
        <v>8.5479652737732059E-2</v>
      </c>
      <c r="N762" s="30">
        <f t="shared" ca="1" si="189"/>
        <v>0.13559780955190895</v>
      </c>
      <c r="O762" s="30">
        <f t="shared" ca="1" si="190"/>
        <v>4.2480883602380448E-3</v>
      </c>
      <c r="P762" s="30">
        <f t="shared" ca="1" si="191"/>
        <v>4.8337028824833705E-2</v>
      </c>
      <c r="Q762" s="30">
        <f t="shared" ca="1" si="192"/>
        <v>8.2169832913710383E-2</v>
      </c>
      <c r="R762" s="30">
        <f t="shared" ca="1" si="193"/>
        <v>0.30824571112340893</v>
      </c>
      <c r="S762" s="9" cm="1">
        <f t="array" aca="1" ref="S762" ca="1">_xll.FDS($E$7,"P_PRICE("&amp;AG762&amp;",0,D,D)")</f>
        <v>47.28</v>
      </c>
      <c r="T762" s="9" cm="1">
        <f t="array" aca="1" ref="T762" ca="1">_xll.FDS($E$7,"P_PRICE("&amp;AH762&amp;",0,D,D)")</f>
        <v>47.08</v>
      </c>
      <c r="U762" s="9" cm="1">
        <f t="array" aca="1" ref="U762" ca="1">_xll.FDS($E$7,"P_PRICE("&amp;AI762&amp;",0,D,D)")</f>
        <v>45.1</v>
      </c>
      <c r="V762" s="9" cm="1">
        <f t="array" aca="1" ref="V762" ca="1">_xll.FDS($E$7,"P_PRICE("&amp;AJ762&amp;",0,D,D)")</f>
        <v>43.69</v>
      </c>
      <c r="W762" s="9" cm="1">
        <f t="array" aca="1" ref="W762" ca="1">_xll.FDS($E$7,"P_PRICE("&amp;AK762&amp;",0,D,D)")</f>
        <v>36.14</v>
      </c>
      <c r="X762" s="24">
        <f t="shared" ca="1" si="194"/>
        <v>2.1439434823137038E-2</v>
      </c>
      <c r="Y762" s="24">
        <f t="shared" ca="1" si="195"/>
        <v>3.6607376243169565E-2</v>
      </c>
      <c r="Z762" s="24">
        <f t="shared" ca="1" si="196"/>
        <v>6.9862207708454749E-2</v>
      </c>
      <c r="AA762" s="24">
        <f t="shared" ca="1" si="197"/>
        <v>0.11082359406386955</v>
      </c>
      <c r="AB762" s="9" cm="1">
        <f t="array" aca="1" ref="AB762" ca="1">_xll.FDS($E$9,"P_PRICE("&amp;AG762&amp;",0,D,D)")</f>
        <v>4164</v>
      </c>
      <c r="AC762" s="9" cm="1">
        <f t="array" aca="1" ref="AC762" ca="1">_xll.FDS($E$9,"P_PRICE("&amp;AH762&amp;",0,D,D)")</f>
        <v>4076.6</v>
      </c>
      <c r="AD762" s="9" cm="1">
        <f t="array" aca="1" ref="AD762" ca="1">_xll.FDS($E$9,"P_PRICE("&amp;AI762&amp;",0,D,D)")</f>
        <v>4016.95</v>
      </c>
      <c r="AE762" s="9" cm="1">
        <f t="array" aca="1" ref="AE762" ca="1">_xll.FDS($E$9,"P_PRICE("&amp;AJ762&amp;",0,D,D)")</f>
        <v>3892.09</v>
      </c>
      <c r="AF762" s="9" cm="1">
        <f t="array" aca="1" ref="AF762" ca="1">_xll.FDS($E$9,"P_PRICE("&amp;AK762&amp;",0,D,D)")</f>
        <v>3748.57</v>
      </c>
      <c r="AG762" s="20">
        <f t="shared" ca="1" si="203"/>
        <v>44964</v>
      </c>
      <c r="AH762" s="22">
        <f t="shared" ca="1" si="198"/>
        <v>44957</v>
      </c>
      <c r="AI762" s="22">
        <f t="shared" ca="1" si="199"/>
        <v>44950</v>
      </c>
      <c r="AJ762" s="22">
        <f t="shared" ca="1" si="200"/>
        <v>44935</v>
      </c>
      <c r="AK762" s="22">
        <f t="shared" ca="1" si="201"/>
        <v>44874</v>
      </c>
      <c r="AL762" s="22">
        <f t="shared" ca="1" si="202"/>
        <v>44789</v>
      </c>
    </row>
    <row r="763" spans="4:38" x14ac:dyDescent="0.25">
      <c r="D763" s="6">
        <f ca="1"/>
        <v>44963</v>
      </c>
      <c r="E763" s="28" cm="1">
        <f t="array" aca="1" ref="E763" ca="1">_xll.FDS($E$7,"P_PRICE("&amp;D763&amp;",0,D,D)")</f>
        <v>46.55</v>
      </c>
      <c r="F763" s="29" cm="1">
        <f t="array" aca="1" ref="F763" ca="1">_xll.FDS($E$7,"P_BETA_LOCIDX("&amp;$AG763&amp;","&amp;$AL763&amp;",,"""&amp;$E$9&amp;""")")</f>
        <v>1.2231069000000001</v>
      </c>
      <c r="G763" s="30">
        <f t="shared" ca="1" si="188"/>
        <v>-2.1919346808848977E-2</v>
      </c>
      <c r="H763" s="30">
        <f t="shared" ca="1" si="188"/>
        <v>2.769959171821483E-4</v>
      </c>
      <c r="I763" s="30">
        <f t="shared" ca="1" si="188"/>
        <v>-6.5584897105562534E-4</v>
      </c>
      <c r="J763" s="30">
        <f t="shared" ca="1" si="188"/>
        <v>0.17144876375927379</v>
      </c>
      <c r="K763" s="30">
        <f t="shared" ca="1" si="189"/>
        <v>2.8405833295335397E-2</v>
      </c>
      <c r="L763" s="30">
        <f t="shared" ca="1" si="189"/>
        <v>2.7770707263029843E-2</v>
      </c>
      <c r="M763" s="30">
        <f t="shared" ca="1" si="189"/>
        <v>6.7826871437813949E-2</v>
      </c>
      <c r="N763" s="30">
        <f t="shared" ca="1" si="189"/>
        <v>9.0410818783420582E-2</v>
      </c>
      <c r="O763" s="30">
        <f t="shared" ca="1" si="190"/>
        <v>6.4864864864864202E-3</v>
      </c>
      <c r="P763" s="30">
        <f t="shared" ca="1" si="191"/>
        <v>2.8047703180211991E-2</v>
      </c>
      <c r="Q763" s="30">
        <f t="shared" ca="1" si="192"/>
        <v>6.7171022466758323E-2</v>
      </c>
      <c r="R763" s="30">
        <f t="shared" ca="1" si="193"/>
        <v>0.26185958254269437</v>
      </c>
      <c r="S763" s="9" cm="1">
        <f t="array" aca="1" ref="S763" ca="1">_xll.FDS($E$7,"P_PRICE("&amp;AG763&amp;",0,D,D)")</f>
        <v>46.55</v>
      </c>
      <c r="T763" s="9" cm="1">
        <f t="array" aca="1" ref="T763" ca="1">_xll.FDS($E$7,"P_PRICE("&amp;AH763&amp;",0,D,D)")</f>
        <v>46.25</v>
      </c>
      <c r="U763" s="9" cm="1">
        <f t="array" aca="1" ref="U763" ca="1">_xll.FDS($E$7,"P_PRICE("&amp;AI763&amp;",0,D,D)")</f>
        <v>45.28</v>
      </c>
      <c r="V763" s="9" cm="1">
        <f t="array" aca="1" ref="V763" ca="1">_xll.FDS($E$7,"P_PRICE("&amp;AJ763&amp;",0,D,D)")</f>
        <v>43.62</v>
      </c>
      <c r="W763" s="9" cm="1">
        <f t="array" aca="1" ref="W763" ca="1">_xll.FDS($E$7,"P_PRICE("&amp;AK763&amp;",0,D,D)")</f>
        <v>36.89</v>
      </c>
      <c r="X763" s="24">
        <f t="shared" ca="1" si="194"/>
        <v>2.3224325932046819E-2</v>
      </c>
      <c r="Y763" s="24">
        <f t="shared" ca="1" si="195"/>
        <v>2.2705053223908589E-2</v>
      </c>
      <c r="Z763" s="24">
        <f t="shared" ca="1" si="196"/>
        <v>5.5454573461905854E-2</v>
      </c>
      <c r="AA763" s="24">
        <f t="shared" ca="1" si="197"/>
        <v>7.3918983519282389E-2</v>
      </c>
      <c r="AB763" s="9" cm="1">
        <f t="array" aca="1" ref="AB763" ca="1">_xll.FDS($E$9,"P_PRICE("&amp;AG763&amp;",0,D,D)")</f>
        <v>4111.08</v>
      </c>
      <c r="AC763" s="9" cm="1">
        <f t="array" aca="1" ref="AC763" ca="1">_xll.FDS($E$9,"P_PRICE("&amp;AH763&amp;",0,D,D)")</f>
        <v>4017.77</v>
      </c>
      <c r="AD763" s="9" cm="1">
        <f t="array" aca="1" ref="AD763" ca="1">_xll.FDS($E$9,"P_PRICE("&amp;AI763&amp;",0,D,D)")</f>
        <v>4019.81</v>
      </c>
      <c r="AE763" s="9" cm="1">
        <f t="array" aca="1" ref="AE763" ca="1">_xll.FDS($E$9,"P_PRICE("&amp;AJ763&amp;",0,D,D)")</f>
        <v>3895.08</v>
      </c>
      <c r="AF763" s="9" cm="1">
        <f t="array" aca="1" ref="AF763" ca="1">_xll.FDS($E$9,"P_PRICE("&amp;AK763&amp;",0,D,D)")</f>
        <v>3828.11</v>
      </c>
      <c r="AG763" s="20">
        <f t="shared" ca="1" si="203"/>
        <v>44963</v>
      </c>
      <c r="AH763" s="22">
        <f t="shared" ca="1" si="198"/>
        <v>44956</v>
      </c>
      <c r="AI763" s="22">
        <f t="shared" ca="1" si="199"/>
        <v>44949</v>
      </c>
      <c r="AJ763" s="22">
        <f t="shared" ca="1" si="200"/>
        <v>44932</v>
      </c>
      <c r="AK763" s="22">
        <f t="shared" ca="1" si="201"/>
        <v>44873</v>
      </c>
      <c r="AL763" s="22">
        <f t="shared" ca="1" si="202"/>
        <v>44788</v>
      </c>
    </row>
    <row r="764" spans="4:38" x14ac:dyDescent="0.25">
      <c r="D764" s="6">
        <f ca="1"/>
        <v>44960</v>
      </c>
      <c r="E764" s="28" cm="1">
        <f t="array" aca="1" ref="E764" ca="1">_xll.FDS($E$7,"P_PRICE("&amp;D764&amp;",0,D,D)")</f>
        <v>47.4</v>
      </c>
      <c r="F764" s="29" cm="1">
        <f t="array" aca="1" ref="F764" ca="1">_xll.FDS($E$7,"P_BETA_LOCIDX("&amp;$AG764&amp;","&amp;$AL764&amp;",,"""&amp;$E$9&amp;""")")</f>
        <v>1.2110399999999999</v>
      </c>
      <c r="G764" s="30">
        <f t="shared" ca="1" si="188"/>
        <v>4.0092775017457408E-4</v>
      </c>
      <c r="H764" s="30">
        <f t="shared" ca="1" si="188"/>
        <v>3.1439608018731385E-3</v>
      </c>
      <c r="I764" s="30">
        <f t="shared" ca="1" si="188"/>
        <v>1.905860233784315E-2</v>
      </c>
      <c r="J764" s="30">
        <f t="shared" ca="1" si="188"/>
        <v>0.16965656408081209</v>
      </c>
      <c r="K764" s="30">
        <f t="shared" ca="1" si="189"/>
        <v>1.9611983805667931E-2</v>
      </c>
      <c r="L764" s="30">
        <f t="shared" ca="1" si="189"/>
        <v>4.9955350462290424E-2</v>
      </c>
      <c r="M764" s="30">
        <f t="shared" ca="1" si="189"/>
        <v>0.10443037609306474</v>
      </c>
      <c r="N764" s="30">
        <f t="shared" ca="1" si="189"/>
        <v>0.10487960155511167</v>
      </c>
      <c r="O764" s="30">
        <f t="shared" ca="1" si="190"/>
        <v>2.0012911555842505E-2</v>
      </c>
      <c r="P764" s="30">
        <f t="shared" ca="1" si="191"/>
        <v>5.3099311264163562E-2</v>
      </c>
      <c r="Q764" s="30">
        <f t="shared" ca="1" si="192"/>
        <v>0.12348897843090789</v>
      </c>
      <c r="R764" s="30">
        <f t="shared" ca="1" si="193"/>
        <v>0.27453616563592376</v>
      </c>
      <c r="S764" s="9" cm="1">
        <f t="array" aca="1" ref="S764" ca="1">_xll.FDS($E$7,"P_PRICE("&amp;AG764&amp;",0,D,D)")</f>
        <v>47.4</v>
      </c>
      <c r="T764" s="9" cm="1">
        <f t="array" aca="1" ref="T764" ca="1">_xll.FDS($E$7,"P_PRICE("&amp;AH764&amp;",0,D,D)")</f>
        <v>46.47</v>
      </c>
      <c r="U764" s="9" cm="1">
        <f t="array" aca="1" ref="U764" ca="1">_xll.FDS($E$7,"P_PRICE("&amp;AI764&amp;",0,D,D)")</f>
        <v>45.01</v>
      </c>
      <c r="V764" s="9" cm="1">
        <f t="array" aca="1" ref="V764" ca="1">_xll.FDS($E$7,"P_PRICE("&amp;AJ764&amp;",0,D,D)")</f>
        <v>42.19</v>
      </c>
      <c r="W764" s="9" cm="1">
        <f t="array" aca="1" ref="W764" ca="1">_xll.FDS($E$7,"P_PRICE("&amp;AK764&amp;",0,D,D)")</f>
        <v>37.19</v>
      </c>
      <c r="X764" s="24">
        <f t="shared" ca="1" si="194"/>
        <v>1.6194331983805599E-2</v>
      </c>
      <c r="Y764" s="24">
        <f t="shared" ca="1" si="195"/>
        <v>4.1249959094902255E-2</v>
      </c>
      <c r="Z764" s="24">
        <f t="shared" ca="1" si="196"/>
        <v>8.6231979202226805E-2</v>
      </c>
      <c r="AA764" s="24">
        <f t="shared" ca="1" si="197"/>
        <v>8.6602921088578144E-2</v>
      </c>
      <c r="AB764" s="9" cm="1">
        <f t="array" aca="1" ref="AB764" ca="1">_xll.FDS($E$9,"P_PRICE("&amp;AG764&amp;",0,D,D)")</f>
        <v>4136.4799999999996</v>
      </c>
      <c r="AC764" s="9" cm="1">
        <f t="array" aca="1" ref="AC764" ca="1">_xll.FDS($E$9,"P_PRICE("&amp;AH764&amp;",0,D,D)")</f>
        <v>4070.56</v>
      </c>
      <c r="AD764" s="9" cm="1">
        <f t="array" aca="1" ref="AD764" ca="1">_xll.FDS($E$9,"P_PRICE("&amp;AI764&amp;",0,D,D)")</f>
        <v>3972.61</v>
      </c>
      <c r="AE764" s="9" cm="1">
        <f t="array" aca="1" ref="AE764" ca="1">_xll.FDS($E$9,"P_PRICE("&amp;AJ764&amp;",0,D,D)")</f>
        <v>3808.1</v>
      </c>
      <c r="AF764" s="9" cm="1">
        <f t="array" aca="1" ref="AF764" ca="1">_xll.FDS($E$9,"P_PRICE("&amp;AK764&amp;",0,D,D)")</f>
        <v>3806.8</v>
      </c>
      <c r="AG764" s="20">
        <f t="shared" ca="1" si="203"/>
        <v>44960</v>
      </c>
      <c r="AH764" s="22">
        <f t="shared" ca="1" si="198"/>
        <v>44953</v>
      </c>
      <c r="AI764" s="22">
        <f t="shared" ca="1" si="199"/>
        <v>44946</v>
      </c>
      <c r="AJ764" s="22">
        <f t="shared" ca="1" si="200"/>
        <v>44931</v>
      </c>
      <c r="AK764" s="22">
        <f t="shared" ca="1" si="201"/>
        <v>44872</v>
      </c>
      <c r="AL764" s="22">
        <f t="shared" ca="1" si="202"/>
        <v>44785</v>
      </c>
    </row>
    <row r="765" spans="4:38" x14ac:dyDescent="0.25">
      <c r="D765" s="6">
        <f ca="1"/>
        <v>44959</v>
      </c>
      <c r="E765" s="28" cm="1">
        <f t="array" aca="1" ref="E765" ca="1">_xll.FDS($E$7,"P_PRICE("&amp;D765&amp;",0,D,D)")</f>
        <v>48.63</v>
      </c>
      <c r="F765" s="29" cm="1">
        <f t="array" aca="1" ref="F765" ca="1">_xll.FDS($E$7,"P_BETA_LOCIDX("&amp;$AG765&amp;","&amp;$AL765&amp;",,"""&amp;$E$9&amp;""")")</f>
        <v>1.2051742999999999</v>
      </c>
      <c r="G765" s="30">
        <f t="shared" ca="1" si="188"/>
        <v>1.5586690193297274E-2</v>
      </c>
      <c r="H765" s="30">
        <f t="shared" ca="1" si="188"/>
        <v>7.4522823964459639E-3</v>
      </c>
      <c r="I765" s="30">
        <f t="shared" ca="1" si="188"/>
        <v>2.8713264998828175E-2</v>
      </c>
      <c r="J765" s="30">
        <f t="shared" ca="1" si="188"/>
        <v>0.17892751988784272</v>
      </c>
      <c r="K765" s="30">
        <f t="shared" ca="1" si="189"/>
        <v>3.5418280630130423E-2</v>
      </c>
      <c r="L765" s="30">
        <f t="shared" ca="1" si="189"/>
        <v>8.6832146046398384E-2</v>
      </c>
      <c r="M765" s="30">
        <f t="shared" ca="1" si="189"/>
        <v>0.10221696755931145</v>
      </c>
      <c r="N765" s="30">
        <f t="shared" ca="1" si="189"/>
        <v>0.13079507639548604</v>
      </c>
      <c r="O765" s="30">
        <f t="shared" ca="1" si="190"/>
        <v>5.1004970823427698E-2</v>
      </c>
      <c r="P765" s="30">
        <f t="shared" ca="1" si="191"/>
        <v>9.4284428442844348E-2</v>
      </c>
      <c r="Q765" s="30">
        <f t="shared" ca="1" si="192"/>
        <v>0.13093023255813963</v>
      </c>
      <c r="R765" s="30">
        <f t="shared" ca="1" si="193"/>
        <v>0.30972259628332877</v>
      </c>
      <c r="S765" s="9" cm="1">
        <f t="array" aca="1" ref="S765" ca="1">_xll.FDS($E$7,"P_PRICE("&amp;AG765&amp;",0,D,D)")</f>
        <v>48.63</v>
      </c>
      <c r="T765" s="9" cm="1">
        <f t="array" aca="1" ref="T765" ca="1">_xll.FDS($E$7,"P_PRICE("&amp;AH765&amp;",0,D,D)")</f>
        <v>46.27</v>
      </c>
      <c r="U765" s="9" cm="1">
        <f t="array" aca="1" ref="U765" ca="1">_xll.FDS($E$7,"P_PRICE("&amp;AI765&amp;",0,D,D)")</f>
        <v>44.44</v>
      </c>
      <c r="V765" s="9" cm="1">
        <f t="array" aca="1" ref="V765" ca="1">_xll.FDS($E$7,"P_PRICE("&amp;AJ765&amp;",0,D,D)")</f>
        <v>43</v>
      </c>
      <c r="W765" s="9" cm="1">
        <f t="array" aca="1" ref="W765" ca="1">_xll.FDS($E$7,"P_PRICE("&amp;AK765&amp;",0,D,D)")</f>
        <v>37.130000000000003</v>
      </c>
      <c r="X765" s="24">
        <f t="shared" ca="1" si="194"/>
        <v>2.938851303925949E-2</v>
      </c>
      <c r="Y765" s="24">
        <f t="shared" ca="1" si="195"/>
        <v>7.2049450478987476E-2</v>
      </c>
      <c r="Z765" s="24">
        <f t="shared" ca="1" si="196"/>
        <v>8.4815090696268136E-2</v>
      </c>
      <c r="AA765" s="24">
        <f t="shared" ca="1" si="197"/>
        <v>0.10852793359059021</v>
      </c>
      <c r="AB765" s="9" cm="1">
        <f t="array" aca="1" ref="AB765" ca="1">_xll.FDS($E$9,"P_PRICE("&amp;AG765&amp;",0,D,D)")</f>
        <v>4179.76</v>
      </c>
      <c r="AC765" s="9" cm="1">
        <f t="array" aca="1" ref="AC765" ca="1">_xll.FDS($E$9,"P_PRICE("&amp;AH765&amp;",0,D,D)")</f>
        <v>4060.43</v>
      </c>
      <c r="AD765" s="9" cm="1">
        <f t="array" aca="1" ref="AD765" ca="1">_xll.FDS($E$9,"P_PRICE("&amp;AI765&amp;",0,D,D)")</f>
        <v>3898.85</v>
      </c>
      <c r="AE765" s="9" cm="1">
        <f t="array" aca="1" ref="AE765" ca="1">_xll.FDS($E$9,"P_PRICE("&amp;AJ765&amp;",0,D,D)")</f>
        <v>3852.97</v>
      </c>
      <c r="AF765" s="9" cm="1">
        <f t="array" aca="1" ref="AF765" ca="1">_xll.FDS($E$9,"P_PRICE("&amp;AK765&amp;",0,D,D)")</f>
        <v>3770.55</v>
      </c>
      <c r="AG765" s="20">
        <f t="shared" ca="1" si="203"/>
        <v>44959</v>
      </c>
      <c r="AH765" s="22">
        <f t="shared" ca="1" si="198"/>
        <v>44952</v>
      </c>
      <c r="AI765" s="22">
        <f t="shared" ca="1" si="199"/>
        <v>44945</v>
      </c>
      <c r="AJ765" s="22">
        <f t="shared" ca="1" si="200"/>
        <v>44930</v>
      </c>
      <c r="AK765" s="22">
        <f t="shared" ca="1" si="201"/>
        <v>44869</v>
      </c>
      <c r="AL765" s="22">
        <f t="shared" ca="1" si="202"/>
        <v>44784</v>
      </c>
    </row>
    <row r="766" spans="4:38" x14ac:dyDescent="0.25">
      <c r="D766" s="6">
        <f ca="1"/>
        <v>44958</v>
      </c>
      <c r="E766" s="28" cm="1">
        <f t="array" aca="1" ref="E766" ca="1">_xll.FDS($E$7,"P_PRICE("&amp;D766&amp;",0,D,D)")</f>
        <v>48.05</v>
      </c>
      <c r="F766" s="29" cm="1">
        <f t="array" aca="1" ref="F766" ca="1">_xll.FDS($E$7,"P_BETA_LOCIDX("&amp;$AG766&amp;","&amp;$AL766&amp;",,"""&amp;$E$9&amp;""")")</f>
        <v>1.204923</v>
      </c>
      <c r="G766" s="30">
        <f t="shared" ca="1" si="188"/>
        <v>2.0293837597671078E-2</v>
      </c>
      <c r="H766" s="30">
        <f t="shared" ca="1" si="188"/>
        <v>1.608580996067379E-2</v>
      </c>
      <c r="I766" s="30">
        <f t="shared" ca="1" si="188"/>
        <v>7.8122664957939805E-2</v>
      </c>
      <c r="J766" s="30">
        <f t="shared" ca="1" si="188"/>
        <v>0.22838298891550321</v>
      </c>
      <c r="K766" s="30">
        <f t="shared" ca="1" si="189"/>
        <v>3.0898461680386052E-2</v>
      </c>
      <c r="L766" s="30">
        <f t="shared" ca="1" si="189"/>
        <v>5.8377517409630354E-2</v>
      </c>
      <c r="M766" s="30">
        <f t="shared" ca="1" si="189"/>
        <v>9.2971656270429512E-2</v>
      </c>
      <c r="N766" s="30">
        <f t="shared" ca="1" si="189"/>
        <v>0.12934518288444022</v>
      </c>
      <c r="O766" s="30">
        <f t="shared" ca="1" si="190"/>
        <v>5.119229927805713E-2</v>
      </c>
      <c r="P766" s="30">
        <f t="shared" ca="1" si="191"/>
        <v>7.4463327370304144E-2</v>
      </c>
      <c r="Q766" s="30">
        <f t="shared" ca="1" si="192"/>
        <v>0.17109432122836932</v>
      </c>
      <c r="R766" s="30">
        <f t="shared" ca="1" si="193"/>
        <v>0.35772817179994343</v>
      </c>
      <c r="S766" s="9" cm="1">
        <f t="array" aca="1" ref="S766" ca="1">_xll.FDS($E$7,"P_PRICE("&amp;AG766&amp;",0,D,D)")</f>
        <v>48.05</v>
      </c>
      <c r="T766" s="9" cm="1">
        <f t="array" aca="1" ref="T766" ca="1">_xll.FDS($E$7,"P_PRICE("&amp;AH766&amp;",0,D,D)")</f>
        <v>45.71</v>
      </c>
      <c r="U766" s="9" cm="1">
        <f t="array" aca="1" ref="U766" ca="1">_xll.FDS($E$7,"P_PRICE("&amp;AI766&amp;",0,D,D)")</f>
        <v>44.72</v>
      </c>
      <c r="V766" s="9" cm="1">
        <f t="array" aca="1" ref="V766" ca="1">_xll.FDS($E$7,"P_PRICE("&amp;AJ766&amp;",0,D,D)")</f>
        <v>41.03</v>
      </c>
      <c r="W766" s="9" cm="1">
        <f t="array" aca="1" ref="W766" ca="1">_xll.FDS($E$7,"P_PRICE("&amp;AK766&amp;",0,D,D)")</f>
        <v>35.39</v>
      </c>
      <c r="X766" s="24">
        <f t="shared" ca="1" si="194"/>
        <v>2.5643515544467199E-2</v>
      </c>
      <c r="Y766" s="24">
        <f t="shared" ca="1" si="195"/>
        <v>4.8449168461080383E-2</v>
      </c>
      <c r="Z766" s="24">
        <f t="shared" ca="1" si="196"/>
        <v>7.715983201451837E-2</v>
      </c>
      <c r="AA766" s="24">
        <f t="shared" ca="1" si="197"/>
        <v>0.10734726026844887</v>
      </c>
      <c r="AB766" s="9" cm="1">
        <f t="array" aca="1" ref="AB766" ca="1">_xll.FDS($E$9,"P_PRICE("&amp;AG766&amp;",0,D,D)")</f>
        <v>4119.21</v>
      </c>
      <c r="AC766" s="9" cm="1">
        <f t="array" aca="1" ref="AC766" ca="1">_xll.FDS($E$9,"P_PRICE("&amp;AH766&amp;",0,D,D)")</f>
        <v>4016.22</v>
      </c>
      <c r="AD766" s="9" cm="1">
        <f t="array" aca="1" ref="AD766" ca="1">_xll.FDS($E$9,"P_PRICE("&amp;AI766&amp;",0,D,D)")</f>
        <v>3928.86</v>
      </c>
      <c r="AE766" s="9" cm="1">
        <f t="array" aca="1" ref="AE766" ca="1">_xll.FDS($E$9,"P_PRICE("&amp;AJ766&amp;",0,D,D)")</f>
        <v>3824.14</v>
      </c>
      <c r="AF766" s="9" cm="1">
        <f t="array" aca="1" ref="AF766" ca="1">_xll.FDS($E$9,"P_PRICE("&amp;AK766&amp;",0,D,D)")</f>
        <v>3719.89</v>
      </c>
      <c r="AG766" s="20">
        <f t="shared" ca="1" si="203"/>
        <v>44958</v>
      </c>
      <c r="AH766" s="22">
        <f t="shared" ca="1" si="198"/>
        <v>44951</v>
      </c>
      <c r="AI766" s="22">
        <f t="shared" ca="1" si="199"/>
        <v>44944</v>
      </c>
      <c r="AJ766" s="22">
        <f t="shared" ca="1" si="200"/>
        <v>44929</v>
      </c>
      <c r="AK766" s="22">
        <f t="shared" ca="1" si="201"/>
        <v>44868</v>
      </c>
      <c r="AL766" s="22">
        <f t="shared" ca="1" si="202"/>
        <v>44783</v>
      </c>
    </row>
    <row r="767" spans="4:38" x14ac:dyDescent="0.25">
      <c r="D767" s="6">
        <f ca="1"/>
        <v>44957</v>
      </c>
      <c r="E767" s="28" cm="1">
        <f t="array" aca="1" ref="E767" ca="1">_xll.FDS($E$7,"P_PRICE("&amp;D767&amp;",0,D,D)")</f>
        <v>47.08</v>
      </c>
      <c r="F767" s="29" cm="1">
        <f t="array" aca="1" ref="F767" ca="1">_xll.FDS($E$7,"P_BETA_LOCIDX("&amp;$AG767&amp;","&amp;$AL767&amp;",,"""&amp;$E$9&amp;""")")</f>
        <v>1.2034137</v>
      </c>
      <c r="G767" s="30">
        <f t="shared" ca="1" si="188"/>
        <v>2.603225711896448E-2</v>
      </c>
      <c r="H767" s="30">
        <f t="shared" ca="1" si="188"/>
        <v>1.2785411572646576E-2</v>
      </c>
      <c r="I767" s="30">
        <f t="shared" ca="1" si="188"/>
        <v>0.10889765775292758</v>
      </c>
      <c r="J767" s="30">
        <f t="shared" ca="1" si="188"/>
        <v>0.25338256906702161</v>
      </c>
      <c r="K767" s="30">
        <f t="shared" ca="1" si="189"/>
        <v>1.7870181905425803E-2</v>
      </c>
      <c r="L767" s="30">
        <f t="shared" ca="1" si="189"/>
        <v>2.5820368264106153E-2</v>
      </c>
      <c r="M767" s="30">
        <f t="shared" ca="1" si="189"/>
        <v>7.4314204524026498E-2</v>
      </c>
      <c r="N767" s="30">
        <f t="shared" ca="1" si="189"/>
        <v>0.10143757481787051</v>
      </c>
      <c r="O767" s="30">
        <f t="shared" ca="1" si="190"/>
        <v>4.3902439024390283E-2</v>
      </c>
      <c r="P767" s="30">
        <f t="shared" ca="1" si="191"/>
        <v>3.8605779836752729E-2</v>
      </c>
      <c r="Q767" s="30">
        <f t="shared" ca="1" si="192"/>
        <v>0.18321186227695407</v>
      </c>
      <c r="R767" s="30">
        <f t="shared" ca="1" si="193"/>
        <v>0.35482014388489214</v>
      </c>
      <c r="S767" s="9" cm="1">
        <f t="array" aca="1" ref="S767" ca="1">_xll.FDS($E$7,"P_PRICE("&amp;AG767&amp;",0,D,D)")</f>
        <v>47.08</v>
      </c>
      <c r="T767" s="9" cm="1">
        <f t="array" aca="1" ref="T767" ca="1">_xll.FDS($E$7,"P_PRICE("&amp;AH767&amp;",0,D,D)")</f>
        <v>45.1</v>
      </c>
      <c r="U767" s="9" cm="1">
        <f t="array" aca="1" ref="U767" ca="1">_xll.FDS($E$7,"P_PRICE("&amp;AI767&amp;",0,D,D)")</f>
        <v>45.33</v>
      </c>
      <c r="V767" s="9" cm="1">
        <f t="array" aca="1" ref="V767" ca="1">_xll.FDS($E$7,"P_PRICE("&amp;AJ767&amp;",0,D,D)")</f>
        <v>39.79</v>
      </c>
      <c r="W767" s="9" cm="1">
        <f t="array" aca="1" ref="W767" ca="1">_xll.FDS($E$7,"P_PRICE("&amp;AK767&amp;",0,D,D)")</f>
        <v>34.75</v>
      </c>
      <c r="X767" s="24">
        <f t="shared" ca="1" si="194"/>
        <v>1.4849574926250053E-2</v>
      </c>
      <c r="Y767" s="24">
        <f t="shared" ca="1" si="195"/>
        <v>2.1455936777274642E-2</v>
      </c>
      <c r="Z767" s="24">
        <f t="shared" ca="1" si="196"/>
        <v>6.1752832400052027E-2</v>
      </c>
      <c r="AA767" s="24">
        <f t="shared" ca="1" si="197"/>
        <v>8.4291524035226217E-2</v>
      </c>
      <c r="AB767" s="9" cm="1">
        <f t="array" aca="1" ref="AB767" ca="1">_xll.FDS($E$9,"P_PRICE("&amp;AG767&amp;",0,D,D)")</f>
        <v>4076.6</v>
      </c>
      <c r="AC767" s="9" cm="1">
        <f t="array" aca="1" ref="AC767" ca="1">_xll.FDS($E$9,"P_PRICE("&amp;AH767&amp;",0,D,D)")</f>
        <v>4016.95</v>
      </c>
      <c r="AD767" s="9" cm="1">
        <f t="array" aca="1" ref="AD767" ca="1">_xll.FDS($E$9,"P_PRICE("&amp;AI767&amp;",0,D,D)")</f>
        <v>3990.97</v>
      </c>
      <c r="AE767" s="9" cm="1">
        <f t="array" aca="1" ref="AE767" ca="1">_xll.FDS($E$9,"P_PRICE("&amp;AJ767&amp;",0,D,D)")</f>
        <v>3839.5</v>
      </c>
      <c r="AF767" s="9" cm="1">
        <f t="array" aca="1" ref="AF767" ca="1">_xll.FDS($E$9,"P_PRICE("&amp;AK767&amp;",0,D,D)")</f>
        <v>3759.69</v>
      </c>
      <c r="AG767" s="20">
        <f t="shared" ca="1" si="203"/>
        <v>44957</v>
      </c>
      <c r="AH767" s="22">
        <f t="shared" ca="1" si="198"/>
        <v>44950</v>
      </c>
      <c r="AI767" s="22">
        <f t="shared" ca="1" si="199"/>
        <v>44943</v>
      </c>
      <c r="AJ767" s="22">
        <f t="shared" ca="1" si="200"/>
        <v>44925</v>
      </c>
      <c r="AK767" s="22">
        <f t="shared" ca="1" si="201"/>
        <v>44867</v>
      </c>
      <c r="AL767" s="22">
        <f t="shared" ca="1" si="202"/>
        <v>44782</v>
      </c>
    </row>
    <row r="768" spans="4:38" x14ac:dyDescent="0.25">
      <c r="D768" s="6"/>
      <c r="E768" s="7"/>
      <c r="F768" s="29" t="e" cm="1">
        <f t="array" aca="1" ref="F768" ca="1">_xll.FDS($E$7,"P_BETA_LOCIDX("&amp;$AG768&amp;","&amp;$AL768&amp;",,"""&amp;$E$9&amp;""")")</f>
        <v>#VALUE!</v>
      </c>
      <c r="G768" s="30" t="e">
        <f t="shared" ca="1" si="188"/>
        <v>#NUM!</v>
      </c>
      <c r="H768" s="30" t="e">
        <f t="shared" ca="1" si="188"/>
        <v>#NUM!</v>
      </c>
      <c r="I768" s="30" t="e">
        <f t="shared" ca="1" si="188"/>
        <v>#NUM!</v>
      </c>
      <c r="J768" s="30" t="e">
        <f t="shared" ca="1" si="188"/>
        <v>#NUM!</v>
      </c>
      <c r="K768" s="30" t="e">
        <f t="shared" ca="1" si="189"/>
        <v>#NUM!</v>
      </c>
      <c r="L768" s="30" t="e">
        <f t="shared" ca="1" si="189"/>
        <v>#NUM!</v>
      </c>
      <c r="M768" s="30" t="e">
        <f t="shared" ca="1" si="189"/>
        <v>#NUM!</v>
      </c>
      <c r="N768" s="30" t="e">
        <f t="shared" ca="1" si="189"/>
        <v>#NUM!</v>
      </c>
      <c r="O768" s="30" t="e">
        <f t="shared" ca="1" si="190"/>
        <v>#NUM!</v>
      </c>
      <c r="P768" s="30" t="e">
        <f t="shared" ca="1" si="191"/>
        <v>#NUM!</v>
      </c>
      <c r="Q768" s="30" t="e">
        <f t="shared" ca="1" si="192"/>
        <v>#NUM!</v>
      </c>
      <c r="R768" s="30" t="e">
        <f t="shared" ca="1" si="193"/>
        <v>#NUM!</v>
      </c>
      <c r="S768" s="9" cm="1">
        <f t="array" aca="1" ref="S768" ca="1">_xll.FDS($E$7,"P_PRICE("&amp;AG768&amp;",0,D,D)")</f>
        <v>121.49</v>
      </c>
      <c r="T768" s="9" t="e">
        <f ca="1">_xll.FDS($E$7,"P_PRICE("&amp;AH768&amp;",0,D,D)")</f>
        <v>#NUM!</v>
      </c>
      <c r="U768" s="9" t="e">
        <f ca="1">_xll.FDS($E$7,"P_PRICE("&amp;AI768&amp;",0,D,D)")</f>
        <v>#NUM!</v>
      </c>
      <c r="V768" s="9" t="e">
        <f ca="1">_xll.FDS($E$7,"P_PRICE("&amp;AJ768&amp;",0,D,D)")</f>
        <v>#NUM!</v>
      </c>
      <c r="W768" s="9" t="e">
        <f ca="1">_xll.FDS($E$7,"P_PRICE("&amp;AK768&amp;",0,D,D)")</f>
        <v>#NUM!</v>
      </c>
      <c r="X768" s="24" t="e">
        <f t="shared" ca="1" si="194"/>
        <v>#NUM!</v>
      </c>
      <c r="Y768" s="24" t="e">
        <f t="shared" ca="1" si="195"/>
        <v>#NUM!</v>
      </c>
      <c r="Z768" s="24" t="e">
        <f t="shared" ca="1" si="196"/>
        <v>#NUM!</v>
      </c>
      <c r="AA768" s="24" t="e">
        <f t="shared" ca="1" si="197"/>
        <v>#NUM!</v>
      </c>
      <c r="AB768" s="9" cm="1">
        <f t="array" aca="1" ref="AB768" ca="1">_xll.FDS($E$9,"P_PRICE("&amp;AG768&amp;",0,D,D)")</f>
        <v>6837.75</v>
      </c>
      <c r="AC768" s="9" t="e">
        <f ca="1">_xll.FDS($E$9,"P_PRICE("&amp;AH768&amp;",0,D,D)")</f>
        <v>#NUM!</v>
      </c>
      <c r="AD768" s="9" t="e">
        <f ca="1">_xll.FDS($E$9,"P_PRICE("&amp;AI768&amp;",0,D,D)")</f>
        <v>#NUM!</v>
      </c>
      <c r="AE768" s="9" t="e">
        <f ca="1">_xll.FDS($E$9,"P_PRICE("&amp;AJ768&amp;",0,D,D)")</f>
        <v>#NUM!</v>
      </c>
      <c r="AF768" s="9" t="e">
        <f ca="1">_xll.FDS($E$9,"P_PRICE("&amp;AK768&amp;",0,D,D)")</f>
        <v>#NUM!</v>
      </c>
      <c r="AG768" s="20">
        <f t="shared" si="203"/>
        <v>0</v>
      </c>
      <c r="AH768" s="22" t="e">
        <f t="shared" si="198"/>
        <v>#NUM!</v>
      </c>
      <c r="AI768" s="22" t="e">
        <f t="shared" si="199"/>
        <v>#NUM!</v>
      </c>
      <c r="AJ768" s="22" t="e">
        <f t="shared" si="200"/>
        <v>#NUM!</v>
      </c>
      <c r="AK768" s="22" t="e">
        <f t="shared" si="201"/>
        <v>#NUM!</v>
      </c>
      <c r="AL768" s="22" t="e">
        <f t="shared" si="202"/>
        <v>#NUM!</v>
      </c>
    </row>
    <row r="769" spans="4:38" x14ac:dyDescent="0.25">
      <c r="D769" s="6"/>
      <c r="E769" s="7"/>
      <c r="F769" s="29" t="e" cm="1">
        <f t="array" aca="1" ref="F769" ca="1">_xll.FDS($E$7,"P_BETA_LOCIDX("&amp;$AG769&amp;","&amp;$AL769&amp;",,"""&amp;$E$9&amp;""")")</f>
        <v>#VALUE!</v>
      </c>
      <c r="G769" s="30" t="e">
        <f t="shared" ca="1" si="188"/>
        <v>#NUM!</v>
      </c>
      <c r="H769" s="30" t="e">
        <f t="shared" ca="1" si="188"/>
        <v>#NUM!</v>
      </c>
      <c r="I769" s="30" t="e">
        <f t="shared" ca="1" si="188"/>
        <v>#NUM!</v>
      </c>
      <c r="J769" s="30" t="e">
        <f t="shared" ca="1" si="188"/>
        <v>#NUM!</v>
      </c>
      <c r="K769" s="30" t="e">
        <f t="shared" ca="1" si="189"/>
        <v>#NUM!</v>
      </c>
      <c r="L769" s="30" t="e">
        <f t="shared" ca="1" si="189"/>
        <v>#NUM!</v>
      </c>
      <c r="M769" s="30" t="e">
        <f t="shared" ca="1" si="189"/>
        <v>#NUM!</v>
      </c>
      <c r="N769" s="30" t="e">
        <f t="shared" ca="1" si="189"/>
        <v>#NUM!</v>
      </c>
      <c r="O769" s="30" t="e">
        <f t="shared" ca="1" si="190"/>
        <v>#NUM!</v>
      </c>
      <c r="P769" s="30" t="e">
        <f t="shared" ca="1" si="191"/>
        <v>#NUM!</v>
      </c>
      <c r="Q769" s="30" t="e">
        <f t="shared" ca="1" si="192"/>
        <v>#NUM!</v>
      </c>
      <c r="R769" s="30" t="e">
        <f t="shared" ca="1" si="193"/>
        <v>#NUM!</v>
      </c>
      <c r="S769" s="9" cm="1">
        <f t="array" aca="1" ref="S769" ca="1">_xll.FDS($E$7,"P_PRICE("&amp;AG769&amp;",0,D,D)")</f>
        <v>121.49</v>
      </c>
      <c r="T769" s="9" t="e">
        <f ca="1">_xll.FDS($E$7,"P_PRICE("&amp;AH769&amp;",0,D,D)")</f>
        <v>#NUM!</v>
      </c>
      <c r="U769" s="9" t="e">
        <f ca="1">_xll.FDS($E$7,"P_PRICE("&amp;AI769&amp;",0,D,D)")</f>
        <v>#NUM!</v>
      </c>
      <c r="V769" s="9" t="e">
        <f ca="1">_xll.FDS($E$7,"P_PRICE("&amp;AJ769&amp;",0,D,D)")</f>
        <v>#NUM!</v>
      </c>
      <c r="W769" s="9" t="e">
        <f ca="1">_xll.FDS($E$7,"P_PRICE("&amp;AK769&amp;",0,D,D)")</f>
        <v>#NUM!</v>
      </c>
      <c r="X769" s="24" t="e">
        <f t="shared" ca="1" si="194"/>
        <v>#NUM!</v>
      </c>
      <c r="Y769" s="24" t="e">
        <f t="shared" ca="1" si="195"/>
        <v>#NUM!</v>
      </c>
      <c r="Z769" s="24" t="e">
        <f t="shared" ca="1" si="196"/>
        <v>#NUM!</v>
      </c>
      <c r="AA769" s="24" t="e">
        <f t="shared" ca="1" si="197"/>
        <v>#NUM!</v>
      </c>
      <c r="AB769" s="9" cm="1">
        <f t="array" aca="1" ref="AB769" ca="1">_xll.FDS($E$9,"P_PRICE("&amp;AG769&amp;",0,D,D)")</f>
        <v>6837.75</v>
      </c>
      <c r="AC769" s="9" t="e">
        <f ca="1">_xll.FDS($E$9,"P_PRICE("&amp;AH769&amp;",0,D,D)")</f>
        <v>#NUM!</v>
      </c>
      <c r="AD769" s="9" t="e">
        <f ca="1">_xll.FDS($E$9,"P_PRICE("&amp;AI769&amp;",0,D,D)")</f>
        <v>#NUM!</v>
      </c>
      <c r="AE769" s="9" t="e">
        <f ca="1">_xll.FDS($E$9,"P_PRICE("&amp;AJ769&amp;",0,D,D)")</f>
        <v>#NUM!</v>
      </c>
      <c r="AF769" s="9" t="e">
        <f ca="1">_xll.FDS($E$9,"P_PRICE("&amp;AK769&amp;",0,D,D)")</f>
        <v>#NUM!</v>
      </c>
      <c r="AG769" s="20">
        <f t="shared" si="203"/>
        <v>0</v>
      </c>
      <c r="AH769" s="22" t="e">
        <f t="shared" si="198"/>
        <v>#NUM!</v>
      </c>
      <c r="AI769" s="22" t="e">
        <f t="shared" si="199"/>
        <v>#NUM!</v>
      </c>
      <c r="AJ769" s="22" t="e">
        <f t="shared" si="200"/>
        <v>#NUM!</v>
      </c>
      <c r="AK769" s="22" t="e">
        <f t="shared" si="201"/>
        <v>#NUM!</v>
      </c>
      <c r="AL769" s="22" t="e">
        <f t="shared" si="202"/>
        <v>#NUM!</v>
      </c>
    </row>
    <row r="770" spans="4:38" x14ac:dyDescent="0.25">
      <c r="D770" s="6"/>
      <c r="E770" s="7"/>
      <c r="F770" s="29" t="e" cm="1">
        <f t="array" aca="1" ref="F770" ca="1">_xll.FDS($E$7,"P_BETA_LOCIDX("&amp;$AG770&amp;","&amp;$AL770&amp;",,"""&amp;$E$9&amp;""")")</f>
        <v>#VALUE!</v>
      </c>
      <c r="G770" s="30" t="e">
        <f t="shared" ca="1" si="188"/>
        <v>#NUM!</v>
      </c>
      <c r="H770" s="30" t="e">
        <f t="shared" ca="1" si="188"/>
        <v>#NUM!</v>
      </c>
      <c r="I770" s="30" t="e">
        <f t="shared" ca="1" si="188"/>
        <v>#NUM!</v>
      </c>
      <c r="J770" s="30" t="e">
        <f t="shared" ca="1" si="188"/>
        <v>#NUM!</v>
      </c>
      <c r="K770" s="30" t="e">
        <f t="shared" ca="1" si="189"/>
        <v>#NUM!</v>
      </c>
      <c r="L770" s="30" t="e">
        <f t="shared" ca="1" si="189"/>
        <v>#NUM!</v>
      </c>
      <c r="M770" s="30" t="e">
        <f t="shared" ca="1" si="189"/>
        <v>#NUM!</v>
      </c>
      <c r="N770" s="30" t="e">
        <f t="shared" ca="1" si="189"/>
        <v>#NUM!</v>
      </c>
      <c r="O770" s="30" t="e">
        <f t="shared" ca="1" si="190"/>
        <v>#NUM!</v>
      </c>
      <c r="P770" s="30" t="e">
        <f t="shared" ca="1" si="191"/>
        <v>#NUM!</v>
      </c>
      <c r="Q770" s="30" t="e">
        <f t="shared" ca="1" si="192"/>
        <v>#NUM!</v>
      </c>
      <c r="R770" s="30" t="e">
        <f t="shared" ca="1" si="193"/>
        <v>#NUM!</v>
      </c>
      <c r="S770" s="9" cm="1">
        <f t="array" aca="1" ref="S770" ca="1">_xll.FDS($E$7,"P_PRICE("&amp;AG770&amp;",0,D,D)")</f>
        <v>121.49</v>
      </c>
      <c r="T770" s="9" t="e">
        <f ca="1">_xll.FDS($E$7,"P_PRICE("&amp;AH770&amp;",0,D,D)")</f>
        <v>#NUM!</v>
      </c>
      <c r="U770" s="9" t="e">
        <f ca="1">_xll.FDS($E$7,"P_PRICE("&amp;AI770&amp;",0,D,D)")</f>
        <v>#NUM!</v>
      </c>
      <c r="V770" s="9" t="e">
        <f ca="1">_xll.FDS($E$7,"P_PRICE("&amp;AJ770&amp;",0,D,D)")</f>
        <v>#NUM!</v>
      </c>
      <c r="W770" s="9" t="e">
        <f ca="1">_xll.FDS($E$7,"P_PRICE("&amp;AK770&amp;",0,D,D)")</f>
        <v>#NUM!</v>
      </c>
      <c r="X770" s="24" t="e">
        <f t="shared" ca="1" si="194"/>
        <v>#NUM!</v>
      </c>
      <c r="Y770" s="24" t="e">
        <f t="shared" ca="1" si="195"/>
        <v>#NUM!</v>
      </c>
      <c r="Z770" s="24" t="e">
        <f t="shared" ca="1" si="196"/>
        <v>#NUM!</v>
      </c>
      <c r="AA770" s="24" t="e">
        <f t="shared" ca="1" si="197"/>
        <v>#NUM!</v>
      </c>
      <c r="AB770" s="9" cm="1">
        <f t="array" aca="1" ref="AB770" ca="1">_xll.FDS($E$9,"P_PRICE("&amp;AG770&amp;",0,D,D)")</f>
        <v>6837.75</v>
      </c>
      <c r="AC770" s="9" t="e">
        <f ca="1">_xll.FDS($E$9,"P_PRICE("&amp;AH770&amp;",0,D,D)")</f>
        <v>#NUM!</v>
      </c>
      <c r="AD770" s="9" t="e">
        <f ca="1">_xll.FDS($E$9,"P_PRICE("&amp;AI770&amp;",0,D,D)")</f>
        <v>#NUM!</v>
      </c>
      <c r="AE770" s="9" t="e">
        <f ca="1">_xll.FDS($E$9,"P_PRICE("&amp;AJ770&amp;",0,D,D)")</f>
        <v>#NUM!</v>
      </c>
      <c r="AF770" s="9" t="e">
        <f ca="1">_xll.FDS($E$9,"P_PRICE("&amp;AK770&amp;",0,D,D)")</f>
        <v>#NUM!</v>
      </c>
      <c r="AG770" s="20">
        <f t="shared" si="203"/>
        <v>0</v>
      </c>
      <c r="AH770" s="22" t="e">
        <f t="shared" si="198"/>
        <v>#NUM!</v>
      </c>
      <c r="AI770" s="22" t="e">
        <f t="shared" si="199"/>
        <v>#NUM!</v>
      </c>
      <c r="AJ770" s="22" t="e">
        <f t="shared" si="200"/>
        <v>#NUM!</v>
      </c>
      <c r="AK770" s="22" t="e">
        <f t="shared" si="201"/>
        <v>#NUM!</v>
      </c>
      <c r="AL770" s="22" t="e">
        <f t="shared" si="202"/>
        <v>#NUM!</v>
      </c>
    </row>
    <row r="771" spans="4:38" x14ac:dyDescent="0.25">
      <c r="D771" s="6"/>
      <c r="E771" s="7"/>
      <c r="F771" s="29" t="e" cm="1">
        <f t="array" aca="1" ref="F771" ca="1">_xll.FDS($E$7,"P_BETA_LOCIDX("&amp;$AG771&amp;","&amp;$AL771&amp;",,"""&amp;$E$9&amp;""")")</f>
        <v>#VALUE!</v>
      </c>
      <c r="G771" s="30" t="e">
        <f t="shared" ca="1" si="188"/>
        <v>#NUM!</v>
      </c>
      <c r="H771" s="30" t="e">
        <f t="shared" ca="1" si="188"/>
        <v>#NUM!</v>
      </c>
      <c r="I771" s="30" t="e">
        <f t="shared" ca="1" si="188"/>
        <v>#NUM!</v>
      </c>
      <c r="J771" s="30" t="e">
        <f t="shared" ca="1" si="188"/>
        <v>#NUM!</v>
      </c>
      <c r="K771" s="30" t="e">
        <f t="shared" ca="1" si="189"/>
        <v>#NUM!</v>
      </c>
      <c r="L771" s="30" t="e">
        <f t="shared" ca="1" si="189"/>
        <v>#NUM!</v>
      </c>
      <c r="M771" s="30" t="e">
        <f t="shared" ca="1" si="189"/>
        <v>#NUM!</v>
      </c>
      <c r="N771" s="30" t="e">
        <f t="shared" ca="1" si="189"/>
        <v>#NUM!</v>
      </c>
      <c r="O771" s="30" t="e">
        <f t="shared" ca="1" si="190"/>
        <v>#NUM!</v>
      </c>
      <c r="P771" s="30" t="e">
        <f t="shared" ca="1" si="191"/>
        <v>#NUM!</v>
      </c>
      <c r="Q771" s="30" t="e">
        <f t="shared" ca="1" si="192"/>
        <v>#NUM!</v>
      </c>
      <c r="R771" s="30" t="e">
        <f t="shared" ca="1" si="193"/>
        <v>#NUM!</v>
      </c>
      <c r="S771" s="9" cm="1">
        <f t="array" aca="1" ref="S771" ca="1">_xll.FDS($E$7,"P_PRICE("&amp;AG771&amp;",0,D,D)")</f>
        <v>121.49</v>
      </c>
      <c r="T771" s="9" t="e">
        <f ca="1">_xll.FDS($E$7,"P_PRICE("&amp;AH771&amp;",0,D,D)")</f>
        <v>#NUM!</v>
      </c>
      <c r="U771" s="9" t="e">
        <f ca="1">_xll.FDS($E$7,"P_PRICE("&amp;AI771&amp;",0,D,D)")</f>
        <v>#NUM!</v>
      </c>
      <c r="V771" s="9" t="e">
        <f ca="1">_xll.FDS($E$7,"P_PRICE("&amp;AJ771&amp;",0,D,D)")</f>
        <v>#NUM!</v>
      </c>
      <c r="W771" s="9" t="e">
        <f ca="1">_xll.FDS($E$7,"P_PRICE("&amp;AK771&amp;",0,D,D)")</f>
        <v>#NUM!</v>
      </c>
      <c r="X771" s="24" t="e">
        <f t="shared" ca="1" si="194"/>
        <v>#NUM!</v>
      </c>
      <c r="Y771" s="24" t="e">
        <f t="shared" ca="1" si="195"/>
        <v>#NUM!</v>
      </c>
      <c r="Z771" s="24" t="e">
        <f t="shared" ca="1" si="196"/>
        <v>#NUM!</v>
      </c>
      <c r="AA771" s="24" t="e">
        <f t="shared" ca="1" si="197"/>
        <v>#NUM!</v>
      </c>
      <c r="AB771" s="9" cm="1">
        <f t="array" aca="1" ref="AB771" ca="1">_xll.FDS($E$9,"P_PRICE("&amp;AG771&amp;",0,D,D)")</f>
        <v>6837.75</v>
      </c>
      <c r="AC771" s="9" t="e">
        <f ca="1">_xll.FDS($E$9,"P_PRICE("&amp;AH771&amp;",0,D,D)")</f>
        <v>#NUM!</v>
      </c>
      <c r="AD771" s="9" t="e">
        <f ca="1">_xll.FDS($E$9,"P_PRICE("&amp;AI771&amp;",0,D,D)")</f>
        <v>#NUM!</v>
      </c>
      <c r="AE771" s="9" t="e">
        <f ca="1">_xll.FDS($E$9,"P_PRICE("&amp;AJ771&amp;",0,D,D)")</f>
        <v>#NUM!</v>
      </c>
      <c r="AF771" s="9" t="e">
        <f ca="1">_xll.FDS($E$9,"P_PRICE("&amp;AK771&amp;",0,D,D)")</f>
        <v>#NUM!</v>
      </c>
      <c r="AG771" s="20">
        <f t="shared" si="203"/>
        <v>0</v>
      </c>
      <c r="AH771" s="22" t="e">
        <f t="shared" si="198"/>
        <v>#NUM!</v>
      </c>
      <c r="AI771" s="22" t="e">
        <f t="shared" si="199"/>
        <v>#NUM!</v>
      </c>
      <c r="AJ771" s="22" t="e">
        <f t="shared" si="200"/>
        <v>#NUM!</v>
      </c>
      <c r="AK771" s="22" t="e">
        <f t="shared" si="201"/>
        <v>#NUM!</v>
      </c>
      <c r="AL771" s="22" t="e">
        <f t="shared" si="202"/>
        <v>#NUM!</v>
      </c>
    </row>
    <row r="772" spans="4:38" x14ac:dyDescent="0.25">
      <c r="D772" s="6"/>
      <c r="E772" s="7"/>
      <c r="F772" s="29" t="e" cm="1">
        <f t="array" aca="1" ref="F772" ca="1">_xll.FDS($E$7,"P_BETA_LOCIDX("&amp;$AG772&amp;","&amp;$AL772&amp;",,"""&amp;$E$9&amp;""")")</f>
        <v>#VALUE!</v>
      </c>
      <c r="G772" s="30" t="e">
        <f t="shared" ca="1" si="188"/>
        <v>#NUM!</v>
      </c>
      <c r="H772" s="30" t="e">
        <f t="shared" ca="1" si="188"/>
        <v>#NUM!</v>
      </c>
      <c r="I772" s="30" t="e">
        <f t="shared" ca="1" si="188"/>
        <v>#NUM!</v>
      </c>
      <c r="J772" s="30" t="e">
        <f t="shared" ca="1" si="188"/>
        <v>#NUM!</v>
      </c>
      <c r="K772" s="30" t="e">
        <f t="shared" ca="1" si="189"/>
        <v>#NUM!</v>
      </c>
      <c r="L772" s="30" t="e">
        <f t="shared" ca="1" si="189"/>
        <v>#NUM!</v>
      </c>
      <c r="M772" s="30" t="e">
        <f t="shared" ca="1" si="189"/>
        <v>#NUM!</v>
      </c>
      <c r="N772" s="30" t="e">
        <f t="shared" ca="1" si="189"/>
        <v>#NUM!</v>
      </c>
      <c r="O772" s="30" t="e">
        <f t="shared" ca="1" si="190"/>
        <v>#NUM!</v>
      </c>
      <c r="P772" s="30" t="e">
        <f t="shared" ca="1" si="191"/>
        <v>#NUM!</v>
      </c>
      <c r="Q772" s="30" t="e">
        <f t="shared" ca="1" si="192"/>
        <v>#NUM!</v>
      </c>
      <c r="R772" s="30" t="e">
        <f t="shared" ca="1" si="193"/>
        <v>#NUM!</v>
      </c>
      <c r="S772" s="9" cm="1">
        <f t="array" aca="1" ref="S772" ca="1">_xll.FDS($E$7,"P_PRICE("&amp;AG772&amp;",0,D,D)")</f>
        <v>121.49</v>
      </c>
      <c r="T772" s="9" t="e">
        <f ca="1">_xll.FDS($E$7,"P_PRICE("&amp;AH772&amp;",0,D,D)")</f>
        <v>#NUM!</v>
      </c>
      <c r="U772" s="9" t="e">
        <f ca="1">_xll.FDS($E$7,"P_PRICE("&amp;AI772&amp;",0,D,D)")</f>
        <v>#NUM!</v>
      </c>
      <c r="V772" s="9" t="e">
        <f ca="1">_xll.FDS($E$7,"P_PRICE("&amp;AJ772&amp;",0,D,D)")</f>
        <v>#NUM!</v>
      </c>
      <c r="W772" s="9" t="e">
        <f ca="1">_xll.FDS($E$7,"P_PRICE("&amp;AK772&amp;",0,D,D)")</f>
        <v>#NUM!</v>
      </c>
      <c r="X772" s="24" t="e">
        <f t="shared" ca="1" si="194"/>
        <v>#NUM!</v>
      </c>
      <c r="Y772" s="24" t="e">
        <f t="shared" ca="1" si="195"/>
        <v>#NUM!</v>
      </c>
      <c r="Z772" s="24" t="e">
        <f t="shared" ca="1" si="196"/>
        <v>#NUM!</v>
      </c>
      <c r="AA772" s="24" t="e">
        <f t="shared" ca="1" si="197"/>
        <v>#NUM!</v>
      </c>
      <c r="AB772" s="9" cm="1">
        <f t="array" aca="1" ref="AB772" ca="1">_xll.FDS($E$9,"P_PRICE("&amp;AG772&amp;",0,D,D)")</f>
        <v>6837.75</v>
      </c>
      <c r="AC772" s="9" t="e">
        <f ca="1">_xll.FDS($E$9,"P_PRICE("&amp;AH772&amp;",0,D,D)")</f>
        <v>#NUM!</v>
      </c>
      <c r="AD772" s="9" t="e">
        <f ca="1">_xll.FDS($E$9,"P_PRICE("&amp;AI772&amp;",0,D,D)")</f>
        <v>#NUM!</v>
      </c>
      <c r="AE772" s="9" t="e">
        <f ca="1">_xll.FDS($E$9,"P_PRICE("&amp;AJ772&amp;",0,D,D)")</f>
        <v>#NUM!</v>
      </c>
      <c r="AF772" s="9" t="e">
        <f ca="1">_xll.FDS($E$9,"P_PRICE("&amp;AK772&amp;",0,D,D)")</f>
        <v>#NUM!</v>
      </c>
      <c r="AG772" s="20">
        <f t="shared" si="203"/>
        <v>0</v>
      </c>
      <c r="AH772" s="22" t="e">
        <f t="shared" si="198"/>
        <v>#NUM!</v>
      </c>
      <c r="AI772" s="22" t="e">
        <f t="shared" si="199"/>
        <v>#NUM!</v>
      </c>
      <c r="AJ772" s="22" t="e">
        <f t="shared" si="200"/>
        <v>#NUM!</v>
      </c>
      <c r="AK772" s="22" t="e">
        <f t="shared" si="201"/>
        <v>#NUM!</v>
      </c>
      <c r="AL772" s="22" t="e">
        <f t="shared" si="202"/>
        <v>#NUM!</v>
      </c>
    </row>
    <row r="773" spans="4:38" x14ac:dyDescent="0.25">
      <c r="D773" s="6"/>
      <c r="E773" s="7"/>
      <c r="F773" s="29" t="e" cm="1">
        <f t="array" aca="1" ref="F773" ca="1">_xll.FDS($E$7,"P_BETA_LOCIDX("&amp;$AG773&amp;","&amp;$AL773&amp;",,"""&amp;$E$9&amp;""")")</f>
        <v>#VALUE!</v>
      </c>
      <c r="G773" s="30" t="e">
        <f t="shared" ca="1" si="188"/>
        <v>#NUM!</v>
      </c>
      <c r="H773" s="30" t="e">
        <f t="shared" ca="1" si="188"/>
        <v>#NUM!</v>
      </c>
      <c r="I773" s="30" t="e">
        <f t="shared" ca="1" si="188"/>
        <v>#NUM!</v>
      </c>
      <c r="J773" s="30" t="e">
        <f t="shared" ca="1" si="188"/>
        <v>#NUM!</v>
      </c>
      <c r="K773" s="30" t="e">
        <f t="shared" ca="1" si="189"/>
        <v>#NUM!</v>
      </c>
      <c r="L773" s="30" t="e">
        <f t="shared" ca="1" si="189"/>
        <v>#NUM!</v>
      </c>
      <c r="M773" s="30" t="e">
        <f t="shared" ca="1" si="189"/>
        <v>#NUM!</v>
      </c>
      <c r="N773" s="30" t="e">
        <f t="shared" ca="1" si="189"/>
        <v>#NUM!</v>
      </c>
      <c r="O773" s="30" t="e">
        <f t="shared" ca="1" si="190"/>
        <v>#NUM!</v>
      </c>
      <c r="P773" s="30" t="e">
        <f t="shared" ca="1" si="191"/>
        <v>#NUM!</v>
      </c>
      <c r="Q773" s="30" t="e">
        <f t="shared" ca="1" si="192"/>
        <v>#NUM!</v>
      </c>
      <c r="R773" s="30" t="e">
        <f t="shared" ca="1" si="193"/>
        <v>#NUM!</v>
      </c>
      <c r="S773" s="9" cm="1">
        <f t="array" aca="1" ref="S773" ca="1">_xll.FDS($E$7,"P_PRICE("&amp;AG773&amp;",0,D,D)")</f>
        <v>121.49</v>
      </c>
      <c r="T773" s="9" t="e">
        <f ca="1">_xll.FDS($E$7,"P_PRICE("&amp;AH773&amp;",0,D,D)")</f>
        <v>#NUM!</v>
      </c>
      <c r="U773" s="9" t="e">
        <f ca="1">_xll.FDS($E$7,"P_PRICE("&amp;AI773&amp;",0,D,D)")</f>
        <v>#NUM!</v>
      </c>
      <c r="V773" s="9" t="e">
        <f ca="1">_xll.FDS($E$7,"P_PRICE("&amp;AJ773&amp;",0,D,D)")</f>
        <v>#NUM!</v>
      </c>
      <c r="W773" s="9" t="e">
        <f ca="1">_xll.FDS($E$7,"P_PRICE("&amp;AK773&amp;",0,D,D)")</f>
        <v>#NUM!</v>
      </c>
      <c r="X773" s="24" t="e">
        <f t="shared" ca="1" si="194"/>
        <v>#NUM!</v>
      </c>
      <c r="Y773" s="24" t="e">
        <f t="shared" ca="1" si="195"/>
        <v>#NUM!</v>
      </c>
      <c r="Z773" s="24" t="e">
        <f t="shared" ca="1" si="196"/>
        <v>#NUM!</v>
      </c>
      <c r="AA773" s="24" t="e">
        <f t="shared" ca="1" si="197"/>
        <v>#NUM!</v>
      </c>
      <c r="AB773" s="9" cm="1">
        <f t="array" aca="1" ref="AB773" ca="1">_xll.FDS($E$9,"P_PRICE("&amp;AG773&amp;",0,D,D)")</f>
        <v>6837.75</v>
      </c>
      <c r="AC773" s="9" t="e">
        <f ca="1">_xll.FDS($E$9,"P_PRICE("&amp;AH773&amp;",0,D,D)")</f>
        <v>#NUM!</v>
      </c>
      <c r="AD773" s="9" t="e">
        <f ca="1">_xll.FDS($E$9,"P_PRICE("&amp;AI773&amp;",0,D,D)")</f>
        <v>#NUM!</v>
      </c>
      <c r="AE773" s="9" t="e">
        <f ca="1">_xll.FDS($E$9,"P_PRICE("&amp;AJ773&amp;",0,D,D)")</f>
        <v>#NUM!</v>
      </c>
      <c r="AF773" s="9" t="e">
        <f ca="1">_xll.FDS($E$9,"P_PRICE("&amp;AK773&amp;",0,D,D)")</f>
        <v>#NUM!</v>
      </c>
      <c r="AG773" s="20">
        <f t="shared" si="203"/>
        <v>0</v>
      </c>
      <c r="AH773" s="22" t="e">
        <f t="shared" si="198"/>
        <v>#NUM!</v>
      </c>
      <c r="AI773" s="22" t="e">
        <f t="shared" si="199"/>
        <v>#NUM!</v>
      </c>
      <c r="AJ773" s="22" t="e">
        <f t="shared" si="200"/>
        <v>#NUM!</v>
      </c>
      <c r="AK773" s="22" t="e">
        <f t="shared" si="201"/>
        <v>#NUM!</v>
      </c>
      <c r="AL773" s="22" t="e">
        <f t="shared" si="202"/>
        <v>#NUM!</v>
      </c>
    </row>
    <row r="774" spans="4:38" x14ac:dyDescent="0.25">
      <c r="D774" s="8"/>
      <c r="F774" s="23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9"/>
      <c r="T774" s="9"/>
      <c r="U774" s="9"/>
      <c r="V774" s="9"/>
      <c r="W774" s="9"/>
      <c r="X774" s="24"/>
      <c r="Y774" s="24"/>
      <c r="Z774" s="24"/>
      <c r="AA774" s="24"/>
      <c r="AB774" s="9"/>
      <c r="AC774" s="9"/>
      <c r="AD774" s="9"/>
      <c r="AE774" s="9"/>
      <c r="AF774" s="9"/>
      <c r="AG774" s="20"/>
      <c r="AH774" s="22"/>
      <c r="AI774" s="22"/>
      <c r="AJ774" s="22"/>
      <c r="AK774" s="22"/>
      <c r="AL774" s="22"/>
    </row>
    <row r="775" spans="4:38" x14ac:dyDescent="0.25">
      <c r="D775" s="8"/>
    </row>
    <row r="776" spans="4:38" x14ac:dyDescent="0.25">
      <c r="D776" s="8"/>
    </row>
    <row r="777" spans="4:38" x14ac:dyDescent="0.25">
      <c r="D777" s="8"/>
    </row>
    <row r="778" spans="4:38" x14ac:dyDescent="0.25">
      <c r="D778" s="8"/>
    </row>
    <row r="779" spans="4:38" x14ac:dyDescent="0.25">
      <c r="D779" s="8"/>
    </row>
    <row r="780" spans="4:38" x14ac:dyDescent="0.25">
      <c r="D780" s="8"/>
    </row>
    <row r="781" spans="4:38" x14ac:dyDescent="0.25">
      <c r="D781" s="8"/>
    </row>
    <row r="782" spans="4:38" x14ac:dyDescent="0.25">
      <c r="D782" s="8"/>
    </row>
    <row r="783" spans="4:38" x14ac:dyDescent="0.25">
      <c r="D783" s="8"/>
    </row>
    <row r="784" spans="4:38" x14ac:dyDescent="0.25">
      <c r="D784" s="8"/>
    </row>
    <row r="785" spans="4:4" x14ac:dyDescent="0.25">
      <c r="D785" s="8"/>
    </row>
    <row r="786" spans="4:4" x14ac:dyDescent="0.25">
      <c r="D786" s="8"/>
    </row>
    <row r="787" spans="4:4" x14ac:dyDescent="0.25">
      <c r="D787" s="8"/>
    </row>
    <row r="788" spans="4:4" x14ac:dyDescent="0.25">
      <c r="D788" s="8"/>
    </row>
    <row r="789" spans="4:4" x14ac:dyDescent="0.25">
      <c r="D789" s="8"/>
    </row>
    <row r="790" spans="4:4" x14ac:dyDescent="0.25">
      <c r="D790" s="8"/>
    </row>
    <row r="791" spans="4:4" x14ac:dyDescent="0.25">
      <c r="D791" s="8"/>
    </row>
    <row r="792" spans="4:4" x14ac:dyDescent="0.25">
      <c r="D792" s="8"/>
    </row>
    <row r="793" spans="4:4" x14ac:dyDescent="0.25">
      <c r="D793" s="8"/>
    </row>
    <row r="794" spans="4:4" x14ac:dyDescent="0.25">
      <c r="D794" s="8"/>
    </row>
    <row r="795" spans="4:4" x14ac:dyDescent="0.25">
      <c r="D795" s="8"/>
    </row>
    <row r="796" spans="4:4" x14ac:dyDescent="0.25">
      <c r="D796" s="8"/>
    </row>
    <row r="797" spans="4:4" x14ac:dyDescent="0.25">
      <c r="D797" s="8"/>
    </row>
    <row r="798" spans="4:4" x14ac:dyDescent="0.25">
      <c r="D798" s="8"/>
    </row>
    <row r="799" spans="4:4" x14ac:dyDescent="0.25">
      <c r="D799" s="8"/>
    </row>
    <row r="800" spans="4:4" x14ac:dyDescent="0.25">
      <c r="D800" s="8"/>
    </row>
    <row r="801" spans="4:4" x14ac:dyDescent="0.25">
      <c r="D801" s="8"/>
    </row>
  </sheetData>
  <conditionalFormatting sqref="G21:J774">
    <cfRule type="cellIs" dxfId="3" priority="3" operator="greaterThan">
      <formula>0</formula>
    </cfRule>
    <cfRule type="cellIs" dxfId="2" priority="4" operator="lessThan">
      <formula>0</formula>
    </cfRule>
  </conditionalFormatting>
  <conditionalFormatting sqref="O21:R774">
    <cfRule type="cellIs" dxfId="1" priority="1" operator="greaterThan">
      <formula>0</formula>
    </cfRule>
    <cfRule type="cellIs" dxfId="0" priority="2" operator="lessThan">
      <formula>0</formula>
    </cfRule>
  </conditionalFormatting>
  <pageMargins left="0.7" right="0.7" top="0.75" bottom="0.75" header="0.3" footer="0.3"/>
  <pageSetup orientation="portrait" horizontalDpi="1200" verticalDpi="12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<?xml version="1.0" encoding="utf-8"?>
<FdsFormulaCache xmlns="urn:fdsformulacache" version="2" timestamp="1771902872"><![CDATA[{"CRS-US^P_BETA_LOCIDX(45485,45310,,\"SPX\")":0.88270247,"CRS-US^P_BETA_LOCIDX(45419,45243,,\"SPX\")":0.91173804,"CRS-US^P_BETA_LOCIDX(45387,45211,,\"SPX\")":1.1094607,"CRS-US^P_BETA_LOCIDX(45327,45152,,\"SPX\")":1.2340397,"CRS-US^P_BETA_LOCIDX(45267,45093,,\"SPX\")":1.2211705,"CRS-US^P_BETA_LOCIDX(45211,45037,,\"SPX\")":1.6485926,"CRS-US^P_BETA_LOCIDX(45156,44984,,\"SPX\")":1.8497506,"CRS-US^P_BETA_LOCIDX(45072,44897,,\"SPX\")":1.7965279,"CRS-US^P_BETA_LOCIDX(45019,44844,,\"SPX\")":1.3420951,"CRS-US^P_BETA_LOCIDX(44964,44789,,\"SPX\")":1.4463162,"CRS-US^P_BETA_LOCIDX(45449,45273,,\"SPX\")":1.0712123,"CRS-US^P_BETA_LOCIDX(45237,45063,,\"SPX\")":1.3985825,"CRS-US^P_BETA_LOCIDX(45210,45036,,\"SPX\")":1.6045811,"CRS-US^P_BETA_LOCIDX(45131,44956,,\"SPX\")":1.7988378,"CRS-US^P_BETA_LOCIDX(44992,44817,,\"SPX\")":1.3559314,"CRS-US^P_BETA_LOCIDX(45917,45742,,\"SPX\")":1.4948987,"CRS-US^P_BETA_LOCIDX(45814,45637,,\"SPX\")":1.6225122,"CRS-US^P_BETA_LOCIDX(45747,45569,,\"SPX\")":1.8142716,"CRS-US^P_BETA_LOCIDX(45643,45470,,\"SPX\")":1.7329247,"CRS-US^P_BETA_LOCIDX(45580,45406,,\"SPX\")":1.305869,"CRS-US^P_BETA_LOCIDX(45548,45373,,\"SPX\")":1.296745,"CRS-US^P_BETA_LOCIDX(45484,45309,,\"SPX\")":0.90704924,"CRS-US^P_BETA_LOCIDX(45296,45124,,\"SPX\")":1.2657089,"CRS-US^P_BETA_LOCIDX(45183,45008,,\"SPX\")":1.7160647,"CRS-US^P_BETA_LOCIDX(45044,44868,,\"SPX\")":1.4935801,"CRS-US^P_BETA_LOCIDX(44963,44788,,\"SPX\")":1.4429153,"CRS-US^P_BETA_LOCIDX(46038,45868,,\"SPX\")":1.2899231,"CRS-US^P_BETA_LOCIDX(45992,45818,,\"SPX\")":1.1895055,"CRS-US^P_BETA_LOCIDX(45951,45777,,\"SPX\")":0.98604786,"CRS-US^P_BETA_LOCIDX(45882,45708,,\"SPX\")":1.5797071,"CRS-US^P_BETA_LOCIDX(45848,45672,,\"SPX\")":1.6225814,"CRS-US^P_BETA_LOCIDX(45813,45636,,\"SPX\")":1.6281577,"CRS-US^P_BETA_LOCIDX(45779,45602,,\"SPX\")":1.7185415,"CRS-US^P_BETA_LOCIDX(45714,45538,,\"SPX\")":1.8868916,"CRS-US^P_BETA_LOCIDX(45680,45504,,\"SPX\")":1.743933,"CRS-US^P_BETA_LOCIDX(45609,45435,,\"SPX\")":1.7399372,"CRS-US^P_BETA_LOCIDX(45579,45405,,\"SPX\")":1.304739,"CRS-US^P_BETA_LOCIDX(45516,45342,,\"SPX\")":1.0806584,"CRS-US^P_BETA_LOCIDX(45483,45308,,\"SPX\")":0.96535,"CRS-US^P_BETA_LOCIDX(45418,45240,,\"SPX\")":0.8913951,"CRS-US^P_BETA_LOCIDX(45386,45210,,\"SPX\")":1.1038448,"CRS-US^P_BETA_LOCIDX(45324,45149,,\"SPX\")":1.2179258,"CRS-US^P_BETA_LOCIDX(45295,45121,,\"SPX\")":1.2753205,"CRS-US^P_BETA_LOCIDX(45265,45091,,\"SPX\")":1.2853988,"CRS-US^P_BETA_LOCIDX(45209,45035,,\"SPX\")":1.6118574,"CRS-US^P_BETA_LOCIDX(45155,44981,,\"SPX\")":1.8345479,"CRS-US^P_BETA_LOCIDX(45071,44896,,\"SPX\")":1.8230662,"CRS-US^P_BETA_LOCIDX(45016,44841,,\"SPX\")":1.3142524,"CRS-US^P_BETA_LOCIDX(45950,45776,,\"SPX\")":0.9842675,"CRS-US^P_BETA_LOCIDX(45916,45741,,\"SPX\")":1.4959383,"CRS-US^P_BETA_LOCIDX(45881,45707,,\"SPX\")":1.5841347,"CRS-US^P_BETA_LOCIDX(45744,45568,,\"SPX\")":1.8247637,"CRS-US^P_BETA_LOCIDX(45678,45502,,\"SPX\")":1.747447,"CRS-US^P_BETA_LOCIDX(45642,45469,,\"SPX\")":1.728593,"CRS-US^P_BETA_LOCIDX(45546,45371,,\"SPX\")":1.251138,"CRS-US^P_BETA_LOCIDX(45513,45338,,\"SPX\")":1.0849206,"CRS-US^P_BETA_LOCIDX(45448,45272,,\"SPX\")":1.0592605,"CRS-US^P_BETA_LOCIDX(45415,45239,,\"SPX\")":0.9242916,"CRS-US^P_BETA_LOCIDX(45355,45180,,\"SPX\")":1.2975892,"CRS-US^P_BETA_LOCIDX(45323,45148,,\"SPX\")":1.230343,"CRS-US^P_BETA_LOCIDX(45264,45090,,\"SPX\")":1.2887752,"CRS-US^P_BETA_LOCIDX(45236,45062,,\"SPX\")":1.4826431,"CRS-US^P_BETA_LOCIDX(45182,45007,,\"SPX\")":1.7075022,"CRS-US^P_BETA_LOCIDX(45127,44952,,\"SPX\")":1.8493282,"CRS-US^P_BETA_LOCIDX(45099,44923,,\"SPX\")":1.8093216,"CRS-US^P_BETA_LOCIDX(45070,44895,,\"SPX\")":1.751003,"CRS-US^P_BETA_LOCIDX(45043,44867,,\"SPX\")":1.562882,"CRS-US^P_BETA_LOCIDX(44991,44816,,\"SPX\")":1.3885988,"CRS-US^P_BETA_LOCIDX(44960,44785,,\"SPX\")":1.4341686,"CRS-US^P_BETA_LOCIDX(46036,45866,,\"SPX\")":1.2717056,"CRS-US^P_BETA_LOCIDX(45987,45814,,\"SPX\")":1.1840852,"CRS-US^P_BETA_LOCIDX(45947,45775,,\"SPX\")":0.9782314,"CRS-US^P_BETA_LOCIDX(45880,45706,,\"SPX\")":1.5838603,"CRS-US^P_BETA_LOCIDX(45847,45671,,\"SPX\")":1.6232488,"CRS-US^P_BETA_LOCIDX(45812,45635,,\"SPX\")":1.6379489,"CRS-US^P_BETA_LOCIDX(45777,45600,,\"SPX\")":1.71063,"CRS-US^P_BETA_LOCIDX(45743,45567,,\"SPX\")":1.8446376,"CRS-US^P_BETA_LOCIDX(45712,45533,,\"SPX\")":1.8807851,"CRS-US^P_BETA_LOCIDX(45608,45434,,\"SPX\")":1.7551062,"CRS-US^P_BETA_LOCIDX(45576,45404,,\"SPX\")":1.3336117,"CRS-US^P_BETA_LOCIDX(45512,45337,,\"SPX\")":1.1096523,"CRS-US^P_BETA_LOCIDX(45482,45307,,\"SPX\")":0.9912615,"CRS-US^P_BETA_LOCIDX(45384,45208,,\"SPX\")":1.2677792,"CRS-US^P_BETA_LOCIDX(45294,45120,,\"SPX\")":1.281784,"CRS-US^P_BETA_LOCIDX(45208,45034,,\"SPX\")":1.5924009,"CRS-US^P_BETA_LOCIDX(45154,44980,,\"SPX\")":1.8187938,"CRS-US^P_BETA_LOCIDX(45126,44951,,\"SPX\")":1.8635751,"CRS-US^P_BETA_LOCIDX(45069,44894,,\"SPX\")":1.737567,"CRS-US^P_BETA_LOCIDX(45015,44840,,\"SPX\")":1.3089473,"CRS-US^P_BETA_LOCIDX(45915,45740,,\"SPX\")":1.5190334,"CRS-US^P_BETA_LOCIDX(45811,45632,,\"SPX\")":1.6367997,"CRS-US^P_BETA_LOCIDX(45674,45499,,\"SPX\")":1.7674884,"CRS-US^P_BETA_LOCIDX(45639,45468,,\"SPX\")":1.7384707,"CRS-US^P_BETA_LOCIDX(45575,45401,,\"SPX\")":1.3548812,"CRS-US^P_BETA_LOCIDX(45544,45369,,\"SPX\")":1.2914481,"CRS-US^P_BETA_LOCIDX(45447,45271,,\"SPX\")":1.0472026,"CRS-US^P_BETA_LOCIDX(45414,45238,,\"SPX\")":0.88154554,"CRS-US^P_BETA_LOCIDX(45383,45205,,\"SPX\")":1.2844932,"CRS-US^P_BETA_LOCIDX(45352,45177,,\"SPX\")":1.2939615,"CRS-US^P_BETA_LOCIDX(45322,45147,,\"SPX\")":1.3007956,"CRS-US^P_BETA_LOCIDX(45261,45089,,\"SPX\")":1.298153,"CRS-US^P_BETA_LOCIDX(45233,45061,,\"SPX\")":1.4899577,"CRS-US^P_BETA_LOCIDX(45181,45006,,\"SPX\")":1.6791232,"CRS-US^P_BETA_LOCIDX(45098,44922,,\"SPX\")":1.8113581,"CRS-US^P_BETA_LOCIDX(45042,44866,,\"SPX\")":1.4585063,"CRS-US^P_BETA_LOCIDX(44987,44812,,\"SPX\")":1.4119179,"CRS-US^P_BETA_LOCIDX(44959,44784,,\"SPX\")":1.4391068,"CRS-US^P_BETA_LOCIDX(46034,45862,,\"SPX\")":1.2882165,"CRS-US^P_BETA_LOCIDX(45985,45812,,\"SPX\")":1.182609,"CRS-US^P_BETA_LOCIDX(45946,45772,,\"SPX\")":0.97227335,"CRS-US^P_BETA_LOCIDX(45877,45702,,\"SPX\")":1.5833638,"CRS-US^P_BETA_LOCIDX(45846,45670,,\"SPX\")":1.6257596,"CRS-US^P_BETA_LOCIDX(45810,45631,,\"SPX\")":1.633742,"CRS-US^P_BETA_LOCIDX(45776,45597,,\"SPX\")":1.715754,"CRS-US^P_BETA_LOCIDX(45742,45566,,\"SPX\")":1.8350651,"CRS-US^P_BETA_LOCIDX(45708,45531,,\"SPX\")":1.8393569,"CRS-US^P_BETA_LOCIDX(45673,45498,,\"SPX\")":1.6892397,"CRS-US^P_BETA_LOCIDX(45607,45433,,\"SPX\")":1.7535471,"CRS-US^P_BETA_LOCIDX(45574,45400,,\"SPX\")":1.3475144,"CRS-US^P_BETA_LOCIDX(45511,45336,,\"SPX\")":1.1018758,"CRS-US^P_BETA_LOCIDX(45481,45303,,\"SPX\")":0.9910235,"CRS-US^P_BETA_LOCIDX(45413,45237,,\"SPX\")":0.868905,"CRS-US^P_BETA_LOCIDX(45351,45176,,\"SPX\")":1.2829251,"CRS-US^P_BETA_LOCIDX(45293,45119,,\"SPX\")":1.2754154,"CRS-US^P_BETA_LOCIDX(45232,45058,,\"SPX\")":1.5276934,"CRS-US^P_BETA_LOCIDX(45205,45033,,\"SPX\")":1.5999067,"CRS-US^P_BETA_LOCIDX(45153,44979,,\"SPX\")":1.836253,"CRS-US^P_BETA_LOCIDX(45125,44950,,\"SPX\")":1.8719158,"CRS-US^P_BETA_LOCIDX(45068,44893,,\"SPX\")":1.7398938,"CRS-US^P_BETA_LOCIDX(45014,44839,,\"SPX\")":1.3122293,"CRS-US^P_BETA_LOCIDX(44986,44811,,\"SPX\")":1.418577,"CRS-US^P_BETA_LOCIDX(45912,45737,,\"SPX\")":1.519626,"CRS-US^P_BETA_LOCIDX(45741,45565,,\"SPX\")":1.8164437,"CRS-US^P_BETA_LOCIDX(46031,45861,,\"SPX\")":1.2749883,"CRS-US^P_BETA_LOCIDX(45982,45811,,\"SPX\")":1.1984875,"CRS-US^P_BETA_LOCIDX(45945,45771,,\"SPX\")":1.0324086,"CRS-US^P_BETA_LOCIDX(45910,45735,,\"SPX\")":1.5423902,"CRS-US^P_BETA_LOCIDX(45876,45701,,\"SPX\")":1.5800014,"CRS-US^P_BETA_LOCIDX(45845,45667,,\"SPX\")":1.606068,"CRS-US^P_BETA_LOCIDX(45807,45630,,\"SPX\")":1.6313435,"CRS-US^P_BETA_LOCIDX(45909,45734,,\"SPX\")":1.541297,"CRS-US^P_BETA_LOCIDX(45840,45664,,\"SPX\")":1.6124175,"CRS-US^P_BETA_LOCIDX(45671,45496,,\"SPX\")":1.704684,"CRS-US^P_BETA_LOCIDX(45635,45461,,\"SPX\")":1.7434899,"CRS-US^P_BETA_LOCIDX(45540,45365,,\"SPX\")":1.2362996,"CRS-US^P_BETA_LOCIDX(45509,45334,,\"SPX\")":1.1029358,"CRS-US^P_BETA_LOCIDX(45442,45266,,\"SPX\")":0.9976355,"CRS-US^P_BETA_LOCIDX(45411,45233,,\"SPX\")":1.0707024,"CRS-US^P_BETA_LOCIDX(45378,45203,,\"SPX\")":1.2950618,"CRS-US^P_BETA_LOCIDX(45349,45174,,\"SPX\")":1.2970456,"CRS-US^P_BETA_LOCIDX(45287,45114,,\"SPX\")":1.263472,"CRS-US^P_BETA_LOCIDX(45259,45085,,\"SPX\")":1.2566105,"CRS-US^P_BETA_LOCIDX(45230,45056,,\"SPX\")":1.4660134,"CRS-US^P_BETA_LOCIDX(46030,45860,,\"SPX\")":1.2620306,"CRS-US^P_BETA_LOCIDX(45981,45810,,\"SPX\")":1.2070225,"CRS-US^P_BETA_LOCIDX(45943,45769,,\"SPX\")":1.2555578,"CRS-US^P_BETA_LOCIDX(45908,45733,,\"SPX\")":1.5416157,"CRS-US^P_BETA_LOCIDX(45874,45699,,\"SPX\")":1.5863634,"CRS-US^P_BETA_LOCIDX(45806,45629,,\"SPX\")":1.6311078,"CRS-US^P_BETA_LOCIDX(45772,45595,,\"SPX\")":1.74376,"CRS-US^P_BETA_LOCIDX(45737,45561,,\"SPX\")":1.7428818,"CRS-US^P_BETA_LOCIDX(45706,45527,,\"SPX\")":1.8289188,"CRS-US^P_BETA_LOCIDX(45670,45495,,\"SPX\")":1.692902,"CRS-US^P_BETA_LOCIDX(45602,45428,,\"SPX\")":1.7754596,"CRS-US^P_BETA_LOCIDX(45572,45398,,\"SPX\")":1.3511766,"CRS-US^P_BETA_LOCIDX(45506,45331,,\"SPX\")":1.1188244,"CRS-US^P_BETA_LOCIDX(45474,45299,,\"SPX\")":1.0330683,"CRS-US^P_BETA_LOCIDX(45348,45170,,\"SPX\")":1.2987969,"CRS-US^P_BETA_LOCIDX(45317,45142,,\"SPX\")":1.2920817,"CRS-US^P_BETA_LOCIDX(45203,45029,,\"SPX\")":1.618578,"CRS-US^P_BETA_LOCIDX(45121,44946,,\"SPX\")":1.8113225,"CRS-US^P_BETA_LOCIDX(45064,44888,,\"SPX\")":1.7317908,"CRS-US^P_BETA_LOCIDX(45009,44834,,\"SPX\")":1.4121609,"CRS-US^P_BETA_LOCIDX(44984,44806,,\"SPX\")":1.426849,"CRS-US^P_BETA_LOCIDX(45839,45663,,\"SPX\")":1.6146363,"CRS-US^P_BETA_LOCIDX(45770,45593,,\"SPX\")":1.7482201,"CRS-US^P_BETA_LOCIDX(45632,45460,,\"SPX\")":1.7312434,"CRS-US^P_BETA_LOCIDX(45601,45427,,\"SPX\")":1.620283,"CRS-US^P_BETA_LOCIDX(45539,45364,,\"SPX\")":1.2316861,"CRS-US^P_BETA_LOCIDX(45505,45330,,\"SPX\")":0.99750984,"CRS-US^P_BETA_LOCIDX(45441,45265,,\"SPX\")":1.0078479,"CRS-US^P_BETA_LOCIDX(45408,45232,,\"SPX\")":1.1352081,"CRS-US^P_BETA_LOCIDX(45377,45202,,\"SPX\")":1.3078355,"CRS-US^P_BETA_LOCIDX(45286,45113,,\"SPX\")":1.2918525,"CRS-US^P_BETA_LOCIDX(45258,45084,,\"SPX\")":1.2248919,"CRS-US^P_BETA_LOCIDX(45229,45055,,\"SPX\")":1.4753778,"CRS-US^P_BETA_LOCIDX(45176,45001,,\"SPX\")":1.7963526,"CRS-US^P_BETA_LOCIDX(45147,44972,,\"SPX\")":1.8543698,"CRS-US^P_BETA_LOCIDX(45091,44915,,\"SPX\")":1.818925,"CRS-US^P_BETA_LOCIDX(45037,44861,,\"SPX\")":1.4104092,"CRS-US^P_BETA_LOCIDX(45008,44833,,\"SPX\")":1.4276776,"CRS-US^P_BETA_LOCIDX(46029,45859,,\"SPX\")":1.2521685,"CRS-US^P_BETA_LOCIDX(45980,45807,,\"SPX\")":1.0795859,"CRS-US^P_BETA_LOCIDX(45939,45764,,\"SPX\")":1.2157722,"CRS-US^P_BETA_LOCIDX(45905,45730,,\"SPX\")":1.5462217,"CRS-US^P_BETA_LOCIDX(45870,45695,,\"SPX\")":1.6134219,"CRS-US^P_BETA_LOCIDX(45838,45660,,\"SPX\")":1.6147556,"CRS-US^P_BETA_LOCIDX(45804,45625,,\"SPX\")":1.6306812,"CRS-US^P_BETA_LOCIDX(45736,45560,,\"SPX\")":1.7418172,"CRS-US^P_BETA_LOCIDX(45702,45526,,\"SPX\")":1.8043526,"CRS-US^P_BETA_LOCIDX(45667,45492,,\"SPX\")":1.674623,"CRS-US^P_BETA_LOCIDX(45568,45394,,\"SPX\")":1.3616898,"CRS-US^P_BETA_LOCIDX(45538,45363,,\"SPX\")":1.1617147,"CRS-US^P_BETA_LOCIDX(45471,45296,,\"SPX\")":1.0385562,"CRS-US^P_BETA_LOCIDX(45440,45264,,\"SPX\")":0.9877362,"CRS-US^P_BETA_LOCIDX(45345,45169,,\"SPX\")":1.29893,"CRS-US^P_BETA_LOCIDX(45316,45141,,\"SPX\")":1.3027048,"CRS-US^P_BETA_LOCIDX(45257,45083,,\"SPX\")":1.2375053,"CRS-US^P_BETA_LOCIDX(45202,45028,,\"SPX\")":1.6213728,"CRS-US^P_BETA_LOCIDX(45120,44945,,\"SPX\")":1.7975116,"CRS-US^P_BETA_LOCIDX(45063,44887,,\"SPX\")":1.7188951,"CRS-US^P_BETA_LOCIDX(44981,44805,,\"SPX\")":1.4209955,"CRS-US^P_BETA_LOCIDX(46022,45852,,\"SPX\")":1.2852781,"CRS-US^P_BETA_LOCIDX(45975,45804,,\"SPX\")":1.1034014,"CRS-US^P_BETA_LOCIDX(45904,45729,,\"SPX\")":1.5570118,"CRS-US^P_BETA_LOCIDX(45769,45590,,\"SPX\")":1.7218344,"CRS-US^P_BETA_LOCIDX(45700,45524,,\"SPX\")":1.8705443,"CRS-US^P_BETA_LOCIDX(45631,45457,,\"SPX\")":1.7457126,"CRS-US^P_BETA_LOCIDX(45600,45426,,\"SPX\")":1.5967718,"CRS-US^P_BETA_LOCIDX(45534,45362,,\"SPX\")":1.0158887,"CRS-US^P_BETA_LOCIDX(45504,45329,,\"SPX\")":1.0042819,"CRS-US^P_BETA_LOCIDX(45406,45230,,\"SPX\")":1.148308,"CRS-US^P_BETA_LOCIDX(45376,45201,,\"SPX\")":1.3164569,"CRS-US^P_BETA_LOCIDX(45282,45112,,\"SPX\")":1.3002591,"CRS-US^P_BETA_LOCIDX(45974,45800,,\"SPX\")":1.0748804,"CRS-US^P_BETA_LOCIDX(45938,45763,,\"SPX\")":1.1583471,"CRS-US^P_BETA_LOCIDX(45903,45728,,\"SPX\")":1.5552619,"CRS-US^P_BETA_LOCIDX(45869,45694,,\"SPX\")":1.6448652,"CRS-US^P_BETA_LOCIDX(45835,45659,,\"SPX\")":1.6130501,"CRS-US^P_BETA_LOCIDX(45799,45622,,\"SPX\")":1.6361248,"CRS-US^P_BETA_LOCIDX(45768,45589,,\"SPX\")":1.7079042,"CRS-US^P_BETA_LOCIDX(45734,45558,,\"SPX\")":1.7050859,"CRS-US^P_BETA_LOCIDX(45665,45491,,\"SPX\")":1.7214243,"CRS-US^P_BETA_LOCIDX(45597,45425,,\"SPX\")":1.5965154,"CRS-US^P_BETA_LOCIDX(45566,45392,,\"SPX\")":1.392005,"CRS-US^P_BETA_LOCIDX(45470,45295,,\"SPX\")":1.0632856,"CRS-US^P_BETA_LOCIDX(45436,45261,,\"SPX\")":1.0096078,"CRS-US^P_BETA_LOCIDX(45373,45198,,\"SPX\")":1.3293219,"CRS-US^P_BETA_LOCIDX(45344,45168,,\"SPX\")":1.3047944,"CRS-US^P_BETA_LOCIDX(45314,45139,,\"SPX\")":1.3723061,"CRS-US^P_BETA_LOCIDX(45201,45027,,\"SPX\")":1.5921292,"CRS-US^P_BETA_LOCIDX(45170,44998,,\"SPX\")":1.8600855,"CRS-US^P_BETA_LOCIDX(45118,44943,,\"SPX\")":1.7630477,"CRS-US^P_BETA_LOCIDX(45062,44886,,\"SPX\")":1.7153379,"CRS-US^P_BETA_LOCIDX(44980,44804,,\"SPX\")":1.4312353,"CRS-US^P_BETA_LOCIDX(45834,45657,,\"SPX\")":1.6107057,"CRS-US^P_BETA_LOCIDX(45699,45523,,\"SPX\")":1.8580881,"CRS-US^P_BETA_LOCIDX(45630,45456,,\"SPX\")":1.7433499,"CRS-US^P_BETA_LOCIDX(45596,45422,,\"SPX\")":1.5822643,"CRS-US^P_BETA_LOCIDX(45533,45359,,\"SPX\")":1.0229923,"CRS-US^P_BETA_LOCIDX(45503,45328,,\"SPX\")":0.98742366,"CRS-US^P_BETA_LOCIDX(45435,45260,,\"SPX\")":1.0176941,"CRS-US^P_BETA_LOCIDX(45404,45226,,\"SPX\")":1.1561465,"CRS-US^P_BETA_LOCIDX(45372,45197,,\"SPX\")":1.3205172,"CRS-US^P_BETA_LOCIDX(45343,45167,,\"SPX\")":1.3860765,"CRS-US^P_BETA_LOCIDX(45313,45138,,\"SPX\")":1.3759708,"CRS-US^P_BETA_LOCIDX(45281,45110,,\"SPX\")":1.2986912,"CRS-US^P_BETA_LOCIDX(45252,45079,,\"SPX\")":1.3506907,"CRS-US^P_BETA_LOCIDX(45225,45051,,\"SPX\")":1.4251746,"CRS-US^P_BETA_LOCIDX(45145,44970,,\"SPX\")":1.8303564,"CRS-US^P_BETA_LOCIDX(45089,44911,,\"SPX\")":1.7995901,"CRS-US^P_BETA_LOCIDX(45034,44858,,\"SPX\")":1.3897185,"CRS-US^P_BETA_LOCIDX(45006,44831,,\"SPX\")":1.4324795,"CRS-US^P_BETA_LOCIDX(44979,44803,,\"SPX\")":1.4470053,"CRS-US^P_BETA_LOCIDX(45968,45796,,\"SPX\")":1.1373426,"CRS-US^P_BETA_LOCIDX(45763,45587,,\"SPX\")":1.7220286,"CRS-US^P_BETA_LOCIDX(45628,45454,,\"SPX\")":1.7410011,"CRS-US^P_BETA_LOCIDX(45595,45421,,\"SPX\")":1.5008429,"CRS-US^P_BETA_LOCIDX(45499,45324,,\"SPX\")":0.99143106,"CRS-US^P_BETA_LOCIDX(45468,45293,,\"SPX\")":1.1051952,"CRS-US^P_BETA_LOCIDX(45401,45225,,\"SPX\")":0.98321587,"CRS-US^P_BETA_LOCIDX(45371,45196,,\"SPX\")":1.316849,"CRS-US^P_BETA_LOCIDX(45342,45166,,\"SPX\")":1.3945386,"CRS-US^P_BETA_LOCIDX(45310,45135,,\"SPX\")":1.3496565,"CRS-US^P_BETA_LOCIDX(45280,45107,,\"SPX\")":1.269022,"CRS-US^P_BETA_LOCIDX(45251,45078,,\"SPX\")":1.3475848,"CRS-US^P_BETA_LOCIDX(45224,45050,,\"SPX\")":1.619236,"CRS-US^P_BETA_LOCIDX(45142,44967,,\"SPX\")":1.8130406,"CRS-US^P_BETA_LOCIDX(45086,44910,,\"SPX\")":1.8406937,"CRS-US^P_BETA_LOCIDX(45005,44830,,\"SPX\")":1.436353,"CRS-US^P_BETA_LOCIDX(46014,45841,,\"SPX\")":1.237258,"CRS-US^P_BETA_LOCIDX(45936,45761,,\"SPX\")":1.1666903,"CRS-US^P_BETA_LOCIDX(45898,45726,,\"SPX\")":1.5447892,"CRS-US^P_BETA_LOCIDX(45867,45692,,\"SPX\")":1.626004,"CRS-US^P_BETA_LOCIDX(45832,45653,,\"SPX\")":1.6135682,"CRS-US^P_BETA_LOCIDX(45965,45791,,\"SPX\")":1.1439629,"CRS-US^P_BETA_LOCIDX(45930,45755,,\"SPX\")":1.3909446,"CRS-US^P_BETA_LOCIDX(45862,45687,,\"SPX\")":1.6102732,"CRS-US^P_BETA_LOCIDX(45792,45615,,\"SPX\")":1.6475755,"CRS-US^P_BETA_LOCIDX(45590,45418,,\"SPX\")":1.4391323,"CRS-US^P_BETA_LOCIDX(45560,45386,,\"SPX\")":1.31499,"CRS-US^P_BETA_LOCIDX(45496,45321,,\"SPX\")":1.0114565,"CRS-US^P_BETA_LOCIDX(45463,45287,,\"SPX\")":1.0961822,"CRS-US^P_BETA_LOCIDX(45399,45223,,\"SPX\")":1.0027089,"CRS-US^P_BETA_LOCIDX(45366,45191,,\"SPX\")":1.3275336,"CRS-US^P_BETA_LOCIDX(45336,45161,,\"SPX\")":1.358429,"CRS-US^P_BETA_LOCIDX(45308,45133,,\"SPX\")":1.3041518,"CRS-US^P_BETA_LOCIDX(45275,45104,,\"SPX\")":1.2892338,"CRS-US^P_BETA_LOCIDX(45247,45076,,\"SPX\")":1.3396453,"CRS-US^P_BETA_LOCIDX(45222,45048,,\"SPX\")":1.5277923,"CRS-US^P_BETA_LOCIDX(45194,45019,,\"SPX\")":1.6333549,"CRS-US^P_BETA_LOCIDX(45139,44964,,\"SPX\")":1.8097197,"CRS-US^P_BETA_LOCIDX(45084,44908,,\"SPX\")":1.8459302,"CRS-US^P_BETA_LOCIDX(45055,44879,,\"SPX\")":1.6581123,"CRS-US^P_BETA_LOCIDX(45000,44825,,\"SPX\")":1.426865,"CRS-US^P_BETA_LOCIDX(46007,45834,,\"SPX\")":1.2508652,"CRS-US^P_BETA_LOCIDX(45926,45751,,\"SPX\")":1.4094857,"CRS-US^P_BETA_LOCIDX(45891,45719,,\"SPX\")":1.5609905,"CRS-US^P_BETA_LOCIDX(45860,45685,,\"SPX\")":1.6164507,"CRS-US^P_BETA_LOCIDX(45824,45645,,\"SPX\")":1.608207,"CRS-US^P_BETA_LOCIDX(45790,45611,,\"SPX\")":1.6314982,"CRS-US^P_BETA_LOCIDX(45756,45580,,\"SPX\")":1.772857,"CRS-US^P_BETA_LOCIDX(45691,45513,,\"SPX\")":1.7823575,"CRS-US^P_BETA_LOCIDX(45653,45482,,\"SPX\")":1.7425699,"CRS-US^P_BETA_LOCIDX(45618,45447,,\"SPX\")":1.7467681,"CRS-US^P_BETA_LOCIDX(45558,45384,,\"SPX\")":1.3245267,"CRS-US^P_BETA_LOCIDX(45525,45351,,\"SPX\")":1.0614914,"CRS-US^P_BETA_LOCIDX(45460,45282,,\"SPX\")":1.0863134,"CRS-US^P_BETA_LOCIDX(45426,45250,,\"SPX\")":0.9309482,"CRS-US^P_BETA_LOCIDX(45364,45189,,\"SPX\")":1.2530093,"CRS-US^P_BETA_LOCIDX(45334,45159,,\"SPX\")":1.2744812,"CRS-US^P_BETA_LOCIDX(45303,45131,,\"SPX\")":1.2694811,"CRS-US^P_BETA_LOCIDX(45245,45071,,\"SPX\")":1.2959455,"CRS-US^P_BETA_LOCIDX(45217,45043,,\"SPX\")":1.7214121,"CRS-US^P_BETA_LOCIDX(45162,44988,,\"SPX\")":1.8483855,"CRS-US^P_BETA_LOCIDX(45110,44935,,\"SPX\")":1.7754862,"CRS-US^P_BETA_LOCIDX(45027,44851,,\"SPX\")":1.3708022,"CRS-US^P_BETA_LOCIDX(44971,44796,,\"SPX\")":1.4238926,"CRS-US^P_BETA_LOCIDX(46015,45845,,\"SPX\")":1.2296665,"CRS-US^P_BETA_LOCIDX(45727,45551,,\"SPX\")":1.7333994,"CRS-US^P_BETA_LOCIDX(45497,45322,,\"SPX\")":1.0365711,"CRS-US^P_BETA_LOCIDX(45358,45183,,\"SPX\")":1.3650775,"CRS-US^P_BETA_LOCIDX(45223,45049,,\"SPX\")":1.6620175,"CRS-US^P_BETA_LOCIDX(45002,44827,,\"SPX\")":1.4394643,"CRS-US^P_BETA_LOCIDX(46008,45835,,\"SPX\")":1.2241703,"CRS-US^P_BETA_LOCIDX(45721,45545,,\"SPX\")":1.6688427,"CRS-US^P_BETA_LOCIDX(45422,45246,,\"SPX\")":0.91507655,"CRS-US^P_BETA_LOCIDX(44999,44824,,\"SPX\")":1.4080899,"CRS-US^P_BETA_LOCIDX(45492,45317,,\"SPX\")":1.0423424,"CRS-US^P_BETA_LOCIDX(45051,44875,,\"SPX\")":1.4815913,"CRS-US^P_BETA_LOCIDX(45050,44874,,\"SPX\")":1.468394,"CRS-US^P_BETA_LOCIDX(45902,45727,,\"SPX\")":1.5395398,"CRS-US^P_BETA_LOCIDX(45819,45642,,\"SPX\")":1.6182904,"CRS-US^P_BETA_LOCIDX(45723,45547,,\"SPX\")":1.8129066,"CRS-US^P_BETA_LOCIDX(45649,45476,,\"SPX\")":1.7269086,"CRS-US^P_BETA_LOCIDX(45573,45399,,\"SPX\")":1.3490527,"CRS-US^P_BETA_LOCIDX(45425,45247,,\"SPX\")":0.91923887,"CRS-US^P_BETA_LOCIDX(45279,45106,,\"SPX\")":1.3105012,"CRS-US^P_BETA_LOCIDX(45167,44993,,\"SPX\")":1.890445,"CRS-US^P_BETA_LOCIDX(45113,44937,,\"SPX\")":1.7732419,"CRS-US^P_BETA_LOCIDX(45056,44880,,\"SPX\")":1.668146,"CRS-US^P_BETA_LOCIDX(45001,44826,,\"SPX\")":1.4049438,"CRS-US^P_BETA_LOCIDX(45896,45722,,\"SPX\")":1.5789018,"CRS-US^P_BETA_LOCIDX(45495,45320,,\"SPX\")":1.0402148,"CRS-US^P_BETA_LOCIDX(45163,44991,,\"SPX\")":1.8638539,"CRS-US^P_BETA_LOCIDX(45894,45720,,\"SPX\")":1.5780606,"CRS-US^P_BETA_LOCIDX(45041,44865,,\"SPX\")":1.4388927,"CRS-US^P_BETA_LOCIDX(45093,44917,,\"SPX\")":1.8230524,"CRS-US^P_BETA_LOCIDX(45594,45420,,\"SPX\")":1.4904983,"CRS-US^P_BETA_LOCIDX(45134,44959,,\"SPX\")":1.8073114,"CRS-US^P_BETA_LOCIDX(45021,44846,,\"SPX\")":1.370999,"CRS-US^P_BETA_LOCIDX(45931,45756,,\"SPX\")":1.400716,"CRS-US^P_BETA_LOCIDX(45187,45012,,\"SPX\")":1.744487,"CRS-US^P_BETA_LOCIDX(46010,45839,,\"SPX\")":1.2417305,"CRS-US^P_BETA_LOCIDX(45798,45621,,\"SPX\")":1.6374083,"CRS-US^P_BETA_LOCIDX(45722,45546,,\"SPX\")":1.8097535,"CRS-US^P_BETA_LOCIDX(45646,45475,,\"SPX\")":1.7102932,"CRS-US^P_BETA_LOCIDX(45565,45391,,\"SPX\")":1.3891114,"CRS-US^P_BETA_LOCIDX(45350,45175,,\"SPX\")":1.2744616,"CRS-US^P_BETA_LOCIDX(45278,45105,,\"SPX\")":1.2970992,"CRS-US^P_BETA_LOCIDX(45166,44992,,\"SPX\")":1.8686386,"CRS-US^P_BETA_LOCIDX(45112,44936,,\"SPX\")":1.7841904,"CRS-US^P_BETA_LOCIDX(45797,45618,,\"SPX\")":1.6450657,"CRS-US^P_BETA_LOCIDX(45562,45390,,\"SPX\")":1.3879223,"CRS-US^P_BETA_LOCIDX(45218,45044,,\"SPX\")":1.4795843,"CRS-US^P_BETA_LOCIDX(45054,44876,,\"SPX\")":1.6360183,"CRS-US^P_BETA_LOCIDX(45204,45030,,\"SPX\")":1.5955955,"CRS-US^P_BETA_LOCIDX(45077,44901,,\"SPX\")":1.7869773,"CRS-US^P_BETA_LOCIDX(45273,45100,,\"SPX\")":1.2852415,"CRS-US^P_BETA_LOCIDX(45622,45449,,\"SPX\")":1.751364,"CRS-US^P_BETA_LOCIDX(45637,45464,,\"SPX\")":1.7262969,"CRS-US^P_BETA_LOCIDX(44998,44823,,\"SPX\")":1.4216126,"CRS-US^P_BETA_LOCIDX(45854,45679,,\"SPX\")":1.6290953,"CRS-US^P_BETA_LOCIDX(45796,45617,,\"SPX\")":1.6432581,"CRS-US^P_BETA_LOCIDX(45720,45544,,\"SPX\")":1.7068889,"CRS-US^P_BETA_LOCIDX(45561,45387,,\"SPX\")":1.3840675,"CRS-US^P_BETA_LOCIDX(45491,45316,,\"SPX\")":1.008361,"CRS-US^P_BETA_LOCIDX(45421,45245,,\"SPX\")":0.9141965,"CRS-US^P_BETA_LOCIDX(45274,45103,,\"SPX\")":1.2768995,"CRS-US^P_BETA_LOCIDX(45216,45042,,\"SPX\")":1.6965879,"CRS-US^P_BETA_LOCIDX(45161,44987,,\"SPX\")":1.8651935,"CRS-US^P_BETA_LOCIDX(45107,44932,,\"SPX\")":1.7905129,"CRS-US^P_BETA_LOCIDX(45754,45576,,\"SPX\")":1.8391054,"CRS-US^P_BETA_LOCIDX(46006,45833,,\"SPX\")":1.2492905,"CRS-US^P_BETA_LOCIDX(45719,45541,,\"SPX\")":1.7022421,"CRS-US^P_BETA_LOCIDX(45629,45455,,\"SPX\")":1.7428716,"CRS-US^P_BETA_LOCIDX(45559,45385,,\"SPX\")":1.3182226,"CRS-US^P_BETA_LOCIDX(45490,45315,,\"SPX\")":1.013585,"CRS-US^P_BETA_LOCIDX(45412,45236,,\"SPX\")":0.9845293,"CRS-US^P_BETA_LOCIDX(45338,45163,,\"SPX\")":1.3929898,"CRS-US^P_BETA_LOCIDX(44995,44820,,\"SPX\")":1.4250728,"CRS-US^P_BETA_LOCIDX(45400,45224,,\"SPX\")":0.9821409,"CRS-US^P_BETA_LOCIDX(45890,45716,,\"SPX\")":1.5779008,"CRS-US^P_BETA_LOCIDX(45791,45614,,\"SPX\")":1.6501757,"CRS-US^P_BETA_LOCIDX(45716,45540,,\"SPX\")":1.7580471,"CRS-US^P_BETA_LOCIDX(45215,45041,,\"SPX\")":1.6703423,"CRS-US^P_BETA_LOCIDX(45160,44986,,\"SPX\")":1.8337473,"CRS-US^P_BETA_LOCIDX(45106,44931,,\"SPX\")":1.7735937,"CRS-US^P_BETA_LOCIDX(45554,45379,,\"SPX\")":1.3260429,"CRS-US^P_BETA_LOCIDX(45244,45070,,\"SPX\")":1.3271589,"CRS-US^P_BETA_LOCIDX(45370,45195,,\"SPX\")":1.344879,"CRS-US^P_BETA_LOCIDX(46003,45832,,\"SPX\")":1.2546177,"CRS-US^P_BETA_LOCIDX(45625,45453,,\"SPX\")":1.7398641,"CRS-US^P_BETA_LOCIDX(45555,45383,,\"SPX\")":1.3234675,"CRS-US^P_BETA_LOCIDX(45489,45314,,\"SPX\")":0.94591594,"CRS-US^P_BETA_LOCIDX(45335,45160,,\"SPX\")":1.3228558,"CRS-US^P_BETA_LOCIDX(45272,45099,,\"SPX\")":1.2458763,"CRS-US^P_BETA_LOCIDX(45049,44873,,\"SPX\")":1.4450582,"CRS-US^P_BETA_LOCIDX(44994,44819,,\"SPX\")":1.3987714,"CRS-US^P_BETA_LOCIDX(45097,44918,,\"SPX\")":1.8212348,"CRS-US^P_BETA_LOCIDX(45149,44974,,\"SPX\")":1.8645467,"CRS-US^P_BETA_LOCIDX(44985,44810,,\"SPX\")":1.4290302,"CRS-US^P_BETA_LOCIDX(45833,45656,,\"SPX\")":1.6080997,"CRS-US^P_BETA_LOCIDX(45999,45825,,\"SPX\")":1.237555,"CRS-US^P_BETA_LOCIDX(45889,45715,,\"SPX\")":1.5672768,"CRS-US^P_BETA_LOCIDX(45789,45610,,\"SPX\")":1.6303203,"CRS-US^P_BETA_LOCIDX(45707,45530,,\"SPX\")":1.8385531,"CRS-US^P_BETA_LOCIDX(45623,45450,,\"SPX\")":1.7537518,"CRS-US^P_BETA_LOCIDX(45488,45313,,\"SPX\")":0.9114538,"CRS-US^P_BETA_LOCIDX(45271,45098,,\"SPX\")":1.2364477,"CRS-US^P_BETA_LOCIDX(45212,45040,,\"SPX\")":1.6847742,"CRS-US^P_BETA_LOCIDX(45159,44985,,\"SPX\")":1.8309382,"CRS-US^P_BETA_LOCIDX(45104,44929,,\"SPX\")":1.7917135,"CRS-US^P_BETA_LOCIDX(45048,44872,,\"SPX\")":1.4304389,"CRS-US^P_BETA_LOCIDX(45188,45013,,\"SPX\")":1.7408746,"CRS-US^P_BETA_LOCIDX(45887,45713,,\"SPX\")":1.5634414,"CRS-US^P_BETA_LOCIDX(45786,45609,,\"SPX\")":1.6711257,"CRS-US^P_BETA_LOCIDX(45698,45520,,\"SPX\")":1.858542,"CRS-US^P_BETA_LOCIDX(45937,45762,,\"SPX\")":1.1495438,"CRS-US^P_BETA_LOCIDX(45785,45608,,\"SPX\")":1.6721623,"CRS-US^P_BETA_LOCIDX(45695,45519,,\"SPX\")":1.8026348,"CRS-US^P_BETA_LOCIDX(45621,45448,,\"SPX\")":1.7522341,"CRS-US^P_BETA_LOCIDX(45553,45378,,\"SPX\")":1.2849042,"CRS-US^P_BETA_LOCIDX(45476,45301,,\"SPX\")":1.0352004,"CRS-US^P_BETA_LOCIDX(45331,45156,,\"SPX\")":1.2745268,"CRS-US^P_BETA_LOCIDX(45268,45097,,\"SPX\")":1.2318269,"CRS-US^P_BETA_LOCIDX(44970,44795,,\"SPX\")":1.4401625,"CRS-US^P_BETA_LOCIDX(45672,45497,,\"SPX\")":1.6722943,"CRS-US^P_BETA_LOCIDX(45967,45793,,\"SPX\")":1.1319523,"CRS-US^P_BETA_LOCIDX(45868,45693,,\"SPX\")":1.6263286,"CRS-US^P_BETA_LOCIDX(45694,45518,,\"SPX\")":1.8122447,"CRS-US^P_BETA_LOCIDX(45552,45377,,\"SPX\")":1.2936176,"CRS-US^P_BETA_LOCIDX(45469,45294,,\"SPX\")":1.087366,"CRS-US^P_BETA_LOCIDX(45398,45222,,\"SPX\")":1.0145782,"CRS-US^P_BETA_LOCIDX(45260,45086,,\"SPX\")":1.279066,"CRS-US^P_BETA_LOCIDX(45148,44973,,\"SPX\")":1.8502047,"CRS-US^P_BETA_LOCIDX(45092,44916,,\"SPX\")":1.8047857,"CRS-US^P_BETA_LOCIDX(45040,44862,,\"SPX\")":1.4004995,"CRS-US^P_BETA_LOCIDX(45863,45688,,\"SPX\")":1.625247,"CRS-US^P_BETA_LOCIDX(45784,45607,,\"SPX\")":1.6749948,"CRS-US^P_BETA_LOCIDX(45693,45517,,\"SPX\")":1.7792487,"CRS-US^P_BETA_LOCIDX(45617,45446,,\"SPX\")":1.7334747,"CRS-US^P_BETA_LOCIDX(45467,45289,,\"SPX\")":1.0962924,"CRS-US^P_BETA_LOCIDX(45397,45219,,\"SPX\")":1.0435297,"CRS-US^P_BETA_LOCIDX(45330,45155,,\"SPX\")":1.2791909,"CRS-US^P_BETA_LOCIDX(45146,44971,,\"SPX\")":1.8407964,"CRS-US^P_BETA_LOCIDX(45090,44914,,\"SPX\")":1.8252091,"CRS-US^P_BETA_LOCIDX(45036,44860,,\"SPX\")":1.4048098,"CRS-US^P_BETA_LOCIDX(45523,45349,,\"SPX\")":1.0481464,"CRS-US^P_BETA_LOCIDX(45775,45596,,\"SPX\")":1.7418977,"CRS-US^P_BETA_LOCIDX(45692,45516,,\"SPX\")":1.7812134,"CRS-US^P_BETA_LOCIDX(45541,45366,,\"SPX\")":1.2540246,"CRS-US^P_BETA_LOCIDX(45394,45218,,\"SPX\")":1.0417594,"CRS-US^P_BETA_LOCIDX(45254,45082,,\"SPX\")":1.270049,"CRS-US^P_BETA_LOCIDX(45198,45026,,\"SPX\")":1.5924488,"CRS-US^P_BETA_LOCIDX(45033,44855,,\"SPX\")":1.3986359,"CRS-US^P_BETA_LOCIDX(44978,44802,,\"SPX\")":1.4517646,"CRS-US^P_BETA_LOCIDX(45022,44847,,\"SPX\")":1.3719712,"CRS-US^P_BETA_LOCIDX(45932,45757,,\"SPX\")":1.1671274,"CRS-US^P_BETA_LOCIDX(45961,45789,,\"SPX\")":1.0721475,"CRS-US^P_BETA_LOCIDX(45861,45686,,\"SPX\")":1.6065916,"CRS-US^P_BETA_LOCIDX(45764,45588,,\"SPX\")":1.7209628,"CRS-US^P_BETA_LOCIDX(45616,45443,,\"SPX\")":1.7257577,"CRS-US^P_BETA_LOCIDX(45464,45288,,\"SPX\")":1.0912503,"CRS-US^P_BETA_LOCIDX(45393,45217,,\"SPX\")":1.0712556,"CRS-US^P_BETA_LOCIDX(45329,45154,,\"SPX\")":1.2599244,"CRS-US^P_BETA_LOCIDX(45196,45021,,\"SPX\")":1.6108434,"CRS-US^P_BETA_LOCIDX(45141,44966,,\"SPX\")":1.8282424,"CRS-US^P_BETA_LOCIDX(45030,44854,,\"SPX\")":1.3904465,"CRS-US^P_BETA_LOCIDX(44974,44799,,\"SPX\")":1.4274516,"CRS-US^P_BETA_LOCIDX(45455,45279,,\"SPX\")":1.0368633,"CRS-US^P_BETA_LOCIDX(45960,45786,,\"SPX\")":1.0694578,"CRS-US^P_BETA_LOCIDX(45762,45586,,\"SPX\")":1.7390577,"CRS-US^P_BETA_LOCIDX(45532,45358,,\"SPX\")":1.0614066,"CRS-US^P_BETA_LOCIDX(45321,45146,,\"SPX\")":1.2976992,"CRS-US^P_BETA_LOCIDX(45195,45020,,\"SPX\")":1.645097,"CRS-US^P_BETA_LOCIDX(45140,44965,,\"SPX\")":1.8156362,"CRS-US^P_BETA_LOCIDX(45085,44909,,\"SPX\")":1.8441939,"CRS-US^P_BETA_LOCIDX(45663,45489,,\"SPX\")":1.7525542,"CRS-US^P_BETA_LOCIDX(45859,45684,,\"SPX\")":1.6338533,"CRS-US^P_BETA_LOCIDX(45687,45511,,\"SPX\")":1.8052101,"CRS-US^P_BETA_LOCIDX(45614,45441,,\"SPX\")":1.7122743,"CRS-US^P_BETA_LOCIDX(45531,45357,,\"SPX\")":1.0524929,"CRS-US^P_BETA_LOCIDX(45461,45286,,\"SPX\")":1.0822216,"CRS-US^P_BETA_LOCIDX(45392,45216,,\"SPX\")":1.0582987,"CRS-US^P_BETA_LOCIDX(45320,45145,,\"SPX\")":1.3194741,"CRS-US^P_BETA_LOCIDX(45250,45077,,\"SPX\")":1.323027,"CRS-US^P_BETA_LOCIDX(45029,44853,,\"SPX\")":1.390318,"CRS-US^P_BETA_LOCIDX(44973,44798,,\"SPX\")":1.4238088,"CRS-US^P_BETA_LOCIDX(45307,45132,,\"SPX\")":1.2850666,"CRS-US^P_BETA_LOCIDX(45959,45785,,\"SPX\")":1.0526973,"CRS-US^P_BETA_LOCIDX(45856,45681,,\"SPX\")":1.6356448,"CRS-US^P_BETA_LOCIDX(45761,45583,,\"SPX\")":1.73686,"CRS-US^P_BETA_LOCIDX(45604,45432,,\"SPX\")":1.7536659,"CRS-US^P_BETA_LOCIDX(45530,45356,,\"SPX\")":1.0761731,"CRS-US^P_BETA_LOCIDX(45457,45281,,\"SPX\")":1.0656332,"CRS-US^P_BETA_LOCIDX(45391,45215,,\"SPX\")":1.0103153,"CRS-US^P_BETA_LOCIDX(45028,44852,,\"SPX\")":1.3799256,"CRS-US^P_BETA_LOCIDX(44972,44797,,\"SPX\")":1.4266304,"CRS-US^P_BETA_LOCIDX(45189,45014,,\"SPX\")":1.7150825,"CRS-US^P_BETA_LOCIDX(44967,44792,,\"SPX\")":1.4358592,"CRS-US^P_BETA_LOCIDX(45751,45575,,\"SPX\")":1.8398297,"CRS-US^P_BETA_LOCIDX(45758,45582,,\"SPX\")":1.7379372,"CRS-US^P_BETA_LOCIDX(45685,45509,,\"SPX\")":1.7700412,"CRS-US^P_BETA_LOCIDX(45603,45429,,\"SPX\")":1.7522151,"CRS-US^P_BETA_LOCIDX(45527,45355,,\"SPX\")":1.0745091,"CRS-US^P_BETA_LOCIDX(45390,45212,,\"SPX\")":1.0554383,"CRS-US^P_BETA_LOCIDX(45246,45072,,\"SPX\")":1.3018855,"CRS-US^P_BETA_LOCIDX(45191,45016,,\"SPX\")":1.6389233,"CRS-US^P_BETA_LOCIDX(45138,44963,,\"SPX\")":1.8276963,"CRS-US^P_BETA_LOCIDX(45083,44907,,\"SPX\")":1.8557185,"CRS-US^P_BETA_LOCIDX(45958,45784,,\"SPX\")":1.0650686,"CRS-US^P_BETA_LOCIDX(45855,45680,,\"SPX\")":1.6381181,"CRS-US^P_BETA_LOCIDX(45526,45352,,\"SPX\")":1.078671,"CRS-US^P_BETA_LOCIDX(45456,45280,,\"SPX\")":1.0239122,"CRS-US^P_BETA_LOCIDX(45379,45204,,\"SPX\")":1.2897894,"CRS-US^P_BETA_LOCIDX(45309,45134,,\"SPX\")":1.3289737,"CRS-US^P_BETA_LOCIDX(45190,45015,,\"SPX\")":1.6368679,"CRS-US^P_BETA_LOCIDX(45135,44960,,\"SPX\")":1.7964025,"CRS-US^P_BETA_LOCIDX(45079,44903,,\"SPX\")":1.8660996,"CRS-US^P_BETA_LOCIDX(45026,44848,,\"SPX\")":1.3915224,"CRS-US^P_BETA_LOCIDX(45954,45782,,\"SPX\")":1.0932714,"CRS-US^P_BETA_LOCIDX(45684,45506,,\"SPX\")":1.8032584,"CRS-US^P_BETA_LOCIDX(45078,44902,,\"SPX\")":1.82823,"CRS-US^P_BETA_LOCIDX(45058,44882,,\"SPX\")":1.6694431,"CRS-US^P_BETA_LOCIDX(45519,45345,,\"SPX\")":1.0654113,"CRS-US^P_BETA_LOCIDX(45013,44838,,\"SPX\")":1.3601117,"CRS-US^P_BETA_LOCIDX(45518,45344,,\"SPX\")":1.0444074,"CRS-US^P_BETA_LOCIDX(45510,45335,,\"SPX\")":1.124268,"CRS-US^P_BETA_LOCIDX(45826,45649,,\"SPX\")":1.609098,"CRS-US^P_BETA_LOCIDX(44966,44791,,\"SPX\")":1.4380776,"CRS-US^P_BETA_LOCIDX(45446,45268,,\"SPX\")":1.0580419,"CRS-US^P_BETA_LOCIDX(45180,45005,,\"SPX\")":1.7331421,"CRS-US^P_BETA_LOCIDX(45434,45259,,\"SPX\")":1.041263,"CRS-US^P_BETA_LOCIDX(45174,44999,,\"SPX\")":1.8784295,"CRS-US^P_BETA_LOCIDX(45432,45257,,\"SPX\")":0.9746633,"CRS-US^P_BETA_LOCIDX(45169,44995,,\"SPX\")":1.9013149,"CRS-US^P_BETA_LOCIDX(45133,44958,,\"SPX\")":1.8574868,"CRS-US^P_BETA_LOCIDX(45365,45190,,\"SPX\")":1.288236,"CRS-US^P_BETA_LOCIDX(45929,45754,,\"SPX\")":1.38665,"CRS-US^P_BETA_LOCIDX(45583,45411,,\"SPX\")":1.3077915,"CRS-US^P_BETA_LOCIDX(45924,45749,,\"SPX\")":1.4911664,"CRS-US^P_BETA_LOCIDX(45239,45065,,\"SPX\")":1.3878021,"CRS-US^P_BETA_LOCIDX(45231,45057,,\"SPX\")":1.4989303,"CRS-US^P_BETA_LOCIDX(45831,45652,,\"SPX\")":1.6156926,"CRS-US^P_BETA_LOCIDX(45226,45054,,\"SPX\")":1.4970396,"CRS-US^P_BETA_LOCIDX(45820,45643,,\"SPX\")":1.619025,"CRS-US^P_BETA_LOCIDX(44957,44782,,\"SPX\")":1.4419619,"CRS-US^P_BETA_LOCIDX(45433,45258,,\"SPX\")":1.0168737,"CRS-US^P_BETA_LOCIDX(45750,45574,,\"SPX\")":1.9241667,"CRS-US^P_BETA_LOCIDX(45925,45750,,\"SPX\")":1.4870255,"CRS-US^P_BETA_LOCIDX(45582,45408,,\"SPX\")":1.3238126,"CRS-US^P_BETA_LOCIDX(45288,45117,,\"SPX\")":1.2711635,"CRS-US^P_BETA_LOCIDX(45020,44845,,\"SPX\")":1.3655039,"CRS-US^P_BETA_LOCIDX(45240,45068,,\"SPX\")":1.3547449,"CRS-US^P_BETA_LOCIDX(45923,45748,,\"SPX\")":1.4878826,"CRS-US^P_BETA_LOCIDX(45007,44832,,\"SPX\")":1.4311,"CRS-US^P_BETA_LOCIDX(45821,45644,,\"SPX\")":1.6111706,"CRS-US^P_BETA_LOCIDX(44958,44783,,\"SPX\")":1.448481,"CRS-US^P_BETA_LOCIDX(45443,45267,,\"SPX\")":0.96695495,"CRS-US^P_BETA_LOCIDX(45177,45002,,\"SPX\")":1.8571181,"CRS-US^P_BETA_LOCIDX(45740,45562,,\"SPX\")":1.8144255,"CRS-US^P_BETA_LOCIDX(45730,45554,,\"SPX\")":1.7540774,"CRS-US^P_BETA_LOCIDX(45168,44994,,\"SPX\")":1.8957868,"CRS-US^P_BETA_LOCIDX(45124,44949,,\"SPX\")":1.8267986,"CRS-US^P_BETA_LOCIDX(45728,45552,,\"SPX\")":1.7327542,"CRS-US^P_BETA_LOCIDX(45300,45126,,\"SPX\")":1.2235332,"CRS-US^P_BETA_LOCIDX(45119,44944,,\"SPX\")":1.7607992,"CRS-US^P_BETA_LOCIDX(45656,45483,,\"SPX\")":1.7470835,"CRS-US^P_BETA_LOCIDX(45369,45194,,\"SPX\")":1.3246837,"CRS-US^P_BETA_LOCIDX(45117,44939,,\"SPX\")":1.7618057,"CRS-US^P_BETA_LOCIDX(45363,45188,,\"SPX\")":1.2584455,"CRS-US^P_BETA_LOCIDX(45657,45484,,\"SPX\")":1.7463398,"CRS-US^P_BETA_LOCIDX(45428,45252,,\"SPX\")":0.97339594,"CRS-US^P_BETA_LOCIDX(45659,45485,,\"SPX\")":1.7555598,"CRS-US^P_BETA_LOCIDX(45061,44883,,\"SPX\")":1.6728939,"CRS-US^P_BETA_LOCIDX(45729,45553,,\"SPX\")":1.7431973,"CRS-US^P_BETA_LOCIDX(45586,45412,,\"SPX\")":1.3110605,"CRS-US^P_BETA_LOCIDX(45114,44938,,\"SPX\")":1.7624435,"CRS-US^P_BETA_LOCIDX(45652,45481,,\"SPX\")":1.728452,"CRS-US^P_BETA_LOCIDX(45359,45184,,\"SPX\")":1.3588685,"CRS-US^P_BETA_LOCIDX(45076,44900,,\"SPX\")":1.8020452,"CRS-US^P_BETA_LOCIDX(45650,45478,,\"SPX\")":1.7151276,"CRS-US^P_BETA_LOCIDX(45302,45128,,\"SPX\")":1.2697042,"CRS-US^P_BETA_LOCIDX(45588,45414,,\"SPX\")":1.4673249,"CRS-US^P_BETA_LOCIDX(45065,44890,,\"SPX\")":1.7401888,"CRS-US^P_BETA_LOCIDX(45587,45413,,\"SPX\")":1.4005934,"CRS-US^P_BETA_LOCIDX(45301,45127,,\"SPX\")":1.2540375,"CRS-US^P_BETA_LOCIDX(44956,44781,,\"SPX\")":1.4581655,"CRS-US^P_BETA_LOCIDX(44953,44778,,\"SPX\")":1.457646,"CRS-US^P_BETA_LOCIDX(44952,44777,,\"SPX\")":1.4521563,"CRS-US^P_BETA_LOCIDX(44951,44776,,\"SPX\")":1.4258773,"CRS-US^P_BETA_LOCIDX(44950,44775,,\"SPX\")":1.4260479,"CRS-US^P_BETA_LOCIDX(44949,44774,,\"SPX\")":1.4223742,"CRS-US^P_BETA_LOCIDX(44946,44771,,\"SPX\")":1.4385567,"CRS-US^P_BETA_LOCIDX(44945,44770,,\"SPX\")":1.4575614,"CRS-US^P_BETA_LOCIDX(44944,44769,,\"SPX\")":1.4444733,"CRS-US^P_BETA_LOCIDX(44943,44768,,\"SPX\")":1.4478207,"CRS-US^P_BETA_LOCIDX(44939,44767,,\"SPX\")":1.4470509,"CRS-US^P_BETA_LOCIDX(44938,44764,,\"SPX\")":1.4513875,"CRS-US^P_BETA_LOCIDX(44937,44763,,\"SPX\")":1.4397705,"CRS-US^P_BETA_LOCIDX(44936,44762,,\"SPX\")":1.4352261,"CRS-US^P_BETA_LOCIDX(44935,44761,,\"SPX\")":1.4264135,"CRS-US^P_BETA_LOCIDX(44932,44760,,\"SPX\")":1.4207981,"CRS-US^P_BETA_LOCIDX(44931,44757,,\"SPX\")":1.3912655,"CRS-US^P_BETA_LOCIDX(44930,44756,,\"SPX\")":1.4003413,"CRS-US^P_BETA_LOCIDX(44929,44755,,\"SPX\")":1.3920443,"CRS-US^P_BETA_LOCIDX(44925,44754,,\"SPX\")":1.3708642,"CRS-US^P_BETA_LOCIDX(44924,44753,,\"SPX\")":1.3651152,"CRS-US^P_BETA_LOCIDX(44923,44750,,\"SPX\")":1.3686997,"CRS-US^P_BETA_LOCIDX(44922,44749,,\"SPX\")":1.3604283,"CRS-US^P_BETA_LOCIDX(44918,44748,,\"SPX\")":1.3561667,"CRS-US^P_BETA_LOCIDX(44917,44747,,\"SPX\")":1.356485,"CRS-US^P_BETA_LOCIDX(44916,44743,,\"SPX\")":1.3392099,"CRS-US^P_BETA_LOCIDX(44915,44742,,\"SPX\")":1.339746,"CRS-US^P_BETA_LOCIDX(44914,44741,,\"SPX\")":1.3395079,"CRS-US^P_BETA_LOCIDX(44911,44740,,\"SPX\")":1.3323789,"CRS-US^P_BETA_LOCIDX(44910,44739,,\"SPX\")":1.3376838,"CRS-US^P_BETA_LOCIDX(44909,44736,,\"SPX\")":1.3029127,"CRS-US^P_BETA_LOCIDX(44908,44735,,\"SPX\")":1.2865858,"CRS-US^P_BETA_LOCIDX(44907,44734,,\"SPX\")":1.2907043,"CRS-US^P_BETA_LOCIDX(44904,44733,,\"SPX\")":1.2815192,"CRS-US^P_BETA_LOCIDX(44903,44729,,\"SPX\")":1.2700838,"CRS-US^P_BETA_LOCIDX(44902,44728,,\"SPX\")":1.3108257,"CRS-US^P_BETA_LOCIDX(44901,44727,,\"SPX\")":1.2917744,"CRS-US^P_BETA_LOCIDX(44900,44726,,\"SPX\")":1.3038352,"CRS-US^P_BETA_LOCIDX(44897,44725,,\"SPX\")":1.2867681,"CRS-US^P_BETA_LOCIDX(44896,44722,,\"SPX\")":1.2860417,"CRS-US^P_BETA_LOCIDX(44895,44721,,\"SPX\")":1.2945588,"CRS-US^P_BETA_LOCIDX(44894,44720,,\"SPX\")":1.3189868,"CRS-US^P_BETA_LOCIDX(44893,44719,,\"SPX\")":1.3152037,"CRS-US^P_BETA_LOCIDX(44890,44718,,\"SPX\")":1.3109794,"CRS-US^P_BETA_LOCIDX(44888,44715,,\"SPX\")":1.3159556,"CRS-US^P_BETA_LOCIDX(44887,44714,,\"SPX\")":1.3294833,"CRS-US^P_BETA_LOCIDX(44886,44713,,\"SPX\")":1.3372228,"CRS-US^P_BETA_LOCIDX(44883,44712,,\"SPX\")":1.3419033,"CRS-US^P_BETA_LOCIDX(44882,44708,,\"SPX\")":1.3367659,"CRS-US^P_BETA_LOCIDX(44881,44707,,\"SPX\")":1.3378286,"CRS-US^P_BETA_LOCIDX(44880,44706,,\"SPX\")":1.3445238,"CRS-US^P_BETA_LOCIDX(44879,44705,,\"SPX\")":1.341591,"CRS-US^P_BETA_LOCIDX(44876,44704,,\"SPX\")":1.3484613,"CRS-US^P_BETA_LOCIDX(44875,44701,,\"SPX\")":1.3587289,"CRS-US^P_BETA_LOCIDX(44874,44700,,\"SPX\")":1.4195677,"CRS-US^P_BETA_LOCIDX(44873,44699,,\"SPX\")":1.3653365,"CRS-US^P_BETA_LOCIDX(44872,44698,,\"SPX\")":1.3996636,"CRS-US^P_BETA_LOCIDX(44869,44697,,\"SPX\")":1.4008147,"CRS-US^P_BETA_LOCIDX(44868,44694,,\"SPX\")":1.3468282,"CRS-US^P_BETA_LOCIDX(44867,44693,,\"SPX\")":1.358815,"CRS-US^P_BETA_LOCIDX(44866,44692,,\"SPX\")":1.3189337,"CRS-US^P_BETA_LOCIDX(44865,44691,,\"SPX\")":1.3198798,"CRS-US^P_BETA_LOCIDX(44862,44690,,\"SPX\")":1.3178276,"CRS-US^P_BETA_LOCIDX(44861,44687,,\"SPX\")":1.3457648,"CRS-US^P_BETA_LOCIDX(44860,44686,,\"SPX\")":1.390848,"CRS-US^P_BETA_LOCIDX(44859,44685,,\"SPX\")":1.4043173,"CRS-US^P_BETA_LOCIDX(44858,44684,,\"SPX\")":1.4036804,"CRS-US^P_BETA_LOCIDX(44855,44683,,\"SPX\")":1.4083103,"CRS-US^P_BETA_LOCIDX(44854,44680,,\"SPX\")":1.4168676,"CRS-US^P_BETA_LOCIDX(44853,44679,,\"SPX\")":1.4654967,"CRS-US^P_BETA_LOCIDX(44852,44678,,\"SPX\")":1.4636608,"CRS-US^P_BETA_LOCIDX(44851,44677,,\"SPX\")":1.458857,"CRS-US^P_BETA_LOCIDX(44848,44676,,\"SPX\")":1.4581251,"CRS-US^P_BETA_LOCIDX(44847,44673,,\"SPX\")":1.4254777,"CRS-US^P_BETA_LOCIDX(44846,44672,,\"SPX\")":1.4542792,"CRS-US^P_BETA_LOCIDX(44845,44671,,\"SPX\")":1.4540639,"CRS-US^P_BETA_LOCIDX(44844,44670,,\"SPX\")":1.4578722,"CRS-US^P_BETA_LOCIDX(44841,44669,,\"SPX\")":1.4629164,"CRS-US^P_BETA_LOCIDX(44840,44665,,\"SPX\")":1.4632071,"CRS-US^P_BETA_LOCIDX(44839,44664,,\"SPX\")":1.4681693,"CRS-US^P_BETA_LOCIDX(44838,44663,,\"SPX\")":1.4677755,"CRS-US^P_BETA_LOCIDX(44837,44662,,\"SPX\")":1.4310648,"CRS-US^P_BETA_LOCIDX(44834,44659,,\"SPX\")":1.4040616,"CRS-US^P_BETA_LOCIDX(44833,44658,,\"SPX\")":1.3936048,"CRS-US^P_BETA_LOCIDX(44832,44657,,\"SPX\")":1.3805419,"CRS-US^P_BETA_LOCIDX(44831,44656,,\"SPX\")":1.3897202,"CRS-US^P_BETA_LOCIDX(44830,44655,,\"SPX\")":1.385252,"CRS-US^P_BETA_LOCIDX(44827,44652,,\"SPX\")":1.3902221,"CRS-US^P_BETA_LOCIDX(44826,44651,,\"SPX\")":1.3745613,"CRS-US^P_BETA_LOCIDX(44825,44650,,\"SPX\")":1.3695956,"CRS-US^P_BETA_LOCIDX(44824,44649,,\"SPX\")":1.3549834,"CRS-US^P_BETA_LOCIDX(44823,44648,,\"SPX\")":1.3447251,"CRS-US^P_BETA_LOCIDX(44820,44645,,\"SPX\")":1.3386906,"CRS-US^P_BETA_LOCIDX(44819,44644,,\"SPX\")":1.3321307,"CRS-US^P_BETA_LOCIDX(44818,44643,,\"SPX\")":1.3343502,"CRS-US^P_BETA_LOCIDX(44817,44642,,\"SPX\")":1.3485447,"CRS-US^P_BETA_LOCIDX(44816,44641,,\"SPX\")":1.3748392,"CRS-US^P_BETA_LOCIDX(44813,44638,,\"SPX\")":1.3403902,"CRS-US^P_BETA_LOCIDX(44812,44637,,\"SPX\")":1.3225253,"CRS-US^P_BETA_LOCIDX(44811,44636,,\"SPX\")":1.2970986,"CRS-US^P_BETA_LOCIDX(44810,44635,,\"SPX\")":1.2937808,"CRS-US^P_BETA_LOCIDX(44806,44634,,\"SPX\")":1.2845284,"CRS-US^P_BETA_LOCIDX(44805,44631,,\"SPX\")":1.2931876,"CRS-US^P_BETA_LOCIDX(44804,44630,,\"SPX\")":1.2927557,"CRS-US^P_BETA_LOCIDX(44803,44629,,\"SPX\")":1.225672,"CRS-US^P_BETA_LOCIDX(44802,44628,,\"SPX\")":1.2139999,"CRS-US^P_BETA_LOCIDX(44799,44627,,\"SPX\")":1.1989224,"CRS-US^P_BETA_LOCIDX(44798,44624,,\"SPX\")":1.2096766,"CRS-US^P_BETA_LOCIDX(44797,44623,,\"SPX\")":1.212829,"CRS-US^P_BETA_LOCIDX(44796,44622,,\"SPX\")":1.242569,"CRS-US^P_BETA_LOCIDX(44795,44621,,\"SPX\")":1.2597116,"CRS-US^P_BETA_LOCIDX(44792,44620,,\"SPX\")":1.2449657,"CRS-US^P_BETA_LOCIDX(44791,44617,,\"SPX\")":1.2700113,"CRS-US^P_BETA_LOCIDX(44790,44616,,\"SPX\")":1.2634501,"CRS-US^P_BETA_LOCIDX(44789,44615,,\"SPX\")":1.2559925,"CRS-US^P_BETA_LOCIDX(44788,44614,,\"SPX\")":1.258349,"CRS-US^P_BETA_LOCIDX(44785,44610,,\"SPX\")":1.2598065,"CRS-US^P_BETA_LOCIDX(44784,44609,,\"SPX\")":1.2414746,"CRS-US^P_BETA_LOCIDX(44783,44608,,\"SPX\")":1.2407268,"CRS-US^P_BETA_LOCIDX(44782,44607,,\"SPX\")":1.2388917,"CRS-US^P_BETA_LOCIDX(44781,44606,,\"SPX\")":1.2412304,"CRS-US^P_BETA_LOCIDX(44778,44603,,\"SPX\")":1.1253786,"CRS-US^P_BETA_LOCIDX(44777,44602,,\"SPX\")":1.0818154,"CRS-US^P_BETA_LOCIDX(44776,44601,,\"SPX\")":1.1049577,"CRS-US^P_BETA_LOCIDX(44775,44600,,\"SPX\")":1.1078135,"CRS-US^P_BETA_LOCIDX(44774,44599,,\"SPX\")":1.105905,"CX-US^P_BETA_LOCIDX(45841,45665,,\"SPX\")":0.88546216,"CX-US^P_BETA_LOCIDX(45840,45664,,\"SPX\")":0.88381106,"CX-US^P_BETA_LOCIDX(45839,45663,,\"SPX\")":0.8842378,"CX-US^P_BETA_LOCIDX(45838,45660,,\"SPX\")":0.87805086,"CX-US^P_BETA_LOCIDX(45835,45659,,\"SPX\")":0.87528497,"CX-US^P_BETA_LOCIDX(45834,45657,,\"SPX\")":0.8743265,"CX-US^P_BETA_LOCIDX(45833,45656,,\"SPX\")":0.8774905,"CX-US^P_BETA_LOCIDX(45832,45653,,\"SPX\")":0.8754645,"CX-US^P_BETA_LOCIDX(45831,45652,,\"SPX\")":0.87133485,"CX-US^P_BETA_LOCIDX(45828,45650,,\"SPX\")":0.87667173,"CX-US^P_BETA_LOCIDX(45826,45649,,\"SPX\")":0.8697977,"CX-US^P_BETA_LOCIDX(45825,45646,,\"SPX\")":0.86777526,"CX-US^P_BETA_LOCIDX(45824,45645,,\"SPX\")":0.8649759,"CX-US^P_BETA_LOCIDX(45821,45644,,\"SPX\")":0.8527377,"CX-US^P_BETA_LOCIDX(45820,45643,,\"SPX\")":0.8429963,"CX-US^P_BETA_LOCIDX(45819,45642,,\"SPX\")":0.8424601,"CX-US^P_BETA_LOCIDX(45818,45639,,\"SPX\")":0.84317255,"CX-US^P_BETA_LOCIDX(45817,45638,,\"SPX\")":0.8391268,"CX-US^P_BETA_LOCIDX(45814,45637,,\"SPX\")":0.8281009,"CX-US^P_BETA_LOCIDX(45813,45636,,\"SPX\")":0.83747494,"CX-US^P_BETA_LOCIDX(45812,45635,,\"SPX\")":0.83696276,"CX-US^P_BETA_LOCIDX(45811,45632,,\"SPX\")":0.83638024,"CX-US^P_BETA_LOCIDX(45810,45631,,\"SPX\")":0.836942,"CX-US^P_BETA_LOCIDX(45807,45630,,\"SPX\")":0.8386844,"CX-US^P_BETA_LOCIDX(45806,45629,,\"SPX\")":0.8386599,"CX-US^P_BETA_LOCIDX(45805,45628,,\"SPX\")":0.8414393,"CX-US^P_BETA_LOCIDX(45804,45625,,\"SPX\")":0.8420042,"CX-US^P_BETA_LOCIDX(45800,45623,,\"SPX\")":0.85023934,"CX-US^P_BETA_LOCIDX(45799,45622,,\"SPX\")":0.84291375,"CX-US^P_BETA_LOCIDX(45798,45621,,\"SPX\")":0.8471698,"CX-US^P_BETA_LOCIDX(45797,45618,,\"SPX\")":0.8523349,"CX-US^P_BETA_LOCIDX(45796,45617,,\"SPX\")":0.8545334,"CX-US^P_BETA_LOCIDX(45793,45616,,\"SPX\")":0.85444903,"CX-US^P_BETA_LOCIDX(45792,45615,,\"SPX\")":0.85467917,"CX-US^P_BETA_LOCIDX(45791,45614,,\"SPX\")":0.8543775,"CX-US^P_BETA_LOCIDX(45790,45611,,\"SPX\")":0.83835685,"CX-US^P_BETA_LOCIDX(45789,45610,,\"SPX\")":0.8295704,"CX-US^P_BETA_LOCIDX(45786,45609,,\"SPX\")":0.8357678,"CX-US^P_BETA_LOCIDX(45785,45608,,\"SPX\")":0.8388041,"CX-US^P_BETA_LOCIDX(45784,45607,,\"SPX\")":0.8367706,"CX-US^P_BETA_LOCIDX(45783,45604,,\"SPX\")":0.82600373,"CX-US^P_BETA_LOCIDX(45782,45603,,\"SPX\")":0.84479594,"CX-US^P_BETA_LOCIDX(45779,45602,,\"SPX\")":0.9049422,"CX-US^P_BETA_LOCIDX(45778,45601,,\"SPX\")":0.9112886,"CX-US^P_BETA_LOCIDX(45777,45600,,\"SPX\")":0.9156443,"CX-US^P_BETA_LOCIDX(45776,45597,,\"SPX\")":0.91314316,"CX-US^P_BETA_LOCIDX(45775,45596,,\"SPX\")":0.9107974,"CX-US^P_BETA_LOCIDX(45772,45595,,\"SPX\")":0.9094497,"CX-US^P_BETA_LOCIDX(45771,45594,,\"SPX\")":0.8979571,"CX-US^P_BETA_LOCIDX(45770,45593,,\"SPX\")":0.89150876,"CX-US^P_BETA_LOCIDX(45769,45590,,\"SPX\")":0.88386124,"CX-US^P_BETA_LOCIDX(45768,45589,,\"SPX\")":0.8766349,"CX-US^P_BETA_LOCIDX(45764,45588,,\"SPX\")":0.87099785,"CX-US^P_BETA_LOCIDX(45763,45587,,\"SPX\")":0.8680904,"CX-US^P_BETA_LOCIDX(45762,45586,,\"SPX\")":0.8799857,"CX-US^P_BETA_LOCIDX(45761,45583,,\"SPX\")":0.8795106,"CX-US^P_BETA_LOCIDX(45758,45582,,\"SPX\")":0.8724397,"CX-US^P_BETA_LOCIDX(45757,45581,,\"SPX\")":0.86027414,"CX-US^P_BETA_LOCIDX(45756,45580,,\"SPX\")":0.8248197,"CX-US^P_BETA_LOCIDX(45755,45579,,\"SPX\")":0.98662615,"CX-US^P_BETA_LOCIDX(45754,45576,,\"SPX\")":0.9914461,"CX-US^P_BETA_LOCIDX(45751,45575,,\"SPX\")":0.9898141,"CX-US^P_BETA_LOCIDX(45750,45574,,\"SPX\")":0.90318406,"CX-US^P_BETA_LOCIDX(45749,45573,,\"SPX\")":1.0273299,"CX-US^P_BETA_LOCIDX(45748,45572,,\"SPX\")":1.0304368,"CX-US^P_BETA_LOCIDX(45747,45569,,\"SPX\")":1.010091,"CX-US^P_BETA_LOCIDX(45744,45568,,\"SPX\")":1.0163175,"CX-US^P_BETA_LOCIDX(45743,45567,,\"SPX\")":0.9357423,"CX-US^P_BETA_LOCIDX(45742,45566,,\"SPX\")":0.95986575,"CX-US^P_BETA_LOCIDX(45741,45565,,\"SPX\")":0.90864855,"CX-US^P_BETA_LOCIDX(45740,45562,,\"SPX\")":0.9072457,"CX-US^P_BETA_LOCIDX(45737,45561,,\"SPX\")":0.8919273,"CX-US^P_BETA_LOCIDX(45736,45560,,\"SPX\")":0.8970115,"CX-US^P_BETA_LOCIDX(45735,45559,,\"SPX\")":0.8964171,"CX-US^P_BETA_LOCIDX(45734,45558,,\"SPX\")":0.90013146,"CX-US^P_BETA_LOCIDX(45733,45555,,\"SPX\")":0.9082609,"CX-US^P_BETA_LOCIDX(45730,45554,,\"SPX\")":0.9310754,"CX-US^P_BETA_LOCIDX(45729,45553,,\"SPX\")":0.91428065,"CX-US^P_BETA_LOCIDX(45728,45552,,\"SPX\")":0.9004247,"CX-US^P_BETA_LOCIDX(45727,45551,,\"SPX\")":0.90311545,"CX-US^P_BETA_LOCIDX(45726,45548,,\"SPX\")":0.92389804,"CX-US^P_BETA_LOCIDX(45723,45547,,\"SPX\")":0.94101226,"CX-US^P_BETA_LOCIDX(45722,45546,,\"SPX\")":0.9990203,"CX-US^P_BETA_LOCIDX(45721,45545,,\"SPX\")":1.066813,"CX-US^P_BETA_LOCIDX(45720,45544,,\"SPX\")":0.9883747,"CX-US^P_BETA_LOCIDX(45719,45541,,\"SPX\")":1.0305486,"CX-US^P_BETA_LOCIDX(45716,45540,,\"SPX\")":0.9633919,"CX-US^P_BETA_LOCIDX(45715,45539,,\"SPX\")":1.0327164,"CX-US^P_BETA_LOCIDX(45714,45538,,\"SPX\")":1.0329298,"CX-US^P_BETA_LOCIDX(45713,45534,,\"SPX\")":1.0361843,"CX-US^P_BETA_LOCIDX(45712,45533,,\"SPX\")":1.0439626,"CX-US^P_BETA_LOCIDX(45709,45532,,\"SPX\")":1.0271078,"CX-US^P_BETA_LOCIDX(45708,45531,,\"SPX\")":0.99784905,"CX-US^P_BETA_LOCIDX(45707,45530,,\"SPX\")":1.0249668,"CX-US^P_BETA_LOCIDX(45706,45527,,\"SPX\")":1.057624,"CX-US^P_BETA_LOCIDX(45702,45526,,\"SPX\")":1.0614598,"CX-US^P_BETA_LOCIDX(45701,45525,,\"SPX\")":1.0533794,"CX-US^P_BETA_LOCIDX(45700,45524,,\"SPX\")":1.0583364,"CX-US^P_BETA_LOCIDX(45699,45523,,\"SPX\")":1.0427499,"CX-US^P_BETA_LOCIDX(45698,45520,,\"SPX\")":1.0386331,"CX-US^P_BETA_LOCIDX(45695,45519,,\"SPX\")":1.1548343,"CX-US^P_BETA_LOCIDX(45694,45518,,\"SPX\")":1.1539825,"CX-US^P_BETA_LOCIDX(45693,45517,,\"SPX\")":1.0931059,"CX-US^P_BETA_LOCIDX(45692,45516,,\"SPX\")":1.1019007,"CX-US^P_BETA_LOCIDX(45691,45513,,\"SPX\")":1.0988799,"CX-US^P_BETA_LOCIDX(45688,45512,,\"SPX\")":1.1402093,"CX-US^P_BETA_LOCIDX(45687,45511,,\"SPX\")":1.1056242,"CX-US^P_BETA_LOCIDX(45686,45510,,\"SPX\")":1.1048326,"CX-US^P_BETA_LOCIDX(45685,45509,,\"SPX\")":1.0222625,"CX-US^P_BETA_LOCIDX(45684,45506,,\"SPX\")":1.0653454,"CX-US^P_BETA_LOCIDX(45681,45505,,\"SPX\")":1.0867667,"CX-US^P_BETA_LOCIDX(45680,45504,,\"SPX\")":1.1122375,"CX-US^P_BETA_LOCIDX(45679,45503,,\"SPX\")":1.1087881,"CX-US^P_BETA_LOCIDX(45678,45502,,\"SPX\")":1.1046121,"CX-US^P_BETA_LOCIDX(45674,45499,,\"SPX\")":1.0860528,"CX-US^P_BETA_LOCIDX(45673,45498,,\"SPX\")":1.089485,"CX-US^P_BETA_LOCIDX(45672,45497,,\"SPX\")":1.1224152,"CX-US^P_BETA_LOCIDX(45671,45496,,\"SPX\")":1.101221,"CX-US^P_BETA_LOCIDX(45670,45495,,\"SPX\")":1.1380516,"CX-US^P_BETA_LOCIDX(45667,45492,,\"SPX\")":1.1569061,"CX-US^P_BETA_LOCIDX(45665,45491,,\"SPX\")":1.1618611,"CX-US^P_BETA_LOCIDX(45664,45490,,\"SPX\")":1.2169118,"CX-US^P_BETA_LOCIDX(45663,45489,,\"SPX\")":1.2369779,"CX-US^P_BETA_LOCIDX(45660,45488,,\"SPX\")":1.2283823,"CX-US^P_BETA_LOCIDX(45659,45485,,\"SPX\")":1.251589,"CX-US^P_BETA_LOCIDX(45657,45484,,\"SPX\")":1.2219114,"CX-US^P_BETA_LOCIDX(45656,45483,,\"SPX\")":1.2827188,"CX-US^P_BETA_LOCIDX(45653,45482,,\"SPX\")":1.2778333,"CX-US^P_BETA_LOCIDX(45652,45481,,\"SPX\")":1.2924735999999999,"CX-US^P_BETA_LOCIDX(45650,45478,,\"SPX\")":1.2907902,"CX-US^P_BETA_LOCIDX(45649,45476,,\"SPX\")":1.2860355,"CX-US^P_BETA_LOCIDX(45646,45475,,\"SPX\")":1.2859186,"CX-US^P_BETA_LOCIDX(45645,45474,,\"SPX\")":1.2894369,"CX-US^P_BETA_LOCIDX(45644,45471,,\"SPX\")":1.2849649,"CX-US^P_BETA_LOCIDX(45643,45470,,\"SPX\")":1.3712541,"CX-US^P_BETA_LOCIDX(45642,45469,,\"SPX\")":1.3767474,"CX-US^P_BETA_LOCIDX(45639,45468,,\"SPX\")":1.3755587,"CX-US^P_BETA_LOCIDX(45638,45467,,\"SPX\")":1.3684292,"CX-US^P_BETA_LOCIDX(45637,45464,,\"SPX\")":1.3821985,"CX-US^P_BETA_LOCIDX(45636,45463,,\"SPX\")":1.4192579,"CX-US^P_BETA_LOCIDX(45635,45461,,\"SPX\")":1.412784,"CX-US^P_BETA_LOCIDX(45632,45460,,\"SPX\")":1.426882,"CX-US^P_BETA_LOCIDX(45631,45457,,\"SPX\")":1.4320369,"CX-US^P_BETA_LOCIDX(45630,45456,,\"SPX\")":1.4376065,"CX-US^P_BETA_LOCIDX(45629,45455,,\"SPX\")":1.450225,"CX-US^P_BETA_LOCIDX(45628,45454,,\"SPX\")":1.4435391,"CX-US^P_BETA_LOCIDX(45625,45453,,\"SPX\")":1.4416004,"CX-US^P_BETA_LOCIDX(45623,45450,,\"SPX\")":1.4409252,"CX-US^P_BETA_LOCIDX(45622,45449,,\"SPX\")":1.4466864,"CX-US^P_BETA_LOCIDX(45621,45448,,\"SPX\")":1.4890378,"CX-US^P_BETA_LOCIDX(45618,45447,,\"SPX\")":1.4793969,"CX-US^P_BETA_LOCIDX(45617,45446,,\"SPX\")":1.4765855,"CX-US^P_BETA_LOCIDX(45616,45443,,\"SPX\")":1.4611833,"CX-US^P_BETA_LOCIDX(45615,45442,,\"SPX\")":1.4400511,"CX-US^P_BETA_LOCIDX(45614,45441,,\"SPX\")":1.4384854,"CX-US^P_BETA_LOCIDX(45611,45440,,\"SPX\")":1.4385926,"CX-US^P_BETA_LOCIDX(45610,45436,,\"SPX\")":1.5150095,"CX-US^P_BETA_LOCIDX(45609,45435,,\"SPX\")":1.5150925,"CX-US^P_BETA_LOCIDX(45608,45434,,\"SPX\")":1.5174476,"CX-US^P_BETA_LOCIDX(45607,45433,,\"SPX\")":1.5031859,"CX-US^P_BETA_LOCIDX(45604,45432,,\"SPX\")":1.5026547,"CX-US^P_BETA_LOCIDX(45603,45429,,\"SPX\")":1.5128812,"CX-US^P_BETA_LOCIDX(45602,45428,,\"SPX\")":1.4772686,"CX-US^P_BETA_LOCIDX(45601,45427,,\"SPX\")":1.2907118,"CX-US^P_BETA_LOCIDX(45600,45426,,\"SPX\")":1.2764629,"CX-US^P_BETA_LOCIDX(45597,45425,,\"SPX\")":1.2784913,"CX-US^P_BETA_LOCIDX(45596,45422,,\"SPX\")":1.2830224,"CX-US^P_BETA_LOCIDX(45595,45421,,\"SPX\")":1.3511521,"CX-US^P_BETA_LOCIDX(45594,45420,,\"SPX\")":1.3551885,"CX-US^P_BETA_LOCIDX(45593,45419,,\"SPX\")":1.35722,"CX-US^P_BETA_LOCIDX(45590,45418,,\"SPX\")":1.3601567,"CX-US^P_BETA_LOCIDX(45589,45415,,\"SPX\")":1.3732195,"CX-US^P_BETA_LOCIDX(45588,45414,,\"SPX\")":1.3545702,"CX-US^P_BETA_LOCIDX(45587,45413,,\"SPX\")":1.3865571,"CX-US^P_BETA_LOCIDX(45586,45412,,\"SPX\")":1.3837508,"CX-US^P_BETA_LOCIDX(45583,45411,,\"SPX\")":1.3758825,"CX-US^P_BETA_LOCIDX(45582,45408,,\"SPX\")":1.3757919,"CX-US^P_BETA_LOCIDX(45581,45407,,\"SPX\")":1.364508,"CX-US^P_BETA_LOCIDX(45580,45406,,\"SPX\")":1.3664548,"CX-US^P_BETA_LOCIDX(45579,45405,,\"SPX\")":1.36263,"CX-US^P_BETA_LOCIDX(45576,45404,,\"SPX\")":1.396308,"CX-US^P_BETA_LOCIDX(45575,45401,,\"SPX\")":1.3950833,"CX-US^P_BETA_LOCIDX(45574,45400,,\"SPX\")":1.4068555,"CX-US^P_BETA_LOCIDX(45573,45399,,\"SPX\")":1.4260479,"CX-US^P_BETA_LOCIDX(45572,45398,,\"SPX\")":1.3986685,"CX-US^P_BETA_LOCIDX(45569,45397,,\"SPX\")":1.408643,"CX-US^P_BETA_LOCIDX(45568,45394,,\"SPX\")":1.4172654,"CX-US^P_BETA_LOCIDX(45567,45393,,\"SPX\")":1.4312618,"CX-US^P_BETA_LOCIDX(45566,45392,,\"SPX\")":1.434971,"CX-US^P_BETA_LOCIDX(45565,45391,,\"SPX\")":1.4183254,"CX-US^P_BETA_LOCIDX(45562,45390,,\"SPX\")":1.424837,"CX-US^P_BETA_LOCIDX(45561,45387,,\"SPX\")":1.401069,"CX-US^P_BETA_LOCIDX(45560,45386,,\"SPX\")":1.4188468,"CX-US^P_BETA_LOCIDX(45559,45385,,\"SPX\")":1.4157181,"CX-US^P_BETA_LOCIDX(45558,45384,,\"SPX\")":1.4067308,"CX-US^P_BETA_LOCIDX(45555,45383,,\"SPX\")":1.4035448,"CX-US^P_BETA_LOCIDX(45554,45379,,\"SPX\")":1.4099773,"CX-US^P_BETA_LOCIDX(45553,45378,,\"SPX\")":1.3911935,"CX-US^P_BETA_LOCIDX(45552,45377,,\"SPX\")":1.3850049,"CX-US^P_BETA_LOCIDX(45551,45376,,\"SPX\")":1.3824115,"CX-US^P_BETA_LOCIDX(45548,45373,,\"SPX\")":1.376914,"CX-US^P_BETA_LOCIDX(45547,45372,,\"SPX\")":1.3752884,"CX-US^P_BETA_LOCIDX(45546,45371,,\"SPX\")":1.3660451,"CX-US^P_BETA_LOCIDX(45545,45370,,\"SPX\")":1.3378743,"CX-US^P_BETA_LOCIDX(45544,45369,,\"SPX\")":1.3365833,"CX-US^P_BETA_LOCIDX(45541,45366,,\"SPX\")":1.3524157,"CX-US^P_BETA_LOCIDX(45540,45365,,\"SPX\")":1.3334532,"CX-US^P_BETA_LOCIDX(45539,45364,,\"SPX\")":1.337077,"CX-US^P_BETA_LOCIDX(45538,45363,,\"SPX\")":1.3098614,"CX-US^P_BETA_LOCIDX(45534,45362,,\"SPX\")":1.3064638,"CX-US^P_BETA_LOCIDX(45533,45359,,\"SPX\")":1.291413,"CX-US^P_BETA_LOCIDX(45532,45358,,\"SPX\")":1.2862608,"CX-US^P_BETA_LOCIDX(45531,45357,,\"SPX\")":1.305136,"CX-US^P_BETA_LOCIDX(45530,45356,,\"SPX\")":1.2986622,"CX-US^P_BETA_LOCIDX(45527,45355,,\"SPX\")":1.2845331,"CX-US^P_BETA_LOCIDX(45526,45352,,\"SPX\")":1.2736814,"CX-US^P_BETA_LOCIDX(45525,45351,,\"SPX\")":1.269979,"CX-US^P_BETA_LOCIDX(45524,45350,,\"SPX\")":1.2873071,"CX-US^P_BETA_LOCIDX(45523,45349,,\"SPX\")":1.2816854,"CX-US^P_BETA_LOCIDX(45520,45348,,\"SPX\")":1.2970306,"CX-US^P_BETA_LOCIDX(45519,45345,,\"SPX\")":1.2997626,"CX-US^P_BETA_LOCIDX(45518,45344,,\"SPX\")":1.1578988,"CX-US^P_BETA_LOCIDX(45517,45343,,\"SPX\")":1.1560634,"CX-US^P_BETA_LOCIDX(45516,45342,,\"SPX\")":1.163668,"CX-US^P_BETA_LOCIDX(45513,45338,,\"SPX\")":1.1443971,"CX-US^P_BETA_LOCIDX(45512,45337,,\"SPX\")":1.1526822,"CX-US^P_BETA_LOCIDX(45511,45336,,\"SPX\")":1.1235873,"CX-US^P_BETA_LOCIDX(45510,45335,,\"SPX\")":1.158244,"CX-US^P_BETA_LOCIDX(45509,45334,,\"SPX\")":1.1390828,"CX-US^P_BETA_LOCIDX(45506,45331,,\"SPX\")":1.2406883,"CX-US^P_BETA_LOCIDX(45505,45330,,\"SPX\")":1.2187299,"CX-US^P_BETA_LOCIDX(45504,45329,,\"SPX\")":1.2039258,"CX-US^P_BETA_LOCIDX(45503,45328,,\"SPX\")":1.1938559,"CX-US^P_BETA_LOCIDX(45502,45327,,\"SPX\")":1.1838846,"CX-US^P_BETA_LOCIDX(45499,45324,,\"SPX\")":1.1974313,"CX-US^P_BETA_LOCIDX(45498,45323,,\"SPX\")":1.2110549,"CX-US^P_BETA_LOCIDX(45497,45322,,\"SPX\")":1.2061895,"CX-US^P_BETA_LOCIDX(45496,45321,,\"SPX\")":1.1531192,"CX-US^P_BETA_LOCIDX(45495,45320,,\"SPX\")":1.1633985,"CX-US^P_BETA_LOCIDX(45492,45317,,\"SPX\")":1.092604,"CX-US^P_BETA_LOCIDX(45491,45316,,\"SPX\")":1.0992019,"CX-US^P_BETA_LOCIDX(45490,45315,,\"SPX\")":1.0826386,"CX-US^P_BETA_LOCIDX(45489,45314,,\"SPX\")":0.97181755,"CX-US^P_BETA_LOCIDX(45488,45313,,\"SPX\")":0.9581124,"CX-US^P_BETA_LOCIDX(45485,45310,,\"SPX\")":0.9573794,"CX-US^P_BETA_LOCIDX(45484,45309,,\"SPX\")":0.9427352,"CX-US^P_BETA_LOCIDX(45483,45308,,\"SPX\")":0.9943485,"CX-US^P_BETA_LOCIDX(45482,45307,,\"SPX\")":0.94576794,"CX-US^P_BETA_LOCIDX(45481,45303,,\"SPX\")":0.9451847,"CX-US^P_BETA_LOCIDX(45478,45302,,\"SPX\")":0.9467441,"CX-US^P_BETA_LOCIDX(45476,45301,,\"SPX\")":0.95388824,"CX-US^P_BETA_LOCIDX(45475,45300,,\"SPX\")":0.9443992,"CX-US^P_BETA_LOCIDX(45474,45299,,\"SPX\")":0.96088916,"CX-US^P_BETA_LOCIDX(45471,45296,,\"SPX\")":0.9687019,"CX-US^P_BETA_LOCIDX(45470,45295,,\"SPX\")":0.97661453,"CX-US^P_BETA_LOCIDX(45469,45294,,\"SPX\")":1.0015657,"CX-US^P_BETA_LOCIDX(45468,45293,,\"SPX\")":1.0137808,"CX-US^P_BETA_LOCIDX(45467,45289,,\"SPX\")":1.0246979,"CX-US^P_BETA_LOCIDX(45464,45288,,\"SPX\")":1.0406754,"CX-US^P_BETA_LOCIDX(45463,45287,,\"SPX\")":1.0352076,"CX-US^P_BETA_LOCIDX(45461,45286,,\"SPX\")":1.0235457,"CX-US^P_BETA_LOCIDX(45460,45282,,\"SPX\")":1.025517,"CX-US^P_BETA_LOCIDX(45457,45281,,\"SPX\")":1.060095,"CX-US^P_BETA_LOCIDX(45456,45280,,\"SPX\")":1.057918,"CX-US^P_BETA_LOCIDX(45455,45279,,\"SPX\")":1.0669066,"CX-US^P_BETA_LOCIDX(45454,45278,,\"SPX\")":1.0449619,"CX-US^P_BETA_LOCIDX(45453,45275,,\"SPX\")":1.0552077,"CX-US^P_BETA_LOCIDX(45450,45274,,\"SPX\")":1.0665399,"CX-US^P_BETA_LOCIDX(45449,45273,,\"SPX\")":1.1230428,"CX-US^P_BETA_LOCIDX(45448,45272,,\"SPX\")":1.1176326,"CX-US^P_BETA_LOCIDX(45447,45271,,\"SPX\")":1.097193,"CX-US^P_BETA_LOCIDX(45446,45268,,\"SPX\")":1.1018919,"CX-US^P_BETA_LOCIDX(45443,45267,,\"SPX\")":1.0930017,"CX-US^P_BETA_LOCIDX(45442,45266,,\"SPX\")":1.1072319,"CX-US^P_BETA_LOCIDX(45441,45265,,\"SPX\")":1.1372142,"CX-US^P_BETA_LOCIDX(45440,45264,,\"SPX\")":1.1544176,"CX-US^P_BETA_LOCIDX(45436,45261,,\"SPX\")":1.1821703,"CX-US^P_BETA_LOCIDX(45435,45260,,\"SPX\")":1.1842618,"CX-US^P_BETA_LOCIDX(45434,45259,,\"SPX\")":1.1844288,"CX-US^P_BETA_LOCIDX(45433,45258,,\"SPX\")":1.1736928,"CX-US^P_BETA_LOCIDX(45432,45257,,\"SPX\")":1.1775621,"CX-US^P_BETA_LOCIDX(45429,45254,,\"SPX\")":1.1788445,"CX-US^P_BETA_LOCIDX(45428,45252,,\"SPX\")":1.172217,"CX-US^P_BETA_LOCIDX(45427,45251,,\"SPX\")":1.1593615,"CX-US^P_BETA_LOCIDX(45426,45250,,\"SPX\")":1.1365445,"CX-US^P_BETA_LOCIDX(45425,45247,,\"SPX\")":1.1432041,"CX-US^P_BETA_LOCIDX(45422,45246,,\"SPX\")":1.1434734,"CX-US^P_BETA_LOCIDX(45421,45245,,\"SPX\")":1.1421778,"CX-US^P_BETA_LOCIDX(45420,45244,,\"SPX\")":1.1799136,"CX-US^P_BETA_LOCIDX(45419,45243,,\"SPX\")":1.1833335,"CX-US^P_BETA_LOCIDX(45418,45240,,\"SPX\")":1.1817783,"CX-US^P_BETA_LOCIDX(45415,45239,,\"SPX\")":1.2012187,"CX-US^P_BETA_LOCIDX(45414,45238,,\"SPX\")":1.1856954,"CX-US^P_BETA_LOCIDX(45413,45237,,\"SPX\")":1.2124277,"CX-US^P_BETA_LOCIDX(45412,45236,,\"SPX\")":1.2126943,"CX-US^P_BETA_LOCIDX(45411,45233,,\"SPX\")":1.2357386,"CX-US^P_BETA_LOCIDX(45408,45232,,\"SPX\")":1.3094246,"CX-US^P_BETA_LOCIDX(45407,45231,,\"SPX\")":1.3345157,"CX-US^P_BETA_LOCIDX(45406,45230,,\"SPX\")":1.344185,"CX-US^P_BETA_LOCIDX(45405,45229,,\"SPX\")":1.3086832,"CX-US^P_BETA_LOCIDX(45404,45226,,\"SPX\")":1.354302,"CX-US^P_BETA_LOCIDX(45401,45225,,\"SPX\")":1.2358922,"CX-US^P_BETA_LOCIDX(45400,45224,,\"SPX\")":1.1672164,"CX-US^P_BETA_LOCIDX(45399,45223,,\"SPX\")":1.152226,"CX-US^P_BETA_LOCIDX(45398,45222,,\"SPX\")":1.1330475,"CX-US^P_BETA_LOCIDX(45397,45219,,\"SPX\")":1.1164496,"CX-US^P_BETA_LOCIDX(45394,45218,,\"SPX\")":1.1052413,"CX-US^P_BETA_LOCIDX(45393,45217,,\"SPX\")":1.161369,"CX-US^P_BETA_LOCIDX(45392,45216,,\"SPX\")":1.1561179,"CX-US^P_BETA_LOCIDX(45391,45215,,\"SPX\")":1.1859889,"CX-US^P_BETA_LOCIDX(45390,45212,,\"SPX\")":1.1827382,"CX-US^P_BETA_LOCIDX(45387,45211,,\"SPX\")":1.2224966,"CX-US^P_BETA_LOCIDX(45386,45210,,\"SPX\")":1.2727443,"CX-US^P_BETA_LOCIDX(45385,45209,,\"SPX\")":1.2390766,"CX-US^P_BETA_LOCIDX(45384,45208,,\"SPX\")":1.2429986,"CX-US^P_BETA_LOCIDX(45383,45205,,\"SPX\")":1.2045214,"CX-US^P_BETA_LOCIDX(45379,45204,,\"SPX\")":1.2398044,"CX-US^P_BETA_LOCIDX(45378,45203,,\"SPX\")":1.2483292,"CX-US^P_BETA_LOCIDX(45377,45202,,\"SPX\")":1.331272,"CX-US^P_BETA_LOCIDX(45376,45201,,\"SPX\")":1.3524022,"CX-US^P_BETA_LOCIDX(45373,45198,,\"SPX\")":1.3662546,"CX-US^P_BETA_LOCIDX(45372,45197,,\"SPX\")":1.3771533,"CX-US^P_BETA_LOCIDX(45371,45196,,\"SPX\")":1.3771132,"CX-US^P_BETA_LOCIDX(45370,45195,,\"SPX\")":1.3624742,"CX-US^P_BETA_LOCIDX(45369,45194,,\"SPX\")":1.3678573,"CX-US^P_BETA_LOCIDX(45366,45191,,\"SPX\")":1.3877945,"CX-US^P_BETA_LOCIDX(45365,45190,,\"SPX\")":1.4432312,"CX-US^P_BETA_LOCIDX(45364,45189,,\"SPX\")":1.4466184,"CX-US^P_BETA_LOCIDX(45363,45188,,\"SPX\")":1.4381579,"CX-US^P_BETA_LOCIDX(45362,45187,,\"SPX\")":1.4672887,"CX-US^P_BETA_LOCIDX(45359,45184,,\"SPX\")":1.450818,"CX-US^P_BETA_LOCIDX(45358,45183,,\"SPX\")":1.4443753,"CX-US^P_BETA_LOCIDX(45357,45182,,\"SPX\")":1.4566929,"CX-US^P_BETA_LOCIDX(45356,45181,,\"SPX\")":1.4532691,"CX-US^P_BETA_LOCIDX(45355,45180,,\"SPX\")":1.4427525,"CX-US^P_BETA_LOCIDX(45352,45177,,\"SPX\")":1.4387864,"CX-US^P_BETA_LOCIDX(45351,45176,,\"SPX\")":1.4370649,"CX-US^P_BETA_LOCIDX(45350,45175,,\"SPX\")":1.4534338,"CX-US^P_BETA_LOCIDX(45349,45174,,\"SPX\")":1.4665072,"CX-US^P_BETA_LOCIDX(45348,45170,,\"SPX\")":1.4694405,"CX-US^P_BETA_LOCIDX(45345,45169,,\"SPX\")":1.4822805,"CX-US^P_BETA_LOCIDX(45344,45168,,\"SPX\")":1.4795042,"CX-US^P_BETA_LOCIDX(45343,45167,,\"SPX\")":1.5303112,"CX-US^P_BETA_LOCIDX(45342,45166,,\"SPX\")":1.5350008,"CX-US^P_BETA_LOCIDX(45338,45163,,\"SPX\")":1.5538715,"CX-US^P_BETA_LOCIDX(45337,45162,,\"SPX\")":1.5644002,"CX-US^P_BETA_LOCIDX(45336,45161,,\"SPX\")":1.5516043,"CX-US^P_BETA_LOCIDX(45335,45160,,\"SPX\")":1.5622535,"CX-US^P_BETA_LOCIDX(45334,45159,,\"SPX\")":1.5689192,"CX-US^P_BETA_LOCIDX(45331,45156,,\"SPX\")":1.5720875,"CX-US^P_BETA_LOCIDX(45330,45155,,\"SPX\")":1.6482539,"CX-US^P_BETA_LOCIDX(45329,45154,,\"SPX\")":1.6142493,"CX-US^P_BETA_LOCIDX(45328,45153,,\"SPX\")":1.5792648,"CX-US^P_BETA_LOCIDX(45327,45152,,\"SPX\")":1.5855701,"CX-US^P_BETA_LOCIDX(45324,45149,,\"SPX\")":1.5828116,"CX-US^P_BETA_LOCIDX(45323,45148,,\"SPX\")":1.581845,"CX-US^P_BETA_LOCIDX(45322,45147,,\"SPX\")":1.5713315,"CX-US^P_BETA_LOCIDX(45321,45146,,\"SPX\")":1.6058873,"CX-US^P_BETA_LOCIDX(45320,45145,,\"SPX\")":1.6236134,"CX-US^P_BETA_LOCIDX(45317,45142,,\"SPX\")":1.5981573,"CX-US^P_BETA_LOCIDX(45316,45141,,\"SPX\")":1.6032792,"CX-US^P_BETA_LOCIDX(45315,45140,,\"SPX\")":1.5493038,"CX-US^P_BETA_LOCIDX(45314,45139,,\"SPX\")":1.5445943,"CX-US^P_BETA_LOCIDX(45313,45138,,\"SPX\")":1.5409583,"CX-US^P_BETA_LOCIDX(45310,45135,,\"SPX\")":1.5500041,"CX-US^P_BETA_LOCIDX(45309,45134,,\"SPX\")":1.5624671,"CX-US^P_BETA_LOCIDX(45308,45133,,\"SPX\")":1.5815916,"CX-US^P_BETA_LOCIDX(45307,45132,,\"SPX\")":1.593733,"CX-US^P_BETA_LOCIDX(45303,45131,,\"SPX\")":1.556947,"CX-US^P_BETA_LOCIDX(45302,45128,,\"SPX\")":1.5570374,"CX-US^P_BETA_LOCIDX(45301,45127,,\"SPX\")":1.5450796,"CX-US^P_BETA_LOCIDX(45300,45126,,\"SPX\")":1.5446501,"CX-US^P_BETA_LOCIDX(45299,45125,,\"SPX\")":1.548719,"CX-US^P_BETA_LOCIDX(45296,45124,,\"SPX\")":1.5771348,"CX-US^P_BETA_LOCIDX(45295,45121,,\"SPX\")":1.5704547,"CX-US^P_BETA_LOCIDX(45294,45120,,\"SPX\")":1.610389,"CX-US^P_BETA_LOCIDX(45293,45119,,\"SPX\")":1.5942643,"CX-US^P_BETA_LOCIDX(45289,45118,,\"SPX\")":1.5958209,"CX-US^P_BETA_LOCIDX(45288,45117,,\"SPX\")":1.5921032,"CX-US^P_BETA_LOCIDX(45287,45114,,\"SPX\")":1.5786861,"CX-US^P_BETA_LOCIDX(45286,45113,,\"SPX\")":1.638266,"CX-US^P_BETA_LOCIDX(45282,45112,,\"SPX\")":1.6526519,"CX-US^P_BETA_LOCIDX(45281,45110,,\"SPX\")":1.6505141,"CX-US^P_BETA_LOCIDX(45280,45107,,\"SPX\")":1.6139243,"CX-US^P_BETA_LOCIDX(45279,45106,,\"SPX\")":1.6202197,"CX-US^P_BETA_LOCIDX(45278,45105,,\"SPX\")":1.6175352,"CX-US^P_BETA_LOCIDX(45275,45104,,\"SPX\")":1.6225613,"CX-US^P_BETA_LOCIDX(45274,45103,,\"SPX\")":1.6174227,"CX-US^P_BETA_LOCIDX(45273,45100,,\"SPX\")":1.5839471,"CX-US^P_BETA_LOCIDX(45272,45099,,\"SPX\")":1.5189226,"CX-US^P_BETA_LOCIDX(45271,45098,,\"SPX\")":1.5160563,"CX-US^P_BETA_LOCIDX(45268,45097,,\"SPX\")":1.5313286,"CX-US^P_BETA_LOCIDX(45267,45093,,\"SPX\")":1.5318956,"CX-US^P_BETA_LOCIDX(45266,45092,,\"SPX\")":1.5211339,"CX-US^P_BETA_LOCIDX(45265,45091,,\"SPX\")":1.5302396,"CX-US^P_BETA_LOCIDX(45264,45090,,\"SPX\")":1.5527421,"CX-US^P_BETA_LOCIDX(45261,45089,,\"SPX\")":1.5106009,"CX-US^P_BETA_LOCIDX(45260,45086,,\"SPX\")":1.4847438,"CX-US^P_BETA_LOCIDX(45259,45085,,\"SPX\")":1.4812728,"CX-US^P_BETA_LOCIDX(45258,45084,,\"SPX\")":1.4683684,"CX-US^P_BETA_LOCIDX(45257,45083,,\"SPX\")":1.4805058,"CX-US^P_BETA_LOCIDX(45254,45082,,\"SPX\")":1.4775378,"CX-US^P_BETA_LOCIDX(45252,45079,,\"SPX\")":1.534235,"CX-US^P_BETA_LOCIDX(45251,45078,,\"SPX\")":1.5368363,"CX-US^P_BETA_LOCIDX(45250,45077,,\"SPX\")":1.5374397,"CX-US^P_BETA_LOCIDX(45247,45076,,\"SPX\")":1.5875826,"CX-US^P_BETA_LOCIDX(45246,45072,,\"SPX\")":1.5698321,"CX-US^P_BETA_LOCIDX(45245,45071,,\"SPX\")":1.5664825,"CX-US^P_BETA_LOCIDX(45244,45070,,\"SPX\")":1.5557299,"CX-US^P_BETA_LOCIDX(45243,45069,,\"SPX\")":1.554414,"CX-US^P_BETA_LOCIDX(45240,45068,,\"SPX\")":1.553041,"CX-US^P_BETA_LOCIDX(45239,45065,,\"SPX\")":1.5712675,"CX-US^P_BETA_LOCIDX(45238,45064,,\"SPX\")":1.5485324,"CX-US^P_BETA_LOCIDX(45237,45063,,\"SPX\")":1.5227685,"CX-US^P_BETA_LOCIDX(45236,45062,,\"SPX\")":1.5056456,"CX-US^P_BETA_LOCIDX(45233,45061,,\"SPX\")":1.5024388,"CX-US^P_BETA_LOCIDX(45232,45058,,\"SPX\")":1.4689081,"CX-US^P_BETA_LOCIDX(45231,45057,,\"SPX\")":1.4092896,"CX-US^P_BETA_LOCIDX(45230,45056,,\"SPX\")":1.3716445,"CX-US^P_BETA_LOCIDX(45229,45055,,\"SPX\")":1.348164,"CX-US^P_BETA_LOCIDX(45226,45054,,\"SPX\")":1.3803339,"CX-US^P_BETA_LOCIDX(45225,45051,,\"SPX\")":1.3998384,"CX-US^P_BETA_LOCIDX(45224,45050,,\"SPX\")":1.4734578,"CX-US^P_BETA_LOCIDX(45223,45049,,\"SPX\")":1.5465825,"CX-US^P_BETA_LOCIDX(45222,45048,,\"SPX\")":1.4345927,"CX-US^P_BETA_LOCIDX(45219,45047,,\"SPX\")":1.4313552,"CX-US^P_BETA_LOCIDX(45218,45044,,\"SPX\")":1.4662558,"CX-US^P_BETA_LOCIDX(45217,45043,,\"SPX\")":1.4370466,"CX-US^P_BETA_LOCIDX(45216,45042,,\"SPX\")":1.3821527,"CX-US^P_BETA_LOCIDX(45215,45041,,\"SPX\")":1.3242885,"CX-US^P_BETA_LOCIDX(45212,45040,,\"SPX\")":1.2742987,"CX-US^P_BETA_LOCIDX(45211,45037,,\"SPX\")":1.2770443,"CX-US^P_BETA_LOCIDX(45210,45036,,\"SPX\")":1.2462567,"CX-US^P_BETA_LOCIDX(45209,45035,,\"SPX\")":1.2170341,"CX-US^P_BETA_LOCIDX(45208,45034,,\"SPX\")":1.1979905,"CX-US^P_BETA_LOCIDX(45205,45033,,\"SPX\")":1.193361,"CX-US^P_BETA_LOCIDX(45204,45030,,\"SPX\")":1.2336019,"CX-US^P_BETA_LOCIDX(45203,45029,,\"SPX\")":1.30465,"CX-US^P_BETA_LOCIDX(45202,45028,,\"SPX\")":1.2761059,"CX-US^P_BETA_LOCIDX(45201,45027,,\"SPX\")":1.204961,"CX-US^P_BETA_LOCIDX(45198,45026,,\"SPX\")":1.2074203,"CX-US^P_BETA_LOCIDX(45197,45022,,\"SPX\")":1.1946864,"CX-US^P_BETA_LOCIDX(45196,45021,,\"SPX\")":1.2035526,"CX-US^P_BETA_LOCIDX(45195,45020,,\"SPX\")":1.1999136,"CX-US^P_BETA_LOCIDX(45194,45019,,\"SPX\")":1.1811104,"CX-US^P_BETA_LOCIDX(45191,45016,,\"SPX\")":1.1905496,"CX-US^P_BETA_LOCIDX(45190,45015,,\"SPX\")":1.1825577,"CX-US^P_BETA_LOCIDX(45189,45014,,\"SPX\")":1.1643963,"CX-US^P_BETA_LOCIDX(45188,45013,,\"SPX\")":1.1699412,"CX-US^P_BETA_LOCIDX(45187,45012,,\"SPX\")":1.1832886,"CX-US^P_BETA_LOCIDX(45184,45009,,\"SPX\")":1.1702042,"CX-US^P_BETA_LOCIDX(45183,45008,,\"SPX\")":1.1886207,"CX-US^P_BETA_LOCIDX(45182,45007,,\"SPX\")":1.1359702,"CX-US^P_BETA_LOCIDX(45181,45006,,\"SPX\")":1.163366,"CX-US^P_BETA_LOCIDX(45180,45005,,\"SPX\")":1.1456274,"CX-US^P_BETA_LOCIDX(45177,45002,,\"SPX\")":1.2076341,"CX-US^P_BETA_LOCIDX(45176,45001,,\"SPX\")":1.2073032,"CX-US^P_BETA_LOCIDX(45175,45000,,\"SPX\")":1.23486,"CX-US^P_BETA_LOCIDX(45174,44999,,\"SPX\")":1.2097003,"CX-US^P_BETA_LOCIDX(45170,44998,,\"SPX\")":1.1812296,"CX-US^P_BETA_LOCIDX(45169,44995,,\"SPX\")":1.2364178,"CX-US^P_BETA_LOCIDX(45168,44994,,\"SPX\")":1.2408055,"CX-US^P_BETA_LOCIDX(45167,44993,,\"SPX\")":1.2465196,"CX-US^P_BETA_LOCIDX(45166,44992,,\"SPX\")":1.3148898,"CX-US^P_BETA_LOCIDX(45163,44991,,\"SPX\")":1.3121382,"CX-US^P_BETA_LOCIDX(45162,44988,,\"SPX\")":1.3480808,"CX-US^P_BETA_LOCIDX(45161,44987,,\"SPX\")":1.3768264,"CX-US^P_BETA_LOCIDX(45160,44986,,\"SPX\")":1.3534374,"CX-US^P_BETA_LOCIDX(45159,44985,,\"SPX\")":1.3508706,"CX-US^P_BETA_LOCIDX(45156,44984,,\"SPX\")":1.34526,"CX-US^P_BETA_LOCIDX(45155,44981,,\"SPX\")":1.3540945,"CX-US^P_BETA_LOCIDX(45154,44980,,\"SPX\")":1.3036841,"CX-US^P_BETA_LOCIDX(45153,44979,,\"SPX\")":1.3239247,"CX-US^P_BETA_LOCIDX(45152,44978,,\"SPX\")":1.3746736,"CX-US^P_BETA_LOCIDX(45149,44974,,\"SPX\")":1.3688569,"CX-US^P_BETA_LOCIDX(45148,44973,,\"SPX\")":1.3816687,"CX-US^P_BETA_LOCIDX(45147,44972,,\"SPX\")":1.3822428,"CX-US^P_BETA_LOCIDX(45146,44971,,\"SPX\")":1.3908355,"CX-US^P_BETA_LOCIDX(45145,44970,,\"SPX\")":1.3877034,"CX-US^P_BETA_LOCIDX(45142,44967,,\"SPX\")":1.3719777,"CX-US^P_BETA_LOCIDX(45141,44966,,\"SPX\")":1.3800799,"CX-US^P_BETA_LOCIDX(45140,44965,,\"SPX\")":1.3639508,"CX-US^P_BETA_LOCIDX(45139,44964,,\"SPX\")":1.326725,"CX-US^P_BETA_LOCIDX(45138,44963,,\"SPX\")":1.3359292,"CX-US^P_BETA_LOCIDX(45135,44960,,\"SPX\")":1.3425779,"CX-US^P_BETA_LOCIDX(45134,44959,,\"SPX\")":1.3046565,"CX-US^P_BETA_LOCIDX(45133,44958,,\"SPX\")":1.3267366,"CX-US^P_BETA_LOCIDX(45132,44957,,\"SPX\")":1.309938,"CX-US^P_BETA_LOCIDX(45131,44956,,\"SPX\")":1.3085939,"CX-US^P_BETA_LOCIDX(45128,44953,,\"SPX\")":1.3132182,"CX-US^P_BETA_LOCIDX(45127,44952,,\"SPX\")":1.3473235,"CX-US^P_BETA_LOCIDX(45126,44951,,\"SPX\")":1.3521519,"CX-US^P_BETA_LOCIDX(45125,44950,,\"SPX\")":1.351526,"CX-US^P_BETA_LOCIDX(45124,44949,,\"SPX\")":1.3292314,"CX-US^P_BETA_LOCIDX(45121,44946,,\"SPX\")":1.3334377,"CX-US^P_BETA_LOCIDX(45120,44945,,\"SPX\")":1.3307111,"CX-US^P_BETA_LOCIDX(45119,44944,,\"SPX\")":1.3135478,"CX-US^P_BETA_LOCIDX(45118,44943,,\"SPX\")":1.3126849,"CX-US^P_BETA_LOCIDX(45117,44939,,\"SPX\")":1.2993983,"CX-US^P_BETA_LOCIDX(45114,44938,,\"SPX\")":1.301076,"CX-US^P_BETA_LOCIDX(45113,44937,,\"SPX\")":1.4043591,"CX-US^P_BETA_LOCIDX(45112,44936,,\"SPX\")":1.3554832,"CX-US^P_BETA_LOCIDX(45110,44935,,\"SPX\")":1.3555883,"CX-US^P_BETA_LOCIDX(45107,44932,,\"SPX\")":1.3819959,"CX-US^P_BETA_LOCIDX(45106,44931,,\"SPX\")":1.368818,"CX-US^P_BETA_LOCIDX(45105,44930,,\"SPX\")":1.4020469,"CX-US^P_BETA_LOCIDX(45104,44929,,\"SPX\")":1.3899146,"CX-US^P_BETA_LOCIDX(45103,44925,,\"SPX\")":1.3957095,"CX-US^P_BETA_LOCIDX(45100,44924,,\"SPX\")":1.3685721,"CX-US^P_BETA_LOCIDX(45099,44923,,\"SPX\")":1.3755764,"CX-US^P_BETA_LOCIDX(45098,44922,,\"SPX\")":1.3902872,"CX-US^P_BETA_LOCIDX(45097,44918,,\"SPX\")":1.3991604,"CX-US^P_BETA_LOCIDX(45093,44917,,\"SPX\")":1.3830692,"CX-US^P_BETA_LOCIDX(45092,44916,,\"SPX\")":1.3816326,"CX-US^P_BETA_LOCIDX(45091,44915,,\"SPX\")":1.3968846,"CX-US^P_BETA_LOCIDX(45090,44914,,\"SPX\")":1.3815633,"CX-US^P_BETA_LOCIDX(45089,44911,,\"SPX\")":1.3534977,"CX-US^P_BETA_LOCIDX(45086,44910,,\"SPX\")":1.3903106,"CX-US^P_BETA_LOCIDX(45085,44909,,\"SPX\")":1.387129,"CX-US^P_BETA_LOCIDX(45084,44908,,\"SPX\")":1.3907087,"CX-US^P_BETA_LOCIDX(45083,44907,,\"SPX\")":1.3644022,"CX-US^P_BETA_LOCIDX(45082,44904,,\"SPX\")":1.359966,"CX-US^P_BETA_LOCIDX(45079,44903,,\"SPX\")":1.3548816,"CX-US^P_BETA_LOCIDX(45078,44902,,\"SPX\")":1.3243395,"CX-US^P_BETA_LOCIDX(45077,44901,,\"SPX\")":1.2911451,"CX-US^P_BETA_LOCIDX(45076,44900,,\"SPX\")":1.3271189,"CX-US^P_BETA_LOCIDX(45072,44897,,\"SPX\")":1.3291674,"CX-US^P_BETA_LOCIDX(45071,44896,,\"SPX\")":1.3404278,"CX-US^P_BETA_LOCIDX(45070,44895,,\"SPX\")":1.3360893,"CX-US^P_BETA_LOCIDX(45069,44894,,\"SPX\")":1.342015,"CX-US^P_BETA_LOCIDX(45068,44893,,\"SPX\")":1.336466,"CX-US^P_BETA_LOCIDX(45065,44890,,\"SPX\")":1.3364305,"CX-US^P_BETA_LOCIDX(45064,44888,,\"SPX\")":1.3393523,"CX-US^P_BETA_LOCIDX(45063,44887,,\"SPX\")":1.3491342,"CX-US^P_BETA_LOCIDX(45062,44886,,\"SPX\")":1.3703114,"CX-US^P_BETA_LOCIDX(45061,44883,,\"SPX\")":1.3726187,"CX-US^P_BETA_LOCIDX(45058,44882,,\"SPX\")":1.3798989,"CX-US^P_BETA_LOCIDX(45057,44881,,\"SPX\")":1.3579342,"CX-US^P_BETA_LOCIDX(45056,44880,,\"SPX\")":1.350367,"CX-US^P_BETA_LOCIDX(45055,44879,,\"SPX\")":1.366118,"CX-US^P_BETA_LOCIDX(45054,44876,,\"SPX\")":1.3973407,"CX-US^P_BETA_LOCIDX(45051,44875,,\"SPX\")":1.4279743,"CX-US^P_BETA_LOCIDX(45050,44874,,\"SPX\")":1.4060748,"CX-US^P_BETA_LOCIDX(45049,44873,,\"SPX\")":1.4145571,"CX-US^P_BETA_LOCIDX(45048,44872,,\"SPX\")":1.4020574,"CX-US^P_BETA_LOCIDX(45047,44869,,\"SPX\")":1.4965074,"CX-US^P_BETA_LOCIDX(45044,44868,,\"SPX\")":1.4824594,"CX-US^P_BETA_LOCIDX(45043,44867,,\"SPX\")":1.5141314,"CX-US^P_BETA_LOCIDX(45042,44866,,\"SPX\")":1.5255972,"CX-US^P_BETA_LOCIDX(45041,44865,,\"SPX\")":1.5088146,"CX-US^P_BETA_LOCIDX(45040,44862,,\"SPX\")":1.5656434,"CX-US^P_BETA_LOCIDX(45037,44861,,\"SPX\")":1.5815732,"CX-US^P_BETA_LOCIDX(45036,44860,,\"SPX\")":1.5659657,"CX-US^P_BETA_LOCIDX(45035,44859,,\"SPX\")":1.5626684,"CX-US^P_BETA_LOCIDX(45034,44858,,\"SPX\")":1.5518999,"CX-US^P_BETA_LOCIDX(45033,44855,,\"SPX\")":1.5457464,"CX-US^P_BETA_LOCIDX(45030,44854,,\"SPX\")":1.5370709,"CX-US^P_BETA_LOCIDX(45029,44853,,\"SPX\")":1.5471497,"CX-US^P_BETA_LOCIDX(45028,44852,,\"SPX\")":1.513356,"CX-US^P_BETA_LOCIDX(45027,44851,,\"SPX\")":1.5651356,"CX-US^P_BETA_LOCIDX(45026,44848,,\"SPX\")":1.5799564,"CX-US^P_BETA_LOCIDX(45022,44847,,\"SPX\")":1.5106093,"CX-US^P_BETA_LOCIDX(45021,44846,,\"SPX\")":1.510463,"CX-US^P_BETA_LOCIDX(45020,44845,,\"SPX\")":1.5083606,"CX-US^P_BETA_LOCIDX(45019,44844,,\"SPX\")":1.519556,"CX-US^P_BETA_LOCIDX(45016,44841,,\"SPX\")":1.4867196,"CX-US^P_BETA_LOCIDX(45015,44840,,\"SPX\")":1.4856029,"CX-US^P_BETA_LOCIDX(45014,44839,,\"SPX\")":1.4906037,"CX-US^P_BETA_LOCIDX(45013,44838,,\"SPX\")":1.5105901,"CX-US^P_BETA_LOCIDX(45012,44837,,\"SPX\")":1.4824934,"CX-US^P_BETA_LOCIDX(45009,44834,,\"SPX\")":1.4618219,"CX-US^P_BETA_LOCIDX(45008,44833,,\"SPX\")":1.439104,"CX-US^P_BETA_LOCIDX(45007,44832,,\"SPX\")":1.4438837,"CX-US^P_BETA_LOCIDX(45006,44831,,\"SPX\")":1.4666548,"CX-US^P_BETA_LOCIDX(45005,44830,,\"SPX\")":1.4753072,"CX-US^P_BETA_LOCIDX(45002,44827,,\"SPX\")":1.4741267,"CX-US^P_BETA_LOCIDX(45001,44826,,\"SPX\")":1.4728513,"CX-US^P_BETA_LOCIDX(45000,44825,,\"SPX\")":1.4514548,"CX-US^P_BETA_LOCIDX(44999,44824,,\"SPX\")":1.4536754,"CX-US^P_BETA_LOCIDX(44998,44823,,\"SPX\")":1.4619505,"CX-US^P_BETA_LOCIDX(44995,44820,,\"SPX\")":1.4601165,"CX-US^P_BETA_LOCIDX(44994,44819,,\"SPX\")":1.4615315,"CX-US^P_BETA_LOCIDX(44993,44818,,\"SPX\")":1.4549875,"CX-US^P_BETA_LOCIDX(44992,44817,,\"SPX\")":1.4180884,"CX-US^P_BETA_LOCIDX(44991,44816,,\"SPX\")":1.4046425,"CX-US^P_BETA_LOCIDX(44988,44813,,\"SPX\")":1.4126632,"CX-US^P_BETA_LOCIDX(44987,44812,,\"SPX\")":1.3958565,"CX-US^P_BETA_LOCIDX(44986,44811,,\"SPX\")":1.3724486,"CX-US^P_BETA_LOCIDX(44985,44810,,\"SPX\")":1.3870339,"CX-US^P_BETA_LOCIDX(44984,44806,,\"SPX\")":1.3661228,"CX-US^P_BETA_LOCIDX(44981,44805,,\"SPX\")":1.3661685,"CX-US^P_BETA_LOCIDX(44980,44804,,\"SPX\")":1.3701148,"CX-US^P_BETA_LOCIDX(44979,44803,,\"SPX\")":1.3767085,"CX-US^P_BETA_LOCIDX(44978,44802,,\"SPX\")":1.3810313,"CX-US^P_BETA_LOCIDX(44974,44799,,\"SPX\")":1.3729609,"CX-US^P_BETA_LOCIDX(44973,44798,,\"SPX\")":1.3683479,"CX-US^P_BETA_LOCIDX(44972,44797,,\"SPX\")":1.3617818,"CX-US^P_BETA_LOCIDX(44971,44796,,\"SPX\")":1.3597796,"CX-US^P_BETA_LOCIDX(44970,44795,,\"SPX\")":1.3607597,"CX-US^P_BETA_LOCIDX(44967,44792,,\"SPX\")":1.3684076,"CX-US^P_BETA_LOCIDX(44966,44791,,\"SPX\")":1.3674892,"CX-US^P_BETA_LOCIDX(44965,44790,,\"SPX\")":1.3734512,"CX-US^P_BETA_LOCIDX(44964,44789,,\"SPX\")":1.3774662,"CX-US^P_BETA_LOCIDX(44963,44788,,\"SPX\")":1.3884647,"CX-US^P_BETA_LOCIDX(44960,44785,,\"SPX\")":1.3884124,"CX-US^P_BETA_LOCIDX(44959,44784,,\"SPX\")":1.3867979,"CX-US^P_BETA_LOCIDX(44958,44783,,\"SPX\")":1.4164549,"CX-US^P_BETA_LOCIDX(44957,44782,,\"SPX\")":1.4147207,"CX-US^P_BETA_LOCIDX(44956,44781,,\"SPX\")":1.4217308,"CX-US^P_BETA_LOCIDX(44953,44778,,\"SPX\")":1.4216576,"CX-US^P_BETA_LOCIDX(44952,44777,,\"SPX\")":1.4213997,"CX-US^P_BETA_LOCIDX(44951,44776,,\"SPX\")":1.4298656,"CX-US^P_BETA_LOCIDX(44950,44775,,\"SPX\")":1.4311649,"CX-US^P_BETA_LOCIDX(44949,44774,,\"SPX\")":1.4281863,"CX-US^P_BETA_LOCIDX(44946,44771,,\"SPX\")":1.4273713,"CX-US^P_BETA_LOCIDX(44945,44770,,\"SPX\")":1.4219201,"CX-US^P_BETA_LOCIDX(44944,44769,,\"SPX\")":1.4037546,"CX-US^P_BETA_LOCIDX(44943,44768,,\"SPX\")":1.4138426,"CX-US^P_BETA_LOCIDX(44939,44767,,\"SPX\")":1.4145806,"CX-US^P_BETA_LOCIDX(44938,44764,,\"SPX\")":1.4144042,"CX-US^P_BETA_LOCIDX(44937,44763,,\"SPX\")":1.4143307,"CX-US^P_BETA_LOCIDX(44936,44762,,\"SPX\")":1.3711747,"CX-US^P_BETA_LOCIDX(44935,44761,,\"SPX\")":1.3584378,"CX-US^P_BETA_LOCIDX(44932,44760,,\"SPX\")":1.3560011,"CX-US^P_BETA_LOCIDX(44931,44757,,\"SPX\")":1.3498209,"CX-US^P_BETA_LOCIDX(44930,44756,,\"SPX\")":1.3600512,"CX-US^P_BETA_LOCIDX(44929,44755,,\"SPX\")":1.3447005,"CX-US^P_BETA_LOCIDX(44925,44754,,\"SPX\")":1.3346467,"CX-US^P_BETA_LOCIDX(44924,44753,,\"SPX\")":1.340732,"CX-US^P_BETA_LOCIDX(44923,44750,,\"SPX\")":1.3506709,"CX-US^P_BETA_LOCIDX(44922,44749,,\"SPX\")":1.3474854,"CX-US^P_BETA_LOCIDX(44918,44748,,\"SPX\")":1.3425035,"CX-US^P_BETA_LOCIDX(44917,44747,,\"SPX\")":1.339584,"CX-US^P_BETA_LOCIDX(44916,44743,,\"SPX\")":1.3301618,"CX-US^P_BETA_LOCIDX(44915,44742,,\"SPX\")":1.318259,"CX-US^P_BETA_LOCIDX(44914,44741,,\"SPX\")":1.318465,"CX-US^P_BETA_LOCIDX(44911,44740,,\"SPX\")":1.307017,"CX-US^P_BETA_LOCIDX(44910,44739,,\"SPX\")":1.3127346,"CX-US^P_BETA_LOCIDX(44909,44736,,\"SPX\")":1.3093637,"CX-US^P_BETA_LOCIDX(44908,44735,,\"SPX\")":1.3169374,"CX-US^P_BETA_LOCIDX(44907,44734,,\"SPX\")":1.317227,"CX-US^P_BETA_LOCIDX(44904,44733,,\"SPX\")":1.3449278,"CX-US^P_BETA_LOCIDX(44903,44729,,\"SPX\")":1.3467773,"CX-US^P_BETA_LOCIDX(44902,44728,,\"SPX\")":1.3753862,"CX-US^P_BETA_LOCIDX(44901,44727,,\"SPX\")":1.3612972,"CX-US^P_BETA_LOCIDX(44900,44726,,\"SPX\")":1.3796297,"CX-US^P_BETA_LOCIDX(44897,44725,,\"SPX\")":1.3733058,"CX-US^P_BETA_LOCIDX(44896,44722,,\"SPX\")":1.3935052,"CX-US^P_BETA_LOCIDX(44895,44721,,\"SPX\")":1.398838,"CX-US^P_BETA_LOCIDX(44894,44720,,\"SPX\")":1.4037213,"CX-US^P_BETA_LOCIDX(44893,44719,,\"SPX\")":1.3957424,"CX-US^P_BETA_LOCIDX(44890,44718,,\"SPX\")":1.3941181,"CX-US^P_BETA_LOCIDX(44888,44715,,\"SPX\")":1.3859292,"CX-US^P_BETA_LOCIDX(44887,44714,,\"SPX\")":1.3574499,"CX-US^P_BETA_LOCIDX(44886,44713,,\"SPX\")":1.3673769,"CX-US^P_BETA_LOCIDX(44883,44712,,\"SPX\")":1.3592964,"CX-US^P_BETA_LOCIDX(44882,44708,,\"SPX\")":1.3620111,"CX-US^P_BETA_LOCIDX(44881,44707,,\"SPX\")":1.3574,"CX-US^P_BETA_LOCIDX(44880,44706,,\"SPX\")":1.369271,"CX-US^P_BETA_LOCIDX(44879,44705,,\"SPX\")":1.3784722,"CX-US^P_BETA_LOCIDX(44876,44704,,\"SPX\")":1.3543404,"CX-US^P_BETA_LOCIDX(44875,44701,,\"SPX\")":1.3455553,"CX-US^P_BETA_LOCIDX(44874,44700,,\"SPX\")":1.3101133,"CX-US^P_BETA_LOCIDX(44873,44699,,\"SPX\")":1.3011842,"CX-US^P_BETA_LOCIDX(44872,44698,,\"SPX\")":1.2999078,"CX-US^P_BETA_LOCIDX(44869,44697,,\"SPX\")":1.2972132,"CX-US^P_BETA_LOCIDX(44868,44694,,\"SPX\")":1.2671947,"CX-US^P_BETA_LOCIDX(44867,44693,,\"SPX\")":1.2740968,"CX-US^P_BETA_LOCIDX(44866,44692,,\"SPX\")":1.2505318,"CX-US^P_BETA_LOCIDX(44865,44691,,\"SPX\")":1.2539343,"CX-US^P_BETA_LOCIDX(44862,44690,,\"SPX\")":1.2703702,"CX-US^P_BETA_LOCIDX(44861,44687,,\"SPX\")":1.2438319,"CX-US^P_BETA_LOCIDX(44860,44686,,\"SPX\")":1.262998,"CX-US^P_BETA_LOCIDX(44859,44685,,\"SPX\")":1.2582717,"CX-US^P_BETA_LOCIDX(44858,44684,,\"SPX\")":1.2585955,"CX-US^P_BETA_LOCIDX(44855,44683,,\"SPX\")":1.2588929,"CX-US^P_BETA_LOCIDX(44854,44680,,\"SPX\")":1.2372789,"CX-US^P_BETA_LOCIDX(44853,44679,,\"SPX\")":1.2633749,"CX-US^P_BETA_LOCIDX(44852,44678,,\"SPX\")":1.2623243,"CX-US^P_BETA_LOCIDX(44851,44677,,\"SPX\")":1.2844971,"CX-US^P_BETA_LOCIDX(44848,44676,,\"SPX\")":1.248153,"CX-US^P_BETA_LOCIDX(44847,44673,,\"SPX\")":1.2415231,"CX-US^P_BETA_LOCIDX(44846,44672,,\"SPX\")":1.2966042,"CX-US^P_BETA_LOCIDX(44845,44671,,\"SPX\")":1.297836,"CX-US^P_BETA_LOCIDX(44844,44670,,\"SPX\")":1.3056961,"CX-US^P_BETA_LOCIDX(44841,44669,,\"SPX\")":1.30152,"CX-US^P_BETA_LOCIDX(44840,44665,,\"SPX\")":1.3227327,"CX-US^P_BETA_LOCIDX(44839,44664,,\"SPX\")":1.3362839,"CX-US^P_BETA_LOCIDX(44838,44663,,\"SPX\")":1.3348217,"CX-US^P_BETA_LOCIDX(44837,44662,,\"SPX\")":1.2937152,"CX-US^P_BETA_LOCIDX(44834,44659,,\"SPX\")":1.3122226,"CX-US^P_BETA_LOCIDX(44833,44658,,\"SPX\")":1.3198138,"CX-US^P_BETA_LOCIDX(44832,44657,,\"SPX\")":1.3464285,"CX-US^P_BETA_LOCIDX(44831,44656,,\"SPX\")":1.345878,"CX-US^P_BETA_LOCIDX(44830,44655,,\"SPX\")":1.3414207,"CX-US^P_BETA_LOCIDX(44827,44652,,\"SPX\")":1.3333358,"CX-US^P_BETA_LOCIDX(44826,44651,,\"SPX\")":1.329259,"CX-US^P_BETA_LOCIDX(44825,44650,,\"SPX\")":1.3276814,"CX-US^P_BETA_LOCIDX(44824,44649,,\"SPX\")":1.3593554,"CX-US^P_BETA_LOCIDX(44823,44648,,\"SPX\")":1.3424059,"CX-US^P_BETA_LOCIDX(44820,44645,,\"SPX\")":1.3406005,"CX-US^P_BETA_LOCIDX(44819,44644,,\"SPX\")":1.3398489,"CX-US^P_BETA_LOCIDX(44818,44643,,\"SPX\")":1.3277777,"CX-US^P_BETA_LOCIDX(44817,44642,,\"SPX\")":1.3294635,"CX-US^P_BETA_LOCIDX(44816,44641,,\"SPX\")":1.3575757,"CX-US^P_BETA_LOCIDX(44813,44638,,\"SPX\")":1.3559825,"CX-US^P_BETA_LOCIDX(44812,44637,,\"SPX\")":1.3473423,"CX-US^P_BETA_LOCIDX(44811,44636,,\"SPX\")":1.3549625,"CX-US^P_BETA_LOCIDX(44810,44635,,\"SPX\")":1.3745413,"CX-US^P_BETA_LOCIDX(44806,44634,,\"SPX\")":1.3715491,"CX-US^P_BETA_LOCIDX(44805,44631,,\"SPX\")":1.3785875,"CX-US^P_BETA_LOCIDX(44804,44630,,\"SPX\")":1.3828604,"CX-US^P_BETA_LOCIDX(44803,44629,,\"SPX\")":1.3859829,"CX-US^P_BETA_LOCIDX(44802,44628,,\"SPX\")":1.363176,"CX-US^P_BETA_LOCIDX(44799,44627,,\"SPX\")":1.383961,"CX-US^P_BETA_LOCIDX(44798,44624,,\"SPX\")":1.4044656,"CX-US^P_BETA_LOCIDX(44797,44623,,\"SPX\")":1.4049945,"CX-US^P_BETA_LOCIDX(44796,44622,,\"SPX\")":1.4046966,"CX-US^P_BETA_LOCIDX(44795,44621,,\"SPX\")":1.4064847,"CX-US^P_BETA_LOCIDX(44792,44620,,\"SPX\")":1.4087597,"CX-US^P_BETA_LOCIDX(44791,44617,,\"SPX\")":1.3978314,"CX-US^P_BETA_LOCIDX(44790,44616,,\"SPX\")":1.3807125,"CX-US^P_BETA_LOCIDX(44789,44615,,\"SPX\")":1.4033158,"CX-US^P_BETA_LOCIDX(44788,44614,,\"SPX\")":1.4033566,"CX-US^P_BETA_LOCIDX(44785,44610,,\"SPX\")":1.4070983,"CX-US^P_BETA_LOCIDX(44784,44609,,\"SPX\")":1.3924868,"CX-US^P_BETA_LOCIDX(44783,44608,,\"SPX\")":1.392663,"CX-US^P_BETA_LOCIDX(44782,44607,,\"SPX\")":1.3912374,"CX-US^P_BETA_LOCIDX(44781,44606,,\"SPX\")":1.3915095,"CX-US^P_BETA_LOCIDX(44778,44603,,\"SPX\")":1.374313,"CX-US^P_BETA_LOCIDX(44777,44602,,\"SPX\")":1.405914,"CX-US^P_BETA_LOCIDX(44776,44601,,\"SPX\")":1.4132173,"CX-US^P_BETA_LOCIDX(44775,44600,,\"SPX\")":1.3909262,"CX-US^P_BETA_LOCIDX(44774,44599,,\"SPX\")":1.3920212,"CRS-US^P_BETA_LOCIDX(45845,45670,,\"SPX\")":1.6247675,"CX-US^P_BETA_LOCIDX(45845,45670,,\"SPX\")":0.8826446,"NVT-US^P_BETA_LOCIDX(45841,45665,,\"SPX\")":1.6504983,"NVT-US^P_BETA_LOCIDX(45840,45664,,\"SPX\")":1.6466614,"NVT-US^P_BETA_LOCIDX(45839,45663,,\"SPX\")":1.6452707,"NVT-US^P_BETA_LOCIDX(45838,45660,,\"SPX\")":1.6492283,"NVT-US^P_BETA_LOCIDX(45835,45659,,\"SPX\")":1.6500871,"NVT-US^P_BETA_LOCIDX(45834,45657,,\"SPX\")":1.650453,"NVT-US^P_BETA_LOCIDX(45833,45656,,\"SPX\")":1.6469473,"NVT-US^P_BETA_LOCIDX(45832,45653,,\"SPX\")":1.6432427,"NVT-US^P_BETA_LOCIDX(45831,45652,,\"SPX\")":1.641893,"NVT-US^P_BETA_LOCIDX(45828,45650,,\"SPX\")":1.6403576,"NVT-US^P_BETA_LOCIDX(45826,45649,,\"SPX\")":1.6366967,"NVT-US^P_BETA_LOCIDX(45825,45646,,\"SPX\")":1.6299791,"NVT-US^P_BETA_LOCIDX(45824,45645,,\"SPX\")":1.6313573,"NVT-US^P_BETA_LOCIDX(45821,45644,,\"SPX\")":1.6235923,"NVT-US^P_BETA_LOCIDX(45820,45643,,\"SPX\")":1.6261295,"NVT-US^P_BETA_LOCIDX(45819,45642,,\"SPX\")":1.6250103,"NVT-US^P_BETA_LOCIDX(45818,45639,,\"SPX\")":1.6264051,"NVT-US^P_BETA_LOCIDX(45817,45638,,\"SPX\")":1.6265628,"NVT-US^P_BETA_LOCIDX(45814,45637,,\"SPX\")":1.6261554,"NVT-US^P_BETA_LOCIDX(45813,45636,,\"SPX\")":1.6232587,"NVT-US^P_BETA_LOCIDX(45812,45635,,\"SPX\")":1.6274941,"NVT-US^P_BETA_LOCIDX(45811,45632,,\"SPX\")":1.6263205,"NVT-US^P_BETA_LOCIDX(45810,45631,,\"SPX\")":1.6241032,"NVT-US^P_BETA_LOCIDX(45807,45630,,\"SPX\")":1.6282226,"NVT-US^P_BETA_LOCIDX(45806,45629,,\"SPX\")":1.6283729,"NVT-US^P_BETA_LOCIDX(45805,45628,,\"SPX\")":1.6272379,"NVT-US^P_BETA_LOCIDX(45804,45625,,\"SPX\")":1.6296958,"NVT-US^P_BETA_LOCIDX(45800,45623,,\"SPX\")":1.6359009,"NVT-US^P_BETA_LOCIDX(45799,45622,,\"SPX\")":1.6373632,"NVT-US^P_BETA_LOCIDX(45798,45621,,\"SPX\")":1.6371279,"NVT-US^P_BETA_LOCIDX(45797,45618,,\"SPX\")":1.6348311,"NVT-US^P_BETA_LOCIDX(45796,45617,,\"SPX\")":1.6423731,"NVT-US^P_BETA_LOCIDX(45793,45616,,\"SPX\")":1.6428326,"NVT-US^P_BETA_LOCIDX(45792,45615,,\"SPX\")":1.6459155,"NVT-US^P_BETA_LOCIDX(45791,45614,,\"SPX\")":1.649944,"NVT-US^P_BETA_LOCIDX(45790,45611,,\"SPX\")":1.6468326,"NVT-US^P_BETA_LOCIDX(45789,45610,,\"SPX\")":1.6488729,"NVT-US^P_BETA_LOCIDX(45786,45609,,\"SPX\")":1.6149135,"NVT-US^P_BETA_LOCIDX(45785,45608,,\"SPX\")":1.6159607,"NVT-US^P_BETA_LOCIDX(45784,45607,,\"SPX\")":1.6157147,"NVT-US^P_BETA_LOCIDX(45783,45604,,\"SPX\")":1.6148312,"NVT-US^P_BETA_LOCIDX(45782,45603,,\"SPX\")":1.6145952,"NVT-US^P_BETA_LOCIDX(45779,45602,,\"SPX\")":1.6798164,"NVT-US^P_BETA_LOCIDX(45778,45601,,\"SPX\")":1.6601381,"NVT-US^P_BETA_LOCIDX(45777,45600,,\"SPX\")":1.6549555,"NVT-US^P_BETA_LOCIDX(45776,45597,,\"SPX\")":1.6418966,"NVT-US^P_BETA_LOCIDX(45775,45596,,\"SPX\")":1.6213716,"NVT-US^P_BETA_LOCIDX(45772,45595,,\"SPX\")":1.6208221,"NVT-US^P_BETA_LOCIDX(45771,45594,,\"SPX\")":1.6226075,"NVT-US^P_BETA_LOCIDX(45770,45593,,\"SPX\")":1.6139628,"NVT-US^P_BETA_LOCIDX(45769,45590,,\"SPX\")":1.6050283,"NVT-US^P_BETA_LOCIDX(45768,45589,,\"SPX\")":1.6055516,"NVT-US^P_BETA_LOCIDX(45764,45588,,\"SPX\")":1.60985,"NVT-US^P_BETA_LOCIDX(45763,45587,,\"SPX\")":1.6093649,"NVT-US^P_BETA_LOCIDX(45762,45586,,\"SPX\")":1.6254141,"NVT-US^P_BETA_LOCIDX(45761,45583,,\"SPX\")":1.6235679,"NVT-US^P_BETA_LOCIDX(45758,45582,,\"SPX\")":1.6267811,"NVT-US^P_BETA_LOCIDX(45757,45581,,\"SPX\")":1.6395302,"NVT-US^P_BETA_LOCIDX(45756,45580,,\"SPX\")":1.6533628,"NVT-US^P_BETA_LOCIDX(45755,45579,,\"SPX\")":1.7133008,"NVT-US^P_BETA_LOCIDX(45754,45576,,\"SPX\")":1.7196931,"NVT-US^P_BETA_LOCIDX(45751,45575,,\"SPX\")":1.7213603,"NVT-US^P_BETA_LOCIDX(45750,45574,,\"SPX\")":1.9203913,"NVT-US^P_BETA_LOCIDX(45749,45573,,\"SPX\")":1.7665881,"NVT-US^P_BETA_LOCIDX(45748,45572,,\"SPX\")":1.7062448,"NVT-US^P_BETA_LOCIDX(45747,45569,,\"SPX\")":1.7162482,"NVT-US^P_BETA_LOCIDX(45744,45568,,\"SPX\")":1.7261357,"NVT-US^P_BETA_LOCIDX(45743,45567,,\"SPX\")":1.7356158,"NVT-US^P_BETA_LOCIDX(45742,45566,,\"SPX\")":1.7335032,"NVT-US^P_BETA_LOCIDX(45741,45565,,\"SPX\")":1.6989383,"NVT-US^P_BETA_LOCIDX(45740,45562,,\"SPX\")":1.6987957,"NVT-US^P_BETA_LOCIDX(45737,45561,,\"SPX\")":1.7092742,"NVT-US^P_BETA_LOCIDX(45736,45560,,\"SPX\")":1.707714,"NVT-US^P_BETA_LOCIDX(45735,45559,,\"SPX\")":1.7050353,"NVT-US^P_BETA_LOCIDX(45734,45558,,\"SPX\")":1.6947305,"NVT-US^P_BETA_LOCIDX(45733,45555,,\"SPX\")":1.691866,"NVT-US^P_BETA_LOCIDX(45730,45554,,\"SPX\")":1.7415688,"NVT-US^P_BETA_LOCIDX(45729,45553,,\"SPX\")":1.7138947,"NVT-US^P_BETA_LOCIDX(45728,45552,,\"SPX\")":1.7136056,"NVT-US^P_BETA_LOCIDX(45727,45551,,\"SPX\")":1.7081873,"NVT-US^P_BETA_LOCIDX(45726,45548,,\"SPX\")":1.7460707,"NVT-US^P_BETA_LOCIDX(45723,45547,,\"SPX\")":1.8147815,"NVT-US^P_BETA_LOCIDX(45722,45546,,\"SPX\")":1.8373008,"NVT-US^P_BETA_LOCIDX(45721,45545,,\"SPX\")":1.8971126,"NVT-US^P_BETA_LOCIDX(45720,45544,,\"SPX\")":1.8833091,"NVT-US^P_BETA_LOCIDX(45719,45541,,\"SPX\")":1.8294034,"NVT-US^P_BETA_LOCIDX(45716,45540,,\"SPX\")":1.7547462,"NVT-US^P_BETA_LOCIDX(45715,45539,,\"SPX\")":1.7965145,"NVT-US^P_BETA_LOCIDX(45714,45538,,\"SPX\")":1.8957186,"NVT-US^P_BETA_LOCIDX(45713,45534,,\"SPX\")":1.9002243,"NVT-US^P_BETA_LOCIDX(45712,45533,,\"SPX\")":1.9036708,"NVT-US^P_BETA_LOCIDX(45709,45532,,\"SPX\")":1.889068,"NVT-US^P_BETA_LOCIDX(45708,45531,,\"SPX\")":1.8301301,"NVT-US^P_BETA_LOCIDX(45707,45530,,\"SPX\")":1.8307396,"NVT-US^P_BETA_LOCIDX(45706,45527,,\"SPX\")":1.8515989,"NVT-US^P_BETA_LOCIDX(45702,45526,,\"SPX\")":1.8402395,"NVT-US^P_BETA_LOCIDX(45701,45525,,\"SPX\")":1.8427359,"NVT-US^P_BETA_LOCIDX(45700,45524,,\"SPX\")":1.871206,"NVT-US^P_BETA_LOCIDX(45699,45523,,\"SPX\")":1.8511932,"NVT-US^P_BETA_LOCIDX(45698,45520,,\"SPX\")":1.8479347,"NVT-US^P_BETA_LOCIDX(45695,45519,,\"SPX\")":1.8663074,"NVT-US^P_BETA_LOCIDX(45694,45518,,\"SPX\")":1.9374747,"NVT-US^P_BETA_LOCIDX(45693,45517,,\"SPX\")":1.8886741,"NVT-US^P_BETA_LOCIDX(45692,45516,,\"SPX\")":1.8886163,"NVT-US^P_BETA_LOCIDX(45691,45513,,\"SPX\")":1.9060862,"NVT-US^P_BETA_LOCIDX(45688,45512,,\"SPX\")":1.871377,"NVT-US^P_BETA_LOCIDX(45687,45511,,\"SPX\")":1.8564025,"NVT-US^P_BETA_LOCIDX(45686,45510,,\"SPX\")":1.7986103,"NVT-US^P_BETA_LOCIDX(45685,45509,,\"SPX\")":1.721791,"NVT-US^P_BETA_LOCIDX(45684,45506,,\"SPX\")":1.8126159,"NVT-US^P_BETA_LOCIDX(45681,45505,,\"SPX\")":1.6361578,"NVT-US^P_BETA_LOCIDX(45680,45504,,\"SPX\")":1.6650584,"NVT-US^P_BETA_LOCIDX(45679,45503,,\"SPX\")":1.6711566,"NVT-US^P_BETA_LOCIDX(45678,45502,,\"SPX\")":1.6725602,"NVT-US^P_BETA_LOCIDX(45674,45499,,\"SPX\")":1.6403229,"NVT-US^P_BETA_LOCIDX(45673,45498,,\"SPX\")":1.6452279,"NVT-US^P_BETA_LOCIDX(45672,45497,,\"SPX\")":1.7462273,"NVT-US^P_BETA_LOCIDX(45671,45496,,\"SPX\")":1.790153,"NVT-US^P_BETA_LOCIDX(45670,45495,,\"SPX\")":1.8079002,"NVT-US^P_BETA_LOCIDX(45667,45492,,\"SPX\")":1.7940371,"NVT-US^P_BETA_LOCIDX(45665,45491,,\"SPX\")":1.8075682,"NVT-US^P_BETA_LOCIDX(45664,45490,,\"SPX\")":1.8839417,"NVT-US^P_BETA_LOCIDX(45663,45489,,\"SPX\")":1.907787,"NVT-US^P_BETA_LOCIDX(45660,45488,,\"SPX\")":1.907619,"NVT-US^P_BETA_LOCIDX(45659,45485,,\"SPX\")":1.8884135,"NVT-US^P_BETA_LOCIDX(45657,45484,,\"SPX\")":1.8691827,"NVT-US^P_BETA_LOCIDX(45656,45483,,\"SPX\")":1.8820196,"NVT-US^P_BETA_LOCIDX(45653,45482,,\"SPX\")":1.8955134,"NVT-US^P_BETA_LOCIDX(45652,45481,,\"SPX\")":1.9127855,"NVT-US^P_BETA_LOCIDX(45650,45478,,\"SPX\")":1.8998885,"NVT-US^P_BETA_LOCIDX(45649,45476,,\"SPX\")":1.9195347,"NVT-US^P_BETA_LOCIDX(45646,45475,,\"SPX\")":1.9274127,"NVT-US^P_BETA_LOCIDX(45645,45474,,\"SPX\")":1.9437603,"NVT-US^P_BETA_LOCIDX(45644,45471,,\"SPX\")":1.9373924,"NVT-US^P_BETA_LOCIDX(45643,45470,,\"SPX\")":1.9815454,"NVT-US^P_BETA_LOCIDX(45642,45469,,\"SPX\")":1.9631492,"NVT-US^P_BETA_LOCIDX(45639,45468,,\"SPX\")":1.9558302,"NVT-US^P_BETA_LOCIDX(45638,45467,,\"SPX\")":1.9492828,"NVT-US^P_BETA_LOCIDX(45637,45464,,\"SPX\")":1.9599546,"NVT-US^P_BETA_LOCIDX(45636,45463,,\"SPX\")":1.9662693,"NVT-US^P_BETA_LOCIDX(45635,45461,,\"SPX\")":1.9685956,"NVT-US^P_BETA_LOCIDX(45632,45460,,\"SPX\")":1.949196,"NVT-US^P_BETA_LOCIDX(45631,45457,,\"SPX\")":1.9572366,"NVT-US^P_BETA_LOCIDX(45630,45456,,\"SPX\")":1.9534346,"NVT-US^P_BETA_LOCIDX(45629,45455,,\"SPX\")":1.9706618,"NVT-US^P_BETA_LOCIDX(45628,45454,,\"SPX\")":1.9709703,"NVT-US^P_BETA_LOCIDX(45625,45453,,\"SPX\")":1.9755069,"NVT-US^P_BETA_LOCIDX(45623,45450,,\"SPX\")":1.9666972,"NVT-US^P_BETA_LOCIDX(45622,45449,,\"SPX\")":1.9656851,"NVT-US^P_BETA_LOCIDX(45621,45448,,\"SPX\")":1.9900743,"NVT-US^P_BETA_LOCIDX(45618,45447,,\"SPX\")":1.9891397,"NVT-US^P_BETA_LOCIDX(45617,45446,,\"SPX\")":1.9889473,"NVT-US^P_BETA_LOCIDX(45616,45443,,\"SPX\")":1.945703,"NVT-US^P_BETA_LOCIDX(45615,45442,,\"SPX\")":1.9360024,"NVT-US^P_BETA_LOCIDX(45614,45441,,\"SPX\")":1.9157634,"NVT-US^P_BETA_LOCIDX(45611,45440,,\"SPX\")":1.9164447,"NVT-US^P_BETA_LOCIDX(45610,45436,,\"SPX\")":1.9548494,"NVT-US^P_BETA_LOCIDX(45609,45435,,\"SPX\")":1.9200405,"NVT-US^P_BETA_LOCIDX(45608,45434,,\"SPX\")":1.9231434,"NVT-US^P_BETA_LOCIDX(45607,45433,,\"SPX\")":1.9226941,"NVT-US^P_BETA_LOCIDX(45604,45432,,\"SPX\")":1.9224021,"NVT-US^P_BETA_LOCIDX(45603,45429,,\"SPX\")":1.9272689,"NVT-US^P_BETA_LOCIDX(45602,45428,,\"SPX\")":1.9426413,"NVT-US^P_BETA_LOCIDX(45601,45427,,\"SPX\")":1.7847677,"NVT-US^P_BETA_LOCIDX(45600,45426,,\"SPX\")":1.7957163,"NVT-US^P_BETA_LOCIDX(45597,45425,,\"SPX\")":1.8036993,"NVT-US^P_BETA_LOCIDX(45596,45422,,\"SPX\")":1.839319,"NVT-US^P_BETA_LOCIDX(45595,45421,,\"SPX\")":1.9401195,"NVT-US^P_BETA_LOCIDX(45594,45420,,\"SPX\")":1.940562,"NVT-US^P_BETA_LOCIDX(45593,45419,,\"SPX\")":1.9415758,"NVT-US^P_BETA_LOCIDX(45590,45418,,\"SPX\")":1.9246448,"NVT-US^P_BETA_LOCIDX(45589,45415,,\"SPX\")":1.9705466,"NVT-US^P_BETA_LOCIDX(45588,45414,,\"SPX\")":1.9646274,"NVT-US^P_BETA_LOCIDX(45587,45413,,\"SPX\")":1.9865227,"NVT-US^P_BETA_LOCIDX(45586,45412,,\"SPX\")":2.002798,"NVT-US^P_BETA_LOCIDX(45583,45411,,\"SPX\")":1.9995425,"NVT-US^P_BETA_LOCIDX(45582,45408,,\"SPX\")":2.003228,"NVT-US^P_BETA_LOCIDX(45581,45407,,\"SPX\")":1.9931211,"NVT-US^P_BETA_LOCIDX(45580,45406,,\"SPX\")":1.9886742,"NVT-US^P_BETA_LOCIDX(45579,45405,,\"SPX\")":1.9782226,"NVT-US^P_BETA_LOCIDX(45576,45404,,\"SPX\")":1.9458059,"NVT-US^P_BETA_LOCIDX(45575,45401,,\"SPX\")":1.9209268,"NVT-US^P_BETA_LOCIDX(45574,45400,,\"SPX\")":1.9279484,"NVT-US^P_BETA_LOCIDX(45573,45399,,\"SPX\")":1.9211361,"NVT-US^P_BETA_LOCIDX(45572,45398,,\"SPX\")":1.9569346,"NVT-US^P_BETA_LOCIDX(45569,45397,,\"SPX\")":1.9796093,"NVT-US^P_BETA_LOCIDX(45568,45394,,\"SPX\")":1.9289933,"NVT-US^P_BETA_LOCIDX(45567,45393,,\"SPX\")":1.9242029,"NVT-US^P_BETA_LOCIDX(45566,45392,,\"SPX\")":1.9088126,"NVT-US^P_BETA_LOCIDX(45565,45391,,\"SPX\")":1.9051528,"NVT-US^P_BETA_LOCIDX(45562,45390,,\"SPX\")":1.9107407,"NVT-US^P_BETA_LOCIDX(45561,45387,,\"SPX\")":1.9296603,"NVT-US^P_BETA_LOCIDX(45560,45386,,\"SPX\")":1.9074489,"NVT-US^P_BETA_LOCIDX(45559,45385,,\"SPX\")":1.9101228,"NVT-US^P_BETA_LOCIDX(45558,45384,,\"SPX\")":1.8983995,"NVT-US^P_BETA_LOCIDX(45555,45383,,\"SPX\")":1.8989748,"NVT-US^P_BETA_LOCIDX(45554,45379,,\"SPX\")":1.9004817,"NVT-US^P_BETA_LOCIDX(45553,45378,,\"SPX\")":1.853762,"NVT-US^P_BETA_LOCIDX(45552,45377,,\"SPX\")":1.8518004,"NVT-US^P_BETA_LOCIDX(45551,45376,,\"SPX\")":1.84726,"NVT-US^P_BETA_LOCIDX(45548,45373,,\"SPX\")":1.8462732,"NVT-US^P_BETA_LOCIDX(45547,45372,,\"SPX\")":1.842254,"NVT-US^P_BETA_LOCIDX(45546,45371,,\"SPX\")":1.848127,"NVT-US^P_BETA_LOCIDX(45545,45370,,\"SPX\")":1.8384373,"NVT-US^P_BETA_LOCIDX(45544,45369,,\"SPX\")":1.8400793,"NVT-US^P_BETA_LOCIDX(45541,45366,,\"SPX\")":1.8494586,"NVT-US^P_BETA_LOCIDX(45540,45365,,\"SPX\")":1.903733,"NVT-US^P_BETA_LOCIDX(45539,45364,,\"SPX\")":1.8967264,"NVT-US^P_BETA_LOCIDX(45538,45363,,\"SPX\")":1.9002274,"NVT-US^P_BETA_LOCIDX(45534,45362,,\"SPX\")":1.8293622,"NVT-US^P_BETA_LOCIDX(45533,45359,,\"SPX\")":1.8289224,"NVT-US^P_BETA_LOCIDX(45532,45358,,\"SPX\")":1.8185109,"NVT-US^P_BETA_LOCIDX(45531,45357,,\"SPX\")":1.8203241,"NVT-US^P_BETA_LOCIDX(45530,45356,,\"SPX\")":1.8151437,"NVT-US^P_BETA_LOCIDX(45527,45355,,\"SPX\")":1.805553,"NVT-US^P_BETA_LOCIDX(45526,45352,,\"SPX\")":1.7960434,"NVT-US^P_BETA_LOCIDX(45525,45351,,\"SPX\")":1.811698,"NVT-US^P_BETA_LOCIDX(45524,45350,,\"SPX\")":1.8097253,"NVT-US^P_BETA_LOCIDX(45523,45349,,\"SPX\")":1.8085803,"NVT-US^P_BETA_LOCIDX(45520,45348,,\"SPX\")":1.8272536,"NVT-US^P_BETA_LOCIDX(45519,45345,,\"SPX\")":1.8289496,"NVT-US^P_BETA_LOCIDX(45518,45344,,\"SPX\")":1.8148518,"NVT-US^P_BETA_LOCIDX(45517,45343,,\"SPX\")":1.8111439,"NVT-US^P_BETA_LOCIDX(45516,45342,,\"SPX\")":1.8495882,"NVT-US^P_BETA_LOCIDX(45513,45338,,\"SPX\")":1.8386993,"NVT-US^P_BETA_LOCIDX(45512,45337,,\"SPX\")":1.8270067,"NVT-US^P_BETA_LOCIDX(45511,45336,,\"SPX\")":1.8517201,"NVT-US^P_BETA_LOCIDX(45510,45335,,\"SPX\")":1.8604558,"NVT-US^P_BETA_LOCIDX(45509,45334,,\"SPX\")":1.9189132,"NVT-US^P_BETA_LOCIDX(45506,45331,,\"SPX\")":2.0443387,"NVT-US^P_BETA_LOCIDX(45505,45330,,\"SPX\")":1.9406742,"NVT-US^P_BETA_LOCIDX(45504,45329,,\"SPX\")":1.9236486,"NVT-US^P_BETA_LOCIDX(45503,45328,,\"SPX\")":1.8820516,"NVT-US^P_BETA_LOCIDX(45502,45327,,\"SPX\")":1.8802123,"NVT-US^P_BETA_LOCIDX(45499,45324,,\"SPX\")":1.8724337,"NVT-US^P_BETA_LOCIDX(45498,45323,,\"SPX\")":1.9363103,"NVT-US^P_BETA_LOCIDX(45497,45322,,\"SPX\")":1.9099003,"NVT-US^P_BETA_LOCIDX(45496,45321,,\"SPX\")":1.7457107,"NVT-US^P_BETA_LOCIDX(45495,45320,,\"SPX\")":1.7483305,"NVT-US^P_BETA_LOCIDX(45492,45317,,\"SPX\")":1.7160524,"NVT-US^P_BETA_LOCIDX(45491,45316,,\"SPX\")":1.7398047,"NVT-US^P_BETA_LOCIDX(45490,45315,,\"SPX\")":1.75566,"NVT-US^P_BETA_LOCIDX(45489,45314,,\"SPX\")":1.5887252,"NVT-US^P_BETA_LOCIDX(45488,45313,,\"SPX\")":1.5677294,"NVT-US^P_BETA_LOCIDX(45485,45310,,\"SPX\")":1.5909307,"NVT-US^P_BETA_LOCIDX(45484,45309,,\"SPX\")":1.5952098,"NVT-US^P_BETA_LOCIDX(45483,45308,,\"SPX\")":1.6320316,"NVT-US^P_BETA_LOCIDX(45482,45307,,\"SPX\")":1.6091232,"NVT-US^P_BETA_LOCIDX(45481,45303,,\"SPX\")":1.608941,"NVT-US^P_BETA_LOCIDX(45478,45302,,\"SPX\")":1.6087474,"NVT-US^P_BETA_LOCIDX(45476,45301,,\"SPX\")":1.6161635,"NVT-US^P_BETA_LOCIDX(45475,45300,,\"SPX\")":1.6095248,"NVT-US^P_BETA_LOCIDX(45474,45299,,\"SPX\")":1.6031628,"NVT-US^P_BETA_LOCIDX(45471,45296,,\"SPX\")":1.6091195,"NVT-US^P_BETA_LOCIDX(45470,45295,,\"SPX\")":1.6137459,"NVT-US^P_BETA_LOCIDX(45469,45294,,\"SPX\")":1.6523402,"NVT-US^P_BETA_LOCIDX(45468,45293,,\"SPX\")":1.6632786,"NVT-US^P_BETA_LOCIDX(45467,45289,,\"SPX\")":1.6729859,"NVT-US^P_BETA_LOCIDX(45464,45288,,\"SPX\")":1.679771,"NVT-US^P_BETA_LOCIDX(45463,45287,,\"SPX\")":1.6793039,"NVT-US^P_BETA_LOCIDX(45461,45286,,\"SPX\")":1.6650819,"NVT-US^P_BETA_LOCIDX(45460,45282,,\"SPX\")":1.6628958,"NVT-US^P_BETA_LOCIDX(45457,45281,,\"SPX\")":1.6682532,"NVT-US^P_BETA_LOCIDX(45456,45280,,\"SPX\")":1.6384246,"NVT-US^P_BETA_LOCIDX(45455,45279,,\"SPX\")":1.6352099,"NVT-US^P_BETA_LOCIDX(45454,45278,,\"SPX\")":1.5967087,"NVT-US^P_BETA_LOCIDX(45453,45275,,\"SPX\")":1.599036,"NVT-US^P_BETA_LOCIDX(45450,45274,,\"SPX\")":1.6070501,"NVT-US^P_BETA_LOCIDX(45449,45273,,\"SPX\")":1.5353717,"NVT-US^P_BETA_LOCIDX(45448,45272,,\"SPX\")":1.5302728,"NVT-US^P_BETA_LOCIDX(45447,45271,,\"SPX\")":1.5065769,"NVT-US^P_BETA_LOCIDX(45446,45268,,\"SPX\")":1.5144767,"NVT-US^P_BETA_LOCIDX(45443,45267,,\"SPX\")":1.5056498,"NVT-US^P_BETA_LOCIDX(45442,45266,,\"SPX\")":1.5351613,"NVT-US^P_BETA_LOCIDX(45441,45265,,\"SPX\")":1.5429443,"NVT-US^P_BETA_LOCIDX(45440,45264,,\"SPX\")":1.5364736,"NVT-US^P_BETA_LOCIDX(45436,45261,,\"SPX\")":1.5366396,"NVT-US^P_BETA_LOCIDX(45435,45260,,\"SPX\")":1.5145959,"NVT-US^P_BETA_LOCIDX(45434,45259,,\"SPX\")":1.5323921,"NVT-US^P_BETA_LOCIDX(45433,45258,,\"SPX\")":1.5271761,"NVT-US^P_BETA_LOCIDX(45432,45257,,\"SPX\")":1.5214598,"NVT-US^P_BETA_LOCIDX(45429,45254,,\"SPX\")":1.5232885,"NVT-US^P_BETA_LOCIDX(45428,45252,,\"SPX\")":1.5258044,"NVT-US^P_BETA_LOCIDX(45427,45251,,\"SPX\")":1.5000123,"NVT-US^P_BETA_LOCIDX(45426,45250,,\"SPX\")":1.475627,"NVT-US^P_BETA_LOCIDX(45425,45247,,\"SPX\")":1.4729346,"NVT-US^P_BETA_LOCIDX(45422,45246,,\"SPX\")":1.4690262,"NVT-US^P_BETA_LOCIDX(45421,45245,,\"SPX\")":1.4693425,"NVT-US^P_BETA_LOCIDX(45420,45244,,\"SPX\")":1.4712436,"NVT-US^P_BETA_LOCIDX(45419,45243,,\"SPX\")":1.4767182,"NVT-US^P_BETA_LOCIDX(45418,45240,,\"SPX\")":1.4820595,"NVT-US^P_BETA_LOCIDX(45415,45239,,\"SPX\")":1.4942622,"NVT-US^P_BETA_LOCIDX(45414,45238,,\"SPX\")":1.4282633,"NVT-US^P_BETA_LOCIDX(45413,45237,,\"SPX\")":1.4313335,"NVT-US^P_BETA_LOCIDX(45412,45236,,\"SPX\")":1.42272,"NVT-US^P_BETA_LOCIDX(45411,45233,,\"SPX\")":1.3504366,"NVT-US^P_BETA_LOCIDX(45408,45232,,\"SPX\")":1.2805444,"NVT-US^P_BETA_LOCIDX(45407,45231,,\"SPX\")":1.2930304,"NVT-US^P_BETA_LOCIDX(45406,45230,,\"SPX\")":1.3062505,"NVT-US^P_BETA_LOCIDX(45405,45229,,\"SPX\")":1.3480964,"NVT-US^P_BETA_LOCIDX(45404,45226,,\"SPX\")":1.361872,"NVT-US^P_BETA_LOCIDX(45401,45225,,\"SPX\")":1.3480501,"NVT-US^P_BETA_LOCIDX(45400,45224,,\"SPX\")":1.3632467,"NVT-US^P_BETA_LOCIDX(45399,45223,,\"SPX\")":1.3465847,"NVT-US^P_BETA_LOCIDX(45398,45222,,\"SPX\")":1.3432014,"NVT-US^P_BETA_LOCIDX(45397,45219,,\"SPX\")":1.3390009,"NVT-US^P_BETA_LOCIDX(45394,45218,,\"SPX\")":1.3915501,"NVT-US^P_BETA_LOCIDX(45393,45217,,\"SPX\")":1.5023729,"NVT-US^P_BETA_LOCIDX(45392,45216,,\"SPX\")":1.5050693,"NVT-US^P_BETA_LOCIDX(45391,45215,,\"SPX\")":1.5143844,"NVT-US^P_BETA_LOCIDX(45390,45212,,\"SPX\")":1.5732096,"NVT-US^P_BETA_LOCIDX(45387,45211,,\"SPX\")":1.5667363,"NVT-US^P_BETA_LOCIDX(45386,45210,,\"SPX\")":1.5502145,"NVT-US^P_BETA_LOCIDX(45385,45209,,\"SPX\")":1.5539353,"NVT-US^P_BETA_LOCIDX(45384,45208,,\"SPX\")":1.5474656,"NVT-US^P_BETA_LOCIDX(45383,45205,,\"SPX\")":1.5898749,"NVT-US^P_BETA_LOCIDX(45379,45204,,\"SPX\")":1.5947678,"NVT-US^P_BETA_LOCIDX(45378,45203,,\"SPX\")":1.5886582,"NVT-US^P_BETA_LOCIDX(45377,45202,,\"SPX\")":1.5614551,"NVT-US^P_BETA_LOCIDX(45376,45201,,\"SPX\")":1.5771414,"NVT-US^P_BETA_LOCIDX(45373,45198,,\"SPX\")":1.5923465,"NVT-US^P_BETA_LOCIDX(45372,45197,,\"SPX\")":1.5962108,"NVT-US^P_BETA_LOCIDX(45371,45196,,\"SPX\")":1.5915933,"NVT-US^P_BETA_LOCIDX(45370,45195,,\"SPX\")":1.6048816,"NVT-US^P_BETA_LOCIDX(45369,45194,,\"SPX\")":1.6056713,"NVT-US^P_BETA_LOCIDX(45366,45191,,\"SPX\")":1.6027623,"NVT-US^P_BETA_LOCIDX(45365,45190,,\"SPX\")":1.6099712,"NVT-US^P_BETA_LOCIDX(45364,45189,,\"SPX\")":1.6025199,"NVT-US^P_BETA_LOCIDX(45363,45188,,\"SPX\")":1.6155564,"NVT-US^P_BETA_LOCIDX(45362,45187,,\"SPX\")":1.6071926,"NVT-US^P_BETA_LOCIDX(45359,45184,,\"SPX\")":1.6081644,"NVT-US^P_BETA_LOCIDX(45358,45183,,\"SPX\")":1.5994534,"NVT-US^P_BETA_LOCIDX(45357,45182,,\"SPX\")":1.6119435,"NVT-US^P_BETA_LOCIDX(45356,45181,,\"SPX\")":1.6147937,"NVT-US^P_BETA_LOCIDX(45355,45180,,\"SPX\")":1.616026,"NVT-US^P_BETA_LOCIDX(45352,45177,,\"SPX\")":1.6204005,"NVT-US^P_BETA_LOCIDX(45351,45176,,\"SPX\")":1.5930854,"NVT-US^P_BETA_LOCIDX(45350,45175,,\"SPX\")":1.5648695,"NVT-US^P_BETA_LOCIDX(45349,45174,,\"SPX\")":1.5860159,"NVT-US^P_BETA_LOCIDX(45348,45170,,\"SPX\")":1.5874556,"NVT-US^P_BETA_LOCIDX(45345,45169,,\"SPX\")":1.5819801,"NVT-US^P_BETA_LOCIDX(45344,45168,,\"SPX\")":1.5833774,"NVT-US^P_BETA_LOCIDX(45343,45167,,\"SPX\")":1.5578312,"NVT-US^P_BETA_LOCIDX(45342,45166,,\"SPX\")":1.5618067,"NVT-US^P_BETA_LOCIDX(45338,45163,,\"SPX\")":1.5544807,"NVT-US^P_BETA_LOCIDX(45337,45162,,\"SPX\")":1.5264734,"NVT-US^P_BETA_LOCIDX(45336,45161,,\"SPX\")":1.5446299,"NVT-US^P_BETA_LOCIDX(45335,45160,,\"SPX\")":1.542588,"NVT-US^P_BETA_LOCIDX(45334,45159,,\"SPX\")":1.5364572,"NVT-US^P_BETA_LOCIDX(45331,45156,,\"SPX\")":1.5356464,"NVT-US^P_BETA_LOCIDX(45330,45155,,\"SPX\")":1.5483527,"NVT-US^P_BETA_LOCIDX(45329,45154,,\"SPX\")":1.5607175,"NVT-US^P_BETA_LOCIDX(45328,45153,,\"SPX\")":1.5268804,"NVT-US^P_BETA_LOCIDX(45327,45152,,\"SPX\")":1.5298053,"NVT-US^P_BETA_LOCIDX(45324,45149,,\"SPX\")":1.5262666,"NVT-US^P_BETA_LOCIDX(45323,45148,,\"SPX\")":1.5301845,"NVT-US^P_BETA_LOCIDX(45322,45147,,\"SPX\")":1.4980688,"NVT-US^P_BETA_LOCIDX(45321,45146,,\"SPX\")":1.4984429,"NVT-US^P_BETA_LOCIDX(45320,45145,,\"SPX\")":1.5098671,"NVT-US^P_BETA_LOCIDX(45317,45142,,\"SPX\")":1.511392,"NVT-US^P_BETA_LOCIDX(45316,45141,,\"SPX\")":1.5202614,"NVT-US^P_BETA_LOCIDX(45315,45140,,\"SPX\")":1.4153105,"NVT-US^P_BETA_LOCIDX(45314,45139,,\"SPX\")":1.3978091,"NVT-US^P_BETA_LOCIDX(45313,45138,,\"SPX\")":1.4016159,"NVT-US^P_BETA_LOCIDX(45310,45135,,\"SPX\")":1.4042245,"NVT-US^P_BETA_LOCIDX(45309,45134,,\"SPX\")":1.3692052,"NVT-US^P_BETA_LOCIDX(45308,45133,,\"SPX\")":1.374261,"NVT-US^P_BETA_LOCIDX(45307,45132,,\"SPX\")":1.3700393,"NVT-US^P_BETA_LOCIDX(45303,45131,,\"SPX\")":1.3680044,"NVT-US^P_BETA_LOCIDX(45302,45128,,\"SPX\")":1.3684741,"NVT-US^P_BETA_LOCIDX(45301,45127,,\"SPX\")":1.3739586,"NVT-US^P_BETA_LOCIDX(45300,45126,,\"SPX\")":1.3803338,"NVT-US^P_BETA_LOCIDX(45299,45125,,\"SPX\")":1.3991815,"NVT-US^P_BETA_LOCIDX(45296,45124,,\"SPX\")":1.4057015,"NVT-US^P_BETA_LOCIDX(45295,45121,,\"SPX\")":1.4056746,"NVT-US^P_BETA_LOCIDX(45294,45120,,\"SPX\")":1.4170418,"NVT-US^P_BETA_LOCIDX(45293,45119,,\"SPX\")":1.380828,"NVT-US^P_BETA_LOCIDX(45289,45118,,\"SPX\")":1.3646109,"NVT-US^P_BETA_LOCIDX(45288,45117,,\"SPX\")":1.3699654,"NVT-US^P_BETA_LOCIDX(45287,45114,,\"SPX\")":1.3576201,"NVT-US^P_BETA_LOCIDX(45286,45113,,\"SPX\")":1.3653293,"NVT-US^P_BETA_LOCIDX(45282,45112,,\"SPX\")":1.3757885,"NVT-US^P_BETA_LOCIDX(45281,45110,,\"SPX\")":1.373545,"NVT-US^P_BETA_LOCIDX(45280,45107,,\"SPX\")":1.375178,"NVT-US^P_BETA_LOCIDX(45279,45106,,\"SPX\")":1.3808727,"NVT-US^P_BETA_LOCIDX(45278,45105,,\"SPX\")":1.3820153,"NVT-US^P_BETA_LOCIDX(45275,45104,,\"SPX\")":1.3979851,"NVT-US^P_BETA_LOCIDX(45274,45103,,\"SPX\")":1.3666831,"NVT-US^P_BETA_LOCIDX(45273,45100,,\"SPX\")":1.3331716,"NVT-US^P_BETA_LOCIDX(45272,45099,,\"SPX\")":1.3931708,"NVT-US^P_BETA_LOCIDX(45271,45098,,\"SPX\")":1.3807844,"NVT-US^P_BETA_LOCIDX(45268,45097,,\"SPX\")":1.3675064,"NVT-US^P_BETA_LOCIDX(45267,45093,,\"SPX\")":1.3660185,"NVT-US^P_BETA_LOCIDX(45266,45092,,\"SPX\")":1.3529929,"NVT-US^P_BETA_LOCIDX(45265,45091,,\"SPX\")":1.3564069,"NVT-US^P_BETA_LOCIDX(45264,45090,,\"SPX\")":1.3452893,"NVT-US^P_BETA_LOCIDX(45261,45089,,\"SPX\")":1.3647324,"NVT-US^P_BETA_LOCIDX(45260,45086,,\"SPX\")":1.3572029,"NVT-US^P_BETA_LOCIDX(45259,45085,,\"SPX\")":1.3473399,"NVT-US^P_BETA_LOCIDX(45258,45084,,\"SPX\")":1.3224311,"NVT-US^P_BETA_LOCIDX(45257,45083,,\"SPX\")":1.3280519,"NVT-US^P_BETA_LOCIDX(45254,45082,,\"SPX\")":1.3361988,"NVT-US^P_BETA_LOCIDX(45252,45079,,\"SPX\")":1.380815,"NVT-US^P_BETA_LOCIDX(45251,45078,,\"SPX\")":1.3851452,"NVT-US^P_BETA_LOCIDX(45250,45077,,\"SPX\")":1.4093823,"NVT-US^P_BETA_LOCIDX(45247,45076,,\"SPX\")":1.4122715,"NVT-US^P_BETA_LOCIDX(45246,45072,,\"SPX\")":1.4242501,"NVT-US^P_BETA_LOCIDX(45245,45071,,\"SPX\")":1.4817556,"NVT-US^P_BETA_LOCIDX(45244,45070,,\"SPX\")":1.4917583,"NVT-US^P_BETA_LOCIDX(45243,45069,,\"SPX\")":1.5038842,"NVT-US^P_BETA_LOCIDX(45240,45068,,\"SPX\")":1.5038064,"NVT-US^P_BETA_LOCIDX(45239,45065,,\"SPX\")":1.4992927,"NVT-US^P_BETA_LOCIDX(45238,45064,,\"SPX\")":1.5177335,"NVT-US^P_BETA_LOCIDX(45237,45063,,\"SPX\")":1.5191001,"NVT-US^P_BETA_LOCIDX(45236,45062,,\"SPX\")":1.533894,"NVT-US^P_BETA_LOCIDX(45233,45061,,\"SPX\")":1.5345902,"NVT-US^P_BETA_LOCIDX(45232,45058,,\"SPX\")":1.5421984,"NVT-US^P_BETA_LOCIDX(45231,45057,,\"SPX\")":1.6257638,"NVT-US^P_BETA_LOCIDX(45230,45056,,\"SPX\")":1.6075251,"NVT-US^P_BETA_LOCIDX(45229,45055,,\"SPX\")":1.6009755,"NVT-US^P_BETA_LOCIDX(45226,45054,,\"SPX\")":1.5627362,"NVT-US^P_BETA_LOCIDX(45225,45051,,\"SPX\")":1.5322727,"NVT-US^P_BETA_LOCIDX(45224,45050,,\"SPX\")":1.6007268,"NVT-US^P_BETA_LOCIDX(45223,45049,,\"SPX\")":1.6064807,"NVT-US^P_BETA_LOCIDX(45222,45048,,\"SPX\")":1.5888515,"NVT-US^P_BETA_LOCIDX(45219,45047,,\"SPX\")":1.5882754,"NVT-US^P_BETA_LOCIDX(45218,45044,,\"SPX\")":1.5220381,"NVT-US^P_BETA_LOCIDX(45217,45043,,\"SPX\")":1.4992805,"NVT-US^P_BETA_LOCIDX(45216,45042,,\"SPX\")":1.4320799,"NVT-US^P_BETA_LOCIDX(45215,45041,,\"SPX\")":1.3973663,"NVT-US^P_BETA_LOCIDX(45212,45040,,\"SPX\")":1.395863,"NVT-US^P_BETA_LOCIDX(45211,45037,,\"SPX\")":1.3470764,"NVT-US^P_BETA_LOCIDX(45210,45036,,\"SPX\")":1.3504771,"NVT-US^P_BETA_LOCIDX(45209,45035,,\"SPX\")":1.3379225,"NVT-US^P_BETA_LOCIDX(45208,45034,,\"SPX\")":1.3461109,"NVT-US^P_BETA_LOCIDX(45205,45033,,\"SPX\")":1.3533045,"NVT-US^P_BETA_LOCIDX(45204,45030,,\"SPX\")":1.3204578,"NVT-US^P_BETA_LOCIDX(45203,45029,,\"SPX\")":1.2730416,"NVT-US^P_BETA_LOCIDX(45202,45028,,\"SPX\")":1.2635804,"NVT-US^P_BETA_LOCIDX(45201,45027,,\"SPX\")":1.2843416,"NVT-US^P_BETA_LOCIDX(45198,45026,,\"SPX\")":1.2839483,"NVT-US^P_BETA_LOCIDX(45197,45022,,\"SPX\")":1.2801467,"NVT-US^P_BETA_LOCIDX(45196,45021,,\"SPX\")":1.2804452,"NVT-US^P_BETA_LOCIDX(45195,45020,,\"SPX\")":1.337984,"NVT-US^P_BETA_LOCIDX(45194,45019,,\"SPX\")":1.3229198,"NVT-US^P_BETA_LOCIDX(45191,45016,,\"SPX\")":1.3128636,"NVT-US^P_BETA_LOCIDX(45190,45015,,\"SPX\")":1.30938,"NVT-US^P_BETA_LOCIDX(45189,45014,,\"SPX\")":1.2774069,"NVT-US^P_BETA_LOCIDX(45188,45013,,\"SPX\")":1.2755564,"NVT-US^P_BETA_LOCIDX(45187,45012,,\"SPX\")":1.2693566,"NVT-US^P_BETA_LOCIDX(45184,45009,,\"SPX\")":1.2607175,"NVT-US^P_BETA_LOCIDX(45183,45008,,\"SPX\")":1.2402349,"NVT-US^P_BETA_LOCIDX(45182,45007,,\"SPX\")":1.2489978,"NVT-US^P_BETA_LOCIDX(45181,45006,,\"SPX\")":1.2464992,"NVT-US^P_BETA_LOCIDX(45180,45005,,\"SPX\")":1.2428966,"NVT-US^P_BETA_LOCIDX(45177,45002,,\"SPX\")":1.2720156,"NVT-US^P_BETA_LOCIDX(45176,45001,,\"SPX\")":1.2892787,"NVT-US^P_BETA_LOCIDX(45175,45000,,\"SPX\")":1.3819816,"NVT-US^P_BETA_LOCIDX(45174,44999,,\"SPX\")":1.4444441,"NVT-US^P_BETA_LOCIDX(45170,44998,,\"SPX\")":1.4323155,"NVT-US^P_BETA_LOCIDX(45169,44995,,\"SPX\")":1.4509424,"NVT-US^P_BETA_LOCIDX(45168,44994,,\"SPX\")":1.4565598,"NVT-US^P_BETA_LOCIDX(45167,44993,,\"SPX\")":1.4557936,"NVT-US^P_BETA_LOCIDX(45166,44992,,\"SPX\")":1.4139575,"NVT-US^P_BETA_LOCIDX(45163,44991,,\"SPX\")":1.4097981,"NVT-US^P_BETA_LOCIDX(45162,44988,,\"SPX\")":1.372651,"NVT-US^P_BETA_LOCIDX(45161,44987,,\"SPX\")":1.3926502,"NVT-US^P_BETA_LOCIDX(45160,44986,,\"SPX\")":1.3706325,"NVT-US^P_BETA_LOCIDX(45159,44985,,\"SPX\")":1.3633152,"NVT-US^P_BETA_LOCIDX(45156,44984,,\"SPX\")":1.3575045,"NVT-US^P_BETA_LOCIDX(45155,44981,,\"SPX\")":1.340666,"NVT-US^P_BETA_LOCIDX(45154,44980,,\"SPX\")":1.3383918,"NVT-US^P_BETA_LOCIDX(45153,44979,,\"SPX\")":1.3252997,"NVT-US^P_BETA_LOCIDX(45152,44978,,\"SPX\")":1.3078878,"NVT-US^P_BETA_LOCIDX(45149,44974,,\"SPX\")":1.3028417,"NVT-US^P_BETA_LOCIDX(45148,44973,,\"SPX\")":1.2676991,"NVT-US^P_BETA_LOCIDX(45147,44972,,\"SPX\")":1.2660613,"NVT-US^P_BETA_LOCIDX(45146,44971,,\"SPX\")":1.2578238,"NVT-US^P_BETA_LOCIDX(45145,44970,,\"SPX\")":1.2622117,"NVT-US^P_BETA_LOCIDX(45142,44967,,\"SPX\")":1.2560488,"NVT-US^P_BETA_LOCIDX(45141,44966,,\"SPX\")":1.2395492,"NVT-US^P_BETA_LOCIDX(45140,44965,,\"SPX\")":1.1734127,"NVT-US^P_BETA_LOCIDX(45139,44964,,\"SPX\")":1.3346286,"NVT-US^P_BETA_LOCIDX(45138,44963,,\"SPX\")":1.3403596,"NVT-US^P_BETA_LOCIDX(45135,44960,,\"SPX\")":1.2940382,"NVT-US^P_BETA_LOCIDX(45134,44959,,\"SPX\")":1.2418778,"NVT-US^P_BETA_LOCIDX(45133,44958,,\"SPX\")":1.2327591,"NVT-US^P_BETA_LOCIDX(45132,44957,,\"SPX\")":1.2311323,"NVT-US^P_BETA_LOCIDX(45131,44956,,\"SPX\")":1.2113879,"NVT-US^P_BETA_LOCIDX(45128,44953,,\"SPX\")":1.2144755,"NVT-US^P_BETA_LOCIDX(45127,44952,,\"SPX\")":1.2031573,"NVT-US^P_BETA_LOCIDX(45126,44951,,\"SPX\")":1.1967119,"NVT-US^P_BETA_LOCIDX(45125,44950,,\"SPX\")":1.1994987,"NVT-US^P_BETA_LOCIDX(45124,44949,,\"SPX\")":1.1615195,"NVT-US^P_BETA_LOCIDX(45121,44946,,\"SPX\")":1.1358415,"NVT-US^P_BETA_LOCIDX(45120,44945,,\"SPX\")":1.1488123,"NVT-US^P_BETA_LOCIDX(45119,44944,,\"SPX\")":1.1421422,"NVT-US^P_BETA_LOCIDX(45118,44943,,\"SPX\")":1.143515,"NVT-US^P_BETA_LOCIDX(45117,44939,,\"SPX\")":1.1471357,"NVT-US^P_BETA_LOCIDX(45114,44938,,\"SPX\")":1.1455122,"NVT-US^P_BETA_LOCIDX(45113,44937,,\"SPX\")":1.137787,"NVT-US^P_BETA_LOCIDX(45112,44936,,\"SPX\")":1.1289551,"NVT-US^P_BETA_LOCIDX(45110,44935,,\"SPX\")":1.1223985,"NVT-US^P_BETA_LOCIDX(45107,44932,,\"SPX\")":1.1226009,"NVT-US^P_BETA_LOCIDX(45106,44931,,\"SPX\")":1.1338165,"NVT-US^P_BETA_LOCIDX(45105,44930,,\"SPX\")":1.1357074,"NVT-US^P_BETA_LOCIDX(45104,44929,,\"SPX\")":1.1390368,"NVT-US^P_BETA_LOCIDX(45103,44925,,\"SPX\")":1.1295573,"NVT-US^P_BETA_LOCIDX(45100,44924,,\"SPX\")":1.1337667,"NVT-US^P_BETA_LOCIDX(45099,44923,,\"SPX\")":1.1494924,"NVT-US^P_BETA_LOCIDX(45098,44922,,\"SPX\")":1.1471273,"NVT-US^P_BETA_LOCIDX(45097,44918,,\"SPX\")":1.1518888,"NVT-US^P_BETA_LOCIDX(45093,44917,,\"SPX\")":1.157524,"NVT-US^P_BETA_LOCIDX(45092,44916,,\"SPX\")":1.1642748,"NVT-US^P_BETA_LOCIDX(45091,44915,,\"SPX\")":1.1728231,"NVT-US^P_BETA_LOCIDX(45090,44914,,\"SPX\")":1.157908,"NVT-US^P_BETA_LOCIDX(45089,44911,,\"SPX\")":1.1655203,"NVT-US^P_BETA_LOCIDX(45086,44910,,\"SPX\")":1.1749631,"NVT-US^P_BETA_LOCIDX(45085,44909,,\"SPX\")":1.1759471,"NVT-US^P_BETA_LOCIDX(45084,44908,,\"SPX\")":1.1665596,"NVT-US^P_BETA_LOCIDX(45083,44907,,\"SPX\")":1.180931,"NVT-US^P_BETA_LOCIDX(45082,44904,,\"SPX\")":1.179046,"NVT-US^P_BETA_LOCIDX(45079,44903,,\"SPX\")":1.1748588,"NVT-US^P_BETA_LOCIDX(45078,44902,,\"SPX\")":1.1451015,"NVT-US^P_BETA_LOCIDX(45077,44901,,\"SPX\")":1.1261288,"NVT-US^P_BETA_LOCIDX(45076,44900,,\"SPX\")":1.1059934,"NVT-US^P_BETA_LOCIDX(45072,44897,,\"SPX\")":1.1071024,"NVT-US^P_BETA_LOCIDX(45071,44896,,\"SPX\")":1.0944341,"NVT-US^P_BETA_LOCIDX(45070,44895,,\"SPX\")":1.00854,"NVT-US^P_BETA_LOCIDX(45069,44894,,\"SPX\")":1.0012207,"NVT-US^P_BETA_LOCIDX(45068,44893,,\"SPX\")":0.98952025,"NVT-US^P_BETA_LOCIDX(45065,44890,,\"SPX\")":0.9896728,"NVT-US^P_BETA_LOCIDX(45064,44888,,\"SPX\")":0.9874967,"NVT-US^P_BETA_LOCIDX(45063,44887,,\"SPX\")":0.9872183,"NVT-US^P_BETA_LOCIDX(45062,44886,,\"SPX\")":0.9815686,"NVT-US^P_BETA_LOCIDX(45061,44883,,\"SPX\")":0.9769551,"NVT-US^P_BETA_LOCIDX(45058,44882,,\"SPX\")":0.9778056,"NVT-US^P_BETA_LOCIDX(45057,44881,,\"SPX\")":0.97618914,"NVT-US^P_BETA_LOCIDX(45056,44880,,\"SPX\")":0.97301775,"NVT-US^P_BETA_LOCIDX(45055,44879,,\"SPX\")":0.97102195,"NVT-US^P_BETA_LOCIDX(45054,44876,,\"SPX\")":0.9608866,"NVT-US^P_BETA_LOCIDX(45051,44875,,\"SPX\")":0.888931,"NVT-US^P_BETA_LOCIDX(45050,44874,,\"SPX\")":0.8665795,"NVT-US^P_BETA_LOCIDX(45049,44873,,\"SPX\")":0.853272,"NVT-US^P_BETA_LOCIDX(45048,44872,,\"SPX\")":0.84517497,"NVT-US^P_BETA_LOCIDX(45047,44869,,\"SPX\")":0.88344026,"NVT-US^P_BETA_LOCIDX(45044,44868,,\"SPX\")":0.8770662,"NVT-US^P_BETA_LOCIDX(45043,44867,,\"SPX\")":0.9085404,"NVT-US^P_BETA_LOCIDX(45042,44866,,\"SPX\")":0.89151376,"NVT-US^P_BETA_LOCIDX(45041,44865,,\"SPX\")":0.8854856,"NVT-US^P_BETA_LOCIDX(45040,44862,,\"SPX\")":0.95516706,"NVT-US^P_BETA_LOCIDX(45037,44861,,\"SPX\")":0.95399874,"NVT-US^P_BETA_LOCIDX(45036,44860,,\"SPX\")":0.9525769,"NVT-US^P_BETA_LOCIDX(45035,44859,,\"SPX\")":0.9526622,"NVT-US^P_BETA_LOCIDX(45034,44858,,\"SPX\")":0.9571682,"NVT-US^P_BETA_LOCIDX(45033,44855,,\"SPX\")":0.972458,"NVT-US^P_BETA_LOCIDX(45030,44854,,\"SPX\")":0.98377997,"NVT-US^P_BETA_LOCIDX(45029,44853,,\"SPX\")":0.9909854,"NVT-US^P_BETA_LOCIDX(45028,44852,,\"SPX\")":1.0047317,"NVT-US^P_BETA_LOCIDX(45027,44851,,\"SPX\")":1.0104172,"NVT-US^P_BETA_LOCIDX(45026,44848,,\"SPX\")":1.0120091,"NVT-US^P_BETA_LOCIDX(45022,44847,,\"SPX\")":1.0281587,"NVT-US^P_BETA_LOCIDX(45021,44846,,\"SPX\")":1.0295324,"NVT-US^P_BETA_LOCIDX(45020,44845,,\"SPX\")":1.0234824,"NVT-US^P_BETA_LOCIDX(45019,44844,,\"SPX\")":1.0009553,"NVT-US^P_BETA_LOCIDX(45016,44841,,\"SPX\")":1.0124178,"NVT-US^P_BETA_LOCIDX(45015,44840,,\"SPX\")":1.014198,"NVT-US^P_BETA_LOCIDX(45014,44839,,\"SPX\")":1.0152702,"NVT-US^P_BETA_LOCIDX(45013,44838,,\"SPX\")":1.0234833,"NVT-US^P_BETA_LOCIDX(45012,44837,,\"SPX\")":1.0272341,"NVT-US^P_BETA_LOCIDX(45009,44834,,\"SPX\")":1.0152249,"NVT-US^P_BETA_LOCIDX(45008,44833,,\"SPX\")":1.0012174,"NVT-US^P_BETA_LOCIDX(45007,44832,,\"SPX\")":1.0073009,"NVT-US^P_BETA_LOCIDX(45006,44831,,\"SPX\")":1.0024163,"NVT-US^P_BETA_LOCIDX(45005,44830,,\"SPX\")":1.004085,"NVT-US^P_BETA_LOCIDX(45002,44827,,\"SPX\")":0.9961701,"NVT-US^P_BETA_LOCIDX(45001,44826,,\"SPX\")":0.98928493,"NVT-US^P_BETA_LOCIDX(45000,44825,,\"SPX\")":0.9866461,"NVT-US^P_BETA_LOCIDX(44999,44824,,\"SPX\")":0.9666429,"NVT-US^P_BETA_LOCIDX(44998,44823,,\"SPX\")":0.95313287,"NVT-US^P_BETA_LOCIDX(44995,44820,,\"SPX\")":0.96091753,"NVT-US^P_BETA_LOCIDX(44994,44819,,\"SPX\")":0.94406825,"NVT-US^P_BETA_LOCIDX(44993,44818,,\"SPX\")":0.93413335,"NVT-US^P_BETA_LOCIDX(44992,44817,,\"SPX\")":0.9397247,"NVT-US^P_BETA_LOCIDX(44991,44816,,\"SPX\")":0.9420186,"NVT-US^P_BETA_LOCIDX(44988,44813,,\"SPX\")":0.9458586,"NVT-US^P_BETA_LOCIDX(44987,44812,,\"SPX\")":0.9594506,"NVT-US^P_BETA_LOCIDX(44986,44811,,\"SPX\")":0.9679372,"NVT-US^P_BETA_LOCIDX(44985,44810,,\"SPX\")":0.96880853,"NVT-US^P_BETA_LOCIDX(44984,44806,,\"SPX\")":0.9682652,"NVT-US^P_BETA_LOCIDX(44981,44805,,\"SPX\")":0.96845925,"NVT-US^P_BETA_LOCIDX(44980,44804,,\"SPX\")":0.9719478,"NVT-US^P_BETA_LOCIDX(44979,44803,,\"SPX\")":0.9721129,"NVT-US^P_BETA_LOCIDX(44978,44802,,\"SPX\")":0.973843,"NVT-US^P_BETA_LOCIDX(44974,44799,,\"SPX\")":0.987617,"NVT-US^P_BETA_LOCIDX(44973,44798,,\"SPX\")":0.98391145,"NVT-US^P_BETA_LOCIDX(44972,44797,,\"SPX\")":0.9913124,"NVT-US^P_BETA_LOCIDX(44971,44796,,\"SPX\")":0.99167705,"NVT-US^P_BETA_LOCIDX(44970,44795,,\"SPX\")":0.99777716,"NVT-US^P_BETA_LOCIDX(44967,44792,,\"SPX\")":1.0020069,"NVT-US^P_BETA_LOCIDX(44966,44791,,\"SPX\")":1.0035026,"NVT-US^P_BETA_LOCIDX(44965,44790,,\"SPX\")":1.0091478,"NVT-US^P_BETA_LOCIDX(44964,44789,,\"SPX\")":1.0265737,"NVT-US^P_BETA_LOCIDX(44963,44788,,\"SPX\")":0.99621916,"NVT-US^P_BETA_LOCIDX(44960,44785,,\"SPX\")":0.9957852,"NVT-US^P_BETA_LOCIDX(44959,44784,,\"SPX\")":1.0084662,"NVT-US^P_BETA_LOCIDX(44958,44783,,\"SPX\")":1.0305942,"NVT-US^P_BETA_LOCIDX(44957,44782,,\"SPX\")":1.0368422,"NVT-US^P_BETA_LOCIDX(44956,44781,,\"SPX\")":1.0348951,"NVT-US^P_BETA_LOCIDX(44953,44778,,\"SPX\")":1.0405478,"NVT-US^P_BETA_LOCIDX(44952,44777,,\"SPX\")":1.0412129,"NVT-US^P_BETA_LOCIDX(44951,44776,,\"SPX\")":1.0395166,"NVT-US^P_BETA_LOCIDX(44950,44775,,\"SPX\")":1.0455998,"NVT-US^P_BETA_LOCIDX(44949,44774,,\"SPX\")":1.0438269,"NVT-US^P_BETA_LOCIDX(44946,44771,,\"SPX\")":1.0485948,"NVT-US^P_BETA_LOCIDX(44945,44770,,\"SPX\")":1.064135,"NVT-US^P_BETA_LOCIDX(44944,44769,,\"SPX\")":1.0542668,"NVT-US^P_BETA_LOCIDX(44943,44768,,\"SPX\")":1.044682,"NVT-US^P_BETA_LOCIDX(44939,44767,,\"SPX\")":1.0449045,"NVT-US^P_BETA_LOCIDX(44938,44764,,\"SPX\")":1.0425165,"NVT-US^P_BETA_LOCIDX(44937,44763,,\"SPX\")":1.0410981,"NVT-US^P_BETA_LOCIDX(44936,44762,,\"SPX\")":1.0484133,"NVT-US^P_BETA_LOCIDX(44935,44761,,\"SPX\")":1.0754261,"NVT-US^P_BETA_LOCIDX(44932,44760,,\"SPX\")":1.0770135,"NVT-US^P_BETA_LOCIDX(44931,44757,,\"SPX\")":1.0773567,"NVT-US^P_BETA_LOCIDX(44930,44756,,\"SPX\")":1.0744388,"NVT-US^P_BETA_LOCIDX(44929,44755,,\"SPX\")":1.0762984,"NVT-US^P_BETA_LOCIDX(44925,44754,,\"SPX\")":1.0778731,"NVT-US^P_BETA_LOCIDX(44924,44753,,\"SPX\")":1.074484,"NVT-US^P_BETA_LOCIDX(44923,44750,,\"SPX\")":1.0811415,"NVT-US^P_BETA_LOCIDX(44922,44749,,\"SPX\")":1.0773259,"NVT-US^P_BETA_LOCIDX(44918,44748,,\"SPX\")":1.0780236,"NVT-US^P_BETA_LOCIDX(44917,44747,,\"SPX\")":1.0772042,"NVT-US^P_BETA_LOCIDX(44916,44743,,\"SPX\")":1.0726,"NVT-US^P_BETA_LOCIDX(44915,44742,,\"SPX\")":1.0624259,"NVT-US^P_BETA_LOCIDX(44914,44741,,\"SPX\")":1.0626667,"NVT-US^P_BETA_LOCIDX(44911,44740,,\"SPX\")":1.0556246,"NVT-US^P_BETA_LOCIDX(44910,44739,,\"SPX\")":1.0535562,"NVT-US^P_BETA_LOCIDX(44909,44736,,\"SPX\")":1.0463096,"NVT-US^P_BETA_LOCIDX(44908,44735,,\"SPX\")":1.0339913,"NVT-US^P_BETA_LOCIDX(44907,44734,,\"SPX\")":1.0388312,"NVT-US^P_BETA_LOCIDX(44904,44733,,\"SPX\")":1.0231017,"NVT-US^P_BETA_LOCIDX(44903,44729,,\"SPX\")":1.0220978,"NVT-US^P_BETA_LOCIDX(44902,44728,,\"SPX\")":1.0561044,"NVT-US^P_BETA_LOCIDX(44901,44727,,\"SPX\")":1.050648,"NVT-US^P_BETA_LOCIDX(44900,44726,,\"SPX\")":1.0571678,"NVT-US^P_BETA_LOCIDX(44897,44725,,\"SPX\")":1.0601776,"NVT-US^P_BETA_LOCIDX(44896,44722,,\"SPX\")":1.0629679,"NVT-US^P_BETA_LOCIDX(44895,44721,,\"SPX\")":1.0568624,"NVT-US^P_BETA_LOCIDX(44894,44720,,\"SPX\")":1.0811249,"NVT-US^P_BETA_LOCIDX(44893,44719,,\"SPX\")":1.0856255,"NVT-US^P_BETA_LOCIDX(44890,44718,,\"SPX\")":1.0848411,"NVT-US^P_BETA_LOCIDX(44888,44715,,\"SPX\")":1.0778767,"NVT-US^P_BETA_LOCIDX(44887,44714,,\"SPX\")":1.0825223,"NVT-US^P_BETA_LOCIDX(44886,44713,,\"SPX\")":1.0792274,"NVT-US^P_BETA_LOCIDX(44883,44712,,\"SPX\")":1.0796378,"NVT-US^P_BETA_LOCIDX(44882,44708,,\"SPX\")":1.0727578,"NVT-US^P_BETA_LOCIDX(44881,44707,,\"SPX\")":1.0726653,"NVT-US^P_BETA_LOCIDX(44880,44706,,\"SPX\")":1.0748376,"NVT-US^P_BETA_LOCIDX(44879,44705,,\"SPX\")":1.0810865,"NVT-US^P_BETA_LOCIDX(44876,44704,,\"SPX\")":1.0838841,"NVT-US^P_BETA_LOCIDX(44875,44701,,\"SPX\")":1.0904597,"NVT-US^P_BETA_LOCIDX(44874,44700,,\"SPX\")":1.147299,"NVT-US^P_BETA_LOCIDX(44873,44699,,\"SPX\")":1.1365236,"NVT-US^P_BETA_LOCIDX(44872,44698,,\"SPX\")":1.1406605,"NVT-US^P_BETA_LOCIDX(44869,44697,,\"SPX\")":1.1481035,"NVT-US^P_BETA_LOCIDX(44868,44694,,\"SPX\")":1.1337928,"NVT-US^P_BETA_LOCIDX(44867,44693,,\"SPX\")":1.1379617,"NVT-US^P_BETA_LOCIDX(44866,44692,,\"SPX\")":1.1330636,"NVT-US^P_BETA_LOCIDX(44865,44691,,\"SPX\")":1.1347412,"NVT-US^P_BETA_LOCIDX(44862,44690,,\"SPX\")":1.1109802,"NVT-US^P_BETA_LOCIDX(44861,44687,,\"SPX\")":1.0772052,"NVT-US^P_BETA_LOCIDX(44860,44686,,\"SPX\")":1.059021,"NVT-US^P_BETA_LOCIDX(44859,44685,,\"SPX\")":1.045099,"NVT-US^P_BETA_LOCIDX(44858,44684,,\"SPX\")":1.0461019,"NVT-US^P_BETA_LOCIDX(44855,44683,,\"SPX\")":1.0457238,"NVT-US^P_BETA_LOCIDX(44854,44680,,\"SPX\")":1.0191988,"NVT-US^P_BETA_LOCIDX(44853,44679,,\"SPX\")":1.0089865,"NVT-US^P_BETA_LOCIDX(44852,44678,,\"SPX\")":1.0059627,"NVT-US^P_BETA_LOCIDX(44851,44677,,\"SPX\")":1.0061722,"NVT-US^P_BETA_LOCIDX(44848,44676,,\"SPX\")":1.0039984,"NVT-US^P_BETA_LOCIDX(44847,44673,,\"SPX\")":1.0097749,"NVT-US^P_BETA_LOCIDX(44846,44672,,\"SPX\")":0.9967744,"NVT-US^P_BETA_LOCIDX(44845,44671,,\"SPX\")":0.9973541,"NVT-US^P_BETA_LOCIDX(44844,44670,,\"SPX\")":1.0056903,"NVT-US^P_BETA_LOCIDX(44841,44669,,\"SPX\")":1.0060706,"NVT-US^P_BETA_LOCIDX(44840,44665,,\"SPX\")":0.99563336,"NVT-US^P_BETA_LOCIDX(44839,44664,,\"SPX\")":0.9976237,"NVT-US^P_BETA_LOCIDX(44838,44663,,\"SPX\")":0.99726754,"NVT-US^P_BETA_LOCIDX(44837,44662,,\"SPX\")":0.98805624,"NVT-US^P_BETA_LOCIDX(44834,44659,,\"SPX\")":0.98437726,"NVT-US^P_BETA_LOCIDX(44833,44658,,\"SPX\")":0.9921334,"NVT-US^P_BETA_LOCIDX(44832,44657,,\"SPX\")":0.9976957,"NVT-US^P_BETA_LOCIDX(44831,44656,,\"SPX\")":1.0011836,"NVT-US^P_BETA_LOCIDX(44830,44655,,\"SPX\")":0.9943062,"NVT-US^P_BETA_LOCIDX(44827,44652,,\"SPX\")":0.99441254,"NVT-US^P_BETA_LOCIDX(44826,44651,,\"SPX\")":1.0014528,"NVT-US^P_BETA_LOCIDX(44825,44650,,\"SPX\")":1.0011069,"NVT-US^P_BETA_LOCIDX(44824,44649,,\"SPX\")":1.005255,"NVT-US^P_BETA_LOCIDX(44823,44648,,\"SPX\")":1.0048566,"NVT-US^P_BETA_LOCIDX(44820,44645,,\"SPX\")":1.0022737,"NVT-US^P_BETA_LOCIDX(44819,44644,,\"SPX\")":0.98604167,"NVT-US^P_BETA_LOCIDX(44818,44643,,\"SPX\")":0.99443066,"NVT-US^P_BETA_LOCIDX(44817,44642,,\"SPX\")":0.98549235,"NVT-US^P_BETA_LOCIDX(44816,44641,,\"SPX\")":0.98711264,"NVT-US^P_BETA_LOCIDX(44813,44638,,\"SPX\")":0.98987573,"NVT-US^P_BETA_LOCIDX(44812,44637,,\"SPX\")":0.9827269,"NVT-US^P_BETA_LOCIDX(44811,44636,,\"SPX\")":0.9805938,"NVT-US^P_BETA_LOCIDX(44810,44635,,\"SPX\")":0.95362514,"NVT-US^P_BETA_LOCIDX(44806,44634,,\"SPX\")":0.9521171,"NVT-US^P_BETA_LOCIDX(44805,44631,,\"SPX\")":0.94743246,"NVT-US^P_BETA_LOCIDX(44804,44630,,\"SPX\")":0.9486634,"NVT-US^P_BETA_LOCIDX(44803,44629,,\"SPX\")":0.9630032,"NVT-US^P_BETA_LOCIDX(44802,44628,,\"SPX\")":0.957862,"NVT-US^P_BETA_LOCIDX(44799,44627,,\"SPX\")":0.95827717,"NVT-US^P_BETA_LOCIDX(44798,44624,,\"SPX\")":0.95257986,"NVT-US^P_BETA_LOCIDX(44797,44623,,\"SPX\")":0.9544888,"NVT-US^P_BETA_LOCIDX(44796,44622,,\"SPX\")":0.96323967,"NVT-US^P_BETA_LOCIDX(44795,44621,,\"SPX\")":0.9636392,"NVT-US^P_BETA_LOCIDX(44792,44620,,\"SPX\")":0.9592606,"NVT-US^P_BETA_LOCIDX(44791,44617,,\"SPX\")":0.9620491,"NVT-US^P_BETA_LOCIDX(44790,44616,,\"SPX\")":0.9601858,"NVT-US^P_BETA_LOCIDX(44789,44615,,\"SPX\")":0.95872533,"NVT-US^P_BETA_LOCIDX(44788,44614,,\"SPX\")":0.9608057,"NVT-US^P_BETA_LOCIDX(44785,44610,,\"SPX\")":0.9579723,"NVT-US^P_BETA_LOCIDX(44784,44609,,\"SPX\")":0.9723546,"NVT-US^P_BETA_LOCIDX(44783,44608,,\"SPX\")":0.9732128,"NVT-US^P_BETA_LOCIDX(44782,44607,,\"SPX\")":0.96885055,"NVT-US^P_BETA_LOCIDX(44781,44606,,\"SPX\")":0.968258,"NVT-US^P_BETA_LOCIDX(44778,44603,,\"SPX\")":0.977202,"NVT-US^P_BETA_LOCIDX(44777,44602,,\"SPX\")":0.9826619,"NVT-US^P_BETA_LOCIDX(44776,44601,,\"SPX\")":0.9926529,"NVT-US^P_BETA_LOCIDX(44775,44600,,\"SPX\")":0.99507785,"NVT-US^P_BETA_LOCIDX(44774,44599,,\"SPX\")":0.9902687,"NVT-US^P_BETA_LOCIDX(45845,45670,,\"SPX\")":1.654897,"CRH-US^P_BETA_LOCIDX(45037,44861,,\"SPX\")":1.1467484,"CRH-US^P_BETA_LOCIDX(45806,45629,,\"SPX\")":1.2661556,"CRH-US^P_BETA_LOCIDX(45987,45818,,\"SPX\")":1.1925155,"CRH-US^P_BETA_LOCIDX(46029,45855,,\"SPX\")":1.1525435,"CRH-US^P_BETA_LOCIDX(45469,45294,,\"SPX\")":1.3034714,"CRH-US^P_BETA_LOCIDX(44957,44782,,\"SPX\")":1.2034137,"CRH-US^P_BETA_LOCIDX(45350,45175,,\"SPX\")":1.1711973,"CRH-US^P_BETA_LOCIDX(45175,45000,,\"SPX\")":1.0347158,"CRH-US^P_BETA_LOCIDX(45329,45154,,\"SPX\")":1.2181412,"CRH-US^P_BETA_LOCIDX(45062,44886,,\"SPX\")":0.94419044,"CRH-US^P_BETA_LOCIDX(45596,45422,,\"SPX\")":1.2927893,"CRH-US^P_BETA_LOCIDX(45447,45271,,\"SPX\")":1.2691233,"CRH-US^P_BETA_LOCIDX(46017,45846,,\"SPX\")":1.1050442,"CRH-US^P_BETA_LOCIDX(45456,45280,,\"SPX\")":1.2647957,"CRH-US^P_BETA_LOCIDX(45106,44931,,\"SPX\")":1.0492228,"CRH-US^P_BETA_LOCIDX(45250,45077,,\"SPX\")":1.1818162,"CRH-US^P_BETA_LOCIDX(45541,45366,,\"SPX\")":1.3909978,"CRH-US^P_BETA_LOCIDX(45356,45181,,\"SPX\")":1.2176987,"CRH-US^P_BETA_LOCIDX(45826,45649,,\"SPX\")":1.2601137,"CRH-US^P_BETA_LOCIDX(45680,45504,,\"SPX\")":1.2444514,"CRH-US^P_BETA_LOCIDX(45792,45615,,\"SPX\")":1.2694018,"CRH-US^P_BETA_LOCIDX(45114,44938,,\"SPX\")":1.0384108,"CRH-US^P_BETA_LOCIDX(45687,45511,,\"SPX\")":1.1909468,"CRH-US^P_BETA_LOCIDX(46022,45849,,\"SPX\")":1.1138052,"CRH-US^P_BETA_LOCIDX(45191,45016,,\"SPX\")":1.0415081,"CRH-US^P_BETA_LOCIDX(45685,45509,,\"SPX\")":1.1654173,"CRH-US^P_BETA_LOCIDX(45918,45744,,\"SPX\")":1.2051576,"CRH-US^P_BETA_LOCIDX(45212,45040,,\"SPX\")":1.078494,"CRH-US^P_BETA_LOCIDX(46010,45840,,\"SPX\")":1.0980368,"CRH-US^P_BETA_LOCIDX(45645,45474,,\"SPX\")":1.249674,"CRH-US^P_BETA_LOCIDX(45786,45609,,\"SPX\")":1.2688586,"CRH-US^P_BETA_LOCIDX(45299,45125,,\"SPX\")":1.2333835,"CRH-US^P_BETA_LOCIDX(45937,45764,,\"SPX\")":1.3892074,"CRH-US^P_BETA_LOCIDX(45000,44825,,\"SPX\")":1.2334293,"CRH-US^P_BETA_LOCIDX(45104,44929,,\"SPX\")":1.0604861,"CRH-US^P_BETA_LOCIDX(45433,45258,,\"SPX\")":1.3209054,"CRH-US^P_BETA_LOCIDX(45208,45034,,\"SPX\")":1.0388464,"CRH-US^P_BETA_LOCIDX(45399,45223,,\"SPX\")":1.1226084,"CRH-US^P_BETA_LOCIDX(45453,45275,,\"SPX\")":1.2701056,"CRH-US^P_BETA_LOCIDX(45897,45726,,\"SPX\")":1.2534695,"CRH-US^P_BETA_LOCIDX(45813,45636,,\"SPX\")":1.2547243,"CRH-US^P_BETA_LOCIDX(45517,45343,,\"SPX\")":1.4023423,"CRH-US^P_BETA_LOCIDX(46043,45875,,\"SPX\")":1.190662,"CRH-US^P_BETA_LOCIDX(45779,45602,,\"SPX\")":1.2623476,"CRH-US^P_BETA_LOCIDX(45737,45561,,\"SPX\")":1.3175231,"CRH-US^P_BETA_LOCIDX(45699,45523,,\"SPX\")":1.0611274,"CRH-US^P_BETA_LOCIDX(45202,45028,,\"SPX\")":1.0044682,"CRH-US^P_BETA_LOCIDX(46042,45874,,\"SPX\")":1.2152036,"CRH-US^P_BETA_LOCIDX(45246,45072,,\"SPX\")":1.2000172,"CRH-US^P_BETA_LOCIDX(45568,45394,,\"SPX\")":1.404127,"CRH-US^P_BETA_LOCIDX(45148,44973,,\"SPX\")":1.0584737,"CRH-US^P_BETA_LOCIDX(45905,45733,,\"SPX\")":1.232708,"CRH-US^P_BETA_LOCIDX(45328,45153,,\"SPX\")":1.2072147,"CRH-US^P_BETA_LOCIDX(45771,45594,,\"SPX\")":1.2509499,"CRH-US^P_BETA_LOCIDX(46024,45852,,\"SPX\")":1.1123642,"CRH-US^P_BETA_LOCIDX(45726,45548,,\"SPX\")":1.284794,"CRH-US^P_BETA_LOCIDX(45778,45601,,\"SPX\")":1.2645713,"CRH-US^P_BETA_LOCIDX(45176,45001,,\"SPX\")":0.99267894,"CRH-US^P_BETA_LOCIDX(45617,45446,,\"SPX\")":1.2634947,"CRH-US^P_BETA_LOCIDX(45610,45436,,\"SPX\")":1.2650076,"CRH-US^P_BETA_LOCIDX(45063,44887,,\"SPX\")":0.94276386,"CRH-US^P_BETA_LOCIDX(45986,45817,,\"SPX\")":1.1721781,"CRH-US^P_BETA_LOCIDX(45933,45762,,\"SPX\")":1.3164868,"CRH-US^P_BETA_LOCIDX(45100,44924,,\"SPX\")":1.0335999,"CRH-US^P_BETA_LOCIDX(45709,45532,,\"SPX\")":1.0946146,"CRH-US^P_BETA_LOCIDX(45972,45799,,\"SPX\")":1.0704974,"CRH-US^P_BETA_LOCIDX(44978,44802,,\"SPX\")":1.2059841,"CRH-US^P_BETA_LOCIDX(45427,45251,,\"SPX\")":1.2747132,"CRH-US^P_BETA_LOCIDX(45189,45014,,\"SPX\")":1.011166,"CRH-US^P_BETA_LOCIDX(45132,44957,,\"SPX\")":1.0819862,"CRH-US^P_BETA_LOCIDX(45467,45289,,\"SPX\")":1.31279,"CRH-US^P_BETA_LOCIDX(45377,45202,,\"SPX\")":1.1966263,"CRH-US^P_BETA_LOCIDX(45232,45058,,\"SPX\")":1.2553385,"CRH-US^P_BETA_LOCIDX(45435,45260,,\"SPX\")":1.3147053,"CRH-US^P_BETA_LOCIDX(45653,45482,,\"SPX\")":1.2423143,"CRH-US^P_BETA_LOCIDX(45432,45257,,\"SPX\")":1.3206296,"CRH-US^P_BETA_LOCIDX(45303,45131,,\"SPX\")":1.2495285,"CRH-US^P_BETA_LOCIDX(45145,44970,,\"SPX\")":1.0607611,"CRH-US^P_BETA_LOCIDX(45628,45454,,\"SPX\")":1.2571218,"CRH-US^P_BETA_LOCIDX(45985,45814,,\"SPX\")":1.1186206,"CRH-US^P_BETA_LOCIDX(45036,44860,,\"SPX\")":1.1454285,"CRH-US^P_BETA_LOCIDX(45707,45530,,\"SPX\")":1.0625163,"CRH-US^P_BETA_LOCIDX(45443,45267,,\"SPX\")":1.2813843,"CRH-US^P_BETA_LOCIDX(45510,45335,,\"SPX\")":1.2781886,"CRH-US^P_BETA_LOCIDX(45695,45519,,\"SPX\")":1.0918164,"CRH-US^P_BETA_LOCIDX(45009,44834,,\"SPX\")":1.1987681,"CRH-US^P_BETA_LOCIDX(44993,44818,,\"SPX\")":1.2263613,"CRH-US^P_BETA_LOCIDX(45982,45812,,\"SPX\")":1.0781353,"CRH-US^P_BETA_LOCIDX(46027,45853,,\"SPX\")":1.1190208,"CRH-US^P_BETA_LOCIDX(45632,45460,,\"SPX\")":1.2516438,"CRH-US^P_BETA_LOCIDX(45386,45210,,\"SPX\")":1.1680964,"CRH-US^P_BETA_LOCIDX(45933,45761,,\"SPX\")":1.317536,"CRH-US^P_BETA_LOCIDX(45418,45240,,\"SPX\")":1.1521693,"CRH-US^P_BETA_LOCIDX(45665,45491,,\"SPX\")":1.2425377,"CRH-US^P_BETA_LOCIDX(45607,45433,,\"SPX\")":1.2583183,"CRH-US^P_BETA_LOCIDX(45509,45334,,\"SPX\")":1.2741976,"CRH-US^P_BETA_LOCIDX(46030,45856,,\"SPX\")":1.1565408,"CRH-US^P_BETA_LOCIDX(45238,45064,,\"SPX\")":1.2465093,"CRH-US^P_BETA_LOCIDX(45413,45237,,\"SPX\")":1.1251476,"CRH-US^P_BETA_LOCIDX(45006,44831,,\"SPX\")":1.2173358,"CRH-US^P_BETA_LOCIDX(45139,44964,,\"SPX\")":1.0457035,"CRH-US^P_BETA_LOCIDX(45643,45470,,\"SPX\")":1.2409788,"CRH-US^P_BETA_LOCIDX(45883,45712,,\"SPX\")":1.2776957,"CRH-US^P_BETA_LOCIDX(45684,45506,,\"SPX\")":1.2053747,"CRH-US^P_BETA_LOCIDX(45040,44862,,\"SPX\")":1.1466652,"CRH-US^P_BETA_LOCIDX(45121,44946,,\"SPX\")":1.0564905,"CRH-US^P_BETA_LOCIDX(45047,44869,,\"SPX\")":1.099257,"CRH-US^P_BETA_LOCIDX(45769,45590,,\"SPX\")":1.2404945,"CRH-US^P_BETA_LOCIDX(45917,45743,,\"SPX\")":1.2086127,"CRH-US^P_BETA_LOCIDX(45575,45401,,\"SPX\")":1.3675344,"CRH-US^P_BETA_LOCIDX(45411,45233,,\"SPX\")":1.1065147,"CRH-US^P_BETA_LOCIDX(45926,45755,,\"SPX\")":1.246161,"CRH-US^P_BETA_LOCIDX(45324,45149,,\"SPX\")":1.1992536,"CRH-US^P_BETA_LOCIDX(45082,44904,,\"SPX\")":1.0295401,"CRH-US^P_BETA_LOCIDX(45334,45159,,\"SPX\")":1.1983654,"CRH-US^P_BETA_LOCIDX(45670,45495,,\"SPX\")":1.2295859,"CRH-US^P_BETA_LOCIDX(45363,45188,,\"SPX\")":1.1680942,"CRH-US^P_BETA_LOCIDX(45051,44875,,\"SPX\")":1.0693961,"CRH-US^P_BETA_LOCIDX(45905,45734,,\"SPX\")":1.2336676,"CRH-US^P_BETA_LOCIDX(45308,45133,,\"SPX\")":1.2447531,"CRH-US^P_BETA_LOCIDX(45932,45761,,\"SPX\")":1.3149048,"CRH-US^P_BETA_LOCIDX(45426,45250,,\"SPX\")":1.1981306,"CRH-US^P_BETA_LOCIDX(45085,44909,,\"SPX\")":1.0516801,"CRH-US^P_BETA_LOCIDX(45502,45327,,\"SPX\")":1.2667125,"CRH-US^P_BETA_LOCIDX(45394,45218,,\"SPX\")":1.0537941,"CRH-US^P_BETA_LOCIDX(45664,45490,,\"SPX\")":1.2500031,"CRH-US^P_BETA_LOCIDX(45343,45167,,\"SPX\")":1.2300242,"CRH-US^P_BETA_LOCIDX(45974,45804,,\"SPX\")":1.0710665,"CRH-US^P_BETA_LOCIDX(45946,45775,,\"SPX\")":1.2310083,"CRH-US^P_BETA_LOCIDX(45667,45492,,\"SPX\")":1.2218786,"CRH-US^P_BETA_LOCIDX(45931,45758,,\"SPX\")":1.3026102,"CRH-US^P_BETA_LOCIDX(45952,45779,,\"SPX\")":1.2147791,"CRH-US^P_BETA_LOCIDX(45589,45415,,\"SPX\")":1.3467481,"CRH-US^P_BETA_LOCIDX(45574,45400,,\"SPX\")":1.3764238,"CRH-US^P_BETA_LOCIDX(45323,45148,,\"SPX\")":1.2190444,"CRH-US^P_BETA_LOCIDX(46027,45859,,\"SPX\")":1.1309792,"CRH-US^P_BETA_LOCIDX(45964,45791,,\"SPX\")":1.1405146,"CRH-US^P_BETA_LOCIDX(45254,45082,,\"SPX\")":1.1527077,"CRH-US^P_BETA_LOCIDX(45470,45295,,\"SPX\")":1.2726468,"CRH-US^P_BETA_LOCIDX(45701,45525,,\"SPX\")":1.070991,"CRH-US^P_BETA_LOCIDX(44981,44805,,\"SPX\")":1.2102734,"CRH-US^P_BETA_LOCIDX(45461,45286,,\"SPX\")":1.2880672,"CRH-US^P_BETA_LOCIDX(45344,45168,,\"SPX\")":1.1954439,"CRH-US^P_BETA_LOCIDX(45856,45684,,\"SPX\")":1.2721411,"CRH-US^P_BETA_LOCIDX(45365,45190,,\"SPX\")":1.2177387,"CRH-US^P_BETA_LOCIDX(45259,45085,,\"SPX\")":1.1520358,"CRH-US^P_BETA_LOCIDX(46037,45869,,\"SPX\")":1.2298682,"CRH-US^P_BETA_LOCIDX(45807,45630,,\"SPX\")":1.2661545,"CRH-US^P_BETA_LOCIDX(45404,45226,,\"SPX\")":1.1004086,"CRH-US^P_BETA_LOCIDX(45345,45169,,\"SPX\")":1.2000452,"CRH-US^P_BETA_LOCIDX(45001,44826,,\"SPX\")":1.2292584,"CRH-US^P_BETA_LOCIDX(45369,45194,,\"SPX\")":1.2137144,"CRH-US^P_BETA_LOCIDX(45316,45141,,\"SPX\")":1.2465115,"CRH-US^P_BETA_LOCIDX(45245,45071,,\"SPX\")":1.1907623,"CRH-US^P_BETA_LOCIDX(45958,45785,,\"SPX\")":1.1637114,"CRH-US^P_BETA_LOCIDX(46036,45868,,\"SPX\")":1.232016,"CRH-US^P_BETA_LOCIDX(45981,45812,,\"SPX\")":1.0699297,"CRH-US^P_BETA_LOCIDX(45922,45748,,\"SPX\")":1.1900238,"CRH-US^P_BETA_LOCIDX(45999,45826,,\"SPX\")":1.1035126,"CRH-US^P_BETA_LOCIDX(44966,44791,,\"SPX\")":1.2155098,"CRH-US^P_BETA_LOCIDX(45929,45755,,\"SPX\")":1.2462329,"CRH-US^P_BETA_LOCIDX(45485,45310,,\"SPX\")":1.1268424,"CRH-US^P_BETA_LOCIDX(45911,45737,,\"SPX\")":1.231917,"CRH-US^P_BETA_LOCIDX(45586,45412,,\"SPX\")":1.3585376,"CRH-US^P_BETA_LOCIDX(45504,45329,,\"SPX\")":1.2374852,"CRH-US^P_BETA_LOCIDX(44980,44804,,\"SPX\")":1.2103488,"CRH-US^P_BETA_LOCIDX(45796,45617,,\"SPX\")":1.2703854,"CRH-US^P_BETA_LOCIDX(45777,45600,,\"SPX\")":1.2654859,"CRH-US^P_BETA_LOCIDX(45979,45807,,\"SPX\")":1.0581583,"CRH-US^P_BETA_LOCIDX(45398,45222,,\"SPX\")":1.1203907,"CRH-US^P_BETA_LOCIDX(45929,45756,,\"SPX\")":1.2552687,"CRH-US^P_BETA_LOCIDX(45555,45383,,\"SPX\")":1.3808448,"CRH-US^P_BETA_LOCIDX(45996,45825,,\"SPX\")":1.1536996,"CRH-US^P_BETA_LOCIDX(45784,45607,,\"SPX\")":1.2677717,"CRH-US^P_BETA_LOCIDX(44998,44823,,\"SPX\")":1.2365371,"CRH-US^P_BETA_LOCIDX(45496,45321,,\"SPX\")":1.1786374,"CRH-US^P_BETA_LOCIDX(45293,45119,,\"SPX\")":1.19124,"CRH-US^P_BETA_LOCIDX(45142,44967,,\"SPX\")":1.0564644,"CRH-US^P_BETA_LOCIDX(45072,44897,,\"SPX\")":1.0025606,"CRH-US^P_BETA_LOCIDX(45275,45104,,\"SPX\")":1.2293382,"CRH-US^P_BETA_LOCIDX(45286,45113,,\"SPX\")":1.2233421,"CRH-US^P_BETA_LOCIDX(45371,45196,,\"SPX\")":1.2213234,"CRH-US^P_BETA_LOCIDX(45980,45811,,\"SPX\")":1.0641295,"CRH-US^P_BETA_LOCIDX(45463,45287,,\"SPX\")":1.2999719,"CRH-US^P_BETA_LOCIDX(45441,45265,,\"SPX\")":1.3029869,"CRH-US^P_BETA_LOCIDX(45428,45252,,\"SPX\")":1.317088,"CRH-US^P_BETA_LOCIDX(45776,45597,,\"SPX\")":1.2642058,"CRH-US^P_BETA_LOCIDX(45783,45604,,\"SPX\")":1.2718598,"CRH-US^P_BETA_LOCIDX(45362,45187,,\"SPX\")":1.1642342,"CRH-US^P_BETA_LOCIDX(45195,45020,,\"SPX\")":1.0453635,"CRH-US^P_BETA_LOCIDX(45775,45596,,\"SPX\")":1.2535596,"CRH-US^P_BETA_LOCIDX(45947,45776,,\"SPX\")":1.2304933,"CRH-US^P_BETA_LOCIDX(45223,45049,,\"SPX\")":1.1882529,"CRH-US^P_BETA_LOCIDX(45656,45483,,\"SPX\")":1.2418407,"CRH-US^P_BETA_LOCIDX(45637,45464,,\"SPX\")":1.2429066,"CRH-US^P_BETA_LOCIDX(45076,44900,,\"SPX\")":1.0032964,"CRH-US^P_BETA_LOCIDX(45489,45314,,\"SPX\")":1.1668271,"CRH-US^P_BETA_LOCIDX(45544,45369,,\"SPX\")":1.3526437,"CRH-US^P_BETA_LOCIDX(45310,45135,,\"SPX\")":1.2455766,"CRH-US^P_BETA_LOCIDX(46035,45867,,\"SPX\")":1.198672,"CRH-US^P_BETA_LOCIDX(45979,45810,,\"SPX\")":1.0563526,"CRH-US^P_BETA_LOCIDX(45817,45638,,\"SPX\")":1.252074,"CRH-US^P_BETA_LOCIDX(45314,45139,,\"SPX\")":1.2411435,"CRH-US^P_BETA_LOCIDX(45980,45810,,\"SPX\")":1.0600805,"CRH-US^P_BETA_LOCIDX(45978,45807,,\"SPX\")":1.0667363,"CRH-US^P_BETA_LOCIDX(45748,45572,,\"SPX\")":1.4025308,"CRH-US^P_BETA_LOCIDX(45782,45603,,\"SPX\")":1.2620817,"CRH-US^P_BETA_LOCIDX(45321,45146,,\"SPX\")":1.2587105,"CRH-US^P_BETA_LOCIDX(45128,44953,,\"SPX\")":1.0694078,"CRH-US^P_BETA_LOCIDX(45015,44840,,\"SPX\")":1.1757007,"CRH-US^P_BETA_LOCIDX(45742,45566,,\"SPX\")":1.3684103,"CRH-US^P_BETA_LOCIDX(45527,45355,,\"SPX\")":1.4483496,"CRH-US^P_BETA_LOCIDX(45287,45114,,\"SPX\")":1.2006061,"CRH-US^P_BETA_LOCIDX(45166,44992,,\"SPX\")":1.0443211,"CRH-US^P_BETA_LOCIDX(45768,45589,,\"SPX\")":1.2366406,"CRH-US^P_BETA_LOCIDX(45181,45006,,\"SPX\")":0.9769607,"CRH-US^P_BETA_LOCIDX(45300,45126,,\"SPX\")":1.2335467,"CRH-US^P_BETA_LOCIDX(45957,45785,,\"SPX\")":1.1648157,"CRH-US^P_BETA_LOCIDX(45912,45740,,\"SPX\")":1.2319039,"CRH-US^P_BETA_LOCIDX(44985,44810,,\"SPX\")":1.2236028,"CRH-US^P_BETA_LOCIDX(45110,44935,,\"SPX\")":1.01951,"CRH-US^P_BETA_LOCIDX(46015,45845,,\"SPX\")":1.1060007,"CRH-US^P_BETA_LOCIDX(45884,45713,,\"SPX\")":1.279606,"CRH-US^P_BETA_LOCIDX(44999,44824,,\"SPX\")":1.2380956,"CRH-US^P_BETA_LOCIDX(45616,45443,,\"SPX\")":1.2748514,"CRH-US^P_BETA_LOCIDX(45083,44907,,\"SPX\")":1.0395476,"CRH-US^P_BETA_LOCIDX(45821,45644,,\"SPX\")":1.2591455,"CRH-US^P_BETA_LOCIDX(45601,45427,,\"SPX\")":1.3042831,"CRH-US^P_BETA_LOCIDX(45646,45475,,\"SPX\")":1.2472116,"CRH-US^P_BETA_LOCIDX(46034,45860,,\"SPX\")":1.2017654,"CRH-US^P_BETA_LOCIDX(45216,45042,,\"SPX\")":1.1161679,"CRH-US^P_BETA_LOCIDX(46008,45838,,\"SPX\")":1.1071297,"CRH-US^P_BETA_LOCIDX(45272,45099,,\"SPX\")":1.2059784,"CRH-US^P_BETA_LOCIDX(45877,45706,,\"SPX\")":1.2674158,"CRH-US^P_BETA_LOCIDX(45649,45476,,\"SPX\")":1.2564888,"CRH-US^P_BETA_LOCIDX(45481,45303,,\"SPX\")":1.2140172,"CRH-US^P_BETA_LOCIDX(45692,45516,,\"SPX\")":1.0600512,"CRH-US^P_BETA_LOCIDX(45730,45554,,\"SPX\")":1.3130234,"CRH-US^P_BETA_LOCIDX(45924,45750,,\"SPX\")":1.1886938,"CRH-US^P_BETA_LOCIDX(45971,45799,,\"SPX\")":1.0724528,"CRH-US^P_BETA_LOCIDX(45925,45754,,\"SPX\")":1.2424138,"CRH-US^P_BETA_LOCIDX(45663,45489,,\"SPX\")":1.2664154,"CRH-US^P_BETA_LOCIDX(45230,45056,,\"SPX\")":1.2462314,"CRH-US^P_BETA_LOCIDX(45301,45127,,\"SPX\")":1.2303388,"CRH-US^P_BETA_LOCIDX(45741,45565,,\"SPX\")":1.3369216,"CRH-US^P_BETA_LOCIDX(45079,44903,,\"SPX\")":1.0204965,"CRH-US^P_BETA_LOCIDX(45455,45279,,\"SPX\")":1.278786,"CRH-US^P_BETA_LOCIDX(45975,45805,,\"SPX\")":1.1133782,"CRH-US^P_BETA_LOCIDX(45722,45546,,\"SPX\")":1.2652023,"CRH-US^P_BETA_LOCIDX(46014,45842,,\"SPX\")":1.097476,"CRH-US^P_BETA_LOCIDX(45740,45562,,\"SPX\")":1.3375041,"CRH-US^P_BETA_LOCIDX(45513,45338,,\"SPX\")":1.3866124,"CRH-US^P_BETA_LOCIDX(45519,45345,,\"SPX\")":1.4683983,"CRH-US^P_BETA_LOCIDX(45761,45583,,\"SPX\")":1.2539715,"CRH-US^P_BETA_LOCIDX(45958,45786,,\"SPX\")":1.1527575,"CRH-US^P_BETA_LOCIDX(45474,45299,,\"SPX\")":1.2545211,"CRH-US^P_BETA_LOCIDX(45188,45013,,\"SPX\")":1.0612564,"CRH-US^P_BETA_LOCIDX(45631,45457,,\"SPX\")":1.2574686,"CRH-US^P_BETA_LOCIDX(46020,45852,,\"SPX\")":1.103625,"CRH-US^P_BETA_LOCIDX(45917,45744,,\"SPX\")":1.2044785,"CRH-US^P_BETA_LOCIDX(45800,45623,,\"SPX\")":1.2711664,"CRH-US^P_BETA_LOCIDX(45902,45728,,\"SPX\")":1.2549554,"CRH-US^P_BETA_LOCIDX(45336,45161,,\"SPX\")":1.2441001,"CRH-US^P_BETA_LOCIDX(45635,45461,,\"SPX\")":1.255707,"CRH-US^P_BETA_LOCIDX(45331,45156,,\"SPX\")":1.1983715,"CRH-US^P_BETA_LOCIDX(45013,44838,,\"SPX\")":1.2229611,"CRH-US^P_BETA_LOCIDX(45257,45083,,\"SPX\")":1.1459246,"CRH-US^P_BETA_LOCIDX(45281,45110,,\"SPX\")":1.2298425,"CRH-US^P_BETA_LOCIDX(46001,45831,,\"SPX\")":1.1063921,"CRH-US^P_BETA_LOCIDX(45342,45166,,\"SPX\")":1.2254316,"CRH-US^P_BETA_LOCIDX(45294,45120,,\"SPX\")":1.2074538,"CRH-US^P_BETA_LOCIDX(45421,45245,,\"SPX\")":1.1898906,"CRH-US^P_BETA_LOCIDX(45911,45740,,\"SPX\")":1.2312409,"CRH-US^P_BETA_LOCIDX(45035,44859,,\"SPX\")":1.1522436,"CRH-US^P_BETA_LOCIDX(45210,45036,,\"SPX\")":1.0568644,"CRH-US^P_BETA_LOCIDX(45107,44932,,\"SPX\")":1.0401314,"CRH-US^P_BETA_LOCIDX(45870,45698,,\"SPX\")":1.2618698,"CRH-US^P_BETA_LOCIDX(46008,45840,,\"SPX\")":1.1157913,"CRH-US^P_BETA_LOCIDX(46017,45849,,\"SPX\")":1.0993215,"CRH-US^P_BETA_LOCIDX(45965,45793,,\"SPX\")":1.1311829,"CRH-US^P_BETA_LOCIDX(45511,45336,,\"SPX\")":1.2960197,"CRH-US^P_BETA_LOCIDX(45590,45418,,\"SPX\")":1.3531644,"CRH-US^P_BETA_LOCIDX(45098,44922,,\"SPX\")":1.044133,"CRH-US^P_BETA_LOCIDX(45089,44911,,\"SPX\")":1.0341191,"CRH-US^P_BETA_LOCIDX(45609,45435,,\"SPX\")":1.2660263,"CRH-US^P_BETA_LOCIDX(45155,44981,,\"SPX\")":1.0820175,"CRH-US^P_BETA_LOCIDX(45468,45293,,\"SPX\")":1.309338,"CRH-US^P_BETA_LOCIDX(45623,45450,,\"SPX\")":1.2614638,"CRH-US^P_BETA_LOCIDX(45383,45205,,\"SPX\")":1.1825858,"CRH-US^P_BETA_LOCIDX(45484,45309,,\"SPX\")":1.1449318,"CRH-US^P_BETA_LOCIDX(45916,45743,,\"SPX\")":1.2076571,"CRH-US^P_BETA_LOCIDX(45540,45365,,\"SPX\")":1.4631866,"CRH-US^P_BETA_LOCIDX(46042,45867,,\"SPX\")":1.2137986,"CRH-US^P_BETA_LOCIDX(45405,45229,,\"SPX\")":1.1064627,"CRH-US^P_BETA_LOCIDX(45021,44846,,\"SPX\")":1.178384,"CRH-US^P_BETA_LOCIDX(45700,45524,,\"SPX\")":1.0569855,"CRH-US^P_BETA_LOCIDX(45600,45426,,\"SPX\")":1.2900577,"CRH-US^P_BETA_LOCIDX(45044,44868,,\"SPX\")":1.078693,"CRH-US^P_BETA_LOCIDX(45400,45224,,\"SPX\")":1.1470966,"CRH-US^P_BETA_LOCIDX(45092,44916,,\"SPX\")":1.0505544,"CRH-US^P_BETA_LOCIDX(46009,45841,,\"SPX\")":1.1410084,"CRH-US^P_BETA_LOCIDX(45190,45015,,\"SPX\")":1.0550693,"CRH-US^P_BETA_LOCIDX(45940,45769,,\"SPX\")":1.3204246,"CRH-US^P_BETA_LOCIDX(45133,44958,,\"SPX\")":1.0805902,"CRH-US^P_BETA_LOCIDX(46015,45847,,\"SPX\")":1.1078169,"CRH-US^P_BETA_LOCIDX(45848,45673,,\"SPX\")":1.2782538,"CRH-US^P_BETA_LOCIDX(45869,45695,,\"SPX\")":1.2748377,"CRH-US^P_BETA_LOCIDX(45671,45496,,\"SPX\")":1.2178737,"CRH-US^P_BETA_LOCIDX(45960,45790,,\"SPX\")":1.1216061,"CRH-US^P_BETA_LOCIDX(44974,44799,,\"SPX\")":1.2050666,"CRH-US^P_BETA_LOCIDX(45855,45681,,\"SPX\")":1.2709956,"CRH-US^P_BETA_LOCIDX(45105,44930,,\"SPX\")":1.0766315,"CRH-US^P_BETA_LOCIDX(45978,45806,,\"SPX\")":1.0640669,"CRH-US^P_BETA_LOCIDX(45378,45203,,\"SPX\")":1.1743757,"CRH-US^P_BETA_LOCIDX(45252,45079,,\"SPX\")":1.1482956,"CRH-US^P_BETA_LOCIDX(45681,45505,,\"SPX\")":1.241128,"CRH-US^P_BETA_LOCIDX(45007,44832,,\"SPX\")":1.2060325,"CRH-US^P_BETA_LOCIDX(45211,45037,,\"SPX\")":1.073059,"CRH-US^P_BETA_LOCIDX(46013,45845,,\"SPX\")":1.107492,"CRH-US^P_BETA_LOCIDX(45124,44949,,\"SPX\")":1.0721232,"CRH-US^P_BETA_LOCIDX(45134,44959,,\"SPX\")":1.0665368,"CRH-US^P_BETA_LOCIDX(45895,45722,,\"SPX\")":1.2625364,"CRH-US^P_BETA_LOCIDX(45625,45453,,\"SPX\")":1.2603458,"CRH-US^P_BETA_LOCIDX(45953,45782,,\"SPX\")":1.2034507,"CRH-US^P_BETA_LOCIDX(45099,44923,,\"SPX\")":1.0439327,"CRH-US^P_BETA_LOCIDX(46044,45869,,\"SPX\")":1.1968359,"CRH-US^P_BETA_LOCIDX(46010,45842,,\"SPX\")":1.0941168,"CRH-US^P_BETA_LOCIDX(45959,45789,,\"SPX\")":1.1592863,"CRH-US^P_BETA_LOCIDX(45908,45735,,\"SPX\")":1.2339557,"CRH-US^P_BETA_LOCIDX(45033,44855,,\"SPX\")":1.1369928,"CRH-US^P_BETA_LOCIDX(45366,45191,,\"SPX\")":1.2009146,"CRH-US^P_BETA_LOCIDX(44959,44784,,\"SPX\")":1.2051743,"CRH-US^P_BETA_LOCIDX(45919,45747,,\"SPX\")":1.1875238,"CRH-US^P_BETA_LOCIDX(45876,45702,,\"SPX\")":1.263783,"CRH-US^P_BETA_LOCIDX(45891,45720,,\"SPX\")":1.2913039,"CRH-US^P_BETA_LOCIDX(46038,45866,,\"SPX\")":1.240099,"CRH-US^P_BETA_LOCIDX(45152,44978,,\"SPX\")":1.0488411,"CRH-US^P_BETA_LOCIDX(45050,44874,,\"SPX\")":1.0695003,"CRH-US^P_BETA_LOCIDX(45135,44960,,\"SPX\")":1.0747455,"CRH-US^P_BETA_LOCIDX(45478,45302,,\"SPX\")":1.2169518,"CRH-US^P_BETA_LOCIDX(45034,44858,,\"SPX\")":1.1533867,"CRH-US^P_BETA_LOCIDX(45385,45209,,\"SPX\")":1.1723015,"CRH-US^P_BETA_LOCIDX(44984,44806,,\"SPX\")":1.2149395,"CRH-US^P_BETA_LOCIDX(45961,45790,,\"SPX\")":1.1248122,"CRH-US^P_BETA_LOCIDX(45562,45390,,\"SPX\")":1.3772471,"CRH-US^P_BETA_LOCIDX(46043,45868,,\"SPX\")":1.1830719,"CRH-US^P_BETA_LOCIDX(45894,45721,,\"SPX\")":1.2812357,"CRH-US^P_BETA_LOCIDX(45790,45611,,\"SPX\")":1.270629,"CRH-US^P_BETA_LOCIDX(45954,45784,,\"SPX\")":1.1668383,"CRH-US^P_BETA_LOCIDX(45103,44925,,\"SPX\")":1.04547,"CRH-US^P_BETA_LOCIDX(45936,45762,,\"SPX\")":1.3114882,"CRH-US^P_BETA_LOCIDX(45814,45637,,\"SPX\")":1.2485728,"CRH-US^P_BETA_LOCIDX(45020,44845,,\"SPX\")":1.1703464,"CRH-US^P_BETA_LOCIDX(45832,45653,,\"SPX\")":1.2685536,"CRH-US^P_BETA_LOCIDX(45735,45559,,\"SPX\")":1.3145459,"CRH-US^P_BETA_LOCIDX(45196,45021,,\"SPX\")":1.0376799,"CRH-US^P_BETA_LOCIDX(45902,45729,,\"SPX\")":1.2502292,"CRH-US^P_BETA_LOCIDX(45770,45593,,\"SPX\")":1.2423481,"CRH-US^P_BETA_LOCIDX(45261,45089,,\"SPX\")":1.158936,"CRH-US^P_BETA_LOCIDX(45721,45545,,\"SPX\")":1.2304136,"CRH-US^P_BETA_LOCIDX(45491,45316,,\"SPX\")":1.1958573,"CRH-US^P_BETA_LOCIDX(45572,45398,,\"SPX\")":1.3880974,"CRH-US^P_BETA_LOCIDX(45688,45512,,\"SPX\")":1.170132,"CRH-US^P_BETA_LOCIDX(45763,45587,,\"SPX\")":1.2408952,"CRH-US^P_BETA_LOCIDX(45686,45510,,\"SPX\")":1.1943549,"CRH-US^P_BETA_LOCIDX(45177,45002,,\"SPX\")":1.000398,"CRH-US^P_BETA_LOCIDX(45397,45219,,\"SPX\")":1.0695499,"CRH-US^P_BETA_LOCIDX(45841,45665,,\"SPX\")":1.2775475,"CRH-US^P_BETA_LOCIDX(45938,45764,,\"SPX\")":1.3919513,"CRH-US^P_BETA_LOCIDX(45042,44866,,\"SPX\")":1.1274925,"CRH-US^P_BETA_LOCIDX(45951,45778,,\"SPX\")":1.2111359,"CRH-US^P_BETA_LOCIDX(45169,44995,,\"SPX\")":1.0466709,"CRH-US^P_BETA_LOCIDX(45279,45106,,\"SPX\")":1.2142689,"CRH-US^P_BETA_LOCIDX(45629,45455,,\"SPX\")":1.2610521,"CRH-US^P_BETA_LOCIDX(45716,45540,,\"SPX\")":1.0053046,"CRH-US^P_BETA_LOCIDX(44963,44788,,\"SPX\")":1.2231069,"CRH-US^P_BETA_LOCIDX(44973,44798,,\"SPX\")":1.2148652,"CRH-US^P_BETA_LOCIDX(45125,44950,,\"SPX\")":1.0816295,"CRH-US^P_BETA_LOCIDX(45904,45733,,\"SPX\")":1.2346036,"CRH-US^P_BETA_LOCIDX(45638,45467,,\"SPX\")":1.2389534,"CRH-US^P_BETA_LOCIDX(45055,44879,,\"SPX\")":0.96355635,"CRH-US^P_BETA_LOCIDX(45355,45180,,\"SPX\")":1.1853461,"CRH-US^P_BETA_LOCIDX(45359,45184,,\"SPX\")":1.177443,"CRH-US^P_BETA_LOCIDX(45153,44979,,\"SPX\")":1.0812668,"CRH-US^P_BETA_LOCIDX(45357,45182,,\"SPX\")":1.205291,"CRH-US^P_BETA_LOCIDX(45393,45217,,\"SPX\")":1.1273607,"CRH-US^P_BETA_LOCIDX(45446,45268,,\"SPX\")":1.2753972,"CRH-US^P_BETA_LOCIDX(45260,45086,,\"SPX\")":1.1416739,"CRH-US^P_BETA_LOCIDX(45804,45625,,\"SPX\")":1.2610774,"CRH-US^P_BETA_LOCIDX(45243,45069,,\"SPX\")":1.2652432,"CRH-US^P_BETA_LOCIDX(45449,45273,,\"SPX\")":1.2799757,"CRH-US^P_BETA_LOCIDX(45069,44894,,\"SPX\")":0.9494421,"CRH-US^P_BETA_LOCIDX(45141,44966,,\"SPX\")":1.0553287,"CRH-US^P_BETA_LOCIDX(45201,45027,,\"SPX\")":1.0076528,"CRH-US^P_BETA_LOCIDX(45313,45138,,\"SPX\")":1.2476798,"CRH-US^P_BETA_LOCIDX(45679,45503,,\"SPX\")":1.232695,"CRH-US^P_BETA_LOCIDX(45903,45730,,\"SPX\")":1.2376868,"CRH-US^P_BETA_LOCIDX(45309,45134,,\"SPX\")":1.2525743,"CRH-US^P_BETA_LOCIDX(45043,44867,,\"SPX\")":1.1090306,"CRH-US^P_BETA_LOCIDX(45785,45608,,\"SPX\")":1.2705206,"CRH-US^P_BETA_LOCIDX(45867,45693,,\"SPX\")":1.2804394,"CRH-US^P_BETA_LOCIDX(45580,45406,,\"SPX\")":1.3667758,"CRH-US^P_BETA_LOCIDX(45180,45005,,\"SPX\")":0.98278624,"CRH-US^P_BETA_LOCIDX(45204,45030,,\"SPX\")":1.0265663,"CRH-US^P_BETA_LOCIDX(45229,45055,,\"SPX\")":1.2485715,"CRH-US^P_BETA_LOCIDX(45950,45777,,\"SPX\")":1.2124856,"CRH-US^P_BETA_LOCIDX(45419,45243,,\"SPX\")":1.1380119,"CRH-US^P_BETA_LOCIDX(46037,45863,,\"SPX\")":1.2542275,"CRH-US^P_BETA_LOCIDX(44964,44789,,\"SPX\")":1.2235464,"CRH-US^P_BETA_LOCIDX(45839,45663,,\"SPX\")":1.2772586,"CRH-US^P_BETA_LOCIDX(45140,44965,,\"SPX\")":1.054042,"CRH-US^P_BETA_LOCIDX(45327,45152,,\"SPX\")":1.2012508,"CRH-US^P_BETA_LOCIDX(45335,45160,,\"SPX\")":1.2124374,"CRH-US^P_BETA_LOCIDX(45440,45264,,\"SPX\")":1.3147686,"CRH-US^P_BETA_LOCIDX(45226,45054,,\"SPX\")":1.2365043,"CRH-US^P_BETA_LOCIDX(44972,44797,,\"SPX\")":1.2109053,"CRH-US^P_BETA_LOCIDX(46031,45859,,\"SPX\")":1.2020928,"CRH-US^P_BETA_LOCIDX(45791,45614,,\"SPX\")":1.2707672,"CRH-US^P_BETA_LOCIDX(45197,45022,,\"SPX\")":1.000379,"CRH-US^P_BETA_LOCIDX(45028,44852,,\"SPX\")":1.1426725,"CRH-US^P_BETA_LOCIDX(45454,45278,,\"SPX\")":1.2637664,"CRH-US^P_BETA_LOCIDX(45728,45552,,\"SPX\")":1.2837346,"CRH-US^P_BETA_LOCIDX(45915,45741,,\"SPX\")":1.2209971,"CRH-US^P_BETA_LOCIDX(45630,45456,,\"SPX\")":1.2546688,"CRH-US^P_BETA_LOCIDX(45567,45393,,\"SPX\")":1.3946474,"CRH-US^P_BETA_LOCIDX(45182,45007,,\"SPX\")":0.9570064,"CRH-US^P_BETA_LOCIDX(45520,45348,,\"SPX\")":1.4659654,"CRH-US^P_BETA_LOCIDX(45434,45259,,\"SPX\")":1.3258418,"CRH-US^P_BETA_LOCIDX(45170,44998,,\"SPX\")":1.0499427,"CRH-US^P_BETA_LOCIDX(45525,45351,,\"SPX\")":1.4785701,"CRH-US^P_BETA_LOCIDX(45996,45828,,\"SPX\")":1.1523645,"CRH-US^P_BETA_LOCIDX(45706,45527,,\"SPX\")":1.0859075,"CRH-US^P_BETA_LOCIDX(45923,45749,,\"SPX\")":1.1893994,"CRH-US^P_BETA_LOCIDX(45992,45819,,\"SPX\")":1.1936033,"CRH-US^P_BETA_LOCIDX(45370,45195,,\"SPX\")":1.2026079,"CRH-US^P_BETA_LOCIDX(46013,45841,,\"SPX\")":1.0997784,"CRH-US^P_BETA_LOCIDX(45733,45555,,\"SPX\")":1.2961973,"CRH-US^P_BETA_LOCIDX(45818,45639,,\"SPX\")":1.2514861,"CRH-US^P_BETA_LOCIDX(45239,45065,,\"SPX\")":1.2537434,"CRH-US^P_BETA_LOCIDX(45049,44873,,\"SPX\")":1.0756124,"CRH-US^P_BETA_LOCIDX(45736,45560,,\"SPX\")":1.3192586,"CRH-US^P_BETA_LOCIDX(46007,45839,,\"SPX\")":1.0666536,"CRH-US^P_BETA_LOCIDX(45943,45771,,\"SPX\")":1.2879112,"CRH-US^P_BETA_LOCIDX(45999,45831,,\"SPX\")":1.0951933,"CRH-US^P_BETA_LOCIDX(45994,45825,,\"SPX\")":1.1561034,"CRH-US^P_BETA_LOCIDX(45916,45742,,\"SPX\")":1.221424,"CRH-US^P_BETA_LOCIDX(45406,45230,,\"SPX\")":1.0985289,"CRH-US^P_BETA_LOCIDX(45401,45225,,\"SPX\")":1.1291672,"CRH-US^P_BETA_LOCIDX(45799,45622,,\"SPX\")":1.2693324,"CRH-US^P_BETA_LOCIDX(45289,45118,,\"SPX\")":1.1997889,"CRH-US^P_BETA_LOCIDX(45993,45820,,\"SPX\")":1.1792523,"CRH-US^P_BETA_LOCIDX(45953,45783,,\"SPX\")":1.2102294,"CRH-US^P_BETA_LOCIDX(45408,45232,,\"SPX\")":1.0450113,"CRH-US^P_BETA_LOCIDX(45539,45364,,\"SPX\")":1.4578234,"CRH-US^P_BETA_LOCIDX(45198,45026,,\"SPX\")":1.0074145,"CRH-US^P_BETA_LOCIDX(45723,45547,,\"SPX\")":1.2751284,"CRH-US^P_BETA_LOCIDX(45008,44833,,\"SPX\")":1.1978712,"CRH-US^P_BETA_LOCIDX(45553,45378,,\"SPX\")":1.3472294,"CRH-US^P_BETA_LOCIDX(45952,45782,,\"SPX\")":1.202948,"CRH-US^P_BETA_LOCIDX(44958,44783,,\"SPX\")":1.204923,"CRH-US^P_BETA_LOCIDX(45149,44974,,\"SPX\")":1.052433,"CRH-US^P_BETA_LOCIDX(45554,45379,,\"SPX\")":1.382266,"CRH-US^P_BETA_LOCIDX(45391,45215,,\"SPX\")":1.1515815,"CRH-US^P_BETA_LOCIDX(45187,45012,,\"SPX\")":1.0641016,"CRH-US^P_BETA_LOCIDX(45764,45588,,\"SPX\")":1.2405285,"CRH-US^P_BETA_LOCIDX(45944,45772,,\"SPX\")":1.2323623,"CRH-US^P_BETA_LOCIDX(45548,45373,,\"SPX\")":1.3414888,"CRH-US^P_BETA_LOCIDX(45621,45448,,\"SPX\")":1.2683314,"CRH-US^P_BETA_LOCIDX(45939,45768,,\"SPX\")":1.3901172,"CRH-US^P_BETA_LOCIDX(45819,45642,,\"SPX\")":1.2529701,"CRS-US^P_BETA_LOCIDX(46028,45856,,\"SPX\")":1.2648057,"CRS-US^P_BETA_LOCIDX(46002,45831,,\"SPX\")":1.3050616,"CRS-US^P_BETA_LOCIDX(45979,45806,,\"SPX\")":1.0698507,"CRS-US^P_BETA_LOCIDX(45957,45783,,\"SPX\")":1.0901287,"CRS-US^P_BETA_LOCIDX(45933,45758,,\"SPX\")":1.1560559,"CRS-US^P_BETA_LOCIDX(45911,45736,,\"SPX\")":1.5215828,"CRS-US^P_BETA_LOCIDX(45888,45714,,\"SPX\")":1.5669516,"CRS-US^P_BETA_LOCIDX(45866,45691,,\"SPX\")":1.6258212,"CRS-US^P_BETA_LOCIDX(45841,45665,,\"SPX\")":1.6103954,"CRS-US^P_BETA_LOCIDX(45818,45639,,\"SPX\")":1.6181633,"CRS-US^P_BETA_LOCIDX(45793,45616,,\"SPX\")":1.6430769,"CRS-US^P_BETA_LOCIDX(45771,45594,,\"SPX\")":1.7467673,"CRS-US^P_BETA_LOCIDX(45748,45572,,\"SPX\")":1.7965697,"CRS-US^P_BETA_LOCIDX(45726,45548,,\"SPX\")":1.7879415,"CRS-US^P_BETA_LOCIDX(45701,45525,,\"SPX\")":1.8099275,"CRS-US^P_BETA_LOCIDX(45679,45503,,\"SPX\")":1.7310483,"CRS-US^P_BETA_LOCIDX(46027,45855,,\"SPX\")":1.301538,"CRS-US^P_BETA_LOCIDX(46001,45828,,\"SPX\")":1.2887601,"CRS-US^P_BETA_LOCIDX(45978,45805,,\"SPX\")":1.0376434,"CRS-US^P_BETA_LOCIDX(46024,45854,,\"SPX\")":1.303247,"CRS-US^P_BETA_LOCIDX(46000,45826,,\"SPX\")":1.2863973,"CRS-US^P_BETA_LOCIDX(46021,45849,,\"SPX\")":1.2751157,"CRS-US^P_BETA_LOCIDX(45996,45824,,\"SPX\")":1.2304047,"CRS-US^P_BETA_LOCIDX(45973,45799,,\"SPX\")":1.060309,"CRS-US^P_BETA_LOCIDX(46020,45848,,\"SPX\")":1.2659242,"CRS-US^P_BETA_LOCIDX(45995,45821,,\"SPX\")":1.2044796,"CRS-US^P_BETA_LOCIDX(45972,45798,,\"SPX\")":1.0803355,"CRS-US^P_BETA_LOCIDX(46043,45873,,\"SPX\")":1.2975065,"CRS-US^P_BETA_LOCIDX(46017,45847,,\"SPX\")":1.2444278,"CRS-US^P_BETA_LOCIDX(45994,45820,,\"SPX\")":1.2082405,"CRS-US^P_BETA_LOCIDX(45971,45797,,\"SPX\")":1.0833372,"CRS-US^P_BETA_LOCIDX(46037,45867,,\"SPX\")":1.2873317,"CRS-US^P_BETA_LOCIDX(46013,45840,,\"SPX\")":1.2431414,"CRS-US^P_BETA_LOCIDX(45989,45817,,\"SPX\")":1.1879402,"CRS-US^P_BETA_LOCIDX(45966,45792,,\"SPX\")":1.155765,"CRS-US^P_BETA_LOCIDX(45944,45770,,\"SPX\")":1.1625789,"CRS-US^P_BETA_LOCIDX(45922,45747,,\"SPX\")":1.4840959,"CRS-US^P_BETA_LOCIDX(45897,45723,,\"SPX\")":1.5385072,"CRS-US^P_BETA_LOCIDX(45875,45700,,\"SPX\")":1.5789652,"CRS-US^P_BETA_LOCIDX(45853,45678,,\"SPX\")":1.6312416,"CRS-US^P_BETA_LOCIDX(45828,45650,,\"SPX\")":1.6081451,"CRS-US^P_BETA_LOCIDX(45805,45628,,\"SPX\")":1.6337216,"CRS-US^P_BETA_LOCIDX(45782,45603,,\"SPX\")":1.6641226,"CRS-US^P_BETA_LOCIDX(45757,45581,,\"SPX\")":1.7512926,"CRS-US^P_BETA_LOCIDX(45735,45559,,\"SPX\")":1.7388883,"CRS-US^P_BETA_LOCIDX(45713,45534,,\"SPX\")":1.8789072,"CRS-US^P_BETA_LOCIDX(45688,45512,,\"SPX\")":1.7877952,"CRS-US^P_BETA_LOCIDX(45664,45490,,\"SPX\")":1.7375575,"CRS-US^P_BETA_LOCIDX(45638,45467,,\"SPX\")":1.7399622,"CRS-US^P_BETA_LOCIDX(45615,45442,,\"SPX\")":1.7220366,"CRS-US^P_BETA_LOCIDX(45593,45419,,\"SPX\")":1.492525,"CRS-US^P_BETA_LOCIDX(45569,45397,,\"SPX\")":1.3764284,"CRS-US^P_BETA_LOCIDX(45547,45372,,\"SPX\")":1.2926344,"CRS-US^P_BETA_LOCIDX(45524,45350,,\"SPX\")":1.0612924,"CRS-US^P_BETA_LOCIDX(45502,45327,,\"SPX\")":1.0138464,"CRS-US^P_BETA_LOCIDX(45478,45302,,\"SPX\")":0.9900128,"CRS-US^P_BETA_LOCIDX(45454,45278,,\"SPX\")":1.0402321,"CRS-US^P_BETA_LOCIDX(45429,45254,,\"SPX\")":0.9737793,"CRS-US^P_BETA_LOCIDX(45407,45231,,\"SPX\")":1.1367234,"CRS-US^P_BETA_LOCIDX(45385,45209,,\"SPX\")":1.2608446,"CRS-US^P_BETA_LOCIDX(45362,45187,,\"SPX\")":1.3320701,"CRS-US^P_BETA_LOCIDX(45337,45162,,\"SPX\")":1.3799134,"CRS-US^P_BETA_LOCIDX(45315,45140,,\"SPX\")":1.376317,"CRS-US^P_BETA_LOCIDX(45289,45118,,\"SPX\")":1.2717074,"CRS-US^P_BETA_LOCIDX(45266,45092,,\"SPX\")":1.2988478,"CRS-US^P_BETA_LOCIDX(45243,45069,,\"SPX\")":1.3504416,"CRS-US^P_BETA_LOCIDX(45219,45047,,\"SPX\")":1.5282216,"CRS-US^P_BETA_LOCIDX(45197,45022,,\"SPX\")":1.5817611,"CRS-US^P_BETA_LOCIDX(45175,45000,,\"SPX\")":1.8826338,"CRS-US^P_BETA_LOCIDX(45152,44978,,\"SPX\")":1.8720039,"CRS-US^P_BETA_LOCIDX(45128,44953,,\"SPX\")":1.8087938,"CRS-US^P_BETA_LOCIDX(45105,44930,,\"SPX\")":1.7760983,"CRS-US^P_BETA_LOCIDX(45082,44904,,\"SPX\")":1.8768299,"CRS-US^P_BETA_LOCIDX(45057,44881,,\"SPX\")":1.6627429,"CRS-US^P_BETA_LOCIDX(45035,44859,,\"SPX\")":1.4040858,"CRS-US^P_BETA_LOCIDX(45012,44837,,\"SPX\")":1.39792,"CRS-US^P_BETA_LOCIDX(44988,44813,,\"SPX\")":1.4113886,"CRS-US^P_BETA_LOCIDX(44965,44790,,\"SPX\")":1.4434607,"CRS-US^P_BETA_LOCIDX(46035,45863,,\"SPX\")":1.2913332,"CRS-US^P_BETA_LOCIDX(46009,45838,,\"SPX\")":1.2297117,"CRS-US^P_BETA_LOCIDX(45986,45813,,\"SPX\")":1.197782,"CRS-US^P_BETA_LOCIDX(45964,45790,,\"SPX\")":1.1689502,"CRS-US^P_BETA_LOCIDX(45940,45768,,\"SPX\")":1.2400753,"CRS-US^P_BETA_LOCIDX(45918,45743,,\"SPX\")":1.4872347,"CRS-US^P_BETA_LOCIDX(45895,45721,,\"SPX\")":1.5759178,"CRS-US^P_BETA_LOCIDX(45873,45698,,\"SPX\")":1.5911106,"CRS-US^P_BETA_LOCIDX(45849,45673,,\"SPX\")":1.6343886,"CRS-US^P_BETA_LOCIDX(45825,45646,,\"SPX\")":1.6020576,"CRS-US^P_BETA_LOCIDX(45800,45623,,\"SPX\")":1.6311896,"CRS-US^P_BETA_LOCIDX(45778,45601,,\"SPX\")":1.7147583,"CRS-US^P_BETA_LOCIDX(45755,45579,,\"SPX\")":1.8336852,"CRS-US^P_BETA_LOCIDX(45733,45555,,\"SPX\")":1.7055384,"CRS-US^P_BETA_LOCIDX(45709,45532,,\"SPX\")":1.9130188,"CRS-US^P_BETA_LOCIDX(45686,45510,,\"SPX\")":1.860447,"CRS-US^P_BETA_LOCIDX(45660,45488,,\"SPX\")":1.7562697,"CRS-US^P_BETA_LOCIDX(45636,45463,,\"SPX\")":1.7520853,"CRS-US^P_BETA_LOCIDX(45611,45440,,\"SPX\")":1.7067574,"CRS-US^P_BETA_LOCIDX(45589,45415,,\"SPX\")":1.4645985,"CRS-US^P_BETA_LOCIDX(45567,45393,,\"SPX\")":1.3578401,"CRS-US^P_BETA_LOCIDX(45545,45370,,\"SPX\")":1.2927696,"CRS-US^P_BETA_LOCIDX(45520,45348,,\"SPX\")":1.0661911,"CRS-US^P_BETA_LOCIDX(45498,45323,,\"SPX\")":0.88343155,"CRS-US^P_BETA_LOCIDX(45475,45300,,\"SPX\")":1.0537505,"CRS-US^P_BETA_LOCIDX(45450,45274,,\"SPX\")":1.047145,"CRS-US^P_BETA_LOCIDX(45427,45251,,\"SPX\")":0.9815661,"CRS-US^P_BETA_LOCIDX(45405,45229,,\"SPX\")":1.1385478,"CRS-US^P_BETA_LOCIDX(45953,45779,,\"SPX\")":1.1302869,"CRS-US^P_BETA_LOCIDX(45919,45744,,\"SPX\")":1.4796042,"CRS-US^P_BETA_LOCIDX(45884,45712,,\"SPX\")":1.5572336,"CRS-US^P_BETA_LOCIDX(45817,45638,,\"SPX\")":1.6284186,"CRS-US^P_BETA_LOCIDX(45645,45474,,\"SPX\")":1.7240055,"CRS-US^P_BETA_LOCIDX(45581,45407,,\"SPX\")":1.310192,"CRS-US^P_BETA_LOCIDX(45551,45376,,\"SPX\")":1.2933166,"CRS-US^P_BETA_LOCIDX(45453,45275,,\"SPX\")":1.0455656,"CRS-US^P_BETA_LOCIDX(45420,45244,,\"SPX\")":0.91877556,"CRS-US^P_BETA_LOCIDX(45357,45182,,\"SPX\")":1.3189267,"CRS-US^P_BETA_LOCIDX(45328,45153,,\"SPX\")":1.2303073,"CRS-US^P_BETA_LOCIDX(45299,45125,,\"SPX\")":1.2364544,"CRS-US^P_BETA_LOCIDX(45238,45064,,\"SPX\")":1.395448,"CRS-US^P_BETA_LOCIDX(45184,45009,,\"SPX\")":1.7495294,"CRS-US^P_BETA_LOCIDX(45132,44957,,\"SPX\")":1.8123233,"CRS-US^P_BETA_LOCIDX(45103,44925,,\"SPX\")":1.8007922,"CRS-US^P_BETA_LOCIDX(45047,44869,,\"SPX\")":1.521753,"CRS-US^P_BETA_LOCIDX(44993,44818,,\"SPX\")":1.3871686,"CRS-US^P_BETA_LOCIDX(45356,45181,,\"SPX\")":1.294468,"CRS-US^P_BETA_LOCIDX(45100,44924,,\"SPX\")":1.7915926,"CRS-US^P_BETA_LOCIDX(46042,45870,,\"SPX\")":1.1613673,"CRS-US^P_BETA_LOCIDX(45993,45819,,\"SPX\")":1.211959,"CRS-US^P_BETA_LOCIDX(45952,45778,,\"SPX\")":0.9994827,"CRS-US^P_BETA_LOCIDX(45883,45709,,\"SPX\")":1.5788236,"CRS-US^P_BETA_LOCIDX(45852,45674,,\"SPX\")":1.6355202,"CRS-US^P_BETA_LOCIDX(45783,45604,,\"SPX\")":1.6761218,"CRS-US^P_BETA_LOCIDX(45749,45573,,\"SPX\")":1.8192981,"CRS-US^P_BETA_LOCIDX(45715,45539,,\"SPX\")":1.7289436,"CRS-US^P_BETA_LOCIDX(45681,45505,,\"SPX\")":1.7427506,"CRS-US^P_BETA_LOCIDX(45644,45471,,\"SPX\")":1.7144614,"CRS-US^P_BETA_LOCIDX(45610,45436,,\"SPX\")":1.7696395,"CRS-US^P_BETA_LOCIDX(45517,45343,,\"SPX\")":1.0414313,"CRH-US^P_BETA_LOCIDX(44956,44781,,\"SPX\")":1.2042937,"CRH-US^P_BETA_LOCIDX(44953,44778,,\"SPX\")":1.2089975,"CRH-US^P_BETA_LOCIDX(44952,44777,,\"SPX\")":1.2084668,"CRH-US^P_BETA_LOCIDX(44951,44776,,\"SPX\")":1.2097951,"CRH-US^P_BETA_LOCIDX(44950,44775,,\"SPX\")":1.2145661,"CRH-US^P_BETA_LOCIDX(44949,44774,,\"SPX\")":1.2151493,"CRH-US^P_BETA_LOCIDX(44946,44771,,\"SPX\")":1.21901,"CRH-US^P_BETA_LOCIDX(44945,44770,,\"SPX\")":1.230016,"CRH-US^P_BETA_LOCIDX(44944,44769,,\"SPX\")":1.2392237,"CRH-US^P_BETA_LOCIDX(44943,44768,,\"SPX\")":1.2449257,"CRH-US^P_BETA_LOCIDX(44939,44767,,\"SPX\")":1.2446722,"CRH-US^P_BETA_LOCIDX(44938,44764,,\"SPX\")":1.2408336,"CRH-US^P_BETA_LOCIDX(44937,44763,,\"SPX\")":1.240657,"CRH-US^P_BETA_LOCIDX(44936,44762,,\"SPX\")":1.2318437,"CRH-US^P_BETA_LOCIDX(44935,44761,,\"SPX\")":1.2450085,"CRH-US^P_BETA_LOCIDX(44932,44760,,\"SPX\")":1.241188,"CRH-US^P_BETA_LOCIDX(44931,44757,,\"SPX\")":1.2311411,"CRH-US^P_BETA_LOCIDX(44930,44756,,\"SPX\")":1.2286605,"CRH-US^P_BETA_LOCIDX(44929,44755,,\"SPX\")":1.2191637,"CRH-US^P_BETA_LOCIDX(44925,44754,,\"SPX\")":1.2192043,"CRH-US^P_BETA_LOCIDX(44924,44753,,\"SPX\")":1.2176385,"CRH-US^P_BETA_LOCIDX(44923,44750,,\"SPX\")":1.2232583,"CRH-US^P_BETA_LOCIDX(44922,44749,,\"SPX\")":1.2182051,"CRH-US^P_BETA_LOCIDX(44918,44748,,\"SPX\")":1.2192385,"CRH-US^P_BETA_LOCIDX(44917,44747,,\"SPX\")":1.21713,"CRH-US^P_BETA_LOCIDX(44916,44743,,\"SPX\")":1.2176254,"CRH-US^P_BETA_LOCIDX(44915,44742,,\"SPX\")":1.2146719,"CRH-US^P_BETA_LOCIDX(44914,44741,,\"SPX\")":1.2144513,"CRH-US^P_BETA_LOCIDX(44911,44740,,\"SPX\")":1.2174065,"CRH-US^P_BETA_LOCIDX(44910,44739,,\"SPX\")":1.2212427,"CRH-US^P_BETA_LOCIDX(44909,44736,,\"SPX\")":1.2025504,"CRH-US^P_BETA_LOCIDX(44908,44735,,\"SPX\")":1.1995728,"CRH-US^P_BETA_LOCIDX(44907,44734,,\"SPX\")":1.1983807,"CRH-US^P_BETA_LOCIDX(44904,44733,,\"SPX\")":1.159505,"CRH-US^P_BETA_LOCIDX(44903,44729,,\"SPX\")":1.1647305,"CRH-US^P_BETA_LOCIDX(44902,44728,,\"SPX\")":1.142582,"CRH-US^P_BETA_LOCIDX(44901,44727,,\"SPX\")":1.1440921,"CRH-US^P_BETA_LOCIDX(44900,44726,,\"SPX\")":1.1501566,"CRH-US^P_BETA_LOCIDX(44897,44725,,\"SPX\")":1.1401099,"CRH-US^P_BETA_LOCIDX(44896,44722,,\"SPX\")":1.174956,"CRH-US^P_BETA_LOCIDX(44895,44721,,\"SPX\")":1.1651534,"CRH-US^P_BETA_LOCIDX(44894,44720,,\"SPX\")":1.2032325,"CRH-US^P_BETA_LOCIDX(44893,44719,,\"SPX\")":1.2019415,"CRH-US^P_BETA_LOCIDX(44890,44718,,\"SPX\")":1.1977583,"CRH-US^P_BETA_LOCIDX(44888,44715,,\"SPX\")":1.1950003,"CRH-US^P_BETA_LOCIDX(44887,44714,,\"SPX\")":1.1969725,"CRH-US^P_BETA_LOCIDX(44886,44713,,\"SPX\")":1.2047358,"CRH-US^P_BETA_LOCIDX(44883,44712,,\"SPX\")":1.2053725,"CRH-US^P_BETA_LOCIDX(44882,44708,,\"SPX\")":1.191661,"CRH-US^P_BETA_LOCIDX(44881,44707,,\"SPX\")":1.184524,"CRH-US^P_BETA_LOCIDX(44880,44706,,\"SPX\")":1.1833975,"CRH-US^P_BETA_LOCIDX(44879,44705,,\"SPX\")":1.1811571,"CRH-US^P_BETA_LOCIDX(44876,44704,,\"SPX\")":1.1746646,"CRH-US^P_BETA_LOCIDX(44875,44701,,\"SPX\")":1.1689473,"CRH-US^P_BETA_LOCIDX(44874,44700,,\"SPX\")":1.1312919,"CRH-US^P_BETA_LOCIDX(44873,44699,,\"SPX\")":1.1186848,"CRH-US^P_BETA_LOCIDX(44872,44698,,\"SPX\")":1.1346861,"CRH-US^P_BETA_LOCIDX(44869,44697,,\"SPX\")":1.1385483,"CRH-US^P_BETA_LOCIDX(44868,44694,,\"SPX\")":1.1216245,"CRH-US^P_BETA_LOCIDX(44867,44693,,\"SPX\")":1.1314542,"CRH-US^P_BETA_LOCIDX(44866,44692,,\"SPX\")":1.1180162,"CRH-US^P_BETA_LOCIDX(44865,44691,,\"SPX\")":1.1179757,"CRH-US^P_BETA_LOCIDX(44862,44690,,\"SPX\")":1.1028931,"CRH-US^P_BETA_LOCIDX(44861,44687,,\"SPX\")":1.0933615,"CRH-US^P_BETA_LOCIDX(44860,44686,,\"SPX\")":1.0998174,"CRH-US^P_BETA_LOCIDX(44859,44685,,\"SPX\")":1.090981,"CRH-US^P_BETA_LOCIDX(44858,44684,,\"SPX\")":1.0883456,"CRH-US^P_BETA_LOCIDX(44855,44683,,\"SPX\")":1.085933,"CRH-US^P_BETA_LOCIDX(44854,44680,,\"SPX\")":1.0728747,"CRH-US^P_BETA_LOCIDX(44853,44679,,\"SPX\")":1.0662199,"CRH-US^P_BETA_LOCIDX(44852,44678,,\"SPX\")":1.0653558,"CRH-US^P_BETA_LOCIDX(44851,44677,,\"SPX\")":1.0656173,"CRH-US^P_BETA_LOCIDX(44848,44676,,\"SPX\")":1.0503478,"CRH-US^P_BETA_LOCIDX(44847,44673,,\"SPX\")":1.0367146,"CRH-US^P_BETA_LOCIDX(44846,44672,,\"SPX\")":1.0324999,"CRH-US^P_BETA_LOCIDX(44845,44671,,\"SPX\")":1.0344895,"CRH-US^P_BETA_LOCIDX(44844,44670,,\"SPX\")":1.0361428,"CRH-US^P_BETA_LOCIDX(44841,44669,,\"SPX\")":1.0395468,"CRH-US^P_BETA_LOCIDX(44840,44665,,\"SPX\")":1.0372854,"CRH-US^P_BETA_LOCIDX(44839,44664,,\"SPX\")":1.0373172,"CRH-US^P_BETA_LOCIDX(44838,44663,,\"SPX\")":1.0376346,"CRH-US^P_BETA_LOCIDX(44837,44662,,\"SPX\")":0.9944604,"CRH-US^P_BETA_LOCIDX(44834,44659,,\"SPX\")":0.9970993,"CRH-US^P_BETA_LOCIDX(44833,44658,,\"SPX\")":1.0048599,"CRH-US^P_BETA_LOCIDX(44832,44657,,\"SPX\")":1.0127366,"CRH-US^P_BETA_LOCIDX(44831,44656,,\"SPX\")":1.0105476,"CRH-US^P_BETA_LOCIDX(44830,44655,,\"SPX\")":1.0079198,"CRH-US^P_BETA_LOCIDX(44827,44652,,\"SPX\")":1.008234,"CRH-US^P_BETA_LOCIDX(44826,44651,,\"SPX\")":0.9979099,"CRH-US^P_BETA_LOCIDX(44825,44650,,\"SPX\")":1.0028472,"CRH-US^P_BETA_LOCIDX(44824,44649,,\"SPX\")":1.0114475,"CRH-US^P_BETA_LOCIDX(44823,44648,,\"SPX\")":0.9939856,"CRH-US^P_BETA_LOCIDX(44820,44645,,\"SPX\")":0.9887608,"CRH-US^P_BETA_LOCIDX(44819,44644,,\"SPX\")":0.98686343,"CRH-US^P_BETA_LOCIDX(44818,44643,,\"SPX\")":0.9963186,"CRH-US^P_BETA_LOCIDX(44817,44642,,\"SPX\")":0.9887781,"CRH-US^P_BETA_LOCIDX(44816,44641,,\"SPX\")":0.98210824,"CRH-US^P_BETA_LOCIDX(44813,44638,,\"SPX\")":0.97851217,"CRH-US^P_BETA_LOCIDX(44812,44637,,\"SPX\")":0.9797669,"CRH-US^P_BETA_LOCIDX(44811,44636,,\"SPX\")":0.97059286,"CRH-US^P_BETA_LOCIDX(44810,44635,,\"SPX\")":0.96702296,"CRH-US^P_BETA_LOCIDX(44806,44634,,\"SPX\")":0.9556221,"CRH-US^P_BETA_LOCIDX(44805,44631,,\"SPX\")":0.9470356,"CRH-US^P_BETA_LOCIDX(44804,44630,,\"SPX\")":0.9554127,"CRH-US^P_BETA_LOCIDX(44803,44629,,\"SPX\")":1.0086937,"CRH-US^P_BETA_LOCIDX(44802,44628,,\"SPX\")":1.003762,"CRH-US^P_BETA_LOCIDX(44799,44627,,\"SPX\")":1.0065306,"CRH-US^P_BETA_LOCIDX(44798,44624,,\"SPX\")":1.0315439,"CRH-US^P_BETA_LOCIDX(44797,44623,,\"SPX\")":1.0224309,"CRH-US^P_BETA_LOCIDX(44796,44622,,\"SPX\")":1.0277593,"CRH-US^P_BETA_LOCIDX(44795,44621,,\"SPX\")":1.0381908,"CRH-US^P_BETA_LOCIDX(44792,44620,,\"SPX\")":1.0332258,"CRH-US^P_BETA_LOCIDX(44791,44617,,\"SPX\")":1.0424881,"CRH-US^P_BETA_LOCIDX(44790,44616,,\"SPX\")":1.0131687,"CRH-US^P_BETA_LOCIDX(44789,44615,,\"SPX\")":1.0227185,"CRH-US^P_BETA_LOCIDX(44788,44614,,\"SPX\")":1.0242217,"CRH-US^P_BETA_LOCIDX(44785,44610,,\"SPX\")":1.023994,"CRH-US^P_BETA_LOCIDX(44784,44609,,\"SPX\")":1.0310898,"CRH-US^P_BETA_LOCIDX(44783,44608,,\"SPX\")":1.0317174,"CRH-US^P_BETA_LOCIDX(44782,44607,,\"SPX\")":1.032944,"CRH-US^P_BETA_LOCIDX(44781,44606,,\"SPX\")":1.0348355,"CRH-US^P_BETA_LOCIDX(44778,44603,,\"SPX\")":1.0327667,"CRH-US^P_BETA_LOCIDX(44777,44602,,\"SPX\")":1.0265245,"CRH-US^P_BETA_LOCIDX(44776,44601,,\"SPX\")":1.0284907,"CRH-US^P_BETA_LOCIDX(44775,44600,,\"SPX\")":1.0252016,"CRH-US^P_BETA_LOCIDX(44774,44599,,\"SPX\")":1.0222028,"CRH-US^P_BETA_LOCIDX(45113,44937,,\"SPX\")":1.0493939,"VMI-US^P_BETA_LOCIDX(45841,45665,,\"SPX\")":1.0332437,"VMI-US^P_BETA_LOCIDX(45840,45664,,\"SPX\")":1.0312144,"VMI-US^P_BETA_LOCIDX(45839,45663,,\"SPX\")":1.027056,"VMI-US^P_BETA_LOCIDX(45838,45660,,\"SPX\")":1.0293741,"VMI-US^P_BETA_LOCIDX(45835,45659,,\"SPX\")":1.034087,"VMI-US^P_BETA_LOCIDX(45834,45657,,\"SPX\")":1.0335081,"VMI-US^P_BETA_LOCIDX(45833,45656,,\"SPX\")":1.0264711,"VMI-US^P_BETA_LOCIDX(45832,45653,,\"SPX\")":1.0272031,"VMI-US^P_BETA_LOCIDX(45831,45652,,\"SPX\")":1.029665,"VMI-US^P_BETA_LOCIDX(45828,45650,,\"SPX\")":1.0272971,"VMI-US^P_BETA_LOCIDX(45826,45649,,\"SPX\")":1.0252104,"VMI-US^P_BETA_LOCIDX(45825,45646,,\"SPX\")":1.0233301,"VMI-US^P_BETA_LOCIDX(45824,45645,,\"SPX\")":1.0232575,"VMI-US^P_BETA_LOCIDX(45821,45644,,\"SPX\")":1.036006,"VMI-US^P_BETA_LOCIDX(45820,45643,,\"SPX\")":1.0379559,"VMI-US^P_BETA_LOCIDX(45819,45642,,\"SPX\")":1.038364,"VMI-US^P_BETA_LOCIDX(45818,45639,,\"SPX\")":1.038567,"VMI-US^P_BETA_LOCIDX(45817,45638,,\"SPX\")":1.0404565,"VMI-US^P_BETA_LOCIDX(45814,45637,,\"SPX\")":1.0376675,"VMI-US^P_BETA_LOCIDX(45813,45636,,\"SPX\")":1.0392234,"VMI-US^P_BETA_LOCIDX(45812,45635,,\"SPX\")":1.0398465,"VMI-US^P_BETA_LOCIDX(45811,45632,,\"SPX\")":1.0379317,"VMI-US^P_BETA_LOCIDX(45810,45631,,\"SPX\")":1.0358933,"VMI-US^P_BETA_LOCIDX(45807,45630,,\"SPX\")":1.0371457,"VMI-US^P_BETA_LOCIDX(45806,45629,,\"SPX\")":1.0370345,"VMI-US^P_BETA_LOCIDX(45805,45628,,\"SPX\")":1.0378578,"VMI-US^P_BETA_LOCIDX(45804,45625,,\"SPX\")":1.0340028,"VMI-US^P_BETA_LOCIDX(45800,45623,,\"SPX\")":1.0299306,"VMI-US^P_BETA_LOCIDX(45799,45622,,\"SPX\")":1.0314119,"VMI-US^P_BETA_LOCIDX(45798,45621,,\"SPX\")":1.0335886,"VMI-US^P_BETA_LOCIDX(45797,45618,,\"SPX\")":1.0323552,"VMI-US^P_BETA_LOCIDX(45796,45617,,\"SPX\")":1.0299757,"VMI-US^P_BETA_LOCIDX(45793,45616,,\"SPX\")":1.0301683,"VMI-US^P_BETA_LOCIDX(45792,45615,,\"SPX\")":1.0266252,"VMI-US^P_BETA_LOCIDX(45791,45614,,\"SPX\")":1.0270052,"VMI-US^P_BETA_LOCIDX(45790,45611,,\"SPX\")":1.0238575,"VMI-US^P_BETA_LOCIDX(45789,45610,,\"SPX\")":1.0248822,"VMI-US^P_BETA_LOCIDX(45786,45609,,\"SPX\")":1.0164919,"VMI-US^P_BETA_LOCIDX(45785,45608,,\"SPX\")":1.0170116,"VMI-US^P_BETA_LOCIDX(45784,45607,,\"SPX\")":1.0132401,"VMI-US^P_BETA_LOCIDX(45783,45604,,\"SPX\")":1.0141987,"VMI-US^P_BETA_LOCIDX(45782,45603,,\"SPX\")":1.00536,"VMI-US^P_BETA_LOCIDX(45779,45602,,\"SPX\")":1.045961,"VMI-US^P_BETA_LOCIDX(45778,45601,,\"SPX\")":1.0426321,"VMI-US^P_BETA_LOCIDX(45777,45600,,\"SPX\")":1.0385895,"VMI-US^P_BETA_LOCIDX(45776,45597,,\"SPX\")":1.0405785,"VMI-US^P_BETA_LOCIDX(45775,45596,,\"SPX\")":1.0359133,"VMI-US^P_BETA_LOCIDX(45772,45595,,\"SPX\")":1.0368774,"VMI-US^P_BETA_LOCIDX(45771,45594,,\"SPX\")":1.0408769,"VMI-US^P_BETA_LOCIDX(45770,45593,,\"SPX\")":1.0345361,"VMI-US^P_BETA_LOCIDX(45769,45590,,\"SPX\")":1.025946,"VMI-US^P_BETA_LOCIDX(45768,45589,,\"SPX\")":1.0176128,"VMI-US^P_BETA_LOCIDX(45764,45588,,\"SPX\")":0.9772877,"VMI-US^P_BETA_LOCIDX(45763,45587,,\"SPX\")":0.97809833,"VMI-US^P_BETA_LOCIDX(45762,45586,,\"SPX\")":0.9920797,"VMI-US^P_BETA_LOCIDX(45761,45583,,\"SPX\")":0.98839426,"VMI-US^P_BETA_LOCIDX(45758,45582,,\"SPX\")":0.99072105,"VMI-US^P_BETA_LOCIDX(45757,45581,,\"SPX\")":0.9938087,"VMI-US^P_BETA_LOCIDX(45756,45580,,\"SPX\")":1.0051446,"VMI-US^P_BETA_LOCIDX(45755,45579,,\"SPX\")":1.1227586,"VMI-US^P_BETA_LOCIDX(45754,45576,,\"SPX\")":1.150212,"VMI-US^P_BETA_LOCIDX(45751,45575,,\"SPX\")":1.1495415,"VMI-US^P_BETA_LOCIDX(45750,45574,,\"SPX\")":1.2487236,"VMI-US^P_BETA_LOCIDX(45749,45573,,\"SPX\")":1.2176671,"VMI-US^P_BETA_LOCIDX(45748,45572,,\"SPX\")":1.1818615,"VMI-US^P_BETA_LOCIDX(45747,45569,,\"SPX\")":1.1792045,"VMI-US^P_BETA_LOCIDX(45744,45568,,\"SPX\")":1.1906844,"VMI-US^P_BETA_LOCIDX(45743,45567,,\"SPX\")":1.1717875,"VMI-US^P_BETA_LOCIDX(45742,45566,,\"SPX\")":1.169442,"VMI-US^P_BETA_LOCIDX(45741,45565,,\"SPX\")":1.1875374,"VMI-US^P_BETA_LOCIDX(45740,45562,,\"SPX\")":1.1875821,"VMI-US^P_BETA_LOCIDX(45737,45561,,\"SPX\")":1.143723,"VMI-US^P_BETA_LOCIDX(45736,45560,,\"SPX\")":1.1564232,"VMI-US^P_BETA_LOCIDX(45735,45559,,\"SPX\")":1.1526618,"VMI-US^P_BETA_LOCIDX(45734,45558,,\"SPX\")":1.1422229,"VMI-US^P_BETA_LOCIDX(45733,45555,,\"SPX\")":1.1399263,"VMI-US^P_BETA_LOCIDX(45730,45554,,\"SPX\")":1.1408291,"VMI-US^P_BETA_LOCIDX(45729,45553,,\"SPX\")":1.1395323,"VMI-US^P_BETA_LOCIDX(45728,45552,,\"SPX\")":1.1266888,"VMI-US^P_BETA_LOCIDX(45727,45551,,\"SPX\")":1.1218637,"VMI-US^P_BETA_LOCIDX(45726,45548,,\"SPX\")":1.1367557,"VMI-US^P_BETA_LOCIDX(45723,45547,,\"SPX\")":1.1338407,"VMI-US^P_BETA_LOCIDX(45722,45546,,\"SPX\")":1.133297,"VMI-US^P_BETA_LOCIDX(45721,45545,,\"SPX\")":1.1145911,"VMI-US^P_BETA_LOCIDX(45720,45544,,\"SPX\")":1.093387,"VMI-US^P_BETA_LOCIDX(45719,45541,,\"SPX\")":1.0561506,"VMI-US^P_BETA_LOCIDX(45716,45540,,\"SPX\")":1.0160755,"VMI-US^P_BETA_LOCIDX(45715,45539,,\"SPX\")":1.0237275,"VMI-US^P_BETA_LOCIDX(45714,45538,,\"SPX\")":1.0565538,"VMI-US^P_BETA_LOCIDX(45713,45534,,\"SPX\")":1.0527375,"VMI-US^P_BETA_LOCIDX(45712,45533,,\"SPX\")":1.0640676,"VMI-US^P_BETA_LOCIDX(45709,45532,,\"SPX\")":1.0620983,"VMI-US^P_BETA_LOCIDX(45708,45531,,\"SPX\")":1.0104483,"VMI-US^P_BETA_LOCIDX(45707,45530,,\"SPX\")":1.0065895,"VMI-US^P_BETA_LOCIDX(45706,45527,,\"SPX\")":1.0218564,"VMI-US^P_BETA_LOCIDX(45702,45526,,\"SPX\")":0.9813473,"VMI-US^P_BETA_LOCIDX(45701,45525,,\"SPX\")":0.98509735,"VMI-US^P_BETA_LOCIDX(45700,45524,,\"SPX\")":1.000429,"VMI-US^P_BETA_LOCIDX(45699,45523,,\"SPX\")":0.99365354,"VMI-US^P_BETA_LOCIDX(45698,45520,,\"SPX\")":0.9915073,"VMI-US^P_BETA_LOCIDX(45695,45519,,\"SPX\")":0.97392756,"VMI-US^P_BETA_LOCIDX(45694,45518,,\"SPX\")":0.9753207,"VMI-US^P_BETA_LOCIDX(45693,45517,,\"SPX\")":0.95319366,"VMI-US^P_BETA_LOCIDX(45692,45516,,\"SPX\")":0.9529639,"VMI-US^P_BETA_LOCIDX(45691,45513,,\"SPX\")":0.9498379,"VMI-US^P_BETA_LOCIDX(45688,45512,,\"SPX\")":0.9198197,"VMI-US^P_BETA_LOCIDX(45687,45511,,\"SPX\")":0.9161418,"VMI-US^P_BETA_LOCIDX(45686,45510,,\"SPX\")":0.90072066,"VMI-US^P_BETA_LOCIDX(45685,45509,,\"SPX\")":0.9052677,"VMI-US^P_BETA_LOCIDX(45684,45506,,\"SPX\")":0.92468363,"VMI-US^P_BETA_LOCIDX(45681,45505,,\"SPX\")":0.8990093,"VMI-US^P_BETA_LOCIDX(45680,45504,,\"SPX\")":0.86761576,"VMI-US^P_BETA_LOCIDX(45679,45503,,\"SPX\")":0.8618613,"VMI-US^P_BETA_LOCIDX(45678,45502,,\"SPX\")":0.86860245,"VMI-US^P_BETA_LOCIDX(45674,45499,,\"SPX\")":0.85945785,"VMI-US^P_BETA_LOCIDX(45673,45498,,\"SPX\")":0.8006218,"VMI-US^P_BETA_LOCIDX(45672,45497,,\"SPX\")":0.81708676,"VMI-US^P_BETA_LOCIDX(45671,45496,,\"SPX\")":0.781018,"VMI-US^P_BETA_LOCIDX(45670,45495,,\"SPX\")":0.7763169,"VMI-US^P_BETA_LOCIDX(45667,45492,,\"SPX\")":0.7852376,"VMI-US^P_BETA_LOCIDX(45665,45491,,\"SPX\")":0.78067696,"VMI-US^P_BETA_LOCIDX(45664,45490,,\"SPX\")":0.74946105,"VMI-US^P_BETA_LOCIDX(45663,45489,,\"SPX\")":0.7720277,"VMI-US^P_BETA_LOCIDX(45660,45488,,\"SPX\")":0.7759619,"VMI-US^P_BETA_LOCIDX(45659,45485,,\"SPX\")":0.77909887,"VMI-US^P_BETA_LOCIDX(45657,45484,,\"SPX\")":0.7498067,"VMI-US^P_BETA_LOCIDX(45656,45483,,\"SPX\")":0.7574245,"VMI-US^P_BETA_LOCIDX(45653,45482,,\"SPX\")":0.76068544,"VMI-US^P_BETA_LOCIDX(45652,45481,,\"SPX\")":0.7548668,"VMI-US^P_BETA_LOCIDX(45650,45478,,\"SPX\")":0.75035125,"VMI-US^P_BETA_LOCIDX(45649,45476,,\"SPX\")":0.74362,"VMI-US^P_BETA_LOCIDX(45646,45475,,\"SPX\")":0.74473304,"VMI-US^P_BETA_LOCIDX(45645,45474,,\"SPX\")":0.74142456,"VMI-US^P_BETA_LOCIDX(45644,45471,,\"SPX\")":0.7375488,"VMI-US^P_BETA_LOCIDX(45643,45470,,\"SPX\")":0.65863746,"VMI-US^P_BETA_LOCIDX(45642,45469,,\"SPX\")":0.6506958,"VMI-US^P_BETA_LOCIDX(45639,45468,,\"SPX\")":0.64680797,"VMI-US^P_BETA_LOCIDX(45638,45467,,\"SPX\")":0.6474844,"VMI-US^P_BETA_LOCIDX(45637,45464,,\"SPX\")":0.6431852,"VMI-US^P_BETA_LOCIDX(45636,45463,,\"SPX\")":0.65761095,"VMI-US^P_BETA_LOCIDX(45635,45461,,\"SPX\")":0.65274566,"VMI-US^P_BETA_LOCIDX(45632,45460,,\"SPX\")":0.6458346,"VMI-US^P_BETA_LOCIDX(45631,45457,,\"SPX\")":0.6503125,"VMI-US^P_BETA_LOCIDX(45630,45456,,\"SPX\")":0.64748144,"VMI-US^P_BETA_LOCIDX(45629,45455,,\"SPX\")":0.6652611,"VMI-US^P_BETA_LOCIDX(45628,45454,,\"SPX\")":0.6620478,"VMI-US^P_BETA_LOCIDX(45625,45453,,\"SPX\")":0.66723454,"VMI-US^P_BETA_LOCIDX(45623,45450,,\"SPX\")":0.6746111,"VMI-US^P_BETA_LOCIDX(45622,45449,,\"SPX\")":0.67348087,"VMI-US^P_BETA_LOCIDX(45621,45448,,\"SPX\")":0.6791765,"VMI-US^P_BETA_LOCIDX(45618,45447,,\"SPX\")":0.6741102,"VMI-US^P_BETA_LOCIDX(45617,45446,,\"SPX\")":0.67250746,"VMI-US^P_BETA_LOCIDX(45616,45443,,\"SPX\")":0.66981995,"VMI-US^P_BETA_LOCIDX(45615,45442,,\"SPX\")":0.6599789,"VMI-US^P_BETA_LOCIDX(45614,45441,,\"SPX\")":0.66729885,"VMI-US^P_BETA_LOCIDX(45611,45440,,\"SPX\")":0.6671968,"VMI-US^P_BETA_LOCIDX(45610,45436,,\"SPX\")":0.66144097,"VMI-US^P_BETA_LOCIDX(45609,45435,,\"SPX\")":0.6751593,"VMI-US^P_BETA_LOCIDX(45608,45434,,\"SPX\")":0.6708365,"VMI-US^P_BETA_LOCIDX(45607,45433,,\"SPX\")":0.66486573,"VMI-US^P_BETA_LOCIDX(45604,45432,,\"SPX\")":0.6650154,"VMI-US^P_BETA_LOCIDX(45603,45429,,\"SPX\")":0.66723806,"VMI-US^P_BETA_LOCIDX(45602,45428,,\"SPX\")":0.68869984,"VMI-US^P_BETA_LOCIDX(45601,45427,,\"SPX\")":0.52849406,"VMI-US^P_BETA_LOCIDX(45600,45426,,\"SPX\")":0.50714,"VMI-US^P_BETA_LOCIDX(45597,45425,,\"SPX\")":0.5121092,"VMI-US^P_BETA_LOCIDX(45596,45422,,\"SPX\")":0.509474,"VMI-US^P_BETA_LOCIDX(45595,45421,,\"SPX\")":0.50075406,"VMI-US^P_BETA_LOCIDX(45594,45420,,\"SPX\")":0.49041194,"VMI-US^P_BETA_LOCIDX(45593,45419,,\"SPX\")":0.49169987,"VMI-US^P_BETA_LOCIDX(45590,45418,,\"SPX\")":0.48597407,"VMI-US^P_BETA_LOCIDX(45589,45415,,\"SPX\")":0.4820689,"VMI-US^P_BETA_LOCIDX(45588,45414,,\"SPX\")":0.6516416,"VMI-US^P_BETA_LOCIDX(45587,45413,,\"SPX\")":0.78364265,"VMI-US^P_BETA_LOCIDX(45586,45412,,\"SPX\")":0.8014908,"VMI-US^P_BETA_LOCIDX(45583,45411,,\"SPX\")":0.7951783,"VMI-US^P_BETA_LOCIDX(45582,45408,,\"SPX\")":0.7932952,"VMI-US^P_BETA_LOCIDX(45581,45407,,\"SPX\")":0.801813,"VMI-US^P_BETA_LOCIDX(45580,45406,,\"SPX\")":0.7952963,"VMI-US^P_BETA_LOCIDX(45579,45405,,\"SPX\")":0.79700446,"VMI-US^P_BETA_LOCIDX(45576,45404,,\"SPX\")":0.7838863,"VMI-US^P_BETA_LOCIDX(45575,45401,,\"SPX\")":0.74736863,"VMI-US^P_BETA_LOCIDX(45574,45400,,\"SPX\")":0.75173134,"VMI-US^P_BETA_LOCIDX(45573,45399,,\"SPX\")":0.7632127,"VMI-US^P_BETA_LOCIDX(45572,45398,,\"SPX\")":0.786249,"VMI-US^P_BETA_LOCIDX(45569,45397,,\"SPX\")":0.8085006,"VMI-US^P_BETA_LOCIDX(45568,45394,,\"SPX\")":0.8257748,"VMI-US^P_BETA_LOCIDX(45567,45393,,\"SPX\")":0.81891483,"VMI-US^P_BETA_LOCIDX(45566,45392,,\"SPX\")":0.8224315,"VMI-US^P_BETA_LOCIDX(45565,45391,,\"SPX\")":0.81913495,"VMI-US^P_BETA_LOCIDX(45562,45390,,\"SPX\")":0.8192209,"VMI-US^P_BETA_LOCIDX(45561,45387,,\"SPX\")":0.82462245,"VMI-US^P_BETA_LOCIDX(45560,45386,,\"SPX\")":0.80594784,"VMI-US^P_BETA_LOCIDX(45559,45385,,\"SPX\")":0.80425113,"VMI-US^P_BETA_LOCIDX(45558,45384,,\"SPX\")":0.82758063,"VMI-US^P_BETA_LOCIDX(45555,45383,,\"SPX\")":0.82828933,"VMI-US^P_BETA_LOCIDX(45554,45379,,\"SPX\")":0.8264211,"VMI-US^P_BETA_LOCIDX(45553,45378,,\"SPX\")":0.8370713,"VMI-US^P_BETA_LOCIDX(45552,45377,,\"SPX\")":0.8348739,"VMI-US^P_BETA_LOCIDX(45551,45376,,\"SPX\")":0.83812106,"VMI-US^P_BETA_LOCIDX(45548,45373,,\"SPX\")":0.8369723,"VMI-US^P_BETA_LOCIDX(45547,45372,,\"SPX\")":0.83807105,"VMI-US^P_BETA_LOCIDX(45546,45371,,\"SPX\")":0.8391493,"VMI-US^P_BETA_LOCIDX(45545,45370,,\"SPX\")":0.84519935,"VMI-US^P_BETA_LOCIDX(45544,45369,,\"SPX\")":0.83582383,"VMI-US^P_BETA_LOCIDX(45541,45366,,\"SPX\")":0.834376,"VMI-US^P_BETA_LOCIDX(45540,45365,,\"SPX\")":0.8756094,"VMI-US^P_BETA_LOCIDX(45539,45364,,\"SPX\")":0.8654629,"VMI-US^P_BETA_LOCIDX(45538,45363,,\"SPX\")":0.84215754,"VMI-US^P_BETA_LOCIDX(45534,45362,,\"SPX\")":0.79777116,"VMI-US^P_BETA_LOCIDX(45533,45359,,\"SPX\")":0.7847781,"VMI-US^P_BETA_LOCIDX(45532,45358,,\"SPX\")":0.7966169,"VMI-US^P_BETA_LOCIDX(45531,45357,,\"SPX\")":0.7881093,"VMI-US^P_BETA_LOCIDX(45530,45356,,\"SPX\")":0.8037408,"VMI-US^P_BETA_LOCIDX(45527,45355,,\"SPX\")":0.8026349,"VMI-US^P_BETA_LOCIDX(45526,45352,,\"SPX\")":0.7803809,"VMI-US^P_BETA_LOCIDX(45525,45351,,\"SPX\")":0.7766202,"VMI-US^P_BETA_LOCIDX(45524,45350,,\"SPX\")":0.77359134,"VMI-US^P_BETA_LOCIDX(45523,45349,,\"SPX\")":0.76874065,"VMI-US^P_BETA_LOCIDX(45520,45348,,\"SPX\")":0.7822118,"VMI-US^P_BETA_LOCIDX(45519,45345,,\"SPX\")":0.7840064,"VMI-US^P_BETA_LOCIDX(45518,45344,,\"SPX\")":0.6691056,"VMI-US^P_BETA_LOCIDX(45517,45343,,\"SPX\")":0.6683984,"VMI-US^P_BETA_LOCIDX(45516,45342,,\"SPX\")":0.6863015,"VMI-US^P_BETA_LOCIDX(45513,45338,,\"SPX\")":0.69387424,"VMI-US^P_BETA_LOCIDX(45512,45337,,\"SPX\")":0.687529,"VMI-US^P_BETA_LOCIDX(45511,45336,,\"SPX\")":0.69277763,"VMI-US^P_BETA_LOCIDX(45510,45335,,\"SPX\")":0.73377955,"VMI-US^P_BETA_LOCIDX(45509,45334,,\"SPX\")":0.74614424,"VMI-US^P_BETA_LOCIDX(45506,45331,,\"SPX\")":0.72539043,"VMI-US^P_BETA_LOCIDX(45505,45330,,\"SPX\")":0.7014568,"VMI-US^P_BETA_LOCIDX(45504,45329,,\"SPX\")":0.6842816,"VMI-US^P_BETA_LOCIDX(45503,45328,,\"SPX\")":0.73725873,"VMI-US^P_BETA_LOCIDX(45502,45327,,\"SPX\")":0.75072914,"VMI-US^P_BETA_LOCIDX(45499,45324,,\"SPX\")":0.7207612,"VMI-US^P_BETA_LOCIDX(45498,45323,,\"SPX\")":0.73578644,"VMI-US^P_BETA_LOCIDX(45497,45322,,\"SPX\")":0.85796696,"VMI-US^P_BETA_LOCIDX(45496,45321,,\"SPX\")":0.8548162,"VMI-US^P_BETA_LOCIDX(45495,45320,,\"SPX\")":0.84791994,"VMI-US^P_BETA_LOCIDX(45492,45317,,\"SPX\")":0.8546455,"VMI-US^P_BETA_LOCIDX(45491,45316,,\"SPX\")":0.8388359,"VMI-US^P_BETA_LOCIDX(45490,45315,,\"SPX\")":0.8314529,"VMI-US^P_BETA_LOCIDX(45489,45314,,\"SPX\")":0.89480966,"VMI-US^P_BETA_LOCIDX(45488,45313,,\"SPX\")":0.8730475,"VMI-US^P_BETA_LOCIDX(45485,45310,,\"SPX\")":0.8542492,"VMI-US^P_BETA_LOCIDX(45484,45309,,\"SPX\")":0.846202,"VMI-US^P_BETA_LOCIDX(45483,45308,,\"SPX\")":0.90860754,"VMI-US^P_BETA_LOCIDX(45482,45307,,\"SPX\")":0.9047618,"VMI-US^P_BETA_LOCIDX(45481,45303,,\"SPX\")":0.90271366,"VMI-US^P_BETA_LOCIDX(45478,45302,,\"SPX\")":0.9028802,"VMI-US^P_BETA_LOCIDX(45476,45301,,\"SPX\")":0.9205181,"VMI-US^P_BETA_LOCIDX(45475,45300,,\"SPX\")":0.93896776,"VMI-US^P_BETA_LOCIDX(45474,45299,,\"SPX\")":0.91781986,"VMI-US^P_BETA_LOCIDX(45471,45296,,\"SPX\")":0.9261274,"VMI-US^P_BETA_LOCIDX(45470,45295,,\"SPX\")":0.9275052,"VMI-US^P_BETA_LOCIDX(45469,45294,,\"SPX\")":0.9800916,"VMI-US^P_BETA_LOCIDX(45468,45293,,\"SPX\")":0.9686268,"VMI-US^P_BETA_LOCIDX(45467,45289,,\"SPX\")":0.9710917,"VMI-US^P_BETA_LOCIDX(45464,45288,,\"SPX\")":0.9706743,"VMI-US^P_BETA_LOCIDX(45463,45287,,\"SPX\")":0.9762062,"VMI-US^P_BETA_LOCIDX(45461,45286,,\"SPX\")":0.9679588,"VMI-US^P_BETA_LOCIDX(45460,45282,,\"SPX\")":0.96530455,"VMI-US^P_BETA_LOCIDX(45457,45281,,\"SPX\")":0.9841266,"VMI-US^P_BETA_LOCIDX(45456,45280,,\"SPX\")":0.9871355,"VMI-US^P_BETA_LOCIDX(45455,45279,,\"SPX\")":1.0005851,"VMI-US^P_BETA_LOCIDX(45454,45278,,\"SPX\")":0.97355056,"VMI-US^P_BETA_LOCIDX(45453,45275,,\"SPX\")":0.98010045,"VMI-US^P_BETA_LOCIDX(45450,45274,,\"SPX\")":0.9811094,"VMI-US^P_BETA_LOCIDX(45449,45273,,\"SPX\")":0.9396394,"VMI-US^P_BETA_LOCIDX(45448,45272,,\"SPX\")":0.93535393,"VMI-US^P_BETA_LOCIDX(45447,45271,,\"SPX\")":0.93389755,"VMI-US^P_BETA_LOCIDX(45446,45268,,\"SPX\")":0.9360519,"VMI-US^P_BETA_LOCIDX(45443,45267,,\"SPX\")":0.92628145,"VMI-US^P_BETA_LOCIDX(45442,45266,,\"SPX\")":0.94043976,"VMI-US^P_BETA_LOCIDX(45441,45265,,\"SPX\")":0.96403825,"VMI-US^P_BETA_LOCIDX(45440,45264,,\"SPX\")":0.9590399,"VMI-US^P_BETA_LOCIDX(45436,45261,,\"SPX\")":0.9684773,"VMI-US^P_BETA_LOCIDX(45435,45260,,\"SPX\")":0.9882356,"VMI-US^P_BETA_LOCIDX(45434,45259,,\"SPX\")":0.95094335,"VMI-US^P_BETA_LOCIDX(45433,45258,,\"SPX\")":0.9582426,"VMI-US^P_BETA_LOCIDX(45432,45257,,\"SPX\")":0.97279394,"VMI-US^P_BETA_LOCIDX(45429,45254,,\"SPX\")":0.97222966,"VMI-US^P_BETA_LOCIDX(45428,45252,,\"SPX\")":0.97110987,"VMI-US^P_BETA_LOCIDX(45427,45251,,\"SPX\")":0.98157847,"VMI-US^P_BETA_LOCIDX(45426,45250,,\"SPX\")":0.99540925,"VMI-US^P_BETA_LOCIDX(45425,45247,,\"SPX\")":0.9992897,"VMI-US^P_BETA_LOCIDX(45422,45246,,\"SPX\")":0.99897784,"VMI-US^P_BETA_LOCIDX(45421,45245,,\"SPX\")":0.99868107,"VMI-US^P_BETA_LOCIDX(45420,45244,,\"SPX\")":1.0846186,"VMI-US^P_BETA_LOCIDX(45419,45243,,\"SPX\")":1.0918932,"VMI-US^P_BETA_LOCIDX(45418,45240,,\"SPX\")":1.1032104,"VMI-US^P_BETA_LOCIDX(45415,45239,,\"SPX\")":1.0798254,"VMI-US^P_BETA_LOCIDX(45414,45238,,\"SPX\")":1.0942072,"VMI-US^P_BETA_LOCIDX(45413,45237,,\"SPX\")":0.86778677,"VMI-US^P_BETA_LOCIDX(45412,45236,,\"SPX\")":0.879936,"VMI-US^P_BETA_LOCIDX(45411,45233,,\"SPX\")":0.864924,"VMI-US^P_BETA_LOCIDX(45408,45232,,\"SPX\")":0.84224135,"VMI-US^P_BETA_LOCIDX(45407,45231,,\"SPX\")":0.85220397,"VMI-US^P_BETA_LOCIDX(45406,45230,,\"SPX\")":0.85437465,"VMI-US^P_BETA_LOCIDX(45405,45229,,\"SPX\")":0.874433,"VMI-US^P_BETA_LOCIDX(45404,45226,,\"SPX\")":0.92634034,"VMI-US^P_BETA_LOCIDX(45401,45225,,\"SPX\")":1.2158875,"VMI-US^P_BETA_LOCIDX(45400,45224,,\"SPX\")":1.2001916,"VMI-US^P_BETA_LOCIDX(45399,45223,,\"SPX\")":1.1832137,"VMI-US^P_BETA_LOCIDX(45398,45222,,\"SPX\")":1.1782018,"VMI-US^P_BETA_LOCIDX(45397,45219,,\"SPX\")":1.1862489,"VMI-US^P_BETA_LOCIDX(45394,45218,,\"SPX\")":1.091601,"VMI-US^P_BETA_LOCIDX(45393,45217,,\"SPX\")":1.2251762,"VMI-US^P_BETA_LOCIDX(45392,45216,,\"SPX\")":1.2265904,"VMI-US^P_BETA_LOCIDX(45391,45215,,\"SPX\")":1.2566406,"VMI-US^P_BETA_LOCIDX(45390,45212,,\"SPX\")":1.2643495,"VMI-US^P_BETA_LOCIDX(45387,45211,,\"SPX\")":1.27312,"VMI-US^P_BETA_LOCIDX(45386,45210,,\"SPX\")":1.2650592,"VMI-US^P_BETA_LOCIDX(45385,45209,,\"SPX\")":1.3053291,"VMI-US^P_BETA_LOCIDX(45384,45208,,\"SPX\")":1.304615,"VMI-US^P_BETA_LOCIDX(45383,45205,,\"SPX\")":1.2941816,"VMI-US^P_BETA_LOCIDX(45379,45204,,\"SPX\")":1.2920655,"VMI-US^P_BETA_LOCIDX(45378,45203,,\"SPX\")":1.2792333,"VMI-US^P_BETA_LOCIDX(45377,45202,,\"SPX\")":1.2314168,"VMI-US^P_BETA_LOCIDX(45376,45201,,\"SPX\")":1.2430352,"VMI-US^P_BETA_LOCIDX(45373,45198,,\"SPX\")":1.2451521,"VMI-US^P_BETA_LOCIDX(45372,45197,,\"SPX\")":1.2471341,"VMI-US^P_BETA_LOCIDX(45371,45196,,\"SPX\")":1.2400144,"VMI-US^P_BETA_LOCIDX(45370,45195,,\"SPX\")":1.1892679,"VMI-US^P_BETA_LOCIDX(45369,45194,,\"SPX\")":1.1865913,"VMI-US^P_BETA_LOCIDX(45366,45191,,\"SPX\")":1.1989683,"VMI-US^P_BETA_LOCIDX(45365,45190,,\"SPX\")":1.2344552,"VMI-US^P_BETA_LOCIDX(45364,45189,,\"SPX\")":1.1956744,"VMI-US^P_BETA_LOCIDX(45363,45188,,\"SPX\")":1.1912333,"VMI-US^P_BETA_LOCIDX(45362,45187,,\"SPX\")":1.2115821,"VMI-US^P_BETA_LOCIDX(45359,45184,,\"SPX\")":1.2061992,"VMI-US^P_BETA_LOCIDX(45358,45183,,\"SPX\")":1.231996,"VMI-US^P_BETA_LOCIDX(45357,45182,,\"SPX\")":1.2193093,"VMI-US^P_BETA_LOCIDX(45356,45181,,\"SPX\")":1.2099409,"VMI-US^P_BETA_LOCIDX(45355,45180,,\"SPX\")":1.2056737,"VMI-US^P_BETA_LOCIDX(45352,45177,,\"SPX\")":1.2051882,"VMI-US^P_BETA_LOCIDX(45351,45176,,\"SPX\")":1.2184216,"VMI-US^P_BETA_LOCIDX(45350,45175,,\"SPX\")":1.223943,"VMI-US^P_BETA_LOCIDX(45349,45174,,\"SPX\")":1.2471987,"VMI-US^P_BETA_LOCIDX(45348,45170,,\"SPX\")":1.2495005,"VMI-US^P_BETA_LOCIDX(45345,45169,,\"SPX\")":1.2407385,"VMI-US^P_BETA_LOCIDX(45344,45168,,\"SPX\")":1.2420845,"VMI-US^P_BETA_LOCIDX(45343,45167,,\"SPX\")":1.4120507,"VMI-US^P_BETA_LOCIDX(45342,45166,,\"SPX\")":1.4163771,"VMI-US^P_BETA_LOCIDX(45338,45163,,\"SPX\")":1.424898,"VMI-US^P_BETA_LOCIDX(45337,45162,,\"SPX\")":1.4138943,"VMI-US^P_BETA_LOCIDX(45336,45161,,\"SPX\")":1.3874594,"VMI-US^P_BETA_LOCIDX(45335,45160,,\"SPX\")":1.3786838,"VMI-US^P_BETA_LOCIDX(45334,45159,,\"SPX\")":1.3357788,"VMI-US^P_BETA_LOCIDX(45331,45156,,\"SPX\")":1.3307261,"VMI-US^P_BETA_LOCIDX(45330,45155,,\"SPX\")":1.3029795,"VMI-US^P_BETA_LOCIDX(45329,45154,,\"SPX\")":1.2808464,"VMI-US^P_BETA_LOCIDX(45328,45153,,\"SPX\")":1.2644361,"VMI-US^P_BETA_LOCIDX(45327,45152,,\"SPX\")":1.2547507,"VMI-US^P_BETA_LOCIDX(45324,45149,,\"SPX\")":1.2515175,"VMI-US^P_BETA_LOCIDX(45323,45148,,\"SPX\")":1.2819885,"VMI-US^P_BETA_LOCIDX(45322,45147,,\"SPX\")":1.2579116,"VMI-US^P_BETA_LOCIDX(45321,45146,,\"SPX\")":1.2827594,"VMI-US^P_BETA_LOCIDX(45320,45145,,\"SPX\")":1.2738096,"VMI-US^P_BETA_LOCIDX(45317,45142,,\"SPX\")":1.2672626,"VMI-US^P_BETA_LOCIDX(45316,45141,,\"SPX\")":1.2790519,"VMI-US^P_BETA_LOCIDX(45315,45140,,\"SPX\")":1.2636107,"VMI-US^P_BETA_LOCIDX(45314,45139,,\"SPX\")":1.2620071,"VMI-US^P_BETA_LOCIDX(45313,45138,,\"SPX\")":1.2652628,"VMI-US^P_BETA_LOCIDX(45310,45135,,\"SPX\")":1.2590438,"VMI-US^P_BETA_LOCIDX(45309,45134,,\"SPX\")":1.3497367,"VMI-US^P_BETA_LOCIDX(45308,45133,,\"SPX\")":1.3473384,"VMI-US^P_BETA_LOCIDX(45307,45132,,\"SPX\")":1.3519728,"VMI-US^P_BETA_LOCIDX(45303,45131,,\"SPX\")":1.361118,"VMI-US^P_BETA_LOCIDX(45302,45128,,\"SPX\")":1.3615093,"VMI-US^P_BETA_LOCIDX(45301,45127,,\"SPX\")":1.3490642,"VMI-US^P_BETA_LOCIDX(45300,45126,,\"SPX\")":1.3365284,"VMI-US^P_BETA_LOCIDX(45299,45125,,\"SPX\")":1.3397028,"VMI-US^P_BETA_LOCIDX(45296,45124,,\"SPX\")":1.3653563,"VMI-US^P_BETA_LOCIDX(45295,45121,,\"SPX\")":1.3632867,"VMI-US^P_BETA_LOCIDX(45294,45120,,\"SPX\")":1.3188632,"VMI-US^P_BETA_LOCIDX(45293,45119,,\"SPX\")":1.3082905,"VMI-US^P_BETA_LOCIDX(45289,45118,,\"SPX\")":1.2924788,"VMI-US^P_BETA_LOCIDX(45288,45117,,\"SPX\")":1.2954575,"VMI-US^P_BETA_LOCIDX(45287,45114,,\"SPX\")":1.2841352,"VMI-US^P_BETA_LOCIDX(45286,45113,,\"SPX\")":1.2734329,"VMI-US^P_BETA_LOCIDX(45282,45112,,\"SPX\")":1.2780614,"VMI-US^P_BETA_LOCIDX(45281,45110,,\"SPX\")":1.277006,"VMI-US^P_BETA_LOCIDX(45280,45107,,\"SPX\")":1.2434409,"VMI-US^P_BETA_LOCIDX(45279,45106,,\"SPX\")":1.2422017,"VMI-US^P_BETA_LOCIDX(45278,45105,,\"SPX\")":1.2277045,"VMI-US^P_BETA_LOCIDX(45275,45104,,\"SPX\")":1.2514871,"VMI-US^P_BETA_LOCIDX(45274,45103,,\"SPX\")":1.245958,"VMI-US^P_BETA_LOCIDX(45273,45100,,\"SPX\")":1.2111117,"VMI-US^P_BETA_LOCIDX(45272,45099,,\"SPX\")":1.246086,"VMI-US^P_BETA_LOCIDX(45271,45098,,\"SPX\")":1.1962475,"VMI-US^P_BETA_LOCIDX(45268,45097,,\"SPX\")":1.1911297,"VMI-US^P_BETA_LOCIDX(45267,45093,,\"SPX\")":1.1865426,"VMI-US^P_BETA_LOCIDX(45266,45092,,\"SPX\")":1.2059034,"VMI-US^P_BETA_LOCIDX(45265,45091,,\"SPX\")":1.2058872,"VMI-US^P_BETA_LOCIDX(45264,45090,,\"SPX\")":1.2067014,"VMI-US^P_BETA_LOCIDX(45261,45089,,\"SPX\")":1.2181256,"VMI-US^P_BETA_LOCIDX(45260,45086,,\"SPX\")":1.2059152,"VMI-US^P_BETA_LOCIDX(45259,45085,,\"SPX\")":1.1884857,"VMI-US^P_BETA_LOCIDX(45258,45084,,\"SPX\")":1.1880002,"VMI-US^P_BETA_LOCIDX(45257,45083,,\"SPX\")":1.1950071,"VMI-US^P_BETA_LOCIDX(45254,45082,,\"SPX\")":1.1956617,"VMI-US^P_BETA_LOCIDX(45252,45079,,\"SPX\")":1.2826266,"VMI-US^P_BETA_LOCIDX(45251,45078,,\"SPX\")":1.2769797,"VMI-US^P_BETA_LOCIDX(45250,45077,,\"SPX\")":1.2944919,"VMI-US^P_BETA_LOCIDX(45247,45076,,\"SPX\")":1.301462,"VMI-US^P_BETA_LOCIDX(45246,45072,,\"SPX\")":1.281725,"VMI-US^P_BETA_LOCIDX(45245,45071,,\"SPX\")":1.3005563,"VMI-US^P_BETA_LOCIDX(45244,45070,,\"SPX\")":1.3101549,"VMI-US^P_BETA_LOCIDX(45243,45069,,\"SPX\")":1.2498243,"VMI-US^P_BETA_LOCIDX(45240,45068,,\"SPX\")":1.2499193,"VMI-US^P_BETA_LOCIDX(45239,45065,,\"SPX\")":1.2376413,"VMI-US^P_BETA_LOCIDX(45238,45064,,\"SPX\")":1.2583297,"VMI-US^P_BETA_LOCIDX(45237,45063,,\"SPX\")":1.2644204,"VMI-US^P_BETA_LOCIDX(45236,45062,,\"SPX\")":1.2835557,"VMI-US^P_BETA_LOCIDX(45233,45061,,\"SPX\")":1.2920403,"VMI-US^P_BETA_LOCIDX(45232,45058,,\"SPX\")":1.285365,"VMI-US^P_BETA_LOCIDX(45231,45057,,\"SPX\")":1.3290391,"VMI-US^P_BETA_LOCIDX(45230,45056,,\"SPX\")":1.3364835,"VMI-US^P_BETA_LOCIDX(45229,45055,,\"SPX\")":1.315294,"VMI-US^P_BETA_LOCIDX(45226,45054,,\"SPX\")":1.295995,"VMI-US^P_BETA_LOCIDX(45225,45051,,\"SPX\")":1.2686543,"VMI-US^P_BETA_LOCIDX(45224,45050,,\"SPX\")":1.0625776,"VMI-US^P_BETA_LOCIDX(45223,45049,,\"SPX\")":1.0895972,"VMI-US^P_BETA_LOCIDX(45222,45048,,\"SPX\")":1.1049843,"VMI-US^P_BETA_LOCIDX(45219,45047,,\"SPX\")":1.1056358,"VMI-US^P_BETA_LOCIDX(45218,45044,,\"SPX\")":1.0754356,"VMI-US^P_BETA_LOCIDX(45217,45043,,\"SPX\")":1.1582114,"VMI-US^P_BETA_LOCIDX(45216,45042,,\"SPX\")":1.0348246,"VMI-US^P_BETA_LOCIDX(45215,45041,,\"SPX\")":1.0606619,"VMI-US^P_BETA_LOCIDX(45212,45040,,\"SPX\")":1.0321667,"VMI-US^P_BETA_LOCIDX(45211,45037,,\"SPX\")":1.0262169,"VMI-US^P_BETA_LOCIDX(45210,45036,,\"SPX\")":0.9880258,"VMI-US^P_BETA_LOCIDX(45209,45035,,\"SPX\")":0.9917055,"VMI-US^P_BETA_LOCIDX(45208,45034,,\"SPX\")":0.99502707,"VMI-US^P_BETA_LOCIDX(45205,45033,,\"SPX\")":0.9913482,"VMI-US^P_BETA_LOCIDX(45204,45030,,\"SPX\")":0.96618503,"VMI-US^P_BETA_LOCIDX(45203,45029,,\"SPX\")":0.96334994,"VMI-US^P_BETA_LOCIDX(45202,45028,,\"SPX\")":0.9677677,"VMI-US^P_BETA_LOCIDX(45201,45027,,\"SPX\")":0.9863664,"VMI-US^P_BETA_LOCIDX(45198,45026,,\"SPX\")":0.9879403,"VMI-US^P_BETA_LOCIDX(45197,45022,,\"SPX\")":0.98505896,"VMI-US^P_BETA_LOCIDX(45196,45021,,\"SPX\")":0.9972429,"VMI-US^P_BETA_LOCIDX(45195,45020,,\"SPX\")":1.047823,"VMI-US^P_BETA_LOCIDX(45194,45019,,\"SPX\")":1.0839155,"VMI-US^P_BETA_LOCIDX(45191,45016,,\"SPX\")":1.0733992,"VMI-US^P_BETA_LOCIDX(45190,45015,,\"SPX\")":1.0694177,"VMI-US^P_BETA_LOCIDX(45189,45014,,\"SPX\")":1.0415481,"VMI-US^P_BETA_LOCIDX(45188,45013,,\"SPX\")":1.0687531,"VMI-US^P_BETA_LOCIDX(45187,45012,,\"SPX\")":1.0764259,"VMI-US^P_BETA_LOCIDX(45184,45009,,\"SPX\")":1.0819885,"VMI-US^P_BETA_LOCIDX(45183,45008,,\"SPX\")":1.090057,"VMI-US^P_BETA_LOCIDX(45182,45007,,\"SPX\")":1.0920279,"VMI-US^P_BETA_LOCIDX(45181,45006,,\"SPX\")":1.1081583,"VMI-US^P_BETA_LOCIDX(45180,45005,,\"SPX\")":1.1415211,"VMI-US^P_BETA_LOCIDX(45177,45002,,\"SPX\")":1.1438496,"VMI-US^P_BETA_LOCIDX(45176,45001,,\"SPX\")":1.1421044,"VMI-US^P_BETA_LOCIDX(45175,45000,,\"SPX\")":1.1621686,"VMI-US^P_BETA_LOCIDX(45174,44999,,\"SPX\")":1.1753693,"VMI-US^P_BETA_LOCIDX(45170,44998,,\"SPX\")":1.1557803,"VMI-US^P_BETA_LOCIDX(45169,44995,,\"SPX\")":1.1718409,"VMI-US^P_BETA_LOCIDX(45168,44994,,\"SPX\")":1.1578152,"VMI-US^P_BETA_LOCIDX(45167,44993,,\"SPX\")":1.1564856,"VMI-US^P_BETA_LOCIDX(45166,44992,,\"SPX\")":1.1625804,"VMI-US^P_BETA_LOCIDX(45163,44991,,\"SPX\")":1.1567186,"VMI-US^P_BETA_LOCIDX(45162,44988,,\"SPX\")":1.163747,"VMI-US^P_BETA_LOCIDX(45161,44987,,\"SPX\")":1.163499,"VMI-US^P_BETA_LOCIDX(45160,44986,,\"SPX\")":1.170389,"VMI-US^P_BETA_LOCIDX(45159,44985,,\"SPX\")":1.1637207,"VMI-US^P_BETA_LOCIDX(45156,44984,,\"SPX\")":1.180084,"VMI-US^P_BETA_LOCIDX(45155,44981,,\"SPX\")":1.0998707,"VMI-US^P_BETA_LOCIDX(45154,44980,,\"SPX\")":1.079664,"VMI-US^P_BETA_LOCIDX(45153,44979,,\"SPX\")":1.0990449,"VMI-US^P_BETA_LOCIDX(45152,44978,,\"SPX\")":1.0898044,"VMI-US^P_BETA_LOCIDX(45149,44974,,\"SPX\")":1.0913011,"VMI-US^P_BETA_LOCIDX(45148,44973,,\"SPX\")":1.0448474,"VMI-US^P_BETA_LOCIDX(45147,44972,,\"SPX\")":1.0436375,"VMI-US^P_BETA_LOCIDX(45146,44971,,\"SPX\")":1.0572021,"VMI-US^P_BETA_LOCIDX(45145,44970,,\"SPX\")":1.0602412,"VMI-US^P_BETA_LOCIDX(45142,44967,,\"SPX\")":1.0622953,"VMI-US^P_BETA_LOCIDX(45141,44966,,\"SPX\")":1.0630741,"VMI-US^P_BETA_LOCIDX(45140,44965,,\"SPX\")":1.0401055,"VMI-US^P_BETA_LOCIDX(45139,44964,,\"SPX\")":1.0362448,"VMI-US^P_BETA_LOCIDX(45138,44963,,\"SPX\")":1.0412517,"VMI-US^P_BETA_LOCIDX(45135,44960,,\"SPX\")":1.0197074,"VMI-US^P_BETA_LOCIDX(45134,44959,,\"SPX\")":0.95889574,"VMI-US^P_BETA_LOCIDX(45133,44958,,\"SPX\")":0.89504236,"VMI-US^P_BETA_LOCIDX(45132,44957,,\"SPX\")":0.9275991,"VMI-US^P_BETA_LOCIDX(45131,44956,,\"SPX\")":0.93453455,"VMI-US^P_BETA_LOCIDX(45128,44953,,\"SPX\")":0.9263663,"VMI-US^P_BETA_LOCIDX(45127,44952,,\"SPX\")":0.9167537,"VMI-US^P_BETA_LOCIDX(45126,44951,,\"SPX\")":0.92332554,"VMI-US^P_BETA_LOCIDX(45125,44950,,\"SPX\")":0.92224723,"VMI-US^P_BETA_LOCIDX(45124,44949,,\"SPX\")":0.8932564,"VMI-US^P_BETA_LOCIDX(45121,44946,,\"SPX\")":0.9090275,"VMI-US^P_BETA_LOCIDX(45120,44945,,\"SPX\")":0.92993957,"VMI-US^P_BETA_LOCIDX(45119,44944,,\"SPX\")":0.9489647,"VMI-US^P_BETA_LOCIDX(45118,44943,,\"SPX\")":0.9353017,"VMI-US^P_BETA_LOCIDX(45117,44939,,\"SPX\")":0.95268035,"VMI-US^P_BETA_LOCIDX(45114,44938,,\"SPX\")":0.95887524,"VMI-US^P_BETA_LOCIDX(45113,44937,,\"SPX\")":0.96451354,"VMI-US^P_BETA_LOCIDX(45112,44936,,\"SPX\")":0.97423375,"VMI-US^P_BETA_LOCIDX(45110,44935,,\"SPX\")":0.9680308,"VMI-US^P_BETA_LOCIDX(45107,44932,,\"SPX\")":0.9821564,"VMI-US^P_BETA_LOCIDX(45106,44931,,\"SPX\")":0.99576974,"VMI-US^P_BETA_LOCIDX(45105,44930,,\"SPX\")":0.9949325,"VMI-US^P_BETA_LOCIDX(45104,44929,,\"SPX\")":0.9998667,"VMI-US^P_BETA_LOCIDX(45103,44925,,\"SPX\")":0.98495054,"VMI-US^P_BETA_LOCIDX(45100,44924,,\"SPX\")":0.9692882,"VMI-US^P_BETA_LOCIDX(45099,44923,,\"SPX\")":0.9873001,"VMI-US^P_BETA_LOCIDX(45098,44922,,\"SPX\")":0.9846477,"VMI-US^P_BETA_LOCIDX(45097,44918,,\"SPX\")":1.0250502,"VMI-US^P_BETA_LOCIDX(45093,44917,,\"SPX\")":1.0018678,"VMI-US^P_BETA_LOCIDX(45092,44916,,\"SPX\")":1.0083212,"VMI-US^P_BETA_LOCIDX(45091,44915,,\"SPX\")":1.0002539,"VMI-US^P_BETA_LOCIDX(45090,44914,,\"SPX\")":0.983994,"VMI-US^P_BETA_LOCIDX(45089,44911,,\"SPX\")":0.9675451,"VMI-US^P_BETA_LOCIDX(45086,44910,,\"SPX\")":0.97190833,"VMI-US^P_BETA_LOCIDX(45085,44909,,\"SPX\")":0.96575785,"VMI-US^P_BETA_LOCIDX(45084,44908,,\"SPX\")":0.9671914,"VMI-US^P_BETA_LOCIDX(45083,44907,,\"SPX\")":0.96104795,"VMI-US^P_BETA_LOCIDX(45082,44904,,\"SPX\")":0.9460394,"VMI-US^P_BETA_LOCIDX(45079,44903,,\"SPX\")":0.9415241,"VMI-US^P_BETA_LOCIDX(45078,44902,,\"SPX\")":0.888103,"VMI-US^P_BETA_LOCIDX(45077,44901,,\"SPX\")":0.8589816,"VMI-US^P_BETA_LOCIDX(45076,44900,,\"SPX\")":0.8963263,"VMI-US^P_BETA_LOCIDX(45072,44897,,\"SPX\")":0.8942137,"VMI-US^P_BETA_LOCIDX(45071,44896,,\"SPX\")":0.8994673,"VMI-US^P_BETA_LOCIDX(45070,44895,,\"SPX\")":0.90088737,"VMI-US^P_BETA_LOCIDX(45069,44894,,\"SPX\")":0.894007,"VMI-US^P_BETA_LOCIDX(45068,44893,,\"SPX\")":0.88921696,"VMI-US^P_BETA_LOCIDX(45065,44890,,\"SPX\")":0.88854676,"VMI-US^P_BETA_LOCIDX(45064,44888,,\"SPX\")":0.8879515,"VMI-US^P_BETA_LOCIDX(45063,44887,,\"SPX\")":0.9015551,"VMI-US^P_BETA_LOCIDX(45062,44886,,\"SPX\")":0.8941916,"VMI-US^P_BETA_LOCIDX(45061,44883,,\"SPX\")":0.8850294,"VMI-US^P_BETA_LOCIDX(45058,44882,,\"SPX\")":0.8769536,"VMI-US^P_BETA_LOCIDX(45057,44881,,\"SPX\")":0.8743959,"VMI-US^P_BETA_LOCIDX(45056,44880,,\"SPX\")":0.87108576,"VMI-US^P_BETA_LOCIDX(45055,44879,,\"SPX\")":0.8583921,"VMI-US^P_BETA_LOCIDX(45054,44876,,\"SPX\")":0.84447277,"VMI-US^P_BETA_LOCIDX(45051,44875,,\"SPX\")":0.7882902,"VMI-US^P_BETA_LOCIDX(45050,44874,,\"SPX\")":0.7683908,"VMI-US^P_BETA_LOCIDX(45049,44873,,\"SPX\")":0.7573338,"VMI-US^P_BETA_LOCIDX(45048,44872,,\"SPX\")":0.76097035,"VMI-US^P_BETA_LOCIDX(45047,44869,,\"SPX\")":0.76249796,"VMI-US^P_BETA_LOCIDX(45044,44868,,\"SPX\")":0.7502336,"VMI-US^P_BETA_LOCIDX(45043,44867,,\"SPX\")":0.7672128,"VMI-US^P_BETA_LOCIDX(45042,44866,,\"SPX\")":0.7650038,"VMI-US^P_BETA_LOCIDX(45041,44865,,\"SPX\")":0.7557477,"VMI-US^P_BETA_LOCIDX(45040,44862,,\"SPX\")":0.7353353,"VMI-US^P_BETA_LOCIDX(45037,44861,,\"SPX\")":0.7221784,"VMI-US^P_BETA_LOCIDX(45036,44860,,\"SPX\")":0.7236122,"VMI-US^P_BETA_LOCIDX(45035,44859,,\"SPX\")":0.7397224,"VMI-US^P_BETA_LOCIDX(45034,44858,,\"SPX\")":0.7468603,"VMI-US^P_BETA_LOCIDX(45033,44855,,\"SPX\")":0.7646476,"VMI-US^P_BETA_LOCIDX(45030,44854,,\"SPX\")":0.77273834,"VMI-US^P_BETA_LOCIDX(45029,44853,,\"SPX\")":0.7723606,"VMI-US^P_BETA_LOCIDX(45028,44852,,\"SPX\")":0.771165,"VMI-US^P_BETA_LOCIDX(45027,44851,,\"SPX\")":0.80478907,"VMI-US^P_BETA_LOCIDX(45026,44848,,\"SPX\")":0.81324,"VMI-US^P_BETA_LOCIDX(45022,44847,,\"SPX\")":0.8041943,"VMI-US^P_BETA_LOCIDX(45021,44846,,\"SPX\")":0.8074354,"VMI-US^P_BETA_LOCIDX(45020,44845,,\"SPX\")":0.7929969,"VMI-US^P_BETA_LOCIDX(45019,44844,,\"SPX\")":0.7706594,"VMI-US^P_BETA_LOCIDX(45016,44841,,\"SPX\")":0.77529925,"VMI-US^P_BETA_LOCIDX(45015,44840,,\"SPX\")":0.77423245,"VMI-US^P_BETA_LOCIDX(45014,44839,,\"SPX\")":0.7746775,"VMI-US^P_BETA_LOCIDX(45013,44838,,\"SPX\")":0.7691137,"VMI-US^P_BETA_LOCIDX(45012,44837,,\"SPX\")":0.80929077,"VMI-US^P_BETA_LOCIDX(45009,44834,,\"SPX\")":0.805682,"VMI-US^P_BETA_LOCIDX(45008,44833,,\"SPX\")":0.78852046,"VMI-US^P_BETA_LOCIDX(45007,44832,,\"SPX\")":0.7977908,"VMI-US^P_BETA_LOCIDX(45006,44831,,\"SPX\")":0.78695124,"VMI-US^P_BETA_LOCIDX(45005,44830,,\"SPX\")":0.77632135,"VMI-US^P_BETA_LOCIDX(45002,44827,,\"SPX\")":0.7849092,"VMI-US^P_BETA_LOCIDX(45001,44826,,\"SPX\")":0.78005683,"VMI-US^P_BETA_LOCIDX(45000,44825,,\"SPX\")":0.7729527,"VMI-US^P_BETA_LOCIDX(44999,44824,,\"SPX\")":0.7723987,"VMI-US^P_BETA_LOCIDX(44998,44823,,\"SPX\")":0.7658739,"VMI-US^P_BETA_LOCIDX(44995,44820,,\"SPX\")":0.7679823,"VMI-US^P_BETA_LOCIDX(44994,44819,,\"SPX\")":0.75960726,"VMI-US^P_BETA_LOCIDX(44993,44818,,\"SPX\")":0.753147,"VMI-US^P_BETA_LOCIDX(44992,44817,,\"SPX\")":0.7334068,"VMI-US^P_BETA_LOCIDX(44991,44816,,\"SPX\")":0.7245194,"VMI-US^P_BETA_LOCIDX(44988,44813,,\"SPX\")":0.725426,"VMI-US^P_BETA_LOCIDX(44987,44812,,\"SPX\")":0.7178501,"VMI-US^P_BETA_LOCIDX(44986,44811,,\"SPX\")":0.73519206,"VMI-US^P_BETA_LOCIDX(44985,44810,,\"SPX\")":0.73938966,"VMI-US^P_BETA_LOCIDX(44984,44806,,\"SPX\")":0.7463984,"VMI-US^P_BETA_LOCIDX(44981,44805,,\"SPX\")":0.74548274,"VMI-US^P_BETA_LOCIDX(44980,44804,,\"SPX\")":0.76849926,"VMI-US^P_BETA_LOCIDX(44979,44803,,\"SPX\")":0.78241104,"VMI-US^P_BETA_LOCIDX(44978,44802,,\"SPX\")":0.78427577,"VMI-US^P_BETA_LOCIDX(44974,44799,,\"SPX\")":0.76697004,"VMI-US^P_BETA_LOCIDX(44973,44798,,\"SPX\")":0.7649578,"VMI-US^P_BETA_LOCIDX(44972,44797,,\"SPX\")":0.7747055,"VMI-US^P_BETA_LOCIDX(44971,44796,,\"SPX\")":0.77380115,"VMI-US^P_BETA_LOCIDX(44970,44795,,\"SPX\")":0.7759105,"VMI-US^P_BETA_LOCIDX(44967,44792,,\"SPX\")":0.7705488,"VMI-US^P_BETA_LOCIDX(44966,44791,,\"SPX\")":0.7723304,"VMI-US^P_BETA_LOCIDX(44965,44790,,\"SPX\")":0.77316976,"VMI-US^P_BETA_LOCIDX(44964,44789,,\"SPX\")":0.77391344,"VMI-US^P_BETA_LOCIDX(44963,44788,,\"SPX\")":0.77555037,"VMI-US^P_BETA_LOCIDX(44960,44785,,\"SPX\")":0.78008825,"VMI-US^P_BETA_LOCIDX(44959,44784,,\"SPX\")":0.7835276,"VMI-US^P_BETA_LOCIDX(44958,44783,,\"SPX\")":0.809755,"VMI-US^P_BETA_LOCIDX(44957,44782,,\"SPX\")":0.81215584,"VMI-US^P_BETA_LOCIDX(44956,44781,,\"SPX\")":0.8013297,"VMI-US^P_BETA_LOCIDX(44953,44778,,\"SPX\")":0.7961024,"VMI-US^P_BETA_LOCIDX(44952,44777,,\"SPX\")":0.79742664,"VMI-US^P_BETA_LOCIDX(44951,44776,,\"SPX\")":0.7958091,"VMI-US^P_BETA_LOCIDX(44950,44775,,\"SPX\")":0.7982402,"VMI-US^P_BETA_LOCIDX(44949,44774,,\"SPX\")":0.7978024,"VMI-US^P_BETA_LOCIDX(44946,44771,,\"SPX\")":0.80542797,"VMI-US^P_BETA_LOCIDX(44945,44770,,\"SPX\")":0.81697977,"VMI-US^P_BETA_LOCIDX(44944,44769,,\"SPX\")":0.7904984,"VMI-US^P_BETA_LOCIDX(44943,44768,,\"SPX\")":0.7795692,"VMI-US^P_BETA_LOCIDX(44939,44767,,\"SPX\")":0.7786461,"VMI-US^P_BETA_LOCIDX(44938,44764,,\"SPX\")":0.7795569,"VMI-US^P_BETA_LOCIDX(44937,44763,,\"SPX\")":0.79575515,"VMI-US^P_BETA_LOCIDX(44936,44762,,\"SPX\")":0.8000386,"VMI-US^P_BETA_LOCIDX(44935,44761,,\"SPX\")":0.815352,"VMI-US^P_BETA_LOCIDX(44932,44760,,\"SPX\")":0.815437,"VMI-US^P_BETA_LOCIDX(44931,44757,,\"SPX\")":0.81779444,"VMI-US^P_BETA_LOCIDX(44930,44756,,\"SPX\")":0.8147872,"VMI-US^P_BETA_LOCIDX(44929,44755,,\"SPX\")":0.82055324,"VMI-US^P_BETA_LOCIDX(44925,44754,,\"SPX\")":0.8251923,"VMI-US^P_BETA_LOCIDX(44924,44753,,\"SPX\")":0.8235722,"VMI-US^P_BETA_LOCIDX(44923,44750,,\"SPX\")":0.8324402,"VMI-US^P_BETA_LOCIDX(44922,44749,,\"SPX\")":0.8308008,"VMI-US^P_BETA_LOCIDX(44918,44748,,\"SPX\")":0.83065873,"VMI-US^P_BETA_LOCIDX(44917,44747,,\"SPX\")":0.8297745,"VMI-US^P_BETA_LOCIDX(44916,44743,,\"SPX\")":0.83231825,"VMI-US^P_BETA_LOCIDX(44915,44742,,\"SPX\")":0.8261918,"VMI-US^P_BETA_LOCIDX(44914,44741,,\"SPX\")":0.82639533,"VMI-US^P_BETA_LOCIDX(44911,44740,,\"SPX\")":0.84078324,"VMI-US^P_BETA_LOCIDX(44910,44739,,\"SPX\")":0.8418374,"VMI-US^P_BETA_LOCIDX(44909,44736,,\"SPX\")":0.84024185,"VMI-US^P_BETA_LOCIDX(44908,44735,,\"SPX\")":0.83336556,"VMI-US^P_BETA_LOCIDX(44907,44734,,\"SPX\")":0.8359863,"VMI-US^P_BETA_LOCIDX(44904,44733,,\"SPX\")":0.8431091,"VMI-US^P_BETA_LOCIDX(44903,44729,,\"SPX\")":0.8455157,"VMI-US^P_BETA_LOCIDX(44902,44728,,\"SPX\")":0.88955337,"VMI-US^P_BETA_LOCIDX(44901,44727,,\"SPX\")":0.8797148,"VMI-US^P_BETA_LOCIDX(44900,44726,,\"SPX\")":0.889469,"VMI-US^P_BETA_LOCIDX(44897,44725,,\"SPX\")":0.88419867,"VMI-US^P_BETA_LOCIDX(44896,44722,,\"SPX\")":0.890743,"VMI-US^P_BETA_LOCIDX(44895,44721,,\"SPX\")":0.88624865,"VMI-US^P_BETA_LOCIDX(44894,44720,,\"SPX\")":0.88863075,"VMI-US^P_BETA_LOCIDX(44893,44719,,\"SPX\")":0.88539916,"VMI-US^P_BETA_LOCIDX(44890,44718,,\"SPX\")":0.8800681,"VMI-US^P_BETA_LOCIDX(44888,44715,,\"SPX\")":0.8697917,"VMI-US^P_BETA_LOCIDX(44887,44714,,\"SPX\")":0.87561196,"VMI-US^P_BETA_LOCIDX(44886,44713,,\"SPX\")":0.87661684,"VMI-US^P_BETA_LOCIDX(44883,44712,,\"SPX\")":0.8821597,"VMI-US^P_BETA_LOCIDX(44882,44708,,\"SPX\")":0.8825804,"VMI-US^P_BETA_LOCIDX(44881,44707,,\"SPX\")":0.8756329,"VMI-US^P_BETA_LOCIDX(44880,44706,,\"SPX\")":0.8781978,"VMI-US^P_BETA_LOCIDX(44879,44705,,\"SPX\")":0.8796688,"VMI-US^P_BETA_LOCIDX(44876,44704,,\"SPX\")":0.8869954,"VMI-US^P_BETA_LOCIDX(44875,44701,,\"SPX\")":0.89468384,"VMI-US^P_BETA_LOCIDX(44874,44700,,\"SPX\")":0.9389362,"VMI-US^P_BETA_LOCIDX(44873,44699,,\"SPX\")":0.9155308,"VMI-US^P_BETA_LOCIDX(44872,44698,,\"SPX\")":0.91486174,"VMI-US^P_BETA_LOCIDX(44869,44697,,\"SPX\")":0.9169415,"VMI-US^P_BETA_LOCIDX(44868,44694,,\"SPX\")":0.9019705,"VMI-US^P_BETA_LOCIDX(44867,44693,,\"SPX\")":0.9075203,"VMI-US^P_BETA_LOCIDX(44866,44692,,\"SPX\")":0.89151955,"VMI-US^P_BETA_LOCIDX(44865,44691,,\"SPX\")":0.8904278,"VMI-US^P_BETA_LOCIDX(44862,44690,,\"SPX\")":0.8984533,"VMI-US^P_BETA_LOCIDX(44861,44687,,\"SPX\")":0.90685815,"VMI-US^P_BETA_LOCIDX(44860,44686,,\"SPX\")":0.90851015,"VMI-US^P_BETA_LOCIDX(44859,44685,,\"SPX\")":0.9023417,"VMI-US^P_BETA_LOCIDX(44858,44684,,\"SPX\")":0.9027292,"VMI-US^P_BETA_LOCIDX(44855,44683,,\"SPX\")":0.9000867,"VMI-US^P_BETA_LOCIDX(44854,44680,,\"SPX\")":0.8767805,"VMI-US^P_BETA_LOCIDX(44853,44679,,\"SPX\")":0.85406786,"VMI-US^P_BETA_LOCIDX(44852,44678,,\"SPX\")":0.85303664,"VMI-US^P_BETA_LOCIDX(44851,44677,,\"SPX\")":0.86407375,"VMI-US^P_BETA_LOCIDX(44848,44676,,\"SPX\")":0.84735477,"VMI-US^P_BETA_LOCIDX(44847,44673,,\"SPX\")":0.8260285,"VMI-US^P_BETA_LOCIDX(44846,44672,,\"SPX\")":0.8040255,"VMI-US^P_BETA_LOCIDX(44845,44671,,\"SPX\")":0.80334127,"VMI-US^P_BETA_LOCIDX(44844,44670,,\"SPX\")":0.8098673,"VMI-US^P_BETA_LOCIDX(44841,44669,,\"SPX\")":0.8106415,"VMI-US^P_BETA_LOCIDX(44840,44665,,\"SPX\")":0.80756456,"VMI-US^P_BETA_LOCIDX(44839,44664,,\"SPX\")":0.8058027,"VMI-US^P_BETA_LOCIDX(44838,44663,,\"SPX\")":0.8051405,"VMI-US^P_BETA_LOCIDX(44837,44662,,\"SPX\")":0.80629754,"VMI-US^P_BETA_LOCIDX(44834,44659,,\"SPX\")":0.77881575,"VMI-US^P_BETA_LOCIDX(44833,44658,,\"SPX\")":0.7839358,"VMI-US^P_BETA_LOCIDX(44832,44657,,\"SPX\")":0.79540473,"VMI-US^P_BETA_LOCIDX(44831,44656,,\"SPX\")":0.8012879,"VMI-US^P_BETA_LOCIDX(44830,44655,,\"SPX\")":0.7956079,"VMI-US^P_BETA_LOCIDX(44827,44652,,\"SPX\")":0.80366015,"VMI-US^P_BETA_LOCIDX(44826,44651,,\"SPX\")":0.786019,"VMI-US^P_BETA_LOCIDX(44825,44650,,\"SPX\")":0.7884544,"VMI-US^P_BETA_LOCIDX(44824,44649,,\"SPX\")":0.7851377,"VMI-US^P_BETA_LOCIDX(44823,44648,,\"SPX\")":0.7778154,"VMI-US^P_BETA_LOCIDX(44820,44645,,\"SPX\")":0.7772321,"VMI-US^P_BETA_LOCIDX(44819,44644,,\"SPX\")":0.76672566,"VMI-US^P_BETA_LOCIDX(44818,44643,,\"SPX\")":0.7706627,"VMI-US^P_BETA_LOCIDX(44817,44642,,\"SPX\")":0.7737832,"VMI-US^P_BETA_LOCIDX(44816,44641,,\"SPX\")":0.7904485,"VMI-US^P_BETA_LOCIDX(44813,44638,,\"SPX\")":0.7937588,"VMI-US^P_BETA_LOCIDX(44812,44637,,\"SPX\")":0.79526097,"VMI-US^P_BETA_LOCIDX(44811,44636,,\"SPX\")":0.8005281,"VMI-US^P_BETA_LOCIDX(44810,44635,,\"SPX\")":0.7857548,"VMI-US^P_BETA_LOCIDX(44806,44634,,\"SPX\")":0.78781945,"VMI-US^P_BETA_LOCIDX(44805,44631,,\"SPX\")":0.7822366,"VMI-US^P_BETA_LOCIDX(44804,44630,,\"SPX\")":0.782065,"VMI-US^P_BETA_LOCIDX(44803,44629,,\"SPX\")":0.77482265,"VMI-US^P_BETA_LOCIDX(44802,44628,,\"SPX\")":0.7682529,"VMI-US^P_BETA_LOCIDX(44799,44627,,\"SPX\")":0.7397139,"VMI-US^P_BETA_LOCIDX(44798,44624,,\"SPX\")":0.7510895,"VMI-US^P_BETA_LOCIDX(44797,44623,,\"SPX\")":0.7527552,"VMI-US^P_BETA_LOCIDX(44796,44622,,\"SPX\")":0.77100694,"VMI-US^P_BETA_LOCIDX(44795,44621,,\"SPX\")":0.78534925,"VMI-US^P_BETA_LOCIDX(44792,44620,,\"SPX\")":0.7832853,"VMI-US^P_BETA_LOCIDX(44791,44617,,\"SPX\")":0.77992934,"VMI-US^P_BETA_LOCIDX(44790,44616,,\"SPX\")":0.78367066,"VMI-US^P_BETA_LOCIDX(44789,44615,,\"SPX\")":0.78998566,"VMI-US^P_BETA_LOCIDX(44788,44614,,\"SPX\")":0.7900322,"VMI-US^P_BETA_LOCIDX(44785,44610,,\"SPX\")":0.7957688,"VMI-US^P_BETA_LOCIDX(44784,44609,,\"SPX\")":0.79172975,"VMI-US^P_BETA_LOCIDX(44783,44608,,\"SPX\")":0.7917951,"VMI-US^P_BETA_LOCIDX(44782,44607,,\"SPX\")":0.7989376,"VMI-US^P_BETA_LOCIDX(44781,44606,,\"SPX\")":0.79799753,"VMI-US^P_BETA_LOCIDX(44778,44603,,\"SPX\")":0.7967641,"VMI-US^P_BETA_LOCIDX(44777,44602,,\"SPX\")":0.79935694,"VMI-US^P_BETA_LOCIDX(44776,44601,,\"SPX\")":0.807957,"VMI-US^P_BETA_LOCIDX(44775,44600,,\"SPX\")":0.81659675,"VMI-US^P_BETA_LOCIDX(44774,44599,,\"SPX\")":0.81523633,"VMI-US^P_BETA_LOCIDX(45845,45670,,\"SPX\")":1.0332052,"AYI-US^P_BETA_LOCIDX(45841,45665,,\"SPX\")":1.1982236,"AYI-US^P_BETA_LOCIDX(45840,45664,,\"SPX\")":1.2007276,"AYI-US^P_BETA_LOCIDX(45839,45663,,\"SPX\")":1.2041556,"AYI-US^P_BETA_LOCIDX(45838,45660,,\"SPX\")":1.2039014,"AYI-US^P_BETA_LOCIDX(45835,45659,,\"SPX\")":1.2051163,"AYI-US^P_BETA_LOCIDX(45834,45657,,\"SPX\")":1.2068954,"AYI-US^P_BETA_LOCIDX(45833,45656,,\"SPX\")":1.1935973,"AYI-US^P_BETA_LOCIDX(45832,45653,,\"SPX\")":1.1951578,"AYI-US^P_BETA_LOCIDX(45831,45652,,\"SPX\")":1.1951448,"AYI-US^P_BETA_LOCIDX(45828,45650,,\"SPX\")":1.1856611,"AYI-US^P_BETA_LOCIDX(45826,45649,,\"SPX\")":1.1824071,"AYI-US^P_BETA_LOCIDX(45825,45646,,\"SPX\")":1.1783092,"AYI-US^P_BETA_LOCIDX(45824,45645,,\"SPX\")":1.1840444,"AYI-US^P_BETA_LOCIDX(45821,45644,,\"SPX\")":1.1873641,"AYI-US^P_BETA_LOCIDX(45820,45643,,\"SPX\")":1.1891646,"AYI-US^P_BETA_LOCIDX(45819,45642,,\"SPX\")":1.1916214999999999,"AYI-US^P_BETA_LOCIDX(45818,45639,,\"SPX\")":1.1913953,"AYI-US^P_BETA_LOCIDX(45817,45638,,\"SPX\")":1.1868324,"AYI-US^P_BETA_LOCIDX(45814,45637,,\"SPX\")":1.1881894,"AYI-US^P_BETA_LOCIDX(45813,45636,,\"SPX\")":1.1859473,"AYI-US^P_BETA_LOCIDX(45812,45635,,\"SPX\")":1.1886083,"AYI-US^P_BETA_LOCIDX(45811,45632,,\"SPX\")":1.188818,"AYI-US^P_BETA_LOCIDX(45810,45631,,\"SPX\")":1.1841216,"AYI-US^P_BETA_LOCIDX(45807,45630,,\"SPX\")":1.1876265,"AYI-US^P_BETA_LOCIDX(45806,45629,,\"SPX\")":1.1877939,"AYI-US^P_BETA_LOCIDX(45805,45628,,\"SPX\")":1.1884811,"AYI-US^P_BETA_LOCIDX(45804,45625,,\"SPX\")":1.1875517,"AYI-US^P_BETA_LOCIDX(45800,45623,,\"SPX\")":1.1934011,"AYI-US^P_BETA_LOCIDX(45799,45622,,\"SPX\")":1.18861,"AYI-US^P_BETA_LOCIDX(45798,45621,,\"SPX\")":1.1896149,"AYI-US^P_BETA_LOCIDX(45797,45618,,\"SPX\")":1.1859405,"AYI-US^P_BETA_LOCIDX(45796,45617,,\"SPX\")":1.1878507,"AYI-US^P_BETA_LOCIDX(45793,45616,,\"SPX\")":1.1880486,"AYI-US^P_BETA_LOCIDX(45792,45615,,\"SPX\")":1.1854908,"AYI-US^P_BETA_LOCIDX(45791,45614,,\"SPX\")":1.1847136,"AYI-US^P_BETA_LOCIDX(45790,45611,,\"SPX\")":1.182389,"AYI-US^P_BETA_LOCIDX(45789,45610,,\"SPX\")":1.1806812,"AYI-US^P_BETA_LOCIDX(45786,45609,,\"SPX\")":1.1564243,"AYI-US^P_BETA_LOCIDX(45785,45608,,\"SPX\")":1.1564553,"AYI-US^P_BETA_LOCIDX(45784,45607,,\"SPX\")":1.1535614,"AYI-US^P_BETA_LOCIDX(45783,45604,,\"SPX\")":1.1556643,"AYI-US^P_BETA_LOCIDX(45782,45603,,\"SPX\")":1.1572019,"AYI-US^P_BETA_LOCIDX(45779,45602,,\"SPX\")":1.1513946,"AYI-US^P_BETA_LOCIDX(45778,45601,,\"SPX\")":1.1410142,"AYI-US^P_BETA_LOCIDX(45777,45600,,\"SPX\")":1.1432165,"AYI-US^P_BETA_LOCIDX(45776,45597,,\"SPX\")":1.1451066,"AYI-US^P_BETA_LOCIDX(45775,45596,,\"SPX\")":1.1349244,"AYI-US^P_BETA_LOCIDX(45772,45595,,\"SPX\")":1.1350092,"AYI-US^P_BETA_LOCIDX(45771,45594,,\"SPX\")":1.13698,"AYI-US^P_BETA_LOCIDX(45770,45593,,\"SPX\")":1.1249497,"AYI-US^P_BETA_LOCIDX(45769,45590,,\"SPX\")":1.1301066,"AYI-US^P_BETA_LOCIDX(45768,45589,,\"SPX\")":1.1434065,"AYI-US^P_BETA_LOCIDX(45764,45588,,\"SPX\")":1.1613889,"AYI-US^P_BETA_LOCIDX(45763,45587,,\"SPX\")":1.161038,"AYI-US^P_BETA_LOCIDX(45762,45586,,\"SPX\")":1.1590738,"AYI-US^P_BETA_LOCIDX(45761,45583,,\"SPX\")":1.1585971,"AYI-US^P_BETA_LOCIDX(45758,45582,,\"SPX\")":1.1624832,"AYI-US^P_BETA_LOCIDX(45757,45581,,\"SPX\")":1.1579674,"AYI-US^P_BETA_LOCIDX(45756,45580,,\"SPX\")":1.1483964,"AYI-US^P_BETA_LOCIDX(45755,45579,,\"SPX\")":1.188709,"AYI-US^P_BETA_LOCIDX(45754,45576,,\"SPX\")":1.2003672,"AYI-US^P_BETA_LOCIDX(45751,45575,,\"SPX\")":1.1994443,"AYI-US^P_BETA_LOCIDX(45750,45574,,\"SPX\")":1.0996646,"AYI-US^P_BETA_LOCIDX(45749,45573,,\"SPX\")":1.1767403,"AYI-US^P_BETA_LOCIDX(45748,45572,,\"SPX\")":1.1595341,"AYI-US^P_BETA_LOCIDX(45747,45569,,\"SPX\")":1.1782131,"AYI-US^P_BETA_LOCIDX(45744,45568,,\"SPX\")":1.1791586,"AYI-US^P_BETA_LOCIDX(45743,45567,,\"SPX\")":1.1837218,"AYI-US^P_BETA_LOCIDX(45742,45566,,\"SPX\")":1.0878607,"AYI-US^P_BETA_LOCIDX(45741,45565,,\"SPX\")":1.0908285,"AYI-US^P_BETA_LOCIDX(45740,45562,,\"SPX\")":1.0908105,"AYI-US^P_BETA_LOCIDX(45737,45561,,\"SPX\")":1.0481731,"AYI-US^P_BETA_LOCIDX(45736,45560,,\"SPX\")":1.0519414,"AYI-US^P_BETA_LOCIDX(45735,45559,,\"SPX\")":1.0528806,"AYI-US^P_BETA_LOCIDX(45734,45558,,\"SPX\")":1.0523851,"AYI-US^P_BETA_LOCIDX(45733,45555,,\"SPX\")":1.0515746,"AYI-US^P_BETA_LOCIDX(45730,45554,,\"SPX\")":1.0399365,"AYI-US^P_BETA_LOCIDX(45729,45553,,\"SPX\")":1.0424712,"AYI-US^P_BETA_LOCIDX(45728,45552,,\"SPX\")":1.0287406,"AYI-US^P_BETA_LOCIDX(45727,45551,,\"SPX\")":1.0425382,"AYI-US^P_BETA_LOCIDX(45726,45548,,\"SPX\")":1.0553426,"AYI-US^P_BETA_LOCIDX(45723,45547,,\"SPX\")":0.99070543,"AYI-US^P_BETA_LOCIDX(45722,45546,,\"SPX\")":0.9594136,"AYI-US^P_BETA_LOCIDX(45721,45545,,\"SPX\")":1.0308044,"AYI-US^P_BETA_LOCIDX(45720,45544,,\"SPX\")":1.0523573,"AYI-US^P_BETA_LOCIDX(45719,45541,,\"SPX\")":0.95861626,"AYI-US^P_BETA_LOCIDX(45716,45540,,\"SPX\")":0.91055185,"AYI-US^P_BETA_LOCIDX(45715,45539,,\"SPX\")":0.9546549,"AYI-US^P_BETA_LOCIDX(45714,45538,,\"SPX\")":0.9517462,"AYI-US^P_BETA_LOCIDX(45713,45534,,\"SPX\")":0.9624787,"AYI-US^P_BETA_LOCIDX(45712,45533,,\"SPX\")":0.968891,"AYI-US^P_BETA_LOCIDX(45709,45532,,\"SPX\")":0.9652744,"AYI-US^P_BETA_LOCIDX(45708,45531,,\"SPX\")":0.9113774,"AYI-US^P_BETA_LOCIDX(45707,45530,,\"SPX\")":0.8949756,"AYI-US^P_BETA_LOCIDX(45706,45527,,\"SPX\")":0.92497945,"AYI-US^P_BETA_LOCIDX(45702,45526,,\"SPX\")":0.9172729,"AYI-US^P_BETA_LOCIDX(45701,45525,,\"SPX\")":0.9225314,"AYI-US^P_BETA_LOCIDX(45700,45524,,\"SPX\")":0.9322169,"AYI-US^P_BETA_LOCIDX(45699,45523,,\"SPX\")":0.9351678,"AYI-US^P_BETA_LOCIDX(45698,45520,,\"SPX\")":0.93557894,"AYI-US^P_BETA_LOCIDX(45695,45519,,\"SPX\")":0.9578652,"AYI-US^P_BETA_LOCIDX(45694,45518,,\"SPX\")":0.9428508,"AYI-US^P_BETA_LOCIDX(45693,45517,,\"SPX\")":0.9592908,"AYI-US^P_BETA_LOCIDX(45692,45516,,\"SPX\")":0.95520306,"AYI-US^P_BETA_LOCIDX(45691,45513,,\"SPX\")":0.9582225,"AYI-US^P_BETA_LOCIDX(45688,45512,,\"SPX\")":0.9140753,"AYI-US^P_BETA_LOCIDX(45687,45511,,\"SPX\")":0.9132161,"AYI-US^P_BETA_LOCIDX(45686,45510,,\"SPX\")":0.89921373,"AYI-US^P_BETA_LOCIDX(45685,45509,,\"SPX\")":0.9148511,"AYI-US^P_BETA_LOCIDX(45684,45506,,\"SPX\")":0.97381157,"AYI-US^P_BETA_LOCIDX(45681,45505,,\"SPX\")":1.0182732,"AYI-US^P_BETA_LOCIDX(45680,45504,,\"SPX\")":1.0038553,"AYI-US^P_BETA_LOCIDX(45679,45503,,\"SPX\")":1.004492,"AYI-US^P_BETA_LOCIDX(45678,45502,,\"SPX\")":1.006988,"AYI-US^P_BETA_LOCIDX(45674,45499,,\"SPX\")":1.0027643,"AYI-US^P_BETA_LOCIDX(45673,45498,,\"SPX\")":1.0155436,"AYI-US^P_BETA_LOCIDX(45672,45497,,\"SPX\")":1.070455,"AYI-US^P_BETA_LOCIDX(45671,45496,,\"SPX\")":1.0836234,"AYI-US^P_BETA_LOCIDX(45670,45495,,\"SPX\")":1.0756012,"AYI-US^P_BETA_LOCIDX(45667,45492,,\"SPX\")":1.0789671,"AYI-US^P_BETA_LOCIDX(45665,45491,,\"SPX\")":1.0606053,"AYI-US^P_BETA_LOCIDX(45664,45490,,\"SPX\")":1.0967246,"AYI-US^P_BETA_LOCIDX(45663,45489,,\"SPX\")":1.1385083,"AYI-US^P_BETA_LOCIDX(45660,45488,,\"SPX\")":1.1365166,"AYI-US^P_BETA_LOCIDX(45659,45485,,\"SPX\")":1.141459,"AYI-US^P_BETA_LOCIDX(45657,45484,,\"SPX\")":1.1221672,"AYI-US^P_BETA_LOCIDX(45656,45483,,\"SPX\")":1.1181904,"AYI-US^P_BETA_LOCIDX(45653,45482,,\"SPX\")":1.1164724,"AYI-US^P_BETA_LOCIDX(45652,45481,,\"SPX\")":1.1087838,"AYI-US^P_BETA_LOCIDX(45650,45478,,\"SPX\")":1.0970856,"AYI-US^P_BETA_LOCIDX(45649,45476,,\"SPX\")":1.1043317,"AYI-US^P_BETA_LOCIDX(45646,45475,,\"SPX\")":1.1122334,"AYI-US^P_BETA_LOCIDX(45645,45474,,\"SPX\")":1.1257888,"AYI-US^P_BETA_LOCIDX(45644,45471,,\"SPX\")":1.1274728999999999,"AYI-US^P_BETA_LOCIDX(45643,45470,,\"SPX\")":1.1015902,"AYI-US^P_BETA_LOCIDX(45642,45469,,\"SPX\")":1.095068,"AYI-US^P_BETA_LOCIDX(45639,45468,,\"SPX\")":1.0890666,"AYI-US^P_BETA_LOCIDX(45638,45467,,\"SPX\")":1.0811778,"AYI-US^P_BETA_LOCIDX(45637,45464,,\"SPX\")":1.0901084,"AYI-US^P_BETA_LOCIDX(45636,45463,,\"SPX\")":1.0941774,"AYI-US^P_BETA_LOCIDX(45635,45461,,\"SPX\")":1.0845894,"AYI-US^P_BETA_LOCIDX(45632,45460,,\"SPX\")":1.0944312,"AYI-US^P_BETA_LOCIDX(45631,45457,,\"SPX\")":1.098609,"AYI-US^P_BETA_LOCIDX(45630,45456,,\"SPX\")":1.0950893,"AYI-US^P_BETA_LOCIDX(45629,45455,,\"SPX\")":1.1060109,"AYI-US^P_BETA_LOCIDX(45628,45454,,\"SPX\")":1.1029892,"AYI-US^P_BETA_LOCIDX(45625,45453,,\"SPX\")":1.1045545,"AYI-US^P_BETA_LOCIDX(45623,45450,,\"SPX\")":1.1083142,"AYI-US^P_BETA_LOCIDX(45622,45449,,\"SPX\")":1.106696,"AYI-US^P_BETA_LOCIDX(45621,45448,,\"SPX\")":1.1446991,"AYI-US^P_BETA_LOCIDX(45618,45447,,\"SPX\")":1.1420829,"AYI-US^P_BETA_LOCIDX(45617,45446,,\"SPX\")":1.1381706,"AYI-US^P_BETA_LOCIDX(45616,45443,,\"SPX\")":1.1343739,"AYI-US^P_BETA_LOCIDX(45615,45442,,\"SPX\")":1.1178104,"AYI-US^P_BETA_LOCIDX(45614,45441,,\"SPX\")":1.1199516,"AYI-US^P_BETA_LOCIDX(45611,45440,,\"SPX\")":1.1269621,"AYI-US^P_BETA_LOCIDX(45610,45436,,\"SPX\")":1.1249745,"AYI-US^P_BETA_LOCIDX(45609,45435,,\"SPX\")":1.1220907,"AYI-US^P_BETA_LOCIDX(45608,45434,,\"SPX\")":1.1232269,"AYI-US^P_BETA_LOCIDX(45607,45433,,\"SPX\")":1.123496,"AYI-US^P_BETA_LOCIDX(45604,45432,,\"SPX\")":1.1234636,"AYI-US^P_BETA_LOCIDX(45603,45429,,\"SPX\")":1.119235,"AYI-US^P_BETA_LOCIDX(45602,45428,,\"SPX\")":1.1194493,"AYI-US^P_BETA_LOCIDX(45601,45427,,\"SPX\")":1.1482335,"AYI-US^P_BETA_LOCIDX(45600,45426,,\"SPX\")":1.1339169,"AYI-US^P_BETA_LOCIDX(45597,45425,,\"SPX\")":1.1373897,"AYI-US^P_BETA_LOCIDX(45596,45422,,\"SPX\")":1.1309794,"AYI-US^P_BETA_LOCIDX(45595,45421,,\"SPX\")":1.177439,"AYI-US^P_BETA_LOCIDX(45594,45420,,\"SPX\")":1.1756849,"AYI-US^P_BETA_LOCIDX(45593,45419,,\"SPX\")":1.1766611,"AYI-US^P_BETA_LOCIDX(45590,45418,,\"SPX\")":1.1825229,"AYI-US^P_BETA_LOCIDX(45589,45415,,\"SPX\")":1.1857421,"AYI-US^P_BETA_LOCIDX(45588,45414,,\"SPX\")":1.1919122,"AYI-US^P_BETA_LOCIDX(45587,45413,,\"SPX\")":1.2139351,"AYI-US^P_BETA_LOCIDX(45586,45412,,\"SPX\")":1.216277,"AYI-US^P_BETA_LOCIDX(45583,45411,,\"SPX\")":1.211932,"AYI-US^P_BETA_LOCIDX(45582,45408,,\"SPX\")":1.2007132,"AYI-US^P_BETA_LOCIDX(45581,45407,,\"SPX\")":1.2016913,"AYI-US^P_BETA_LOCIDX(45580,45406,,\"SPX\")":1.2045145,"AYI-US^P_BETA_LOCIDX(45579,45405,,\"SPX\")":1.2088007,"AYI-US^P_BETA_LOCIDX(45576,45404,,\"SPX\")":1.2134316,"AYI-US^P_BETA_LOCIDX(45575,45401,,\"SPX\")":1.1888525,"AYI-US^P_BETA_LOCIDX(45574,45400,,\"SPX\")":1.1847442,"AYI-US^P_BETA_LOCIDX(45573,45399,,\"SPX\")":1.1971027,"AYI-US^P_BETA_LOCIDX(45572,45398,,\"SPX\")":1.21776,"AYI-US^P_BETA_LOCIDX(45569,45397,,\"SPX\")":1.2448399,"AYI-US^P_BETA_LOCIDX(45568,45394,,\"SPX\")":1.2461439,"AYI-US^P_BETA_LOCIDX(45567,45393,,\"SPX\")":1.234589,"AYI-US^P_BETA_LOCIDX(45566,45392,,\"SPX\")":1.222392,"AYI-US^P_BETA_LOCIDX(45565,45391,,\"SPX\")":1.3369111,"AYI-US^P_BETA_LOCIDX(45562,45390,,\"SPX\")":1.3329425,"AYI-US^P_BETA_LOCIDX(45561,45387,,\"SPX\")":1.3501867,"AYI-US^P_BETA_LOCIDX(45560,45386,,\"SPX\")":1.3252426,"AYI-US^P_BETA_LOCIDX(45559,45385,,\"SPX\")":1.3218368,"AYI-US^P_BETA_LOCIDX(45558,45384,,\"SPX\")":1.3237586,"AYI-US^P_BETA_LOCIDX(45555,45383,,\"SPX\")":1.3279716,"AYI-US^P_BETA_LOCIDX(45554,45379,,\"SPX\")":1.3293434,"AYI-US^P_BETA_LOCIDX(45553,45378,,\"SPX\")":1.3310751,"AYI-US^P_BETA_LOCIDX(45552,45377,,\"SPX\")":1.3333172,"AYI-US^P_BETA_LOCIDX(45551,45376,,\"SPX\")":1.3343885,"AYI-US^P_BETA_LOCIDX(45548,45373,,\"SPX\")":1.3336922,"AYI-US^P_BETA_LOCIDX(45547,45372,,\"SPX\")":1.3317498,"AYI-US^P_BETA_LOCIDX(45546,45371,,\"SPX\")":1.3189716,"AYI-US^P_BETA_LOCIDX(45545,45370,,\"SPX\")":1.3468559,"AYI-US^P_BETA_LOCIDX(45544,45369,,\"SPX\")":1.3493396,"AYI-US^P_BETA_LOCIDX(45541,45366,,\"SPX\")":1.3221711,"AYI-US^P_BETA_LOCIDX(45540,45365,,\"SPX\")":1.3855823,"AYI-US^P_BETA_LOCIDX(45539,45364,,\"SPX\")":1.3771783,"AYI-US^P_BETA_LOCIDX(45538,45363,,\"SPX\")":1.3800277,"AYI-US^P_BETA_LOCIDX(45534,45362,,\"SPX\")":1.3689412,"AYI-US^P_BETA_LOCIDX(45533,45359,,\"SPX\")":1.3628222,"AYI-US^P_BETA_LOCIDX(45532,45358,,\"SPX\")":1.3322836,"AYI-US^P_BETA_LOCIDX(45531,45357,,\"SPX\")":1.3397245,"AYI-US^P_BETA_LOCIDX(45530,45356,,\"SPX\")":1.3248719,"AYI-US^P_BETA_LOCIDX(45527,45355,,\"SPX\")":1.3269445,"AYI-US^P_BETA_LOCIDX(45526,45352,,\"SPX\")":1.2971375,"AYI-US^P_BETA_LOCIDX(45525,45351,,\"SPX\")":1.3124111,"AYI-US^P_BETA_LOCIDX(45524,45350,,\"SPX\")":1.3068955,"AYI-US^P_BETA_LOCIDX(45523,45349,,\"SPX\")":1.3097388,"AYI-US^P_BETA_LOCIDX(45520,45348,,\"SPX\")":1.3050545,"AYI-US^P_BETA_LOCIDX(45519,45345,,\"SPX\")":1.3042705,"AYI-US^P_BETA_LOCIDX(45518,45344,,\"SPX\")":1.2794508,"AYI-US^P_BETA_LOCIDX(45517,45343,,\"SPX\")":1.2822063,"AYI-US^P_BETA_LOCIDX(45516,45342,,\"SPX\")":1.2614207,"AYI-US^P_BETA_LOCIDX(45513,45338,,\"SPX\")":1.2610065,"AYI-US^P_BETA_LOCIDX(45512,45337,,\"SPX\")":1.2564576,"AYI-US^P_BETA_LOCIDX(45511,45336,,\"SPX\")":1.2917129,"AYI-US^P_BETA_LOCIDX(45510,45335,,\"SPX\")":1.3097979,"AYI-US^P_BETA_LOCIDX(45509,45334,,\"SPX\")":1.3204263,"AYI-US^P_BETA_LOCIDX(45506,45331,,\"SPX\")":1.3646538,"AYI-US^P_BETA_LOCIDX(45505,45330,,\"SPX\")":1.3271621,"AYI-US^P_BETA_LOCIDX(45504,45329,,\"SPX\")":1.2553915,"AYI-US^P_BETA_LOCIDX(45503,45328,,\"SPX\")":1.2776629,"AYI-US^P_BETA_LOCIDX(45502,45327,,\"SPX\")":1.2882111,"AYI-US^P_BETA_LOCIDX(45499,45324,,\"SPX\")":1.2607313,"AYI-US^P_BETA_LOCIDX(45498,45323,,\"SPX\")":1.2477648,"AYI-US^P_BETA_LOCIDX(45497,45322,,\"SPX\")":1.2473799,"AYI-US^P_BETA_LOCIDX(45496,45321,,\"SPX\")":1.1830916,"AYI-US^P_BETA_LOCIDX(45495,45320,,\"SPX\")":1.1856062,"AYI-US^P_BETA_LOCIDX(45492,45317,,\"SPX\")":1.1893768,"AYI-US^P_BETA_LOCIDX(45491,45316,,\"SPX\")":1.20714,"AYI-US^P_BETA_LOCIDX(45490,45315,,\"SPX\")":1.2130089,"AYI-US^P_BETA_LOCIDX(45489,45314,,\"SPX\")":1.1391356,"AYI-US^P_BETA_LOCIDX(45488,45313,,\"SPX\")":1.0677874,"AYI-US^P_BETA_LOCIDX(45485,45310,,\"SPX\")":1.0738647,"AYI-US^P_BETA_LOCIDX(45484,45309,,\"SPX\")":1.075703,"AYI-US^P_BETA_LOCIDX(45483,45308,,\"SPX\")":1.1228831,"AYI-US^P_BETA_LOCIDX(45482,45307,,\"SPX\")":1.1195723,"AYI-US^P_BETA_LOCIDX(45481,45303,,\"SPX\")":1.1186656,"AYI-US^P_BETA_LOCIDX(45478,45302,,\"SPX\")":1.1262347,"AYI-US^P_BETA_LOCIDX(45476,45301,,\"SPX\")":1.1461335,"AYI-US^P_BETA_LOCIDX(45475,45300,,\"SPX\")":1.0913694,"AYI-US^P_BETA_LOCIDX(45474,45299,,\"SPX\")":1.0422657,"AYI-US^P_BETA_LOCIDX(45471,45296,,\"SPX\")":1.043759,"AYI-US^P_BETA_LOCIDX(45470,45295,,\"SPX\")":1.0304961,"AYI-US^P_BETA_LOCIDX(45469,45294,,\"SPX\")":1.0316259,"AYI-US^P_BETA_LOCIDX(45468,45293,,\"SPX\")":1.0359036,"AYI-US^P_BETA_LOCIDX(45467,45289,,\"SPX\")":1.0455828,"AYI-US^P_BETA_LOCIDX(45464,45288,,\"SPX\")":1.0572404,"AYI-US^P_BETA_LOCIDX(45463,45287,,\"SPX\")":1.0451645,"AYI-US^P_BETA_LOCIDX(45461,45286,,\"SPX\")":1.0355954,"AYI-US^P_BETA_LOCIDX(45460,45282,,\"SPX\")":1.0450239,"AYI-US^P_BETA_LOCIDX(45457,45281,,\"SPX\")":0.9949092,"AYI-US^P_BETA_LOCIDX(45456,45280,,\"SPX\")":0.94923455,"AYI-US^P_BETA_LOCIDX(45455,45279,,\"SPX\")":0.94390553,"AYI-US^P_BETA_LOCIDX(45454,45278,,\"SPX\")":0.9181266,"AYI-US^P_BETA_LOCIDX(45453,45275,,\"SPX\")":0.9242679,"AYI-US^P_BETA_LOCIDX(45450,45274,,\"SPX\")":0.9341652,"AYI-US^P_BETA_LOCIDX(45449,45273,,\"SPX\")":0.9544552,"AYI-US^P_BETA_LOCIDX(45448,45272,,\"SPX\")":0.94760716,"AYI-US^P_BETA_LOCIDX(45447,45271,,\"SPX\")":0.9117478,"AYI-US^P_BETA_LOCIDX(45446,45268,,\"SPX\")":0.9126698,"AYI-US^P_BETA_LOCIDX(45443,45267,,\"SPX\")":0.91192126,"AYI-US^P_BETA_LOCIDX(45442,45266,,\"SPX\")":0.89182633,"AYI-US^P_BETA_LOCIDX(45441,45265,,\"SPX\")":0.9179243,"AYI-US^P_BETA_LOCIDX(45440,45264,,\"SPX\")":0.91256833,"AYI-US^P_BETA_LOCIDX(45436,45261,,\"SPX\")":0.91622543,"AYI-US^P_BETA_LOCIDX(45435,45260,,\"SPX\")":0.92670345,"AYI-US^P_BETA_LOCIDX(45434,45259,,\"SPX\")":0.9307422,"AYI-US^P_BETA_LOCIDX(45433,45258,,\"SPX\")":0.92872316,"AYI-US^P_BETA_LOCIDX(45432,45257,,\"SPX\")":0.920984,"AYI-US^P_BETA_LOCIDX(45429,45254,,\"SPX\")":0.921571,"AYI-US^P_BETA_LOCIDX(45428,45252,,\"SPX\")":0.91654754,"AYI-US^P_BETA_LOCIDX(45427,45251,,\"SPX\")":0.91107494,"AYI-US^P_BETA_LOCIDX(45426,45250,,\"SPX\")":0.8953866,"AYI-US^P_BETA_LOCIDX(45425,45247,,\"SPX\")":0.89744097,"AYI-US^P_BETA_LOCIDX(45422,45246,,\"SPX\")":0.8940465,"AYI-US^P_BETA_LOCIDX(45421,45245,,\"SPX\")":0.8941067,"AYI-US^P_BETA_LOCIDX(45420,45244,,\"SPX\")":0.94955397,"AYI-US^P_BETA_LOCIDX(45419,45243,,\"SPX\")":0.9503974,"AYI-US^P_BETA_LOCIDX(45418,45240,,\"SPX\")":0.9962913,"AYI-US^P_BETA_LOCIDX(45415,45239,,\"SPX\")":0.9818018,"AYI-US^P_BETA_LOCIDX(45414,45238,,\"SPX\")":0.9795823,"AYI-US^P_BETA_LOCIDX(45413,45237,,\"SPX\")":0.96954197,"AYI-US^P_BETA_LOCIDX(45412,45236,,\"SPX\")":0.9621746,"AYI-US^P_BETA_LOCIDX(45411,45233,,\"SPX\")":0.94893855,"AYI-US^P_BETA_LOCIDX(45408,45232,,\"SPX\")":0.9719878,"AYI-US^P_BETA_LOCIDX(45407,45231,,\"SPX\")":0.97162503,"AYI-US^P_BETA_LOCIDX(45406,45230,,\"SPX\")":0.9751787,"AYI-US^P_BETA_LOCIDX(45405,45229,,\"SPX\")":0.9587869,"AYI-US^P_BETA_LOCIDX(45404,45226,,\"SPX\")":0.94729096,"AYI-US^P_BETA_LOCIDX(45401,45225,,\"SPX\")":0.9355472,"AYI-US^P_BETA_LOCIDX(45400,45224,,\"SPX\")":0.95971733,"AYI-US^P_BETA_LOCIDX(45399,45223,,\"SPX\")":0.9326297,"AYI-US^P_BETA_LOCIDX(45398,45222,,\"SPX\")":0.927909,"AYI-US^P_BETA_LOCIDX(45397,45219,,\"SPX\")":0.8815737,"AYI-US^P_BETA_LOCIDX(45394,45218,,\"SPX\")":0.8866834,"AYI-US^P_BETA_LOCIDX(45393,45217,,\"SPX\")":0.9641355,"AYI-US^P_BETA_LOCIDX(45392,45216,,\"SPX\")":0.9758626,"AYI-US^P_BETA_LOCIDX(45391,45215,,\"SPX\")":0.9766292,"AYI-US^P_BETA_LOCIDX(45390,45212,,\"SPX\")":0.97943234,"AYI-US^P_BETA_LOCIDX(45387,45211,,\"SPX\")":0.985043,"AYI-US^P_BETA_LOCIDX(45386,45210,,\"SPX\")":0.96735936,"AYI-US^P_BETA_LOCIDX(45385,45209,,\"SPX\")":0.97735006,"AYI-US^P_BETA_LOCIDX(45384,45208,,\"SPX\")":0.9681214,"AYI-US^P_BETA_LOCIDX(45383,45205,,\"SPX\")":0.9607203,"AYI-US^P_BETA_LOCIDX(45379,45204,,\"SPX\")":0.9529708,"AYI-US^P_BETA_LOCIDX(45378,45203,,\"SPX\")":1.0134801,"AYI-US^P_BETA_LOCIDX(45377,45202,,\"SPX\")":0.99545664,"AYI-US^P_BETA_LOCIDX(45376,45201,,\"SPX\")":1.0050648,"AYI-US^P_BETA_LOCIDX(45373,45198,,\"SPX\")":0.9998776,"AYI-US^P_BETA_LOCIDX(45372,45197,,\"SPX\")":1.004551,"AYI-US^P_BETA_LOCIDX(45371,45196,,\"SPX\")":1.000522,"AYI-US^P_BETA_LOCIDX(45370,45195,,\"SPX\")":0.98162234,"AYI-US^P_BETA_LOCIDX(45369,45194,,\"SPX\")":0.98442,"AYI-US^P_BETA_LOCIDX(45366,45191,,\"SPX\")":0.9765585,"AYI-US^P_BETA_LOCIDX(45365,45190,,\"SPX\")":0.967603,"AYI-US^P_BETA_LOCIDX(45364,45189,,\"SPX\")":0.96806043,"AYI-US^P_BETA_LOCIDX(45363,45188,,\"SPX\")":0.9655805,"AYI-US^P_BETA_LOCIDX(45362,45187,,\"SPX\")":0.96054,"AYI-US^P_BETA_LOCIDX(45359,45184,,\"SPX\")":0.9533682,"AYI-US^P_BETA_LOCIDX(45358,45183,,\"SPX\")":0.9416071,"AYI-US^P_BETA_LOCIDX(45357,45182,,\"SPX\")":0.9754001,"AYI-US^P_BETA_LOCIDX(45356,45181,,\"SPX\")":0.9669563,"AYI-US^P_BETA_LOCIDX(45355,45180,,\"SPX\")":0.9591294,"AYI-US^P_BETA_LOCIDX(45352,45177,,\"SPX\")":0.96640104,"AYI-US^P_BETA_LOCIDX(45351,45176,,\"SPX\")":0.98753667,"AYI-US^P_BETA_LOCIDX(45350,45175,,\"SPX\")":0.9834065,"AYI-US^P_BETA_LOCIDX(45349,45174,,\"SPX\")":0.9951663,"AYI-US^P_BETA_LOCIDX(45348,45170,,\"SPX\")":0.99503195,"AYI-US^P_BETA_LOCIDX(45345,45169,,\"SPX\")":0.9935894,"AYI-US^P_BETA_LOCIDX(45344,45168,,\"SPX\")":0.9891746,"AYI-US^P_BETA_LOCIDX(45343,45167,,\"SPX\")":0.9967217,"AYI-US^P_BETA_LOCIDX(45342,45166,,\"SPX\")":0.99860275,"AYI-US^P_BETA_LOCIDX(45338,45163,,\"SPX\")":0.9875807,"AYI-US^P_BETA_LOCIDX(45337,45162,,\"SPX\")":0.9929009,"AYI-US^P_BETA_LOCIDX(45336,45161,,\"SPX\")":0.99430084,"AYI-US^P_BETA_LOCIDX(45335,45160,,\"SPX\")":0.96958214,"AYI-US^P_BETA_LOCIDX(45334,45159,,\"SPX\")":0.9388135,"AYI-US^P_BETA_LOCIDX(45331,45156,,\"SPX\")":0.9409272,"AYI-US^P_BETA_LOCIDX(45330,45155,,\"SPX\")":0.9442596,"AYI-US^P_BETA_LOCIDX(45329,45154,,\"SPX\")":0.95243007,"AYI-US^P_BETA_LOCIDX(45328,45153,,\"SPX\")":0.989681,"AYI-US^P_BETA_LOCIDX(45327,45152,,\"SPX\")":0.9874531,"AYI-US^P_BETA_LOCIDX(45324,45149,,\"SPX\")":0.98511076,"AYI-US^P_BETA_LOCIDX(45323,45148,,\"SPX\")":1.0080922,"AYI-US^P_BETA_LOCIDX(45322,45147,,\"SPX\")":1.0234016,"AYI-US^P_BETA_LOCIDX(45321,45146,,\"SPX\")":1.0159938,"AYI-US^P_BETA_LOCIDX(45320,45145,,\"SPX\")":1.0197228,"AYI-US^P_BETA_LOCIDX(45317,45142,,\"SPX\")":1.0264721,"AYI-US^P_BETA_LOCIDX(45316,45141,,\"SPX\")":1.0304747,"AYI-US^P_BETA_LOCIDX(45315,45140,,\"SPX\")":0.9753298,"AYI-US^P_BETA_LOCIDX(45314,45139,,\"SPX\")":0.973178,"AYI-US^P_BETA_LOCIDX(45313,45138,,\"SPX\")":0.97563636,"AYI-US^P_BETA_LOCIDX(45310,45135,,\"SPX\")":0.97470737,"AYI-US^P_BETA_LOCIDX(45309,45134,,\"SPX\")":0.9524458,"AYI-US^P_BETA_LOCIDX(45308,45133,,\"SPX\")":0.9536365,"AYI-US^P_BETA_LOCIDX(45307,45132,,\"SPX\")":0.9512785,"AYI-US^P_BETA_LOCIDX(45303,45131,,\"SPX\")":0.94271916,"AYI-US^P_BETA_LOCIDX(45302,45128,,\"SPX\")":0.94326055,"AYI-US^P_BETA_LOCIDX(45301,45127,,\"SPX\")":0.9410152,"AYI-US^P_BETA_LOCIDX(45300,45126,,\"SPX\")":0.93768513,"AYI-US^P_BETA_LOCIDX(45299,45125,,\"SPX\")":0.9769896,"AYI-US^P_BETA_LOCIDX(45296,45124,,\"SPX\")":1.0160102,"AYI-US^P_BETA_LOCIDX(45295,45121,,\"SPX\")":1.0183313,"AYI-US^P_BETA_LOCIDX(45294,45120,,\"SPX\")":1.023133,"AYI-US^P_BETA_LOCIDX(45293,45119,,\"SPX\")":1.0183511,"AYI-US^P_BETA_LOCIDX(45289,45118,,\"SPX\")":1.0120323,"AYI-US^P_BETA_LOCIDX(45288,45117,,\"SPX\")":1.0169675,"AYI-US^P_BETA_LOCIDX(45287,45114,,\"SPX\")":0.99986243,"AYI-US^P_BETA_LOCIDX(45286,45113,,\"SPX\")":1.0100245,"AYI-US^P_BETA_LOCIDX(45282,45112,,\"SPX\")":1.0181401,"AYI-US^P_BETA_LOCIDX(45281,45110,,\"SPX\")":1.0177557,"AYI-US^P_BETA_LOCIDX(45280,45107,,\"SPX\")":1.0265708,"AYI-US^P_BETA_LOCIDX(45279,45106,,\"SPX\")":1.063476,"AYI-US^P_BETA_LOCIDX(45278,45105,,\"SPX\")":1.0693605,"AYI-US^P_BETA_LOCIDX(45275,45104,,\"SPX\")":1.0651604,"AYI-US^P_BETA_LOCIDX(45274,45103,,\"SPX\")":1.0609696,"AYI-US^P_BETA_LOCIDX(45273,45100,,\"SPX\")":1.0186442,"AYI-US^P_BETA_LOCIDX(45272,45099,,\"SPX\")":0.9797304,"AYI-US^P_BETA_LOCIDX(45271,45098,,\"SPX\")":0.9853729,"AYI-US^P_BETA_LOCIDX(45268,45097,,\"SPX\")":0.98670816,"AYI-US^P_BETA_LOCIDX(45267,45093,,\"SPX\")":0.99941987,"AYI-US^P_BETA_LOCIDX(45266,45092,,\"SPX\")":1.009698,"AYI-US^P_BETA_LOCIDX(45265,45091,,\"SPX\")":1.0256183,"AYI-US^P_BETA_LOCIDX(45264,45090,,\"SPX\")":1.0396401,"AYI-US^P_BETA_LOCIDX(45261,45089,,\"SPX\")":1.0527074,"AYI-US^P_BETA_LOCIDX(45260,45086,,\"SPX\")":1.0410461,"AYI-US^P_BETA_LOCIDX(45259,45085,,\"SPX\")":1.012234,"AYI-US^P_BETA_LOCIDX(45258,45084,,\"SPX\")":0.9916831,"AYI-US^P_BETA_LOCIDX(45257,45083,,\"SPX\")":0.9993019,"AYI-US^P_BETA_LOCIDX(45254,45082,,\"SPX\")":1.0108864,"AYI-US^P_BETA_LOCIDX(45252,45079,,\"SPX\")":1.0716897,"AYI-US^P_BETA_LOCIDX(45251,45078,,\"SPX\")":1.0821502,"AYI-US^P_BETA_LOCIDX(45250,45077,,\"SPX\")":1.0957501,"AYI-US^P_BETA_LOCIDX(45247,45076,,\"SPX\")":1.1090665,"AYI-US^P_BETA_LOCIDX(45246,45072,,\"SPX\")":1.0950706,"AYI-US^P_BETA_LOCIDX(45245,45071,,\"SPX\")":1.0897317,"AYI-US^P_BETA_LOCIDX(45244,45070,,\"SPX\")":1.1157272,"AYI-US^P_BETA_LOCIDX(45243,45069,,\"SPX\")":1.0543509,"AYI-US^P_BETA_LOCIDX(45240,45068,,\"SPX\")":1.0548334,"AYI-US^P_BETA_LOCIDX(45239,45065,,\"SPX\")":1.0119945,"AYI-US^P_BETA_LOCIDX(45238,45064,,\"SPX\")":1.0208504,"AYI-US^P_BETA_LOCIDX(45237,45063,,\"SPX\")":1.0416789,"AYI-US^P_BETA_LOCIDX(45236,45062,,\"SPX\")":1.0588104,"AYI-US^P_BETA_LOCIDX(45233,45061,,\"SPX\")":1.0632763,"AYI-US^P_BETA_LOCIDX(45232,45058,,\"SPX\")":1.0469316,"AYI-US^P_BETA_LOCIDX(45231,45057,,\"SPX\")":1.0229794,"AYI-US^P_BETA_LOCIDX(45230,45056,,\"SPX\")":1.0328599,"AYI-US^P_BETA_LOCIDX(45229,45055,,\"SPX\")":1.0237821,"AYI-US^P_BETA_LOCIDX(45226,45054,,\"SPX\")":1.0363259,"AYI-US^P_BETA_LOCIDX(45225,45051,,\"SPX\")":1.0368445,"AYI-US^P_BETA_LOCIDX(45224,45050,,\"SPX\")":1.084887,"AYI-US^P_BETA_LOCIDX(45223,45049,,\"SPX\")":1.0628701,"AYI-US^P_BETA_LOCIDX(45222,45048,,\"SPX\")":1.0654649,"AYI-US^P_BETA_LOCIDX(45219,45047,,\"SPX\")":1.0615902,"AYI-US^P_BETA_LOCIDX(45218,45044,,\"SPX\")":1.1192774,"AYI-US^P_BETA_LOCIDX(45217,45043,,\"SPX\")":1.0660158,"AYI-US^P_BETA_LOCIDX(45216,45042,,\"SPX\")":0.9648336,"AYI-US^P_BETA_LOCIDX(45215,45041,,\"SPX\")":0.98981005,"AYI-US^P_BETA_LOCIDX(45212,45040,,\"SPX\")":0.9991827,"AYI-US^P_BETA_LOCIDX(45211,45037,,\"SPX\")":0.9969022,"AYI-US^P_BETA_LOCIDX(45210,45036,,\"SPX\")":1.0006568,"AYI-US^P_BETA_LOCIDX(45209,45035,,\"SPX\")":0.99314314,"AYI-US^P_BETA_LOCIDX(45208,45034,,\"SPX\")":1.0061319,"AYI-US^P_BETA_LOCIDX(45205,45033,,\"SPX\")":1.0221735,"AYI-US^P_BETA_LOCIDX(45204,45030,,\"SPX\")":1.021218,"AYI-US^P_BETA_LOCIDX(45203,45029,,\"SPX\")":0.98714334,"AYI-US^P_BETA_LOCIDX(45202,45028,,\"SPX\")":0.9099128,"AYI-US^P_BETA_LOCIDX(45201,45027,,\"SPX\")":0.93979484,"AYI-US^P_BETA_LOCIDX(45198,45026,,\"SPX\")":0.938662,"AYI-US^P_BETA_LOCIDX(45197,45022,,\"SPX\")":0.92909724,"AYI-US^P_BETA_LOCIDX(45196,45021,,\"SPX\")":0.9196925,"AYI-US^P_BETA_LOCIDX(45195,45020,,\"SPX\")":1.0209793,"AYI-US^P_BETA_LOCIDX(45194,45019,,\"SPX\")":1.0506076,"AYI-US^P_BETA_LOCIDX(45191,45016,,\"SPX\")":1.0630409,"AYI-US^P_BETA_LOCIDX(45190,45015,,\"SPX\")":1.0714236,"AYI-US^P_BETA_LOCIDX(45189,45014,,\"SPX\")":1.1170365,"AYI-US^P_BETA_LOCIDX(45188,45013,,\"SPX\")":1.1187147,"AYI-US^P_BETA_LOCIDX(45187,45012,,\"SPX\")":1.123584,"AYI-US^P_BETA_LOCIDX(45184,45009,,\"SPX\")":1.1010323,"AYI-US^P_BETA_LOCIDX(45183,45008,,\"SPX\")":1.1159225,"AYI-US^P_BETA_LOCIDX(45182,45007,,\"SPX\")":1.1424264,"AYI-US^P_BETA_LOCIDX(45181,45006,,\"SPX\")":1.1007788,"AYI-US^P_BETA_LOCIDX(45180,45005,,\"SPX\")":1.1230814,"AYI-US^P_BETA_LOCIDX(45177,45002,,\"SPX\")":1.1717665,"AYI-US^P_BETA_LOCIDX(45176,45001,,\"SPX\")":1.1705328,"AYI-US^P_BETA_LOCIDX(45175,45000,,\"SPX\")":1.1908522,"AYI-US^P_BETA_LOCIDX(45174,44999,,\"SPX\")":1.2317206,"AYI-US^P_BETA_LOCIDX(45170,44998,,\"SPX\")":1.2292056,"AYI-US^P_BETA_LOCIDX(45169,44995,,\"SPX\")":1.2716119,"AYI-US^P_BETA_LOCIDX(45168,44994,,\"SPX\")":1.2322644,"AYI-US^P_BETA_LOCIDX(45167,44993,,\"SPX\")":1.2362819,"AYI-US^P_BETA_LOCIDX(45166,44992,,\"SPX\")":1.1793119,"AYI-US^P_BETA_LOCIDX(45163,44991,,\"SPX\")":1.175265,"AYI-US^P_BETA_LOCIDX(45162,44988,,\"SPX\")":1.1740353,"AYI-US^P_BETA_LOCIDX(45161,44987,,\"SPX\")":1.1833655,"AYI-US^P_BETA_LOCIDX(45160,44986,,\"SPX\")":1.1824671,"AYI-US^P_BETA_LOCIDX(45159,44985,,\"SPX\")":1.1795785,"AYI-US^P_BETA_LOCIDX(45156,44984,,\"SPX\")":1.1765387,"AYI-US^P_BETA_LOCIDX(45155,44981,,\"SPX\")":1.1732718,"AYI-US^P_BETA_LOCIDX(45154,44980,,\"SPX\")":1.1898465,"AYI-US^P_BETA_LOCIDX(45153,44979,,\"SPX\")":1.1897266,"AYI-US^P_BETA_LOCIDX(45152,44978,,\"SPX\")":1.1701167,"AYI-US^P_BETA_LOCIDX(45149,44974,,\"SPX\")":1.1632569,"AYI-US^P_BETA_LOCIDX(45148,44973,,\"SPX\")":1.1312755,"AYI-US^P_BETA_LOCIDX(45147,44972,,\"SPX\")":1.1330086,"AYI-US^P_BETA_LOCIDX(45146,44971,,\"SPX\")":1.1342257,"AYI-US^P_BETA_LOCIDX(45145,44970,,\"SPX\")":1.1389428,"AYI-US^P_BETA_LOCIDX(45142,44967,,\"SPX\")":1.1347984,"AYI-US^P_BETA_LOCIDX(45141,44966,,\"SPX\")":1.14963,"AYI-US^P_BETA_LOCIDX(45140,44965,,\"SPX\")":1.1525367,"AYI-US^P_BETA_LOCIDX(45139,44964,,\"SPX\")":1.2007374,"AYI-US^P_BETA_LOCIDX(45138,44963,,\"SPX\")":1.197256,"AYI-US^P_BETA_LOCIDX(45135,44960,,\"SPX\")":1.1656266,"AYI-US^P_BETA_LOCIDX(45134,44959,,\"SPX\")":1.1209149,"AYI-US^P_BETA_LOCIDX(45133,44958,,\"SPX\")":1.1480584,"AYI-US^P_BETA_LOCIDX(45132,44957,,\"SPX\")":1.1561832,"AYI-US^P_BETA_LOCIDX(45131,44956,,\"SPX\")":1.1318169,"AYI-US^P_BETA_LOCIDX(45128,44953,,\"SPX\")":1.1387213,"AYI-US^P_BETA_LOCIDX(45127,44952,,\"SPX\")":1.1369153,"AYI-US^P_BETA_LOCIDX(45126,44951,,\"SPX\")":1.1383454,"AYI-US^P_BETA_LOCIDX(45125,44950,,\"SPX\")":1.1366391,"AYI-US^P_BETA_LOCIDX(45124,44949,,\"SPX\")":1.1206087,"AYI-US^P_BETA_LOCIDX(45121,44946,,\"SPX\")":1.1151233,"AYI-US^P_BETA_LOCIDX(45120,44945,,\"SPX\")":1.102244,"AYI-US^P_BETA_LOCIDX(45119,44944,,\"SPX\")":1.075478,"AYI-US^P_BETA_LOCIDX(45118,44943,,\"SPX\")":1.0757189,"AYI-US^P_BETA_LOCIDX(45117,44939,,\"SPX\")":1.0771612,"AYI-US^P_BETA_LOCIDX(45114,44938,,\"SPX\")":1.0699118,"AYI-US^P_BETA_LOCIDX(45113,44937,,\"SPX\")":1.0590142,"AYI-US^P_BETA_LOCIDX(45112,44936,,\"SPX\")":1.0555508,"AYI-US^P_BETA_LOCIDX(45110,44935,,\"SPX\")":1.0425637,"AYI-US^P_BETA_LOCIDX(45107,44932,,\"SPX\")":1.0196337,"AYI-US^P_BETA_LOCIDX(45106,44931,,\"SPX\")":1.0390599,"AYI-US^P_BETA_LOCIDX(45105,44930,,\"SPX\")":1.0450263,"AYI-US^P_BETA_LOCIDX(45104,44929,,\"SPX\")":1.0336065,"AYI-US^P_BETA_LOCIDX(45103,44925,,\"SPX\")":1.0392963,"AYI-US^P_BETA_LOCIDX(45100,44924,,\"SPX\")":1.0358037,"AYI-US^P_BETA_LOCIDX(45099,44923,,\"SPX\")":1.0611458,"AYI-US^P_BETA_LOCIDX(45098,44922,,\"SPX\")":1.0631015,"AYI-US^P_BETA_LOCIDX(45097,44918,,\"SPX\")":1.0627223,"AYI-US^P_BETA_LOCIDX(45093,44917,,\"SPX\")":1.0652268,"AYI-US^P_BETA_LOCIDX(45092,44916,,\"SPX\")":1.055781,"AYI-US^P_BETA_LOCIDX(45091,44915,,\"SPX\")":1.048799,"AYI-US^P_BETA_LOCIDX(45090,44914,,\"SPX\")":1.0389189,"AYI-US^P_BETA_LOCIDX(45089,44911,,\"SPX\")":1.0676197,"AYI-US^P_BETA_LOCIDX(45086,44910,,\"SPX\")":1.0495455,"AYI-US^P_BETA_LOCIDX(45085,44909,,\"SPX\")":1.0530303,"AYI-US^P_BETA_LOCIDX(45084,44908,,\"SPX\")":1.0626187,"AYI-US^P_BETA_LOCIDX(45083,44907,,\"SPX\")":1.0818186,"AYI-US^P_BETA_LOCIDX(45082,44904,,\"SPX\")":1.0779058,"AYI-US^P_BETA_LOCIDX(45079,44903,,\"SPX\")":1.060215,"AYI-US^P_BETA_LOCIDX(45078,44902,,\"SPX\")":1.0190151,"AYI-US^P_BETA_LOCIDX(45077,44901,,\"SPX\")":0.99879867,"AYI-US^P_BETA_LOCIDX(45076,44900,,\"SPX\")":1.0264411,"AYI-US^P_BETA_LOCIDX(45072,44897,,\"SPX\")":1.0256077,"AYI-US^P_BETA_LOCIDX(45071,44896,,\"SPX\")":1.0301793,"AYI-US^P_BETA_LOCIDX(45070,44895,,\"SPX\")":0.96381056,"AYI-US^P_BETA_LOCIDX(45069,44894,,\"SPX\")":0.94995284,"AYI-US^P_BETA_LOCIDX(45068,44893,,\"SPX\")":0.96068376,"AYI-US^P_BETA_LOCIDX(45065,44890,,\"SPX\")":0.9605416,"AYI-US^P_BETA_LOCIDX(45064,44888,,\"SPX\")":0.9545503,"AYI-US^P_BETA_LOCIDX(45063,44887,,\"SPX\")":0.96518147,"AYI-US^P_BETA_LOCIDX(45062,44886,,\"SPX\")":0.9472393,"AYI-US^P_BETA_LOCIDX(45061,44883,,\"SPX\")":0.9452379,"AYI-US^P_BETA_LOCIDX(45058,44882,,\"SPX\")":0.9511581,"AYI-US^P_BETA_LOCIDX(45057,44881,,\"SPX\")":0.95588636,"AYI-US^P_BETA_LOCIDX(45056,44880,,\"SPX\")":0.9684956,"AYI-US^P_BETA_LOCIDX(45055,44879,,\"SPX\")":0.9790871,"AYI-US^P_BETA_LOCIDX(45054,44876,,\"SPX\")":0.95431995,"AYI-US^P_BETA_LOCIDX(45051,44875,,\"SPX\")":1.0011932,"AYI-US^P_BETA_LOCIDX(45050,44874,,\"SPX\")":0.9929488,"AYI-US^P_BETA_LOCIDX(45049,44873,,\"SPX\")":0.98361397,"AYI-US^P_BETA_LOCIDX(45048,44872,,\"SPX\")":1.0031475,"AYI-US^P_BETA_LOCIDX(45047,44869,,\"SPX\")":1.0176413,"AYI-US^P_BETA_LOCIDX(45044,44868,,\"SPX\")":1.0196391,"AYI-US^P_BETA_LOCIDX(45043,44867,,\"SPX\")":1.016724,"AYI-US^P_BETA_LOCIDX(45042,44866,,\"SPX\")":1.0205806,"AYI-US^P_BETA_LOCIDX(45041,44865,,\"SPX\")":1.0169058,"AYI-US^P_BETA_LOCIDX(45040,44862,,\"SPX\")":1.0064155,"AYI-US^P_BETA_LOCIDX(45037,44861,,\"SPX\")":1.0066452,"AYI-US^P_BETA_LOCIDX(45036,44860,,\"SPX\")":1.0100002,"AYI-US^P_BETA_LOCIDX(45035,44859,,\"SPX\")":1.0286342,"AYI-US^P_BETA_LOCIDX(45034,44858,,\"SPX\")":1.0355005,"AYI-US^P_BETA_LOCIDX(45033,44855,,\"SPX\")":1.0627122,"AYI-US^P_BETA_LOCIDX(45030,44854,,\"SPX\")":1.0712821,"AYI-US^P_BETA_LOCIDX(45029,44853,,\"SPX\")":1.0747929,"AYI-US^P_BETA_LOCIDX(45028,44852,,\"SPX\")":1.0934218,"AYI-US^P_BETA_LOCIDX(45027,44851,,\"SPX\")":1.1076528,"AYI-US^P_BETA_LOCIDX(45026,44848,,\"SPX\")":1.1194739,"AYI-US^P_BETA_LOCIDX(45022,44847,,\"SPX\")":1.1117952,"AYI-US^P_BETA_LOCIDX(45021,44846,,\"SPX\")":1.1115608,"AYI-US^P_BETA_LOCIDX(45020,44845,,\"SPX\")":1.0951384,"AYI-US^P_BETA_LOCIDX(45019,44844,,\"SPX\")":1.0441464,"AYI-US^P_BETA_LOCIDX(45016,44841,,\"SPX\")":1.0644447,"AYI-US^P_BETA_LOCIDX(45015,44840,,\"SPX\")":1.071517,"AYI-US^P_BETA_LOCIDX(45014,44839,,\"SPX\")":1.0687624,"AYI-US^P_BETA_LOCIDX(45013,44838,,\"SPX\")":1.0902474,"AYI-US^P_BETA_LOCIDX(45012,44837,,\"SPX\")":1.0749136,"AYI-US^P_BETA_LOCIDX(45009,44834,,\"SPX\")":1.0472461,"AYI-US^P_BETA_LOCIDX(45008,44833,,\"SPX\")":1.0548806,"AYI-US^P_BETA_LOCIDX(45007,44832,,\"SPX\")":1.0626794,"AYI-US^P_BETA_LOCIDX(45006,44831,,\"SPX\")":1.0554394,"AYI-US^P_BETA_LOCIDX(45005,44830,,\"SPX\")":1.0654393,"AYI-US^P_BETA_LOCIDX(45002,44827,,\"SPX\")":1.0524076,"AYI-US^P_BETA_LOCIDX(45001,44826,,\"SPX\")":1.0487775,"AYI-US^P_BETA_LOCIDX(45000,44825,,\"SPX\")":1.030382,"AYI-US^P_BETA_LOCIDX(44999,44824,,\"SPX\")":1.0194347,"AYI-US^P_BETA_LOCIDX(44998,44823,,\"SPX\")":1.0245436,"AYI-US^P_BETA_LOCIDX(44995,44820,,\"SPX\")":1.0302926,"AYI-US^P_BETA_LOCIDX(44994,44819,,\"SPX\")":1.0174001,"AYI-US^P_BETA_LOCIDX(44993,44818,,\"SPX\")":1.0220886,"AYI-US^P_BETA_LOCIDX(44992,44817,,\"SPX\")":1.0524843,"AYI-US^P_BETA_LOCIDX(44991,44816,,\"SPX\")":1.0665377,"AYI-US^P_BETA_LOCIDX(44988,44813,,\"SPX\")":1.0746711,"AYI-US^P_BETA_LOCIDX(44987,44812,,\"SPX\")":1.0805535,"AYI-US^P_BETA_LOCIDX(44986,44811,,\"SPX\")":1.0838295,"AYI-US^P_BETA_LOCIDX(44985,44810,,\"SPX\")":1.0829709,"AYI-US^P_BETA_LOCIDX(44984,44806,,\"SPX\")":1.0875567,"AYI-US^P_BETA_LOCIDX(44981,44805,,\"SPX\")":1.0858172,"AYI-US^P_BETA_LOCIDX(44980,44804,,\"SPX\")":1.0871543,"AYI-US^P_BETA_LOCIDX(44979,44803,,\"SPX\")":1.088067,"AYI-US^P_BETA_LOCIDX(44978,44802,,\"SPX\")":1.0911875,"AYI-US^P_BETA_LOCIDX(44974,44799,,\"SPX\")":1.108032,"AYI-US^P_BETA_LOCIDX(44973,44798,,\"SPX\")":1.1061293,"AYI-US^P_BETA_LOCIDX(44972,44797,,\"SPX\")":1.1134388,"AYI-US^P_BETA_LOCIDX(44971,44796,,\"SPX\")":1.1132758,"AYI-US^P_BETA_LOCIDX(44970,44795,,\"SPX\")":1.1192172,"AYI-US^P_BETA_LOCIDX(44967,44792,,\"SPX\")":1.1170218,"AYI-US^P_BETA_LOCIDX(44966,44791,,\"SPX\")":1.1168431,"AYI-US^P_BETA_LOCIDX(44965,44790,,\"SPX\")":1.1097887,"AYI-US^P_BETA_LOCIDX(44964,44789,,\"SPX\")":1.1085169,"AYI-US^P_BETA_LOCIDX(44963,44788,,\"SPX\")":1.1066242,"AYI-US^P_BETA_LOCIDX(44960,44785,,\"SPX\")":1.1008132,"AYI-US^P_BETA_LOCIDX(44959,44784,,\"SPX\")":1.1085352,"AYI-US^P_BETA_LOCIDX(44958,44783,,\"SPX\")":1.1311754,"AYI-US^P_BETA_LOCIDX(44957,44782,,\"SPX\")":1.1339121,"AYI-US^P_BETA_LOCIDX(44956,44781,,\"SPX\")":1.1327763,"AYI-US^P_BETA_LOCIDX(44953,44778,,\"SPX\")":1.1382391,"AYI-US^P_BETA_LOCIDX(44952,44777,,\"SPX\")":1.137022,"AYI-US^P_BETA_LOCIDX(44951,44776,,\"SPX\")":1.1246326,"AYI-US^P_BETA_LOCIDX(44950,44775,,\"SPX\")":1.129721,"AYI-US^P_BETA_LOCIDX(44949,44774,,\"SPX\")":1.1301218,"AYI-US^P_BETA_LOCIDX(44946,44771,,\"SPX\")":1.1392057,"AYI-US^P_BETA_LOCIDX(44945,44770,,\"SPX\")":1.1549041,"AYI-US^P_BETA_LOCIDX(44944,44769,,\"SPX\")":1.1100606,"AYI-US^P_BETA_LOCIDX(44943,44768,,\"SPX\")":1.116574,"AYI-US^P_BETA_LOCIDX(44939,44767,,\"SPX\")":1.1164411,"AYI-US^P_BETA_LOCIDX(44938,44764,,\"SPX\")":1.1131729,"AYI-US^P_BETA_LOCIDX(44937,44763,,\"SPX\")":1.114689,"AYI-US^P_BETA_LOCIDX(44936,44762,,\"SPX\")":1.1274985,"AYI-US^P_BETA_LOCIDX(44935,44761,,\"SPX\")":1.1472718,"AYI-US^P_BETA_LOCIDX(44932,44760,,\"SPX\")":1.1461197,"AYI-US^P_BETA_LOCIDX(44931,44757,,\"SPX\")":1.1546122,"AYI-US^P_BETA_LOCIDX(44930,44756,,\"SPX\")":1.1492264,"AYI-US^P_BETA_LOCIDX(44929,44755,,\"SPX\")":1.1456914,"AYI-US^P_BETA_LOCIDX(44925,44754,,\"SPX\")":1.1388658,"AYI-US^P_BETA_LOCIDX(44924,44753,,\"SPX\")":1.128873,"AYI-US^P_BETA_LOCIDX(44923,44750,,\"SPX\")":1.134489,"AYI-US^P_BETA_LOCIDX(44922,44749,,\"SPX\")":1.1292646,"AYI-US^P_BETA_LOCIDX(44918,44748,,\"SPX\")":1.1308566,"AYI-US^P_BETA_LOCIDX(44917,44747,,\"SPX\")":1.1305836,"AYI-US^P_BETA_LOCIDX(44916,44743,,\"SPX\")":1.1333029,"AYI-US^P_BETA_LOCIDX(44915,44742,,\"SPX\")":1.1359206,"AYI-US^P_BETA_LOCIDX(44914,44741,,\"SPX\")":1.135631,"AYI-US^P_BETA_LOCIDX(44911,44740,,\"SPX\")":1.1341139,"AYI-US^P_BETA_LOCIDX(44910,44739,,\"SPX\")":1.1172776,"AYI-US^P_BETA_LOCIDX(44909,44736,,\"SPX\")":1.1469351,"AYI-US^P_BETA_LOCIDX(44908,44735,,\"SPX\")":1.1223745,"AYI-US^P_BETA_LOCIDX(44907,44734,,\"SPX\")":1.1250207,"AYI-US^P_BETA_LOCIDX(44904,44733,,\"SPX\")":1.1085678,"AYI-US^P_BETA_LOCIDX(44903,44729,,\"SPX\")":1.1065404,"AYI-US^P_BETA_LOCIDX(44902,44728,,\"SPX\")":1.1472025,"AYI-US^P_BETA_LOCIDX(44901,44727,,\"SPX\")":1.1452669,"AYI-US^P_BETA_LOCIDX(44900,44726,,\"SPX\")":1.1497426,"AYI-US^P_BETA_LOCIDX(44897,44725,,\"SPX\")":1.1269855,"AYI-US^P_BETA_LOCIDX(44896,44722,,\"SPX\")":1.1234667,"AYI-US^P_BETA_LOCIDX(44895,44721,,\"SPX\")":1.1084703,"AYI-US^P_BETA_LOCIDX(44894,44720,,\"SPX\")":1.1507374,"AYI-US^P_BETA_LOCIDX(44893,44719,,\"SPX\")":1.1532657,"AYI-US^P_BETA_LOCIDX(44890,44718,,\"SPX\")":1.1532106,"AYI-US^P_BETA_LOCIDX(44888,44715,,\"SPX\")":1.1395429,"AYI-US^P_BETA_LOCIDX(44887,44714,,\"SPX\")":1.1431454,"AYI-US^P_BETA_LOCIDX(44886,44713,,\"SPX\")":1.1381888,"AYI-US^P_BETA_LOCIDX(44883,44712,,\"SPX\")":1.1414222,"AYI-US^P_BETA_LOCIDX(44882,44708,,\"SPX\")":1.1287727,"AYI-US^P_BETA_LOCIDX(44881,44707,,\"SPX\")":1.1344516,"AYI-US^P_BETA_LOCIDX(44880,44706,,\"SPX\")":1.1367288,"AYI-US^P_BETA_LOCIDX(44879,44705,,\"SPX\")":1.1324923,"AYI-US^P_BETA_LOCIDX(44876,44704,,\"SPX\")":1.1201065,"AYI-US^P_BETA_LOCIDX(44875,44701,,\"SPX\")":1.1318674,"AYI-US^P_BETA_LOCIDX(44874,44700,,\"SPX\")":1.1297227,"AYI-US^P_BETA_LOCIDX(44873,44699,,\"SPX\")":1.1028554,"AYI-US^P_BETA_LOCIDX(44872,44698,,\"SPX\")":1.108084,"AYI-US^P_BETA_LOCIDX(44869,44697,,\"SPX\")":1.1032529,"AYI-US^P_BETA_LOCIDX(44868,44694,,\"SPX\")":1.0839351,"AYI-US^P_BETA_LOCIDX(44867,44693,,\"SPX\")":1.0814861,"AYI-US^P_BETA_LOCIDX(44866,44692,,\"SPX\")":1.0796165,"AYI-US^P_BETA_LOCIDX(44865,44691,,\"SPX\")":1.0795629,"AYI-US^P_BETA_LOCIDX(44862,44690,,\"SPX\")":1.0528953,"AYI-US^P_BETA_LOCIDX(44861,44687,,\"SPX\")":1.0635712,"AYI-US^P_BETA_LOCIDX(44860,44686,,\"SPX\")":1.0553348,"AYI-US^P_BETA_LOCIDX(44859,44685,,\"SPX\")":1.0461928,"AYI-US^P_BETA_LOCIDX(44858,44684,,\"SPX\")":1.0341772,"AYI-US^P_BETA_LOCIDX(44855,44683,,\"SPX\")":1.0303395,"AYI-US^P_BETA_LOCIDX(44854,44680,,\"SPX\")":1.0096056,"AYI-US^P_BETA_LOCIDX(44853,44679,,\"SPX\")":1.0043497,"AYI-US^P_BETA_LOCIDX(44852,44678,,\"SPX\")":1.0004505,"AYI-US^P_BETA_LOCIDX(44851,44677,,\"SPX\")":0.979618,"AYI-US^P_BETA_LOCIDX(44848,44676,,\"SPX\")":0.97427285,"AYI-US^P_BETA_LOCIDX(44847,44673,,\"SPX\")":0.970541,"AYI-US^P_BETA_LOCIDX(44846,44672,,\"SPX\")":0.97146577,"AYI-US^P_BETA_LOCIDX(44845,44671,,\"SPX\")":0.9726731,"AYI-US^P_BETA_LOCIDX(44844,44670,,\"SPX\")":0.9844216,"AYI-US^P_BETA_LOCIDX(44841,44669,,\"SPX\")":0.9906068,"AYI-US^P_BETA_LOCIDX(44840,44665,,\"SPX\")":0.97719467,"AYI-US^P_BETA_LOCIDX(44839,44664,,\"SPX\")":0.97628856,"AYI-US^P_BETA_LOCIDX(44838,44663,,\"SPX\")":0.9763544,"AYI-US^P_BETA_LOCIDX(44837,44662,,\"SPX\")":0.95134044,"AYI-US^P_BETA_LOCIDX(44834,44659,,\"SPX\")":0.9615707,"AYI-US^P_BETA_LOCIDX(44833,44658,,\"SPX\")":0.97280097,"AYI-US^P_BETA_LOCIDX(44832,44657,,\"SPX\")":0.97208536,"AYI-US^P_BETA_LOCIDX(44831,44656,,\"SPX\")":0.9921694,"AYI-US^P_BETA_LOCIDX(44830,44655,,\"SPX\")":0.9787301,"AYI-US^P_BETA_LOCIDX(44827,44652,,\"SPX\")":0.9812849,"AYI-US^P_BETA_LOCIDX(44826,44651,,\"SPX\")":0.99268806,"AYI-US^P_BETA_LOCIDX(44825,44650,,\"SPX\")":0.988726,"AYI-US^P_BETA_LOCIDX(44824,44649,,\"SPX\")":1.0011845,"AYI-US^P_BETA_LOCIDX(44823,44648,,\"SPX\")":1.0000538,"AYI-US^P_BETA_LOCIDX(44820,44645,,\"SPX\")":0.9926139,"AYI-US^P_BETA_LOCIDX(44819,44644,,\"SPX\")":0.9847265,"AYI-US^P_BETA_LOCIDX(44818,44643,,\"SPX\")":0.9845614,"AYI-US^P_BETA_LOCIDX(44817,44642,,\"SPX\")":0.976853,"AYI-US^P_BETA_LOCIDX(44816,44641,,\"SPX\")":0.9502505,"AYI-US^P_BETA_LOCIDX(44813,44638,,\"SPX\")":0.93987834,"AYI-US^P_BETA_LOCIDX(44812,44637,,\"SPX\")":0.94088376,"AYI-US^P_BETA_LOCIDX(44811,44636,,\"SPX\")":0.9442945,"AYI-US^P_BETA_LOCIDX(44810,44635,,\"SPX\")":0.9351565,"AYI-US^P_BETA_LOCIDX(44806,44634,,\"SPX\")":0.933189,"AYI-US^P_BETA_LOCIDX(44805,44631,,\"SPX\")":0.9327738,"AYI-US^P_BETA_LOCIDX(44804,44630,,\"SPX\")":0.9357425,"AYI-US^P_BETA_LOCIDX(44803,44629,,\"SPX\")":0.9373068,"AYI-US^P_BETA_LOCIDX(44802,44628,,\"SPX\")":0.93297577,"AYI-US^P_BETA_LOCIDX(44799,44627,,\"SPX\")":0.9170094,"AYI-US^P_BETA_LOCIDX(44798,44624,,\"SPX\")":0.8920359,"AYI-US^P_BETA_LOCIDX(44797,44623,,\"SPX\")":0.89680433,"AYI-US^P_BETA_LOCIDX(44796,44622,,\"SPX\")":0.9086262,"AYI-US^P_BETA_LOCIDX(44795,44621,,\"SPX\")":0.90056384,"AYI-US^P_BETA_LOCIDX(44792,44620,,\"SPX\")":0.89247096,"AYI-US^P_BETA_LOCIDX(44791,44617,,\"SPX\")":0.9019908,"AYI-US^P_BETA_LOCIDX(44790,44616,,\"SPX\")":0.9097966,"AYI-US^P_BETA_LOCIDX(44789,44615,,\"SPX\")":0.9204441,"AYI-US^P_BETA_LOCIDX(44788,44614,,\"SPX\")":0.9233617,"AYI-US^P_BETA_LOCIDX(44785,44610,,\"SPX\")":0.922196,"AYI-US^P_BETA_LOCIDX(44784,44609,,\"SPX\")":0.9342525,"AYI-US^P_BETA_LOCIDX(44783,44608,,\"SPX\")":0.93450516,"AYI-US^P_BETA_LOCIDX(44782,44607,,\"SPX\")":0.9243832,"AYI-US^P_BETA_LOCIDX(44781,44606,,\"SPX\")":0.9197675,"AYI-US^P_BETA_LOCIDX(44778,44603,,\"SPX\")":0.9273239,"AYI-US^P_BETA_LOCIDX(44777,44602,,\"SPX\")":0.930931,"AYI-US^P_BETA_LOCIDX(44776,44601,,\"SPX\")":0.9325663,"AYI-US^P_BETA_LOCIDX(44775,44600,,\"SPX\")":0.9433804,"AYI-US^P_BETA_LOCIDX(44774,44599,,\"SPX\")":0.93949866,"AYI-US^P_BETA_LOCIDX(45845,45670,,\"SPX\")":1.1884286,"MAS-US^P_BETA_LOCIDX(45841,45665,,\"SPX\")":1.0140096,"MAS-US^P_BETA_LOCIDX(45840,45664,,\"SPX\")":1.0225042,"MAS-US^P_BETA_LOCIDX(45839,45663,,\"SPX\")":1.0240544,"MAS-US^P_BETA_LOCIDX(45838,45660,,\"SPX\")":1.0250164,"MAS-US^P_BETA_LOCIDX(45835,45659,,\"SPX\")":1.0261074,"MAS-US^P_BETA_LOCIDX(45834,45657,,\"SPX\")":1.0246178,"MAS-US^P_BETA_LOCIDX(45833,45656,,\"SPX\")":1.0231367,"MAS-US^P_BETA_LOCIDX(45832,45653,,\"SPX\")":1.0213114,"MAS-US^P_BETA_LOCIDX(45831,45652,,\"SPX\")":1.0202249,"MAS-US^P_BETA_LOCIDX(45828,45650,,\"SPX\")":1.0110824,"MAS-US^P_BETA_LOCIDX(45826,45649,,\"SPX\")":1.0086293,"MAS-US^P_BETA_LOCIDX(45825,45646,,\"SPX\")":1.013696,"MAS-US^P_BETA_LOCIDX(45824,45645,,\"SPX\")":1.0107194,"MAS-US^P_BETA_LOCIDX(45821,45644,,\"SPX\")":1.0130271,"MAS-US^P_BETA_LOCIDX(45820,45643,,\"SPX\")":1.0076188,"MAS-US^P_BETA_LOCIDX(45819,45642,,\"SPX\")":1.0061255,"MAS-US^P_BETA_LOCIDX(45818,45639,,\"SPX\")":1.0044293,"MAS-US^P_BETA_LOCIDX(45817,45638,,\"SPX\")":0.9995992,"MAS-US^P_BETA_LOCIDX(45814,45637,,\"SPX\")":0.99755144,"MAS-US^P_BETA_LOCIDX(45813,45636,,\"SPX\")":1.0030757,"MAS-US^P_BETA_LOCIDX(45812,45635,,\"SPX\")":1.0019952,"MAS-US^P_BETA_LOCIDX(45811,45632,,\"SPX\")":1.0025389,"MAS-US^P_BETA_LOCIDX(45810,45631,,\"SPX\")":0.99904764,"MAS-US^P_BETA_LOCIDX(45807,45630,,\"SPX\")":0.9999346,"MAS-US^P_BETA_LOCIDX(45806,45629,,\"SPX\")":1.0000068,"MAS-US^P_BETA_LOCIDX(45805,45628,,\"SPX\")":0.9983062,"MAS-US^P_BETA_LOCIDX(45804,45625,,\"SPX\")":0.9966199,"MAS-US^P_BETA_LOCIDX(45800,45623,,\"SPX\")":0.99014175,"MAS-US^P_BETA_LOCIDX(45799,45622,,\"SPX\")":0.9845336,"MAS-US^P_BETA_LOCIDX(45798,45621,,\"SPX\")":0.9885879,"MAS-US^P_BETA_LOCIDX(45797,45618,,\"SPX\")":0.9746273,"MAS-US^P_BETA_LOCIDX(45796,45617,,\"SPX\")":0.9759461,"MAS-US^P_BETA_LOCIDX(45793,45616,,\"SPX\")":0.97620666,"MAS-US^P_BETA_LOCIDX(45792,45615,,\"SPX\")":0.97411865,"MAS-US^P_BETA_LOCIDX(45791,45614,,\"SPX\")":0.97074974,"MAS-US^P_BETA_LOCIDX(45790,45611,,\"SPX\")":0.9694864,"MAS-US^P_BETA_LOCIDX(45789,45610,,\"SPX\")":0.97369534,"MAS-US^P_BETA_LOCIDX(45786,45609,,\"SPX\")":0.8766971,"MAS-US^P_BETA_LOCIDX(45785,45608,,\"SPX\")":0.8783909,"MAS-US^P_BETA_LOCIDX(45784,45607,,\"SPX\")":0.8743488,"MAS-US^P_BETA_LOCIDX(45783,45604,,\"SPX\")":0.8761729,"MAS-US^P_BETA_LOCIDX(45782,45603,,\"SPX\")":0.8720878,"MAS-US^P_BETA_LOCIDX(45779,45602,,\"SPX\")":0.83694345,"MAS-US^P_BETA_LOCIDX(45778,45601,,\"SPX\")":0.8271103,"MAS-US^P_BETA_LOCIDX(45777,45600,,\"SPX\")":0.82779264,"MAS-US^P_BETA_LOCIDX(45776,45597,,\"SPX\")":0.82790744,"MAS-US^P_BETA_LOCIDX(45775,45596,,\"SPX\")":0.8209638,"MAS-US^P_BETA_LOCIDX(45772,45595,,\"SPX\")":0.8216103,"MAS-US^P_BETA_LOCIDX(45771,45594,,\"SPX\")":0.82189304,"MAS-US^P_BETA_LOCIDX(45770,45593,,\"SPX\")":0.8210774,"MAS-US^P_BETA_LOCIDX(45769,45590,,\"SPX\")":0.8492429,"MAS-US^P_BETA_LOCIDX(45768,45589,,\"SPX\")":0.84727645,"MAS-US^P_BETA_LOCIDX(45764,45588,,\"SPX\")":0.8425485,"MAS-US^P_BETA_LOCIDX(45763,45587,,\"SPX\")":0.8414082,"MAS-US^P_BETA_LOCIDX(45762,45586,,\"SPX\")":0.8459664,"MAS-US^P_BETA_LOCIDX(45761,45583,,\"SPX\")":0.8460026,"MAS-US^P_BETA_LOCIDX(45758,45582,,\"SPX\")":0.8451035,"MAS-US^P_BETA_LOCIDX(45757,45581,,\"SPX\")":0.8525135,"MAS-US^P_BETA_LOCIDX(45756,45580,,\"SPX\")":0.8475822,"MAS-US^P_BETA_LOCIDX(45755,45579,,\"SPX\")":0.8117366,"MAS-US^P_BETA_LOCIDX(45754,45576,,\"SPX\")":0.7918542,"MAS-US^P_BETA_LOCIDX(45751,45575,,\"SPX\")":0.7900363,"MAS-US^P_BETA_LOCIDX(45750,45574,,\"SPX\")":0.9350837,"MAS-US^P_BETA_LOCIDX(45749,45573,,\"SPX\")":0.6902923,"MAS-US^P_BETA_LOCIDX(45748,45572,,\"SPX\")":0.6683315,"MAS-US^P_BETA_LOCIDX(45747,45569,,\"SPX\")":0.65449125,"MAS-US^P_BETA_LOCIDX(45744,45568,,\"SPX\")":0.64850944,"MAS-US^P_BETA_LOCIDX(45743,45567,,\"SPX\")":0.6258105,"MAS-US^P_BETA_LOCIDX(45742,45566,,\"SPX\")":0.62175536,"MAS-US^P_BETA_LOCIDX(45741,45565,,\"SPX\")":0.63296574,"MAS-US^P_BETA_LOCIDX(45740,45562,,\"SPX\")":0.6327722,"MAS-US^P_BETA_LOCIDX(45737,45561,,\"SPX\")":0.6233983,"MAS-US^P_BETA_LOCIDX(45736,45560,,\"SPX\")":0.62564015,"MAS-US^P_BETA_LOCIDX(45735,45559,,\"SPX\")":0.6240349,"MAS-US^P_BETA_LOCIDX(45734,45558,,\"SPX\")":0.61665326,"MAS-US^P_BETA_LOCIDX(45733,45555,,\"SPX\")":0.62118274,"MAS-US^P_BETA_LOCIDX(45730,45554,,\"SPX\")":0.6327856,"MAS-US^P_BETA_LOCIDX(45729,45553,,\"SPX\")":0.62161976,"MAS-US^P_BETA_LOCIDX(45728,45552,,\"SPX\")":0.59474957,"MAS-US^P_BETA_LOCIDX(45727,45551,,\"SPX\")":0.5994172,"MAS-US^P_BETA_LOCIDX(45726,45548,,\"SPX\")":0.58298457,"MAS-US^P_BETA_LOCIDX(45723,45547,,\"SPX\")":0.5866921,"MAS-US^P_BETA_LOCIDX(45722,45546,,\"SPX\")":0.5671508,"MAS-US^P_BETA_LOCIDX(45721,45545,,\"SPX\")":0.6157403,"MAS-US^P_BETA_LOCIDX(45720,45544,,\"SPX\")":0.5968615,"MAS-US^P_BETA_LOCIDX(45719,45541,,\"SPX\")":0.5547842,"MAS-US^P_BETA_LOCIDX(45716,45540,,\"SPX\")":0.54464096,"MAS-US^P_BETA_LOCIDX(45715,45539,,\"SPX\")":0.54842037,"MAS-US^P_BETA_LOCIDX(45714,45538,,\"SPX\")":0.5411797,"MAS-US^P_BETA_LOCIDX(45713,45534,,\"SPX\")":0.54601955,"MAS-US^P_BETA_LOCIDX(45712,45533,,\"SPX\")":0.5667329,"MAS-US^P_BETA_LOCIDX(45709,45532,,\"SPX\")":0.5608998,"MAS-US^P_BETA_LOCIDX(45708,45531,,\"SPX\")":0.5377877,"MAS-US^P_BETA_LOCIDX(45707,45530,,\"SPX\")":0.5356839,"MAS-US^P_BETA_LOCIDX(45706,45527,,\"SPX\")":0.5832291,"MAS-US^P_BETA_LOCIDX(45702,45526,,\"SPX\")":0.5887876,"MAS-US^P_BETA_LOCIDX(45701,45525,,\"SPX\")":0.5999726,"MAS-US^P_BETA_LOCIDX(45700,45524,,\"SPX\")":0.5934992,"MAS-US^P_BETA_LOCIDX(45699,45523,,\"SPX\")":0.58756924,"MAS-US^P_BETA_LOCIDX(45698,45520,,\"SPX\")":0.5872076,"MAS-US^P_BETA_LOCIDX(45695,45519,,\"SPX\")":0.59591776,"MAS-US^P_BETA_LOCIDX(45694,45518,,\"SPX\")":0.60591817,"MAS-US^P_BETA_LOCIDX(45693,45517,,\"SPX\")":0.64357334,"MAS-US^P_BETA_LOCIDX(45692,45516,,\"SPX\")":0.64268726,"MAS-US^P_BETA_LOCIDX(45691,45513,,\"SPX\")":0.64578587,"MAS-US^P_BETA_LOCIDX(45688,45512,,\"SPX\")":0.61606574,"MAS-US^P_BETA_LOCIDX(45687,45511,,\"SPX\")":0.6218325,"MAS-US^P_BETA_LOCIDX(45686,45510,,\"SPX\")":0.61511433,"MAS-US^P_BETA_LOCIDX(45685,45509,,\"SPX\")":0.6187754,"MAS-US^P_BETA_LOCIDX(45684,45506,,\"SPX\")":0.64862865,"MAS-US^P_BETA_LOCIDX(45681,45505,,\"SPX\")":0.7343671,"MAS-US^P_BETA_LOCIDX(45680,45504,,\"SPX\")":0.70871407,"MAS-US^P_BETA_LOCIDX(45679,45503,,\"SPX\")":0.6981386,"MAS-US^P_BETA_LOCIDX(45678,45502,,\"SPX\")":0.7006816,"MAS-US^P_BETA_LOCIDX(45674,45499,,\"SPX\")":0.71469855,"MAS-US^P_BETA_LOCIDX(45673,45498,,\"SPX\")":0.66611236,"MAS-US^P_BETA_LOCIDX(45672,45497,,\"SPX\")":0.6556996,"MAS-US^P_BETA_LOCIDX(45671,45496,,\"SPX\")":0.65303785,"MAS-US^P_BETA_LOCIDX(45670,45495,,\"SPX\")":0.6454828,"MAS-US^P_BETA_LOCIDX(45667,45492,,\"SPX\")":0.6470467,"MAS-US^P_BETA_LOCIDX(45665,45491,,\"SPX\")":0.6483089,"MAS-US^P_BETA_LOCIDX(45664,45490,,\"SPX\")":0.65511686,"MAS-US^P_BETA_LOCIDX(45663,45489,,\"SPX\")":0.67018163,"MAS-US^P_BETA_LOCIDX(45660,45488,,\"SPX\")":0.66495997,"MAS-US^P_BETA_LOCIDX(45659,45485,,\"SPX\")":0.6743876,"MAS-US^P_BETA_LOCIDX(45657,45484,,\"SPX\")":0.6241908,"MAS-US^P_BETA_LOCIDX(45656,45483,,\"SPX\")":0.6264831,"MAS-US^P_BETA_LOCIDX(45653,45482,,\"SPX\")":0.62253296,"MAS-US^P_BETA_LOCIDX(45652,45481,,\"SPX\")":0.6209574,"MAS-US^P_BETA_LOCIDX(45650,45478,,\"SPX\")":0.61785865,"MAS-US^P_BETA_LOCIDX(45649,45476,,\"SPX\")":0.620731,"MAS-US^P_BETA_LOCIDX(45646,45475,,\"SPX\")":0.626612,"MAS-US^P_BETA_LOCIDX(45645,45474,,\"SPX\")":0.6034554,"MAS-US^P_BETA_LOCIDX(45644,45471,,\"SPX\")":0.5979714,"MAS-US^P_BETA_LOCIDX(45643,45470,,\"SPX\")":0.5390678,"MAS-US^P_BETA_LOCIDX(45642,45469,,\"SPX\")":0.53226894,"MAS-US^P_BETA_LOCIDX(45639,45468,,\"SPX\")":0.52315474,"MAS-US^P_BETA_LOCIDX(45638,45467,,\"SPX\")":0.5204901,"MAS-US^P_BETA_LOCIDX(45637,45464,,\"SPX\")":0.5224251,"MAS-US^P_BETA_LOCIDX(45636,45463,,\"SPX\")":0.5328815,"MAS-US^P_BETA_LOCIDX(45635,45461,,\"SPX\")":0.5223188,"MAS-US^P_BETA_LOCIDX(45632,45460,,\"SPX\")":0.52686185,"MAS-US^P_BETA_LOCIDX(45631,45457,,\"SPX\")":0.5288762,"MAS-US^P_BETA_LOCIDX(45630,45456,,\"SPX\")":0.53207207,"MAS-US^P_BETA_LOCIDX(45629,45455,,\"SPX\")":0.55519754,"MAS-US^P_BETA_LOCIDX(45628,45454,,\"SPX\")":0.55499965,"MAS-US^P_BETA_LOCIDX(45625,45453,,\"SPX\")":0.55802375,"MAS-US^P_BETA_LOCIDX(45623,45450,,\"SPX\")":0.56338984,"MAS-US^P_BETA_LOCIDX(45622,45449,,\"SPX\")":0.5634385,"MAS-US^P_BETA_LOCIDX(45621,45448,,\"SPX\")":0.5750764,"MAS-US^P_BETA_LOCIDX(45618,45447,,\"SPX\")":0.56561077,"MAS-US^P_BETA_LOCIDX(45617,45446,,\"SPX\")":0.56375784,"MAS-US^P_BETA_LOCIDX(45616,45443,,\"SPX\")":0.5709228,"MAS-US^P_BETA_LOCIDX(45615,45442,,\"SPX\")":0.5576289,"MAS-US^P_BETA_LOCIDX(45614,45441,,\"SPX\")":0.5614042,"MAS-US^P_BETA_LOCIDX(45611,45440,,\"SPX\")":0.5698749,"MAS-US^P_BETA_LOCIDX(45610,45436,,\"SPX\")":0.5656199,"MAS-US^P_BETA_LOCIDX(45609,45435,,\"SPX\")":0.570897,"MAS-US^P_BETA_LOCIDX(45608,45434,,\"SPX\")":0.57460946,"MAS-US^P_BETA_LOCIDX(45607,45433,,\"SPX\")":0.56597686,"MAS-US^P_BETA_LOCIDX(45604,45432,,\"SPX\")":0.5661004,"MAS-US^P_BETA_LOCIDX(45603,45429,,\"SPX\")":0.56418496,"MAS-US^P_BETA_LOCIDX(45602,45428,,\"SPX\")":0.57615566,"MAS-US^P_BETA_LOCIDX(45601,45427,,\"SPX\")":0.6875489,"MAS-US^P_BETA_LOCIDX(45600,45426,,\"SPX\")":0.683362,"MAS-US^P_BETA_LOCIDX(45597,45425,,\"SPX\")":0.6899919,"MAS-US^P_BETA_LOCIDX(45596,45422,,\"SPX\")":0.69017386,"MAS-US^P_BETA_LOCIDX(45595,45421,,\"SPX\")":0.715627,"MAS-US^P_BETA_LOCIDX(45594,45420,,\"SPX\")":0.7102971,"MAS-US^P_BETA_LOCIDX(45593,45419,,\"SPX\")":0.7110142,"MAS-US^P_BETA_LOCIDX(45590,45418,,\"SPX\")":0.7123925,"MAS-US^P_BETA_LOCIDX(45589,45415,,\"SPX\")":0.70703256,"MAS-US^P_BETA_LOCIDX(45588,45414,,\"SPX\")":0.70459795,"MAS-US^P_BETA_LOCIDX(45587,45413,,\"SPX\")":0.7060197,"MAS-US^P_BETA_LOCIDX(45586,45412,,\"SPX\")":0.7273184,"MAS-US^P_BETA_LOCIDX(45583,45411,,\"SPX\")":0.7210537,"MAS-US^P_BETA_LOCIDX(45582,45408,,\"SPX\")":0.71209645,"MAS-US^P_BETA_LOCIDX(45581,45407,,\"SPX\")":0.70886624,"MAS-US^P_BETA_LOCIDX(45580,45406,,\"SPX\")":0.71378213,"MAS-US^P_BETA_LOCIDX(45579,45405,,\"SPX\")":0.72883433,"MAS-US^P_BETA_LOCIDX(45576,45404,,\"SPX\")":0.7168098,"MAS-US^P_BETA_LOCIDX(45575,45401,,\"SPX\")":0.7149913,"MAS-US^P_BETA_LOCIDX(45574,45400,,\"SPX\")":0.71166193,"MAS-US^P_BETA_LOCIDX(45573,45399,,\"SPX\")":0.70836407,"MAS-US^P_BETA_LOCIDX(45572,45398,,\"SPX\")":0.7133313,"MAS-US^P_BETA_LOCIDX(45569,45397,,\"SPX\")":0.72599024,"MAS-US^P_BETA_LOCIDX(45568,45394,,\"SPX\")":0.72165626,"MAS-US^P_BETA_LOCIDX(45567,45393,,\"SPX\")":0.7117939,"MAS-US^P_BETA_LOCIDX(45566,45392,,\"SPX\")":0.74551463,"MAS-US^P_BETA_LOCIDX(45565,45391,,\"SPX\")":0.7512396,"MAS-US^P_BETA_LOCIDX(45562,45390,,\"SPX\")":0.7504089,"MAS-US^P_BETA_LOCIDX(45561,45387,,\"SPX\")":0.746845,"MAS-US^P_BETA_LOCIDX(45560,45386,,\"SPX\")":0.7558004,"MAS-US^P_BETA_LOCIDX(45559,45385,,\"SPX\")":0.75379175,"MAS-US^P_BETA_LOCIDX(45558,45384,,\"SPX\")":0.75401795,"MAS-US^P_BETA_LOCIDX(45555,45383,,\"SPX\")":0.75748914,"MAS-US^P_BETA_LOCIDX(45554,45379,,\"SPX\")":0.7544321,"MAS-US^P_BETA_LOCIDX(45553,45378,,\"SPX\")":0.75213164,"MAS-US^P_BETA_LOCIDX(45552,45377,,\"SPX\")":0.75136936,"MAS-US^P_BETA_LOCIDX(45551,45376,,\"SPX\")":0.7565038,"MAS-US^P_BETA_LOCIDX(45548,45373,,\"SPX\")":0.7587711,"MAS-US^P_BETA_LOCIDX(45547,45372,,\"SPX\")":0.75897706,"MAS-US^P_BETA_LOCIDX(45546,45371,,\"SPX\")":0.7588183,"MAS-US^P_BETA_LOCIDX(45545,45370,,\"SPX\")":0.7819422,"MAS-US^P_BETA_LOCIDX(45544,45369,,\"SPX\")":0.77198654,"MAS-US^P_BETA_LOCIDX(45541,45366,,\"SPX\")":0.7752794,"MAS-US^P_BETA_LOCIDX(45540,45365,,\"SPX\")":0.8082786,"MAS-US^P_BETA_LOCIDX(45539,45364,,\"SPX\")":0.80579525,"MAS-US^P_BETA_LOCIDX(45538,45363,,\"SPX\")":0.801025,"MAS-US^P_BETA_LOCIDX(45534,45362,,\"SPX\")":0.80978245,"MAS-US^P_BETA_LOCIDX(45533,45359,,\"SPX\")":0.8067035,"MAS-US^P_BETA_LOCIDX(45532,45358,,\"SPX\")":0.80838144,"MAS-US^P_BETA_LOCIDX(45531,45357,,\"SPX\")":0.80679137,"MAS-US^P_BETA_LOCIDX(45530,45356,,\"SPX\")":0.81943077,"MAS-US^P_BETA_LOCIDX(45527,45355,,\"SPX\")":0.8191934,"MAS-US^P_BETA_LOCIDX(45526,45352,,\"SPX\")":0.7854616,"MAS-US^P_BETA_LOCIDX(45525,45351,,\"SPX\")":0.7838188,"MAS-US^P_BETA_LOCIDX(45524,45350,,\"SPX\")":0.7739426,"MAS-US^P_BETA_LOCIDX(45523,45349,,\"SPX\")":0.77498996,"MAS-US^P_BETA_LOCIDX(45520,45348,,\"SPX\")":0.7679803,"MAS-US^P_BETA_LOCIDX(45519,45345,,\"SPX\")":0.7687225,"MAS-US^P_BETA_LOCIDX(45518,45344,,\"SPX\")":0.7505348,"MAS-US^P_BETA_LOCIDX(45517,45343,,\"SPX\")":0.7447187,"MAS-US^P_BETA_LOCIDX(45516,45342,,\"SPX\")":0.69856876,"MAS-US^P_BETA_LOCIDX(45513,45338,,\"SPX\")":0.6987959,"MAS-US^P_BETA_LOCIDX(45512,45337,,\"SPX\")":0.7009266,"MAS-US^P_BETA_LOCIDX(45511,45336,,\"SPX\")":0.72795457,"MAS-US^P_BETA_LOCIDX(45510,45335,,\"SPX\")":0.70991325,"MAS-US^P_BETA_LOCIDX(45509,45334,,\"SPX\")":0.7093425,"MAS-US^P_BETA_LOCIDX(45506,45331,,\"SPX\")":0.70125306,"MAS-US^P_BETA_LOCIDX(45505,45330,,\"SPX\")":0.6901639,"MAS-US^P_BETA_LOCIDX(45504,45329,,\"SPX\")":0.6835092,"MAS-US^P_BETA_LOCIDX(45503,45328,,\"SPX\")":0.7297891,"MAS-US^P_BETA_LOCIDX(45502,45327,,\"SPX\")":0.74622977,"MAS-US^P_BETA_LOCIDX(45499,45324,,\"SPX\")":0.721761,"MAS-US^P_BETA_LOCIDX(45498,45323,,\"SPX\")":0.7342549,"MAS-US^P_BETA_LOCIDX(45497,45322,,\"SPX\")":0.82564616,"MAS-US^P_BETA_LOCIDX(45496,45321,,\"SPX\")":0.86623615,"MAS-US^P_BETA_LOCIDX(45495,45320,,\"SPX\")":0.8693024,"MAS-US^P_BETA_LOCIDX(45492,45317,,\"SPX\")":0.88214564,"MAS-US^P_BETA_LOCIDX(45491,45316,,\"SPX\")":0.89338976,"MAS-US^P_BETA_LOCIDX(45490,45315,,\"SPX\")":0.9119697,"MAS-US^P_BETA_LOCIDX(45489,45314,,\"SPX\")":0.89613897,"MAS-US^P_BETA_LOCIDX(45488,45313,,\"SPX\")":0.8523058,"MAS-US^P_BETA_LOCIDX(45485,45310,,\"SPX\")":0.82917345,"MAS-US^P_BETA_LOCIDX(45484,45309,,\"SPX\")":0.8247599,"MAS-US^P_BETA_LOCIDX(45483,45308,,\"SPX\")":0.9239015,"MAS-US^P_BETA_LOCIDX(45482,45307,,\"SPX\")":0.916834,"MAS-US^P_BETA_LOCIDX(45481,45303,,\"SPX\")":0.9178211,"MAS-US^P_BETA_LOCIDX(45478,45302,,\"SPX\")":0.9182626,"MAS-US^P_BETA_LOCIDX(45476,45301,,\"SPX\")":0.93070275,"MAS-US^P_BETA_LOCIDX(45475,45300,,\"SPX\")":0.928267,"MAS-US^P_BETA_LOCIDX(45474,45299,,\"SPX\")":0.9683179,"MAS-US^P_BETA_LOCIDX(45471,45296,,\"SPX\")":0.97737217,"MAS-US^P_BETA_LOCIDX(45470,45295,,\"SPX\")":0.9830589,"MAS-US^P_BETA_LOCIDX(45469,45294,,\"SPX\")":1.026152,"MAS-US^P_BETA_LOCIDX(45468,45293,,\"SPX\")":1.0241818,"MAS-US^P_BETA_LOCIDX(45467,45289,,\"SPX\")":1.0441135,"MAS-US^P_BETA_LOCIDX(45464,45288,,\"SPX\")":1.0501465,"MAS-US^P_BETA_LOCIDX(45463,45287,,\"SPX\")":1.0485623,"MAS-US^P_BETA_LOCIDX(45461,45286,,\"SPX\")":1.0383939,"MAS-US^P_BETA_LOCIDX(45460,45282,,\"SPX\")":1.0389842,"MAS-US^P_BETA_LOCIDX(45457,45281,,\"SPX\")":1.0331049,"MAS-US^P_BETA_LOCIDX(45456,45280,,\"SPX\")":1.0272979,"MAS-US^P_BETA_LOCIDX(45455,45279,,\"SPX\")":1.0207642,"MAS-US^P_BETA_LOCIDX(45454,45278,,\"SPX\")":0.9888477,"MAS-US^P_BETA_LOCIDX(45453,45275,,\"SPX\")":0.9907204,"MAS-US^P_BETA_LOCIDX(45450,45274,,\"SPX\")":0.99858224,"MAS-US^P_BETA_LOCIDX(45449,45273,,\"SPX\")":1.0306138,"MAS-US^P_BETA_LOCIDX(45448,45272,,\"SPX\")":1.0295129,"MAS-US^P_BETA_LOCIDX(45447,45271,,\"SPX\")":1.0346481,"MAS-US^P_BETA_LOCIDX(45446,45268,,\"SPX\")":1.0387998,"MAS-US^P_BETA_LOCIDX(45443,45267,,\"SPX\")":1.0288284,"MAS-US^P_BETA_LOCIDX(45442,45266,,\"SPX\")":0.99222755,"MAS-US^P_BETA_LOCIDX(45441,45265,,\"SPX\")":1.019415,"MAS-US^P_BETA_LOCIDX(45440,45264,,\"SPX\")":1.0159845,"MAS-US^P_BETA_LOCIDX(45436,45261,,\"SPX\")":1.0285729,"MAS-US^P_BETA_LOCIDX(45435,45260,,\"SPX\")":1.0300624,"MAS-US^P_BETA_LOCIDX(45434,45259,,\"SPX\")":1.0244075,"MAS-US^P_BETA_LOCIDX(45433,45258,,\"SPX\")":1.02015,"MAS-US^P_BETA_LOCIDX(45432,45257,,\"SPX\")":1.0128715,"MAS-US^P_BETA_LOCIDX(45429,45254,,\"SPX\")":1.0125067,"MAS-US^P_BETA_LOCIDX(45428,45252,,\"SPX\")":1.0122929,"MAS-US^P_BETA_LOCIDX(45427,45251,,\"SPX\")":1.0080452,"MAS-US^P_BETA_LOCIDX(45426,45250,,\"SPX\")":0.9945946,"MAS-US^P_BETA_LOCIDX(45425,45247,,\"SPX\")":0.9951002,"MAS-US^P_BETA_LOCIDX(45422,45246,,\"SPX\")":0.98954344,"MAS-US^P_BETA_LOCIDX(45421,45245,,\"SPX\")":0.98945767,"MAS-US^P_BETA_LOCIDX(45420,45244,,\"SPX\")":1.1083736,"MAS-US^P_BETA_LOCIDX(45419,45243,,\"SPX\")":1.1116787,"MAS-US^P_BETA_LOCIDX(45418,45240,,\"SPX\")":1.0989275,"MAS-US^P_BETA_LOCIDX(45415,45239,,\"SPX\")":1.1142923,"MAS-US^P_BETA_LOCIDX(45414,45238,,\"SPX\")":1.1246598,"MAS-US^P_BETA_LOCIDX(45413,45237,,\"SPX\")":1.1330504,"MAS-US^P_BETA_LOCIDX(45412,45236,,\"SPX\")":1.1360774,"MAS-US^P_BETA_LOCIDX(45411,45233,,\"SPX\")":1.1347002,"MAS-US^P_BETA_LOCIDX(45408,45232,,\"SPX\")":1.1348194,"MAS-US^P_BETA_LOCIDX(45407,45231,,\"SPX\")":1.1517127,"MAS-US^P_BETA_LOCIDX(45406,45230,,\"SPX\")":1.1557395,"MAS-US^P_BETA_LOCIDX(45405,45229,,\"SPX\")":1.1458806,"MAS-US^P_BETA_LOCIDX(45404,45226,,\"SPX\")":1.1529914,"MAS-US^P_BETA_LOCIDX(45401,45225,,\"SPX\")":0.9957153,"MAS-US^P_BETA_LOCIDX(45400,45224,,\"SPX\")":1.0099932,"MAS-US^P_BETA_LOCIDX(45399,45223,,\"SPX\")":0.9889717,"MAS-US^P_BETA_LOCIDX(45398,45222,,\"SPX\")":0.99140495,"MAS-US^P_BETA_LOCIDX(45397,45219,,\"SPX\")":0.97512746,"MAS-US^P_BETA_LOCIDX(45394,45218,,\"SPX\")":0.99228925,"MAS-US^P_BETA_LOCIDX(45393,45217,,\"SPX\")":1.0773755,"MAS-US^P_BETA_LOCIDX(45392,45216,,\"SPX\")":1.0929806,"MAS-US^P_BETA_LOCIDX(45391,45215,,\"SPX\")":1.0667892,"MAS-US^P_BETA_LOCIDX(45390,45212,,\"SPX\")":1.0730166,"MAS-US^P_BETA_LOCIDX(45387,45211,,\"SPX\")":1.1125203,"MAS-US^P_BETA_LOCIDX(45386,45210,,\"SPX\")":1.1331031,"MAS-US^P_BETA_LOCIDX(45385,45209,,\"SPX\")":1.1229862,"MAS-US^P_BETA_LOCIDX(45384,45208,,\"SPX\")":1.116951,"MAS-US^P_BETA_LOCIDX(45383,45205,,\"SPX\")":1.0922408,"MAS-US^P_BETA_LOCIDX(45379,45204,,\"SPX\")":1.0842026,"MAS-US^P_BETA_LOCIDX(45378,45203,,\"SPX\")":1.0873362,"MAS-US^P_BETA_LOCIDX(45377,45202,,\"SPX\")":1.091624,"MAS-US^P_BETA_LOCIDX(45376,45201,,\"SPX\")":1.1023759,"MAS-US^P_BETA_LOCIDX(45373,45198,,\"SPX\")":1.103266,"MAS-US^P_BETA_LOCIDX(45372,45197,,\"SPX\")":1.1052822,"MAS-US^P_BETA_LOCIDX(45371,45196,,\"SPX\")":1.0982035,"MAS-US^P_BETA_LOCIDX(45370,45195,,\"SPX\")":1.0912963,"MAS-US^P_BETA_LOCIDX(45369,45194,,\"SPX\")":1.0825971,"MAS-US^P_BETA_LOCIDX(45366,45191,,\"SPX\")":1.095956,"MAS-US^P_BETA_LOCIDX(45365,45190,,\"SPX\")":1.1095283,"MAS-US^P_BETA_LOCIDX(45364,45189,,\"SPX\")":1.1118681,"MAS-US^P_BETA_LOCIDX(45363,45188,,\"SPX\")":1.1049365,"MAS-US^P_BETA_LOCIDX(45362,45187,,\"SPX\")":1.1169183,"MAS-US^P_BETA_LOCIDX(45359,45184,,\"SPX\")":1.1277372,"MAS-US^P_BETA_LOCIDX(45358,45183,,\"SPX\")":1.1264929,"MAS-US^P_BETA_LOCIDX(45357,45182,,\"SPX\")":1.1312084,"MAS-US^P_BETA_LOCIDX(45356,45181,,\"SPX\")":1.1456517,"MAS-US^P_BETA_LOCIDX(45355,45180,,\"SPX\")":1.1339393,"MAS-US^P_BETA_LOCIDX(45352,45177,,\"SPX\")":1.1347936,"MAS-US^P_BETA_LOCIDX(45351,45176,,\"SPX\")":1.1433634,"MAS-US^P_BETA_LOCIDX(45350,45175,,\"SPX\")":1.1313723,"MAS-US^P_BETA_LOCIDX(45349,45174,,\"SPX\")":1.1600592,"MAS-US^P_BETA_LOCIDX(45348,45170,,\"SPX\")":1.1596066,"MAS-US^P_BETA_LOCIDX(45345,45169,,\"SPX\")":1.1638553,"MAS-US^P_BETA_LOCIDX(45344,45168,,\"SPX\")":1.1656065,"MAS-US^P_BETA_LOCIDX(45343,45167,,\"SPX\")":1.2313306,"MAS-US^P_BETA_LOCIDX(45342,45166,,\"SPX\")":1.226681,"MAS-US^P_BETA_LOCIDX(45338,45163,,\"SPX\")":1.2391876,"MAS-US^P_BETA_LOCIDX(45337,45162,,\"SPX\")":1.2249306,"MAS-US^P_BETA_LOCIDX(45336,45161,,\"SPX\")":1.2333195,"MAS-US^P_BETA_LOCIDX(45335,45160,,\"SPX\")":1.2309774,"MAS-US^P_BETA_LOCIDX(45334,45159,,\"SPX\")":1.2244678,"MAS-US^P_BETA_LOCIDX(45331,45156,,\"SPX\")":1.2263111,"MAS-US^P_BETA_LOCIDX(45330,45155,,\"SPX\")":1.2616181,"MAS-US^P_BETA_LOCIDX(45329,45154,,\"SPX\")":1.2747629,"MAS-US^P_BETA_LOCIDX(45328,45153,,\"SPX\")":1.2418022,"MAS-US^P_BETA_LOCIDX(45327,45152,,\"SPX\")":1.2422367,"MAS-US^P_BETA_LOCIDX(45324,45149,,\"SPX\")":1.2391987,"MAS-US^P_BETA_LOCIDX(45323,45148,,\"SPX\")":1.26891,"MAS-US^P_BETA_LOCIDX(45322,45147,,\"SPX\")":1.2493443,"MAS-US^P_BETA_LOCIDX(45321,45146,,\"SPX\")":1.2545408,"MAS-US^P_BETA_LOCIDX(45320,45145,,\"SPX\")":1.2560753,"MAS-US^P_BETA_LOCIDX(45317,45142,,\"SPX\")":1.2418399,"MAS-US^P_BETA_LOCIDX(45316,45141,,\"SPX\")":1.2506797,"MAS-US^P_BETA_LOCIDX(45315,45140,,\"SPX\")":1.232107,"MAS-US^P_BETA_LOCIDX(45314,45139,,\"SPX\")":1.2257051,"MAS-US^P_BETA_LOCIDX(45313,45138,,\"SPX\")":1.2358822,"MAS-US^P_BETA_LOCIDX(45310,45135,,\"SPX\")":1.199297,"MAS-US^P_BETA_LOCIDX(45309,45134,,\"SPX\")":1.2152019,"MAS-US^P_BETA_LOCIDX(45308,45133,,\"SPX\")":1.2111849,"MAS-US^P_BETA_LOCIDX(45307,45132,,\"SPX\")":1.22038,"MAS-US^P_BETA_LOCIDX(45303,45131,,\"SPX\")":1.2227482,"MAS-US^P_BETA_LOCIDX(45302,45128,,\"SPX\")":1.2235364,"MAS-US^P_BETA_LOCIDX(45301,45127,,\"SPX\")":1.2302836,"MAS-US^P_BETA_LOCIDX(45300,45126,,\"SPX\")":1.2229371,"MAS-US^P_BETA_LOCIDX(45299,45125,,\"SPX\")":1.2210433,"MAS-US^P_BETA_LOCIDX(45296,45124,,\"SPX\")":1.2022547,"MAS-US^P_BETA_LOCIDX(45295,45121,,\"SPX\")":1.2001168,"MAS-US^P_BETA_LOCIDX(45294,45120,,\"SPX\")":1.2109482,"MAS-US^P_BETA_LOCIDX(45293,45119,,\"SPX\")":1.1907839,"MAS-US^P_BETA_LOCIDX(45289,45118,,\"SPX\")":1.197733,"MAS-US^P_BETA_LOCIDX(45288,45117,,\"SPX\")":1.2043788,"MAS-US^P_BETA_LOCIDX(45287,45114,,\"SPX\")":1.2027501,"MAS-US^P_BETA_LOCIDX(45286,45113,,\"SPX\")":1.2137477,"MAS-US^P_BETA_LOCIDX(45282,45112,,\"SPX\")":1.2207783,"MAS-US^P_BETA_LOCIDX(45281,45110,,\"SPX\")":1.2205886,"MAS-US^P_BETA_LOCIDX(45280,45107,,\"SPX\")":1.206303,"MAS-US^P_BETA_LOCIDX(45279,45106,,\"SPX\")":1.2117301,"MAS-US^P_BETA_LOCIDX(45278,45105,,\"SPX\")":1.2169211,"MAS-US^P_BETA_LOCIDX(45275,45104,,\"SPX\")":1.2477791,"MAS-US^P_BETA_LOCIDX(45274,45103,,\"SPX\")":1.2399954,"MAS-US^P_BETA_LOCIDX(45273,45100,,\"SPX\")":1.2199695,"MAS-US^P_BETA_LOCIDX(45272,45099,,\"SPX\")":1.1839693,"MAS-US^P_BETA_LOCIDX(45271,45098,,\"SPX\")":1.1768202,"MAS-US^P_BETA_LOCIDX(45268,45097,,\"SPX\")":1.1688046,"MAS-US^P_BETA_LOCIDX(45267,45093,,\"SPX\")":1.1700846,"MAS-US^P_BETA_LOCIDX(45266,45092,,\"SPX\")":1.1792164,"MAS-US^P_BETA_LOCIDX(45265,45091,,\"SPX\")":1.1929067,"MAS-US^P_BETA_LOCIDX(45264,45090,,\"SPX\")":1.1979283,"MAS-US^P_BETA_LOCIDX(45261,45089,,\"SPX\")":1.2205254,"MAS-US^P_BETA_LOCIDX(45260,45086,,\"SPX\")":1.2040178,"MAS-US^P_BETA_LOCIDX(45259,45085,,\"SPX\")":1.1952612,"MAS-US^P_BETA_LOCIDX(45258,45084,,\"SPX\")":1.1738007,"MAS-US^P_BETA_LOCIDX(45257,45083,,\"SPX\")":1.1848611,"MAS-US^P_BETA_LOCIDX(45254,45082,,\"SPX\")":1.1928755,"MAS-US^P_BETA_LOCIDX(45252,45079,,\"SPX\")":1.2558308,"MAS-US^P_BETA_LOCIDX(45251,45078,,\"SPX\")":1.2594699,"MAS-US^P_BETA_LOCIDX(45250,45077,,\"SPX\")":1.2787484,"MAS-US^P_BETA_LOCIDX(45247,45076,,\"SPX\")":1.2892207,"MAS-US^P_BETA_LOCIDX(45246,45072,,\"SPX\")":1.2765036,"MAS-US^P_BETA_LOCIDX(45245,45071,,\"SPX\")":1.2621918,"MAS-US^P_BETA_LOCIDX(45244,45070,,\"SPX\")":1.270791,"MAS-US^P_BETA_LOCIDX(45243,45069,,\"SPX\")":1.1773697,"MAS-US^P_BETA_LOCIDX(45240,45068,,\"SPX\")":1.1761392,"MAS-US^P_BETA_LOCIDX(45239,45065,,\"SPX\")":1.1949878,"MAS-US^P_BETA_LOCIDX(45238,45064,,\"SPX\")":1.1901078,"MAS-US^P_BETA_LOCIDX(45237,45063,,\"SPX\")":1.2102613,"MAS-US^P_BETA_LOCIDX(45236,45062,,\"SPX\")":1.2179756,"MAS-US^P_BETA_LOCIDX(45233,45061,,\"SPX\")":1.2211143,"MAS-US^P_BETA_LOCIDX(45232,45058,,\"SPX\")":1.2091647,"MAS-US^P_BETA_LOCIDX(45231,45057,,\"SPX\")":1.2140473,"MAS-US^P_BETA_LOCIDX(45230,45056,,\"SPX\")":1.2051233,"MAS-US^P_BETA_LOCIDX(45229,45055,,\"SPX\")":1.2052066,"MAS-US^P_BETA_LOCIDX(45226,45054,,\"SPX\")":1.2033507,"MAS-US^P_BETA_LOCIDX(45225,45051,,\"SPX\")":1.1775949,"MAS-US^P_BETA_LOCIDX(45224,45050,,\"SPX\")":1.3380815,"MAS-US^P_BETA_LOCIDX(45223,45049,,\"SPX\")":1.3255631,"MAS-US^P_BETA_LOCIDX(45222,45048,,\"SPX\")":1.3209056,"MAS-US^P_BETA_LOCIDX(45219,45047,,\"SPX\")":1.321277,"MAS-US^P_BETA_LOCIDX(45218,45044,,\"SPX\")":1.3484373,"MAS-US^P_BETA_LOCIDX(45217,45043,,\"SPX\")":1.388554,"MAS-US^P_BETA_LOCIDX(45216,45042,,\"SPX\")":1.3451037,"MAS-US^P_BETA_LOCIDX(45215,45041,,\"SPX\")":1.3303629,"MAS-US^P_BETA_LOCIDX(45212,45040,,\"SPX\")":1.309737,"MAS-US^P_BETA_LOCIDX(45211,45037,,\"SPX\")":1.3071117,"MAS-US^P_BETA_LOCIDX(45210,45036,,\"SPX\")":1.255596,"MAS-US^P_BETA_LOCIDX(45209,45035,,\"SPX\")":1.2473024,"MAS-US^P_BETA_LOCIDX(45208,45034,,\"SPX\")":1.2470602,"MAS-US^P_BETA_LOCIDX(45205,45033,,\"SPX\")":1.2591877,"MAS-US^P_BETA_LOCIDX(45204,45030,,\"SPX\")":1.2873392,"MAS-US^P_BETA_LOCIDX(45203,45029,,\"SPX\")":1.2684962,"MAS-US^P_BETA_LOCIDX(45202,45028,,\"SPX\")":1.2643697,"MAS-US^P_BETA_LOCIDX(45201,45027,,\"SPX\")":1.261645,"MAS-US^P_BETA_LOCIDX(45198,45026,,\"SPX\")":1.2616216,"MAS-US^P_BETA_LOCIDX(45197,45022,,\"SPX\")":1.2488639,"MAS-US^P_BETA_LOCIDX(45196,45021,,\"SPX\")":1.2473987,"MAS-US^P_BETA_LOCIDX(45195,45020,,\"SPX\")":1.2674503,"MAS-US^P_BETA_LOCIDX(45194,45019,,\"SPX\")":1.282613,"MAS-US^P_BETA_LOCIDX(45191,45016,,\"SPX\")":1.3012158,"MAS-US^P_BETA_LOCIDX(45190,45015,,\"SPX\")":1.2866503,"MAS-US^P_BETA_LOCIDX(45189,45014,,\"SPX\")":1.2886474,"MAS-US^P_BETA_LOCIDX(45188,45013,,\"SPX\")":1.2787548,"MAS-US^P_BETA_LOCIDX(45187,45012,,\"SPX\")":1.2832191,"MAS-US^P_BETA_LOCIDX(45184,45009,,\"SPX\")":1.2727133,"MAS-US^P_BETA_LOCIDX(45183,45008,,\"SPX\")":1.2532246,"MAS-US^P_BETA_LOCIDX(45182,45007,,\"SPX\")":1.3143114,"MAS-US^P_BETA_LOCIDX(45181,45006,,\"SPX\")":1.3272378,"MAS-US^P_BETA_LOCIDX(45180,45005,,\"SPX\")":1.3265693,"MAS-US^P_BETA_LOCIDX(45177,45002,,\"SPX\")":1.341397,"MAS-US^P_BETA_LOCIDX(45176,45001,,\"SPX\")":1.2988564,"MAS-US^P_BETA_LOCIDX(45175,45000,,\"SPX\")":1.2919339,"MAS-US^P_BETA_LOCIDX(45174,44999,,\"SPX\")":1.2835199,"MAS-US^P_BETA_LOCIDX(45170,44998,,\"SPX\")":1.2534771,"MAS-US^P_BETA_LOCIDX(45169,44995,,\"SPX\")":1.2534634,"MAS-US^P_BETA_LOCIDX(45168,44994,,\"SPX\")":1.2102991,"MAS-US^P_BETA_LOCIDX(45167,44993,,\"SPX\")":1.2091563,"MAS-US^P_BETA_LOCIDX(45166,44992,,\"SPX\")":1.1853187,"MAS-US^P_BETA_LOCIDX(45163,44991,,\"SPX\")":1.1889958,"MAS-US^P_BETA_LOCIDX(45162,44988,,\"SPX\")":1.1868678,"MAS-US^P_BETA_LOCIDX(45161,44987,,\"SPX\")":1.2010336,"MAS-US^P_BETA_LOCIDX(45160,44986,,\"SPX\")":1.2034385,"MAS-US^P_BETA_LOCIDX(45159,44985,,\"SPX\")":1.2030797,"MAS-US^P_BETA_LOCIDX(45156,44984,,\"SPX\")":1.2175525,"MAS-US^P_BETA_LOCIDX(45155,44981,,\"SPX\")":1.221175,"MAS-US^P_BETA_LOCIDX(45154,44980,,\"SPX\")":1.201152,"MAS-US^P_BETA_LOCIDX(45153,44979,,\"SPX\")":1.1901112,"MAS-US^P_BETA_LOCIDX(45152,44978,,\"SPX\")":1.2486097,"MAS-US^P_BETA_LOCIDX(45149,44974,,\"SPX\")":1.2508577,"MAS-US^P_BETA_LOCIDX(45148,44973,,\"SPX\")":1.2303127,"MAS-US^P_BETA_LOCIDX(45147,44972,,\"SPX\")":1.2325308,"MAS-US^P_BETA_LOCIDX(45146,44971,,\"SPX\")":1.2355968,"MAS-US^P_BETA_LOCIDX(45145,44970,,\"SPX\")":1.2535337,"MAS-US^P_BETA_LOCIDX(45142,44967,,\"SPX\")":1.2551136,"MAS-US^P_BETA_LOCIDX(45141,44966,,\"SPX\")":1.2502851,"MAS-US^P_BETA_LOCIDX(45140,44965,,\"SPX\")":1.233831,"MAS-US^P_BETA_LOCIDX(45139,44964,,\"SPX\")":1.2192651,"MAS-US^P_BETA_LOCIDX(45138,44963,,\"SPX\")":1.2364409,"MAS-US^P_BETA_LOCIDX(45135,44960,,\"SPX\")":1.2506832,"MAS-US^P_BETA_LOCIDX(45134,44959,,\"SPX\")":1.3181387,"MAS-US^P_BETA_LOCIDX(45133,44958,,\"SPX\")":1.3398372,"MAS-US^P_BETA_LOCIDX(45132,44957,,\"SPX\")":1.3988601,"MAS-US^P_BETA_LOCIDX(45131,44956,,\"SPX\")":1.3868887,"MAS-US^P_BETA_LOCIDX(45128,44953,,\"SPX\")":1.3890207,"MAS-US^P_BETA_LOCIDX(45127,44952,,\"SPX\")":1.3548756,"MAS-US^P_BETA_LOCIDX(45126,44951,,\"SPX\")":1.3499405,"MAS-US^P_BETA_LOCIDX(45125,44950,,\"SPX\")":1.3507804,"MAS-US^P_BETA_LOCIDX(45124,44949,,\"SPX\")":1.3581973,"MAS-US^P_BETA_LOCIDX(45121,44946,,\"SPX\")":1.383298,"MAS-US^P_BETA_LOCIDX(45120,44945,,\"SPX\")":1.4139478,"MAS-US^P_BETA_LOCIDX(45119,44944,,\"SPX\")":1.3894305,"MAS-US^P_BETA_LOCIDX(45118,44943,,\"SPX\")":1.3872796,"MAS-US^P_BETA_LOCIDX(45117,44939,,\"SPX\")":1.3819839,"MAS-US^P_BETA_LOCIDX(45114,44938,,\"SPX\")":1.3774562,"MAS-US^P_BETA_LOCIDX(45113,44937,,\"SPX\")":1.3795048,"MAS-US^P_BETA_LOCIDX(45112,44936,,\"SPX\")":1.3742626,"MAS-US^P_BETA_LOCIDX(45110,44935,,\"SPX\")":1.368137,"MAS-US^P_BETA_LOCIDX(45107,44932,,\"SPX\")":1.3693013,"MAS-US^P_BETA_LOCIDX(45106,44931,,\"SPX\")":1.3817788,"MAS-US^P_BETA_LOCIDX(45105,44930,,\"SPX\")":1.3915365,"MAS-US^P_BETA_LOCIDX(45104,44929,,\"SPX\")":1.3801041,"MAS-US^P_BETA_LOCIDX(45103,44925,,\"SPX\")":1.3709645,"MAS-US^P_BETA_LOCIDX(45100,44924,,\"SPX\")":1.375649,"MAS-US^P_BETA_LOCIDX(45099,44923,,\"SPX\")":1.3917654,"MAS-US^P_BETA_LOCIDX(45098,44922,,\"SPX\")":1.3923169,"MAS-US^P_BETA_LOCIDX(45097,44918,,\"SPX\")":1.3967562,"MAS-US^P_BETA_LOCIDX(45093,44917,,\"SPX\")":1.3816681,"MAS-US^P_BETA_LOCIDX(45092,44916,,\"SPX\")":1.3697484,"MAS-US^P_BETA_LOCIDX(45091,44915,,\"SPX\")":1.3734735,"MAS-US^P_BETA_LOCIDX(45090,44914,,\"SPX\")":1.3705685,"MAS-US^P_BETA_LOCIDX(45089,44911,,\"SPX\")":1.3766942,"MAS-US^P_BETA_LOCIDX(45086,44910,,\"SPX\")":1.3642571,"MAS-US^P_BETA_LOCIDX(45085,44909,,\"SPX\")":1.3745388,"MAS-US^P_BETA_LOCIDX(45084,44908,,\"SPX\")":1.3953164,"MAS-US^P_BETA_LOCIDX(45083,44907,,\"SPX\")":1.3953061,"MAS-US^P_BETA_LOCIDX(45082,44904,,\"SPX\")":1.3869672,"MAS-US^P_BETA_LOCIDX(45079,44903,,\"SPX\")":1.3880186,"MAS-US^P_BETA_LOCIDX(45078,44902,,\"SPX\")":1.3496808,"MAS-US^P_BETA_LOCIDX(45077,44901,,\"SPX\")":1.3476546,"MAS-US^P_BETA_LOCIDX(45076,44900,,\"SPX\")":1.3419949,"MAS-US^P_BETA_LOCIDX(45072,44897,,\"SPX\")":1.3434148,"MAS-US^P_BETA_LOCIDX(45071,44896,,\"SPX\")":1.3484799,"MAS-US^P_BETA_LOCIDX(45070,44895,,\"SPX\")":1.300616,"MAS-US^P_BETA_LOCIDX(45069,44894,,\"SPX\")":1.2958714,"MAS-US^P_BETA_LOCIDX(45068,44893,,\"SPX\")":1.295976,"MAS-US^P_BETA_LOCIDX(45065,44890,,\"SPX\")":1.2955184,"MAS-US^P_BETA_LOCIDX(45064,44888,,\"SPX\")":1.2932106,"MAS-US^P_BETA_LOCIDX(45063,44887,,\"SPX\")":1.287872,"MAS-US^P_BETA_LOCIDX(45062,44886,,\"SPX\")":1.2776688,"MAS-US^P_BETA_LOCIDX(45061,44883,,\"SPX\")":1.2764373,"MAS-US^P_BETA_LOCIDX(45058,44882,,\"SPX\")":1.2816516,"MAS-US^P_BETA_LOCIDX(45057,44881,,\"SPX\")":1.2810715,"MAS-US^P_BETA_LOCIDX(45056,44880,,\"SPX\")":1.2880203,"MAS-US^P_BETA_LOCIDX(45055,44879,,\"SPX\")":1.3042907,"MAS-US^P_BETA_LOCIDX(45054,44876,,\"SPX\")":1.3096672,"MAS-US^P_BETA_LOCIDX(45051,44875,,\"SPX\")":1.4501046,"MAS-US^P_BETA_LOCIDX(45050,44874,,\"SPX\")":1.4399412,"MAS-US^P_BETA_LOCIDX(45049,44873,,\"SPX\")":1.4393522,"MAS-US^P_BETA_LOCIDX(45048,44872,,\"SPX\")":1.4525344,"MAS-US^P_BETA_LOCIDX(45047,44869,,\"SPX\")":1.4602892,"MAS-US^P_BETA_LOCIDX(45044,44868,,\"SPX\")":1.468933,"MAS-US^P_BETA_LOCIDX(45043,44867,,\"SPX\")":1.4654653,"MAS-US^P_BETA_LOCIDX(45042,44866,,\"SPX\")":1.4549041,"MAS-US^P_BETA_LOCIDX(45041,44865,,\"SPX\")":1.4627677,"MAS-US^P_BETA_LOCIDX(45040,44862,,\"SPX\")":1.4521769,"MAS-US^P_BETA_LOCIDX(45037,44861,,\"SPX\")":1.4446362,"MAS-US^P_BETA_LOCIDX(45036,44860,,\"SPX\")":1.466799,"MAS-US^P_BETA_LOCIDX(45035,44859,,\"SPX\")":1.4788867,"MAS-US^P_BETA_LOCIDX(45034,44858,,\"SPX\")":1.477716,"MAS-US^P_BETA_LOCIDX(45033,44855,,\"SPX\")":1.4828774,"MAS-US^P_BETA_LOCIDX(45030,44854,,\"SPX\")":1.4934254,"MAS-US^P_BETA_LOCIDX(45029,44853,,\"SPX\")":1.5092592,"MAS-US^P_BETA_LOCIDX(45028,44852,,\"SPX\")":1.5178143,"MAS-US^P_BETA_LOCIDX(45027,44851,,\"SPX\")":1.4927495,"MAS-US^P_BETA_LOCIDX(45026,44848,,\"SPX\")":1.4921526,"MAS-US^P_BETA_LOCIDX(45022,44847,,\"SPX\")":1.4501563,"MAS-US^P_BETA_LOCIDX(45021,44846,,\"SPX\")":1.4516512,"MAS-US^P_BETA_LOCIDX(45020,44845,,\"SPX\")":1.4452901,"MAS-US^P_BETA_LOCIDX(45019,44844,,\"SPX\")":1.4308715,"MAS-US^P_BETA_LOCIDX(45016,44841,,\"SPX\")":1.4275153,"MAS-US^P_BETA_LOCIDX(45015,44840,,\"SPX\")":1.4073329,"MAS-US^P_BETA_LOCIDX(45014,44839,,\"SPX\")":1.4113345,"MAS-US^P_BETA_LOCIDX(45013,44838,,\"SPX\")":1.40584,"MAS-US^P_BETA_LOCIDX(45012,44837,,\"SPX\")":1.4112241,"MAS-US^P_BETA_LOCIDX(45009,44834,,\"SPX\")":1.404603,"MAS-US^P_BETA_LOCIDX(45008,44833,,\"SPX\")":1.4096398,"MAS-US^P_BETA_LOCIDX(45007,44832,,\"SPX\")":1.4425759,"MAS-US^P_BETA_LOCIDX(45006,44831,,\"SPX\")":1.4280466,"MAS-US^P_BETA_LOCIDX(45005,44830,,\"SPX\")":1.4302623,"MAS-US^P_BETA_LOCIDX(45002,44827,,\"SPX\")":1.4073292,"MAS-US^P_BETA_LOCIDX(45001,44826,,\"SPX\")":1.4075865,"MAS-US^P_BETA_LOCIDX(45000,44825,,\"SPX\")":1.4153785,"MAS-US^P_BETA_LOCIDX(44999,44824,,\"SPX\")":1.4182254,"MAS-US^P_BETA_LOCIDX(44998,44823,,\"SPX\")":1.4301641,"MAS-US^P_BETA_LOCIDX(44995,44820,,\"SPX\")":1.4287957,"MAS-US^P_BETA_LOCIDX(44994,44819,,\"SPX\")":1.4183639,"MAS-US^P_BETA_LOCIDX(44993,44818,,\"SPX\")":1.4317873,"MAS-US^P_BETA_LOCIDX(44992,44817,,\"SPX\")":1.4324429,"MAS-US^P_BETA_LOCIDX(44991,44816,,\"SPX\")":1.4330938,"MAS-US^P_BETA_LOCIDX(44988,44813,,\"SPX\")":1.433149,"MAS-US^P_BETA_LOCIDX(44987,44812,,\"SPX\")":1.437393,"MAS-US^P_BETA_LOCIDX(44986,44811,,\"SPX\")":1.4421809,"MAS-US^P_BETA_LOCIDX(44985,44810,,\"SPX\")":1.4414672,"MAS-US^P_BETA_LOCIDX(44984,44806,,\"SPX\")":1.443234,"MAS-US^P_BETA_LOCIDX(44981,44805,,\"SPX\")":1.4431237,"MAS-US^P_BETA_LOCIDX(44980,44804,,\"SPX\")":1.4406996,"MAS-US^P_BETA_LOCIDX(44979,44803,,\"SPX\")":1.432167,"MAS-US^P_BETA_LOCIDX(44978,44802,,\"SPX\")":1.4312899,"MAS-US^P_BETA_LOCIDX(44974,44799,,\"SPX\")":1.4155446,"MAS-US^P_BETA_LOCIDX(44973,44798,,\"SPX\")":1.4109164,"MAS-US^P_BETA_LOCIDX(44972,44797,,\"SPX\")":1.4174684,"MAS-US^P_BETA_LOCIDX(44971,44796,,\"SPX\")":1.4174159,"MAS-US^P_BETA_LOCIDX(44970,44795,,\"SPX\")":1.4283129,"MAS-US^P_BETA_LOCIDX(44967,44792,,\"SPX\")":1.4228215,"MAS-US^P_BETA_LOCIDX(44966,44791,,\"SPX\")":1.4209214,"MAS-US^P_BETA_LOCIDX(44965,44790,,\"SPX\")":1.420342,"MAS-US^P_BETA_LOCIDX(44964,44789,,\"SPX\")":1.424442,"MAS-US^P_BETA_LOCIDX(44963,44788,,\"SPX\")":1.4308554,"MAS-US^P_BETA_LOCIDX(44960,44785,,\"SPX\")":1.421344,"MAS-US^P_BETA_LOCIDX(44959,44784,,\"SPX\")":1.4172097,"MAS-US^P_BETA_LOCIDX(44958,44783,,\"SPX\")":1.4189681,"MAS-US^P_BETA_LOCIDX(44957,44782,,\"SPX\")":1.421109,"MAS-US^P_BETA_LOCIDX(44956,44781,,\"SPX\")":1.4009806,"MAS-US^P_BETA_LOCIDX(44953,44778,,\"SPX\")":1.4038302,"MAS-US^P_BETA_LOCIDX(44952,44777,,\"SPX\")":1.4029013,"MAS-US^P_BETA_LOCIDX(44951,44776,,\"SPX\")":1.390793,"MAS-US^P_BETA_LOCIDX(44950,44775,,\"SPX\")":1.3968327,"MAS-US^P_BETA_LOCIDX(44949,44774,,\"SPX\")":1.3970891,"MAS-US^P_BETA_LOCIDX(44946,44771,,\"SPX\")":1.3855813,"MAS-US^P_BETA_LOCIDX(44945,44770,,\"SPX\")":1.3796742,"MAS-US^P_BETA_LOCIDX(44944,44769,,\"SPX\")":1.3130577,"MAS-US^P_BETA_LOCIDX(44943,44768,,\"SPX\")":1.3147129,"MAS-US^P_BETA_LOCIDX(44939,44767,,\"SPX\")":1.3124921,"MAS-US^P_BETA_LOCIDX(44938,44764,,\"SPX\")":1.3081075,"MAS-US^P_BETA_LOCIDX(44937,44763,,\"SPX\")":1.3137412,"MAS-US^P_BETA_LOCIDX(44936,44762,,\"SPX\")":1.3136765,"MAS-US^P_BETA_LOCIDX(44935,44761,,\"SPX\")":1.3011328,"MAS-US^P_BETA_LOCIDX(44932,44760,,\"SPX\")":1.3012826,"MAS-US^P_BETA_LOCIDX(44931,44757,,\"SPX\")":1.2888938,"MAS-US^P_BETA_LOCIDX(44930,44756,,\"SPX\")":1.2902033,"MAS-US^P_BETA_LOCIDX(44929,44755,,\"SPX\")":1.2826581,"MAS-US^P_BETA_LOCIDX(44925,44754,,\"SPX\")":1.2809365,"MAS-US^P_BETA_LOCIDX(44924,44753,,\"SPX\")":1.2722219,"MAS-US^P_BETA_LOCIDX(44923,44750,,\"SPX\")":1.270786,"MAS-US^P_BETA_LOCIDX(44922,44749,,\"SPX\")":1.2572432,"MAS-US^P_BETA_LOCIDX(44918,44748,,\"SPX\")":1.2574764,"MAS-US^P_BETA_LOCIDX(44917,44747,,\"SPX\")":1.2590573,"MAS-US^P_BETA_LOCIDX(44916,44743,,\"SPX\")":1.2702031,"MAS-US^P_BETA_LOCIDX(44915,44742,,\"SPX\")":1.2682973,"MAS-US^P_BETA_LOCIDX(44914,44741,,\"SPX\")":1.269088,"MAS-US^P_BETA_LOCIDX(44911,44740,,\"SPX\")":1.256617,"MAS-US^P_BETA_LOCIDX(44910,44739,,\"SPX\")":1.2527034,"MAS-US^P_BETA_LOCIDX(44909,44736,,\"SPX\")":1.2612569,"MAS-US^P_BETA_LOCIDX(44908,44735,,\"SPX\")":1.2685318,"MAS-US^P_BETA_LOCIDX(44907,44734,,\"SPX\")":1.2617697,"MAS-US^P_BETA_LOCIDX(44904,44733,,\"SPX\")":1.2335236,"MAS-US^P_BETA_LOCIDX(44903,44729,,\"SPX\")":1.2340921,"MAS-US^P_BETA_LOCIDX(44902,44728,,\"SPX\")":1.2598213,"MAS-US^P_BETA_LOCIDX(44901,44727,,\"SPX\")":1.2495613,"MAS-US^P_BETA_LOCIDX(44900,44726,,\"SPX\")":1.2512734,"MAS-US^P_BETA_LOCIDX(44897,44725,,\"SPX\")":1.2407469,"MAS-US^P_BETA_LOCIDX(44896,44722,,\"SPX\")":1.2380652,"MAS-US^P_BETA_LOCIDX(44895,44721,,\"SPX\")":1.210632,"MAS-US^P_BETA_LOCIDX(44894,44720,,\"SPX\")":1.2300125,"MAS-US^P_BETA_LOCIDX(44893,44719,,\"SPX\")":1.227286,"MAS-US^P_BETA_LOCIDX(44890,44718,,\"SPX\")":1.2266165,"MAS-US^P_BETA_LOCIDX(44888,44715,,\"SPX\")":1.220494,"MAS-US^P_BETA_LOCIDX(44887,44714,,\"SPX\")":1.2196461,"MAS-US^P_BETA_LOCIDX(44886,44713,,\"SPX\")":1.2227802,"MAS-US^P_BETA_LOCIDX(44883,44712,,\"SPX\")":1.2249053,"MAS-US^P_BETA_LOCIDX(44882,44708,,\"SPX\")":1.2092472,"MAS-US^P_BETA_LOCIDX(44881,44707,,\"SPX\")":1.2078743,"MAS-US^P_BETA_LOCIDX(44880,44706,,\"SPX\")":1.2108737,"MAS-US^P_BETA_LOCIDX(44879,44705,,\"SPX\")":1.2051774,"MAS-US^P_BETA_LOCIDX(44876,44704,,\"SPX\")":1.1930468,"MAS-US^P_BETA_LOCIDX(44875,44701,,\"SPX\")":1.1907622,"MAS-US^P_BETA_LOCIDX(44874,44700,,\"SPX\")":1.0949818,"MAS-US^P_BETA_LOCIDX(44873,44699,,\"SPX\")":1.088203,"MAS-US^P_BETA_LOCIDX(44872,44698,,\"SPX\")":1.0818253,"MAS-US^P_BETA_LOCIDX(44869,44697,,\"SPX\")":1.0765343,"MAS-US^P_BETA_LOCIDX(44868,44694,,\"SPX\")":1.0681334,"MAS-US^P_BETA_LOCIDX(44867,44693,,\"SPX\")":1.0614997,"MAS-US^P_BETA_LOCIDX(44866,44692,,\"SPX\")":1.0546104,"MAS-US^P_BETA_LOCIDX(44865,44691,,\"SPX\")":1.0524346,"MAS-US^P_BETA_LOCIDX(44862,44690,,\"SPX\")":1.0009093,"MAS-US^P_BETA_LOCIDX(44861,44687,,\"SPX\")":1.0036216,"MAS-US^P_BETA_LOCIDX(44860,44686,,\"SPX\")":1.001323,"MAS-US^P_BETA_LOCIDX(44859,44685,,\"SPX\")":0.99673575,"MAS-US^P_BETA_LOCIDX(44858,44684,,\"SPX\")":0.9934111,"MAS-US^P_BETA_LOCIDX(44855,44683,,\"SPX\")":0.9919229,"MAS-US^P_BETA_LOCIDX(44854,44680,,\"SPX\")":0.9878105,"MAS-US^P_BETA_LOCIDX(44853,44679,,\"SPX\")":0.9653206,"MAS-US^P_BETA_LOCIDX(44852,44678,,\"SPX\")":0.96156865,"MAS-US^P_BETA_LOCIDX(44851,44677,,\"SPX\")":0.92981404,"MAS-US^P_BETA_LOCIDX(44848,44676,,\"SPX\")":0.93869823,"MAS-US^P_BETA_LOCIDX(44847,44673,,\"SPX\")":0.9280671,"MAS-US^P_BETA_LOCIDX(44846,44672,,\"SPX\")":0.93874156,"MAS-US^P_BETA_LOCIDX(44845,44671,,\"SPX\")":0.9389716,"MAS-US^P_BETA_LOCIDX(44844,44670,,\"SPX\")":0.95046693,"MAS-US^P_BETA_LOCIDX(44841,44669,,\"SPX\")":0.9525325,"MAS-US^P_BETA_LOCIDX(44840,44665,,\"SPX\")":0.9449473,"MAS-US^P_BETA_LOCIDX(44839,44664,,\"SPX\")":0.95248425,"MAS-US^P_BETA_LOCIDX(44838,44663,,\"SPX\")":0.9528114,"MAS-US^P_BETA_LOCIDX(44837,44662,,\"SPX\")":0.94438845,"MAS-US^P_BETA_LOCIDX(44834,44659,,\"SPX\")":0.9320405,"MAS-US^P_BETA_LOCIDX(44833,44658,,\"SPX\")":0.93083894,"MAS-US^P_BETA_LOCIDX(44832,44657,,\"SPX\")":0.91981274,"MAS-US^P_BETA_LOCIDX(44831,44656,,\"SPX\")":0.89176023,"MAS-US^P_BETA_LOCIDX(44830,44655,,\"SPX\")":0.8918634,"MAS-US^P_BETA_LOCIDX(44827,44652,,\"SPX\")":0.88831425,"MAS-US^P_BETA_LOCIDX(44826,44651,,\"SPX\")":0.91224617,"MAS-US^P_BETA_LOCIDX(44825,44650,,\"SPX\")":0.9126726,"MAS-US^P_BETA_LOCIDX(44824,44649,,\"SPX\")":0.9246437,"MAS-US^P_BETA_LOCIDX(44823,44648,,\"SPX\")":0.9218035,"MAS-US^P_BETA_LOCIDX(44820,44645,,\"SPX\")":0.9166433,"MAS-US^P_BETA_LOCIDX(44819,44644,,\"SPX\")":0.90567935,"MAS-US^P_BETA_LOCIDX(44818,44643,,\"SPX\")":0.9201009,"MAS-US^P_BETA_LOCIDX(44817,44642,,\"SPX\")":0.9136344,"MAS-US^P_BETA_LOCIDX(44816,44641,,\"SPX\")":0.87937075,"MAS-US^P_BETA_LOCIDX(44813,44638,,\"SPX\")":0.8790082,"MAS-US^P_BETA_LOCIDX(44812,44637,,\"SPX\")":0.87611324,"MAS-US^P_BETA_LOCIDX(44811,44636,,\"SPX\")":0.8670682,"MAS-US^P_BETA_LOCIDX(44810,44635,,\"SPX\")":0.8639162,"MAS-US^P_BETA_LOCIDX(44806,44634,,\"SPX\")":0.85955876,"MAS-US^P_BETA_LOCIDX(44805,44631,,\"SPX\")":0.8526095,"MAS-US^P_BETA_LOCIDX(44804,44630,,\"SPX\")":0.8533431,"MAS-US^P_BETA_LOCIDX(44803,44629,,\"SPX\")":0.861951,"MAS-US^P_BETA_LOCIDX(44802,44628,,\"SPX\")":0.8633567,"MAS-US^P_BETA_LOCIDX(44799,44627,,\"SPX\")":0.8902008,"MAS-US^P_BETA_LOCIDX(44798,44624,,\"SPX\")":0.87797564,"MAS-US^P_BETA_LOCIDX(44797,44623,,\"SPX\")":0.8775826,"MAS-US^P_BETA_LOCIDX(44796,44622,,\"SPX\")":0.8861995,"MAS-US^P_BETA_LOCIDX(44795,44621,,\"SPX\")":0.8919152,"MAS-US^P_BETA_LOCIDX(44792,44620,,\"SPX\")":0.8749845,"MAS-US^P_BETA_LOCIDX(44791,44617,,\"SPX\")":0.8752769,"MAS-US^P_BETA_LOCIDX(44790,44616,,\"SPX\")":0.8712358,"MAS-US^P_BETA_LOCIDX(44789,44615,,\"SPX\")":0.8732204,"MAS-US^P_BETA_LOCIDX(44788,44614,,\"SPX\")":0.8794051,"MAS-US^P_BETA_LOCIDX(44785,44610,,\"SPX\")":0.8794618,"MAS-US^P_BETA_LOCIDX(44784,44609,,\"SPX\")":0.8776715,"MAS-US^P_BETA_LOCIDX(44783,44608,,\"SPX\")":0.8783388,"MAS-US^P_BETA_LOCIDX(44782,44607,,\"SPX\")":0.8571386,"MAS-US^P_BETA_LOCIDX(44781,44606,,\"SPX\")":0.8538919,"MAS-US^P_BETA_LOCIDX(44778,44603,,\"SPX\")":0.84974337,"MAS-US^P_BETA_LOCIDX(44777,44602,,\"SPX\")":0.8624314,"MAS-US^P_BETA_LOCIDX(44776,44601,,\"SPX\")":0.8682739,"MAS-US^P_BETA_LOCIDX(44775,44600,,\"SPX\")":0.8774892,"MAS-US^P_BETA_LOCIDX(44774,44599,,\"SPX\")":0.873758,"MAS-US^P_BETA_LOCIDX(45845,45670,,\"SPX\")":1.0225551,"CAT-US^P_BETA_LOCIDX(45841,45665,,\"SPX\")":1.1421884,"CAT-US^P_BETA_LOCIDX(45840,45664,,\"SPX\")":1.1416014,"CAT-US^P_BETA_LOCIDX(45839,45663,,\"SPX\")":1.1386145,"CAT-US^P_BETA_LOCIDX(45838,45660,,\"SPX\")":1.1376427,"CAT-US^P_BETA_LOCIDX(45835,45659,,\"SPX\")":1.1377168,"CAT-US^P_BETA_LOCIDX(45834,45657,,\"SPX\")":1.1368269,"CAT-US^P_BETA_LOCIDX(45833,45656,,\"SPX\")":1.1292433,"CAT-US^P_BETA_LOCIDX(45832,45653,,\"SPX\")":1.1267842,"CAT-US^P_BETA_LOCIDX(45831,45652,,\"SPX\")":1.1245605,"CAT-US^P_BETA_LOCIDX(45828,45650,,\"SPX\")":1.120466,"CAT-US^P_BETA_LOCIDX(45826,45649,,\"SPX\")":1.1183982,"CAT-US^P_BETA_LOCIDX(45825,45646,,\"SPX\")":1.1198783,"CAT-US^P_BETA_LOCIDX(45824,45645,,\"SPX\")":1.1191481,"CAT-US^P_BETA_LOCIDX(45821,45644,,\"SPX\")":1.1161507,"CAT-US^P_BETA_LOCIDX(45820,45643,,\"SPX\")":1.1174079,"CAT-US^P_BETA_LOCIDX(45819,45642,,\"SPX\")":1.1176473,"CAT-US^P_BETA_LOCIDX(45818,45639,,\"SPX\")":1.1191905,"CAT-US^P_BETA_LOCIDX(45817,45638,,\"SPX\")":1.1226153,"CAT-US^P_BETA_LOCIDX(45814,45637,,\"SPX\")":1.1202241,"CAT-US^P_BETA_LOCIDX(45813,45636,,\"SPX\")":1.1219283,"CAT-US^P_BETA_LOCIDX(45812,45635,,\"SPX\")":1.1191417,"CAT-US^P_BETA_LOCIDX(45811,45632,,\"SPX\")":1.118977,"CAT-US^P_BETA_LOCIDX(45810,45631,,\"SPX\")":1.1179005,"CAT-US^P_BETA_LOCIDX(45807,45630,,\"SPX\")":1.1186953,"CAT-US^P_BETA_LOCIDX(45806,45629,,\"SPX\")":1.1185551,"CAT-US^P_BETA_LOCIDX(45805,45628,,\"SPX\")":1.117235,"CAT-US^P_BETA_LOCIDX(45804,45625,,\"SPX\")":1.1176188,"CAT-US^P_BETA_LOCIDX(45800,45623,,\"SPX\")":1.1170192,"CAT-US^P_BETA_LOCIDX(45799,45622,,\"SPX\")":1.117754,"CAT-US^P_BETA_LOCIDX(45798,45621,,\"SPX\")":1.1197886,"CAT-US^P_BETA_LOCIDX(45797,45618,,\"SPX\")":1.1212596,"CAT-US^P_BETA_LOCIDX(45796,45617,,\"SPX\")":1.1236022,"CAT-US^P_BETA_LOCIDX(45793,45616,,\"SPX\")":1.1236879,"CAT-US^P_BETA_LOCIDX(45792,45615,,\"SPX\")":1.1216213,"CAT-US^P_BETA_LOCIDX(45791,45614,,\"SPX\")":1.1217545,"CAT-US^P_BETA_LOCIDX(45790,45611,,\"SPX\")":1.1188539,"CAT-US^P_BETA_LOCIDX(45789,45610,,\"SPX\")":1.1117516,"CAT-US^P_BETA_LOCIDX(45786,45609,,\"SPX\")":1.0921094,"CAT-US^P_BETA_LOCIDX(45785,45608,,\"SPX\")":1.0926142,"CAT-US^P_BETA_LOCIDX(45784,45607,,\"SPX\")":1.0914419,"CAT-US^P_BETA_LOCIDX(45783,45604,,\"SPX\")":1.0865307,"CAT-US^P_BETA_LOCIDX(45782,45603,,\"SPX\")":1.0796955,"CAT-US^P_BETA_LOCIDX(45779,45602,,\"SPX\")":1.135698,"CAT-US^P_BETA_LOCIDX(45778,45601,,\"SPX\")":1.130081,"CAT-US^P_BETA_LOCIDX(45777,45600,,\"SPX\")":1.1283607,"CAT-US^P_BETA_LOCIDX(45776,45597,,\"SPX\")":1.1288974,"CAT-US^P_BETA_LOCIDX(45775,45596,,\"SPX\")":1.1206867,"CAT-US^P_BETA_LOCIDX(45772,45595,,\"SPX\")":1.1223004,"CAT-US^P_BETA_LOCIDX(45771,45594,,\"SPX\")":1.123948,"CAT-US^P_BETA_LOCIDX(45770,45593,,\"SPX\")":1.113363,"CAT-US^P_BETA_LOCIDX(45769,45590,,\"SPX\")":1.1141987,"CAT-US^P_BETA_LOCIDX(45768,45589,,\"SPX\")":1.1182817,"CAT-US^P_BETA_LOCIDX(45764,45588,,\"SPX\")":1.1129165,"CAT-US^P_BETA_LOCIDX(45763,45587,,\"SPX\")":1.1118104,"CAT-US^P_BETA_LOCIDX(45762,45586,,\"SPX\")":1.124475,"CAT-US^P_BETA_LOCIDX(45761,45583,,\"SPX\")":1.1231562,"CAT-US^P_BETA_LOCIDX(45758,45582,,\"SPX\")":1.1204833,"CAT-US^P_BETA_LOCIDX(45757,45581,,\"SPX\")":1.1255233,"CAT-US^P_BETA_LOCIDX(45756,45580,,\"SPX\")":1.1283308,"CAT-US^P_BETA_LOCIDX(45755,45579,,\"SPX\")":1.1560724,"CAT-US^P_BETA_LOCIDX(45754,45576,,\"SPX\")":1.1577613,"CAT-US^P_BETA_LOCIDX(45751,45575,,\"SPX\")":1.1554666,"CAT-US^P_BETA_LOCIDX(45750,45574,,\"SPX\")":1.2243406,"CAT-US^P_BETA_LOCIDX(45749,45573,,\"SPX\")":1.065029,"CAT-US^P_BETA_LOCIDX(45748,45572,,\"SPX\")":1.047155,"CAT-US^P_BETA_LOCIDX(45747,45569,,\"SPX\")":1.0536832,"CAT-US^P_BETA_LOCIDX(45744,45568,,\"SPX\")":1.0567945,"CAT-US^P_BETA_LOCIDX(45743,45567,,\"SPX\")":1.0441496,"CAT-US^P_BETA_LOCIDX(45742,45566,,\"SPX\")":1.0306354,"CAT-US^P_BETA_LOCIDX(45741,45565,,\"SPX\")":1.038518,"CAT-US^P_BETA_LOCIDX(45740,45562,,\"SPX\")":1.0378183,"CAT-US^P_BETA_LOCIDX(45737,45561,,\"SPX\")":1.0504473,"CAT-US^P_BETA_LOCIDX(45736,45560,,\"SPX\")":1.0538473,"CAT-US^P_BETA_LOCIDX(45735,45559,,\"SPX\")":1.0631816,"CAT-US^P_BETA_LOCIDX(45734,45558,,\"SPX\")":1.0705012,"CAT-US^P_BETA_LOCIDX(45733,45555,,\"SPX\")":1.0662521,"CAT-US^P_BETA_LOCIDX(45730,45554,,\"SPX\")":1.124549,"CAT-US^P_BETA_LOCIDX(45729,45553,,\"SPX\")":1.1332101,"CAT-US^P_BETA_LOCIDX(45728,45552,,\"SPX\")":1.1363378,"CAT-US^P_BETA_LOCIDX(45727,45551,,\"SPX\")":1.14303,"CAT-US^P_BETA_LOCIDX(45726,45548,,\"SPX\")":1.1432427,"CAT-US^P_BETA_LOCIDX(45723,45547,,\"SPX\")":1.2016933,"CAT-US^P_BETA_LOCIDX(45722,45546,,\"SPX\")":1.1758021,"CAT-US^P_BETA_LOCIDX(45721,45545,,\"SPX\")":1.2400953,"CAT-US^P_BETA_LOCIDX(45720,45544,,\"SPX\")":1.2102584,"CAT-US^P_BETA_LOCIDX(45719,45541,,\"SPX\")":1.1897118,"CAT-US^P_BETA_LOCIDX(45716,45540,,\"SPX\")":1.1611184,"CAT-US^P_BETA_LOCIDX(45715,45539,,\"SPX\")":1.1763744,"CAT-US^P_BETA_LOCIDX(45714,45538,,\"SPX\")":1.2549578,"CAT-US^P_BETA_LOCIDX(45713,45534,,\"SPX\")":1.2559661,"CAT-US^P_BETA_LOCIDX(45712,45533,,\"SPX\")":1.2665038,"CAT-US^P_BETA_LOCIDX(45709,45532,,\"SPX\")":1.2691735,"CAT-US^P_BETA_LOCIDX(45708,45531,,\"SPX\")":1.2604542,"CAT-US^P_BETA_LOCIDX(45707,45530,,\"SPX\")":1.2506505,"CAT-US^P_BETA_LOCIDX(45706,45527,,\"SPX\")":1.2573211,"CAT-US^P_BETA_LOCIDX(45702,45526,,\"SPX\")":1.2447453,"CAT-US^P_BETA_LOCIDX(45701,45525,,\"SPX\")":1.2420895,"CAT-US^P_BETA_LOCIDX(45700,45524,,\"SPX\")":1.2523252,"CAT-US^P_BETA_LOCIDX(45699,45523,,\"SPX\")":1.2315679,"CAT-US^P_BETA_LOCIDX(45698,45520,,\"SPX\")":1.2300826,"CAT-US^P_BETA_LOCIDX(45695,45519,,\"SPX\")":1.245869,"CAT-US^P_BETA_LOCIDX(45694,45518,,\"SPX\")":1.2533854,"CAT-US^P_BETA_LOCIDX(45693,45517,,\"SPX\")":1.2242199,"CAT-US^P_BETA_LOCIDX(45692,45516,,\"SPX\")":1.2295486,"CAT-US^P_BETA_LOCIDX(45691,45513,,\"SPX\")":1.2356627,"CAT-US^P_BETA_LOCIDX(45688,45512,,\"SPX\")":1.2278692,"CAT-US^P_BETA_LOCIDX(45687,45511,,\"SPX\")":1.2172676,"CAT-US^P_BETA_LOCIDX(45686,45510,,\"SPX\")":1.2613282,"CAT-US^P_BETA_LOCIDX(45685,45509,,\"SPX\")":1.1874206,"CAT-US^P_BETA_LOCIDX(45684,45506,,\"SPX\")":1.2288487,"CAT-US^P_BETA_LOCIDX(45681,45505,,\"SPX\")":1.2463336,"CAT-US^P_BETA_LOCIDX(45680,45504,,\"SPX\")":1.2382778,"CAT-US^P_BETA_LOCIDX(45679,45503,,\"SPX\")":1.232952,"CAT-US^P_BETA_LOCIDX(45678,45502,,\"SPX\")":1.2382154,"CAT-US^P_BETA_LOCIDX(45674,45499,,\"SPX\")":1.2257898,"CAT-US^P_BETA_LOCIDX(45673,45498,,\"SPX\")":1.2052424,"CAT-US^P_BETA_LOCIDX(45672,45497,,\"SPX\")":1.2005883,"CAT-US^P_BETA_LOCIDX(45671,45496,,\"SPX\")":1.2256281,"CAT-US^P_BETA_LOCIDX(45670,45495,,\"SPX\")":1.2114584,"CAT-US^P_BETA_LOCIDX(45667,45492,,\"SPX\")":1.2190136,"CAT-US^P_BETA_LOCIDX(45665,45491,,\"SPX\")":1.2012649,"CAT-US^P_BETA_LOCIDX(45664,45490,,\"SPX\")":1.1889582,"CAT-US^P_BETA_LOCIDX(45663,45489,,\"SPX\")":1.2209125,"CAT-US^P_BETA_LOCIDX(45660,45488,,\"SPX\")":1.2297897,"CAT-US^P_BETA_LOCIDX(45659,45485,,\"SPX\")":1.2385042,"CAT-US^P_BETA_LOCIDX(45657,45484,,\"SPX\")":1.2201809,"CAT-US^P_BETA_LOCIDX(45656,45483,,\"SPX\")":1.2168338,"CAT-US^P_BETA_LOCIDX(45653,45482,,\"SPX\")":1.2251484,"CAT-US^P_BETA_LOCIDX(45652,45481,,\"SPX\")":1.2335918,"CAT-US^P_BETA_LOCIDX(45650,45478,,\"SPX\")":1.2270107,"CAT-US^P_BETA_LOCIDX(45649,45476,,\"SPX\")":1.2360888,"CAT-US^P_BETA_LOCIDX(45646,45475,,\"SPX\")":1.2368091,"CAT-US^P_BETA_LOCIDX(45645,45474,,\"SPX\")":1.231343,"CAT-US^P_BETA_LOCIDX(45644,45471,,\"SPX\")":1.2193961,"CAT-US^P_BETA_LOCIDX(45643,45470,,\"SPX\")":1.2329985,"CAT-US^P_BETA_LOCIDX(45642,45469,,\"SPX\")":1.2306718,"CAT-US^P_BETA_LOCIDX(45639,45468,,\"SPX\")":1.2292116,"CAT-US^P_BETA_LOCIDX(45638,45467,,\"SPX\")":1.2246133,"CAT-US^P_BETA_LOCIDX(45637,45464,,\"SPX\")":1.2148895,"CAT-US^P_BETA_LOCIDX(45636,45463,,\"SPX\")":1.2168192,"CAT-US^P_BETA_LOCIDX(45635,45461,,\"SPX\")":1.2071444,"CAT-US^P_BETA_LOCIDX(45632,45460,,\"SPX\")":1.2156446,"CAT-US^P_BETA_LOCIDX(45631,45457,,\"SPX\")":1.2186068,"CAT-US^P_BETA_LOCIDX(45630,45456,,\"SPX\")":1.2138277,"CAT-US^P_BETA_LOCIDX(45629,45455,,\"SPX\")":1.2124254,"CAT-US^P_BETA_LOCIDX(45628,45454,,\"SPX\")":1.2097547,"CAT-US^P_BETA_LOCIDX(45625,45453,,\"SPX\")":1.2114557,"CAT-US^P_BETA_LOCIDX(45623,45450,,\"SPX\")":1.2115895,"CAT-US^P_BETA_LOCIDX(45622,45449,,\"SPX\")":1.2087337,"CAT-US^P_BETA_LOCIDX(45621,45448,,\"SPX\")":1.198614,"CAT-US^P_BETA_LOCIDX(45618,45447,,\"SPX\")":1.1942745,"CAT-US^P_BETA_LOCIDX(45617,45446,,\"SPX\")":1.1897057,"CAT-US^P_BETA_LOCIDX(45616,45443,,\"SPX\")":1.1733074,"CAT-US^P_BETA_LOCIDX(45615,45442,,\"SPX\")":1.1648868,"CAT-US^P_BETA_LOCIDX(45614,45441,,\"SPX\")":1.1826512,"CAT-US^P_BETA_LOCIDX(45611,45440,,\"SPX\")":1.1843597,"CAT-US^P_BETA_LOCIDX(45610,45436,,\"SPX\")":1.1870325,"CAT-US^P_BETA_LOCIDX(45609,45435,,\"SPX\")":1.1990186,"CAT-US^P_BETA_LOCIDX(45608,45434,,\"SPX\")":1.199838,"CAT-US^P_BETA_LOCIDX(45607,45433,,\"SPX\")":1.195445,"CAT-US^P_BETA_LOCIDX(45604,45432,,\"SPX\")":1.1952463,"CAT-US^P_BETA_LOCIDX(45603,45429,,\"SPX\")":1.2079967,"CAT-US^P_BETA_LOCIDX(45602,45428,,\"SPX\")":1.2381527,"CAT-US^P_BETA_LOCIDX(45601,45427,,\"SPX\")":1.0614337,"CAT-US^P_BETA_LOCIDX(45600,45426,,\"SPX\")":1.0535444,"CAT-US^P_BETA_LOCIDX(45597,45425,,\"SPX\")":1.0506103,"CAT-US^P_BETA_LOCIDX(45596,45422,,\"SPX\")":1.0493382,"CAT-US^P_BETA_LOCIDX(45595,45421,,\"SPX\")":1.0869187,"CAT-US^P_BETA_LOCIDX(45594,45420,,\"SPX\")":1.0773791,"CAT-US^P_BETA_LOCIDX(45593,45419,,\"SPX\")":1.0784512,"CAT-US^P_BETA_LOCIDX(45590,45418,,\"SPX\")":1.08205,"CAT-US^P_BETA_LOCIDX(45589,45415,,\"SPX\")":1.0676832,"CAT-US^P_BETA_LOCIDX(45588,45414,,\"SPX\")":1.0708808,"CAT-US^P_BETA_LOCIDX(45587,45413,,\"SPX\")":1.0785128,"CAT-US^P_BETA_LOCIDX(45586,45412,,\"SPX\")":1.1317605,"CAT-US^P_BETA_LOCIDX(45583,45411,,\"SPX\")":1.1331744,"CAT-US^P_BETA_LOCIDX(45582,45408,,\"SPX\")":1.1399052,"CAT-US^P_BETA_LOCIDX(45581,45407,,\"SPX\")":1.1851498,"CAT-US^P_BETA_LOCIDX(45580,45406,,\"SPX\")":1.1810012,"CAT-US^P_BETA_LOCIDX(45579,45405,,\"SPX\")":1.1781324,"CAT-US^P_BETA_LOCIDX(45576,45404,,\"SPX\")":1.1985439,"CAT-US^P_BETA_LOCIDX(45575,45401,,\"SPX\")":1.1926254,"CAT-US^P_BETA_LOCIDX(45574,45400,,\"SPX\")":1.1933893,"CAT-US^P_BETA_LOCIDX(45573,45399,,\"SPX\")":1.1816212,"CAT-US^P_BETA_LOCIDX(45572,45398,,\"SPX\")":1.2223423,"CAT-US^P_BETA_LOCIDX(45569,45397,,\"SPX\")":1.2251664,"CAT-US^P_BETA_LOCIDX(45568,45394,,\"SPX\")":1.2186837,"CAT-US^P_BETA_LOCIDX(45567,45393,,\"SPX\")":1.2104824,"CAT-US^P_BETA_LOCIDX(45566,45392,,\"SPX\")":1.1964709,"CAT-US^P_BETA_LOCIDX(45565,45391,,\"SPX\")":1.2134,"CAT-US^P_BETA_LOCIDX(45562,45390,,\"SPX\")":1.2171652,"CAT-US^P_BETA_LOCIDX(45561,45387,,\"SPX\")":1.2325826,"CAT-US^P_BETA_LOCIDX(45560,45386,,\"SPX\")":1.2223831,"CAT-US^P_BETA_LOCIDX(45559,45385,,\"SPX\")":1.2181624,"CAT-US^P_BETA_LOCIDX(45558,45384,,\"SPX\")":1.2001098,"CAT-US^P_BETA_LOCIDX(45555,45383,,\"SPX\")":1.2005837,"CAT-US^P_BETA_LOCIDX(45554,45379,,\"SPX\")":1.1980736,"CAT-US^P_BETA_LOCIDX(45553,45378,,\"SPX\")":1.1520222,"CAT-US^P_BETA_LOCIDX(45552,45377,,\"SPX\")":1.1532595,"CAT-US^P_BETA_LOCIDX(45551,45376,,\"SPX\")":1.1547443,"CAT-US^P_BETA_LOCIDX(45548,45373,,\"SPX\")":1.157725,"CAT-US^P_BETA_LOCIDX(45547,45372,,\"SPX\")":1.1573627,"CAT-US^P_BETA_LOCIDX(45546,45371,,\"SPX\")":1.1507196,"CAT-US^P_BETA_LOCIDX(45545,45370,,\"SPX\")":1.1608969,"CAT-US^P_BETA_LOCIDX(45544,45369,,\"SPX\")":1.1677215,"CAT-US^P_BETA_LOCIDX(45541,45366,,\"SPX\")":1.1472809,"CAT-US^P_BETA_LOCIDX(45540,45365,,\"SPX\")":1.1619126,"CAT-US^P_BETA_LOCIDX(45539,45364,,\"SPX\")":1.155025,"CAT-US^P_BETA_LOCIDX(45538,45363,,\"SPX\")":1.1459477,"CAT-US^P_BETA_LOCIDX(45534,45362,,\"SPX\")":1.0943245,"CAT-US^P_BETA_LOCIDX(45533,45359,,\"SPX\")":1.0878655,"CAT-US^P_BETA_LOCIDX(45532,45358,,\"SPX\")":1.0922501,"CAT-US^P_BETA_LOCIDX(45531,45357,,\"SPX\")":1.0916806,"CAT-US^P_BETA_LOCIDX(45530,45356,,\"SPX\")":1.0966336,"CAT-US^P_BETA_LOCIDX(45527,45355,,\"SPX\")":1.1004992,"CAT-US^P_BETA_LOCIDX(45526,45352,,\"SPX\")":1.0930988,"CAT-US^P_BETA_LOCIDX(45525,45351,,\"SPX\")":1.1078972,"CAT-US^P_BETA_LOCIDX(45524,45350,,\"SPX\")":1.1075065,"CAT-US^P_BETA_LOCIDX(45523,45349,,\"SPX\")":1.1076108,"CAT-US^P_BETA_LOCIDX(45520,45348,,\"SPX\")":1.1102586,"CAT-US^P_BETA_LOCIDX(45519,45345,,\"SPX\")":1.1112808,"CAT-US^P_BETA_LOCIDX(45518,45344,,\"SPX\")":1.0805154,"CAT-US^P_BETA_LOCIDX(45517,45343,,\"SPX\")":1.0839373,"CAT-US^P_BETA_LOCIDX(45516,45342,,\"SPX\")":1.1200705,"CAT-US^P_BETA_LOCIDX(45513,45338,,\"SPX\")":1.1183585,"CAT-US^P_BETA_LOCIDX(45512,45337,,\"SPX\")":1.126854,"CAT-US^P_BETA_LOCIDX(45511,45336,,\"SPX\")":1.1112508,"CAT-US^P_BETA_LOCIDX(45510,45335,,\"SPX\")":1.140567,"CAT-US^P_BETA_LOCIDX(45509,45334,,\"SPX\")":1.1129923,"CAT-US^P_BETA_LOCIDX(45506,45331,,\"SPX\")":1.1923692,"CAT-US^P_BETA_LOCIDX(45505,45330,,\"SPX\")":1.1633142,"CAT-US^P_BETA_LOCIDX(45504,45329,,\"SPX\")":1.0939847,"CAT-US^P_BETA_LOCIDX(45503,45328,,\"SPX\")":1.1042218,"CAT-US^P_BETA_LOCIDX(45502,45327,,\"SPX\")":1.0856647,"CAT-US^P_BETA_LOCIDX(45499,45324,,\"SPX\")":1.1057531,"CAT-US^P_BETA_LOCIDX(45498,45323,,\"SPX\")":1.1167761,"CAT-US^P_BETA_LOCIDX(45497,45322,,\"SPX\")":1.1368724,"CAT-US^P_BETA_LOCIDX(45496,45321,,\"SPX\")":1.146761,"CAT-US^P_BETA_LOCIDX(45495,45320,,\"SPX\")":1.1472925,"CAT-US^P_BETA_LOCIDX(45492,45317,,\"SPX\")":1.1688715,"CAT-US^P_BETA_LOCIDX(45491,45316,,\"SPX\")":1.1673403,"CAT-US^P_BETA_LOCIDX(45490,45315,,\"SPX\")":1.172992,"CAT-US^P_BETA_LOCIDX(45489,45314,,\"SPX\")":1.1953279,"CAT-US^P_BETA_LOCIDX(45488,45313,,\"SPX\")":1.1630561,"CAT-US^P_BETA_LOCIDX(45485,45310,,\"SPX\")":1.1505194,"CAT-US^P_BETA_LOCIDX(45484,45309,,\"SPX\")":1.1472876,"CAT-US^P_BETA_LOCIDX(45483,45308,,\"SPX\")":1.212403,"CAT-US^P_BETA_LOCIDX(45482,45307,,\"SPX\")":1.2255194,"CAT-US^P_BETA_LOCIDX(45481,45303,,\"SPX\")":1.2251508,"CAT-US^P_BETA_LOCIDX(45478,45302,,\"SPX\")":1.2263515,"CAT-US^P_BETA_LOCIDX(45476,45301,,\"SPX\")":1.2342308,"CAT-US^P_BETA_LOCIDX(45475,45300,,\"SPX\")":1.23092,"CAT-US^P_BETA_LOCIDX(45474,45299,,\"SPX\")":1.2282037,"CAT-US^P_BETA_LOCIDX(45471,45296,,\"SPX\")":1.2328268,"CAT-US^P_BETA_LOCIDX(45470,45295,,\"SPX\")":1.245666,"CAT-US^P_BETA_LOCIDX(45469,45294,,\"SPX\")":1.2764876,"CAT-US^P_BETA_LOCIDX(45468,45293,,\"SPX\")":1.27951,"CAT-US^P_BETA_LOCIDX(45467,45289,,\"SPX\")":1.2857559,"CAT-US^P_BETA_LOCIDX(45464,45288,,\"SPX\")":1.2945763,"CAT-US^P_BETA_LOCIDX(45463,45287,,\"SPX\")":1.2942812,"CAT-US^P_BETA_LOCIDX(45461,45286,,\"SPX\")":1.3122172,"CAT-US^P_BETA_LOCIDX(45460,45282,,\"SPX\")":1.3108026,"CAT-US^P_BETA_LOCIDX(45457,45281,,\"SPX\")":1.2994219,"CAT-US^P_BETA_LOCIDX(45456,45280,,\"SPX\")":1.2726324,"CAT-US^P_BETA_LOCIDX(45455,45279,,\"SPX\")":1.2894286,"CAT-US^P_BETA_LOCIDX(45454,45278,,\"SPX\")":1.2942272,"CAT-US^P_BETA_LOCIDX(45453,45275,,\"SPX\")":1.2966638,"CAT-US^P_BETA_LOCIDX(45450,45274,,\"SPX\")":1.3133773,"CAT-US^P_BETA_LOCIDX(45449,45273,,\"SPX\")":1.3284724,"CAT-US^P_BETA_LOCIDX(45448,45272,,\"SPX\")":1.3250166,"CAT-US^P_BETA_LOCIDX(45447,45271,,\"SPX\")":1.3437971,"CAT-US^P_BETA_LOCIDX(45446,45268,,\"SPX\")":1.3455762,"CAT-US^P_BETA_LOCIDX(45443,45267,,\"SPX\")":1.3385775,"CAT-US^P_BETA_LOCIDX(45442,45266,,\"SPX\")":1.3480334,"CAT-US^P_BETA_LOCIDX(45441,45265,,\"SPX\")":1.3604058,"CAT-US^P_BETA_LOCIDX(45440,45264,,\"SPX\")":1.3399005,"CAT-US^P_BETA_LOCIDX(45436,45261,,\"SPX\")":1.350481,"CAT-US^P_BETA_LOCIDX(45435,45260,,\"SPX\")":1.3655516,"CAT-US^P_BETA_LOCIDX(45434,45259,,\"SPX\")":1.3535903,"CAT-US^P_BETA_LOCIDX(45433,45258,,\"SPX\")":1.3492054,"CAT-US^P_BETA_LOCIDX(45432,45257,,\"SPX\")":1.3516334,"CAT-US^P_BETA_LOCIDX(45429,45254,,\"SPX\")":1.3522332,"CAT-US^P_BETA_LOCIDX(45428,45252,,\"SPX\")":1.3426763,"CAT-US^P_BETA_LOCIDX(45427,45251,,\"SPX\")":1.3299185,"CAT-US^P_BETA_LOCIDX(45426,45250,,\"SPX\")":1.3283355,"CAT-US^P_BETA_LOCIDX(45425,45247,,\"SPX\")":1.3307079,"CAT-US^P_BETA_LOCIDX(45422,45246,,\"SPX\")":1.3319567,"CAT-US^P_BETA_LOCIDX(45421,45245,,\"SPX\")":1.3321891,"CAT-US^P_BETA_LOCIDX(45420,45244,,\"SPX\")":1.3206528,"CAT-US^P_BETA_LOCIDX(45419,45243,,\"SPX\")":1.3170446,"CAT-US^P_BETA_LOCIDX(45418,45240,,\"SPX\")":1.3210465,"CAT-US^P_BETA_LOCIDX(45415,45239,,\"SPX\")":1.309794,"CAT-US^P_BETA_LOCIDX(45414,45238,,\"SPX\")":1.3359302,"CAT-US^P_BETA_LOCIDX(45413,45237,,\"SPX\")":1.331139,"CAT-US^P_BETA_LOCIDX(45412,45236,,\"SPX\")":1.3243161,"CAT-US^P_BETA_LOCIDX(45411,45233,,\"SPX\")":1.2434008,"CAT-US^P_BETA_LOCIDX(45408,45232,,\"SPX\")":1.2584443,"CAT-US^P_BETA_LOCIDX(45407,45231,,\"SPX\")":1.2722328,"CAT-US^P_BETA_LOCIDX(45406,45230,,\"SPX\")":1.1434953,"CAT-US^P_BETA_LOCIDX(45405,45229,,\"SPX\")":1.1428231,"CAT-US^P_BETA_LOCIDX(45404,45226,,\"SPX\")":1.1547139,"CAT-US^P_BETA_LOCIDX(45401,45225,,\"SPX\")":1.1543896,"CAT-US^P_BETA_LOCIDX(45400,45224,,\"SPX\")":1.1620402,"CAT-US^P_BETA_LOCIDX(45399,45223,,\"SPX\")":1.1612004,"CAT-US^P_BETA_LOCIDX(45398,45222,,\"SPX\")":1.1657926,"CAT-US^P_BETA_LOCIDX(45397,45219,,\"SPX\")":1.163272,"CAT-US^P_BETA_LOCIDX(45394,45218,,\"SPX\")":1.2043419,"CAT-US^P_BETA_LOCIDX(45393,45217,,\"SPX\")":1.2821591,"CAT-US^P_BETA_LOCIDX(45392,45216,,\"SPX\")":1.2908173,"CAT-US^P_BETA_LOCIDX(45391,45215,,\"SPX\")":1.3054681,"CAT-US^P_BETA_LOCIDX(45390,45212,,\"SPX\")":1.305868,"CAT-US^P_BETA_LOCIDX(45387,45211,,\"SPX\")":1.3067849,"CAT-US^P_BETA_LOCIDX(45386,45210,,\"SPX\")":1.2874757,"CAT-US^P_BETA_LOCIDX(45385,45209,,\"SPX\")":1.2851069,"CAT-US^P_BETA_LOCIDX(45384,45208,,\"SPX\")":1.2955995,"CAT-US^P_BETA_LOCIDX(45383,45205,,\"SPX\")":1.3191628,"CAT-US^P_BETA_LOCIDX(45379,45204,,\"SPX\")":1.3232687,"CAT-US^P_BETA_LOCIDX(45378,45203,,\"SPX\")":1.2974991,"CAT-US^P_BETA_LOCIDX(45377,45202,,\"SPX\")":1.2671022,"CAT-US^P_BETA_LOCIDX(45376,45201,,\"SPX\")":1.271448,"CAT-US^P_BETA_LOCIDX(45373,45198,,\"SPX\")":1.2754923,"CAT-US^P_BETA_LOCIDX(45372,45197,,\"SPX\")":1.2711134,"CAT-US^P_BETA_LOCIDX(45371,45196,,\"SPX\")":1.2641675,"CAT-US^P_BETA_LOCIDX(45370,45195,,\"SPX\")":1.2665977,"CAT-US^P_BETA_LOCIDX(45369,45194,,\"SPX\")":1.267355,"CAT-US^P_BETA_LOCIDX(45366,45191,,\"SPX\")":1.2594696,"CAT-US^P_BETA_LOCIDX(45365,45190,,\"SPX\")":1.293713,"CAT-US^P_BETA_LOCIDX(45364,45189,,\"SPX\")":1.2839191,"CAT-US^P_BETA_LOCIDX(45363,45188,,\"SPX\")":1.2917392,"CAT-US^P_BETA_LOCIDX(45362,45187,,\"SPX\")":1.3025932,"CAT-US^P_BETA_LOCIDX(45359,45184,,\"SPX\")":1.2921996,"CAT-US^P_BETA_LOCIDX(45358,45183,,\"SPX\")":1.311162,"CAT-US^P_BETA_LOCIDX(45357,45182,,\"SPX\")":1.3109777,"CAT-US^P_BETA_LOCIDX(45356,45181,,\"SPX\")":1.3049781,"CAT-US^P_BETA_LOCIDX(45355,45180,,\"SPX\")":1.2938981,"CAT-US^P_BETA_LOCIDX(45352,45177,,\"SPX\")":1.2964624,"CAT-US^P_BETA_LOCIDX(45351,45176,,\"SPX\")":1.2993797,"CAT-US^P_BETA_LOCIDX(45350,45175,,\"SPX\")":1.2797579,"CAT-US^P_BETA_LOCIDX(45349,45174,,\"SPX\")":1.2909672,"CAT-US^P_BETA_LOCIDX(45348,45170,,\"SPX\")":1.292322,"CAT-US^P_BETA_LOCIDX(45345,45169,,\"SPX\")":1.2997619,"CAT-US^P_BETA_LOCIDX(45344,45168,,\"SPX\")":1.3016057,"CAT-US^P_BETA_LOCIDX(45343,45167,,\"SPX\")":1.3376844,"CAT-US^P_BETA_LOCIDX(45342,45166,,\"SPX\")":1.3372176,"CAT-US^P_BETA_LOCIDX(45338,45163,,\"SPX\")":1.3214641,"CAT-US^P_BETA_LOCIDX(45337,45162,,\"SPX\")":1.3152435,"CAT-US^P_BETA_LOCIDX(45336,45161,,\"SPX\")":1.3009365,"CAT-US^P_BETA_LOCIDX(45335,45160,,\"SPX\")":1.3042104,"CAT-US^P_BETA_LOCIDX(45334,45159,,\"SPX\")":1.2724438,"CAT-US^P_BETA_LOCIDX(45331,45156,,\"SPX\")":1.278268,"CAT-US^P_BETA_LOCIDX(45330,45155,,\"SPX\")":1.2773678,"CAT-US^P_BETA_LOCIDX(45329,45154,,\"SPX\")":1.2779295,"CAT-US^P_BETA_LOCIDX(45328,45153,,\"SPX\")":1.3052703,"CAT-US^P_BETA_LOCIDX(45327,45152,,\"SPX\")":1.2980747,"CAT-US^P_BETA_LOCIDX(45324,45149,,\"SPX\")":1.3104665,"CAT-US^P_BETA_LOCIDX(45323,45148,,\"SPX\")":1.2959466,"CAT-US^P_BETA_LOCIDX(45322,45147,,\"SPX\")":1.2636056,"CAT-US^P_BETA_LOCIDX(45321,45146,,\"SPX\")":1.2714062,"CAT-US^P_BETA_LOCIDX(45320,45145,,\"SPX\")":1.2820716,"CAT-US^P_BETA_LOCIDX(45317,45142,,\"SPX\")":1.2886403,"CAT-US^P_BETA_LOCIDX(45316,45141,,\"SPX\")":1.2966942,"CAT-US^P_BETA_LOCIDX(45315,45140,,\"SPX\")":1.2459322,"CAT-US^P_BETA_LOCIDX(45314,45139,,\"SPX\")":1.2024076,"CAT-US^P_BETA_LOCIDX(45313,45138,,\"SPX\")":1.2058746,"CAT-US^P_BETA_LOCIDX(45310,45135,,\"SPX\")":1.1982385,"CAT-US^P_BETA_LOCIDX(45309,45134,,\"SPX\")":1.1962578,"CAT-US^P_BETA_LOCIDX(45308,45133,,\"SPX\")":1.1962895,"CAT-US^P_BETA_LOCIDX(45307,45132,,\"SPX\")":1.177515,"CAT-US^P_BETA_LOCIDX(45303,45131,,\"SPX\")":1.173803,"CAT-US^P_BETA_LOCIDX(45302,45128,,\"SPX\")":1.1744063,"CAT-US^P_BETA_LOCIDX(45301,45127,,\"SPX\")":1.172583,"CAT-US^P_BETA_LOCIDX(45300,45126,,\"SPX\")":1.1732527,"CAT-US^P_BETA_LOCIDX(45299,45125,,\"SPX\")":1.1892368,"CAT-US^P_BETA_LOCIDX(45296,45124,,\"SPX\")":1.2027684,"CAT-US^P_BETA_LOCIDX(45295,45121,,\"SPX\")":1.2012858,"CAT-US^P_BETA_LOCIDX(45294,45120,,\"SPX\")":1.2046899,"CAT-US^P_BETA_LOCIDX(45293,45119,,\"SPX\")":1.1722609,"CAT-US^P_BETA_LOCIDX(45289,45118,,\"SPX\")":1.1753923,"CAT-US^P_BETA_LOCIDX(45288,45117,,\"SPX\")":1.1774342,"CAT-US^P_BETA_LOCIDX(45287,45114,,\"SPX\")":1.1654803,"CAT-US^P_BETA_LOCIDX(45286,45113,,\"SPX\")":1.176659,"CAT-US^P_BETA_LOCIDX(45282,45112,,\"SPX\")":1.1732855,"CAT-US^P_BETA_LOCIDX(45281,45110,,\"SPX\")":1.1738545,"CAT-US^P_BETA_LOCIDX(45280,45107,,\"SPX\")":1.1771562,"CAT-US^P_BETA_LOCIDX(45279,45106,,\"SPX\")":1.1919085,"CAT-US^P_BETA_LOCIDX(45278,45105,,\"SPX\")":1.1770922,"CAT-US^P_BETA_LOCIDX(45275,45104,,\"SPX\")":1.1831937,"CAT-US^P_BETA_LOCIDX(45274,45103,,\"SPX\")":1.1713383,"CAT-US^P_BETA_LOCIDX(45273,45100,,\"SPX\")":1.1581919,"CAT-US^P_BETA_LOCIDX(45272,45099,,\"SPX\")":1.129678,"CAT-US^P_BETA_LOCIDX(45271,45098,,\"SPX\")":1.1256244,"CAT-US^P_BETA_LOCIDX(45268,45097,,\"SPX\")":1.134448,"CAT-US^P_BETA_LOCIDX(45267,45093,,\"SPX\")":1.1360258,"CAT-US^P_BETA_LOCIDX(45266,45092,,\"SPX\")":1.1471831,"CAT-US^P_BETA_LOCIDX(45265,45091,,\"SPX\")":1.1513867,"CAT-US^P_BETA_LOCIDX(45264,45090,,\"SPX\")":1.1749797,"CAT-US^P_BETA_LOCIDX(45261,45089,,\"SPX\")":1.17492,"CAT-US^P_BETA_LOCIDX(45260,45086,,\"SPX\")":1.1613202,"CAT-US^P_BETA_LOCIDX(45259,45085,,\"SPX\")":1.1509103999999999,"CAT-US^P_BETA_LOCIDX(45258,45084,,\"SPX\")":1.1245011,"CAT-US^P_BETA_LOCIDX(45257,45083,,\"SPX\")":1.1289022,"CAT-US^P_BETA_LOCIDX(45254,45082,,\"SPX\")":1.1359329,"CAT-US^P_BETA_LOCIDX(45252,45079,,\"SPX\")":1.2719356,"CAT-US^P_BETA_LOCIDX(45251,45078,,\"SPX\")":1.2852061,"CAT-US^P_BETA_LOCIDX(45250,45077,,\"SPX\")":1.2967081,"CAT-US^P_BETA_LOCIDX(45247,45076,,\"SPX\")":1.3178041,"CAT-US^P_BETA_LOCIDX(45246,45072,,\"SPX\")":1.3000952,"CAT-US^P_BETA_LOCIDX(45245,45071,,\"SPX\")":1.2889451,"CAT-US^P_BETA_LOCIDX(45244,45070,,\"SPX\")":1.2936581,"CAT-US^P_BETA_LOCIDX(45243,45069,,\"SPX\")":1.281358,"CAT-US^P_BETA_LOCIDX(45240,45068,,\"SPX\")":1.2831185,"CAT-US^P_BETA_LOCIDX(45239,45065,,\"SPX\")":1.2757283,"CAT-US^P_BETA_LOCIDX(45238,45064,,\"SPX\")":1.2842683,"CAT-US^P_BETA_LOCIDX(45237,45063,,\"SPX\")":1.297454,"CAT-US^P_BETA_LOCIDX(45236,45062,,\"SPX\")":1.3150816,"CAT-US^P_BETA_LOCIDX(45233,45061,,\"SPX\")":1.3188599,"CAT-US^P_BETA_LOCIDX(45232,45058,,\"SPX\")":1.3273076,"CAT-US^P_BETA_LOCIDX(45231,45057,,\"SPX\")":1.3149892,"CAT-US^P_BETA_LOCIDX(45230,45056,,\"SPX\")":1.2917804,"CAT-US^P_BETA_LOCIDX(45229,45055,,\"SPX\")":1.3669411,"CAT-US^P_BETA_LOCIDX(45226,45054,,\"SPX\")":1.3712176,"CAT-US^P_BETA_LOCIDX(45225,45051,,\"SPX\")":1.3523885,"CAT-US^P_BETA_LOCIDX(45224,45050,,\"SPX\")":1.3789498,"CAT-US^P_BETA_LOCIDX(45223,45049,,\"SPX\")":1.3672419,"CAT-US^P_BETA_LOCIDX(45222,45048,,\"SPX\")":1.3601284,"CAT-US^P_BETA_LOCIDX(45219,45047,,\"SPX\")":1.3589548,"CAT-US^P_BETA_LOCIDX(45218,45044,,\"SPX\")":1.3726907,"CAT-US^P_BETA_LOCIDX(45217,45043,,\"SPX\")":1.2489326,"CAT-US^P_BETA_LOCIDX(45216,45042,,\"SPX\")":1.1812778,"CAT-US^P_BETA_LOCIDX(45215,45041,,\"SPX\")":1.1915818,"CAT-US^P_BETA_LOCIDX(45212,45040,,\"SPX\")":1.1972305,"CAT-US^P_BETA_LOCIDX(45211,45037,,\"SPX\")":1.1952455,"CAT-US^P_BETA_LOCIDX(45210,45036,,\"SPX\")":1.194165,"CAT-US^P_BETA_LOCIDX(45209,45035,,\"SPX\")":1.1989845,"CAT-US^P_BETA_LOCIDX(45208,45034,,\"SPX\")":1.1991341,"CAT-US^P_BETA_LOCIDX(45205,45033,,\"SPX\")":1.1899302,"CAT-US^P_BETA_LOCIDX(45204,45030,,\"SPX\")":1.177336,"CAT-US^P_BETA_LOCIDX(45203,45029,,\"SPX\")":1.1507542,"CAT-US^P_BETA_LOCIDX(45202,45028,,\"SPX\")":1.1790179,"CAT-US^P_BETA_LOCIDX(45201,45027,,\"SPX\")":1.1878617,"CAT-US^P_BETA_LOCIDX(45198,45026,,\"SPX\")":1.1902132,"CAT-US^P_BETA_LOCIDX(45197,45022,,\"SPX\")":1.1718504,"CAT-US^P_BETA_LOCIDX(45196,45021,,\"SPX\")":1.1757604,"CAT-US^P_BETA_LOCIDX(45195,45020,,\"SPX\")":1.2229769,"CAT-US^P_BETA_LOCIDX(45194,45019,,\"SPX\")":1.2214426,"CAT-US^P_BETA_LOCIDX(45191,45016,,\"SPX\")":1.223265,"CAT-US^P_BETA_LOCIDX(45190,45015,,\"SPX\")":1.2248551,"CAT-US^P_BETA_LOCIDX(45189,45014,,\"SPX\")":1.2001503,"CAT-US^P_BETA_LOCIDX(45188,45013,,\"SPX\")":1.2066096,"CAT-US^P_BETA_LOCIDX(45187,45012,,\"SPX\")":1.205235,"CAT-US^P_BETA_LOCIDX(45184,45009,,\"SPX\")":1.1910977,"CAT-US^P_BETA_LOCIDX(45183,45008,,\"SPX\")":1.19228,"CAT-US^P_BETA_LOCIDX(45182,45007,,\"SPX\")":1.1857584,"CAT-US^P_BETA_LOCIDX(45181,45006,,\"SPX\")":1.19555,"CAT-US^P_BETA_LOCIDX(45180,45005,,\"SPX\")":1.2168348,"CAT-US^P_BETA_LOCIDX(45177,45002,,\"SPX\")":1.2340417,"CAT-US^P_BETA_LOCIDX(45176,45001,,\"SPX\")":1.1950166,"CAT-US^P_BETA_LOCIDX(45175,45000,,\"SPX\")":1.229105,"CAT-US^P_BETA_LOCIDX(45174,44999,,\"SPX\")":1.2076316,"CAT-US^P_BETA_LOCIDX(45170,44998,,\"SPX\")":1.2020564,"CAT-US^P_BETA_LOCIDX(45169,44995,,\"SPX\")":1.2900851,"CAT-US^P_BETA_LOCIDX(45168,44994,,\"SPX\")":1.3081974,"CAT-US^P_BETA_LOCIDX(45167,44993,,\"SPX\")":1.3074058,"CAT-US^P_BETA_LOCIDX(45166,44992,,\"SPX\")":1.3297123,"CAT-US^P_BETA_LOCIDX(45163,44991,,\"SPX\")":1.3297112,"CAT-US^P_BETA_LOCIDX(45162,44988,,\"SPX\")":1.3098121,"CAT-US^P_BETA_LOCIDX(45161,44987,,\"SPX\")":1.321847,"CAT-US^P_BETA_LOCIDX(45160,44986,,\"SPX\")":1.293996,"CAT-US^P_BETA_LOCIDX(45159,44985,,\"SPX\")":1.2901397,"CAT-US^P_BETA_LOCIDX(45156,44984,,\"SPX\")":1.3040462,"CAT-US^P_BETA_LOCIDX(45155,44981,,\"SPX\")":1.2947478,"CAT-US^P_BETA_LOCIDX(45154,44980,,\"SPX\")":1.3040072,"CAT-US^P_BETA_LOCIDX(45153,44979,,\"SPX\")":1.3064369,"CAT-US^P_BETA_LOCIDX(45152,44978,,\"SPX\")":1.2970458,"CAT-US^P_BETA_LOCIDX(45149,44974,,\"SPX\")":1.2996851,"CAT-US^P_BETA_LOCIDX(45148,44973,,\"SPX\")":1.2852386,"CAT-US^P_BETA_LOCIDX(45147,44972,,\"SPX\")":1.2886648,"CAT-US^P_BETA_LOCIDX(45146,44971,,\"SPX\")":1.3045249,"CAT-US^P_BETA_LOCIDX(45145,44970,,\"SPX\")":1.2930416,"CAT-US^P_BETA_LOCIDX(45142,44967,,\"SPX\")":1.2862797,"CAT-US^P_BETA_LOCIDX(45141,44966,,\"SPX\")":1.2769212,"CAT-US^P_BETA_LOCIDX(45140,44965,,\"SPX\")":1.2541872,"CAT-US^P_BETA_LOCIDX(45139,44964,,\"SPX\")":1.2432741,"CAT-US^P_BETA_LOCIDX(45138,44963,,\"SPX\")":1.2641114,"CAT-US^P_BETA_LOCIDX(45135,44960,,\"SPX\")":1.228835,"CAT-US^P_BETA_LOCIDX(45134,44959,,\"SPX\")":1.1725997,"CAT-US^P_BETA_LOCIDX(45133,44958,,\"SPX\")":1.1541524,"CAT-US^P_BETA_LOCIDX(45132,44957,,\"SPX\")":1.0713904,"CAT-US^P_BETA_LOCIDX(45131,44956,,\"SPX\")":1.064267,"CAT-US^P_BETA_LOCIDX(45128,44953,,\"SPX\")":1.0644068,"CAT-US^P_BETA_LOCIDX(45127,44952,,\"SPX\")":1.067331,"CAT-US^P_BETA_LOCIDX(45126,44951,,\"SPX\")":1.0682708,"CAT-US^P_BETA_LOCIDX(45125,44950,,\"SPX\")":1.0648612,"CAT-US^P_BETA_LOCIDX(45124,44949,,\"SPX\")":1.0528557,"CAT-US^P_BETA_LOCIDX(45121,44946,,\"SPX\")":1.0458895,"CAT-US^P_BETA_LOCIDX(45120,44945,,\"SPX\")":1.0643024,"CAT-US^P_BETA_LOCIDX(45119,44944,,\"SPX\")":1.0564418,"CAT-US^P_BETA_LOCIDX(45118,44943,,\"SPX\")":1.0608022,"CAT-US^P_BETA_LOCIDX(45117,44939,,\"SPX\")":1.0578741,"CAT-US^P_BETA_LOCIDX(45114,44938,,\"SPX\")":1.0596696,"CAT-US^P_BETA_LOCIDX(45113,44937,,\"SPX\")":1.0544899,"CAT-US^P_BETA_LOCIDX(45112,44936,,\"SPX\")":1.0530157,"CAT-US^P_BETA_LOCIDX(45110,44935,,\"SPX\")":1.0521734,"CAT-US^P_BETA_LOCIDX(45107,44932,,\"SPX\")":1.079701,"CAT-US^P_BETA_LOCIDX(45106,44931,,\"SPX\")":1.0733377,"CAT-US^P_BETA_LOCIDX(45105,44930,,\"SPX\")":1.0734301,"CAT-US^P_BETA_LOCIDX(45104,44929,,\"SPX\")":1.0731179,"CAT-US^P_BETA_LOCIDX(45103,44925,,\"SPX\")":1.0680614,"CAT-US^P_BETA_LOCIDX(45100,44924,,\"SPX\")":1.0546634,"CAT-US^P_BETA_LOCIDX(45099,44923,,\"SPX\")":1.0541537,"CAT-US^P_BETA_LOCIDX(45098,44922,,\"SPX\")":1.0496551,"CAT-US^P_BETA_LOCIDX(45097,44918,,\"SPX\")":1.0565675,"CAT-US^P_BETA_LOCIDX(45093,44917,,\"SPX\")":1.0522053,"CAT-US^P_BETA_LOCIDX(45092,44916,,\"SPX\")":1.066752,"CAT-US^P_BETA_LOCIDX(45091,44915,,\"SPX\")":1.0607641,"CAT-US^P_BETA_LOCIDX(45090,44914,,\"SPX\")":1.0526359,"CAT-US^P_BETA_LOCIDX(45089,44911,,\"SPX\")":1.0151558,"CAT-US^P_BETA_LOCIDX(45086,44910,,\"SPX\")":0.991289,"CAT-US^P_BETA_LOCIDX(45085,44909,,\"SPX\")":0.9899447,"CAT-US^P_BETA_LOCIDX(45084,44908,,\"SPX\")":0.9971263,"CAT-US^P_BETA_LOCIDX(45083,44907,,\"SPX\")":1.0274876,"CAT-US^P_BETA_LOCIDX(45082,44904,,\"SPX\")":1.0301996,"CAT-US^P_BETA_LOCIDX(45079,44903,,\"SPX\")":1.0274652,"CAT-US^P_BETA_LOCIDX(45078,44902,,\"SPX\")":0.942113,"CAT-US^P_BETA_LOCIDX(45077,44901,,\"SPX\")":0.9402899,"CAT-US^P_BETA_LOCIDX(45076,44900,,\"SPX\")":0.928852,"CAT-US^P_BETA_LOCIDX(45072,44897,,\"SPX\")":0.9281467,"CAT-US^P_BETA_LOCIDX(45071,44896,,\"SPX\")":0.93088746,"CAT-US^P_BETA_LOCIDX(45070,44895,,\"SPX\")":0.88091385,"CAT-US^P_BETA_LOCIDX(45069,44894,,\"SPX\")":0.874541,"CAT-US^P_BETA_LOCIDX(45068,44893,,\"SPX\")":0.877718,"CAT-US^P_BETA_LOCIDX(45065,44890,,\"SPX\")":0.8778947,"CAT-US^P_BETA_LOCIDX(45064,44888,,\"SPX\")":0.875865,"CAT-US^P_BETA_LOCIDX(45063,44887,,\"SPX\")":0.88358814,"CAT-US^P_BETA_LOCIDX(45062,44886,,\"SPX\")":0.8682038,"CAT-US^P_BETA_LOCIDX(45061,44883,,\"SPX\")":0.8617901,"CAT-US^P_BETA_LOCIDX(45058,44882,,\"SPX\")":0.86176544,"CAT-US^P_BETA_LOCIDX(45057,44881,,\"SPX\")":0.8625064,"CAT-US^P_BETA_LOCIDX(45056,44880,,\"SPX\")":0.8511241,"CAT-US^P_BETA_LOCIDX(45055,44879,,\"SPX\")":0.84624773,"CAT-US^P_BETA_LOCIDX(45054,44876,,\"SPX\")":0.8529367,"CAT-US^P_BETA_LOCIDX(45051,44875,,\"SPX\")":0.7990726,"CAT-US^P_BETA_LOCIDX(45050,44874,,\"SPX\")":0.7908974,"CAT-US^P_BETA_LOCIDX(45049,44873,,\"SPX\")":0.78281695,"CAT-US^P_BETA_LOCIDX(45048,44872,,\"SPX\")":0.7851645,"CAT-US^P_BETA_LOCIDX(45047,44869,,\"SPX\")":0.8084472,"CAT-US^P_BETA_LOCIDX(45044,44868,,\"SPX\")":0.78579396,"CAT-US^P_BETA_LOCIDX(45043,44867,,\"SPX\")":0.7761732,"CAT-US^P_BETA_LOCIDX(45042,44866,,\"SPX\")":0.7994968,"CAT-US^P_BETA_LOCIDX(45041,44865,,\"SPX\")":0.800776,"CAT-US^P_BETA_LOCIDX(45040,44862,,\"SPX\")":0.8127558,"CAT-US^P_BETA_LOCIDX(45037,44861,,\"SPX\")":0.77973366,"CAT-US^P_BETA_LOCIDX(45036,44860,,\"SPX\")":0.7723004,"CAT-US^P_BETA_LOCIDX(45035,44859,,\"SPX\")":0.7742822,"CAT-US^P_BETA_LOCIDX(45034,44858,,\"SPX\")":0.7713082,"CAT-US^P_BETA_LOCIDX(45033,44855,,\"SPX\")":0.8150453,"CAT-US^P_BETA_LOCIDX(45030,44854,,\"SPX\")":0.8224632,"CAT-US^P_BETA_LOCIDX(45029,44853,,\"SPX\")":0.82019836,"CAT-US^P_BETA_LOCIDX(45028,44852,,\"SPX\")":0.8275438,"CAT-US^P_BETA_LOCIDX(45027,44851,,\"SPX\")":0.81676614,"CAT-US^P_BETA_LOCIDX(45026,44848,,\"SPX\")":0.8291947,"CAT-US^P_BETA_LOCIDX(45022,44847,,\"SPX\")":0.827081,"CAT-US^P_BETA_LOCIDX(45021,44846,,\"SPX\")":0.8297942,"CAT-US^P_BETA_LOCIDX(45020,44845,,\"SPX\")":0.8225821,"CAT-US^P_BETA_LOCIDX(45019,44844,,\"SPX\")":0.80007017,"CAT-US^P_BETA_LOCIDX(45016,44841,,\"SPX\")":0.780577,"CAT-US^P_BETA_LOCIDX(45015,44840,,\"SPX\")":0.77164656,"CAT-US^P_BETA_LOCIDX(45014,44839,,\"SPX\")":0.77229834,"CAT-US^P_BETA_LOCIDX(45013,44838,,\"SPX\")":0.8056171,"CAT-US^P_BETA_LOCIDX(45012,44837,,\"SPX\")":0.83066595,"CAT-US^P_BETA_LOCIDX(45009,44834,,\"SPX\")":0.8307564,"CAT-US^P_BETA_LOCIDX(45008,44833,,\"SPX\")":0.83012253,"CAT-US^P_BETA_LOCIDX(45007,44832,,\"SPX\")":0.8427436,"CAT-US^P_BETA_LOCIDX(45006,44831,,\"SPX\")":0.83506244,"CAT-US^P_BETA_LOCIDX(45005,44830,,\"SPX\")":0.83239836,"CAT-US^P_BETA_LOCIDX(45002,44827,,\"SPX\")":0.8458617,"CAT-US^P_BETA_LOCIDX(45001,44826,,\"SPX\")":0.84224296,"CAT-US^P_BETA_LOCIDX(45000,44825,,\"SPX\")":0.865904,"CAT-US^P_BETA_LOCIDX(44999,44824,,\"SPX\")":0.8629315,"CAT-US^P_BETA_LOCIDX(44998,44823,,\"SPX\")":0.87350565,"CAT-US^P_BETA_LOCIDX(44995,44820,,\"SPX\")":0.8766596,"CAT-US^P_BETA_LOCIDX(44994,44819,,\"SPX\")":0.8483468,"CAT-US^P_BETA_LOCIDX(44993,44818,,\"SPX\")":0.83291703,"CAT-US^P_BETA_LOCIDX(44992,44817,,\"SPX\")":0.84761095,"CAT-US^P_BETA_LOCIDX(44991,44816,,\"SPX\")":0.8364583,"CAT-US^P_BETA_LOCIDX(44988,44813,,\"SPX\")":0.84860116,"CAT-US^P_BETA_LOCIDX(44987,44812,,\"SPX\")":0.8524618,"CAT-US^P_BETA_LOCIDX(44986,44811,,\"SPX\")":0.83807516,"CAT-US^P_BETA_LOCIDX(44985,44810,,\"SPX\")":0.8460529,"CAT-US^P_BETA_LOCIDX(44984,44806,,\"SPX\")":0.84677273,"CAT-US^P_BETA_LOCIDX(44981,44805,,\"SPX\")":0.84342104,"CAT-US^P_BETA_LOCIDX(44980,44804,,\"SPX\")":0.8455439,"CAT-US^P_BETA_LOCIDX(44979,44803,,\"SPX\")":0.8549906,"CAT-US^P_BETA_LOCIDX(44978,44802,,\"SPX\")":0.85339534,"CAT-US^P_BETA_LOCIDX(44974,44799,,\"SPX\")":0.8537726,"CAT-US^P_BETA_LOCIDX(44973,44798,,\"SPX\")":0.85997546,"CAT-US^P_BETA_LOCIDX(44972,44797,,\"SPX\")":0.8582867,"CAT-US^P_BETA_LOCIDX(44971,44796,,\"SPX\")":0.85425186,"CAT-US^P_BETA_LOCIDX(44970,44795,,\"SPX\")":0.85697293,"CAT-US^P_BETA_LOCIDX(44967,44792,,\"SPX\")":0.8615722,"CAT-US^P_BETA_LOCIDX(44966,44791,,\"SPX\")":0.86172825,"CAT-US^P_BETA_LOCIDX(44965,44790,,\"SPX\")":0.8611458,"CAT-US^P_BETA_LOCIDX(44964,44789,,\"SPX\")":0.86319524,"CAT-US^P_BETA_LOCIDX(44963,44788,,\"SPX\")":0.8719999,"CAT-US^P_BETA_LOCIDX(44960,44785,,\"SPX\")":0.87426215,"CAT-US^P_BETA_LOCIDX(44959,44784,,\"SPX\")":0.8812991,"CAT-US^P_BETA_LOCIDX(44958,44783,,\"SPX\")":0.90378946,"CAT-US^P_BETA_LOCIDX(44957,44782,,\"SPX\")":0.9126599,"CAT-US^P_BETA_LOCIDX(44956,44781,,\"SPX\")":0.94229084,"CAT-US^P_BETA_LOCIDX(44953,44778,,\"SPX\")":0.94056594,"CAT-US^P_BETA_LOCIDX(44952,44777,,\"SPX\")":0.9401516,"CAT-US^P_BETA_LOCIDX(44951,44776,,\"SPX\")":0.92671615,"CAT-US^P_BETA_LOCIDX(44950,44775,,\"SPX\")":0.94084775,"CAT-US^P_BETA_LOCIDX(44949,44774,,\"SPX\")":0.943053,"CAT-US^P_BETA_LOCIDX(44946,44771,,\"SPX\")":0.96590805,"CAT-US^P_BETA_LOCIDX(44945,44770,,\"SPX\")":0.96932614,"CAT-US^P_BETA_LOCIDX(44944,44769,,\"SPX\")":0.9565502,"CAT-US^P_BETA_LOCIDX(44943,44768,,\"SPX\")":0.9534588,"CAT-US^P_BETA_LOCIDX(44939,44767,,\"SPX\")":0.953248,"CAT-US^P_BETA_LOCIDX(44938,44764,,\"SPX\")":0.9549153,"CAT-US^P_BETA_LOCIDX(44937,44763,,\"SPX\")":0.9510176,"CAT-US^P_BETA_LOCIDX(44936,44762,,\"SPX\")":0.95669097,"CAT-US^P_BETA_LOCIDX(44935,44761,,\"SPX\")":0.9605194,"CAT-US^P_BETA_LOCIDX(44932,44760,,\"SPX\")":0.9582807,"CAT-US^P_BETA_LOCIDX(44931,44757,,\"SPX\")":0.9482336,"CAT-US^P_BETA_LOCIDX(44930,44756,,\"SPX\")":0.9526196,"CAT-US^P_BETA_LOCIDX(44929,44755,,\"SPX\")":0.9528306,"CAT-US^P_BETA_LOCIDX(44925,44754,,\"SPX\")":0.95148104,"CAT-US^P_BETA_LOCIDX(44924,44753,,\"SPX\")":0.9574856,"CAT-US^P_BETA_LOCIDX(44923,44750,,\"SPX\")":0.96834403,"CAT-US^P_BETA_LOCIDX(44922,44749,,\"SPX\")":0.9817327,"CAT-US^P_BETA_LOCIDX(44918,44748,,\"SPX\")":0.9821197,"CAT-US^P_BETA_LOCIDX(44917,44747,,\"SPX\")":0.9801681,"CAT-US^P_BETA_LOCIDX(44916,44743,,\"SPX\")":0.9709661,"CAT-US^P_BETA_LOCIDX(44915,44742,,\"SPX\")":0.9713203,"CAT-US^P_BETA_LOCIDX(44914,44741,,\"SPX\")":0.9716943,"CAT-US^P_BETA_LOCIDX(44911,44740,,\"SPX\")":0.96055704,"CAT-US^P_BETA_LOCIDX(44910,44739,,\"SPX\")":0.9666486,"CAT-US^P_BETA_LOCIDX(44909,44736,,\"SPX\")":0.97976655,"CAT-US^P_BETA_LOCIDX(44908,44735,,\"SPX\")":0.959725,"CAT-US^P_BETA_LOCIDX(44907,44734,,\"SPX\")":0.96233624,"CAT-US^P_BETA_LOCIDX(44904,44733,,\"SPX\")":0.9523707,"CAT-US^P_BETA_LOCIDX(44903,44729,,\"SPX\")":0.9487035,"CAT-US^P_BETA_LOCIDX(44902,44728,,\"SPX\")":0.9774144,"CAT-US^P_BETA_LOCIDX(44901,44727,,\"SPX\")":0.9686565,"CAT-US^P_BETA_LOCIDX(44900,44726,,\"SPX\")":0.9656281,"CAT-US^P_BETA_LOCIDX(44897,44725,,\"SPX\")":0.96896464,"CAT-US^P_BETA_LOCIDX(44896,44722,,\"SPX\")":0.9791521,"CAT-US^P_BETA_LOCIDX(44895,44721,,\"SPX\")":0.9820526,"CAT-US^P_BETA_LOCIDX(44894,44720,,\"SPX\")":1.0008649,"CAT-US^P_BETA_LOCIDX(44893,44719,,\"SPX\")":1.0031389,"CAT-US^P_BETA_LOCIDX(44890,44718,,\"SPX\")":1.0032187,"CAT-US^P_BETA_LOCIDX(44888,44715,,\"SPX\")":0.98763007,"CAT-US^P_BETA_LOCIDX(44887,44714,,\"SPX\")":0.9843291,"CAT-US^P_BETA_LOCIDX(44886,44713,,\"SPX\")":0.9774498,"CAT-US^P_BETA_LOCIDX(44883,44712,,\"SPX\")":0.97833914,"CAT-US^P_BETA_LOCIDX(44882,44708,,\"SPX\")":0.9738911,"CAT-US^P_BETA_LOCIDX(44881,44707,,\"SPX\")":0.97144264,"CAT-US^P_BETA_LOCIDX(44880,44706,,\"SPX\")":0.97306246,"CAT-US^P_BETA_LOCIDX(44879,44705,,\"SPX\")":0.974233,"CAT-US^P_BETA_LOCIDX(44876,44704,,\"SPX\")":0.9836884,"CAT-US^P_BETA_LOCIDX(44875,44701,,\"SPX\")":0.98185956,"CAT-US^P_BETA_LOCIDX(44874,44700,,\"SPX\")":1.0309414,"CAT-US^P_BETA_LOCIDX(44873,44699,,\"SPX\")":1.0099789,"CAT-US^P_BETA_LOCIDX(44872,44698,,\"SPX\")":1.0149754,"CAT-US^P_BETA_LOCIDX(44869,44697,,\"SPX\")":1.0156406,"CAT-US^P_BETA_LOCIDX(44868,44694,,\"SPX\")":0.9890283,"CAT-US^P_BETA_LOCIDX(44867,44693,,\"SPX\")":1.0001483,"CAT-US^P_BETA_LOCIDX(44866,44692,,\"SPX\")":0.9906112,"CAT-US^P_BETA_LOCIDX(44865,44691,,\"SPX\")":0.9905767,"CAT-US^P_BETA_LOCIDX(44862,44690,,\"SPX\")":0.9973473,"CAT-US^P_BETA_LOCIDX(44861,44687,,\"SPX\")":0.99031055,"CAT-US^P_BETA_LOCIDX(44860,44686,,\"SPX\")":0.9989654,"CAT-US^P_BETA_LOCIDX(44859,44685,,\"SPX\")":1.0143044,"CAT-US^P_BETA_LOCIDX(44858,44684,,\"SPX\")":1.0136614,"CAT-US^P_BETA_LOCIDX(44855,44683,,\"SPX\")":1.0164871,"CAT-US^P_BETA_LOCIDX(44854,44680,,\"SPX\")":0.9636663,"CAT-US^P_BETA_LOCIDX(44853,44679,,\"SPX\")":0.9367376,"CAT-US^P_BETA_LOCIDX(44852,44678,,\"SPX\")":0.9400852,"CAT-US^P_BETA_LOCIDX(44851,44677,,\"SPX\")":0.9407569,"CAT-US^P_BETA_LOCIDX(44848,44676,,\"SPX\")":0.9485904,"CAT-US^P_BETA_LOCIDX(44847,44673,,\"SPX\")":0.98035914,"CAT-US^P_BETA_LOCIDX(44846,44672,,\"SPX\")":0.9827645,"CAT-US^P_BETA_LOCIDX(44845,44671,,\"SPX\")":0.98330694,"CAT-US^P_BETA_LOCIDX(44844,44670,,\"SPX\")":0.9821318,"CAT-US^P_BETA_LOCIDX(44841,44669,,\"SPX\")":0.985104,"CAT-US^P_BETA_LOCIDX(44840,44665,,\"SPX\")":0.9835646,"CAT-US^P_BETA_LOCIDX(44839,44664,,\"SPX\")":0.9857527,"CAT-US^P_BETA_LOCIDX(44838,44663,,\"SPX\")":0.9851484,"CAT-US^P_BETA_LOCIDX(44837,44662,,\"SPX\")":0.95965225,"CAT-US^P_BETA_LOCIDX(44834,44659,,\"SPX\")":0.9423022,"CAT-US^P_BETA_LOCIDX(44833,44658,,\"SPX\")":0.9429156,"CAT-US^P_BETA_LOCIDX(44832,44657,,\"SPX\")":0.9460894,"CAT-US^P_BETA_LOCIDX(44831,44656,,\"SPX\")":0.9390339,"CAT-US^P_BETA_LOCIDX(44830,44655,,\"SPX\")":0.9383269,"CAT-US^P_BETA_LOCIDX(44827,44652,,\"SPX\")":0.9357742,"CAT-US^P_BETA_LOCIDX(44826,44651,,\"SPX\")":0.918479,"CAT-US^P_BETA_LOCIDX(44825,44650,,\"SPX\")":0.9160287,"CAT-US^P_BETA_LOCIDX(44824,44649,,\"SPX\")":0.89996576,"CAT-US^P_BETA_LOCIDX(44823,44648,,\"SPX\")":0.89229447,"CAT-US^P_BETA_LOCIDX(44820,44645,,\"SPX\")":0.89008915,"CAT-US^P_BETA_LOCIDX(44819,44644,,\"SPX\")":0.8818919,"CAT-US^P_BETA_LOCIDX(44818,44643,,\"SPX\")":0.8781134,"CAT-US^P_BETA_LOCIDX(44817,44642,,\"SPX\")":0.8725392,"CAT-US^P_BETA_LOCIDX(44816,44641,,\"SPX\")":0.86692,"CAT-US^P_BETA_LOCIDX(44813,44638,,\"SPX\")":0.8585937,"CAT-US^P_BETA_LOCIDX(44812,44637,,\"SPX\")":0.85350674,"CAT-US^P_BETA_LOCIDX(44811,44636,,\"SPX\")":0.83551705,"CAT-US^P_BETA_LOCIDX(44810,44635,,\"SPX\")":0.83490336,"CAT-US^P_BETA_LOCIDX(44806,44634,,\"SPX\")":0.83293104,"CAT-US^P_BETA_LOCIDX(44805,44631,,\"SPX\")":0.8220286,"CAT-US^P_BETA_LOCIDX(44804,44630,,\"SPX\")":0.8219649,"CAT-US^P_BETA_LOCIDX(44803,44629,,\"SPX\")":0.8014935,"CAT-US^P_BETA_LOCIDX(44802,44628,,\"SPX\")":0.7780489,"CAT-US^P_BETA_LOCIDX(44799,44627,,\"SPX\")":0.7519106,"CAT-US^P_BETA_LOCIDX(44798,44624,,\"SPX\")":0.7377915,"CAT-US^P_BETA_LOCIDX(44797,44623,,\"SPX\")":0.7286133,"CAT-US^P_BETA_LOCIDX(44796,44622,,\"SPX\")":0.7558435,"CAT-US^P_BETA_LOCIDX(44795,44621,,\"SPX\")":0.7652196,"CAT-US^P_BETA_LOCIDX(44792,44620,,\"SPX\")":0.76204085,"CAT-US^P_BETA_LOCIDX(44791,44617,,\"SPX\")":0.75838286,"CAT-US^P_BETA_LOCIDX(44790,44616,,\"SPX\")":0.74680287,"CAT-US^P_BETA_LOCIDX(44789,44615,,\"SPX\")":0.7525121,"CAT-US^P_BETA_LOCIDX(44788,44614,,\"SPX\")":0.75099844,"CAT-US^P_BETA_LOCIDX(44785,44610,,\"SPX\")":0.7542599,"CAT-US^P_BETA_LOCIDX(44784,44609,,\"SPX\")":0.77289146,"CAT-US^P_BETA_LOCIDX(44783,44608,,\"SPX\")":0.77309805,"CAT-US^P_BETA_LOCIDX(44782,44607,,\"SPX\")":0.76969683,"CAT-US^P_BETA_LOCIDX(44781,44606,,\"SPX\")":0.7706938,"CAT-US^P_BETA_LOCIDX(44778,44603,,\"SPX\")":0.76731724,"CAT-US^P_BETA_LOCIDX(44777,44602,,\"SPX\")":0.761194,"CAT-US^P_BETA_LOCIDX(44776,44601,,\"SPX\")":0.7609533,"CAT-US^P_BETA_LOCIDX(44775,44600,,\"SPX\")":0.7696636,"CAT-US^P_BETA_LOCIDX(44774,44599,,\"SPX\")":0.75817806,"CAT-US^P_BETA_LOCIDX(45845,45670,,\"SPX\")":1.1386212,"TSM-US^P_BETA_LOCIDX(45841,45665,,\"SPX\")":1.469121,"TSM-US^P_BETA_LOCIDX(45840,45664,,\"SPX\")":1.4805121,"TSM-US^P_BETA_LOCIDX(45839,45663,,\"SPX\")":1.483841,"TSM-US^P_BETA_LOCIDX(45838,45660,,\"SPX\")":1.4900249,"TSM-US^P_BETA_LOCIDX(45835,45659,,\"SPX\")":1.4905938,"TSM-US^P_BETA_LOCIDX(45834,45657,,\"SPX\")":1.4901333,"TSM-US^P_BETA_LOCIDX(45833,45656,,\"SPX\")":1.48856,"TSM-US^P_BETA_LOCIDX(45832,45653,,\"SPX\")":1.4853247,"TSM-US^P_BETA_LOCIDX(45831,45652,,\"SPX\")":1.4745136,"TSM-US^P_BETA_LOCIDX(45828,45650,,\"SPX\")":1.4698409,"TSM-US^P_BETA_LOCIDX(45826,45649,,\"SPX\")":1.4784336,"TSM-US^P_BETA_LOCIDX(45825,45646,,\"SPX\")":1.4770348,"TSM-US^P_BETA_LOCIDX(45824,45645,,\"SPX\")":1.4781841,"TSM-US^P_BETA_LOCIDX(45821,45644,,\"SPX\")":1.4587469,"TSM-US^P_BETA_LOCIDX(45820,45643,,\"SPX\")":1.4574198,"TSM-US^P_BETA_LOCIDX(45819,45642,,\"SPX\")":1.4574126,"TSM-US^P_BETA_LOCIDX(45818,45639,,\"SPX\")":1.4582368,"TSM-US^P_BETA_LOCIDX(45817,45638,,\"SPX\")":1.4567952,"TSM-US^P_BETA_LOCIDX(45814,45637,,\"SPX\")":1.4568785,"TSM-US^P_BETA_LOCIDX(45813,45636,,\"SPX\")":1.4625111,"TSM-US^P_BETA_LOCIDX(45812,45635,,\"SPX\")":1.4667647,"TSM-US^P_BETA_LOCIDX(45811,45632,,\"SPX\")":1.465802,"TSM-US^P_BETA_LOCIDX(45810,45631,,\"SPX\")":1.4634831,"TSM-US^P_BETA_LOCIDX(45807,45630,,\"SPX\")":1.4632376,"TSM-US^P_BETA_LOCIDX(45806,45629,,\"SPX\")":1.4636114,"TSM-US^P_BETA_LOCIDX(45805,45628,,\"SPX\")":1.4679356,"TSM-US^P_BETA_LOCIDX(45804,45625,,\"SPX\")":1.469649,"TSM-US^P_BETA_LOCIDX(45800,45623,,\"SPX\")":1.472,"TSM-US^P_BETA_LOCIDX(45799,45622,,\"SPX\")":1.4658934,"TSM-US^P_BETA_LOCIDX(45798,45621,,\"SPX\")":1.4628491,"TSM-US^P_BETA_LOCIDX(45797,45618,,\"SPX\")":1.469446,"TSM-US^P_BETA_LOCIDX(45796,45617,,\"SPX\")":1.4713936,"TSM-US^P_BETA_LOCIDX(45793,45616,,\"SPX\")":1.4715642,"TSM-US^P_BETA_LOCIDX(45792,45615,,\"SPX\")":1.4748172,"TSM-US^P_BETA_LOCIDX(45791,45614,,\"SPX\")":1.4763163,"TSM-US^P_BETA_LOCIDX(45790,45611,,\"SPX\")":1.473701,"TSM-US^P_BETA_LOCIDX(45789,45610,,\"SPX\")":1.4634272,"TSM-US^P_BETA_LOCIDX(45786,45609,,\"SPX\")":1.4499763,"TSM-US^P_BETA_LOCIDX(45785,45608,,\"SPX\")":1.4507852,"TSM-US^P_BETA_LOCIDX(45784,45607,,\"SPX\")":1.4500053,"TSM-US^P_BETA_LOCIDX(45783,45604,,\"SPX\")":1.4480449,"TSM-US^P_BETA_LOCIDX(45782,45603,,\"SPX\")":1.4533151,"TSM-US^P_BETA_LOCIDX(45779,45602,,\"SPX\")":1.4076807,"TSM-US^P_BETA_LOCIDX(45778,45601,,\"SPX\")":1.400755,"TSM-US^P_BETA_LOCIDX(45777,45600,,\"SPX\")":1.3948166,"TSM-US^P_BETA_LOCIDX(45776,45597,,\"SPX\")":1.3952585,"TSM-US^P_BETA_LOCIDX(45775,45596,,\"SPX\")":1.3914388,"TSM-US^P_BETA_LOCIDX(45772,45595,,\"SPX\")":1.3925537,"TSM-US^P_BETA_LOCIDX(45771,45594,,\"SPX\")":1.3943522,"TSM-US^P_BETA_LOCIDX(45770,45593,,\"SPX\")":1.3800111,"TSM-US^P_BETA_LOCIDX(45769,45590,,\"SPX\")":1.3679104,"TSM-US^P_BETA_LOCIDX(45768,45589,,\"SPX\")":1.3751632,"TSM-US^P_BETA_LOCIDX(45764,45588,,\"SPX\")":1.3736991,"TSM-US^P_BETA_LOCIDX(45763,45587,,\"SPX\")":1.373587,"TSM-US^P_BETA_LOCIDX(45762,45586,,\"SPX\")":1.3695849,"TSM-US^P_BETA_LOCIDX(45761,45583,,\"SPX\")":1.3651881,"TSM-US^P_BETA_LOCIDX(45758,45582,,\"SPX\")":1.372488,"TSM-US^P_BETA_LOCIDX(45757,45581,,\"SPX\")":1.3610257,"TSM-US^P_BETA_LOCIDX(45756,45580,,\"SPX\")":1.3646917,"TSM-US^P_BETA_LOCIDX(45755,45579,,\"SPX\")":1.4025612,"TSM-US^P_BETA_LOCIDX(45754,45576,,\"SPX\")":1.4013093,"TSM-US^P_BETA_LOCIDX(45751,45575,,\"SPX\")":1.4015155,"TSM-US^P_BETA_LOCIDX(45750,45574,,\"SPX\")":1.4792125,"TSM-US^P_BETA_LOCIDX(45749,45573,,\"SPX\")":1.452081,"TSM-US^P_BETA_LOCIDX(45748,45572,,\"SPX\")":1.420976,"TSM-US^P_BETA_LOCIDX(45747,45569,,\"SPX\")":1.4139795,"TSM-US^P_BETA_LOCIDX(45744,45568,,\"SPX\")":1.412211,"TSM-US^P_BETA_LOCIDX(45743,45567,,\"SPX\")":1.4326888,"TSM-US^P_BETA_LOCIDX(45742,45566,,\"SPX\")":1.4203937,"TSM-US^P_BETA_LOCIDX(45741,45565,,\"SPX\")":1.3779658,"TSM-US^P_BETA_LOCIDX(45740,45562,,\"SPX\")":1.3848488,"TSM-US^P_BETA_LOCIDX(45737,45561,,\"SPX\")":1.3919243,"TSM-US^P_BETA_LOCIDX(45736,45560,,\"SPX\")":1.3915892,"TSM-US^P_BETA_LOCIDX(45735,45559,,\"SPX\")":1.4071444,"TSM-US^P_BETA_LOCIDX(45734,45558,,\"SPX\")":1.4209241,"TSM-US^P_BETA_LOCIDX(45733,45555,,\"SPX\")":1.4195306,"TSM-US^P_BETA_LOCIDX(45730,45554,,\"SPX\")":1.469184,"TSM-US^P_BETA_LOCIDX(45729,45553,,\"SPX\")":1.5091891,"TSM-US^P_BETA_LOCIDX(45728,45552,,\"SPX\")":1.4910334,"TSM-US^P_BETA_LOCIDX(45727,45551,,\"SPX\")":1.4719906,"TSM-US^P_BETA_LOCIDX(45726,45548,,\"SPX\")":1.4816511,"TSM-US^P_BETA_LOCIDX(45723,45547,,\"SPX\")":1.488849,"TSM-US^P_BETA_LOCIDX(45722,45546,,\"SPX\")":1.5297188,"TSM-US^P_BETA_LOCIDX(45721,45545,,\"SPX\")":1.4807523,"TSM-US^P_BETA_LOCIDX(45720,45544,,\"SPX\")":1.5000948,"TSM-US^P_BETA_LOCIDX(45719,45541,,\"SPX\")":1.6300155,"TSM-US^P_BETA_LOCIDX(45716,45540,,\"SPX\")":1.5881178,"TSM-US^P_BETA_LOCIDX(45715,45539,,\"SPX\")":1.6453451,"TSM-US^P_BETA_LOCIDX(45714,45538,,\"SPX\")":1.6392192,"TSM-US^P_BETA_LOCIDX(45713,45534,,\"SPX\")":1.6380428,"TSM-US^P_BETA_LOCIDX(45712,45533,,\"SPX\")":1.6349328,"TSM-US^P_BETA_LOCIDX(45709,45532,,\"SPX\")":1.6154737,"TSM-US^P_BETA_LOCIDX(45708,45531,,\"SPX\")":1.6580818,"TSM-US^P_BETA_LOCIDX(45707,45530,,\"SPX\")":1.6640314,"TSM-US^P_BETA_LOCIDX(45706,45527,,\"SPX\")":1.6801666,"TSM-US^P_BETA_LOCIDX(45702,45526,,\"SPX\")":1.7012072,"TSM-US^P_BETA_LOCIDX(45701,45525,,\"SPX\")":1.697149,"TSM-US^P_BETA_LOCIDX(45700,45524,,\"SPX\")":1.7547091,"TSM-US^P_BETA_LOCIDX(45699,45523,,\"SPX\")":1.736899,"TSM-US^P_BETA_LOCIDX(45698,45520,,\"SPX\")":1.736945,"TSM-US^P_BETA_LOCIDX(45695,45519,,\"SPX\")":1.7295368,"TSM-US^P_BETA_LOCIDX(45694,45518,,\"SPX\")":1.7151605,"TSM-US^P_BETA_LOCIDX(45693,45517,,\"SPX\")":1.7119637,"TSM-US^P_BETA_LOCIDX(45692,45516,,\"SPX\")":1.706215,"TSM-US^P_BETA_LOCIDX(45691,45513,,\"SPX\")":1.7028358,"TSM-US^P_BETA_LOCIDX(45688,45512,,\"SPX\")":1.7248694,"TSM-US^P_BETA_LOCIDX(45687,45511,,\"SPX\")":1.7239679,"TSM-US^P_BETA_LOCIDX(45686,45510,,\"SPX\")":1.7490376,"TSM-US^P_BETA_LOCIDX(45685,45509,,\"SPX\")":1.6247755,"TSM-US^P_BETA_LOCIDX(45684,45506,,\"SPX\")":1.6407535,"TSM-US^P_BETA_LOCIDX(45681,45505,,\"SPX\")":1.5015736,"TSM-US^P_BETA_LOCIDX(45680,45504,,\"SPX\")":1.56918,"TSM-US^P_BETA_LOCIDX(45679,45503,,\"SPX\")":1.5876873,"TSM-US^P_BETA_LOCIDX(45678,45502,,\"SPX\")":1.5829144,"TSM-US^P_BETA_LOCIDX(45674,45499,,\"SPX\")":1.5592107,"TSM-US^P_BETA_LOCIDX(45673,45498,,\"SPX\")":1.583304,"TSM-US^P_BETA_LOCIDX(45672,45497,,\"SPX\")":1.6483192,"TSM-US^P_BETA_LOCIDX(45671,45496,,\"SPX\")":1.6556115,"TSM-US^P_BETA_LOCIDX(45670,45495,,\"SPX\")":1.6584423,"TSM-US^P_BETA_LOCIDX(45667,45492,,\"SPX\")":1.6807994,"TSM-US^P_BETA_LOCIDX(45665,45491,,\"SPX\")":1.7162052,"TSM-US^P_BETA_LOCIDX(45664,45490,,\"SPX\")":1.7980248,"TSM-US^P_BETA_LOCIDX(45663,45489,,\"SPX\")":1.7709292,"TSM-US^P_BETA_LOCIDX(45660,45488,,\"SPX\")":1.745303,"TSM-US^P_BETA_LOCIDX(45659,45485,,\"SPX\")":1.732939,"TSM-US^P_BETA_LOCIDX(45657,45484,,\"SPX\")":1.7567465,"TSM-US^P_BETA_LOCIDX(45656,45483,,\"SPX\")":1.7701137,"TSM-US^P_BETA_LOCIDX(45653,45482,,\"SPX\")":1.7841381,"TSM-US^P_BETA_LOCIDX(45652,45481,,\"SPX\")":1.7996111,"TSM-US^P_BETA_LOCIDX(45650,45478,,\"SPX\")":1.7971481,"TSM-US^P_BETA_LOCIDX(45649,45476,,\"SPX\")":1.8361591,"TSM-US^P_BETA_LOCIDX(45646,45475,,\"SPX\")":1.8153503,"TSM-US^P_BETA_LOCIDX(45645,45474,,\"SPX\")":1.8195754,"TSM-US^P_BETA_LOCIDX(45644,45471,,\"SPX\")":1.8095094,"TSM-US^P_BETA_LOCIDX(45643,45470,,\"SPX\")":1.9038422,"TSM-US^P_BETA_LOCIDX(45642,45469,,\"SPX\")":1.9031862,"TSM-US^P_BETA_LOCIDX(45639,45468,,\"SPX\")":1.9107519,"TSM-US^P_BETA_LOCIDX(45638,45467,,\"SPX\")":1.929008,"TSM-US^P_BETA_LOCIDX(45637,45464,,\"SPX\")":1.926589,"TSM-US^P_BETA_LOCIDX(45636,45463,,\"SPX\")":1.9347947,"TSM-US^P_BETA_LOCIDX(45635,45461,,\"SPX\")":1.9235622,"TSM-US^P_BETA_LOCIDX(45632,45460,,\"SPX\")":1.9279426,"TSM-US^P_BETA_LOCIDX(45631,45457,,\"SPX\")":1.9300619,"TSM-US^P_BETA_LOCIDX(45630,45456,,\"SPX\")":1.9364018,"TSM-US^P_BETA_LOCIDX(45629,45455,,\"SPX\")":1.9613376,"TSM-US^P_BETA_LOCIDX(45628,45454,,\"SPX\")":1.9590415,"TSM-US^P_BETA_LOCIDX(45625,45453,,\"SPX\")":1.9544857,"TSM-US^P_BETA_LOCIDX(45623,45450,,\"SPX\")":1.945711,"TSM-US^P_BETA_LOCIDX(45622,45449,,\"SPX\")":1.9427798,"TSM-US^P_BETA_LOCIDX(45621,45448,,\"SPX\")":2.0079849,"TSM-US^P_BETA_LOCIDX(45618,45447,,\"SPX\")":2.0141943,"TSM-US^P_BETA_LOCIDX(45617,45446,,\"SPX\")":2.0180223,"TSM-US^P_BETA_LOCIDX(45616,45443,,\"SPX\")":1.9931728,"TSM-US^P_BETA_LOCIDX(45615,45442,,\"SPX\")":1.990103,"TSM-US^P_BETA_LOCIDX(45614,45441,,\"SPX\")":2.0047092,"TSM-US^P_BETA_LOCIDX(45611,45440,,\"SPX\")":2.0049484,"TSM-US^P_BETA_LOCIDX(45610,45436,,\"SPX\")":2.0296905,"TSM-US^P_BETA_LOCIDX(45609,45435,,\"SPX\")":2.0274045,"TSM-US^P_BETA_LOCIDX(45608,45434,,\"SPX\")":2.015885,"TSM-US^P_BETA_LOCIDX(45607,45433,,\"SPX\")":2.0124319,"TSM-US^P_BETA_LOCIDX(45604,45432,,\"SPX\")":2.0119255,"TSM-US^P_BETA_LOCIDX(45603,45429,,\"SPX\")":2.014329,"TSM-US^P_BETA_LOCIDX(45602,45428,,\"SPX\")":2.0016115,"TSM-US^P_BETA_LOCIDX(45601,45427,,\"SPX\")":2.1895585,"TSM-US^P_BETA_LOCIDX(45600,45426,,\"SPX\")":2.210516,"TSM-US^P_BETA_LOCIDX(45597,45425,,\"SPX\")":2.2121594,"TSM-US^P_BETA_LOCIDX(45596,45422,,\"SPX\")":2.2153568,"TSM-US^P_BETA_LOCIDX(45595,45421,,\"SPX\")":2.2558148,"TSM-US^P_BETA_LOCIDX(45594,45420,,\"SPX\")":2.2504601,"TSM-US^P_BETA_LOCIDX(45593,45419,,\"SPX\")":2.2491987,"TSM-US^P_BETA_LOCIDX(45590,45418,,\"SPX\")":2.2416523,"TSM-US^P_BETA_LOCIDX(45589,45415,,\"SPX\")":2.2608714,"TSM-US^P_BETA_LOCIDX(45588,45414,,\"SPX\")":2.2515323,"TSM-US^P_BETA_LOCIDX(45587,45413,,\"SPX\")":2.29942,"TSM-US^P_BETA_LOCIDX(45586,45412,,\"SPX\")":2.240492,"TSM-US^P_BETA_LOCIDX(45583,45411,,\"SPX\")":2.2421768,"TSM-US^P_BETA_LOCIDX(45582,45408,,\"SPX\")":2.2414727,"TSM-US^P_BETA_LOCIDX(45581,45407,,\"SPX\")":2.2323241,"TSM-US^P_BETA_LOCIDX(45580,45406,,\"SPX\")":2.2366362,"TSM-US^P_BETA_LOCIDX(45579,45405,,\"SPX\")":2.2274177,"TSM-US^P_BETA_LOCIDX(45576,45404,,\"SPX\")":2.2317991,"TSM-US^P_BETA_LOCIDX(45575,45401,,\"SPX\")":2.2428782,"TSM-US^P_BETA_LOCIDX(45574,45400,,\"SPX\")":2.259467,"TSM-US^P_BETA_LOCIDX(45573,45399,,\"SPX\")":2.260669,"TSM-US^P_BETA_LOCIDX(45572,45398,,\"SPX\")":2.2740998,"TSM-US^P_BETA_LOCIDX(45569,45397,,\"SPX\")":2.308047,"TSM-US^P_BETA_LOCIDX(45568,45394,,\"SPX\")":2.3157182,"TSM-US^P_BETA_LOCIDX(45567,45393,,\"SPX\")":2.3148785,"TSM-US^P_BETA_LOCIDX(45566,45392,,\"SPX\")":2.2843084,"TSM-US^P_BETA_LOCIDX(45565,45391,,\"SPX\")":2.2995076,"TSM-US^P_BETA_LOCIDX(45562,45390,,\"SPX\")":2.3111637,"TSM-US^P_BETA_LOCIDX(45561,45387,,\"SPX\")":2.2840548,"TSM-US^P_BETA_LOCIDX(45560,45386,,\"SPX\")":2.262476,"TSM-US^P_BETA_LOCIDX(45559,45385,,\"SPX\")":2.2644722,"TSM-US^P_BETA_LOCIDX(45558,45384,,\"SPX\")":2.2516356,"TSM-US^P_BETA_LOCIDX(45555,45383,,\"SPX\")":2.23895,"TSM-US^P_BETA_LOCIDX(45554,45379,,\"SPX\")":2.236065,"TSM-US^P_BETA_LOCIDX(45553,45378,,\"SPX\")":2.176773,"TSM-US^P_BETA_LOCIDX(45552,45377,,\"SPX\")":2.180654,"TSM-US^P_BETA_LOCIDX(45551,45376,,\"SPX\")":2.1784492,"TSM-US^P_BETA_LOCIDX(45548,45373,,\"SPX\")":2.1777194,"TSM-US^P_BETA_LOCIDX(45547,45372,,\"SPX\")":2.184708,"TSM-US^P_BETA_LOCIDX(45546,45371,,\"SPX\")":2.1866555,"TSM-US^P_BETA_LOCIDX(45545,45370,,\"SPX\")":2.1440766,"TSM-US^P_BETA_LOCIDX(45544,45369,,\"SPX\")":2.1386998,"TSM-US^P_BETA_LOCIDX(45541,45366,,\"SPX\")":2.1267986,"TSM-US^P_BETA_LOCIDX(45540,45365,,\"SPX\")":2.1196642,"TSM-US^P_BETA_LOCIDX(45539,45364,,\"SPX\")":2.1333067,"TSM-US^P_BETA_LOCIDX(45538,45363,,\"SPX\")":2.1531842,"TSM-US^P_BETA_LOCIDX(45534,45362,,\"SPX\")":2.1106133,"TSM-US^P_BETA_LOCIDX(45533,45359,,\"SPX\")":2.122343,"TSM-US^P_BETA_LOCIDX(45532,45358,,\"SPX\")":2.1601987,"TSM-US^P_BETA_LOCIDX(45531,45357,,\"SPX\")":2.1843026,"TSM-US^P_BETA_LOCIDX(45530,45356,,\"SPX\")":2.1863406,"TSM-US^P_BETA_LOCIDX(45527,45355,,\"SPX\")":2.1747844,"TSM-US^P_BETA_LOCIDX(45526,45352,,\"SPX\")":2.190385,"TSM-US^P_BETA_LOCIDX(45525,45351,,\"SPX\")":2.1765325,"TSM-US^P_BETA_LOCIDX(45524,45350,,\"SPX\")":2.1843698,"TSM-US^P_BETA_LOCIDX(45523,45349,,\"SPX\")":2.1765397,"TSM-US^P_BETA_LOCIDX(45520,45348,,\"SPX\")":2.186425,"TSM-US^P_BETA_LOCIDX(45519,45345,,\"SPX\")":2.1866837,"TSM-US^P_BETA_LOCIDX(45518,45344,,\"SPX\")":2.1671445,"TSM-US^P_BETA_LOCIDX(45517,45343,,\"SPX\")":2.1756501,"TSM-US^P_BETA_LOCIDX(45516,45342,,\"SPX\")":2.1951296,"TSM-US^P_BETA_LOCIDX(45513,45338,,\"SPX\")":2.2012715,"TSM-US^P_BETA_LOCIDX(45512,45337,,\"SPX\")":2.188567,"TSM-US^P_BETA_LOCIDX(45511,45336,,\"SPX\")":2.148722,"TSM-US^P_BETA_LOCIDX(45510,45335,,\"SPX\")":2.1517496,"TSM-US^P_BETA_LOCIDX(45509,45334,,\"SPX\")":2.1187847,"TSM-US^P_BETA_LOCIDX(45506,45331,,\"SPX\")":2.3355896,"TSM-US^P_BETA_LOCIDX(45505,45330,,\"SPX\")":2.3046675,"TSM-US^P_BETA_LOCIDX(45504,45329,,\"SPX\")":2.3016357,"TSM-US^P_BETA_LOCIDX(45503,45328,,\"SPX\")":2.2112012,"TSM-US^P_BETA_LOCIDX(45502,45327,,\"SPX\")":2.1655712,"TSM-US^P_BETA_LOCIDX(45499,45324,,\"SPX\")":2.1596017,"TSM-US^P_BETA_LOCIDX(45498,45323,,\"SPX\")":2.137737,"TSM-US^P_BETA_LOCIDX(45497,45322,,\"SPX\")":2.1323826,"TSM-US^P_BETA_LOCIDX(45496,45321,,\"SPX\")":2.088702,"TSM-US^P_BETA_LOCIDX(45495,45320,,\"SPX\")":2.0690107,"TSM-US^P_BETA_LOCIDX(45492,45317,,\"SPX\")":2.0703182,"TSM-US^P_BETA_LOCIDX(45491,45316,,\"SPX\")":2.0294538,"TSM-US^P_BETA_LOCIDX(45490,45315,,\"SPX\")":2.058432,"TSM-US^P_BETA_LOCIDX(45489,45314,,\"SPX\")":1.9084266,"TSM-US^P_BETA_LOCIDX(45488,45313,,\"SPX\")":1.9149517,"TSM-US^P_BETA_LOCIDX(45485,45310,,\"SPX\")":1.8894,"TSM-US^P_BETA_LOCIDX(45484,45309,,\"SPX\")":1.9957631,"TSM-US^P_BETA_LOCIDX(45483,45308,,\"SPX\")":1.9314052,"TSM-US^P_BETA_LOCIDX(45482,45307,,\"SPX\")":1.901603,"TSM-US^P_BETA_LOCIDX(45481,45303,,\"SPX\")":1.9004077,"TSM-US^P_BETA_LOCIDX(45478,45302,,\"SPX\")":1.8999397,"TSM-US^P_BETA_LOCIDX(45476,45301,,\"SPX\")":1.8837932,"TSM-US^P_BETA_LOCIDX(45475,45300,,\"SPX\")":1.8663268,"TSM-US^P_BETA_LOCIDX(45474,45299,,\"SPX\")":1.8556877,"TSM-US^P_BETA_LOCIDX(45471,45296,,\"SPX\")":1.8596543,"TSM-US^P_BETA_LOCIDX(45470,45295,,\"SPX\")":1.8828433,"TSM-US^P_BETA_LOCIDX(45469,45294,,\"SPX\")":1.8834958,"TSM-US^P_BETA_LOCIDX(45468,45293,,\"SPX\")":1.9029973,"TSM-US^P_BETA_LOCIDX(45467,45289,,\"SPX\")":1.8959811,"TSM-US^P_BETA_LOCIDX(45464,45288,,\"SPX\")":1.8724746,"TSM-US^P_BETA_LOCIDX(45463,45287,,\"SPX\")":1.8686383,"TSM-US^P_BETA_LOCIDX(45461,45286,,\"SPX\")":1.8553194,"TSM-US^P_BETA_LOCIDX(45460,45282,,\"SPX\")":1.8537807,"TSM-US^P_BETA_LOCIDX(45457,45281,,\"SPX\")":1.8470846,"TSM-US^P_BETA_LOCIDX(45456,45280,,\"SPX\")":1.879178,"TSM-US^P_BETA_LOCIDX(45455,45279,,\"SPX\")":1.8771938,"TSM-US^P_BETA_LOCIDX(45454,45278,,\"SPX\")":1.840613,"TSM-US^P_BETA_LOCIDX(45453,45275,,\"SPX\")":1.8488747,"TSM-US^P_BETA_LOCIDX(45450,45274,,\"SPX\")":1.8463513,"TSM-US^P_BETA_LOCIDX(45449,45273,,\"SPX\")":1.8053536,"TSM-US^P_BETA_LOCIDX(45448,45272,,\"SPX\")":1.8015631,"TSM-US^P_BETA_LOCIDX(45447,45271,,\"SPX\")":1.7180241,"TSM-US^P_BETA_LOCIDX(45446,45268,,\"SPX\")":1.7200425,"TSM-US^P_BETA_LOCIDX(45443,45267,,\"SPX\")":1.7195737,"TSM-US^P_BETA_LOCIDX(45442,45266,,\"SPX\")":1.737609,"TSM-US^P_BETA_LOCIDX(45441,45265,,\"SPX\")":1.7381917,"TSM-US^P_BETA_LOCIDX(45440,45264,,\"SPX\")":1.7166325,"TSM-US^P_BETA_LOCIDX(45436,45261,,\"SPX\")":1.7159649,"TSM-US^P_BETA_LOCIDX(45435,45260,,\"SPX\")":1.7009404,"TSM-US^P_BETA_LOCIDX(45434,45259,,\"SPX\")":1.7225176,"TSM-US^P_BETA_LOCIDX(45433,45258,,\"SPX\")":1.7355245,"TSM-US^P_BETA_LOCIDX(45432,45257,,\"SPX\")":1.7392888,"TSM-US^P_BETA_LOCIDX(45429,45254,,\"SPX\")":1.7411704,"TSM-US^P_BETA_LOCIDX(45428,45252,,\"SPX\")":1.738024,"TSM-US^P_BETA_LOCIDX(45427,45251,,\"SPX\")":1.7343997,"TSM-US^P_BETA_LOCIDX(45426,45250,,\"SPX\")":1.719394,"TSM-US^P_BETA_LOCIDX(45425,45247,,\"SPX\")":1.7017001,"TSM-US^P_BETA_LOCIDX(45422,45246,,\"SPX\")":1.6964821,"TSM-US^P_BETA_LOCIDX(45421,45245,,\"SPX\")":1.6932622,"TSM-US^P_BETA_LOCIDX(45420,45244,,\"SPX\")":1.680276,"TSM-US^P_BETA_LOCIDX(45419,45243,,\"SPX\")":1.6878047,"TSM-US^P_BETA_LOCIDX(45418,45240,,\"SPX\")":1.7702826,"TSM-US^P_BETA_LOCIDX(45415,45239,,\"SPX\")":1.7722179,"TSM-US^P_BETA_LOCIDX(45414,45238,,\"SPX\")":1.7436869,"TSM-US^P_BETA_LOCIDX(45413,45237,,\"SPX\")":1.7515374,"TSM-US^P_BETA_LOCIDX(45412,45236,,\"SPX\")":1.7420113,"TSM-US^P_BETA_LOCIDX(45411,45233,,\"SPX\")":1.7898495,"TSM-US^P_BETA_LOCIDX(45408,45232,,\"SPX\")":1.7786369,"TSM-US^P_BETA_LOCIDX(45407,45231,,\"SPX\")":1.7844229,"TSM-US^P_BETA_LOCIDX(45406,45230,,\"SPX\")":1.8116201,"TSM-US^P_BETA_LOCIDX(45405,45229,,\"SPX\")":1.7740713,"TSM-US^P_BETA_LOCIDX(45404,45226,,\"SPX\")":1.77266,"TSM-US^P_BETA_LOCIDX(45401,45225,,\"SPX\")":1.7339162,"TSM-US^P_BETA_LOCIDX(45400,45224,,\"SPX\")":1.7502409,"TSM-US^P_BETA_LOCIDX(45399,45223,,\"SPX\")":1.7168936,"TSM-US^P_BETA_LOCIDX(45398,45222,,\"SPX\")":1.7208487,"TSM-US^P_BETA_LOCIDX(45397,45219,,\"SPX\")":1.7137798,"TSM-US^P_BETA_LOCIDX(45394,45218,,\"SPX\")":1.6418331,"TSM-US^P_BETA_LOCIDX(45393,45217,,\"SPX\")":1.6063925,"TSM-US^P_BETA_LOCIDX(45392,45216,,\"SPX\")":1.614129,"TSM-US^P_BETA_LOCIDX(45391,45215,,\"SPX\")":1.6321532,"TSM-US^P_BETA_LOCIDX(45390,45212,,\"SPX\")":1.6472692,"TSM-US^P_BETA_LOCIDX(45387,45211,,\"SPX\")":1.6337504,"TSM-US^P_BETA_LOCIDX(45386,45210,,\"SPX\")":1.6481612,"TSM-US^P_BETA_LOCIDX(45385,45209,,\"SPX\")":1.658287,"TSM-US^P_BETA_LOCIDX(45384,45208,,\"SPX\")":1.6473547,"TSM-US^P_BETA_LOCIDX(45383,45205,,\"SPX\")":1.6580521,"TSM-US^P_BETA_LOCIDX(45379,45204,,\"SPX\")":1.6810846,"TSM-US^P_BETA_LOCIDX(45378,45203,,\"SPX\")":1.6803576,"TSM-US^P_BETA_LOCIDX(45377,45202,,\"SPX\")":1.7225853,"TSM-US^P_BETA_LOCIDX(45376,45201,,\"SPX\")":1.7164274,"TSM-US^P_BETA_LOCIDX(45373,45198,,\"SPX\")":1.7115661,"TSM-US^P_BETA_LOCIDX(45372,45197,,\"SPX\")":1.7157326,"TSM-US^P_BETA_LOCIDX(45371,45196,,\"SPX\")":1.7099302,"TSM-US^P_BETA_LOCIDX(45370,45195,,\"SPX\")":1.7098236,"TSM-US^P_BETA_LOCIDX(45369,45194,,\"SPX\")":1.7244372,"TSM-US^P_BETA_LOCIDX(45366,45191,,\"SPX\")":1.7323138,"TSM-US^P_BETA_LOCIDX(45365,45190,,\"SPX\")":1.7097806,"TSM-US^P_BETA_LOCIDX(45364,45189,,\"SPX\")":1.6945709,"TSM-US^P_BETA_LOCIDX(45363,45188,,\"SPX\")":1.6908144,"TSM-US^P_BETA_LOCIDX(45362,45187,,\"SPX\")":1.6655985,"TSM-US^P_BETA_LOCIDX(45359,45184,,\"SPX\")":1.6609484,"TSM-US^P_BETA_LOCIDX(45358,45183,,\"SPX\")":1.6356034,"TSM-US^P_BETA_LOCIDX(45357,45182,,\"SPX\")":1.5898598,"TSM-US^P_BETA_LOCIDX(45356,45181,,\"SPX\")":1.5510038,"TSM-US^P_BETA_LOCIDX(45355,45180,,\"SPX\")":1.5242813,"TSM-US^P_BETA_LOCIDX(45352,45177,,\"SPX\")":1.5353565,"TSM-US^P_BETA_LOCIDX(45351,45176,,\"SPX\")":1.5215105,"TSM-US^P_BETA_LOCIDX(45350,45175,,\"SPX\")":1.5387167,"TSM-US^P_BETA_LOCIDX(45349,45174,,\"SPX\")":1.5202773,"TSM-US^P_BETA_LOCIDX(45348,45170,,\"SPX\")":1.5213412,"TSM-US^P_BETA_LOCIDX(45345,45169,,\"SPX\")":1.5347795,"TSM-US^P_BETA_LOCIDX(45344,45168,,\"SPX\")":1.5308354,"TSM-US^P_BETA_LOCIDX(45343,45167,,\"SPX\")":1.5180213,"TSM-US^P_BETA_LOCIDX(45342,45166,,\"SPX\")":1.5174234,"TSM-US^P_BETA_LOCIDX(45338,45163,,\"SPX\")":1.5103008,"TSM-US^P_BETA_LOCIDX(45337,45162,,\"SPX\")":1.4972941,"TSM-US^P_BETA_LOCIDX(45336,45161,,\"SPX\")":1.5106146,"TSM-US^P_BETA_LOCIDX(45335,45160,,\"SPX\")":1.5137563,"TSM-US^P_BETA_LOCIDX(45334,45159,,\"SPX\")":1.51097,"TSM-US^P_BETA_LOCIDX(45331,45156,,\"SPX\")":1.5060562,"TSM-US^P_BETA_LOCIDX(45330,45155,,\"SPX\")":1.5050634,"TSM-US^P_BETA_LOCIDX(45329,45154,,\"SPX\")":1.4958544,"TSM-US^P_BETA_LOCIDX(45328,45153,,\"SPX\")":1.4582633,"TSM-US^P_BETA_LOCIDX(45327,45152,,\"SPX\")":1.4598,"TSM-US^P_BETA_LOCIDX(45324,45149,,\"SPX\")":1.4855422,"TSM-US^P_BETA_LOCIDX(45323,45148,,\"SPX\")":1.4784796,"TSM-US^P_BETA_LOCIDX(45322,45147,,\"SPX\")":1.4999541,"TSM-US^P_BETA_LOCIDX(45321,45146,,\"SPX\")":1.5020137,"TSM-US^P_BETA_LOCIDX(45320,45145,,\"SPX\")":1.4852308,"TSM-US^P_BETA_LOCIDX(45317,45142,,\"SPX\")":1.4819226,"TSM-US^P_BETA_LOCIDX(45316,45141,,\"SPX\")":1.4854401,"TSM-US^P_BETA_LOCIDX(45315,45140,,\"SPX\")":1.5073737,"TSM-US^P_BETA_LOCIDX(45314,45139,,\"SPX\")":1.5085363,"TSM-US^P_BETA_LOCIDX(45313,45138,,\"SPX\")":1.5040017,"TSM-US^P_BETA_LOCIDX(45310,45135,,\"SPX\")":1.5073043,"TSM-US^P_BETA_LOCIDX(45309,45134,,\"SPX\")":1.5138519,"TSM-US^P_BETA_LOCIDX(45308,45133,,\"SPX\")":1.4082593,"TSM-US^P_BETA_LOCIDX(45307,45132,,\"SPX\")":1.4331383,"TSM-US^P_BETA_LOCIDX(45303,45131,,\"SPX\")":1.4418018,"TSM-US^P_BETA_LOCIDX(45302,45128,,\"SPX\")":1.4419656,"TSM-US^P_BETA_LOCIDX(45301,45127,,\"SPX\")":1.4860435,"TSM-US^P_BETA_LOCIDX(45300,45126,,\"SPX\")":1.499518,"TSM-US^P_BETA_LOCIDX(45299,45125,,\"SPX\")":1.4738172,"TSM-US^P_BETA_LOCIDX(45296,45124,,\"SPX\")":1.4561114,"TSM-US^P_BETA_LOCIDX(45295,45121,,\"SPX\")":1.4557853,"TSM-US^P_BETA_LOCIDX(45294,45120,,\"SPX\")":1.4587913,"TSM-US^P_BETA_LOCIDX(45293,45119,,\"SPX\")":1.4743692,"TSM-US^P_BETA_LOCIDX(45289,45118,,\"SPX\")":1.4654413,"TSM-US^P_BETA_LOCIDX(45288,45117,,\"SPX\")":1.4623995,"TSM-US^P_BETA_LOCIDX(45287,45114,,\"SPX\")":1.4553915,"TSM-US^P_BETA_LOCIDX(45286,45113,,\"SPX\")":1.4600524,"TSM-US^P_BETA_LOCIDX(45282,45112,,\"SPX\")":1.4629345,"TSM-US^P_BETA_LOCIDX(45281,45110,,\"SPX\")":1.464189,"TSM-US^P_BETA_LOCIDX(45280,45107,,\"SPX\")":1.4232514,"TSM-US^P_BETA_LOCIDX(45279,45106,,\"SPX\")":1.382067,"TSM-US^P_BETA_LOCIDX(45278,45105,,\"SPX\")":1.3823628,"TSM-US^P_BETA_LOCIDX(45275,45104,,\"SPX\")":1.3908759,"TSM-US^P_BETA_LOCIDX(45274,45103,,\"SPX\")":1.3983966,"TSM-US^P_BETA_LOCIDX(45273,45100,,\"SPX\")":1.3958027,"TSM-US^P_BETA_LOCIDX(45272,45099,,\"SPX\")":1.4274304,"TSM-US^P_BETA_LOCIDX(45271,45098,,\"SPX\")":1.4397315,"TSM-US^P_BETA_LOCIDX(45268,45097,,\"SPX\")":1.4375999,"TSM-US^P_BETA_LOCIDX(45267,45093,,\"SPX\")":1.4342289,"TSM-US^P_BETA_LOCIDX(45266,45092,,\"SPX\")":1.3623205,"TSM-US^P_BETA_LOCIDX(45265,45091,,\"SPX\")":1.3747643,"TSM-US^P_BETA_LOCIDX(45264,45090,,\"SPX\")":1.364056,"TSM-US^P_BETA_LOCIDX(45261,45089,,\"SPX\")":1.3972836,"TSM-US^P_BETA_LOCIDX(45260,45086,,\"SPX\")":1.3953884,"TSM-US^P_BETA_LOCIDX(45259,45085,,\"SPX\")":1.3956876,"TSM-US^P_BETA_LOCIDX(45258,45084,,\"SPX\")":1.3911531,"TSM-US^P_BETA_LOCIDX(45257,45083,,\"SPX\")":1.3948909,"TSM-US^P_BETA_LOCIDX(45254,45082,,\"SPX\")":1.3959026,"TSM-US^P_BETA_LOCIDX(45252,45079,,\"SPX\")":1.3582878,"TSM-US^P_BETA_LOCIDX(45251,45078,,\"SPX\")":1.3461109,"TSM-US^P_BETA_LOCIDX(45250,45077,,\"SPX\")":1.3650241,"TSM-US^P_BETA_LOCIDX(45247,45076,,\"SPX\")":1.3711835,"TSM-US^P_BETA_LOCIDX(45246,45072,,\"SPX\")":1.3799634,"TSM-US^P_BETA_LOCIDX(45245,45071,,\"SPX\")":1.5019811,"TSM-US^P_BETA_LOCIDX(45244,45070,,\"SPX\")":1.4937488,"TSM-US^P_BETA_LOCIDX(45243,45069,,\"SPX\")":1.4957024,"TSM-US^P_BETA_LOCIDX(45240,45068,,\"SPX\")":1.4944202,"TSM-US^P_BETA_LOCIDX(45239,45065,,\"SPX\")":1.4031316,"TSM-US^P_BETA_LOCIDX(45238,45064,,\"SPX\")":1.4213779,"TSM-US^P_BETA_LOCIDX(45237,45063,,\"SPX\")":1.4901167,"TSM-US^P_BETA_LOCIDX(45236,45062,,\"SPX\")":1.4803314,"TSM-US^P_BETA_LOCIDX(45233,45061,,\"SPX\")":1.4871137,"TSM-US^P_BETA_LOCIDX(45232,45058,,\"SPX\")":1.4861951,"TSM-US^P_BETA_LOCIDX(45231,45057,,\"SPX\")":1.4843127,"TSM-US^P_BETA_LOCIDX(45230,45056,,\"SPX\")":1.4760739,"TSM-US^P_BETA_LOCIDX(45229,45055,,\"SPX\")":1.4819416,"TSM-US^P_BETA_LOCIDX(45226,45054,,\"SPX\")":1.5150409,"TSM-US^P_BETA_LOCIDX(45225,45051,,\"SPX\")":1.4784402,"TSM-US^P_BETA_LOCIDX(45224,45050,,\"SPX\")":1.4834774,"TSM-US^P_BETA_LOCIDX(45223,45049,,\"SPX\")":1.4233408,"TSM-US^P_BETA_LOCIDX(45222,45048,,\"SPX\")":1.422247,"TSM-US^P_BETA_LOCIDX(45219,45047,,\"SPX\")":1.4224297,"TSM-US^P_BETA_LOCIDX(45218,45044,,\"SPX\")":1.4163873,"TSM-US^P_BETA_LOCIDX(45217,45043,,\"SPX\")":1.4503864,"TSM-US^P_BETA_LOCIDX(45216,45042,,\"SPX\")":1.4555076,"TSM-US^P_BETA_LOCIDX(45215,45041,,\"SPX\")":1.4670916,"TSM-US^P_BETA_LOCIDX(45212,45040,,\"SPX\")":1.4775484,"TSM-US^P_BETA_LOCIDX(45211,45037,,\"SPX\")":1.4629706,"TSM-US^P_BETA_LOCIDX(45210,45036,,\"SPX\")":1.4454716,"TSM-US^P_BETA_LOCIDX(45209,45035,,\"SPX\")":1.4408585,"TSM-US^P_BETA_LOCIDX(45208,45034,,\"SPX\")":1.4328914,"TSM-US^P_BETA_LOCIDX(45205,45033,,\"SPX\")":1.4460051,"TSM-US^P_BETA_LOCIDX(45204,45030,,\"SPX\")":1.4279387,"TSM-US^P_BETA_LOCIDX(45203,45029,,\"SPX\")":1.396699,"TSM-US^P_BETA_LOCIDX(45202,45028,,\"SPX\")":1.4059566,"TSM-US^P_BETA_LOCIDX(45201,45027,,\"SPX\")":1.3930541,"TSM-US^P_BETA_LOCIDX(45198,45026,,\"SPX\")":1.3920991,"TSM-US^P_BETA_LOCIDX(45197,45022,,\"SPX\")":1.3952041,"TSM-US^P_BETA_LOCIDX(45196,45021,,\"SPX\")":1.3995485,"TSM-US^P_BETA_LOCIDX(45195,45020,,\"SPX\")":1.3979658,"TSM-US^P_BETA_LOCIDX(45194,45019,,\"SPX\")":1.3924034,"TSM-US^P_BETA_LOCIDX(45191,45016,,\"SPX\")":1.3622837,"TSM-US^P_BETA_LOCIDX(45190,45015,,\"SPX\")":1.3579863,"TSM-US^P_BETA_LOCIDX(45189,45014,,\"SPX\")":1.3696936,"TSM-US^P_BETA_LOCIDX(45188,45013,,\"SPX\")":1.3747281,"TSM-US^P_BETA_LOCIDX(45187,45012,,\"SPX\")":1.370487,"TSM-US^P_BETA_LOCIDX(45184,45009,,\"SPX\")":1.3512073,"TSM-US^P_BETA_LOCIDX(45183,45008,,\"SPX\")":1.3432595,"TSM-US^P_BETA_LOCIDX(45182,45007,,\"SPX\")":1.2821649,"TSM-US^P_BETA_LOCIDX(45181,45006,,\"SPX\")":1.3041308,"TSM-US^P_BETA_LOCIDX(45180,45005,,\"SPX\")":1.3188318,"TSM-US^P_BETA_LOCIDX(45177,45002,,\"SPX\")":1.2929336,"TSM-US^P_BETA_LOCIDX(45176,45001,,\"SPX\")":1.3135068,"TSM-US^P_BETA_LOCIDX(45175,45000,,\"SPX\")":1.3240291,"TSM-US^P_BETA_LOCIDX(45174,44999,,\"SPX\")":1.2999234,"TSM-US^P_BETA_LOCIDX(45170,44998,,\"SPX\")":1.3135333,"TSM-US^P_BETA_LOCIDX(45169,44995,,\"SPX\")":1.3103359,"TSM-US^P_BETA_LOCIDX(45168,44994,,\"SPX\")":1.2974954,"TSM-US^P_BETA_LOCIDX(45167,44993,,\"SPX\")":1.3012971,"TSM-US^P_BETA_LOCIDX(45166,44992,,\"SPX\")":1.2874203,"TSM-US^P_BETA_LOCIDX(45163,44991,,\"SPX\")":1.2859743,"TSM-US^P_BETA_LOCIDX(45162,44988,,\"SPX\")":1.2643635,"TSM-US^P_BETA_LOCIDX(45161,44987,,\"SPX\")":1.2617167,"TSM-US^P_BETA_LOCIDX(45160,44986,,\"SPX\")":1.2346607,"TSM-US^P_BETA_LOCIDX(45159,44985,,\"SPX\")":1.2340617,"TSM-US^P_BETA_LOCIDX(45156,44984,,\"SPX\")":1.223948,"TSM-US^P_BETA_LOCIDX(45155,44981,,\"SPX\")":1.2357503,"TSM-US^P_BETA_LOCIDX(45154,44980,,\"SPX\")":1.2638829,"TSM-US^P_BETA_LOCIDX(45153,44979,,\"SPX\")":1.2784847,"TSM-US^P_BETA_LOCIDX(45152,44978,,\"SPX\")":1.2820784,"TSM-US^P_BETA_LOCIDX(45149,44974,,\"SPX\")":1.2806238,"TSM-US^P_BETA_LOCIDX(45148,44973,,\"SPX\")":1.2793845,"TSM-US^P_BETA_LOCIDX(45147,44972,,\"SPX\")":1.2651453,"TSM-US^P_BETA_LOCIDX(45146,44971,,\"SPX\")":1.2669135,"TSM-US^P_BETA_LOCIDX(45145,44970,,\"SPX\")":1.2509103,"TSM-US^P_BETA_LOCIDX(45142,44967,,\"SPX\")":1.2569656,"TSM-US^P_BETA_LOCIDX(45141,44966,,\"SPX\")":1.2272846,"TSM-US^P_BETA_LOCIDX(45140,44965,,\"SPX\")":1.2093763,"TSM-US^P_BETA_LOCIDX(45139,44964,,\"SPX\")":1.2123508,"TSM-US^P_BETA_LOCIDX(45138,44963,,\"SPX\")":1.2296923,"TSM-US^P_BETA_LOCIDX(45135,44960,,\"SPX\")":1.2411019,"TSM-US^P_BETA_LOCIDX(45134,44959,,\"SPX\")":1.2413381,"TSM-US^P_BETA_LOCIDX(45133,44958,,\"SPX\")":1.258446,"TSM-US^P_BETA_LOCIDX(45132,44957,,\"SPX\")":1.2221279,"TSM-US^P_BETA_LOCIDX(45131,44956,,\"SPX\")":1.195314,"TSM-US^P_BETA_LOCIDX(45128,44953,,\"SPX\")":1.1925075,"TSM-US^P_BETA_LOCIDX(45127,44952,,\"SPX\")":1.1905777,"TSM-US^P_BETA_LOCIDX(45126,44951,,\"SPX\")":1.1565367,"TSM-US^P_BETA_LOCIDX(45125,44950,,\"SPX\")":1.1590953,"TSM-US^P_BETA_LOCIDX(45124,44949,,\"SPX\")":1.2202356,"TSM-US^P_BETA_LOCIDX(45121,44946,,\"SPX\")":1.235248,"TSM-US^P_BETA_LOCIDX(45120,44945,,\"SPX\")":1.2370733,"TSM-US^P_BETA_LOCIDX(45119,44944,,\"SPX\")":1.1901779,"TSM-US^P_BETA_LOCIDX(45118,44943,,\"SPX\")":1.1701294,"TSM-US^P_BETA_LOCIDX(45117,44939,,\"SPX\")":1.1635942,"TSM-US^P_BETA_LOCIDX(45114,44938,,\"SPX\")":1.1807284,"TSM-US^P_BETA_LOCIDX(45113,44937,,\"SPX\")":1.1730324,"TSM-US^P_BETA_LOCIDX(45112,44936,,\"SPX\")":1.1681939,"TSM-US^P_BETA_LOCIDX(45110,44935,,\"SPX\")":1.1560457,"TSM-US^P_BETA_LOCIDX(45107,44932,,\"SPX\")":1.1634094,"TSM-US^P_BETA_LOCIDX(45106,44931,,\"SPX\")":1.1712914,"TSM-US^P_BETA_LOCIDX(45105,44930,,\"SPX\")":1.1875541,"TSM-US^P_BETA_LOCIDX(45104,44929,,\"SPX\")":1.1871897,"TSM-US^P_BETA_LOCIDX(45103,44925,,\"SPX\")":1.1889452,"TSM-US^P_BETA_LOCIDX(45100,44924,,\"SPX\")":1.2102101,"TSM-US^P_BETA_LOCIDX(45099,44923,,\"SPX\")":1.2117507,"TSM-US^P_BETA_LOCIDX(45098,44922,,\"SPX\")":1.2116929,"TSM-US^P_BETA_LOCIDX(45097,44918,,\"SPX\")":1.194528,"TSM-US^P_BETA_LOCIDX(45093,44917,,\"SPX\")":1.2060187,"TSM-US^P_BETA_LOCIDX(45092,44916,,\"SPX\")":1.20566,"TSM-US^P_BETA_LOCIDX(45091,44915,,\"SPX\")":1.2441304,"TSM-US^P_BETA_LOCIDX(45090,44914,,\"SPX\")":1.2376639,"TSM-US^P_BETA_LOCIDX(45089,44911,,\"SPX\")":1.2500513,"TSM-US^P_BETA_LOCIDX(45086,44910,,\"SPX\")":1.2303119,"TSM-US^P_BETA_LOCIDX(45085,44909,,\"SPX\")":1.2291576,"TSM-US^P_BETA_LOCIDX(45084,44908,,\"SPX\")":1.2297933,"TSM-US^P_BETA_LOCIDX(45083,44907,,\"SPX\")":1.2072195,"TSM-US^P_BETA_LOCIDX(45082,44904,,\"SPX\")":1.2007855,"TSM-US^P_BETA_LOCIDX(45079,44903,,\"SPX\")":1.2045478,"TSM-US^P_BETA_LOCIDX(45078,44902,,\"SPX\")":1.226507,"TSM-US^P_BETA_LOCIDX(45077,44901,,\"SPX\")":1.2465234,"TSM-US^P_BETA_LOCIDX(45076,44900,,\"SPX\")":1.1978439,"TSM-US^P_BETA_LOCIDX(45072,44897,,\"SPX\")":1.1993396,"TSM-US^P_BETA_LOCIDX(45071,44896,,\"SPX\")":1.1942497,"TSM-US^P_BETA_LOCIDX(45070,44895,,\"SPX\")":1.1407301,"TSM-US^P_BETA_LOCIDX(45069,44894,,\"SPX\")":1.1428635,"TSM-US^P_BETA_LOCIDX(45068,44893,,\"SPX\")":1.1534544,"TSM-US^P_BETA_LOCIDX(45065,44890,,\"SPX\")":1.1536568,"TSM-US^P_BETA_LOCIDX(45064,44888,,\"SPX\")":1.1474667,"TSM-US^P_BETA_LOCIDX(45063,44887,,\"SPX\")":1.1586351,"TSM-US^P_BETA_LOCIDX(45062,44886,,\"SPX\")":1.1271966,"TSM-US^P_BETA_LOCIDX(45061,44883,,\"SPX\")":1.1337664,"TSM-US^P_BETA_LOCIDX(45058,44882,,\"SPX\")":1.1211475,"TSM-US^P_BETA_LOCIDX(45057,44881,,\"SPX\")":1.1237134,"TSM-US^P_BETA_LOCIDX(45056,44880,,\"SPX\")":1.1826437,"TSM-US^P_BETA_LOCIDX(45055,44879,,\"SPX\")":1.1884301,"TSM-US^P_BETA_LOCIDX(45054,44876,,\"SPX\")":1.2084751,"TSM-US^P_BETA_LOCIDX(45051,44875,,\"SPX\")":1.2822471,"TSM-US^P_BETA_LOCIDX(45050,44874,,\"SPX\")":1.2573444,"TSM-US^P_BETA_LOCIDX(45049,44873,,\"SPX\")":1.2740518,"TSM-US^P_BETA_LOCIDX(45048,44872,,\"SPX\")":1.2708297,"TSM-US^P_BETA_LOCIDX(45047,44869,,\"SPX\")":1.2853523,"TSM-US^P_BETA_LOCIDX(45044,44868,,\"SPX\")":1.2793423,"TSM-US^P_BETA_LOCIDX(45043,44867,,\"SPX\")":1.2618608,"TSM-US^P_BETA_LOCIDX(45042,44866,,\"SPX\")":1.2717607,"TSM-US^P_BETA_LOCIDX(45041,44865,,\"SPX\")":1.2723714,"TSM-US^P_BETA_LOCIDX(45040,44862,,\"SPX\")":1.2401311,"TSM-US^P_BETA_LOCIDX(45037,44861,,\"SPX\")":1.2373117,"TSM-US^P_BETA_LOCIDX(45036,44860,,\"SPX\")":1.2371179,"TSM-US^P_BETA_LOCIDX(45035,44859,,\"SPX\")":1.2256223,"TSM-US^P_BETA_LOCIDX(45034,44858,,\"SPX\")":1.1898082,"TSM-US^P_BETA_LOCIDX(45033,44855,,\"SPX\")":1.1549628,"TSM-US^P_BETA_LOCIDX(45030,44854,,\"SPX\")":1.151382,"TSM-US^P_BETA_LOCIDX(45029,44853,,\"SPX\")":1.1495788,"TSM-US^P_BETA_LOCIDX(45028,44852,,\"SPX\")":1.1404884,"TSM-US^P_BETA_LOCIDX(45027,44851,,\"SPX\")":1.1110315,"TSM-US^P_BETA_LOCIDX(45026,44848,,\"SPX\")":1.131628,"TSM-US^P_BETA_LOCIDX(45022,44847,,\"SPX\")":1.1417706,"TSM-US^P_BETA_LOCIDX(45021,44846,,\"SPX\")":1.1396224,"TSM-US^P_BETA_LOCIDX(45020,44845,,\"SPX\")":1.1565952,"TSM-US^P_BETA_LOCIDX(45019,44844,,\"SPX\")":1.1671666,"TSM-US^P_BETA_LOCIDX(45016,44841,,\"SPX\")":1.210884,"TSM-US^P_BETA_LOCIDX(45015,44840,,\"SPX\")":1.2143309,"TSM-US^P_BETA_LOCIDX(45014,44839,,\"SPX\")":1.2141246,"TSM-US^P_BETA_LOCIDX(45013,44838,,\"SPX\")":1.2302526,"TSM-US^P_BETA_LOCIDX(45012,44837,,\"SPX\")":1.2037653,"TSM-US^P_BETA_LOCIDX(45009,44834,,\"SPX\")":1.2002919,"TSM-US^P_BETA_LOCIDX(45008,44833,,\"SPX\")":1.2217444,"TSM-US^P_BETA_LOCIDX(45007,44832,,\"SPX\")":1.1886755,"TSM-US^P_BETA_LOCIDX(45006,44831,,\"SPX\")":1.2033254,"TSM-US^P_BETA_LOCIDX(45005,44830,,\"SPX\")":1.1978803,"TSM-US^P_BETA_LOCIDX(45002,44827,,\"SPX\")":1.2028608,"TSM-US^P_BETA_LOCIDX(45001,44826,,\"SPX\")":1.2140087,"TSM-US^P_BETA_LOCIDX(45000,44825,,\"SPX\")":1.2029735,"TSM-US^P_BETA_LOCIDX(44999,44824,,\"SPX\")":1.1905274,"TSM-US^P_BETA_LOCIDX(44998,44823,,\"SPX\")":1.191334,"TSM-US^P_BETA_LOCIDX(44995,44820,,\"SPX\")":1.1898006,"TSM-US^P_BETA_LOCIDX(44994,44819,,\"SPX\")":1.1927309,"TSM-US^P_BETA_LOCIDX(44993,44818,,\"SPX\")":1.1929814,"TSM-US^P_BETA_LOCIDX(44992,44817,,\"SPX\")":1.1745055,"TSM-US^P_BETA_LOCIDX(44991,44816,,\"SPX\")":1.1774418,"TSM-US^P_BETA_LOCIDX(44988,44813,,\"SPX\")":1.175703,"TSM-US^P_BETA_LOCIDX(44987,44812,,\"SPX\")":1.1819528,"TSM-US^P_BETA_LOCIDX(44986,44811,,\"SPX\")":1.1652137,"TSM-US^P_BETA_LOCIDX(44985,44810,,\"SPX\")":1.1704843,"TSM-US^P_BETA_LOCIDX(44984,44806,,\"SPX\")":1.1692716,"TSM-US^P_BETA_LOCIDX(44981,44805,,\"SPX\")":1.1680001,"TSM-US^P_BETA_LOCIDX(44980,44804,,\"SPX\")":1.1585605,"TSM-US^P_BETA_LOCIDX(44979,44803,,\"SPX\")":1.1469351,"TSM-US^P_BETA_LOCIDX(44978,44802,,\"SPX\")":1.1505717,"TSM-US^P_BETA_LOCIDX(44974,44799,,\"SPX\")":1.139031,"TSM-US^P_BETA_LOCIDX(44973,44798,,\"SPX\")":1.142148,"TSM-US^P_BETA_LOCIDX(44972,44797,,\"SPX\")":1.1378009,"TSM-US^P_BETA_LOCIDX(44971,44796,,\"SPX\")":1.1428034,"TSM-US^P_BETA_LOCIDX(44970,44795,,\"SPX\")":1.1424307,"TSM-US^P_BETA_LOCIDX(44967,44792,,\"SPX\")":1.1501226,"TSM-US^P_BETA_LOCIDX(44966,44791,,\"SPX\")":1.151488,"TSM-US^P_BETA_LOCIDX(44965,44790,,\"SPX\")":1.1632862,"TSM-US^P_BETA_LOCIDX(44964,44789,,\"SPX\")":1.1654768,"TSM-US^P_BETA_LOCIDX(44963,44788,,\"SPX\")":1.1587603,"TSM-US^P_BETA_LOCIDX(44960,44785,,\"SPX\")":1.1493195,"TSM-US^P_BETA_LOCIDX(44959,44784,,\"SPX\")":1.1451893,"TSM-US^P_BETA_LOCIDX(44958,44783,,\"SPX\")":1.1563383,"TSM-US^P_BETA_LOCIDX(44957,44782,,\"SPX\")":1.1573397,"TSM-US^P_BETA_LOCIDX(44956,44781,,\"SPX\")":1.1709037,"TSM-US^P_BETA_LOCIDX(44953,44778,,\"SPX\")":1.1762704,"TSM-US^P_BETA_LOCIDX(44952,44777,,\"SPX\")":1.1762131,"TSM-US^P_BETA_LOCIDX(44951,44776,,\"SPX\")":1.168744,"TSM-US^P_BETA_LOCIDX(44950,44775,,\"SPX\")":1.1676941,"TSM-US^P_BETA_LOCIDX(44949,44774,,\"SPX\")":1.1697876,"TSM-US^P_BETA_LOCIDX(44946,44771,,\"SPX\")":1.1423509,"TSM-US^P_BETA_LOCIDX(44945,44770,,\"SPX\")":1.1351316,"TSM-US^P_BETA_LOCIDX(44944,44769,,\"SPX\")":1.1417484,"TSM-US^P_BETA_LOCIDX(44943,44768,,\"SPX\")":1.1595443,"TSM-US^P_BETA_LOCIDX(44939,44767,,\"SPX\")":1.1617712,"TSM-US^P_BETA_LOCIDX(44938,44764,,\"SPX\")":1.1650227,"TSM-US^P_BETA_LOCIDX(44937,44763,,\"SPX\")":1.1584663,"TSM-US^P_BETA_LOCIDX(44936,44762,,\"SPX\")":1.1621495,"TSM-US^P_BETA_LOCIDX(44935,44761,,\"SPX\")":1.1599904,"TSM-US^P_BETA_LOCIDX(44932,44760,,\"SPX\")":1.1654903,"TSM-US^P_BETA_LOCIDX(44931,44757,,\"SPX\")":1.162501,"TSM-US^P_BETA_LOCIDX(44930,44756,,\"SPX\")":1.1613494,"TSM-US^P_BETA_LOCIDX(44929,44755,,\"SPX\")":1.1492332,"TSM-US^P_BETA_LOCIDX(44925,44754,,\"SPX\")":1.1452274,"TSM-US^P_BETA_LOCIDX(44924,44753,,\"SPX\")":1.1505384,"TSM-US^P_BETA_LOCIDX(44923,44750,,\"SPX\")":1.1365801,"TSM-US^P_BETA_LOCIDX(44922,44749,,\"SPX\")":1.1637949,"TSM-US^P_BETA_LOCIDX(44918,44748,,\"SPX\")":1.1618297,"TSM-US^P_BETA_LOCIDX(44917,44747,,\"SPX\")":1.1637015,"TSM-US^P_BETA_LOCIDX(44916,44743,,\"SPX\")":1.1321708,"TSM-US^P_BETA_LOCIDX(44915,44742,,\"SPX\")":1.1342149,"TSM-US^P_BETA_LOCIDX(44914,44741,,\"SPX\")":1.1346694,"TSM-US^P_BETA_LOCIDX(44911,44740,,\"SPX\")":1.133069,"TSM-US^P_BETA_LOCIDX(44910,44739,,\"SPX\")":1.1311517,"TSM-US^P_BETA_LOCIDX(44909,44736,,\"SPX\")":1.1157076,"TSM-US^P_BETA_LOCIDX(44908,44735,,\"SPX\")":1.1096452,"TSM-US^P_BETA_LOCIDX(44907,44734,,\"SPX\")":1.1127197,"TSM-US^P_BETA_LOCIDX(44904,44733,,\"SPX\")":1.1189246,"TSM-US^P_BETA_LOCIDX(44903,44729,,\"SPX\")":1.1214628,"TSM-US^P_BETA_LOCIDX(44902,44728,,\"SPX\")":1.1352891,"TSM-US^P_BETA_LOCIDX(44901,44727,,\"SPX\")":1.1386024,"TSM-US^P_BETA_LOCIDX(44900,44726,,\"SPX\")":1.1305423,"TSM-US^P_BETA_LOCIDX(44897,44725,,\"SPX\")":1.1321688,"TSM-US^P_BETA_LOCIDX(44896,44722,,\"SPX\")":1.1218685,"TSM-US^P_BETA_LOCIDX(44895,44721,,\"SPX\")":1.1222982,"TSM-US^P_BETA_LOCIDX(44894,44720,,\"SPX\")":1.1066188,"TSM-US^P_BETA_LOCIDX(44893,44719,,\"SPX\")":1.106157,"TSM-US^P_BETA_LOCIDX(44890,44718,,\"SPX\")":1.100478,"TSM-US^P_BETA_LOCIDX(44888,44715,,\"SPX\")":1.1047304,"TSM-US^P_BETA_LOCIDX(44887,44714,,\"SPX\")":1.1055306,"TSM-US^P_BETA_LOCIDX(44886,44713,,\"SPX\")":1.096324,"TSM-US^P_BETA_LOCIDX(44883,44712,,\"SPX\")":1.0887283,"TSM-US^P_BETA_LOCIDX(44882,44708,,\"SPX\")":1.0911404,"TSM-US^P_BETA_LOCIDX(44881,44707,,\"SPX\")":1.0847778,"TSM-US^P_BETA_LOCIDX(44880,44706,,\"SPX\")":1.0868703,"TSM-US^P_BETA_LOCIDX(44879,44705,,\"SPX\")":1.0656453,"TSM-US^P_BETA_LOCIDX(44876,44704,,\"SPX\")":1.0589347,"TSM-US^P_BETA_LOCIDX(44875,44701,,\"SPX\")":1.0490849,"TSM-US^P_BETA_LOCIDX(44874,44700,,\"SPX\")":0.98182774,"TSM-US^P_BETA_LOCIDX(44873,44699,,\"SPX\")":0.98098284,"TSM-US^P_BETA_LOCIDX(44872,44698,,\"SPX\")":0.9845852,"TSM-US^P_BETA_LOCIDX(44869,44697,,\"SPX\")":0.9854033,"TSM-US^P_BETA_LOCIDX(44868,44694,,\"SPX\")":0.98660684,"TSM-US^P_BETA_LOCIDX(44867,44693,,\"SPX\")":0.9896242,"TSM-US^P_BETA_LOCIDX(44866,44692,,\"SPX\")":0.9938367,"TSM-US^P_BETA_LOCIDX(44865,44691,,\"SPX\")":0.9963241,"TSM-US^P_BETA_LOCIDX(44862,44690,,\"SPX\")":1.0102028,"TSM-US^P_BETA_LOCIDX(44861,44687,,\"SPX\")":1.0138316,"TSM-US^P_BETA_LOCIDX(44860,44686,,\"SPX\")":1.0170641,"TSM-US^P_BETA_LOCIDX(44859,44685,,\"SPX\")":1.0158061,"TSM-US^P_BETA_LOCIDX(44858,44684,,\"SPX\")":1.0238101,"TSM-US^P_BETA_LOCIDX(44855,44683,,\"SPX\")":1.0439944,"TSM-US^P_BETA_LOCIDX(44854,44680,,\"SPX\")":1.041994,"TSM-US^P_BETA_LOCIDX(44853,44679,,\"SPX\")":1.0680013,"TSM-US^P_BETA_LOCIDX(44852,44678,,\"SPX\")":1.0669743,"TSM-US^P_BETA_LOCIDX(44851,44677,,\"SPX\")":1.0809195,"TSM-US^P_BETA_LOCIDX(44848,44676,,\"SPX\")":1.0911506,"TSM-US^P_BETA_LOCIDX(44847,44673,,\"SPX\")":1.0730277,"TSM-US^P_BETA_LOCIDX(44846,44672,,\"SPX\")":1.0607376,"TSM-US^P_BETA_LOCIDX(44845,44671,,\"SPX\")":1.0614378,"TSM-US^P_BETA_LOCIDX(44844,44670,,\"SPX\")":1.0490925,"TSM-US^P_BETA_LOCIDX(44841,44669,,\"SPX\")":1.0448582,"TSM-US^P_BETA_LOCIDX(44840,44665,,\"SPX\")":1.0244281,"TSM-US^P_BETA_LOCIDX(44839,44664,,\"SPX\")":1.0391179,"TSM-US^P_BETA_LOCIDX(44838,44663,,\"SPX\")":1.0396227,"TSM-US^P_BETA_LOCIDX(44837,44662,,\"SPX\")":1.0179615,"TSM-US^P_BETA_LOCIDX(44834,44659,,\"SPX\")":1.0318207,"TSM-US^P_BETA_LOCIDX(44833,44658,,\"SPX\")":1.0327098,"TSM-US^P_BETA_LOCIDX(44832,44657,,\"SPX\")":1.0224437,"TSM-US^P_BETA_LOCIDX(44831,44656,,\"SPX\")":1.047775,"TSM-US^P_BETA_LOCIDX(44830,44655,,\"SPX\")":1.0516983,"TSM-US^P_BETA_LOCIDX(44827,44652,,\"SPX\")":1.0489067,"TSM-US^P_BETA_LOCIDX(44826,44651,,\"SPX\")":1.0494049,"TSM-US^P_BETA_LOCIDX(44825,44650,,\"SPX\")":1.0496217,"TSM-US^P_BETA_LOCIDX(44824,44649,,\"SPX\")":1.0599539,"TSM-US^P_BETA_LOCIDX(44823,44648,,\"SPX\")":1.0610994,"TSM-US^P_BETA_LOCIDX(44820,44645,,\"SPX\")":1.0583837,"TSM-US^P_BETA_LOCIDX(44819,44644,,\"SPX\")":1.0653235,"TSM-US^P_BETA_LOCIDX(44818,44643,,\"SPX\")":1.0631896,"TSM-US^P_BETA_LOCIDX(44817,44642,,\"SPX\")":1.0580324,"TSM-US^P_BETA_LOCIDX(44816,44641,,\"SPX\")":1.0676981,"TSM-US^P_BETA_LOCIDX(44813,44638,,\"SPX\")":1.0647578,"TSM-US^P_BETA_LOCIDX(44812,44637,,\"SPX\")":1.0621611,"TSM-US^P_BETA_LOCIDX(44811,44636,,\"SPX\")":1.0729277,"TSM-US^P_BETA_LOCIDX(44810,44635,,\"SPX\")":1.0904295,"TSM-US^P_BETA_LOCIDX(44806,44634,,\"SPX\")":1.0925857,"TSM-US^P_BETA_LOCIDX(44805,44631,,\"SPX\")":1.0979327,"TSM-US^P_BETA_LOCIDX(44804,44630,,\"SPX\")":1.1011435,"TSM-US^P_BETA_LOCIDX(44803,44629,,\"SPX\")":1.1249478,"TSM-US^P_BETA_LOCIDX(44802,44628,,\"SPX\")":1.125725,"TSM-US^P_BETA_LOCIDX(44799,44627,,\"SPX\")":1.1427945,"TSM-US^P_BETA_LOCIDX(44798,44624,,\"SPX\")":1.1574838,"TSM-US^P_BETA_LOCIDX(44797,44623,,\"SPX\")":1.1532824,"TSM-US^P_BETA_LOCIDX(44796,44622,,\"SPX\")":1.1504185,"TSM-US^P_BETA_LOCIDX(44795,44621,,\"SPX\")":1.1364954,"TSM-US^P_BETA_LOCIDX(44792,44620,,\"SPX\")":1.1413662,"TSM-US^P_BETA_LOCIDX(44791,44617,,\"SPX\")":1.1157917,"TSM-US^P_BETA_LOCIDX(44790,44616,,\"SPX\")":1.0911454,"TSM-US^P_BETA_LOCIDX(44789,44615,,\"SPX\")":1.0831674,"TSM-US^P_BETA_LOCIDX(44788,44614,,\"SPX\")":1.0866581,"TSM-US^P_BETA_LOCIDX(44785,44610,,\"SPX\")":1.0845243,"TSM-US^P_BETA_LOCIDX(44784,44609,,\"SPX\")":1.0898732,"TSM-US^P_BETA_LOCIDX(44783,44608,,\"SPX\")":1.0897449,"TSM-US^P_BETA_LOCIDX(44782,44607,,\"SPX\")":1.0888885,"TSM-US^P_BETA_LOCIDX(44781,44606,,\"SPX\")":1.086236,"TSM-US^P_BETA_LOCIDX(44778,44603,,\"SPX\")":1.090189,"TSM-US^P_BETA_LOCIDX(44777,44602,,\"SPX\")":1.0821772,"TSM-US^P_BETA_LOCIDX(44776,44601,,\"SPX\")":1.0827249,"TSM-US^P_BETA_LOCIDX(44775,44600,,\"SPX\")":1.0890636,"TSM-US^P_BETA_LOCIDX(44774,44599,,\"SPX\")":1.0886062,"TSM-US^P_BETA_LOCIDX(45845,45670,,\"SPX\")":1.4896824,"FIX-US^P_BETA_LOCIDX(45841,45665,,\"SPX\")":1.7657659,"FIX-US^P_BETA_LOCIDX(45840,45664,,\"SPX\")":1.7599282,"FIX-US^P_BETA_LOCIDX(45839,45663,,\"SPX\")":1.7600057,"FIX-US^P_BETA_LOCIDX(45838,45660,,\"SPX\")":1.7681465,"FIX-US^P_BETA_LOCIDX(45835,45659,,\"SPX\")":1.7683308,"FIX-US^P_BETA_LOCIDX(45834,45657,,\"SPX\")":1.7651706,"FIX-US^P_BETA_LOCIDX(45833,45656,,\"SPX\")":1.7607899,"FIX-US^P_BETA_LOCIDX(45832,45653,,\"SPX\")":1.7598553,"FIX-US^P_BETA_LOCIDX(45831,45652,,\"SPX\")":1.76013,"FIX-US^P_BETA_LOCIDX(45828,45650,,\"SPX\")":1.7578878,"FIX-US^P_BETA_LOCIDX(45826,45649,,\"SPX\")":1.7526948,"FIX-US^P_BETA_LOCIDX(45825,45646,,\"SPX\")":1.7479815,"FIX-US^P_BETA_LOCIDX(45824,45645,,\"SPX\")":1.7483938,"FIX-US^P_BETA_LOCIDX(45821,45644,,\"SPX\")":1.7457594,"FIX-US^P_BETA_LOCIDX(45820,45643,,\"SPX\")":1.747954,"FIX-US^P_BETA_LOCIDX(45819,45642,,\"SPX\")":1.7469878,"FIX-US^P_BETA_LOCIDX(45818,45639,,\"SPX\")":1.7491542,"FIX-US^P_BETA_LOCIDX(45817,45638,,\"SPX\")":1.7558177,"FIX-US^P_BETA_LOCIDX(45814,45637,,\"SPX\")":1.7598736,"FIX-US^P_BETA_LOCIDX(45813,45636,,\"SPX\")":1.7592062,"FIX-US^P_BETA_LOCIDX(45812,45635,,\"SPX\")":1.7730289,"FIX-US^P_BETA_LOCIDX(45811,45632,,\"SPX\")":1.7725337,"FIX-US^P_BETA_LOCIDX(45810,45631,,\"SPX\")":1.7668887,"FIX-US^P_BETA_LOCIDX(45807,45630,,\"SPX\")":1.7681723,"FIX-US^P_BETA_LOCIDX(45806,45629,,\"SPX\")":1.7683655,"FIX-US^P_BETA_LOCIDX(45805,45628,,\"SPX\")":1.7678219,"FIX-US^P_BETA_LOCIDX(45804,45625,,\"SPX\")":1.7667862,"FIX-US^P_BETA_LOCIDX(45800,45623,,\"SPX\")":1.7756736,"FIX-US^P_BETA_LOCIDX(45799,45622,,\"SPX\")":1.7842189,"FIX-US^P_BETA_LOCIDX(45798,45621,,\"SPX\")":1.784377,"FIX-US^P_BETA_LOCIDX(45797,45618,,\"SPX\")":1.7909756,"FIX-US^P_BETA_LOCIDX(45796,45617,,\"SPX\")":1.795925,"FIX-US^P_BETA_LOCIDX(45793,45616,,\"SPX\")":1.7960457,"FIX-US^P_BETA_LOCIDX(45792,45615,,\"SPX\")":1.8005894,"FIX-US^P_BETA_LOCIDX(45791,45614,,\"SPX\")":1.8036658,"FIX-US^P_BETA_LOCIDX(45790,45611,,\"SPX\")":1.7874804,"FIX-US^P_BETA_LOCIDX(45789,45610,,\"SPX\")":1.7848555,"FIX-US^P_BETA_LOCIDX(45786,45609,,\"SPX\")":1.807817,"FIX-US^P_BETA_LOCIDX(45785,45608,,\"SPX\")":1.8080307,"FIX-US^P_BETA_LOCIDX(45784,45607,,\"SPX\")":1.8073658,"FIX-US^P_BETA_LOCIDX(45783,45604,,\"SPX\")":1.8127675,"FIX-US^P_BETA_LOCIDX(45782,45603,,\"SPX\")":1.811885,"FIX-US^P_BETA_LOCIDX(45779,45602,,\"SPX\")":1.8305514,"FIX-US^P_BETA_LOCIDX(45778,45601,,\"SPX\")":1.8403031,"FIX-US^P_BETA_LOCIDX(45777,45600,,\"SPX\")":1.8318073,"FIX-US^P_BETA_LOCIDX(45776,45597,,\"SPX\")":1.8312154,"FIX-US^P_BETA_LOCIDX(45775,45596,,\"SPX\")":1.8097677,"FIX-US^P_BETA_LOCIDX(45772,45595,,\"SPX\")":1.8112228,"FIX-US^P_BETA_LOCIDX(45771,45594,,\"SPX\")":1.8009732,"FIX-US^P_BETA_LOCIDX(45770,45593,,\"SPX\")":1.7914459,"FIX-US^P_BETA_LOCIDX(45769,45590,,\"SPX\")":1.7815964,"FIX-US^P_BETA_LOCIDX(45768,45589,,\"SPX\")":1.7893127,"FIX-US^P_BETA_LOCIDX(45764,45588,,\"SPX\")":1.7735182,"FIX-US^P_BETA_LOCIDX(45763,45587,,\"SPX\")":1.7738019,"FIX-US^P_BETA_LOCIDX(45762,45586,,\"SPX\")":1.7887956,"FIX-US^P_BETA_LOCIDX(45761,45583,,\"SPX\")":1.7875372,"FIX-US^P_BETA_LOCIDX(45758,45582,,\"SPX\")":1.789822,"FIX-US^P_BETA_LOCIDX(45757,45581,,\"SPX\")":1.7880212,"FIX-US^P_BETA_LOCIDX(45756,45580,,\"SPX\")":1.797712,"FIX-US^P_BETA_LOCIDX(45755,45579,,\"SPX\")":1.9691982,"FIX-US^P_BETA_LOCIDX(45754,45576,,\"SPX\")":2.0009565,"FIX-US^P_BETA_LOCIDX(45751,45575,,\"SPX\")":2.0059674,"FIX-US^P_BETA_LOCIDX(45750,45574,,\"SPX\")":2.3514774,"FIX-US^P_BETA_LOCIDX(45749,45573,,\"SPX\")":2.4406044,"FIX-US^P_BETA_LOCIDX(45748,45572,,\"SPX\")":2.3943174,"FIX-US^P_BETA_LOCIDX(45747,45569,,\"SPX\")":2.3879707,"FIX-US^P_BETA_LOCIDX(45744,45568,,\"SPX\")":2.3985054,"FIX-US^P_BETA_LOCIDX(45743,45567,,\"SPX\")":2.44578,"FIX-US^P_BETA_LOCIDX(45742,45566,,\"SPX\")":2.4156733,"FIX-US^P_BETA_LOCIDX(45741,45565,,\"SPX\")":2.358007,"FIX-US^P_BETA_LOCIDX(45740,45562,,\"SPX\")":2.3630548,"FIX-US^P_BETA_LOCIDX(45737,45561,,\"SPX\")":2.2979472,"FIX-US^P_BETA_LOCIDX(45736,45560,,\"SPX\")":2.2963264,"FIX-US^P_BETA_LOCIDX(45735,45559,,\"SPX\")":2.2958379,"FIX-US^P_BETA_LOCIDX(45734,45558,,\"SPX\")":2.262127,"FIX-US^P_BETA_LOCIDX(45733,45555,,\"SPX\")":2.2629404,"FIX-US^P_BETA_LOCIDX(45730,45554,,\"SPX\")":2.3125567,"FIX-US^P_BETA_LOCIDX(45729,45553,,\"SPX\")":2.3274777,"FIX-US^P_BETA_LOCIDX(45728,45552,,\"SPX\")":2.3377533,"FIX-US^P_BETA_LOCIDX(45727,45551,,\"SPX\")":2.325382,"FIX-US^P_BETA_LOCIDX(45726,45548,,\"SPX\")":2.3795455,"FIX-US^P_BETA_LOCIDX(45723,45547,,\"SPX\")":2.4793043,"FIX-US^P_BETA_LOCIDX(45722,45546,,\"SPX\")":2.5287597,"FIX-US^P_BETA_LOCIDX(45721,45545,,\"SPX\")":2.5032825,"FIX-US^P_BETA_LOCIDX(45720,45544,,\"SPX\")":2.49311,"FIX-US^P_BETA_LOCIDX(45719,45541,,\"SPX\")":2.4504738,"FIX-US^P_BETA_LOCIDX(45716,45540,,\"SPX\")":2.4428616,"FIX-US^P_BETA_LOCIDX(45715,45539,,\"SPX\")":2.4841063,"FIX-US^P_BETA_LOCIDX(45714,45538,,\"SPX\")":2.6252127,"FIX-US^P_BETA_LOCIDX(45713,45534,,\"SPX\")":2.615584,"FIX-US^P_BETA_LOCIDX(45712,45533,,\"SPX\")":2.6392205,"FIX-US^P_BETA_LOCIDX(45709,45532,,\"SPX\")":2.6153288,"FIX-US^P_BETA_LOCIDX(45708,45531,,\"SPX\")":2.6076522,"FIX-US^P_BETA_LOCIDX(45707,45530,,\"SPX\")":2.588938,"FIX-US^P_BETA_LOCIDX(45706,45527,,\"SPX\")":2.5537744,"FIX-US^P_BETA_LOCIDX(45702,45526,,\"SPX\")":2.5501812,"FIX-US^P_BETA_LOCIDX(45701,45525,,\"SPX\")":2.5625238,"FIX-US^P_BETA_LOCIDX(45700,45524,,\"SPX\")":2.608472,"FIX-US^P_BETA_LOCIDX(45699,45523,,\"SPX\")":2.5507991,"FIX-US^P_BETA_LOCIDX(45698,45520,,\"SPX\")":2.5427847,"FIX-US^P_BETA_LOCIDX(45695,45519,,\"SPX\")":2.512214,"FIX-US^P_BETA_LOCIDX(45694,45518,,\"SPX\")":2.5208216,"FIX-US^P_BETA_LOCIDX(45693,45517,,\"SPX\")":2.4696476,"FIX-US^P_BETA_LOCIDX(45692,45516,,\"SPX\")":2.4567792,"FIX-US^P_BETA_LOCIDX(45691,45513,,\"SPX\")":2.465541,"FIX-US^P_BETA_LOCIDX(45688,45512,,\"SPX\")":2.4446516,"FIX-US^P_BETA_LOCIDX(45687,45511,,\"SPX\")":2.4696772,"FIX-US^P_BETA_LOCIDX(45686,45510,,\"SPX\")":2.471015,"FIX-US^P_BETA_LOCIDX(45685,45509,,\"SPX\")":2.306583,"FIX-US^P_BETA_LOCIDX(45684,45506,,\"SPX\")":2.3418608,"FIX-US^P_BETA_LOCIDX(45681,45505,,\"SPX\")":1.9638647,"FIX-US^P_BETA_LOCIDX(45680,45504,,\"SPX\")":2.0428944,"FIX-US^P_BETA_LOCIDX(45679,45503,,\"SPX\")":2.0630708,"FIX-US^P_BETA_LOCIDX(45678,45502,,\"SPX\")":2.0502634,"FIX-US^P_BETA_LOCIDX(45674,45499,,\"SPX\")":2.0623572,"FIX-US^P_BETA_LOCIDX(45673,45498,,\"SPX\")":2.0979235,"FIX-US^P_BETA_LOCIDX(45672,45497,,\"SPX\")":2.2030714,"FIX-US^P_BETA_LOCIDX(45671,45496,,\"SPX\")":2.1674588,"FIX-US^P_BETA_LOCIDX(45670,45495,,\"SPX\")":2.182556,"FIX-US^P_BETA_LOCIDX(45667,45492,,\"SPX\")":2.1664402,"FIX-US^P_BETA_LOCIDX(45665,45491,,\"SPX\")":2.1715462,"FIX-US^P_BETA_LOCIDX(45664,45490,,\"SPX\")":2.2487426,"FIX-US^P_BETA_LOCIDX(45663,45489,,\"SPX\")":2.2699206,"FIX-US^P_BETA_LOCIDX(45660,45488,,\"SPX\")":2.2676654,"FIX-US^P_BETA_LOCIDX(45659,45485,,\"SPX\")":2.245179,"FIX-US^P_BETA_LOCIDX(45657,45484,,\"SPX\")":2.2050836,"FIX-US^P_BETA_LOCIDX(45656,45483,,\"SPX\")":2.2060783,"FIX-US^P_BETA_LOCIDX(45653,45482,,\"SPX\")":2.2228162,"FIX-US^P_BETA_LOCIDX(45652,45481,,\"SPX\")":2.2309008,"FIX-US^P_BETA_LOCIDX(45650,45478,,\"SPX\")":2.2103086,"FIX-US^P_BETA_LOCIDX(45649,45476,,\"SPX\")":2.2544947,"FIX-US^P_BETA_LOCIDX(45646,45475,,\"SPX\")":2.2614534,"FIX-US^P_BETA_LOCIDX(45645,45474,,\"SPX\")":2.2735894,"FIX-US^P_BETA_LOCIDX(45644,45471,,\"SPX\")":2.2887404,"FIX-US^P_BETA_LOCIDX(45643,45470,,\"SPX\")":2.3530655,"FIX-US^P_BETA_LOCIDX(45642,45469,,\"SPX\")":2.3450549,"FIX-US^P_BETA_LOCIDX(45639,45468,,\"SPX\")":2.347546,"FIX-US^P_BETA_LOCIDX(45638,45467,,\"SPX\")":2.3408692,"FIX-US^P_BETA_LOCIDX(45637,45464,,\"SPX\")":2.3486192,"FIX-US^P_BETA_LOCIDX(45636,45463,,\"SPX\")":2.3460345,"FIX-US^P_BETA_LOCIDX(45635,45461,,\"SPX\")":2.3469086,"FIX-US^P_BETA_LOCIDX(45632,45460,,\"SPX\")":2.3060422,"FIX-US^P_BETA_LOCIDX(45631,45457,,\"SPX\")":2.3128648,"FIX-US^P_BETA_LOCIDX(45630,45456,,\"SPX\")":2.3130524,"FIX-US^P_BETA_LOCIDX(45629,45455,,\"SPX\")":2.3477168,"FIX-US^P_BETA_LOCIDX(45628,45454,,\"SPX\")":2.342819,"FIX-US^P_BETA_LOCIDX(45625,45453,,\"SPX\")":2.3453782,"FIX-US^P_BETA_LOCIDX(45623,45450,,\"SPX\")":2.3463204,"FIX-US^P_BETA_LOCIDX(45622,45449,,\"SPX\")":2.3375938,"FIX-US^P_BETA_LOCIDX(45621,45448,,\"SPX\")":2.3754208,"FIX-US^P_BETA_LOCIDX(45618,45447,,\"SPX\")":2.3728101,"FIX-US^P_BETA_LOCIDX(45617,45446,,\"SPX\")":2.374554,"FIX-US^P_BETA_LOCIDX(45616,45443,,\"SPX\")":2.3328867,"FIX-US^P_BETA_LOCIDX(45615,45442,,\"SPX\")":2.3292677,"FIX-US^P_BETA_LOCIDX(45614,45441,,\"SPX\")":2.3027384,"FIX-US^P_BETA_LOCIDX(45611,45440,,\"SPX\")":2.3023174,"FIX-US^P_BETA_LOCIDX(45610,45436,,\"SPX\")":2.3835418,"FIX-US^P_BETA_LOCIDX(45609,45435,,\"SPX\")":2.360838,"FIX-US^P_BETA_LOCIDX(45608,45434,,\"SPX\")":2.3532887,"FIX-US^P_BETA_LOCIDX(45607,45433,,\"SPX\")":2.354372,"FIX-US^P_BETA_LOCIDX(45604,45432,,\"SPX\")":2.3542433,"FIX-US^P_BETA_LOCIDX(45603,45429,,\"SPX\")":2.3438957,"FIX-US^P_BETA_LOCIDX(45602,45428,,\"SPX\")":2.364072,"FIX-US^P_BETA_LOCIDX(45601,45427,,\"SPX\")":2.3366997,"FIX-US^P_BETA_LOCIDX(45600,45426,,\"SPX\")":2.3002713,"FIX-US^P_BETA_LOCIDX(45597,45425,,\"SPX\")":2.3054044,"FIX-US^P_BETA_LOCIDX(45596,45422,,\"SPX\")":2.3066843,"FIX-US^P_BETA_LOCIDX(45595,45421,,\"SPX\")":2.4162235,"FIX-US^P_BETA_LOCIDX(45594,45420,,\"SPX\")":2.4116662,"FIX-US^P_BETA_LOCIDX(45593,45419,,\"SPX\")":2.4114811,"FIX-US^P_BETA_LOCIDX(45590,45418,,\"SPX\")":2.4504263,"FIX-US^P_BETA_LOCIDX(45589,45415,,\"SPX\")":2.4228246,"FIX-US^P_BETA_LOCIDX(45588,45414,,\"SPX\")":2.420013,"FIX-US^P_BETA_LOCIDX(45587,45413,,\"SPX\")":2.4496167,"FIX-US^P_BETA_LOCIDX(45586,45412,,\"SPX\")":2.3748477,"FIX-US^P_BETA_LOCIDX(45583,45411,,\"SPX\")":2.3872113,"FIX-US^P_BETA_LOCIDX(45582,45408,,\"SPX\")":2.332681,"FIX-US^P_BETA_LOCIDX(45581,45407,,\"SPX\")":2.3210924,"FIX-US^P_BETA_LOCIDX(45580,45406,,\"SPX\")":2.324538,"FIX-US^P_BETA_LOCIDX(45579,45405,,\"SPX\")":2.3502727,"FIX-US^P_BETA_LOCIDX(45576,45404,,\"SPX\")":2.353187,"FIX-US^P_BETA_LOCIDX(45575,45401,,\"SPX\")":2.3319345,"FIX-US^P_BETA_LOCIDX(45574,45400,,\"SPX\")":2.338529,"FIX-US^P_BETA_LOCIDX(45573,45399,,\"SPX\")":2.3410738,"FIX-US^P_BETA_LOCIDX(45572,45398,,\"SPX\")":2.3666208,"FIX-US^P_BETA_LOCIDX(45569,45397,,\"SPX\")":2.3817945,"FIX-US^P_BETA_LOCIDX(45568,45394,,\"SPX\")":2.336973,"FIX-US^P_BETA_LOCIDX(45567,45393,,\"SPX\")":2.3380022,"FIX-US^P_BETA_LOCIDX(45566,45392,,\"SPX\")":2.323578,"FIX-US^P_BETA_LOCIDX(45565,45391,,\"SPX\")":2.3424432,"FIX-US^P_BETA_LOCIDX(45562,45390,,\"SPX\")":2.3464634,"FIX-US^P_BETA_LOCIDX(45561,45387,,\"SPX\")":2.3530638,"FIX-US^P_BETA_LOCIDX(45560,45386,,\"SPX\")":2.3474097,"FIX-US^P_BETA_LOCIDX(45559,45385,,\"SPX\")":2.352624,"FIX-US^P_BETA_LOCIDX(45558,45384,,\"SPX\")":2.3538065,"FIX-US^P_BETA_LOCIDX(45555,45383,,\"SPX\")":2.350985,"FIX-US^P_BETA_LOCIDX(45554,45379,,\"SPX\")":2.3558831,"FIX-US^P_BETA_LOCIDX(45553,45378,,\"SPX\")":2.287791,"FIX-US^P_BETA_LOCIDX(45552,45377,,\"SPX\")":2.288337,"FIX-US^P_BETA_LOCIDX(45551,45376,,\"SPX\")":2.2896342,"FIX-US^P_BETA_LOCIDX(45548,45373,,\"SPX\")":2.2897341,"FIX-US^P_BETA_LOCIDX(45547,45372,,\"SPX\")":2.2887151,"FIX-US^P_BETA_LOCIDX(45546,45371,,\"SPX\")":2.2826834,"FIX-US^P_BETA_LOCIDX(45545,45370,,\"SPX\")":2.2439847,"FIX-US^P_BETA_LOCIDX(45544,45369,,\"SPX\")":2.229869,"FIX-US^P_BETA_LOCIDX(45541,45366,,\"SPX\")":2.2056553,"FIX-US^P_BETA_LOCIDX(45540,45365,,\"SPX\")":2.24934,"FIX-US^P_BETA_LOCIDX(45539,45364,,\"SPX\")":2.2438142,"FIX-US^P_BETA_LOCIDX(45538,45363,,\"SPX\")":2.2356417,"FIX-US^P_BETA_LOCIDX(45534,45362,,\"SPX\")":2.0764978,"FIX-US^P_BETA_LOCIDX(45533,45359,,\"SPX\")":2.0796168,"FIX-US^P_BETA_LOCIDX(45532,45358,,\"SPX\")":2.0599496,"FIX-US^P_BETA_LOCIDX(45531,45357,,\"SPX\")":2.0724688,"FIX-US^P_BETA_LOCIDX(45530,45356,,\"SPX\")":2.0658343,"FIX-US^P_BETA_LOCIDX(45527,45355,,\"SPX\")":2.0626798,"FIX-US^P_BETA_LOCIDX(45526,45352,,\"SPX\")":2.098473,"FIX-US^P_BETA_LOCIDX(45525,45351,,\"SPX\")":2.1129615,"FIX-US^P_BETA_LOCIDX(45524,45350,,\"SPX\")":2.0955632,"FIX-US^P_BETA_LOCIDX(45523,45349,,\"SPX\")":2.0969117,"FIX-US^P_BETA_LOCIDX(45520,45348,,\"SPX\")":2.0961611,"FIX-US^P_BETA_LOCIDX(45519,45345,,\"SPX\")":2.0938094,"FIX-US^P_BETA_LOCIDX(45518,45344,,\"SPX\")":2.063276,"FIX-US^P_BETA_LOCIDX(45517,45343,,\"SPX\")":2.0548563,"FIX-US^P_BETA_LOCIDX(45516,45342,,\"SPX\")":2.072049,"FIX-US^P_BETA_LOCIDX(45513,45338,,\"SPX\")":2.077379,"FIX-US^P_BETA_LOCIDX(45512,45337,,\"SPX\")":2.092259,"FIX-US^P_BETA_LOCIDX(45511,45336,,\"SPX\")":2.1120393,"FIX-US^P_BETA_LOCIDX(45510,45335,,\"SPX\")":2.0920258,"FIX-US^P_BETA_LOCIDX(45509,45334,,\"SPX\")":2.0821738,"FIX-US^P_BETA_LOCIDX(45506,45331,,\"SPX\")":2.281834,"FIX-US^P_BETA_LOCIDX(45505,45330,,\"SPX\")":2.2143776,"FIX-US^P_BETA_LOCIDX(45504,45329,,\"SPX\")":2.2461371,"FIX-US^P_BETA_LOCIDX(45503,45328,,\"SPX\")":2.1195943,"FIX-US^P_BETA_LOCIDX(45502,45327,,\"SPX\")":2.1202044,"FIX-US^P_BETA_LOCIDX(45499,45324,,\"SPX\")":2.1270607,"FIX-US^P_BETA_LOCIDX(45498,45323,,\"SPX\")":2.0802808,"FIX-US^P_BETA_LOCIDX(45497,45322,,\"SPX\")":2.034373,"FIX-US^P_BETA_LOCIDX(45496,45321,,\"SPX\")":1.8399822,"FIX-US^P_BETA_LOCIDX(45495,45320,,\"SPX\")":1.8693906,"FIX-US^P_BETA_LOCIDX(45492,45317,,\"SPX\")":1.8280096,"FIX-US^P_BETA_LOCIDX(45491,45316,,\"SPX\")":1.8691274,"FIX-US^P_BETA_LOCIDX(45490,45315,,\"SPX\")":1.8833001,"FIX-US^P_BETA_LOCIDX(45489,45314,,\"SPX\")":1.7079364,"FIX-US^P_BETA_LOCIDX(45488,45313,,\"SPX\")":1.7015103,"FIX-US^P_BETA_LOCIDX(45485,45310,,\"SPX\")":1.6572119,"FIX-US^P_BETA_LOCIDX(45484,45309,,\"SPX\")":1.6508828,"FIX-US^P_BETA_LOCIDX(45483,45308,,\"SPX\")":1.7214322,"FIX-US^P_BETA_LOCIDX(45482,45307,,\"SPX\")":1.706512,"FIX-US^P_BETA_LOCIDX(45481,45303,,\"SPX\")":1.7073741,"FIX-US^P_BETA_LOCIDX(45478,45302,,\"SPX\")":1.7024778,"FIX-US^P_BETA_LOCIDX(45476,45301,,\"SPX\")":1.7430232,"FIX-US^P_BETA_LOCIDX(45475,45300,,\"SPX\")":1.7059603,"FIX-US^P_BETA_LOCIDX(45474,45299,,\"SPX\")":1.6961876,"FIX-US^P_BETA_LOCIDX(45471,45296,,\"SPX\")":1.7044389,"FIX-US^P_BETA_LOCIDX(45470,45295,,\"SPX\")":1.6633211,"FIX-US^P_BETA_LOCIDX(45469,45294,,\"SPX\")":1.6953987,"FIX-US^P_BETA_LOCIDX(45468,45293,,\"SPX\")":1.7094363,"FIX-US^P_BETA_LOCIDX(45467,45289,,\"SPX\")":1.7098371,"FIX-US^P_BETA_LOCIDX(45464,45288,,\"SPX\")":1.7174916,"FIX-US^P_BETA_LOCIDX(45463,45287,,\"SPX\")":1.7080034,"FIX-US^P_BETA_LOCIDX(45461,45286,,\"SPX\")":1.6986314,"FIX-US^P_BETA_LOCIDX(45460,45282,,\"SPX\")":1.6962826,"FIX-US^P_BETA_LOCIDX(45457,45281,,\"SPX\")":1.6483232,"FIX-US^P_BETA_LOCIDX(45456,45280,,\"SPX\")":1.5807309,"FIX-US^P_BETA_LOCIDX(45455,45279,,\"SPX\")":1.5851909,"FIX-US^P_BETA_LOCIDX(45454,45278,,\"SPX\")":1.5241412,"FIX-US^P_BETA_LOCIDX(45453,45275,,\"SPX\")":1.5338346,"FIX-US^P_BETA_LOCIDX(45450,45274,,\"SPX\")":1.5374341,"FIX-US^P_BETA_LOCIDX(45449,45273,,\"SPX\")":1.5201824,"FIX-US^P_BETA_LOCIDX(45448,45272,,\"SPX\")":1.5092909,"FIX-US^P_BETA_LOCIDX(45447,45271,,\"SPX\")":1.434685,"FIX-US^P_BETA_LOCIDX(45446,45268,,\"SPX\")":1.4469241,"FIX-US^P_BETA_LOCIDX(45443,45267,,\"SPX\")":1.4439757,"FIX-US^P_BETA_LOCIDX(45442,45266,,\"SPX\")":1.4961431,"FIX-US^P_BETA_LOCIDX(45441,45265,,\"SPX\")":1.4944674,"FIX-US^P_BETA_LOCIDX(45440,45264,,\"SPX\")":1.5405332,"FIX-US^P_BETA_LOCIDX(45436,45261,,\"SPX\")":1.5411184,"FIX-US^P_BETA_LOCIDX(45435,45260,,\"SPX\")":1.5211618,"FIX-US^P_BETA_LOCIDX(45434,45259,,\"SPX\")":1.538481,"FIX-US^P_BETA_LOCIDX(45433,45258,,\"SPX\")":1.5455258,"FIX-US^P_BETA_LOCIDX(45432,45257,,\"SPX\")":1.5429664,"FIX-US^P_BETA_LOCIDX(45429,45254,,\"SPX\")":1.5434831,"FIX-US^P_BETA_LOCIDX(45428,45252,,\"SPX\")":1.5510341,"FIX-US^P_BETA_LOCIDX(45427,45251,,\"SPX\")":1.5237756,"FIX-US^P_BETA_LOCIDX(45426,45250,,\"SPX\")":1.5134414,"FIX-US^P_BETA_LOCIDX(45425,45247,,\"SPX\")":1.5163872,"FIX-US^P_BETA_LOCIDX(45422,45246,,\"SPX\")":1.5066878,"FIX-US^P_BETA_LOCIDX(45421,45245,,\"SPX\")":1.5065446,"FIX-US^P_BETA_LOCIDX(45420,45244,,\"SPX\")":1.6119225,"FIX-US^P_BETA_LOCIDX(45419,45243,,\"SPX\")":1.6105778,"FIX-US^P_BETA_LOCIDX(45418,45240,,\"SPX\")":1.5762212,"FIX-US^P_BETA_LOCIDX(45415,45239,,\"SPX\")":1.4928367,"FIX-US^P_BETA_LOCIDX(45414,45238,,\"SPX\")":1.4888214,"FIX-US^P_BETA_LOCIDX(45413,45237,,\"SPX\")":1.4816755,"FIX-US^P_BETA_LOCIDX(45412,45236,,\"SPX\")":1.4641864,"FIX-US^P_BETA_LOCIDX(45411,45233,,\"SPX\")":1.4913747,"FIX-US^P_BETA_LOCIDX(45408,45232,,\"SPX\")":1.4414003,"FIX-US^P_BETA_LOCIDX(45407,45231,,\"SPX\")":1.5076741,"FIX-US^P_BETA_LOCIDX(45406,45230,,\"SPX\")":1.5222408,"FIX-US^P_BETA_LOCIDX(45405,45229,,\"SPX\")":1.5214292,"FIX-US^P_BETA_LOCIDX(45404,45226,,\"SPX\")":1.3212496,"FIX-US^P_BETA_LOCIDX(45401,45225,,\"SPX\")":1.2746152,"FIX-US^P_BETA_LOCIDX(45400,45224,,\"SPX\")":1.2856574,"FIX-US^P_BETA_LOCIDX(45399,45223,,\"SPX\")":1.269372,"FIX-US^P_BETA_LOCIDX(45398,45222,,\"SPX\")":1.2605933,"FIX-US^P_BETA_LOCIDX(45397,45219,,\"SPX\")":1.2403884,"FIX-US^P_BETA_LOCIDX(45394,45218,,\"SPX\")":1.2667435,"FIX-US^P_BETA_LOCIDX(45393,45217,,\"SPX\")":1.3326864,"FIX-US^P_BETA_LOCIDX(45392,45216,,\"SPX\")":1.3215437,"FIX-US^P_BETA_LOCIDX(45391,45215,,\"SPX\")":1.3103459,"FIX-US^P_BETA_LOCIDX(45390,45212,,\"SPX\")":1.3458956,"FIX-US^P_BETA_LOCIDX(45387,45211,,\"SPX\")":1.3659235,"FIX-US^P_BETA_LOCIDX(45386,45210,,\"SPX\")":1.3372314,"FIX-US^P_BETA_LOCIDX(45385,45209,,\"SPX\")":1.299798,"FIX-US^P_BETA_LOCIDX(45384,45208,,\"SPX\")":1.2979078,"FIX-US^P_BETA_LOCIDX(45383,45205,,\"SPX\")":1.2781287,"FIX-US^P_BETA_LOCIDX(45379,45204,,\"SPX\")":1.2830846,"FIX-US^P_BETA_LOCIDX(45378,45203,,\"SPX\")":1.2751082,"FIX-US^P_BETA_LOCIDX(45377,45202,,\"SPX\")":1.2697347,"FIX-US^P_BETA_LOCIDX(45376,45201,,\"SPX\")":1.2752299,"FIX-US^P_BETA_LOCIDX(45373,45198,,\"SPX\")":1.2928352,"FIX-US^P_BETA_LOCIDX(45372,45197,,\"SPX\")":1.2965475,"FIX-US^P_BETA_LOCIDX(45371,45196,,\"SPX\")":1.288035,"FIX-US^P_BETA_LOCIDX(45370,45195,,\"SPX\")":1.2863058,"FIX-US^P_BETA_LOCIDX(45369,45194,,\"SPX\")":1.2911674,"FIX-US^P_BETA_LOCIDX(45366,45191,,\"SPX\")":1.2980192,"FIX-US^P_BETA_LOCIDX(45365,45190,,\"SPX\")":1.4094154,"FIX-US^P_BETA_LOCIDX(45364,45189,,\"SPX\")":1.4219754,"FIX-US^P_BETA_LOCIDX(45363,45188,,\"SPX\")":1.4232829,"FIX-US^P_BETA_LOCIDX(45362,45187,,\"SPX\")":1.4261286,"FIX-US^P_BETA_LOCIDX(45359,45184,,\"SPX\")":1.3940483,"FIX-US^P_BETA_LOCIDX(45358,45183,,\"SPX\")":1.3718439,"FIX-US^P_BETA_LOCIDX(45357,45182,,\"SPX\")":1.3911355,"FIX-US^P_BETA_LOCIDX(45356,45181,,\"SPX\")":1.3983406,"FIX-US^P_BETA_LOCIDX(45355,45180,,\"SPX\")":1.3849001,"FIX-US^P_BETA_LOCIDX(45352,45177,,\"SPX\")":1.3904427,"FIX-US^P_BETA_LOCIDX(45351,45176,,\"SPX\")":1.3742306,"FIX-US^P_BETA_LOCIDX(45350,45175,,\"SPX\")":1.3323513,"FIX-US^P_BETA_LOCIDX(45349,45174,,\"SPX\")":1.335894,"FIX-US^P_BETA_LOCIDX(45348,45170,,\"SPX\")":1.3343627,"FIX-US^P_BETA_LOCIDX(45345,45169,,\"SPX\")":1.3484812,"FIX-US^P_BETA_LOCIDX(45344,45168,,\"SPX\")":1.3568008,"FIX-US^P_BETA_LOCIDX(45343,45167,,\"SPX\")":1.3634713,"FIX-US^P_BETA_LOCIDX(45342,45166,,\"SPX\")":1.354234,"FIX-US^P_BETA_LOCIDX(45338,45163,,\"SPX\")":1.3570733,"FIX-US^P_BETA_LOCIDX(45337,45162,,\"SPX\")":1.3378011,"FIX-US^P_BETA_LOCIDX(45336,45161,,\"SPX\")":1.3314236,"FIX-US^P_BETA_LOCIDX(45335,45160,,\"SPX\")":1.2913194,"FIX-US^P_BETA_LOCIDX(45334,45159,,\"SPX\")":1.2657578,"FIX-US^P_BETA_LOCIDX(45331,45156,,\"SPX\")":1.2668072,"FIX-US^P_BETA_LOCIDX(45330,45155,,\"SPX\")":1.2909484,"FIX-US^P_BETA_LOCIDX(45329,45154,,\"SPX\")":1.2804055,"FIX-US^P_BETA_LOCIDX(45328,45153,,\"SPX\")":1.2321668,"FIX-US^P_BETA_LOCIDX(45327,45152,,\"SPX\")":1.2241874,"FIX-US^P_BETA_LOCIDX(45324,45149,,\"SPX\")":1.20551,"FIX-US^P_BETA_LOCIDX(45323,45148,,\"SPX\")":1.1861789,"FIX-US^P_BETA_LOCIDX(45322,45147,,\"SPX\")":1.1683812,"FIX-US^P_BETA_LOCIDX(45321,45146,,\"SPX\")":1.157117,"FIX-US^P_BETA_LOCIDX(45320,45145,,\"SPX\")":1.1775577,"FIX-US^P_BETA_LOCIDX(45317,45142,,\"SPX\")":1.150613,"FIX-US^P_BETA_LOCIDX(45316,45141,,\"SPX\")":1.1455485,"FIX-US^P_BETA_LOCIDX(45315,45140,,\"SPX\")":1.0871978,"FIX-US^P_BETA_LOCIDX(45314,45139,,\"SPX\")":1.0879308,"FIX-US^P_BETA_LOCIDX(45313,45138,,\"SPX\")":1.0981929,"FIX-US^P_BETA_LOCIDX(45310,45135,,\"SPX\")":1.146209,"FIX-US^P_BETA_LOCIDX(45309,45134,,\"SPX\")":1.1692507,"FIX-US^P_BETA_LOCIDX(45308,45133,,\"SPX\")":1.1716406,"FIX-US^P_BETA_LOCIDX(45307,45132,,\"SPX\")":1.1765147,"FIX-US^P_BETA_LOCIDX(45303,45131,,\"SPX\")":1.1792288,"FIX-US^P_BETA_LOCIDX(45302,45128,,\"SPX\")":1.1800112,"FIX-US^P_BETA_LOCIDX(45301,45127,,\"SPX\")":1.1962023,"FIX-US^P_BETA_LOCIDX(45300,45126,,\"SPX\")":1.1832527,"FIX-US^P_BETA_LOCIDX(45299,45125,,\"SPX\")":1.1985649,"FIX-US^P_BETA_LOCIDX(45296,45124,,\"SPX\")":1.2077122,"FIX-US^P_BETA_LOCIDX(45295,45121,,\"SPX\")":1.2130849,"FIX-US^P_BETA_LOCIDX(45294,45120,,\"SPX\")":1.216682,"FIX-US^P_BETA_LOCIDX(45293,45119,,\"SPX\")":1.1813434,"FIX-US^P_BETA_LOCIDX(45289,45118,,\"SPX\")":1.165408,"FIX-US^P_BETA_LOCIDX(45288,45117,,\"SPX\")":1.1688254,"FIX-US^P_BETA_LOCIDX(45287,45114,,\"SPX\")":1.1672714,"FIX-US^P_BETA_LOCIDX(45286,45113,,\"SPX\")":1.1758592,"FIX-US^P_BETA_LOCIDX(45282,45112,,\"SPX\")":1.1811916,"FIX-US^P_BETA_LOCIDX(45281,45110,,\"SPX\")":1.1806393,"FIX-US^P_BETA_LOCIDX(45280,45107,,\"SPX\")":1.1543512,"FIX-US^P_BETA_LOCIDX(45279,45106,,\"SPX\")":1.2051823,"FIX-US^P_BETA_LOCIDX(45278,45105,,\"SPX\")":1.1967655,"FIX-US^P_BETA_LOCIDX(45275,45104,,\"SPX\")":1.1870946,"FIX-US^P_BETA_LOCIDX(45274,45103,,\"SPX\")":1.1804676,"FIX-US^P_BETA_LOCIDX(45273,45100,,\"SPX\")":1.1772784,"FIX-US^P_BETA_LOCIDX(45272,45099,,\"SPX\")":1.1723856,"FIX-US^P_BETA_LOCIDX(45271,45098,,\"SPX\")":1.1401759,"FIX-US^P_BETA_LOCIDX(45268,45097,,\"SPX\")":1.1436921,"FIX-US^P_BETA_LOCIDX(45267,45093,,\"SPX\")":1.1336263,"FIX-US^P_BETA_LOCIDX(45266,45092,,\"SPX\")":1.1295538,"FIX-US^P_BETA_LOCIDX(45265,45091,,\"SPX\")":1.1248832,"FIX-US^P_BETA_LOCIDX(45264,45090,,\"SPX\")":1.1038246,"FIX-US^P_BETA_LOCIDX(45261,45089,,\"SPX\")":1.0769767,"FIX-US^P_BETA_LOCIDX(45260,45086,,\"SPX\")":1.0702411,"FIX-US^P_BETA_LOCIDX(45259,45085,,\"SPX\")":1.0607139,"FIX-US^P_BETA_LOCIDX(45258,45084,,\"SPX\")":1.0639732,"FIX-US^P_BETA_LOCIDX(45257,45083,,\"SPX\")":1.0778787,"FIX-US^P_BETA_LOCIDX(45254,45082,,\"SPX\")":1.0838693,"FIX-US^P_BETA_LOCIDX(45252,45079,,\"SPX\")":1.1369407,"FIX-US^P_BETA_LOCIDX(45251,45078,,\"SPX\")":1.1142058,"FIX-US^P_BETA_LOCIDX(45250,45077,,\"SPX\")":1.1284802,"FIX-US^P_BETA_LOCIDX(45247,45076,,\"SPX\")":1.1415056,"FIX-US^P_BETA_LOCIDX(45246,45072,,\"SPX\")":1.1104927,"FIX-US^P_BETA_LOCIDX(45245,45071,,\"SPX\")":1.1407523,"FIX-US^P_BETA_LOCIDX(45244,45070,,\"SPX\")":1.152409,"FIX-US^P_BETA_LOCIDX(45243,45069,,\"SPX\")":1.067074,"FIX-US^P_BETA_LOCIDX(45240,45068,,\"SPX\")":1.06862,"FIX-US^P_BETA_LOCIDX(45239,45065,,\"SPX\")":1.0847683,"FIX-US^P_BETA_LOCIDX(45238,45064,,\"SPX\")":1.1045628,"FIX-US^P_BETA_LOCIDX(45237,45063,,\"SPX\")":1.087347,"FIX-US^P_BETA_LOCIDX(45236,45062,,\"SPX\")":1.0901883,"FIX-US^P_BETA_LOCIDX(45233,45061,,\"SPX\")":1.092454,"FIX-US^P_BETA_LOCIDX(45232,45058,,\"SPX\")":1.106134,"FIX-US^P_BETA_LOCIDX(45231,45057,,\"SPX\")":1.128019,"FIX-US^P_BETA_LOCIDX(45230,45056,,\"SPX\")":1.1272761,"FIX-US^P_BETA_LOCIDX(45229,45055,,\"SPX\")":1.118541,"FIX-US^P_BETA_LOCIDX(45226,45054,,\"SPX\")":1.1066403,"FIX-US^P_BETA_LOCIDX(45225,45051,,\"SPX\")":1.231167,"FIX-US^P_BETA_LOCIDX(45224,45050,,\"SPX\")":1.2785714,"FIX-US^P_BETA_LOCIDX(45223,45049,,\"SPX\")":1.2748227,"FIX-US^P_BETA_LOCIDX(45222,45048,,\"SPX\")":1.2112509,"FIX-US^P_BETA_LOCIDX(45219,45047,,\"SPX\")":1.2118993,"FIX-US^P_BETA_LOCIDX(45218,45044,,\"SPX\")":1.2289001,"FIX-US^P_BETA_LOCIDX(45217,45043,,\"SPX\")":1.4863034,"FIX-US^P_BETA_LOCIDX(45216,45042,,\"SPX\")":1.4440451,"FIX-US^P_BETA_LOCIDX(45215,45041,,\"SPX\")":1.4315888,"FIX-US^P_BETA_LOCIDX(45212,45040,,\"SPX\")":1.4416238,"FIX-US^P_BETA_LOCIDX(45211,45037,,\"SPX\")":1.4144826,"FIX-US^P_BETA_LOCIDX(45210,45036,,\"SPX\")":1.3672913,"FIX-US^P_BETA_LOCIDX(45209,45035,,\"SPX\")":1.3707099,"FIX-US^P_BETA_LOCIDX(45208,45034,,\"SPX\")":1.3817714,"FIX-US^P_BETA_LOCIDX(45205,45033,,\"SPX\")":1.3866208,"FIX-US^P_BETA_LOCIDX(45204,45030,,\"SPX\")":1.3914386,"FIX-US^P_BETA_LOCIDX(45203,45029,,\"SPX\")":1.3690434,"FIX-US^P_BETA_LOCIDX(45202,45028,,\"SPX\")":1.3692517,"FIX-US^P_BETA_LOCIDX(45201,45027,,\"SPX\")":1.3968827,"FIX-US^P_BETA_LOCIDX(45198,45026,,\"SPX\")":1.3962197,"FIX-US^P_BETA_LOCIDX(45197,45022,,\"SPX\")":1.3679066,"FIX-US^P_BETA_LOCIDX(45196,45021,,\"SPX\")":1.3850975,"FIX-US^P_BETA_LOCIDX(45195,45020,,\"SPX\")":1.4211226,"FIX-US^P_BETA_LOCIDX(45194,45019,,\"SPX\")":1.435633,"FIX-US^P_BETA_LOCIDX(45191,45016,,\"SPX\")":1.4395896,"FIX-US^P_BETA_LOCIDX(45190,45015,,\"SPX\")":1.4250393,"FIX-US^P_BETA_LOCIDX(45189,45014,,\"SPX\")":1.3346443,"FIX-US^P_BETA_LOCIDX(45188,45013,,\"SPX\")":1.3216658,"FIX-US^P_BETA_LOCIDX(45187,45012,,\"SPX\")":1.3189795,"FIX-US^P_BETA_LOCIDX(45184,45009,,\"SPX\")":1.323568,"FIX-US^P_BETA_LOCIDX(45183,45008,,\"SPX\")":1.3334556,"FIX-US^P_BETA_LOCIDX(45182,45007,,\"SPX\")":1.313835,"FIX-US^P_BETA_LOCIDX(45181,45006,,\"SPX\")":1.3071036,"FIX-US^P_BETA_LOCIDX(45180,45005,,\"SPX\")":1.3369733,"FIX-US^P_BETA_LOCIDX(45177,45002,,\"SPX\")":1.376838,"FIX-US^P_BETA_LOCIDX(45176,45001,,\"SPX\")":1.367185,"FIX-US^P_BETA_LOCIDX(45175,45000,,\"SPX\")":1.3979032,"FIX-US^P_BETA_LOCIDX(45174,44999,,\"SPX\")":1.4288013,"FIX-US^P_BETA_LOCIDX(45170,44998,,\"SPX\")":1.4414867,"FIX-US^P_BETA_LOCIDX(45169,44995,,\"SPX\")":1.4573555,"FIX-US^P_BETA_LOCIDX(45168,44994,,\"SPX\")":1.4577105,"FIX-US^P_BETA_LOCIDX(45167,44993,,\"SPX\")":1.4607152,"FIX-US^P_BETA_LOCIDX(45166,44992,,\"SPX\")":1.448095,"FIX-US^P_BETA_LOCIDX(45163,44991,,\"SPX\")":1.457388,"FIX-US^P_BETA_LOCIDX(45162,44988,,\"SPX\")":1.4591733,"FIX-US^P_BETA_LOCIDX(45161,44987,,\"SPX\")":1.4627187,"FIX-US^P_BETA_LOCIDX(45160,44986,,\"SPX\")":1.4495001,"FIX-US^P_BETA_LOCIDX(45159,44985,,\"SPX\")":1.458582,"FIX-US^P_BETA_LOCIDX(45156,44984,,\"SPX\")":1.4643793,"FIX-US^P_BETA_LOCIDX(45155,44981,,\"SPX\")":1.3275517,"FIX-US^P_BETA_LOCIDX(45154,44980,,\"SPX\")":1.3567294,"FIX-US^P_BETA_LOCIDX(45153,44979,,\"SPX\")":1.3661481,"FIX-US^P_BETA_LOCIDX(45152,44978,,\"SPX\")":1.4128717,"FIX-US^P_BETA_LOCIDX(45149,44974,,\"SPX\")":1.4127047,"FIX-US^P_BETA_LOCIDX(45148,44973,,\"SPX\")":1.3625602,"FIX-US^P_BETA_LOCIDX(45147,44972,,\"SPX\")":1.3651222,"FIX-US^P_BETA_LOCIDX(45146,44971,,\"SPX\")":1.3528237,"FIX-US^P_BETA_LOCIDX(45145,44970,,\"SPX\")":1.3571559,"FIX-US^P_BETA_LOCIDX(45142,44967,,\"SPX\")":1.3520187,"FIX-US^P_BETA_LOCIDX(45141,44966,,\"SPX\")":1.3622392,"FIX-US^P_BETA_LOCIDX(45140,44965,,\"SPX\")":1.3631598,"FIX-US^P_BETA_LOCIDX(45139,44964,,\"SPX\")":1.3818132,"FIX-US^P_BETA_LOCIDX(45138,44963,,\"SPX\")":1.3857652,"FIX-US^P_BETA_LOCIDX(45135,44960,,\"SPX\")":1.3654377,"FIX-US^P_BETA_LOCIDX(45134,44959,,\"SPX\")":1.2916166,"FIX-US^P_BETA_LOCIDX(45133,44958,,\"SPX\")":1.2858156,"FIX-US^P_BETA_LOCIDX(45132,44957,,\"SPX\")":1.291734,"FIX-US^P_BETA_LOCIDX(45131,44956,,\"SPX\")":1.2830654,"FIX-US^P_BETA_LOCIDX(45128,44953,,\"SPX\")":1.2793945,"FIX-US^P_BETA_LOCIDX(45127,44952,,\"SPX\")":1.2722826,"FIX-US^P_BETA_LOCIDX(45126,44951,,\"SPX\")":1.2627661,"FIX-US^P_BETA_LOCIDX(45125,44950,,\"SPX\")":1.2616147,"FIX-US^P_BETA_LOCIDX(45124,44949,,\"SPX\")":1.2418369,"FIX-US^P_BETA_LOCIDX(45121,44946,,\"SPX\")":1.230757,"FIX-US^P_BETA_LOCIDX(45120,44945,,\"SPX\")":1.2528272,"FIX-US^P_BETA_LOCIDX(45119,44944,,\"SPX\")":1.2371835,"FIX-US^P_BETA_LOCIDX(45118,44943,,\"SPX\")":1.2531009,"FIX-US^P_BETA_LOCIDX(45117,44939,,\"SPX\")":1.2636796,"FIX-US^P_BETA_LOCIDX(45114,44938,,\"SPX\")":1.267776,"FIX-US^P_BETA_LOCIDX(45113,44937,,\"SPX\")":1.2648813,"FIX-US^P_BETA_LOCIDX(45112,44936,,\"SPX\")":1.2579759,"FIX-US^P_BETA_LOCIDX(45110,44935,,\"SPX\")":1.251825,"FIX-US^P_BETA_LOCIDX(45107,44932,,\"SPX\")":1.2227802,"FIX-US^P_BETA_LOCIDX(45106,44931,,\"SPX\")":1.2730764,"FIX-US^P_BETA_LOCIDX(45105,44930,,\"SPX\")":1.2453169,"FIX-US^P_BETA_LOCIDX(45104,44929,,\"SPX\")":1.2335061,"FIX-US^P_BETA_LOCIDX(45103,44925,,\"SPX\")":1.2511727,"FIX-US^P_BETA_LOCIDX(45100,44924,,\"SPX\")":1.2506697,"FIX-US^P_BETA_LOCIDX(45099,44923,,\"SPX\")":1.2549484,"FIX-US^P_BETA_LOCIDX(45098,44922,,\"SPX\")":1.261323,"FIX-US^P_BETA_LOCIDX(45097,44918,,\"SPX\")":1.2834642,"FIX-US^P_BETA_LOCIDX(45093,44917,,\"SPX\")":1.2586833,"FIX-US^P_BETA_LOCIDX(45092,44916,,\"SPX\")":1.2451345,"FIX-US^P_BETA_LOCIDX(45091,44915,,\"SPX\")":1.2478685,"FIX-US^P_BETA_LOCIDX(45090,44914,,\"SPX\")":1.233207,"FIX-US^P_BETA_LOCIDX(45089,44911,,\"SPX\")":1.2464386,"FIX-US^P_BETA_LOCIDX(45086,44910,,\"SPX\")":1.2258135,"FIX-US^P_BETA_LOCIDX(45085,44909,,\"SPX\")":1.2304304,"FIX-US^P_BETA_LOCIDX(45084,44908,,\"SPX\")":1.2345082,"FIX-US^P_BETA_LOCIDX(45083,44907,,\"SPX\")":1.2087209,"FIX-US^P_BETA_LOCIDX(45082,44904,,\"SPX\")":1.2053548,"FIX-US^P_BETA_LOCIDX(45079,44903,,\"SPX\")":1.1986591,"FIX-US^P_BETA_LOCIDX(45078,44902,,\"SPX\")":1.1691725,"FIX-US^P_BETA_LOCIDX(45077,44901,,\"SPX\")":1.1750133,"FIX-US^P_BETA_LOCIDX(45076,44900,,\"SPX\")":1.167983,"FIX-US^P_BETA_LOCIDX(45072,44897,,\"SPX\")":1.1679481,"FIX-US^P_BETA_LOCIDX(45071,44896,,\"SPX\")":1.1879277,"FIX-US^P_BETA_LOCIDX(45070,44895,,\"SPX\")":1.126836,"FIX-US^P_BETA_LOCIDX(45069,44894,,\"SPX\")":1.1210929,"FIX-US^P_BETA_LOCIDX(45068,44893,,\"SPX\")":1.1100672,"FIX-US^P_BETA_LOCIDX(45065,44890,,\"SPX\")":1.110071,"FIX-US^P_BETA_LOCIDX(45064,44888,,\"SPX\")":1.1012037,"FIX-US^P_BETA_LOCIDX(45063,44887,,\"SPX\")":1.0873677,"FIX-US^P_BETA_LOCIDX(45062,44886,,\"SPX\")":1.0937203,"FIX-US^P_BETA_LOCIDX(45061,44883,,\"SPX\")":1.0954977,"FIX-US^P_BETA_LOCIDX(45058,44882,,\"SPX\")":1.0891759,"FIX-US^P_BETA_LOCIDX(45057,44881,,\"SPX\")":1.0837493,"FIX-US^P_BETA_LOCIDX(45056,44880,,\"SPX\")":1.0730615,"FIX-US^P_BETA_LOCIDX(45055,44879,,\"SPX\")":1.0631115,"FIX-US^P_BETA_LOCIDX(45054,44876,,\"SPX\")":1.0451928,"FIX-US^P_BETA_LOCIDX(45051,44875,,\"SPX\")":1.0196786,"FIX-US^P_BETA_LOCIDX(45050,44874,,\"SPX\")":1.0112112,"FIX-US^P_BETA_LOCIDX(45049,44873,,\"SPX\")":1.0017126,"FIX-US^P_BETA_LOCIDX(45048,44872,,\"SPX\")":1.0074531,"FIX-US^P_BETA_LOCIDX(45047,44869,,\"SPX\")":1.0328897,"FIX-US^P_BETA_LOCIDX(45044,44868,,\"SPX\")":1.0217267,"FIX-US^P_BETA_LOCIDX(45043,44867,,\"SPX\")":1.041272,"FIX-US^P_BETA_LOCIDX(45042,44866,,\"SPX\")":0.9310889,"FIX-US^P_BETA_LOCIDX(45041,44865,,\"SPX\")":0.9236862,"FIX-US^P_BETA_LOCIDX(45040,44862,,\"SPX\")":0.9255565,"FIX-US^P_BETA_LOCIDX(45037,44861,,\"SPX\")":0.89165306,"FIX-US^P_BETA_LOCIDX(45036,44860,,\"SPX\")":0.89171493,"FIX-US^P_BETA_LOCIDX(45035,44859,,\"SPX\")":0.904502,"FIX-US^P_BETA_LOCIDX(45034,44858,,\"SPX\")":0.9076929,"FIX-US^P_BETA_LOCIDX(45033,44855,,\"SPX\")":0.9145472,"FIX-US^P_BETA_LOCIDX(45030,44854,,\"SPX\")":0.92509466,"FIX-US^P_BETA_LOCIDX(45029,44853,,\"SPX\")":0.92609185,"FIX-US^P_BETA_LOCIDX(45028,44852,,\"SPX\")":0.94014764,"FIX-US^P_BETA_LOCIDX(45027,44851,,\"SPX\")":0.9509373,"FIX-US^P_BETA_LOCIDX(45026,44848,,\"SPX\")":0.94769245,"FIX-US^P_BETA_LOCIDX(45022,44847,,\"SPX\")":0.94633615,"FIX-US^P_BETA_LOCIDX(45021,44846,,\"SPX\")":0.9518205,"FIX-US^P_BETA_LOCIDX(45020,44845,,\"SPX\")":0.93417764,"FIX-US^P_BETA_LOCIDX(45019,44844,,\"SPX\")":0.91678506,"FIX-US^P_BETA_LOCIDX(45016,44841,,\"SPX\")":0.91881764,"FIX-US^P_BETA_LOCIDX(45015,44840,,\"SPX\")":0.90779525,"FIX-US^P_BETA_LOCIDX(45014,44839,,\"SPX\")":0.91682875,"FIX-US^P_BETA_LOCIDX(45013,44838,,\"SPX\")":0.9228417,"FIX-US^P_BETA_LOCIDX(45012,44837,,\"SPX\")":0.9656383,"FIX-US^P_BETA_LOCIDX(45009,44834,,\"SPX\")":0.9525462,"FIX-US^P_BETA_LOCIDX(45008,44833,,\"SPX\")":0.96178675,"FIX-US^P_BETA_LOCIDX(45007,44832,,\"SPX\")":0.97544706,"FIX-US^P_BETA_LOCIDX(45006,44831,,\"SPX\")":0.9791711,"FIX-US^P_BETA_LOCIDX(45005,44830,,\"SPX\")":0.98340046,"FIX-US^P_BETA_LOCIDX(45002,44827,,\"SPX\")":0.98020405,"FIX-US^P_BETA_LOCIDX(45001,44826,,\"SPX\")":0.9759876,"FIX-US^P_BETA_LOCIDX(45000,44825,,\"SPX\")":0.9677455,"FIX-US^P_BETA_LOCIDX(44999,44824,,\"SPX\")":0.9512681,"FIX-US^P_BETA_LOCIDX(44998,44823,,\"SPX\")":0.9521227,"FIX-US^P_BETA_LOCIDX(44995,44820,,\"SPX\")":0.9466476,"FIX-US^P_BETA_LOCIDX(44994,44819,,\"SPX\")":0.9365771,"FIX-US^P_BETA_LOCIDX(44993,44818,,\"SPX\")":0.9234382,"FIX-US^P_BETA_LOCIDX(44992,44817,,\"SPX\")":0.903129,"FIX-US^P_BETA_LOCIDX(44991,44816,,\"SPX\")":0.9031175,"FIX-US^P_BETA_LOCIDX(44988,44813,,\"SPX\")":0.90263325,"FIX-US^P_BETA_LOCIDX(44987,44812,,\"SPX\")":0.8962326,"FIX-US^P_BETA_LOCIDX(44986,44811,,\"SPX\")":0.89999163,"FIX-US^P_BETA_LOCIDX(44985,44810,,\"SPX\")":0.905558,"FIX-US^P_BETA_LOCIDX(44984,44806,,\"SPX\")":0.903319,"FIX-US^P_BETA_LOCIDX(44981,44805,,\"SPX\")":0.90402997,"FIX-US^P_BETA_LOCIDX(44980,44804,,\"SPX\")":0.9386058,"FIX-US^P_BETA_LOCIDX(44979,44803,,\"SPX\")":0.92862165,"FIX-US^P_BETA_LOCIDX(44978,44802,,\"SPX\")":0.92657024,"FIX-US^P_BETA_LOCIDX(44974,44799,,\"SPX\")":0.9123004,"FIX-US^P_BETA_LOCIDX(44973,44798,,\"SPX\")":0.9218118,"FIX-US^P_BETA_LOCIDX(44972,44797,,\"SPX\")":0.9340097,"FIX-US^P_BETA_LOCIDX(44971,44796,,\"SPX\")":0.9333954,"FIX-US^P_BETA_LOCIDX(44970,44795,,\"SPX\")":0.93729144,"FIX-US^P_BETA_LOCIDX(44967,44792,,\"SPX\")":0.94100744,"FIX-US^P_BETA_LOCIDX(44966,44791,,\"SPX\")":0.9404612,"FIX-US^P_BETA_LOCIDX(44965,44790,,\"SPX\")":0.9376299,"FIX-US^P_BETA_LOCIDX(44964,44789,,\"SPX\")":0.93651664,"FIX-US^P_BETA_LOCIDX(44963,44788,,\"SPX\")":0.94008416,"FIX-US^P_BETA_LOCIDX(44960,44785,,\"SPX\")":0.95277506,"FIX-US^P_BETA_LOCIDX(44959,44784,,\"SPX\")":0.95686525,"FIX-US^P_BETA_LOCIDX(44958,44783,,\"SPX\")":0.9645973,"FIX-US^P_BETA_LOCIDX(44957,44782,,\"SPX\")":0.97040564,"FIX-US^P_BETA_LOCIDX(44956,44781,,\"SPX\")":0.9645802,"FIX-US^P_BETA_LOCIDX(44953,44778,,\"SPX\")":0.965002,"FIX-US^P_BETA_LOCIDX(44952,44777,,\"SPX\")":0.9663561,"FIX-US^P_BETA_LOCIDX(44951,44776,,\"SPX\")":0.9557831,"FIX-US^P_BETA_LOCIDX(44950,44775,,\"SPX\")":0.95618236,"FIX-US^P_BETA_LOCIDX(44949,44774,,\"SPX\")":0.9565706,"FIX-US^P_BETA_LOCIDX(44946,44771,,\"SPX\")":0.9913263,"FIX-US^P_BETA_LOCIDX(44945,44770,,\"SPX\")":1.0150956,"FIX-US^P_BETA_LOCIDX(44944,44769,,\"SPX\")":0.99654406,"FIX-US^P_BETA_LOCIDX(44943,44768,,\"SPX\")":0.99042237,"FIX-US^P_BETA_LOCIDX(44939,44767,,\"SPX\")":0.98649055,"FIX-US^P_BETA_LOCIDX(44938,44764,,\"SPX\")":0.98080254,"FIX-US^P_BETA_LOCIDX(44937,44763,,\"SPX\")":0.9799664,"FIX-US^P_BETA_LOCIDX(44936,44762,,\"SPX\")":0.980072,"FIX-US^P_BETA_LOCIDX(44935,44761,,\"SPX\")":1.0059885,"FIX-US^P_BETA_LOCIDX(44932,44760,,\"SPX\")":1.0079114,"FIX-US^P_BETA_LOCIDX(44931,44757,,\"SPX\")":1.0082921,"FIX-US^P_BETA_LOCIDX(44930,44756,,\"SPX\")":1.0004126,"FIX-US^P_BETA_LOCIDX(44929,44755,,\"SPX\")":1.0096972,"FIX-US^P_BETA_LOCIDX(44925,44754,,\"SPX\")":1.0155109,"FIX-US^P_BETA_LOCIDX(44924,44753,,\"SPX\")":1.0090264,"FIX-US^P_BETA_LOCIDX(44923,44750,,\"SPX\")":1.0092108,"FIX-US^P_BETA_LOCIDX(44922,44749,,\"SPX\")":1.0103784,"FIX-US^P_BETA_LOCIDX(44918,44748,,\"SPX\")":1.006641,"FIX-US^P_BETA_LOCIDX(44917,44747,,\"SPX\")":1.0073297,"FIX-US^P_BETA_LOCIDX(44916,44743,,\"SPX\")":1.0117512,"FIX-US^P_BETA_LOCIDX(44915,44742,,\"SPX\")":1.0056708,"FIX-US^P_BETA_LOCIDX(44914,44741,,\"SPX\")":1.0065379,"FIX-US^P_BETA_LOCIDX(44911,44740,,\"SPX\")":1.0095223,"FIX-US^P_BETA_LOCIDX(44910,44739,,\"SPX\")":1.0065651,"FIX-US^P_BETA_LOCIDX(44909,44736,,\"SPX\")":1.0228051,"FIX-US^P_BETA_LOCIDX(44908,44735,,\"SPX\")":1.0219364,"FIX-US^P_BETA_LOCIDX(44907,44734,,\"SPX\")":1.0206945,"FIX-US^P_BETA_LOCIDX(44904,44733,,\"SPX\")":1.017322,"FIX-US^P_BETA_LOCIDX(44903,44729,,\"SPX\")":1.0147455,"FIX-US^P_BETA_LOCIDX(44902,44728,,\"SPX\")":1.0943354,"FIX-US^P_BETA_LOCIDX(44901,44727,,\"SPX\")":1.074445,"FIX-US^P_BETA_LOCIDX(44900,44726,,\"SPX\")":1.0762601,"FIX-US^P_BETA_LOCIDX(44897,44725,,\"SPX\")":1.0534892,"FIX-US^P_BETA_LOCIDX(44896,44722,,\"SPX\")":1.0521499,"FIX-US^P_BETA_LOCIDX(44895,44721,,\"SPX\")":1.0395067,"FIX-US^P_BETA_LOCIDX(44894,44720,,\"SPX\")":1.0538607,"FIX-US^P_BETA_LOCIDX(44893,44719,,\"SPX\")":1.0521213,"FIX-US^P_BETA_LOCIDX(44890,44718,,\"SPX\")":1.0497258,"FIX-US^P_BETA_LOCIDX(44888,44715,,\"SPX\")":1.0461795,"FIX-US^P_BETA_LOCIDX(44887,44714,,\"SPX\")":1.0541745,"FIX-US^P_BETA_LOCIDX(44886,44713,,\"SPX\")":1.0588527,"FIX-US^P_BETA_LOCIDX(44883,44712,,\"SPX\")":1.063178,"FIX-US^P_BETA_LOCIDX(44882,44708,,\"SPX\")":1.0678458,"FIX-US^P_BETA_LOCIDX(44881,44707,,\"SPX\")":1.0682936,"FIX-US^P_BETA_LOCIDX(44880,44706,,\"SPX\")":1.0630534,"FIX-US^P_BETA_LOCIDX(44879,44705,,\"SPX\")":1.0557073,"FIX-US^P_BETA_LOCIDX(44876,44704,,\"SPX\")":1.056754,"FIX-US^P_BETA_LOCIDX(44875,44701,,\"SPX\")":1.0658358,"FIX-US^P_BETA_LOCIDX(44874,44700,,\"SPX\")":1.0867957,"FIX-US^P_BETA_LOCIDX(44873,44699,,\"SPX\")":1.0619491,"FIX-US^P_BETA_LOCIDX(44872,44698,,\"SPX\")":1.0618939,"FIX-US^P_BETA_LOCIDX(44869,44697,,\"SPX\")":1.059825,"FIX-US^P_BETA_LOCIDX(44868,44694,,\"SPX\")":1.0512016,"FIX-US^P_BETA_LOCIDX(44867,44693,,\"SPX\")":1.0549659,"FIX-US^P_BETA_LOCIDX(44866,44692,,\"SPX\")":1.0526367,"FIX-US^P_BETA_LOCIDX(44865,44691,,\"SPX\")":1.0507854,"FIX-US^P_BETA_LOCIDX(44862,44690,,\"SPX\")":1.0512336,"FIX-US^P_BETA_LOCIDX(44861,44687,,\"SPX\")":1.0568957,"FIX-US^P_BETA_LOCIDX(44860,44686,,\"SPX\")":1.0765637,"FIX-US^P_BETA_LOCIDX(44859,44685,,\"SPX\")":1.094716,"FIX-US^P_BETA_LOCIDX(44858,44684,,\"SPX\")":1.09839,"FIX-US^P_BETA_LOCIDX(44855,44683,,\"SPX\")":1.0955172,"FIX-US^P_BETA_LOCIDX(44854,44680,,\"SPX\")":1.0763625,"FIX-US^P_BETA_LOCIDX(44853,44679,,\"SPX\")":1.0570302,"FIX-US^P_BETA_LOCIDX(44852,44678,,\"SPX\")":1.0564078,"FIX-US^P_BETA_LOCIDX(44851,44677,,\"SPX\")":1.052173,"FIX-US^P_BETA_LOCIDX(44848,44676,,\"SPX\")":1.0495764,"FIX-US^P_BETA_LOCIDX(44847,44673,,\"SPX\")":1.0554361,"FIX-US^P_BETA_LOCIDX(44846,44672,,\"SPX\")":1.0649574,"FIX-US^P_BETA_LOCIDX(44845,44671,,\"SPX\")":1.0651389,"FIX-US^P_BETA_LOCIDX(44844,44670,,\"SPX\")":1.0684648,"FIX-US^P_BETA_LOCIDX(44841,44669,,\"SPX\")":1.0691835,"FIX-US^P_BETA_LOCIDX(44840,44665,,\"SPX\")":1.0686998,"FIX-US^P_BETA_LOCIDX(44839,44664,,\"SPX\")":1.0708195,"FIX-US^P_BETA_LOCIDX(44838,44663,,\"SPX\")":1.0688583,"FIX-US^P_BETA_LOCIDX(44837,44662,,\"SPX\")":1.0651324,"FIX-US^P_BETA_LOCIDX(44834,44659,,\"SPX\")":1.0372077,"FIX-US^P_BETA_LOCIDX(44833,44658,,\"SPX\")":1.0445093,"FIX-US^P_BETA_LOCIDX(44832,44657,,\"SPX\")":1.0403869,"FIX-US^P_BETA_LOCIDX(44831,44656,,\"SPX\")":1.0329337,"FIX-US^P_BETA_LOCIDX(44830,44655,,\"SPX\")":1.0281161,"FIX-US^P_BETA_LOCIDX(44827,44652,,\"SPX\")":1.0269346,"FIX-US^P_BETA_LOCIDX(44826,44651,,\"SPX\")":1.0222771,"FIX-US^P_BETA_LOCIDX(44825,44650,,\"SPX\")":1.0188178,"FIX-US^P_BETA_LOCIDX(44824,44649,,\"SPX\")":1.0317501,"FIX-US^P_BETA_LOCIDX(44823,44648,,\"SPX\")":1.0347809,"FIX-US^P_BETA_LOCIDX(44820,44645,,\"SPX\")":1.0280312,"FIX-US^P_BETA_LOCIDX(44819,44644,,\"SPX\")":1.0029693,"FIX-US^P_BETA_LOCIDX(44818,44643,,\"SPX\")":1.0125122,"FIX-US^P_BETA_LOCIDX(44817,44642,,\"SPX\")":1.0170729,"FIX-US^P_BETA_LOCIDX(44816,44641,,\"SPX\")":1.0426844,"FIX-US^P_BETA_LOCIDX(44813,44638,,\"SPX\")":1.0352106,"FIX-US^P_BETA_LOCIDX(44812,44637,,\"SPX\")":1.0322064,"FIX-US^P_BETA_LOCIDX(44811,44636,,\"SPX\")":1.0201691,"FIX-US^P_BETA_LOCIDX(44810,44635,,\"SPX\")":1.0053717,"FIX-US^P_BETA_LOCIDX(44806,44634,,\"SPX\")":1.0020982,"FIX-US^P_BETA_LOCIDX(44805,44631,,\"SPX\")":0.9975617,"FIX-US^P_BETA_LOCIDX(44804,44630,,\"SPX\")":0.99537164,"FIX-US^P_BETA_LOCIDX(44803,44629,,\"SPX\")":1.0091043,"FIX-US^P_BETA_LOCIDX(44802,44628,,\"SPX\")":0.9949489,"FIX-US^P_BETA_LOCIDX(44799,44627,,\"SPX\")":0.98184615,"FIX-US^P_BETA_LOCIDX(44798,44624,,\"SPX\")":0.9869641,"FIX-US^P_BETA_LOCIDX(44797,44623,,\"SPX\")":0.98204195,"FIX-US^P_BETA_LOCIDX(44796,44622,,\"SPX\")":0.99444073,"FIX-US^P_BETA_LOCIDX(44795,44621,,\"SPX\")":1.0017077,"FIX-US^P_BETA_LOCIDX(44792,44620,,\"SPX\")":0.9990288,"FIX-US^P_BETA_LOCIDX(44791,44617,,\"SPX\")":1.0051688,"FIX-US^P_BETA_LOCIDX(44790,44616,,\"SPX\")":0.9865126,"FIX-US^P_BETA_LOCIDX(44789,44615,,\"SPX\")":0.9877853,"FIX-US^P_BETA_LOCIDX(44788,44614,,\"SPX\")":0.99484974,"FIX-US^P_BETA_LOCIDX(44785,44610,,\"SPX\")":0.9939838,"FIX-US^P_BETA_LOCIDX(44784,44609,,\"SPX\")":0.98591816,"FIX-US^P_BETA_LOCIDX(44783,44608,,\"SPX\")":0.98623645,"FIX-US^P_BETA_LOCIDX(44782,44607,,\"SPX\")":0.9922192,"FIX-US^P_BETA_LOCIDX(44781,44606,,\"SPX\")":0.9882588,"FIX-US^P_BETA_LOCIDX(44778,44603,,\"SPX\")":0.9809931,"FIX-US^P_BETA_LOCIDX(44777,44602,,\"SPX\")":0.9872029,"FIX-US^P_BETA_LOCIDX(44776,44601,,\"SPX\")":0.9994856,"FIX-US^P_BETA_LOCIDX(44775,44600,,\"SPX\")":1.0105492,"FIX-US^P_BETA_LOCIDX(44774,44599,,\"SPX\")":1.0095161,"FIX-US^P_BETA_LOCIDX(45845,45670,,\"SPX\")":1.7638309,"FERG-US^P_BETA_LOCIDX(45841,45665,,\"SPX\")":0.9144162,"FERG-US^P_BETA_LOCIDX(45840,45664,,\"SPX\")":0.91586024,"FERG-US^P_BETA_LOCIDX(45839,45663,,\"SPX\")":0.9151354,"FERG-US^P_BETA_LOCIDX(45838,45660,,\"SPX\")":0.912491,"FERG-US^P_BETA_LOCIDX(45835,45659,,\"SPX\")":0.91376686,"FERG-US^P_BETA_LOCIDX(45834,45657,,\"SPX\")":0.91466683,"FERG-US^P_BETA_LOCIDX(45833,45656,,\"SPX\")":0.91886157,"FERG-US^P_BETA_LOCIDX(45832,45653,,\"SPX\")":0.92166334,"FERG-US^P_BETA_LOCIDX(45831,45652,,\"SPX\")":0.91887766,"FERG-US^P_BETA_LOCIDX(45828,45650,,\"SPX\")":0.9196471,"FERG-US^P_BETA_LOCIDX(45826,45649,,\"SPX\")":0.9155613,"FERG-US^P_BETA_LOCIDX(45825,45646,,\"SPX\")":0.9186608,"FERG-US^P_BETA_LOCIDX(45824,45645,,\"SPX\")":0.91899794,"FERG-US^P_BETA_LOCIDX(45821,45644,,\"SPX\")":0.9366864,"FERG-US^P_BETA_LOCIDX(45820,45643,,\"SPX\")":0.93879926,"FERG-US^P_BETA_LOCIDX(45819,45642,,\"SPX\")":0.93743324,"FERG-US^P_BETA_LOCIDX(45818,45639,,\"SPX\")":0.9361631,"FERG-US^P_BETA_LOCIDX(45817,45638,,\"SPX\")":0.93727577,"FERG-US^P_BETA_LOCIDX(45814,45637,,\"SPX\")":0.93279886,"FERG-US^P_BETA_LOCIDX(45813,45636,,\"SPX\")":0.95256996,"FERG-US^P_BETA_LOCIDX(45812,45635,,\"SPX\")":0.9503013,"FERG-US^P_BETA_LOCIDX(45811,45632,,\"SPX\")":0.9506882,"FERG-US^P_BETA_LOCIDX(45810,45631,,\"SPX\")":0.9195876,"FERG-US^P_BETA_LOCIDX(45807,45630,,\"SPX\")":0.92236286,"FERG-US^P_BETA_LOCIDX(45806,45629,,\"SPX\")":0.9229377,"FERG-US^P_BETA_LOCIDX(45805,45628,,\"SPX\")":0.9220204,"FERG-US^P_BETA_LOCIDX(45804,45625,,\"SPX\")":0.9243291,"FERG-US^P_BETA_LOCIDX(45800,45623,,\"SPX\")":0.91736084,"FERG-US^P_BETA_LOCIDX(45799,45622,,\"SPX\")":0.9135637,"FERG-US^P_BETA_LOCIDX(45798,45621,,\"SPX\")":0.9170307,"FERG-US^P_BETA_LOCIDX(45797,45618,,\"SPX\")":0.9165331,"FERG-US^P_BETA_LOCIDX(45796,45617,,\"SPX\")":0.91881925,"FERG-US^P_BETA_LOCIDX(45793,45616,,\"SPX\")":0.91898793,"FERG-US^P_BETA_LOCIDX(45792,45615,,\"SPX\")":0.9167719,"FERG-US^P_BETA_LOCIDX(45791,45614,,\"SPX\")":0.91221225,"FERG-US^P_BETA_LOCIDX(45790,45611,,\"SPX\")":0.9139829,"FERG-US^P_BETA_LOCIDX(45789,45610,,\"SPX\")":0.9158038,"FERG-US^P_BETA_LOCIDX(45786,45609,,\"SPX\")":0.91251975,"FERG-US^P_BETA_LOCIDX(45785,45608,,\"SPX\")":0.91345644,"FERG-US^P_BETA_LOCIDX(45784,45607,,\"SPX\")":0.9108617,"FERG-US^P_BETA_LOCIDX(45783,45604,,\"SPX\")":0.909164,"FERG-US^P_BETA_LOCIDX(45782,45603,,\"SPX\")":0.9038947,"FERG-US^P_BETA_LOCIDX(45779,45602,,\"SPX\")":0.9249525,"FERG-US^P_BETA_LOCIDX(45778,45601,,\"SPX\")":0.9278475,"FERG-US^P_BETA_LOCIDX(45777,45600,,\"SPX\")":0.9284659,"FERG-US^P_BETA_LOCIDX(45776,45597,,\"SPX\")":0.92903894,"FERG-US^P_BETA_LOCIDX(45775,45596,,\"SPX\")":0.9203992,"FERG-US^P_BETA_LOCIDX(45772,45595,,\"SPX\")":0.91874236,"FERG-US^P_BETA_LOCIDX(45771,45594,,\"SPX\")":0.9196819,"FERG-US^P_BETA_LOCIDX(45770,45593,,\"SPX\")":0.9048266,"FERG-US^P_BETA_LOCIDX(45769,45590,,\"SPX\")":0.9137922,"FERG-US^P_BETA_LOCIDX(45768,45589,,\"SPX\")":0.92091954,"FERG-US^P_BETA_LOCIDX(45764,45588,,\"SPX\")":0.91925675,"FERG-US^P_BETA_LOCIDX(45763,45587,,\"SPX\")":0.9182501,"FERG-US^P_BETA_LOCIDX(45762,45586,,\"SPX\")":0.92003906,"FERG-US^P_BETA_LOCIDX(45761,45583,,\"SPX\")":0.91897935,"FERG-US^P_BETA_LOCIDX(45758,45582,,\"SPX\")":0.91768754,"FERG-US^P_BETA_LOCIDX(45757,45581,,\"SPX\")":0.917816,"FERG-US^P_BETA_LOCIDX(45756,45580,,\"SPX\")":0.9382889,"FERG-US^P_BETA_LOCIDX(45755,45579,,\"SPX\")":0.7985783,"FERG-US^P_BETA_LOCIDX(45754,45576,,\"SPX\")":0.785792,"FERG-US^P_BETA_LOCIDX(45751,45575,,\"SPX\")":0.7838837,"FERG-US^P_BETA_LOCIDX(45750,45574,,\"SPX\")":0.933862,"FERG-US^P_BETA_LOCIDX(45749,45573,,\"SPX\")":0.96100557,"FERG-US^P_BETA_LOCIDX(45748,45572,,\"SPX\")":0.93786603,"FERG-US^P_BETA_LOCIDX(45747,45569,,\"SPX\")":0.9462283,"FERG-US^P_BETA_LOCIDX(45744,45568,,\"SPX\")":0.95225203,"FERG-US^P_BETA_LOCIDX(45743,45567,,\"SPX\")":0.9620868,"FERG-US^P_BETA_LOCIDX(45742,45566,,\"SPX\")":0.9465889,"FERG-US^P_BETA_LOCIDX(45741,45565,,\"SPX\")":0.94761264,"FERG-US^P_BETA_LOCIDX(45740,45562,,\"SPX\")":0.946789,"FERG-US^P_BETA_LOCIDX(45737,45561,,\"SPX\")":0.9547666,"FERG-US^P_BETA_LOCIDX(45736,45560,,\"SPX\")":0.9565293,"FERG-US^P_BETA_LOCIDX(45735,45559,,\"SPX\")":0.9574134,"FERG-US^P_BETA_LOCIDX(45734,45558,,\"SPX\")":0.9616466,"FERG-US^P_BETA_LOCIDX(45733,45555,,\"SPX\")":0.9888244,"FERG-US^P_BETA_LOCIDX(45730,45554,,\"SPX\")":0.9770895,"FERG-US^P_BETA_LOCIDX(45729,45553,,\"SPX\")":0.94889927,"FERG-US^P_BETA_LOCIDX(45728,45552,,\"SPX\")":0.96710575,"FERG-US^P_BETA_LOCIDX(45727,45551,,\"SPX\")":0.9761784,"FERG-US^P_BETA_LOCIDX(45726,45548,,\"SPX\")":0.945826,"FERG-US^P_BETA_LOCIDX(45723,45547,,\"SPX\")":0.9846397,"FERG-US^P_BETA_LOCIDX(45722,45546,,\"SPX\")":0.96380454,"FERG-US^P_BETA_LOCIDX(45721,45545,,\"SPX\")":0.96445966,"FERG-US^P_BETA_LOCIDX(45720,45544,,\"SPX\")":0.91423875,"FERG-US^P_BETA_LOCIDX(45719,45541,,\"SPX\")":0.8835758,"FERG-US^P_BETA_LOCIDX(45716,45540,,\"SPX\")":0.87446165,"FERG-US^P_BETA_LOCIDX(45715,45539,,\"SPX\")":0.8827763,"FERG-US^P_BETA_LOCIDX(45714,45538,,\"SPX\")":0.8958974,"FERG-US^P_BETA_LOCIDX(45713,45534,,\"SPX\")":0.89154714,"FERG-US^P_BETA_LOCIDX(45712,45533,,\"SPX\")":0.9043477,"FERG-US^P_BETA_LOCIDX(45709,45532,,\"SPX\")":0.9092319,"FERG-US^P_BETA_LOCIDX(45708,45531,,\"SPX\")":0.9003957,"FERG-US^P_BETA_LOCIDX(45707,45530,,\"SPX\")":0.88921136,"FERG-US^P_BETA_LOCIDX(45706,45527,,\"SPX\")":0.9166827,"FERG-US^P_BETA_LOCIDX(45702,45526,,\"SPX\")":0.91817206,"FERG-US^P_BETA_LOCIDX(45701,45525,,\"SPX\")":0.92892814,"FERG-US^P_BETA_LOCIDX(45700,45524,,\"SPX\")":0.9196251,"FERG-US^P_BETA_LOCIDX(45699,45523,,\"SPX\")":0.91270393,"FERG-US^P_BETA_LOCIDX(45698,45520,,\"SPX\")":0.9102464,"FERG-US^P_BETA_LOCIDX(45695,45519,,\"SPX\")":0.92841893,"FERG-US^P_BETA_LOCIDX(45694,45518,,\"SPX\")":0.9062185,"FERG-US^P_BETA_LOCIDX(45693,45517,,\"SPX\")":0.95379245,"FERG-US^P_BETA_LOCIDX(45692,45516,,\"SPX\")":0.94946605,"FERG-US^P_BETA_LOCIDX(45691,45513,,\"SPX\")":0.9729074,"FERG-US^P_BETA_LOCIDX(45688,45512,,\"SPX\")":0.9817735,"FERG-US^P_BETA_LOCIDX(45687,45511,,\"SPX\")":1.0026253,"FERG-US^P_BETA_LOCIDX(45686,45510,,\"SPX\")":1.0012983,"FERG-US^P_BETA_LOCIDX(45685,45509,,\"SPX\")":1.0177919,"FERG-US^P_BETA_LOCIDX(45684,45506,,\"SPX\")":1.0920486,"FERG-US^P_BETA_LOCIDX(45681,45505,,\"SPX\")":1.1710387,"FERG-US^P_BETA_LOCIDX(45680,45504,,\"SPX\")":1.174157,"FERG-US^P_BETA_LOCIDX(45679,45503,,\"SPX\")":1.1793855,"FERG-US^P_BETA_LOCIDX(45678,45502,,\"SPX\")":1.172004,"FERG-US^P_BETA_LOCIDX(45674,45499,,\"SPX\")":1.1718402,"FERG-US^P_BETA_LOCIDX(45673,45498,,\"SPX\")":1.1559014,"FERG-US^P_BETA_LOCIDX(45672,45497,,\"SPX\")":1.1345209,"FERG-US^P_BETA_LOCIDX(45671,45496,,\"SPX\")":1.1749625,"FERG-US^P_BETA_LOCIDX(45670,45495,,\"SPX\")":1.1777854,"FERG-US^P_BETA_LOCIDX(45667,45492,,\"SPX\")":1.1776291,"FERG-US^P_BETA_LOCIDX(45665,45491,,\"SPX\")":1.1839797,"FERG-US^P_BETA_LOCIDX(45664,45490,,\"SPX\")":1.1924766,"FERG-US^P_BETA_LOCIDX(45663,45489,,\"SPX\")":1.2229322,"FERG-US^P_BETA_LOCIDX(45660,45488,,\"SPX\")":1.227175,"FERG-US^P_BETA_LOCIDX(45659,45485,,\"SPX\")":1.2569516,"FERG-US^P_BETA_LOCIDX(45657,45484,,\"SPX\")":1.2281513,"FERG-US^P_BETA_LOCIDX(45656,45483,,\"SPX\")":1.2383928,"FERG-US^P_BETA_LOCIDX(45653,45482,,\"SPX\")":1.2442868,"FERG-US^P_BETA_LOCIDX(45652,45481,,\"SPX\")":1.2436339,"FERG-US^P_BETA_LOCIDX(45650,45478,,\"SPX\")":1.2437222,"FERG-US^P_BETA_LOCIDX(45649,45476,,\"SPX\")":1.2477168,"FERG-US^P_BETA_LOCIDX(45646,45475,,\"SPX\")":1.2579926,"FERG-US^P_BETA_LOCIDX(45645,45474,,\"SPX\")":1.2462549,"FERG-US^P_BETA_LOCIDX(45644,45471,,\"SPX\")":1.2407405,"FERG-US^P_BETA_LOCIDX(45643,45470,,\"SPX\")":1.2302772,"FERG-US^P_BETA_LOCIDX(45642,45469,,\"SPX\")":1.2310882,"FERG-US^P_BETA_LOCIDX(45639,45468,,\"SPX\")":1.2282866,"FERG-US^P_BETA_LOCIDX(45638,45467,,\"SPX\")":1.2257737,"FERG-US^P_BETA_LOCIDX(45637,45464,,\"SPX\")":1.2189181,"FERG-US^P_BETA_LOCIDX(45636,45463,,\"SPX\")":1.2412946,"FERG-US^P_BETA_LOCIDX(45635,45461,,\"SPX\")":1.1985224,"FERG-US^P_BETA_LOCIDX(45632,45460,,\"SPX\")":1.1987725,"FERG-US^P_BETA_LOCIDX(45631,45457,,\"SPX\")":1.2027895,"FERG-US^P_BETA_LOCIDX(45630,45456,,\"SPX\")":1.1918972,"FERG-US^P_BETA_LOCIDX(45629,45455,,\"SPX\")":1.2123228,"FERG-US^P_BETA_LOCIDX(45628,45454,,\"SPX\")":1.2155108,"FERG-US^P_BETA_LOCIDX(45625,45453,,\"SPX\")":1.2180364,"FERG-US^P_BETA_LOCIDX(45623,45450,,\"SPX\")":1.215848,"FERG-US^P_BETA_LOCIDX(45622,45449,,\"SPX\")":1.2216543,"FERG-US^P_BETA_LOCIDX(45621,45448,,\"SPX\")":1.2449719,"FERG-US^P_BETA_LOCIDX(45618,45447,,\"SPX\")":1.2366029,"FERG-US^P_BETA_LOCIDX(45617,45446,,\"SPX\")":1.2340736,"FERG-US^P_BETA_LOCIDX(45616,45443,,\"SPX\")":1.2229443,"FERG-US^P_BETA_LOCIDX(45615,45442,,\"SPX\")":1.2104138,"FERG-US^P_BETA_LOCIDX(45614,45441,,\"SPX\")":1.2090105,"FERG-US^P_BETA_LOCIDX(45611,45440,,\"SPX\")":1.2096627,"FERG-US^P_BETA_LOCIDX(45610,45436,,\"SPX\")":1.2092254,"FERG-US^P_BETA_LOCIDX(45609,45435,,\"SPX\")":1.20975,"FERG-US^P_BETA_LOCIDX(45608,45434,,\"SPX\")":1.2113038,"FERG-US^P_BETA_LOCIDX(45607,45433,,\"SPX\")":1.2065351,"FERG-US^P_BETA_LOCIDX(45604,45432,,\"SPX\")":1.2064542,"FERG-US^P_BETA_LOCIDX(45603,45429,,\"SPX\")":1.2122167,"FERG-US^P_BETA_LOCIDX(45602,45428,,\"SPX\")":1.2313316,"FERG-US^P_BETA_LOCIDX(45601,45427,,\"SPX\")":1.1855136,"FERG-US^P_BETA_LOCIDX(45600,45426,,\"SPX\")":1.1715343,"FERG-US^P_BETA_LOCIDX(45597,45425,,\"SPX\")":1.1748587,"FERG-US^P_BETA_LOCIDX(45596,45422,,\"SPX\")":1.1740298,"FERG-US^P_BETA_LOCIDX(45595,45421,,\"SPX\")":1.2290165,"FERG-US^P_BETA_LOCIDX(45594,45420,,\"SPX\")":1.2373806,"FERG-US^P_BETA_LOCIDX(45593,45419,,\"SPX\")":1.2383317,"FERG-US^P_BETA_LOCIDX(45590,45418,,\"SPX\")":1.2328492,"FERG-US^P_BETA_LOCIDX(45589,45415,,\"SPX\")":1.2379096,"FERG-US^P_BETA_LOCIDX(45588,45414,,\"SPX\")":1.2356739,"FERG-US^P_BETA_LOCIDX(45587,45413,,\"SPX\")":1.2418405,"FERG-US^P_BETA_LOCIDX(45586,45412,,\"SPX\")":1.2447214,"FERG-US^P_BETA_LOCIDX(45583,45411,,\"SPX\")":1.2392229,"FERG-US^P_BETA_LOCIDX(45582,45408,,\"SPX\")":1.2319839,"FERG-US^P_BETA_LOCIDX(45581,45407,,\"SPX\")":1.2170992,"FERG-US^P_BETA_LOCIDX(45580,45406,,\"SPX\")":1.214447,"FERG-US^P_BETA_LOCIDX(45579,45405,,\"SPX\")":1.2256287,"FERG-US^P_BETA_LOCIDX(45576,45404,,\"SPX\")":1.210774,"FERG-US^P_BETA_LOCIDX(45575,45401,,\"SPX\")":1.2016811,"FERG-US^P_BETA_LOCIDX(45574,45400,,\"SPX\")":1.2061251,"FERG-US^P_BETA_LOCIDX(45573,45399,,\"SPX\")":1.2082168,"FERG-US^P_BETA_LOCIDX(45572,45398,,\"SPX\")":1.2169143,"FERG-US^P_BETA_LOCIDX(45569,45397,,\"SPX\")":1.2175804,"FERG-US^P_BETA_LOCIDX(45568,45394,,\"SPX\")":1.1911505,"FERG-US^P_BETA_LOCIDX(45567,45393,,\"SPX\")":1.1732129,"FERG-US^P_BETA_LOCIDX(45566,45392,,\"SPX\")":1.1653466,"FERG-US^P_BETA_LOCIDX(45565,45391,,\"SPX\")":1.1850877,"FERG-US^P_BETA_LOCIDX(45562,45390,,\"SPX\")":1.1925249,"FERG-US^P_BETA_LOCIDX(45561,45387,,\"SPX\")":1.1930338,"FERG-US^P_BETA_LOCIDX(45560,45386,,\"SPX\")":1.1468492,"FERG-US^P_BETA_LOCIDX(45559,45385,,\"SPX\")":1.1457163,"FERG-US^P_BETA_LOCIDX(45558,45384,,\"SPX\")":1.1380634,"FERG-US^P_BETA_LOCIDX(45555,45383,,\"SPX\")":1.1346756,"FERG-US^P_BETA_LOCIDX(45554,45379,,\"SPX\")":1.1190434,"FERG-US^P_BETA_LOCIDX(45553,45378,,\"SPX\")":1.1188886,"FERG-US^P_BETA_LOCIDX(45552,45377,,\"SPX\")":1.1132578,"FERG-US^P_BETA_LOCIDX(45551,45376,,\"SPX\")":1.1200782,"FERG-US^P_BETA_LOCIDX(45548,45373,,\"SPX\")":1.1177018,"FERG-US^P_BETA_LOCIDX(45547,45372,,\"SPX\")":1.1170181,"FERG-US^P_BETA_LOCIDX(45546,45371,,\"SPX\")":1.1176448,"FERG-US^P_BETA_LOCIDX(45545,45370,,\"SPX\")":1.1555604,"FERG-US^P_BETA_LOCIDX(45544,45369,,\"SPX\")":1.1419241,"FERG-US^P_BETA_LOCIDX(45541,45366,,\"SPX\")":1.1727027,"FERG-US^P_BETA_LOCIDX(45540,45365,,\"SPX\")":1.1840466,"FERG-US^P_BETA_LOCIDX(45539,45364,,\"SPX\")":1.1763172,"FERG-US^P_BETA_LOCIDX(45538,45363,,\"SPX\")":1.1831499,"FERG-US^P_BETA_LOCIDX(45534,45362,,\"SPX\")":1.2077576,"FERG-US^P_BETA_LOCIDX(45533,45359,,\"SPX\")":1.2257434,"FERG-US^P_BETA_LOCIDX(45532,45358,,\"SPX\")":1.2175059,"FERG-US^P_BETA_LOCIDX(45531,45357,,\"SPX\")":1.1995295,"FERG-US^P_BETA_LOCIDX(45530,45356,,\"SPX\")":1.2757032,"FERG-US^P_BETA_LOCIDX(45527,45355,,\"SPX\")":1.2792541,"FERG-US^P_BETA_LOCIDX(45526,45352,,\"SPX\")":1.2686077,"FERG-US^P_BETA_LOCIDX(45525,45351,,\"SPX\")":1.2645326,"FERG-US^P_BETA_LOCIDX(45524,45350,,\"SPX\")":1.2516816,"FERG-US^P_BETA_LOCIDX(45523,45349,,\"SPX\")":1.251863,"FERG-US^P_BETA_LOCIDX(45520,45348,,\"SPX\")":1.2480166,"FERG-US^P_BETA_LOCIDX(45519,45345,,\"SPX\")":1.251087,"FERG-US^P_BETA_LOCIDX(45518,45344,,\"SPX\")":1.2366062,"FERG-US^P_BETA_LOCIDX(45517,45343,,\"SPX\")":1.2360173,"FERG-US^P_BETA_LOCIDX(45516,45342,,\"SPX\")":1.1817703,"FERG-US^P_BETA_LOCIDX(45513,45338,,\"SPX\")":1.17469,"FERG-US^P_BETA_LOCIDX(45512,45337,,\"SPX\")":1.186755,"FERG-US^P_BETA_LOCIDX(45511,45336,,\"SPX\")":1.2262069,"FERG-US^P_BETA_LOCIDX(45510,45335,,\"SPX\")":1.2404727,"FERG-US^P_BETA_LOCIDX(45509,45334,,\"SPX\")":1.2398089,"FERG-US^P_BETA_LOCIDX(45506,45331,,\"SPX\")":1.2285844,"FERG-US^P_BETA_LOCIDX(45505,45330,,\"SPX\")":1.143944,"FERG-US^P_BETA_LOCIDX(45504,45329,,\"SPX\")":1.1080215,"FERG-US^P_BETA_LOCIDX(45503,45328,,\"SPX\")":1.1112438,"FERG-US^P_BETA_LOCIDX(45502,45327,,\"SPX\")":1.124553,"FERG-US^P_BETA_LOCIDX(45499,45324,,\"SPX\")":1.1068734,"FERG-US^P_BETA_LOCIDX(45498,45323,,\"SPX\")":1.0973585,"FERG-US^P_BETA_LOCIDX(45497,45322,,\"SPX\")":1.1196057,"FERG-US^P_BETA_LOCIDX(45496,45321,,\"SPX\")":1.1505126,"FERG-US^P_BETA_LOCIDX(45495,45320,,\"SPX\")":1.1533866,"FERG-US^P_BETA_LOCIDX(45492,45317,,\"SPX\")":1.1484046,"FERG-US^P_BETA_LOCIDX(45491,45316,,\"SPX\")":1.1475723,"FERG-US^P_BETA_LOCIDX(45490,45315,,\"SPX\")":1.1544094,"FERG-US^P_BETA_LOCIDX(45489,45314,,\"SPX\")":1.1270032,"FERG-US^P_BETA_LOCIDX(45488,45313,,\"SPX\")":1.0859836,"FERG-US^P_BETA_LOCIDX(45485,45310,,\"SPX\")":1.0610957,"FERG-US^P_BETA_LOCIDX(45484,45309,,\"SPX\")":1.0549148,"FERG-US^P_BETA_LOCIDX(45483,45308,,\"SPX\")":1.114821,"FERG-US^P_BETA_LOCIDX(45482,45307,,\"SPX\")":1.0994972,"FERG-US^P_BETA_LOCIDX(45481,45303,,\"SPX\")":1.0976312,"FERG-US^P_BETA_LOCIDX(45478,45302,,\"SPX\")":1.0983781,"FERG-US^P_BETA_LOCIDX(45476,45301,,\"SPX\")":1.0944754,"FERG-US^P_BETA_LOCIDX(45475,45300,,\"SPX\")":1.099394,"FERG-US^P_BETA_LOCIDX(45474,45299,,\"SPX\")":1.0659486,"FERG-US^P_BETA_LOCIDX(45471,45296,,\"SPX\")":1.0714717,"FERG-US^P_BETA_LOCIDX(45470,45295,,\"SPX\")":1.0623479,"FERG-US^P_BETA_LOCIDX(45469,45294,,\"SPX\")":1.0876952,"FERG-US^P_BETA_LOCIDX(45468,45293,,\"SPX\")":1.1075039,"FERG-US^P_BETA_LOCIDX(45467,45289,,\"SPX\")":1.1148827,"FERG-US^P_BETA_LOCIDX(45464,45288,,\"SPX\")":1.1163552,"FERG-US^P_BETA_LOCIDX(45463,45287,,\"SPX\")":1.1165862,"FERG-US^P_BETA_LOCIDX(45461,45286,,\"SPX\")":1.099095,"FERG-US^P_BETA_LOCIDX(45460,45282,,\"SPX\")":1.098864,"FERG-US^P_BETA_LOCIDX(45457,45281,,\"SPX\")":1.1204242,"FERG-US^P_BETA_LOCIDX(45456,45280,,\"SPX\")":1.0975776,"FERG-US^P_BETA_LOCIDX(45455,45279,,\"SPX\")":1.0969834,"FERG-US^P_BETA_LOCIDX(45454,45278,,\"SPX\")":1.0597199,"FERG-US^P_BETA_LOCIDX(45453,45275,,\"SPX\")":1.0579917,"FERG-US^P_BETA_LOCIDX(45450,45274,,\"SPX\")":1.063524,"FERG-US^P_BETA_LOCIDX(45449,45273,,\"SPX\")":1.0446409,"FERG-US^P_BETA_LOCIDX(45448,45272,,\"SPX\")":1.0417097,"FERG-US^P_BETA_LOCIDX(45447,45271,,\"SPX\")":1.0242727,"FERG-US^P_BETA_LOCIDX(45446,45268,,\"SPX\")":1.0294684,"FERG-US^P_BETA_LOCIDX(45443,45267,,\"SPX\")":1.0457318,"FERG-US^P_BETA_LOCIDX(45442,45266,,\"SPX\")":1.0464848,"FERG-US^P_BETA_LOCIDX(45441,45265,,\"SPX\")":1.0534047,"FERG-US^P_BETA_LOCIDX(45440,45264,,\"SPX\")":1.0722901,"FERG-US^P_BETA_LOCIDX(45436,45261,,\"SPX\")":1.0695628,"FERG-US^P_BETA_LOCIDX(45435,45260,,\"SPX\")":1.078252,"FERG-US^P_BETA_LOCIDX(45434,45259,,\"SPX\")":1.0667259,"FERG-US^P_BETA_LOCIDX(45433,45258,,\"SPX\")":1.0630081,"FERG-US^P_BETA_LOCIDX(45432,45257,,\"SPX\")":1.0606272,"FERG-US^P_BETA_LOCIDX(45429,45254,,\"SPX\")":1.0608604,"FERG-US^P_BETA_LOCIDX(45428,45252,,\"SPX\")":1.0598357,"FERG-US^P_BETA_LOCIDX(45427,45251,,\"SPX\")":1.0330117,"FERG-US^P_BETA_LOCIDX(45426,45250,,\"SPX\")":1.0268481,"FERG-US^P_BETA_LOCIDX(45425,45247,,\"SPX\")":1.0334324,"FERG-US^P_BETA_LOCIDX(45422,45246,,\"SPX\")":1.0309455,"FERG-US^P_BETA_LOCIDX(45421,45245,,\"SPX\")":1.0302627,"FERG-US^P_BETA_LOCIDX(45420,45244,,\"SPX\")":1.0492283,"FERG-US^P_BETA_LOCIDX(45419,45243,,\"SPX\")":1.0483805,"FERG-US^P_BETA_LOCIDX(45418,45240,,\"SPX\")":1.0536551,"FERG-US^P_BETA_LOCIDX(45415,45239,,\"SPX\")":1.0470992,"FERG-US^P_BETA_LOCIDX(45414,45238,,\"SPX\")":1.0404521,"FERG-US^P_BETA_LOCIDX(45413,45237,,\"SPX\")":1.0415092,"FERG-US^P_BETA_LOCIDX(45412,45236,,\"SPX\")":1.0484045,"FERG-US^P_BETA_LOCIDX(45411,45233,,\"SPX\")":1.0173097,"FERG-US^P_BETA_LOCIDX(45408,45232,,\"SPX\")":1.0021346,"FERG-US^P_BETA_LOCIDX(45407,45231,,\"SPX\")":1.0311188,"FERG-US^P_BETA_LOCIDX(45406,45230,,\"SPX\")":1.0274307,"FERG-US^P_BETA_LOCIDX(45405,45229,,\"SPX\")":1.0245388,"FERG-US^P_BETA_LOCIDX(45404,45226,,\"SPX\")":1.0189867,"FERG-US^P_BETA_LOCIDX(45401,45225,,\"SPX\")":1.0045971,"FERG-US^P_BETA_LOCIDX(45400,45224,,\"SPX\")":0.9893091,"FERG-US^P_BETA_LOCIDX(45399,45223,,\"SPX\")":0.97991663,"FERG-US^P_BETA_LOCIDX(45398,45222,,\"SPX\")":0.9670122,"FERG-US^P_BETA_LOCIDX(45397,45219,,\"SPX\")":0.9713821,"FERG-US^P_BETA_LOCIDX(45394,45218,,\"SPX\")":1.0134991,"FERG-US^P_BETA_LOCIDX(45393,45217,,\"SPX\")":1.1038045,"FERG-US^P_BETA_LOCIDX(45392,45216,,\"SPX\")":1.1171368,"FERG-US^P_BETA_LOCIDX(45391,45215,,\"SPX\")":1.0735177,"FERG-US^P_BETA_LOCIDX(45390,45212,,\"SPX\")":1.0722765,"FERG-US^P_BETA_LOCIDX(45387,45211,,\"SPX\")":1.0735554,"FERG-US^P_BETA_LOCIDX(45386,45210,,\"SPX\")":1.0806293,"FERG-US^P_BETA_LOCIDX(45385,45209,,\"SPX\")":1.1348076,"FERG-US^P_BETA_LOCIDX(45384,45208,,\"SPX\")":1.1447159,"FERG-US^P_BETA_LOCIDX(45383,45205,,\"SPX\")":1.1501116,"FERG-US^P_BETA_LOCIDX(45379,45204,,\"SPX\")":1.1495563,"FERG-US^P_BETA_LOCIDX(45378,45203,,\"SPX\")":1.1480263,"FERG-US^P_BETA_LOCIDX(45377,45202,,\"SPX\")":1.1675655,"FERG-US^P_BETA_LOCIDX(45376,45201,,\"SPX\")":1.1760002,"FERG-US^P_BETA_LOCIDX(45373,45198,,\"SPX\")":1.179355,"FERG-US^P_BETA_LOCIDX(45372,45197,,\"SPX\")":1.1938084,"FERG-US^P_BETA_LOCIDX(45371,45196,,\"SPX\")":1.1830482,"FERG-US^P_BETA_LOCIDX(45370,45195,,\"SPX\")":1.0276392,"FERG-US^P_BETA_LOCIDX(45369,45194,,\"SPX\")":1.0072829,"FERG-US^P_BETA_LOCIDX(45366,45191,,\"SPX\")":1.0128989,"FERG-US^P_BETA_LOCIDX(45365,45190,,\"SPX\")":1.0293044,"FERG-US^P_BETA_LOCIDX(45364,45189,,\"SPX\")":1.0328221,"FERG-US^P_BETA_LOCIDX(45363,45188,,\"SPX\")":1.0370752,"FERG-US^P_BETA_LOCIDX(45362,45187,,\"SPX\")":1.0200601,"FERG-US^P_BETA_LOCIDX(45359,45184,,\"SPX\")":1.0204985,"FERG-US^P_BETA_LOCIDX(45358,45183,,\"SPX\")":1.0055281,"FERG-US^P_BETA_LOCIDX(45357,45182,,\"SPX\")":1.0150145,"FERG-US^P_BETA_LOCIDX(45356,45181,,\"SPX\")":1.0232615,"FERG-US^P_BETA_LOCIDX(45355,45180,,\"SPX\")":0.9320019,"FERG-US^P_BETA_LOCIDX(45352,45177,,\"SPX\")":0.9335809,"FERG-US^P_BETA_LOCIDX(45351,45176,,\"SPX\")":0.9380816,"FERG-US^P_BETA_LOCIDX(45350,45175,,\"SPX\")":0.9478577,"FERG-US^P_BETA_LOCIDX(45349,45174,,\"SPX\")":0.97227776,"FERG-US^P_BETA_LOCIDX(45348,45170,,\"SPX\")":0.9732976,"FERG-US^P_BETA_LOCIDX(45345,45169,,\"SPX\")":0.9885713,"FERG-US^P_BETA_LOCIDX(45344,45168,,\"SPX\")":0.9940753,"FERG-US^P_BETA_LOCIDX(45343,45167,,\"SPX\")":0.9752981,"FERG-US^P_BETA_LOCIDX(45342,45166,,\"SPX\")":0.9759207,"FERG-US^P_BETA_LOCIDX(45338,45163,,\"SPX\")":0.99799126,"FERG-US^P_BETA_LOCIDX(45337,45162,,\"SPX\")":1.0131159,"FERG-US^P_BETA_LOCIDX(45336,45161,,\"SPX\")":1.0070693,"FERG-US^P_BETA_LOCIDX(45335,45160,,\"SPX\")":1.0014111,"FERG-US^P_BETA_LOCIDX(45334,45159,,\"SPX\")":0.94234276,"FERG-US^P_BETA_LOCIDX(45331,45156,,\"SPX\")":0.9417299,"FERG-US^P_BETA_LOCIDX(45330,45155,,\"SPX\")":0.96322113,"FERG-US^P_BETA_LOCIDX(45329,45154,,\"SPX\")":0.9658112,"FERG-US^P_BETA_LOCIDX(45328,45153,,\"SPX\")":0.96301913,"FERG-US^P_BETA_LOCIDX(45327,45152,,\"SPX\")":0.9620645,"FERG-US^P_BETA_LOCIDX(45324,45149,,\"SPX\")":0.95427835,"FERG-US^P_BETA_LOCIDX(45323,45148,,\"SPX\")":0.96829426,"FERG-US^P_BETA_LOCIDX(45322,45147,,\"SPX\")":0.9607234,"FERG-US^P_BETA_LOCIDX(45321,45146,,\"SPX\")":0.9592207,"FERG-US^P_BETA_LOCIDX(45320,45145,,\"SPX\")":0.9707204,"FERG-US^P_BETA_LOCIDX(45317,45142,,\"SPX\")":0.9672049,"FERG-US^P_BETA_LOCIDX(45316,45141,,\"SPX\")":0.9686267,"FERG-US^P_BETA_LOCIDX(45315,45140,,\"SPX\")":0.9716338,"FERG-US^P_BETA_LOCIDX(45314,45139,,\"SPX\")":0.9697574,"FERG-US^P_BETA_LOCIDX(45313,45138,,\"SPX\")":0.97477114,"FERG-US^P_BETA_LOCIDX(45310,45135,,\"SPX\")":0.94938904,"FERG-US^P_BETA_LOCIDX(45309,45134,,\"SPX\")":0.9553001,"FERG-US^P_BETA_LOCIDX(45308,45133,,\"SPX\")":0.93528324,"FERG-US^P_BETA_LOCIDX(45307,45132,,\"SPX\")":0.9335201,"FERG-US^P_BETA_LOCIDX(45303,45131,,\"SPX\")":0.9350017,"FERG-US^P_BETA_LOCIDX(45302,45128,,\"SPX\")":0.9348423,"FERG-US^P_BETA_LOCIDX(45301,45127,,\"SPX\")":0.93291473,"FERG-US^P_BETA_LOCIDX(45300,45126,,\"SPX\")":0.9352096,"FERG-US^P_BETA_LOCIDX(45299,45125,,\"SPX\")":0.923421,"FERG-US^P_BETA_LOCIDX(45296,45124,,\"SPX\")":0.94676,"FERG-US^P_BETA_LOCIDX(45295,45121,,\"SPX\")":0.9480444,"FERG-US^P_BETA_LOCIDX(45294,45120,,\"SPX\")":0.95610726,"FERG-US^P_BETA_LOCIDX(45293,45119,,\"SPX\")":0.93968254,"FERG-US^P_BETA_LOCIDX(45289,45118,,\"SPX\")":0.9346213,"FERG-US^P_BETA_LOCIDX(45288,45117,,\"SPX\")":0.9350176,"FERG-US^P_BETA_LOCIDX(45287,45114,,\"SPX\")":0.92238665,"FERG-US^P_BETA_LOCIDX(45286,45113,,\"SPX\")":0.95408267,"FERG-US^P_BETA_LOCIDX(45282,45112,,\"SPX\")":0.9576732,"FERG-US^P_BETA_LOCIDX(45281,45110,,\"SPX\")":0.95603544,"FERG-US^P_BETA_LOCIDX(45280,45107,,\"SPX\")":0.9386549,"FERG-US^P_BETA_LOCIDX(45279,45106,,\"SPX\")":0.94597495,"FERG-US^P_BETA_LOCIDX(45278,45105,,\"SPX\")":0.9479367,"FERG-US^P_BETA_LOCIDX(45275,45104,,\"SPX\")":0.96924204,"FERG-US^P_BETA_LOCIDX(45274,45103,,\"SPX\")":0.96619314,"FERG-US^P_BETA_LOCIDX(45273,45100,,\"SPX\")":0.96975636,"FERG-US^P_BETA_LOCIDX(45272,45099,,\"SPX\")":0.98477507,"FERG-US^P_BETA_LOCIDX(45271,45098,,\"SPX\")":0.9679519,"FERG-US^P_BETA_LOCIDX(45268,45097,,\"SPX\")":0.96706164,"FERG-US^P_BETA_LOCIDX(45267,45093,,\"SPX\")":0.9654313,"FERG-US^P_BETA_LOCIDX(45266,45092,,\"SPX\")":0.94829124,"FERG-US^P_BETA_LOCIDX(45265,45091,,\"SPX\")":0.95280224,"FERG-US^P_BETA_LOCIDX(45264,45090,,\"SPX\")":0.96549815,"FERG-US^P_BETA_LOCIDX(45261,45089,,\"SPX\")":0.94994307,"FERG-US^P_BETA_LOCIDX(45260,45086,,\"SPX\")":0.9498304,"FERG-US^P_BETA_LOCIDX(45259,45085,,\"SPX\")":0.9284205,"FERG-US^P_BETA_LOCIDX(45258,45084,,\"SPX\")":0.93069005,"FERG-US^P_BETA_LOCIDX(45257,45083,,\"SPX\")":0.9308648,"FERG-US^P_BETA_LOCIDX(45254,45082,,\"SPX\")":0.9348583,"FERG-US^P_BETA_LOCIDX(45252,45079,,\"SPX\")":0.9362644,"FERG-US^P_BETA_LOCIDX(45251,45078,,\"SPX\")":0.93006635,"FERG-US^P_BETA_LOCIDX(45250,45077,,\"SPX\")":0.9385534,"FERG-US^P_BETA_LOCIDX(45247,45076,,\"SPX\")":0.9504973,"FERG-US^P_BETA_LOCIDX(45246,45072,,\"SPX\")":0.9732376,"FERG-US^P_BETA_LOCIDX(45245,45071,,\"SPX\")":0.96328807,"FERG-US^P_BETA_LOCIDX(45244,45070,,\"SPX\")":0.96356845,"FERG-US^P_BETA_LOCIDX(45243,45069,,\"SPX\")":0.9897283,"FERG-US^P_BETA_LOCIDX(45240,45068,,\"SPX\")":0.98994046,"FERG-US^P_BETA_LOCIDX(45239,45065,,\"SPX\")":0.9823097,"FERG-US^P_BETA_LOCIDX(45238,45064,,\"SPX\")":1.0105891,"FERG-US^P_BETA_LOCIDX(45237,45063,,\"SPX\")":1.0045968,"FERG-US^P_BETA_LOCIDX(45236,45062,,\"SPX\")":1.0130965,"FERG-US^P_BETA_LOCIDX(45233,45061,,\"SPX\")":1.0202978,"FERG-US^P_BETA_LOCIDX(45232,45058,,\"SPX\")":1.0236118,"FERG-US^P_BETA_LOCIDX(45231,45057,,\"SPX\")":1.0339817,"FERG-US^P_BETA_LOCIDX(45230,45056,,\"SPX\")":1.0147951,"FERG-US^P_BETA_LOCIDX(45229,45055,,\"SPX\")":1.0231915,"FERG-US^P_BETA_LOCIDX(45226,45054,,\"SPX\")":1.0226276,"FERG-US^P_BETA_LOCIDX(45225,45051,,\"SPX\")":1.0035893,"FERG-US^P_BETA_LOCIDX(45224,45050,,\"SPX\")":1.0367134,"FERG-US^P_BETA_LOCIDX(45223,45049,,\"SPX\")":1.0428096,"FERG-US^P_BETA_LOCIDX(45222,45048,,\"SPX\")":1.0736835,"FERG-US^P_BETA_LOCIDX(45219,45047,,\"SPX\")":1.0714233,"FERG-US^P_BETA_LOCIDX(45218,45044,,\"SPX\")":1.0846558,"FERG-US^P_BETA_LOCIDX(45217,45043,,\"SPX\")":1.0879943,"FERG-US^P_BETA_LOCIDX(45216,45042,,\"SPX\")":1.0218997,"FERG-US^P_BETA_LOCIDX(45215,45041,,\"SPX\")":1.0355436,"FERG-US^P_BETA_LOCIDX(45212,45040,,\"SPX\")":1.0861235,"FERG-US^P_BETA_LOCIDX(45211,45037,,\"SPX\")":1.0868498,"FERG-US^P_BETA_LOCIDX(45210,45036,,\"SPX\")":1.0600542,"FERG-US^P_BETA_LOCIDX(45209,45035,,\"SPX\")":1.0536704,"FERG-US^P_BETA_LOCIDX(45208,45034,,\"SPX\")":1.0577258,"FERG-US^P_BETA_LOCIDX(45205,45033,,\"SPX\")":1.0506381,"FERG-US^P_BETA_LOCIDX(45204,45030,,\"SPX\")":1.0503616,"FERG-US^P_BETA_LOCIDX(45203,45029,,\"SPX\")":1.0337412,"FERG-US^P_BETA_LOCIDX(45202,45028,,\"SPX\")":1.0254908,"FERG-US^P_BETA_LOCIDX(45201,45027,,\"SPX\")":1.0129379,"FERG-US^P_BETA_LOCIDX(45198,45026,,\"SPX\")":1.0125763,"FERG-US^P_BETA_LOCIDX(45197,45022,,\"SPX\")":1.0005429,"FERG-US^P_BETA_LOCIDX(45196,45021,,\"SPX\")":0.99574536,"FERG-US^P_BETA_LOCIDX(45195,45020,,\"SPX\")":1.0253993,"FERG-US^P_BETA_LOCIDX(45194,45019,,\"SPX\")":1.17087,"FERG-US^P_BETA_LOCIDX(45191,45016,,\"SPX\")":1.1706709,"FERG-US^P_BETA_LOCIDX(45190,45015,,\"SPX\")":1.1670306,"FERG-US^P_BETA_LOCIDX(45189,45014,,\"SPX\")":1.1578526,"FERG-US^P_BETA_LOCIDX(45188,45013,,\"SPX\")":1.1560408,"FERG-US^P_BETA_LOCIDX(45187,45012,,\"SPX\")":1.1579477,"FERG-US^P_BETA_LOCIDX(45184,45009,,\"SPX\")":1.1440332,"FERG-US^P_BETA_LOCIDX(45183,45008,,\"SPX\")":1.149482,"FERG-US^P_BETA_LOCIDX(45182,45007,,\"SPX\")":1.1682197,"FERG-US^P_BETA_LOCIDX(45181,45006,,\"SPX\")":1.1746492,"FERG-US^P_BETA_LOCIDX(45180,45005,,\"SPX\")":1.183404,"FERG-US^P_BETA_LOCIDX(45177,45002,,\"SPX\")":1.1689484,"FERG-US^P_BETA_LOCIDX(45176,45001,,\"SPX\")":1.1241249,"FERG-US^P_BETA_LOCIDX(45175,45000,,\"SPX\")":1.1529899,"FERG-US^P_BETA_LOCIDX(45174,44999,,\"SPX\")":1.1093446,"FERG-US^P_BETA_LOCIDX(45170,44998,,\"SPX\")":1.0911522,"FERG-US^P_BETA_LOCIDX(45169,44995,,\"SPX\")":1.091237,"FERG-US^P_BETA_LOCIDX(45168,44994,,\"SPX\")":1.0908505,"FERG-US^P_BETA_LOCIDX(45167,44993,,\"SPX\")":1.086128,"FERG-US^P_BETA_LOCIDX(45166,44992,,\"SPX\")":1.1331606,"FERG-US^P_BETA_LOCIDX(45163,44991,,\"SPX\")":1.132605,"FERG-US^P_BETA_LOCIDX(45162,44988,,\"SPX\")":1.1011437,"FERG-US^P_BETA_LOCIDX(45161,44987,,\"SPX\")":1.0904328,"FERG-US^P_BETA_LOCIDX(45160,44986,,\"SPX\")":1.0772492,"FERG-US^P_BETA_LOCIDX(45159,44985,,\"SPX\")":1.079216,"FERG-US^P_BETA_LOCIDX(45156,44984,,\"SPX\")":1.0921267,"FERG-US^P_BETA_LOCIDX(45155,44981,,\"SPX\")":1.0991315,"FERG-US^P_BETA_LOCIDX(45154,44980,,\"SPX\")":1.0872035,"FERG-US^P_BETA_LOCIDX(45153,44979,,\"SPX\")":1.0887102,"FERG-US^P_BETA_LOCIDX(45152,44978,,\"SPX\")":1.1189661,"FERG-US^P_BETA_LOCIDX(45149,44974,,\"SPX\")":1.1168933,"FERG-US^P_BETA_LOCIDX(45148,44973,,\"SPX\")":1.105827,"FERG-US^P_BETA_LOCIDX(45147,44972,,\"SPX\")":1.1088282,"FERG-US^P_BETA_LOCIDX(45146,44971,,\"SPX\")":1.1057091,"FERG-US^P_BETA_LOCIDX(45145,44970,,\"SPX\")":1.1133392,"FERG-US^P_BETA_LOCIDX(45142,44967,,\"SPX\")":1.1058385,"FERG-US^P_BETA_LOCIDX(45141,44966,,\"SPX\")":1.1012543,"FERG-US^P_BETA_LOCIDX(45140,44965,,\"SPX\")":1.0968277,"FERG-US^P_BETA_LOCIDX(45139,44964,,\"SPX\")":1.0912915,"FERG-US^P_BETA_LOCIDX(45138,44963,,\"SPX\")":1.1080769,"FERG-US^P_BETA_LOCIDX(45135,44960,,\"SPX\")":1.1024265,"FERG-US^P_BETA_LOCIDX(45134,44959,,\"SPX\")":1.1459502,"FERG-US^P_BETA_LOCIDX(45133,44958,,\"SPX\")":1.1624763,"FERG-US^P_BETA_LOCIDX(45132,44957,,\"SPX\")":1.1669564,"FERG-US^P_BETA_LOCIDX(45131,44956,,\"SPX\")":1.150547,"FERG-US^P_BETA_LOCIDX(45128,44953,,\"SPX\")":1.1488062,"FERG-US^P_BETA_LOCIDX(45127,44952,,\"SPX\")":1.1476355,"FERG-US^P_BETA_LOCIDX(45126,44951,,\"SPX\")":1.1513275,"FERG-US^P_BETA_LOCIDX(45125,44950,,\"SPX\")":1.1525744,"FERG-US^P_BETA_LOCIDX(45124,44949,,\"SPX\")":1.1500733,"FERG-US^P_BETA_LOCIDX(45121,44946,,\"SPX\")":1.1514417,"FERG-US^P_BETA_LOCIDX(45120,44945,,\"SPX\")":1.1606933,"FERG-US^P_BETA_LOCIDX(45119,44944,,\"SPX\")":1.1362009,"FERG-US^P_BETA_LOCIDX(45118,44943,,\"SPX\")":1.1335962,"FERG-US^P_BETA_LOCIDX(45117,44939,,\"SPX\")":1.1249259,"FERG-US^P_BETA_LOCIDX(45114,44938,,\"SPX\")":1.1273093,"FERG-US^P_BETA_LOCIDX(45113,44937,,\"SPX\")":1.0956212,"FERG-US^P_BETA_LOCIDX(45112,44936,,\"SPX\")":1.0721864,"FERG-US^P_BETA_LOCIDX(45110,44935,,\"SPX\")":1.0725113,"FERG-US^P_BETA_LOCIDX(45107,44932,,\"SPX\")":1.1155796,"FERG-US^P_BETA_LOCIDX(45106,44931,,\"SPX\")":1.082835,"FERG-US^P_BETA_LOCIDX(45105,44930,,\"SPX\")":1.0914006,"FERG-US^P_BETA_LOCIDX(45104,44929,,\"SPX\")":1.082857,"FERG-US^P_BETA_LOCIDX(45103,44925,,\"SPX\")":1.0740937,"FERG-US^P_BETA_LOCIDX(45100,44924,,\"SPX\")":1.0820194,"FERG-US^P_BETA_LOCIDX(45099,44923,,\"SPX\")":1.0782558,"FERG-US^P_BETA_LOCIDX(45098,44922,,\"SPX\")":1.0707486,"FERG-US^P_BETA_LOCIDX(45097,44918,,\"SPX\")":1.0815322,"FERG-US^P_BETA_LOCIDX(45093,44917,,\"SPX\")":1.0729681,"FERG-US^P_BETA_LOCIDX(45092,44916,,\"SPX\")":1.0627131,"FERG-US^P_BETA_LOCIDX(45091,44915,,\"SPX\")":1.0638138,"FERG-US^P_BETA_LOCIDX(45090,44914,,\"SPX\")":1.0473027,"FERG-US^P_BETA_LOCIDX(45089,44911,,\"SPX\")":1.0509968,"FERG-US^P_BETA_LOCIDX(45086,44910,,\"SPX\")":1.0759841,"FERG-US^P_BETA_LOCIDX(45085,44909,,\"SPX\")":1.0688449,"FERG-US^P_BETA_LOCIDX(45084,44908,,\"SPX\")":1.0826408,"FERG-US^P_BETA_LOCIDX(45083,44907,,\"SPX\")":1.0785193,"FERG-US^P_BETA_LOCIDX(45082,44904,,\"SPX\")":1.0680275,"FERG-US^P_BETA_LOCIDX(45079,44903,,\"SPX\")":1.0740755,"FERG-US^P_BETA_LOCIDX(45078,44902,,\"SPX\")":1.0731213,"FERG-US^P_BETA_LOCIDX(45077,44901,,\"SPX\")":0.98962504,"FERG-US^P_BETA_LOCIDX(45076,44900,,\"SPX\")":0.9743936,"FERG-US^P_BETA_LOCIDX(45072,44897,,\"SPX\")":0.9760094,"FERG-US^P_BETA_LOCIDX(45071,44896,,\"SPX\")":0.9623307,"FERG-US^P_BETA_LOCIDX(45070,44895,,\"SPX\")":0.94779176,"FERG-US^P_BETA_LOCIDX(45069,44894,,\"SPX\")":0.9506018,"FERG-US^P_BETA_LOCIDX(45068,44893,,\"SPX\")":0.94337595,"FERG-US^P_BETA_LOCIDX(45065,44890,,\"SPX\")":0.94355917,"FERG-US^P_BETA_LOCIDX(45064,44888,,\"SPX\")":0.93828225,"FERG-US^P_BETA_LOCIDX(45063,44887,,\"SPX\")":0.9386711,"FERG-US^P_BETA_LOCIDX(45062,44886,,\"SPX\")":0.9388331,"FERG-US^P_BETA_LOCIDX(45061,44883,,\"SPX\")":0.9364324,"FERG-US^P_BETA_LOCIDX(45058,44882,,\"SPX\")":0.93552846,"FERG-US^P_BETA_LOCIDX(45057,44881,,\"SPX\")":0.9522572,"FERG-US^P_BETA_LOCIDX(45056,44880,,\"SPX\")":0.9439444,"FERG-US^P_BETA_LOCIDX(45055,44879,,\"SPX\")":0.9397949,"FERG-US^P_BETA_LOCIDX(45054,44876,,\"SPX\")":0.9305593,"FERG-US^P_BETA_LOCIDX(45051,44875,,\"SPX\")":1.1240242,"FERG-US^P_BETA_LOCIDX(45050,44874,,\"SPX\")":1.1138154,"FERG-US^P_BETA_LOCIDX(45049,44873,,\"SPX\")":1.1123537,"FERG-US^P_BETA_LOCIDX(45048,44872,,\"SPX\")":1.1162628,"FERG-US^P_BETA_LOCIDX(45047,44869,,\"SPX\")":1.1114935,"FERG-US^P_BETA_LOCIDX(45044,44868,,\"SPX\")":1.1112177,"FERG-US^P_BETA_LOCIDX(45043,44867,,\"SPX\")":1.0908663,"FERG-US^P_BETA_LOCIDX(45042,44866,,\"SPX\")":1.0764476,"FERG-US^P_BETA_LOCIDX(45041,44865,,\"SPX\")":1.0795151,"FERG-US^P_BETA_LOCIDX(45040,44862,,\"SPX\")":1.0576499,"FERG-US^P_BETA_LOCIDX(45037,44861,,\"SPX\")":1.0665101,"FERG-US^P_BETA_LOCIDX(45036,44860,,\"SPX\")":1.0493672,"FERG-US^P_BETA_LOCIDX(45035,44859,,\"SPX\")":1.0708885,"FERG-US^P_BETA_LOCIDX(45034,44858,,\"SPX\")":1.0767192,"FERG-US^P_BETA_LOCIDX(45033,44855,,\"SPX\")":1.0615743,"FERG-US^P_BETA_LOCIDX(45030,44854,,\"SPX\")":1.0633026,"FERG-US^P_BETA_LOCIDX(45029,44853,,\"SPX\")":1.0811485,"FERG-US^P_BETA_LOCIDX(45028,44852,,\"SPX\")":1.0823036,"FERG-US^P_BETA_LOCIDX(45027,44851,,\"SPX\")":1.0896093,"FERG-US^P_BETA_LOCIDX(45026,44848,,\"SPX\")":1.1018984,"FERG-US^P_BETA_LOCIDX(45022,44847,,\"SPX\")":1.087153,"FERG-US^P_BETA_LOCIDX(45021,44846,,\"SPX\")":1.091504,"FERG-US^P_BETA_LOCIDX(45020,44845,,\"SPX\")":1.0907081,"FERG-US^P_BETA_LOCIDX(45019,44844,,\"SPX\")":1.0724851,"FERG-US^P_BETA_LOCIDX(45016,44841,,\"SPX\")":1.0773191,"FERG-US^P_BETA_LOCIDX(45015,44840,,\"SPX\")":1.0759686,"FERG-US^P_BETA_LOCIDX(45014,44839,,\"SPX\")":1.0784191,"FERG-US^P_BETA_LOCIDX(45013,44838,,\"SPX\")":1.118016,"FERG-US^P_BETA_LOCIDX(45012,44837,,\"SPX\")":1.1422595,"FERG-US^P_BETA_LOCIDX(45009,44834,,\"SPX\")":1.1382492,"FERG-US^P_BETA_LOCIDX(45008,44833,,\"SPX\")":1.1465276,"FERG-US^P_BETA_LOCIDX(45007,44832,,\"SPX\")":1.1564904,"FERG-US^P_BETA_LOCIDX(45006,44831,,\"SPX\")":1.1572936,"FERG-US^P_BETA_LOCIDX(45005,44830,,\"SPX\")":1.1510088,"FERG-US^P_BETA_LOCIDX(45002,44827,,\"SPX\")":1.1377673,"FERG-US^P_BETA_LOCIDX(45001,44826,,\"SPX\")":1.1385044,"FERG-US^P_BETA_LOCIDX(45000,44825,,\"SPX\")":1.1468998,"FERG-US^P_BETA_LOCIDX(44999,44824,,\"SPX\")":1.1410798,"FERG-US^P_BETA_LOCIDX(44998,44823,,\"SPX\")":1.1567874,"FERG-US^P_BETA_LOCIDX(44995,44820,,\"SPX\")":1.1590896,"FERG-US^P_BETA_LOCIDX(44994,44819,,\"SPX\")":1.1628846,"FERG-US^P_BETA_LOCIDX(44993,44818,,\"SPX\")":1.1607352,"FERG-US^P_BETA_LOCIDX(44992,44817,,\"SPX\")":1.1266384,"FERG-US^P_BETA_LOCIDX(44991,44816,,\"SPX\")":1.1136824,"FERG-US^P_BETA_LOCIDX(44988,44813,,\"SPX\")":1.1167569,"FERG-US^P_BETA_LOCIDX(44987,44812,,\"SPX\")":1.126791,"FERG-US^P_BETA_LOCIDX(44986,44811,,\"SPX\")":1.1219269,"FERG-US^P_BETA_LOCIDX(44985,44810,,\"SPX\")":1.122428,"FERG-US^P_BETA_LOCIDX(44984,44806,,\"SPX\")":1.1246349,"FERG-US^P_BETA_LOCIDX(44981,44805,,\"SPX\")":1.1229837,"FERG-US^P_BETA_LOCIDX(44980,44804,,\"SPX\")":1.1238045,"FERG-US^P_BETA_LOCIDX(44979,44803,,\"SPX\")":1.1214051,"FERG-US^P_BETA_LOCIDX(44978,44802,,\"SPX\")":1.1185682,"FERG-US^P_BETA_LOCIDX(44974,44799,,\"SPX\")":1.1013821,"FERG-US^P_BETA_LOCIDX(44973,44798,,\"SPX\")":1.0965182,"FERG-US^P_BETA_LOCIDX(44972,44797,,\"SPX\")":1.0986606,"FERG-US^P_BETA_LOCIDX(44971,44796,,\"SPX\")":1.0994977,"FERG-US^P_BETA_LOCIDX(44970,44795,,\"SPX\")":1.0878665,"FERG-US^P_BETA_LOCIDX(44967,44792,,\"SPX\")":1.092745,"FERG-US^P_BETA_LOCIDX(44966,44791,,\"SPX\")":1.0922946,"FERG-US^P_BETA_LOCIDX(44965,44790,,\"SPX\")":1.0935072,"FERG-US^P_BETA_LOCIDX(44964,44789,,\"SPX\")":1.0946599,"FERG-US^P_BETA_LOCIDX(44963,44788,,\"SPX\")":1.0963657,"FERG-US^P_BETA_LOCIDX(44960,44785,,\"SPX\")":1.0779804,"FERG-US^P_BETA_LOCIDX(44959,44784,,\"SPX\")":1.0789624,"FERG-US^P_BETA_LOCIDX(44958,44783,,\"SPX\")":1.0930712,"FERG-US^P_BETA_LOCIDX(44957,44782,,\"SPX\")":1.0962304,"FERG-US^P_BETA_LOCIDX(44956,44781,,\"SPX\")":1.0951267,"FERG-US^P_BETA_LOCIDX(44953,44778,,\"SPX\")":1.0992725,"FERG-US^P_BETA_LOCIDX(44952,44777,,\"SPX\")":1.0985955,"FERG-US^P_BETA_LOCIDX(44951,44776,,\"SPX\")":1.0851308,"FERG-US^P_BETA_LOCIDX(44950,44775,,\"SPX\")":1.0867087,"FERG-US^P_BETA_LOCIDX(44949,44774,,\"SPX\")":1.0872786,"FERG-US^P_BETA_LOCIDX(44946,44771,,\"SPX\")":1.1084344,"FERG-US^P_BETA_LOCIDX(44945,44770,,\"SPX\")":1.1112381,"FERG-US^P_BETA_LOCIDX(44944,44769,,\"SPX\")":1.1015605,"FERG-US^P_BETA_LOCIDX(44943,44768,,\"SPX\")":1.119456,"FERG-US^P_BETA_LOCIDX(44939,44767,,\"SPX\")":1.1191937,"FERG-US^P_BETA_LOCIDX(44938,44764,,\"SPX\")":1.1131722,"FERG-US^P_BETA_LOCIDX(44937,44763,,\"SPX\")":1.1132525,"FERG-US^P_BETA_LOCIDX(44936,44762,,\"SPX\")":1.1294825,"FERG-US^P_BETA_LOCIDX(44935,44761,,\"SPX\")":1.1220763,"FERG-US^P_BETA_LOCIDX(44932,44760,,\"SPX\")":1.1213279,"FERG-US^P_BETA_LOCIDX(44931,44757,,\"SPX\")":1.1135576,"FERG-US^P_BETA_LOCIDX(44930,44756,,\"SPX\")":1.1246586,"FERG-US^P_BETA_LOCIDX(44929,44755,,\"SPX\")":1.121247,"FERG-US^P_BETA_LOCIDX(44925,44754,,\"SPX\")":1.1228211,"FERG-US^P_BETA_LOCIDX(44924,44753,,\"SPX\")":1.1199889,"FERG-US^P_BETA_LOCIDX(44923,44750,,\"SPX\")":1.1192579,"FERG-US^P_BETA_LOCIDX(44922,44749,,\"SPX\")":1.1223024,"FERG-US^P_BETA_LOCIDX(44918,44748,,\"SPX\")":1.1259702,"FERG-US^P_BETA_LOCIDX(44917,44747,,\"SPX\")":1.1265558,"FERG-US^P_BETA_LOCIDX(44916,44743,,\"SPX\")":1.1214123,"FERG-US^P_BETA_LOCIDX(44915,44742,,\"SPX\")":1.1329632,"FERG-US^P_BETA_LOCIDX(44914,44741,,\"SPX\")":1.1328496,"FERG-US^P_BETA_LOCIDX(44911,44740,,\"SPX\")":1.1350883,"FERG-US^P_BETA_LOCIDX(44910,44739,,\"SPX\")":1.1308439,"FERG-US^P_BETA_LOCIDX(44909,44736,,\"SPX\")":1.1550297,"FERG-US^P_BETA_LOCIDX(44908,44735,,\"SPX\")":1.1491256,"FERG-US^P_BETA_LOCIDX(44907,44734,,\"SPX\")":1.14925,"FERG-US^P_BETA_LOCIDX(44904,44733,,\"SPX\")":1.136127,"FERG-US^P_BETA_LOCIDX(44903,44729,,\"SPX\")":1.1425986,"FERG-US^P_BETA_LOCIDX(44902,44728,,\"SPX\")":1.1476984,"FERG-US^P_BETA_LOCIDX(44901,44727,,\"SPX\")":1.1414074,"FERG-US^P_BETA_LOCIDX(44900,44726,,\"SPX\")":1.1760242,"FERG-US^P_BETA_LOCIDX(44897,44725,,\"SPX\")":1.1743954,"FERG-US^P_BETA_LOCIDX(44896,44722,,\"SPX\")":1.1756263,"FERG-US^P_BETA_LOCIDX(44895,44721,,\"SPX\")":1.1725899,"FERG-US^P_BETA_LOCIDX(44894,44720,,\"SPX\")":1.1846664,"FERG-US^P_BETA_LOCIDX(44893,44719,,\"SPX\")":1.1804744,"FERG-US^P_BETA_LOCIDX(44890,44718,,\"SPX\")":1.1750225,"FERG-US^P_BETA_LOCIDX(44888,44715,,\"SPX\")":1.1747324,"FERG-US^P_BETA_LOCIDX(44887,44714,,\"SPX\")":1.1804079,"FERG-US^P_BETA_LOCIDX(44886,44713,,\"SPX\")":1.1784594,"FERG-US^P_BETA_LOCIDX(44883,44712,,\"SPX\")":1.1810018,"FERG-US^P_BETA_LOCIDX(44882,44708,,\"SPX\")":1.1675905,"FERG-US^P_BETA_LOCIDX(44881,44707,,\"SPX\")":1.1570116,"FERG-US^P_BETA_LOCIDX(44880,44706,,\"SPX\")":1.151165,"FERG-US^P_BETA_LOCIDX(44879,44705,,\"SPX\")":1.1558129,"FERG-US^P_BETA_LOCIDX(44876,44704,,\"SPX\")":1.1470755,"FERG-US^P_BETA_LOCIDX(44875,44701,,\"SPX\")":1.1558175,"FERG-US^P_BETA_LOCIDX(44874,44700,,\"SPX\")":1.0640918,"FERG-US^P_BETA_LOCIDX(44873,44699,,\"SPX\")":1.0902588,"FERG-US^P_BETA_LOCIDX(44872,44698,,\"SPX\")":1.0932876,"FERG-US^P_BETA_LOCIDX(44869,44697,,\"SPX\")":1.0961039,"FERG-US^P_BETA_LOCIDX(44868,44694,,\"SPX\")":1.0798438,"FERG-US^P_BETA_LOCIDX(44867,44693,,\"SPX\")":1.0790884,"FERG-US^P_BETA_LOCIDX(44866,44692,,\"SPX\")":1.0803561,"FERG-US^P_BETA_LOCIDX(44865,44691,,\"SPX\")":1.083665,"FERG-US^P_BETA_LOCIDX(44862,44690,,\"SPX\")":1.0685045,"FERG-US^P_BETA_LOCIDX(44861,44687,,\"SPX\")":1.0837567,"FERG-US^P_BETA_LOCIDX(44860,44686,,\"SPX\")":1.088013,"FERG-US^P_BETA_LOCIDX(44859,44685,,\"SPX\")":1.0826474,"FERG-US^P_BETA_LOCIDX(44858,44684,,\"SPX\")":1.0737888,"FERG-US^P_BETA_LOCIDX(44855,44683,,\"SPX\")":1.0682855,"FERG-US^P_BETA_LOCIDX(44854,44680,,\"SPX\")":1.0579714,"FERG-US^P_BETA_LOCIDX(44853,44679,,\"SPX\")":1.0467861,"FERG-US^P_BETA_LOCIDX(44852,44678,,\"SPX\")":1.039818,"FERG-US^P_BETA_LOCIDX(44851,44677,,\"SPX\")":1.0509015,"FERG-US^P_BETA_LOCIDX(44848,44676,,\"SPX\")":1.0417565,"FERG-US^P_BETA_LOCIDX(44847,44673,,\"SPX\")":1.0348856,"FERG-US^P_BETA_LOCIDX(44846,44672,,\"SPX\")":1.035257,"FERG-US^P_BETA_LOCIDX(44845,44671,,\"SPX\")":1.0350043,"FERG-US^P_BETA_LOCIDX(44844,44670,,\"SPX\")":1.040196,"FERG-US^P_BETA_LOCIDX(44841,44669,,\"SPX\")":1.0436894,"FERG-US^P_BETA_LOCIDX(44840,44665,,\"SPX\")":1.0358993,"FERG-US^P_BETA_LOCIDX(44839,44664,,\"SPX\")":1.0486389,"FERG-US^P_BETA_LOCIDX(44838,44663,,\"SPX\")":1.0494645,"FERG-US^P_BETA_LOCIDX(44837,44662,,\"SPX\")":1.0179305,"FERG-US^P_BETA_LOCIDX(44834,44659,,\"SPX\")":0.9960914,"FERG-US^P_BETA_LOCIDX(44833,44658,,\"SPX\")":1.0020565,"FERG-US^P_BETA_LOCIDX(44832,44657,,\"SPX\")":1.0046638,"FERG-US^P_BETA_LOCIDX(44831,44656,,\"SPX\")":1.0007375,"FERG-US^P_BETA_LOCIDX(44830,44655,,\"SPX\")":0.9984304,"FERG-US^P_BETA_LOCIDX(44827,44652,,\"SPX\")":1.000152,"FERG-US^P_BETA_LOCIDX(44826,44651,,\"SPX\")":1.0086633,"FERG-US^P_BETA_LOCIDX(44825,44650,,\"SPX\")":1.0083158,"FERG-US^P_BETA_LOCIDX(44824,44649,,\"SPX\")":1.0085784,"FERG-US^P_BETA_LOCIDX(44823,44648,,\"SPX\")":0.9968786,"FERG-US^P_BETA_LOCIDX(44820,44645,,\"SPX\")":0.9878495,"FERG-US^P_BETA_LOCIDX(44819,44644,,\"SPX\")":0.96978784,"FERG-US^P_BETA_LOCIDX(44818,44643,,\"SPX\")":0.96696585,"FERG-US^P_BETA_LOCIDX(44817,44642,,\"SPX\")":0.96995205,"FERG-US^P_BETA_LOCIDX(44816,44641,,\"SPX\")":0.98934317,"FERG-US^P_BETA_LOCIDX(44813,44638,,\"SPX\")":0.9892594,"FERG-US^P_BETA_LOCIDX(44812,44637,,\"SPX\")":0.9841886,"FERG-US^P_BETA_LOCIDX(44811,44636,,\"SPX\")":0.96096593,"FERG-US^P_BETA_LOCIDX(44810,44635,,\"SPX\")":0.9054938,"FERG-US^P_BETA_LOCIDX(44806,44634,,\"SPX\")":0.8876695,"FERG-US^P_BETA_LOCIDX(44805,44631,,\"SPX\")":0.87763923,"FERG-US^P_BETA_LOCIDX(44804,44630,,\"SPX\")":0.8823441,"FERG-US^P_BETA_LOCIDX(44803,44629,,\"SPX\")":0.86341363,"FERG-US^P_BETA_LOCIDX(44802,44628,,\"SPX\")":0.8424686,"FERG-US^P_BETA_LOCIDX(44799,44627,,\"SPX\")":0.87654763,"FERG-US^P_BETA_LOCIDX(44798,44624,,\"SPX\")":0.88682175,"FERG-US^P_BETA_LOCIDX(44797,44623,,\"SPX\")":0.8884456,"FERG-US^P_BETA_LOCIDX(44796,44622,,\"SPX\")":0.8870772,"FERG-US^P_BETA_LOCIDX(44795,44621,,\"SPX\")":0.88280195,"FERG-US^P_BETA_LOCIDX(44792,44620,,\"SPX\")":0.8924059,"FERG-US^P_BETA_LOCIDX(44791,44617,,\"SPX\")":0.8909545,"FERG-US^P_BETA_LOCIDX(44790,44616,,\"SPX\")":0.8812483,"FERG-US^P_BETA_LOCIDX(44789,44615,,\"SPX\")":0.8682753,"FERG-US^P_BETA_LOCIDX(44788,44614,,\"SPX\")":0.86672753,"FERG-US^P_BETA_LOCIDX(44785,44610,,\"SPX\")":0.8629672,"FERG-US^P_BETA_LOCIDX(44784,44609,,\"SPX\")":0.8630122,"FERG-US^P_BETA_LOCIDX(44783,44608,,\"SPX\")":0.8632594,"FERG-US^P_BETA_LOCIDX(44782,44607,,\"SPX\")":0.8417861,"FERG-US^P_BETA_LOCIDX(44781,44606,,\"SPX\")":0.8384284,"FERG-US^P_BETA_LOCIDX(44778,44603,,\"SPX\")":0.8459648,"FERG-US^P_BETA_LOCIDX(44777,44602,,\"SPX\")":0.8404043,"FERG-US^P_BETA_LOCIDX(44776,44601,,\"SPX\")":0.83921164,"FERG-US^P_BETA_LOCIDX(44775,44600,,\"SPX\")":0.84876424,"FERG-US^P_BETA_LOCIDX(44774,44599,,\"SPX\")":0.84812987,"FERG-US^P_BETA_LOCIDX(45845,45670,,\"SPX\")":0.9125943,"HUBB-US^P_BETA_LOCIDX(45841,45665,,\"SPX\")":1.1300628,"HUBB-US^P_BETA_LOCIDX(45840,45664,,\"SPX\")":1.1332606,"HUBB-US^P_BETA_LOCIDX(45839,45663,,\"SPX\")":1.1352319,"HUBB-US^P_BETA_LOCIDX(45838,45660,,\"SPX\")":1.1408476,"HUBB-US^P_BETA_LOCIDX(45835,45659,,\"SPX\")":1.1404378,"HUBB-US^P_BETA_LOCIDX(45834,45657,,\"SPX\")":1.1399987,"HUBB-US^P_BETA_LOCIDX(45833,45656,,\"SPX\")":1.1368417,"HUBB-US^P_BETA_LOCIDX(45832,45653,,\"SPX\")":1.1383178,"HUBB-US^P_BETA_LOCIDX(45831,45652,,\"SPX\")":1.134985,"HUBB-US^P_BETA_LOCIDX(45828,45650,,\"SPX\")":1.1402165,"HUBB-US^P_BETA_LOCIDX(45826,45649,,\"SPX\")":1.1374155,"HUBB-US^P_BETA_LOCIDX(45825,45646,,\"SPX\")":1.1354353,"HUBB-US^P_BETA_LOCIDX(45824,45645,,\"SPX\")":1.1379957,"HUBB-US^P_BETA_LOCIDX(45821,45644,,\"SPX\")":1.1307553,"HUBB-US^P_BETA_LOCIDX(45820,45643,,\"SPX\")":1.1312176,"HUBB-US^P_BETA_LOCIDX(45819,45642,,\"SPX\")":1.1311667,"HUBB-US^P_BETA_LOCIDX(45818,45639,,\"SPX\")":1.1318032,"HUBB-US^P_BETA_LOCIDX(45817,45638,,\"SPX\")":1.134057,"HUBB-US^P_BETA_LOCIDX(45814,45637,,\"SPX\")":1.137122,"HUBB-US^P_BETA_LOCIDX(45813,45636,,\"SPX\")":1.1352963,"HUBB-US^P_BETA_LOCIDX(45812,45635,,\"SPX\")":1.1382788,"HUBB-US^P_BETA_LOCIDX(45811,45632,,\"SPX\")":1.137184,"HUBB-US^P_BETA_LOCIDX(45810,45631,,\"SPX\")":1.133803,"HUBB-US^P_BETA_LOCIDX(45807,45630,,\"SPX\")":1.1413132,"HUBB-US^P_BETA_LOCIDX(45806,45629,,\"SPX\")":1.1413343,"HUBB-US^P_BETA_LOCIDX(45805,45628,,\"SPX\")":1.1405545,"HUBB-US^P_BETA_LOCIDX(45804,45625,,\"SPX\")":1.1396729,"HUBB-US^P_BETA_LOCIDX(45800,45623,,\"SPX\")":1.1404097,"HUBB-US^P_BETA_LOCIDX(45799,45622,,\"SPX\")":1.140585,"HUBB-US^P_BETA_LOCIDX(45798,45621,,\"SPX\")":1.1413145,"HUBB-US^P_BETA_LOCIDX(45797,45618,,\"SPX\")":1.1427722,"HUBB-US^P_BETA_LOCIDX(45796,45617,,\"SPX\")":1.146424,"HUBB-US^P_BETA_LOCIDX(45793,45616,,\"SPX\")":1.1465874,"HUBB-US^P_BETA_LOCIDX(45792,45615,,\"SPX\")":1.1465592,"HUBB-US^P_BETA_LOCIDX(45791,45614,,\"SPX\")":1.1484514,"HUBB-US^P_BETA_LOCIDX(45790,45611,,\"SPX\")":1.1437924,"HUBB-US^P_BETA_LOCIDX(45789,45610,,\"SPX\")":1.1447845,"HUBB-US^P_BETA_LOCIDX(45786,45609,,\"SPX\")":1.1159608,"HUBB-US^P_BETA_LOCIDX(45785,45608,,\"SPX\")":1.1183566,"HUBB-US^P_BETA_LOCIDX(45784,45607,,\"SPX\")":1.1178954,"HUBB-US^P_BETA_LOCIDX(45783,45604,,\"SPX\")":1.1163766,"HUBB-US^P_BETA_LOCIDX(45782,45603,,\"SPX\")":1.1103994,"HUBB-US^P_BETA_LOCIDX(45779,45602,,\"SPX\")":1.1529522,"HUBB-US^P_BETA_LOCIDX(45778,45601,,\"SPX\")":1.1511683,"HUBB-US^P_BETA_LOCIDX(45777,45600,,\"SPX\")":1.1646224,"HUBB-US^P_BETA_LOCIDX(45776,45597,,\"SPX\")":1.1630754,"HUBB-US^P_BETA_LOCIDX(45775,45596,,\"SPX\")":1.1558075,"HUBB-US^P_BETA_LOCIDX(45772,45595,,\"SPX\")":1.1574641,"HUBB-US^P_BETA_LOCIDX(45771,45594,,\"SPX\")":1.1582893,"HUBB-US^P_BETA_LOCIDX(45770,45593,,\"SPX\")":1.1454047,"HUBB-US^P_BETA_LOCIDX(45769,45590,,\"SPX\")":1.1464535,"HUBB-US^P_BETA_LOCIDX(45768,45589,,\"SPX\")":1.1412228,"HUBB-US^P_BETA_LOCIDX(45764,45588,,\"SPX\")":1.1395717,"HUBB-US^P_BETA_LOCIDX(45763,45587,,\"SPX\")":1.139384,"HUBB-US^P_BETA_LOCIDX(45762,45586,,\"SPX\")":1.1428173,"HUBB-US^P_BETA_LOCIDX(45761,45583,,\"SPX\")":1.1416644,"HUBB-US^P_BETA_LOCIDX(45758,45582,,\"SPX\")":1.1469767,"HUBB-US^P_BETA_LOCIDX(45757,45581,,\"SPX\")":1.1370504,"HUBB-US^P_BETA_LOCIDX(45756,45580,,\"SPX\")":1.1560355,"HUBB-US^P_BETA_LOCIDX(45755,45579,,\"SPX\")":1.1572045,"HUBB-US^P_BETA_LOCIDX(45754,45576,,\"SPX\")":1.1880509,"HUBB-US^P_BETA_LOCIDX(45751,45575,,\"SPX\")":1.189269,"HUBB-US^P_BETA_LOCIDX(45750,45574,,\"SPX\")":1.4648788,"HUBB-US^P_BETA_LOCIDX(45749,45573,,\"SPX\")":1.5224488,"HUBB-US^P_BETA_LOCIDX(45748,45572,,\"SPX\")":1.4760008,"HUBB-US^P_BETA_LOCIDX(45747,45569,,\"SPX\")":1.4729666,"HUBB-US^P_BETA_LOCIDX(45744,45568,,\"SPX\")":1.4783906,"HUBB-US^P_BETA_LOCIDX(45743,45567,,\"SPX\")":1.4817529,"HUBB-US^P_BETA_LOCIDX(45742,45566,,\"SPX\")":1.467227,"HUBB-US^P_BETA_LOCIDX(45741,45565,,\"SPX\")":1.4629229,"HUBB-US^P_BETA_LOCIDX(45740,45562,,\"SPX\")":1.4605979,"HUBB-US^P_BETA_LOCIDX(45737,45561,,\"SPX\")":1.4462743,"HUBB-US^P_BETA_LOCIDX(45736,45560,,\"SPX\")":1.4459666,"HUBB-US^P_BETA_LOCIDX(45735,45559,,\"SPX\")":1.4433925,"HUBB-US^P_BETA_LOCIDX(45734,45558,,\"SPX\")":1.4391555,"HUBB-US^P_BETA_LOCIDX(45733,45555,,\"SPX\")":1.4303641,"HUBB-US^P_BETA_LOCIDX(45730,45554,,\"SPX\")":1.4436641,"HUBB-US^P_BETA_LOCIDX(45729,45553,,\"SPX\")":1.4479221,"HUBB-US^P_BETA_LOCIDX(45728,45552,,\"SPX\")":1.4683453,"HUBB-US^P_BETA_LOCIDX(45727,45551,,\"SPX\")":1.4824094,"HUBB-US^P_BETA_LOCIDX(45726,45548,,\"SPX\")":1.504345,"HUBB-US^P_BETA_LOCIDX(45723,45547,,\"SPX\")":1.4912056,"HUBB-US^P_BETA_LOCIDX(45722,45546,,\"SPX\")":1.5042857,"HUBB-US^P_BETA_LOCIDX(45721,45545,,\"SPX\")":1.5196223,"HUBB-US^P_BETA_LOCIDX(45720,45544,,\"SPX\")":1.5370828,"HUBB-US^P_BETA_LOCIDX(45719,45541,,\"SPX\")":1.4902975999999999,"HUBB-US^P_BETA_LOCIDX(45716,45540,,\"SPX\")":1.4516456,"HUBB-US^P_BETA_LOCIDX(45715,45539,,\"SPX\")":1.4863784,"HUBB-US^P_BETA_LOCIDX(45714,45538,,\"SPX\")":1.5491625,"HUBB-US^P_BETA_LOCIDX(45713,45534,,\"SPX\")":1.5456841,"HUBB-US^P_BETA_LOCIDX(45712,45533,,\"SPX\")":1.5554007,"HUBB-US^P_BETA_LOCIDX(45709,45532,,\"SPX\")":1.5349481,"HUBB-US^P_BETA_LOCIDX(45708,45531,,\"SPX\")":1.5272155,"HUBB-US^P_BETA_LOCIDX(45707,45530,,\"SPX\")":1.5251075,"HUBB-US^P_BETA_LOCIDX(45706,45527,,\"SPX\")":1.5322953,"HUBB-US^P_BETA_LOCIDX(45702,45526,,\"SPX\")":1.5025173,"HUBB-US^P_BETA_LOCIDX(45701,45525,,\"SPX\")":1.5046265,"HUBB-US^P_BETA_LOCIDX(45700,45524,,\"SPX\")":1.5208126,"HUBB-US^P_BETA_LOCIDX(45699,45523,,\"SPX\")":1.5053698,"HUBB-US^P_BETA_LOCIDX(45698,45520,,\"SPX\")":1.5016041,"HUBB-US^P_BETA_LOCIDX(45695,45519,,\"SPX\")":1.4713751,"HUBB-US^P_BETA_LOCIDX(45694,45518,,\"SPX\")":1.5139284,"HUBB-US^P_BETA_LOCIDX(45693,45517,,\"SPX\")":1.4804146,"HUBB-US^P_BETA_LOCIDX(45692,45516,,\"SPX\")":1.484084,"HUBB-US^P_BETA_LOCIDX(45691,45513,,\"SPX\")":1.5078619,"HUBB-US^P_BETA_LOCIDX(45688,45512,,\"SPX\")":1.5029113,"HUBB-US^P_BETA_LOCIDX(45687,45511,,\"SPX\")":1.4956765,"HUBB-US^P_BETA_LOCIDX(45686,45510,,\"SPX\")":1.4630718,"HUBB-US^P_BETA_LOCIDX(45685,45509,,\"SPX\")":1.3432612,"HUBB-US^P_BETA_LOCIDX(45684,45506,,\"SPX\")":1.3774816,"HUBB-US^P_BETA_LOCIDX(45681,45505,,\"SPX\")":1.29881,"HUBB-US^P_BETA_LOCIDX(45680,45504,,\"SPX\")":1.3328888,"HUBB-US^P_BETA_LOCIDX(45679,45503,,\"SPX\")":1.3143983,"HUBB-US^P_BETA_LOCIDX(45678,45502,,\"SPX\")":1.3114549,"HUBB-US^P_BETA_LOCIDX(45674,45499,,\"SPX\")":1.315242,"HUBB-US^P_BETA_LOCIDX(45673,45498,,\"SPX\")":1.3194449,"HUBB-US^P_BETA_LOCIDX(45672,45497,,\"SPX\")":1.3908552,"HUBB-US^P_BETA_LOCIDX(45671,45496,,\"SPX\")":1.4329132,"HUBB-US^P_BETA_LOCIDX(45670,45495,,\"SPX\")":1.4403535,"HUBB-US^P_BETA_LOCIDX(45667,45492,,\"SPX\")":1.4304352,"HUBB-US^P_BETA_LOCIDX(45665,45491,,\"SPX\")":1.397964,"HUBB-US^P_BETA_LOCIDX(45664,45490,,\"SPX\")":1.4602706,"HUBB-US^P_BETA_LOCIDX(45663,45489,,\"SPX\")":1.4812855,"HUBB-US^P_BETA_LOCIDX(45660,45488,,\"SPX\")":1.4700898,"HUBB-US^P_BETA_LOCIDX(45659,45485,,\"SPX\")":1.459094,"HUBB-US^P_BETA_LOCIDX(45657,45484,,\"SPX\")":1.4404038,"HUBB-US^P_BETA_LOCIDX(45656,45483,,\"SPX\")":1.4389291,"HUBB-US^P_BETA_LOCIDX(45653,45482,,\"SPX\")":1.445081,"HUBB-US^P_BETA_LOCIDX(45652,45481,,\"SPX\")":1.4437674,"HUBB-US^P_BETA_LOCIDX(45650,45478,,\"SPX\")":1.4413493,"HUBB-US^P_BETA_LOCIDX(45649,45476,,\"SPX\")":1.4465144,"HUBB-US^P_BETA_LOCIDX(45646,45475,,\"SPX\")":1.4603494,"HUBB-US^P_BETA_LOCIDX(45645,45474,,\"SPX\")":1.4674848,"HUBB-US^P_BETA_LOCIDX(45644,45471,,\"SPX\")":1.4703112,"HUBB-US^P_BETA_LOCIDX(45643,45470,,\"SPX\")":1.5072025,"HUBB-US^P_BETA_LOCIDX(45642,45469,,\"SPX\")":1.489491,"HUBB-US^P_BETA_LOCIDX(45639,45468,,\"SPX\")":1.486376,"HUBB-US^P_BETA_LOCIDX(45638,45467,,\"SPX\")":1.4815192,"HUBB-US^P_BETA_LOCIDX(45637,45464,,\"SPX\")":1.4857965,"HUBB-US^P_BETA_LOCIDX(45636,45463,,\"SPX\")":1.4868125,"HUBB-US^P_BETA_LOCIDX(45635,45461,,\"SPX\")":1.487434,"HUBB-US^P_BETA_LOCIDX(45632,45460,,\"SPX\")":1.4825637,"HUBB-US^P_BETA_LOCIDX(45631,45457,,\"SPX\")":1.4893138,"HUBB-US^P_BETA_LOCIDX(45630,45456,,\"SPX\")":1.4885501,"HUBB-US^P_BETA_LOCIDX(45629,45455,,\"SPX\")":1.504892,"HUBB-US^P_BETA_LOCIDX(45628,45454,,\"SPX\")":1.5033602,"HUBB-US^P_BETA_LOCIDX(45625,45453,,\"SPX\")":1.5053787,"HUBB-US^P_BETA_LOCIDX(45623,45450,,\"SPX\")":1.5079153,"HUBB-US^P_BETA_LOCIDX(45622,45449,,\"SPX\")":1.5141851,"HUBB-US^P_BETA_LOCIDX(45621,45448,,\"SPX\")":1.532537,"HUBB-US^P_BETA_LOCIDX(45618,45447,,\"SPX\")":1.5301766,"HUBB-US^P_BETA_LOCIDX(45617,45446,,\"SPX\")":1.5289466,"HUBB-US^P_BETA_LOCIDX(45616,45443,,\"SPX\")":1.50784,"HUBB-US^P_BETA_LOCIDX(45615,45442,,\"SPX\")":1.4961585,"HUBB-US^P_BETA_LOCIDX(45614,45441,,\"SPX\")":1.501679,"HUBB-US^P_BETA_LOCIDX(45611,45440,,\"SPX\")":1.5005313,"HUBB-US^P_BETA_LOCIDX(45610,45436,,\"SPX\")":1.538657,"HUBB-US^P_BETA_LOCIDX(45609,45435,,\"SPX\")":1.5122863,"HUBB-US^P_BETA_LOCIDX(45608,45434,,\"SPX\")":1.5137407,"HUBB-US^P_BETA_LOCIDX(45607,45433,,\"SPX\")":1.5044897,"HUBB-US^P_BETA_LOCIDX(45604,45432,,\"SPX\")":1.5042635,"HUBB-US^P_BETA_LOCIDX(45603,45429,,\"SPX\")":1.5054318,"HUBB-US^P_BETA_LOCIDX(45602,45428,,\"SPX\")":1.5321501,"HUBB-US^P_BETA_LOCIDX(45601,45427,,\"SPX\")":1.4175404,"HUBB-US^P_BETA_LOCIDX(45600,45426,,\"SPX\")":1.3885732,"HUBB-US^P_BETA_LOCIDX(45597,45425,,\"SPX\")":1.3912153,"HUBB-US^P_BETA_LOCIDX(45596,45422,,\"SPX\")":1.3938679,"HUBB-US^P_BETA_LOCIDX(45595,45421,,\"SPX\")":1.4469416,"HUBB-US^P_BETA_LOCIDX(45594,45420,,\"SPX\")":1.4381062,"HUBB-US^P_BETA_LOCIDX(45593,45419,,\"SPX\")":1.4404408,"HUBB-US^P_BETA_LOCIDX(45590,45418,,\"SPX\")":1.4465071,"HUBB-US^P_BETA_LOCIDX(45589,45415,,\"SPX\")":1.4450275,"HUBB-US^P_BETA_LOCIDX(45588,45414,,\"SPX\")":1.4300872,"HUBB-US^P_BETA_LOCIDX(45587,45413,,\"SPX\")":1.4294051,"HUBB-US^P_BETA_LOCIDX(45586,45412,,\"SPX\")":1.5636718,"HUBB-US^P_BETA_LOCIDX(45583,45411,,\"SPX\")":1.5636011,"HUBB-US^P_BETA_LOCIDX(45582,45408,,\"SPX\")":1.563546,"HUBB-US^P_BETA_LOCIDX(45581,45407,,\"SPX\")":1.5531161,"HUBB-US^P_BETA_LOCIDX(45580,45406,,\"SPX\")":1.553262,"HUBB-US^P_BETA_LOCIDX(45579,45405,,\"SPX\")":1.5466485,"HUBB-US^P_BETA_LOCIDX(45576,45404,,\"SPX\")":1.5430775,"HUBB-US^P_BETA_LOCIDX(45575,45401,,\"SPX\")":1.5275413,"HUBB-US^P_BETA_LOCIDX(45574,45400,,\"SPX\")":1.5209166,"HUBB-US^P_BETA_LOCIDX(45573,45399,,\"SPX\")":1.5182873,"HUBB-US^P_BETA_LOCIDX(45572,45398,,\"SPX\")":1.5308896,"HUBB-US^P_BETA_LOCIDX(45569,45397,,\"SPX\")":1.5427836,"HUBB-US^P_BETA_LOCIDX(45568,45394,,\"SPX\")":1.5251765,"HUBB-US^P_BETA_LOCIDX(45567,45393,,\"SPX\")":1.5154947,"HUBB-US^P_BETA_LOCIDX(45566,45392,,\"SPX\")":1.504562,"HUBB-US^P_BETA_LOCIDX(45565,45391,,\"SPX\")":1.5176873,"HUBB-US^P_BETA_LOCIDX(45562,45390,,\"SPX\")":1.5202231,"HUBB-US^P_BETA_LOCIDX(45561,45387,,\"SPX\")":1.5153548,"HUBB-US^P_BETA_LOCIDX(45560,45386,,\"SPX\")":1.5261587,"HUBB-US^P_BETA_LOCIDX(45559,45385,,\"SPX\")":1.5273932,"HUBB-US^P_BETA_LOCIDX(45558,45384,,\"SPX\")":1.5208806,"HUBB-US^P_BETA_LOCIDX(45555,45383,,\"SPX\")":1.5189687,"HUBB-US^P_BETA_LOCIDX(45554,45379,,\"SPX\")":1.5225523,"HUBB-US^P_BETA_LOCIDX(45553,45378,,\"SPX\")":1.5017451,"HUBB-US^P_BETA_LOCIDX(45552,45377,,\"SPX\")":1.5002519,"HUBB-US^P_BETA_LOCIDX(45551,45376,,\"SPX\")":1.5030783,"HUBB-US^P_BETA_LOCIDX(45548,45373,,\"SPX\")":1.5000962,"HUBB-US^P_BETA_LOCIDX(45547,45372,,\"SPX\")":1.5015333,"HUBB-US^P_BETA_LOCIDX(45546,45371,,\"SPX\")":1.5088842,"HUBB-US^P_BETA_LOCIDX(45545,45370,,\"SPX\")":1.4793254,"HUBB-US^P_BETA_LOCIDX(45544,45369,,\"SPX\")":1.4813498,"HUBB-US^P_BETA_LOCIDX(45541,45366,,\"SPX\")":1.4819777,"HUBB-US^P_BETA_LOCIDX(45540,45365,,\"SPX\")":1.5369235,"HUBB-US^P_BETA_LOCIDX(45539,45364,,\"SPX\")":1.5312885,"HUBB-US^P_BETA_LOCIDX(45538,45363,,\"SPX\")":1.539796,"HUBB-US^P_BETA_LOCIDX(45534,45362,,\"SPX\")":1.4910426,"HUBB-US^P_BETA_LOCIDX(45533,45359,,\"SPX\")":1.4845705,"HUBB-US^P_BETA_LOCIDX(45532,45358,,\"SPX\")":1.4845496,"HUBB-US^P_BETA_LOCIDX(45531,45357,,\"SPX\")":1.5018637,"HUBB-US^P_BETA_LOCIDX(45530,45356,,\"SPX\")":1.5039918,"HUBB-US^P_BETA_LOCIDX(45527,45355,,\"SPX\")":1.5033706,"HUBB-US^P_BETA_LOCIDX(45526,45352,,\"SPX\")":1.4979372,"HUBB-US^P_BETA_LOCIDX(45525,45351,,\"SPX\")":1.5350536,"HUBB-US^P_BETA_LOCIDX(45524,45350,,\"SPX\")":1.528292,"HUBB-US^P_BETA_LOCIDX(45523,45349,,\"SPX\")":1.5244141,"HUBB-US^P_BETA_LOCIDX(45520,45348,,\"SPX\")":1.5245576,"HUBB-US^P_BETA_LOCIDX(45519,45345,,\"SPX\")":1.5276953,"HUBB-US^P_BETA_LOCIDX(45518,45344,,\"SPX\")":1.5620803,"HUBB-US^P_BETA_LOCIDX(45517,45343,,\"SPX\")":1.5592444,"HUBB-US^P_BETA_LOCIDX(45516,45342,,\"SPX\")":1.6022087,"HUBB-US^P_BETA_LOCIDX(45513,45338,,\"SPX\")":1.5958295,"HUBB-US^P_BETA_LOCIDX(45512,45337,,\"SPX\")":1.5872425,"HUBB-US^P_BETA_LOCIDX(45511,45336,,\"SPX\")":1.5790813,"HUBB-US^P_BETA_LOCIDX(45510,45335,,\"SPX\")":1.5830349,"HUBB-US^P_BETA_LOCIDX(45509,45334,,\"SPX\")":1.6179198,"HUBB-US^P_BETA_LOCIDX(45506,45331,,\"SPX\")":1.8226564,"HUBB-US^P_BETA_LOCIDX(45505,45330,,\"SPX\")":1.8176122,"HUBB-US^P_BETA_LOCIDX(45504,45329,,\"SPX\")":1.782141,"HUBB-US^P_BETA_LOCIDX(45503,45328,,\"SPX\")":1.745178,"HUBB-US^P_BETA_LOCIDX(45502,45327,,\"SPX\")":1.7904054,"HUBB-US^P_BETA_LOCIDX(45499,45324,,\"SPX\")":1.8097712,"HUBB-US^P_BETA_LOCIDX(45498,45323,,\"SPX\")":1.7922412,"HUBB-US^P_BETA_LOCIDX(45497,45322,,\"SPX\")":1.7861055,"HUBB-US^P_BETA_LOCIDX(45496,45321,,\"SPX\")":1.7023735,"HUBB-US^P_BETA_LOCIDX(45495,45320,,\"SPX\")":1.7024888,"HUBB-US^P_BETA_LOCIDX(45492,45317,,\"SPX\")":1.6949546,"HUBB-US^P_BETA_LOCIDX(45491,45316,,\"SPX\")":1.7261904,"HUBB-US^P_BETA_LOCIDX(45490,45315,,\"SPX\")":1.7596176,"HUBB-US^P_BETA_LOCIDX(45489,45314,,\"SPX\")":1.6459233,"HUBB-US^P_BETA_LOCIDX(45488,45313,,\"SPX\")":1.6140769,"HUBB-US^P_BETA_LOCIDX(45485,45310,,\"SPX\")":1.6051227,"HUBB-US^P_BETA_LOCIDX(45484,45309,,\"SPX\")":1.6073748,"HUBB-US^P_BETA_LOCIDX(45483,45308,,\"SPX\")":1.6605829,"HUBB-US^P_BETA_LOCIDX(45482,45307,,\"SPX\")":1.6651424,"HUBB-US^P_BETA_LOCIDX(45481,45303,,\"SPX\")":1.6635547,"HUBB-US^P_BETA_LOCIDX(45478,45302,,\"SPX\")":1.6611104,"HUBB-US^P_BETA_LOCIDX(45476,45301,,\"SPX\")":1.6522108,"HUBB-US^P_BETA_LOCIDX(45475,45300,,\"SPX\")":1.6373792,"HUBB-US^P_BETA_LOCIDX(45474,45299,,\"SPX\")":1.6115109,"HUBB-US^P_BETA_LOCIDX(45471,45296,,\"SPX\")":1.616055,"HUBB-US^P_BETA_LOCIDX(45470,45295,,\"SPX\")":1.597758,"HUBB-US^P_BETA_LOCIDX(45469,45294,,\"SPX\")":1.6215115,"HUBB-US^P_BETA_LOCIDX(45468,45293,,\"SPX\")":1.6219801,"HUBB-US^P_BETA_LOCIDX(45467,45289,,\"SPX\")":1.6215738,"HUBB-US^P_BETA_LOCIDX(45464,45288,,\"SPX\")":1.6299497,"HUBB-US^P_BETA_LOCIDX(45463,45287,,\"SPX\")":1.6277792,"HUBB-US^P_BETA_LOCIDX(45461,45286,,\"SPX\")":1.6189721,"HUBB-US^P_BETA_LOCIDX(45460,45282,,\"SPX\")":1.6162246,"HUBB-US^P_BETA_LOCIDX(45457,45281,,\"SPX\")":1.5998437,"HUBB-US^P_BETA_LOCIDX(45456,45280,,\"SPX\")":1.549882,"HUBB-US^P_BETA_LOCIDX(45455,45279,,\"SPX\")":1.5390258,"HUBB-US^P_BETA_LOCIDX(45454,45278,,\"SPX\")":1.4962693,"HUBB-US^P_BETA_LOCIDX(45453,45275,,\"SPX\")":1.4989636,"HUBB-US^P_BETA_LOCIDX(45450,45274,,\"SPX\")":1.5074165,"HUBB-US^P_BETA_LOCIDX(45449,45273,,\"SPX\")":1.4396319,"HUBB-US^P_BETA_LOCIDX(45448,45272,,\"SPX\")":1.4338671,"HUBB-US^P_BETA_LOCIDX(45447,45271,,\"SPX\")":1.4240881,"HUBB-US^P_BETA_LOCIDX(45446,45268,,\"SPX\")":1.4262952,"HUBB-US^P_BETA_LOCIDX(45443,45267,,\"SPX\")":1.4234049,"HUBB-US^P_BETA_LOCIDX(45442,45266,,\"SPX\")":1.4278448,"HUBB-US^P_BETA_LOCIDX(45441,45265,,\"SPX\")":1.4453088,"HUBB-US^P_BETA_LOCIDX(45440,45264,,\"SPX\")":1.4214567,"HUBB-US^P_BETA_LOCIDX(45436,45261,,\"SPX\")":1.4169102,"HUBB-US^P_BETA_LOCIDX(45435,45260,,\"SPX\")":1.4022487,"HUBB-US^P_BETA_LOCIDX(45434,45259,,\"SPX\")":1.4146194,"HUBB-US^P_BETA_LOCIDX(45433,45258,,\"SPX\")":1.4129854,"HUBB-US^P_BETA_LOCIDX(45432,45257,,\"SPX\")":1.4092809,"HUBB-US^P_BETA_LOCIDX(45429,45254,,\"SPX\")":1.4098254,"HUBB-US^P_BETA_LOCIDX(45428,45252,,\"SPX\")":1.4105502,"HUBB-US^P_BETA_LOCIDX(45427,45251,,\"SPX\")":1.3975329,"HUBB-US^P_BETA_LOCIDX(45426,45250,,\"SPX\")":1.3997778,"HUBB-US^P_BETA_LOCIDX(45425,45247,,\"SPX\")":1.4063693,"HUBB-US^P_BETA_LOCIDX(45422,45246,,\"SPX\")":1.4028009,"HUBB-US^P_BETA_LOCIDX(45421,45245,,\"SPX\")":1.4019003,"HUBB-US^P_BETA_LOCIDX(45420,45244,,\"SPX\")":1.3527639,"HUBB-US^P_BETA_LOCIDX(45419,45243,,\"SPX\")":1.3527797,"HUBB-US^P_BETA_LOCIDX(45418,45240,,\"SPX\")":1.3389817,"HUBB-US^P_BETA_LOCIDX(45415,45239,,\"SPX\")":1.2943897,"HUBB-US^P_BETA_LOCIDX(45414,45238,,\"SPX\")":1.2913231,"HUBB-US^P_BETA_LOCIDX(45413,45237,,\"SPX\")":1.3085878,"HUBB-US^P_BETA_LOCIDX(45412,45236,,\"SPX\")":1.3157027,"HUBB-US^P_BETA_LOCIDX(45411,45233,,\"SPX\")":1.0938438,"HUBB-US^P_BETA_LOCIDX(45408,45232,,\"SPX\")":1.0483412,"HUBB-US^P_BETA_LOCIDX(45407,45231,,\"SPX\")":1.0778275,"HUBB-US^P_BETA_LOCIDX(45406,45230,,\"SPX\")":1.0465395,"HUBB-US^P_BETA_LOCIDX(45405,45229,,\"SPX\")":1.0372605,"HUBB-US^P_BETA_LOCIDX(45404,45226,,\"SPX\")":1.0270451,"HUBB-US^P_BETA_LOCIDX(45401,45225,,\"SPX\")":0.99278456,"HUBB-US^P_BETA_LOCIDX(45400,45224,,\"SPX\")":0.9761178,"HUBB-US^P_BETA_LOCIDX(45399,45223,,\"SPX\")":0.9767628,"HUBB-US^P_BETA_LOCIDX(45398,45222,,\"SPX\")":0.9651752,"HUBB-US^P_BETA_LOCIDX(45397,45219,,\"SPX\")":0.9729233,"HUBB-US^P_BETA_LOCIDX(45394,45218,,\"SPX\")":1.0144746,"HUBB-US^P_BETA_LOCIDX(45393,45217,,\"SPX\")":1.0672694,"HUBB-US^P_BETA_LOCIDX(45392,45216,,\"SPX\")":1.0810374,"HUBB-US^P_BETA_LOCIDX(45391,45215,,\"SPX\")":1.1144046,"HUBB-US^P_BETA_LOCIDX(45390,45212,,\"SPX\")":1.1582963,"HUBB-US^P_BETA_LOCIDX(45387,45211,,\"SPX\")":1.1539395,"HUBB-US^P_BETA_LOCIDX(45386,45210,,\"SPX\")":1.1596764,"HUBB-US^P_BETA_LOCIDX(45385,45209,,\"SPX\")":1.121589,"HUBB-US^P_BETA_LOCIDX(45384,45208,,\"SPX\")":1.115113,"HUBB-US^P_BETA_LOCIDX(45383,45205,,\"SPX\")":1.1528162,"HUBB-US^P_BETA_LOCIDX(45379,45204,,\"SPX\")":1.1685903,"HUBB-US^P_BETA_LOCIDX(45378,45203,,\"SPX\")":1.1639527,"HUBB-US^P_BETA_LOCIDX(45377,45202,,\"SPX\")":1.1666255,"HUBB-US^P_BETA_LOCIDX(45376,45201,,\"SPX\")":1.1722234,"HUBB-US^P_BETA_LOCIDX(45373,45198,,\"SPX\")":1.1738625,"HUBB-US^P_BETA_LOCIDX(45372,45197,,\"SPX\")":1.1767669,"HUBB-US^P_BETA_LOCIDX(45371,45196,,\"SPX\")":1.1676662,"HUBB-US^P_BETA_LOCIDX(45370,45195,,\"SPX\")":1.1433327,"HUBB-US^P_BETA_LOCIDX(45369,45194,,\"SPX\")":1.159363,"HUBB-US^P_BETA_LOCIDX(45366,45191,,\"SPX\")":1.1532091,"HUBB-US^P_BETA_LOCIDX(45365,45190,,\"SPX\")":1.1450732,"HUBB-US^P_BETA_LOCIDX(45364,45189,,\"SPX\")":1.1536205,"HUBB-US^P_BETA_LOCIDX(45363,45188,,\"SPX\")":1.1653534,"HUBB-US^P_BETA_LOCIDX(45362,45187,,\"SPX\")":1.1484151,"HUBB-US^P_BETA_LOCIDX(45359,45184,,\"SPX\")":1.1405969,"HUBB-US^P_BETA_LOCIDX(45358,45183,,\"SPX\")":1.1512688,"HUBB-US^P_BETA_LOCIDX(45357,45182,,\"SPX\")":1.150315,"HUBB-US^P_BETA_LOCIDX(45356,45181,,\"SPX\")":1.1591998,"HUBB-US^P_BETA_LOCIDX(45355,45180,,\"SPX\")":1.1390508,"HUBB-US^P_BETA_LOCIDX(45352,45177,,\"SPX\")":1.1423563,"HUBB-US^P_BETA_LOCIDX(45351,45176,,\"SPX\")":1.1224734,"HUBB-US^P_BETA_LOCIDX(45350,45175,,\"SPX\")":1.0897328,"HUBB-US^P_BETA_LOCIDX(45349,45174,,\"SPX\")":1.1244094,"HUBB-US^P_BETA_LOCIDX(45348,45170,,\"SPX\")":1.1258283,"HUBB-US^P_BETA_LOCIDX(45345,45169,,\"SPX\")":1.1361332,"HUBB-US^P_BETA_LOCIDX(45344,45168,,\"SPX\")":1.1339266,"HUBB-US^P_BETA_LOCIDX(45343,45167,,\"SPX\")":1.0913424,"HUBB-US^P_BETA_LOCIDX(45342,45166,,\"SPX\")":1.0924697,"HUBB-US^P_BETA_LOCIDX(45338,45163,,\"SPX\")":1.1017563,"HUBB-US^P_BETA_LOCIDX(45337,45162,,\"SPX\")":1.0829518,"HUBB-US^P_BETA_LOCIDX(45336,45161,,\"SPX\")":1.1204562,"HUBB-US^P_BETA_LOCIDX(45335,45160,,\"SPX\")":1.1077731,"HUBB-US^P_BETA_LOCIDX(45334,45159,,\"SPX\")":1.1006601,"HUBB-US^P_BETA_LOCIDX(45331,45156,,\"SPX\")":1.0962034,"HUBB-US^P_BETA_LOCIDX(45330,45155,,\"SPX\")":1.1061543,"HUBB-US^P_BETA_LOCIDX(45329,45154,,\"SPX\")":1.0972201,"HUBB-US^P_BETA_LOCIDX(45328,45153,,\"SPX\")":1.091531,"HUBB-US^P_BETA_LOCIDX(45327,45152,,\"SPX\")":1.0959061,"HUBB-US^P_BETA_LOCIDX(45324,45149,,\"SPX\")":1.0882206,"HUBB-US^P_BETA_LOCIDX(45323,45148,,\"SPX\")":1.0633342,"HUBB-US^P_BETA_LOCIDX(45322,45147,,\"SPX\")":1.0665009,"HUBB-US^P_BETA_LOCIDX(45321,45146,,\"SPX\")":1.0310036,"HUBB-US^P_BETA_LOCIDX(45320,45145,,\"SPX\")":1.0493351,"HUBB-US^P_BETA_LOCIDX(45317,45142,,\"SPX\")":1.0481999,"HUBB-US^P_BETA_LOCIDX(45316,45141,,\"SPX\")":1.0544486,"HUBB-US^P_BETA_LOCIDX(45315,45140,,\"SPX\")":1.031961,"HUBB-US^P_BETA_LOCIDX(45314,45139,,\"SPX\")":1.0254772,"HUBB-US^P_BETA_LOCIDX(45313,45138,,\"SPX\")":1.0313482,"HUBB-US^P_BETA_LOCIDX(45310,45135,,\"SPX\")":1.0207027,"HUBB-US^P_BETA_LOCIDX(45309,45134,,\"SPX\")":1.020237,"HUBB-US^P_BETA_LOCIDX(45308,45133,,\"SPX\")":1.0176938,"HUBB-US^P_BETA_LOCIDX(45307,45132,,\"SPX\")":0.9921533,"HUBB-US^P_BETA_LOCIDX(45303,45131,,\"SPX\")":0.990597,"HUBB-US^P_BETA_LOCIDX(45302,45128,,\"SPX\")":0.99086463,"HUBB-US^P_BETA_LOCIDX(45301,45127,,\"SPX\")":0.98274255,"HUBB-US^P_BETA_LOCIDX(45300,45126,,\"SPX\")":0.9911527,"HUBB-US^P_BETA_LOCIDX(45299,45125,,\"SPX\")":1.0054938,"HUBB-US^P_BETA_LOCIDX(45296,45124,,\"SPX\")":1.0043832,"HUBB-US^P_BETA_LOCIDX(45295,45121,,\"SPX\")":1.0075333,"HUBB-US^P_BETA_LOCIDX(45294,45120,,\"SPX\")":1.0113355,"HUBB-US^P_BETA_LOCIDX(45293,45119,,\"SPX\")":0.9753674,"HUBB-US^P_BETA_LOCIDX(45289,45118,,\"SPX\")":0.959892,"HUBB-US^P_BETA_LOCIDX(45288,45117,,\"SPX\")":0.96864325,"HUBB-US^P_BETA_LOCIDX(45287,45114,,\"SPX\")":0.9644956,"HUBB-US^P_BETA_LOCIDX(45286,45113,,\"SPX\")":0.9595079,"HUBB-US^P_BETA_LOCIDX(45282,45112,,\"SPX\")":0.9572786,"HUBB-US^P_BETA_LOCIDX(45281,45110,,\"SPX\")":0.9559572,"HUBB-US^P_BETA_LOCIDX(45280,45107,,\"SPX\")":0.95765144,"HUBB-US^P_BETA_LOCIDX(45279,45106,,\"SPX\")":0.98114604,"HUBB-US^P_BETA_LOCIDX(45278,45105,,\"SPX\")":0.98946846,"HUBB-US^P_BETA_LOCIDX(45275,45104,,\"SPX\")":0.9944295,"HUBB-US^P_BETA_LOCIDX(45274,45103,,\"SPX\")":0.98418623,"HUBB-US^P_BETA_LOCIDX(45273,45100,,\"SPX\")":0.9805088,"HUBB-US^P_BETA_LOCIDX(45272,45099,,\"SPX\")":1.0289283,"HUBB-US^P_BETA_LOCIDX(45271,45098,,\"SPX\")":1.0133097,"HUBB-US^P_BETA_LOCIDX(45268,45097,,\"SPX\")":0.99753773,"HUBB-US^P_BETA_LOCIDX(45267,45093,,\"SPX\")":0.99456215,"HUBB-US^P_BETA_LOCIDX(45266,45092,,\"SPX\")":1.0032254,"HUBB-US^P_BETA_LOCIDX(45265,45091,,\"SPX\")":1.0139496,"HUBB-US^P_BETA_LOCIDX(45264,45090,,\"SPX\")":1.0213991,"HUBB-US^P_BETA_LOCIDX(45261,45089,,\"SPX\")":1.031066,"HUBB-US^P_BETA_LOCIDX(45260,45086,,\"SPX\")":1.026458,"HUBB-US^P_BETA_LOCIDX(45259,45085,,\"SPX\")":1.0176003,"HUBB-US^P_BETA_LOCIDX(45258,45084,,\"SPX\")":0.9964331,"HUBB-US^P_BETA_LOCIDX(45257,45083,,\"SPX\")":0.99895954,"HUBB-US^P_BETA_LOCIDX(45254,45082,,\"SPX\")":0.9993365,"HUBB-US^P_BETA_LOCIDX(45252,45079,,\"SPX\")":1.0214515,"HUBB-US^P_BETA_LOCIDX(45251,45078,,\"SPX\")":1.0289677,"HUBB-US^P_BETA_LOCIDX(45250,45077,,\"SPX\")":1.0409148,"HUBB-US^P_BETA_LOCIDX(45247,45076,,\"SPX\")":1.0491556,"HUBB-US^P_BETA_LOCIDX(45246,45072,,\"SPX\")":1.0488534,"HUBB-US^P_BETA_LOCIDX(45245,45071,,\"SPX\")":1.0862005,"HUBB-US^P_BETA_LOCIDX(45244,45070,,\"SPX\")":1.0828745,"HUBB-US^P_BETA_LOCIDX(45243,45069,,\"SPX\")":1.1134298,"HUBB-US^P_BETA_LOCIDX(45240,45068,,\"SPX\")":1.1140537,"HUBB-US^P_BETA_LOCIDX(45239,45065,,\"SPX\")":1.1174713,"HUBB-US^P_BETA_LOCIDX(45238,45064,,\"SPX\")":1.1578423,"HUBB-US^P_BETA_LOCIDX(45237,45063,,\"SPX\")":1.1649973,"HUBB-US^P_BETA_LOCIDX(45236,45062,,\"SPX\")":1.1706549,"HUBB-US^P_BETA_LOCIDX(45233,45061,,\"SPX\")":1.1722435,"HUBB-US^P_BETA_LOCIDX(45232,45058,,\"SPX\")":1.1797435,"HUBB-US^P_BETA_LOCIDX(45231,45057,,\"SPX\")":1.2252021,"HUBB-US^P_BETA_LOCIDX(45230,45056,,\"SPX\")":1.1920115,"HUBB-US^P_BETA_LOCIDX(45229,45055,,\"SPX\")":1.240942,"HUBB-US^P_BETA_LOCIDX(45226,45054,,\"SPX\")":1.253993,"HUBB-US^P_BETA_LOCIDX(45225,45051,,\"SPX\")":1.2172432,"HUBB-US^P_BETA_LOCIDX(45224,45050,,\"SPX\")":1.2622857,"HUBB-US^P_BETA_LOCIDX(45223,45049,,\"SPX\")":1.3010548,"HUBB-US^P_BETA_LOCIDX(45222,45048,,\"SPX\")":1.2302021,"HUBB-US^P_BETA_LOCIDX(45219,45047,,\"SPX\")":1.230161,"HUBB-US^P_BETA_LOCIDX(45218,45044,,\"SPX\")":1.2223227,"HUBB-US^P_BETA_LOCIDX(45217,45043,,\"SPX\")":1.2203319,"HUBB-US^P_BETA_LOCIDX(45216,45042,,\"SPX\")":1.1799963,"HUBB-US^P_BETA_LOCIDX(45215,45041,,\"SPX\")":0.85311806,"HUBB-US^P_BETA_LOCIDX(45212,45040,,\"SPX\")":0.8221858,"HUBB-US^P_BETA_LOCIDX(45211,45037,,\"SPX\")":0.78427017,"HUBB-US^P_BETA_LOCIDX(45210,45036,,\"SPX\")":0.7851874,"HUBB-US^P_BETA_LOCIDX(45209,45035,,\"SPX\")":0.7836249,"HUBB-US^P_BETA_LOCIDX(45208,45034,,\"SPX\")":0.7901676,"HUBB-US^P_BETA_LOCIDX(45205,45033,,\"SPX\")":0.80423254,"HUBB-US^P_BETA_LOCIDX(45204,45030,,\"SPX\")":0.7637724,"HUBB-US^P_BETA_LOCIDX(45203,45029,,\"SPX\")":0.73098445,"HUBB-US^P_BETA_LOCIDX(45202,45028,,\"SPX\")":0.727427,"HUBB-US^P_BETA_LOCIDX(45201,45027,,\"SPX\")":0.71672326,"HUBB-US^P_BETA_LOCIDX(45198,45026,,\"SPX\")":0.7170519,"HUBB-US^P_BETA_LOCIDX(45197,45022,,\"SPX\")":0.7009033,"HUBB-US^P_BETA_LOCIDX(45196,45021,,\"SPX\")":0.71555924,"HUBB-US^P_BETA_LOCIDX(45195,45020,,\"SPX\")":0.7681168,"HUBB-US^P_BETA_LOCIDX(45194,45019,,\"SPX\")":0.7582564,"HUBB-US^P_BETA_LOCIDX(45191,45016,,\"SPX\")":0.74857724,"HUBB-US^P_BETA_LOCIDX(45190,45015,,\"SPX\")":0.7463006,"HUBB-US^P_BETA_LOCIDX(45189,45014,,\"SPX\")":0.72704536,"HUBB-US^P_BETA_LOCIDX(45188,45013,,\"SPX\")":0.70973,"HUBB-US^P_BETA_LOCIDX(45187,45012,,\"SPX\")":0.70144725,"HUBB-US^P_BETA_LOCIDX(45184,45009,,\"SPX\")":0.692877,"HUBB-US^P_BETA_LOCIDX(45183,45008,,\"SPX\")":0.6738162,"HUBB-US^P_BETA_LOCIDX(45182,45007,,\"SPX\")":0.70851433,"HUBB-US^P_BETA_LOCIDX(45181,45006,,\"SPX\")":0.6923196,"HUBB-US^P_BETA_LOCIDX(45180,45005,,\"SPX\")":0.69422853,"HUBB-US^P_BETA_LOCIDX(45177,45002,,\"SPX\")":0.74415135,"HUBB-US^P_BETA_LOCIDX(45176,45001,,\"SPX\")":0.78301126,"HUBB-US^P_BETA_LOCIDX(45175,45000,,\"SPX\")":0.85159016,"HUBB-US^P_BETA_LOCIDX(45174,44999,,\"SPX\")":0.91810405,"HUBB-US^P_BETA_LOCIDX(45170,44998,,\"SPX\")":0.8882187,"HUBB-US^P_BETA_LOCIDX(45169,44995,,\"SPX\")":0.9299613,"HUBB-US^P_BETA_LOCIDX(45168,44994,,\"SPX\")":0.93208784,"HUBB-US^P_BETA_LOCIDX(45167,44993,,\"SPX\")":0.9347349,"HUBB-US^P_BETA_LOCIDX(45166,44992,,\"SPX\")":0.95120406,"HUBB-US^P_BETA_LOCIDX(45163,44991,,\"SPX\")":0.95099825,"HUBB-US^P_BETA_LOCIDX(45162,44988,,\"SPX\")":0.934597,"HUBB-US^P_BETA_LOCIDX(45161,44987,,\"SPX\")":0.9412392,"HUBB-US^P_BETA_LOCIDX(45160,44986,,\"SPX\")":0.91451967,"HUBB-US^P_BETA_LOCIDX(45159,44985,,\"SPX\")":0.91472054,"HUBB-US^P_BETA_LOCIDX(45156,44984,,\"SPX\")":0.9075204,"HUBB-US^P_BETA_LOCIDX(45155,44981,,\"SPX\")":0.8766951,"HUBB-US^P_BETA_LOCIDX(45154,44980,,\"SPX\")":0.8647587,"HUBB-US^P_BETA_LOCIDX(45153,44979,,\"SPX\")":0.8717609,"HUBB-US^P_BETA_LOCIDX(45152,44978,,\"SPX\")":0.8585705,"HUBB-US^P_BETA_LOCIDX(45149,44974,,\"SPX\")":0.8514807,"HUBB-US^P_BETA_LOCIDX(45148,44973,,\"SPX\")":0.84120524,"HUBB-US^P_BETA_LOCIDX(45147,44972,,\"SPX\")":0.8455892,"HUBB-US^P_BETA_LOCIDX(45146,44971,,\"SPX\")":0.8242278,"HUBB-US^P_BETA_LOCIDX(45145,44970,,\"SPX\")":0.8335845,"HUBB-US^P_BETA_LOCIDX(45142,44967,,\"SPX\")":0.8252684,"HUBB-US^P_BETA_LOCIDX(45141,44966,,\"SPX\")":0.80701226,"HUBB-US^P_BETA_LOCIDX(45140,44965,,\"SPX\")":0.8210962,"HUBB-US^P_BETA_LOCIDX(45139,44964,,\"SPX\")":0.8212162,"HUBB-US^P_BETA_LOCIDX(45138,44963,,\"SPX\")":0.82021487,"HUBB-US^P_BETA_LOCIDX(45135,44960,,\"SPX\")":0.7859643,"HUBB-US^P_BETA_LOCIDX(45134,44959,,\"SPX\")":0.75887495,"HUBB-US^P_BETA_LOCIDX(45133,44958,,\"SPX\")":0.79293746,"HUBB-US^P_BETA_LOCIDX(45132,44957,,\"SPX\")":0.7607806,"HUBB-US^P_BETA_LOCIDX(45131,44956,,\"SPX\")":0.7666981,"HUBB-US^P_BETA_LOCIDX(45128,44953,,\"SPX\")":0.76794434,"HUBB-US^P_BETA_LOCIDX(45127,44952,,\"SPX\")":0.7686948,"HUBB-US^P_BETA_LOCIDX(45126,44951,,\"SPX\")":0.7735367,"HUBB-US^P_BETA_LOCIDX(45125,44950,,\"SPX\")":0.77025205,"HUBB-US^P_BETA_LOCIDX(45124,44949,,\"SPX\")":0.7500932,"HUBB-US^P_BETA_LOCIDX(45121,44946,,\"SPX\")":0.7279423,"HUBB-US^P_BETA_LOCIDX(45120,44945,,\"SPX\")":0.74082756,"HUBB-US^P_BETA_LOCIDX(45119,44944,,\"SPX\")":0.7435602,"HUBB-US^P_BETA_LOCIDX(45118,44943,,\"SPX\")":0.7603981,"HUBB-US^P_BETA_LOCIDX(45117,44939,,\"SPX\")":0.7705188,"HUBB-US^P_BETA_LOCIDX(45114,44938,,\"SPX\")":0.7636721,"HUBB-US^P_BETA_LOCIDX(45113,44937,,\"SPX\")":0.76130754,"HUBB-US^P_BETA_LOCIDX(45112,44936,,\"SPX\")":0.76566136,"HUBB-US^P_BETA_LOCIDX(45110,44935,,\"SPX\")":0.7622235,"HUBB-US^P_BETA_LOCIDX(45107,44932,,\"SPX\")":0.7622023,"HUBB-US^P_BETA_LOCIDX(45106,44931,,\"SPX\")":0.77924716,"HUBB-US^P_BETA_LOCIDX(45105,44930,,\"SPX\")":0.7564728,"HUBB-US^P_BETA_LOCIDX(45104,44929,,\"SPX\")":0.75540125,"HUBB-US^P_BETA_LOCIDX(45103,44925,,\"SPX\")":0.7548737,"HUBB-US^P_BETA_LOCIDX(45100,44924,,\"SPX\")":0.7415051,"HUBB-US^P_BETA_LOCIDX(45099,44923,,\"SPX\")":0.73724955,"HUBB-US^P_BETA_LOCIDX(45098,44922,,\"SPX\")":0.7363457,"HUBB-US^P_BETA_LOCIDX(45097,44918,,\"SPX\")":0.7398693,"HUBB-US^P_BETA_LOCIDX(45093,44917,,\"SPX\")":0.75850594,"HUBB-US^P_BETA_LOCIDX(45092,44916,,\"SPX\")":0.76084346,"HUBB-US^P_BETA_LOCIDX(45091,44915,,\"SPX\")":0.7540382,"HUBB-US^P_BETA_LOCIDX(45090,44914,,\"SPX\")":0.732525,"HUBB-US^P_BETA_LOCIDX(45089,44911,,\"SPX\")":0.7599604,"HUBB-US^P_BETA_LOCIDX(45086,44910,,\"SPX\")":0.7876645,"HUBB-US^P_BETA_LOCIDX(45085,44909,,\"SPX\")":0.8013708,"HUBB-US^P_BETA_LOCIDX(45084,44908,,\"SPX\")":0.79998565,"HUBB-US^P_BETA_LOCIDX(45083,44907,,\"SPX\")":0.820368,"HUBB-US^P_BETA_LOCIDX(45082,44904,,\"SPX\")":0.81861603,"HUBB-US^P_BETA_LOCIDX(45079,44903,,\"SPX\")":0.82415456,"HUBB-US^P_BETA_LOCIDX(45078,44902,,\"SPX\")":0.80815434,"HUBB-US^P_BETA_LOCIDX(45077,44901,,\"SPX\")":0.7925138,"HUBB-US^P_BETA_LOCIDX(45076,44900,,\"SPX\")":0.78462625,"HUBB-US^P_BETA_LOCIDX(45072,44897,,\"SPX\")":0.78567284,"HUBB-US^P_BETA_LOCIDX(45071,44896,,\"SPX\")":0.7823371,"HUBB-US^P_BETA_LOCIDX(45070,44895,,\"SPX\")":0.7423176,"HUBB-US^P_BETA_LOCIDX(45069,44894,,\"SPX\")":0.74341744,"HUBB-US^P_BETA_LOCIDX(45068,44893,,\"SPX\")":0.7586889,"HUBB-US^P_BETA_LOCIDX(45065,44890,,\"SPX\")":0.7583572,"HUBB-US^P_BETA_LOCIDX(45064,44888,,\"SPX\")":0.75079125,"HUBB-US^P_BETA_LOCIDX(45063,44887,,\"SPX\")":0.75276655,"HUBB-US^P_BETA_LOCIDX(45062,44886,,\"SPX\")":0.7435469,"HUBB-US^P_BETA_LOCIDX(45061,44883,,\"SPX\")":0.74262935,"HUBB-US^P_BETA_LOCIDX(45058,44882,,\"SPX\")":0.7405832,"HUBB-US^P_BETA_LOCIDX(45057,44881,,\"SPX\")":0.7421572,"HUBB-US^P_BETA_LOCIDX(45056,44880,,\"SPX\")":0.7387136,"HUBB-US^P_BETA_LOCIDX(45055,44879,,\"SPX\")":0.7377384,"HUBB-US^P_BETA_LOCIDX(45054,44876,,\"SPX\")":0.7243706,"HUBB-US^P_BETA_LOCIDX(45051,44875,,\"SPX\")":0.79461634,"HUBB-US^P_BETA_LOCIDX(45050,44874,,\"SPX\")":0.794805,"HUBB-US^P_BETA_LOCIDX(45049,44873,,\"SPX\")":0.7951491,"HUBB-US^P_BETA_LOCIDX(45048,44872,,\"SPX\")":0.78103065,"HUBB-US^P_BETA_LOCIDX(45047,44869,,\"SPX\")":0.8057673,"HUBB-US^P_BETA_LOCIDX(45044,44868,,\"SPX\")":0.8005546,"HUBB-US^P_BETA_LOCIDX(45043,44867,,\"SPX\")":0.7957016,"HUBB-US^P_BETA_LOCIDX(45042,44866,,\"SPX\")":0.78044283,"HUBB-US^P_BETA_LOCIDX(45041,44865,,\"SPX\")":0.7783597,"HUBB-US^P_BETA_LOCIDX(45040,44862,,\"SPX\")":0.862162,"HUBB-US^P_BETA_LOCIDX(45037,44861,,\"SPX\")":0.8573979,"HUBB-US^P_BETA_LOCIDX(45036,44860,,\"SPX\")":0.85269034,"HUBB-US^P_BETA_LOCIDX(45035,44859,,\"SPX\")":0.8982681,"HUBB-US^P_BETA_LOCIDX(45034,44858,,\"SPX\")":0.9099789,"HUBB-US^P_BETA_LOCIDX(45033,44855,,\"SPX\")":0.9089809,"HUBB-US^P_BETA_LOCIDX(45030,44854,,\"SPX\")":0.9156432,"HUBB-US^P_BETA_LOCIDX(45029,44853,,\"SPX\")":0.93651474,"HUBB-US^P_BETA_LOCIDX(45028,44852,,\"SPX\")":0.9551043,"HUBB-US^P_BETA_LOCIDX(45027,44851,,\"SPX\")":0.9636909,"HUBB-US^P_BETA_LOCIDX(45026,44848,,\"SPX\")":0.98379177,"HUBB-US^P_BETA_LOCIDX(45022,44847,,\"SPX\")":0.95909905,"HUBB-US^P_BETA_LOCIDX(45021,44846,,\"SPX\")":0.96320516,"HUBB-US^P_BETA_LOCIDX(45020,44845,,\"SPX\")":0.95795673,"HUBB-US^P_BETA_LOCIDX(45019,44844,,\"SPX\")":0.93530875,"HUBB-US^P_BETA_LOCIDX(45016,44841,,\"SPX\")":0.93316925,"HUBB-US^P_BETA_LOCIDX(45015,44840,,\"SPX\")":0.9337401,"HUBB-US^P_BETA_LOCIDX(45014,44839,,\"SPX\")":0.9337387,"HUBB-US^P_BETA_LOCIDX(45013,44838,,\"SPX\")":0.94837034,"HUBB-US^P_BETA_LOCIDX(45012,44837,,\"SPX\")":0.94323665,"HUBB-US^P_BETA_LOCIDX(45009,44834,,\"SPX\")":0.92364717,"HUBB-US^P_BETA_LOCIDX(45008,44833,,\"SPX\")":0.91437215,"HUBB-US^P_BETA_LOCIDX(45007,44832,,\"SPX\")":0.9202676,"HUBB-US^P_BETA_LOCIDX(45006,44831,,\"SPX\")":0.91492456,"HUBB-US^P_BETA_LOCIDX(45005,44830,,\"SPX\")":0.9161216,"HUBB-US^P_BETA_LOCIDX(45002,44827,,\"SPX\")":0.90430915,"HUBB-US^P_BETA_LOCIDX(45001,44826,,\"SPX\")":0.9011032,"HUBB-US^P_BETA_LOCIDX(45000,44825,,\"SPX\")":0.86731625,"HUBB-US^P_BETA_LOCIDX(44999,44824,,\"SPX\")":0.85658854,"HUBB-US^P_BETA_LOCIDX(44998,44823,,\"SPX\")":0.8487673,"HUBB-US^P_BETA_LOCIDX(44995,44820,,\"SPX\")":0.84796906,"HUBB-US^P_BETA_LOCIDX(44994,44819,,\"SPX\")":0.8288192,"HUBB-US^P_BETA_LOCIDX(44993,44818,,\"SPX\")":0.8253925,"HUBB-US^P_BETA_LOCIDX(44992,44817,,\"SPX\")":0.8036421,"HUBB-US^P_BETA_LOCIDX(44991,44816,,\"SPX\")":0.8011397,"HUBB-US^P_BETA_LOCIDX(44988,44813,,\"SPX\")":0.8055208,"HUBB-US^P_BETA_LOCIDX(44987,44812,,\"SPX\")":0.81021684,"HUBB-US^P_BETA_LOCIDX(44986,44811,,\"SPX\")":0.8229578,"HUBB-US^P_BETA_LOCIDX(44985,44810,,\"SPX\")":0.81992227,"HUBB-US^P_BETA_LOCIDX(44984,44806,,\"SPX\")":0.8207127,"HUBB-US^P_BETA_LOCIDX(44981,44805,,\"SPX\")":0.8225939,"HUBB-US^P_BETA_LOCIDX(44980,44804,,\"SPX\")":0.8307555,"HUBB-US^P_BETA_LOCIDX(44979,44803,,\"SPX\")":0.83566326,"HUBB-US^P_BETA_LOCIDX(44978,44802,,\"SPX\")":0.83371466,"HUBB-US^P_BETA_LOCIDX(44974,44799,,\"SPX\")":0.85811406,"HUBB-US^P_BETA_LOCIDX(44973,44798,,\"SPX\")":0.8597644,"HUBB-US^P_BETA_LOCIDX(44972,44797,,\"SPX\")":0.86287314,"HUBB-US^P_BETA_LOCIDX(44971,44796,,\"SPX\")":0.8615759,"HUBB-US^P_BETA_LOCIDX(44970,44795,,\"SPX\")":0.86041594,"HUBB-US^P_BETA_LOCIDX(44967,44792,,\"SPX\")":0.8552488,"HUBB-US^P_BETA_LOCIDX(44966,44791,,\"SPX\")":0.8555669,"HUBB-US^P_BETA_LOCIDX(44965,44790,,\"SPX\")":0.8579987,"HUBB-US^P_BETA_LOCIDX(44964,44789,,\"SPX\")":0.851627,"HUBB-US^P_BETA_LOCIDX(44963,44788,,\"SPX\")":0.85076034,"HUBB-US^P_BETA_LOCIDX(44960,44785,,\"SPX\")":0.85178614,"HUBB-US^P_BETA_LOCIDX(44959,44784,,\"SPX\")":0.8622152,"HUBB-US^P_BETA_LOCIDX(44958,44783,,\"SPX\")":0.8754206,"HUBB-US^P_BETA_LOCIDX(44957,44782,,\"SPX\")":0.86288977,"HUBB-US^P_BETA_LOCIDX(44956,44781,,\"SPX\")":0.87294525,"HUBB-US^P_BETA_LOCIDX(44953,44778,,\"SPX\")":0.8758793,"HUBB-US^P_BETA_LOCIDX(44952,44777,,\"SPX\")":0.8761312,"HUBB-US^P_BETA_LOCIDX(44951,44776,,\"SPX\")":0.8713096,"HUBB-US^P_BETA_LOCIDX(44950,44775,,\"SPX\")":0.87279624,"HUBB-US^P_BETA_LOCIDX(44949,44774,,\"SPX\")":0.87516093,"HUBB-US^P_BETA_LOCIDX(44946,44771,,\"SPX\")":0.8780013,"HUBB-US^P_BETA_LOCIDX(44945,44770,,\"SPX\")":0.89864457,"HUBB-US^P_BETA_LOCIDX(44944,44769,,\"SPX\")":0.8979011,"HUBB-US^P_BETA_LOCIDX(44943,44768,,\"SPX\")":0.876548,"HUBB-US^P_BETA_LOCIDX(44939,44767,,\"SPX\")":0.87456083,"HUBB-US^P_BETA_LOCIDX(44938,44764,,\"SPX\")":0.8744587,"HUBB-US^P_BETA_LOCIDX(44937,44763,,\"SPX\")":0.87765807,"HUBB-US^P_BETA_LOCIDX(44936,44762,,\"SPX\")":0.87902826,"HUBB-US^P_BETA_LOCIDX(44935,44761,,\"SPX\")":0.89953345,"HUBB-US^P_BETA_LOCIDX(44932,44760,,\"SPX\")":0.9094996,"HUBB-US^P_BETA_LOCIDX(44931,44757,,\"SPX\")":0.90811807,"HUBB-US^P_BETA_LOCIDX(44930,44756,,\"SPX\")":0.90146285,"HUBB-US^P_BETA_LOCIDX(44929,44755,,\"SPX\")":0.909153,"HUBB-US^P_BETA_LOCIDX(44925,44754,,\"SPX\")":0.9069999,"HUBB-US^P_BETA_LOCIDX(44924,44753,,\"SPX\")":0.90464723,"HUBB-US^P_BETA_LOCIDX(44923,44750,,\"SPX\")":0.9143831,"HUBB-US^P_BETA_LOCIDX(44922,44749,,\"SPX\")":0.9151153,"HUBB-US^P_BETA_LOCIDX(44918,44748,,\"SPX\")":0.9159394,"HUBB-US^P_BETA_LOCIDX(44917,44747,,\"SPX\")":0.916716,"HUBB-US^P_BETA_LOCIDX(44916,44743,,\"SPX\")":0.91350347,"HUBB-US^P_BETA_LOCIDX(44915,44742,,\"SPX\")":0.9137526,"HUBB-US^P_BETA_LOCIDX(44914,44741,,\"SPX\")":0.91428536,"HUBB-US^P_BETA_LOCIDX(44911,44740,,\"SPX\")":0.93143046,"HUBB-US^P_BETA_LOCIDX(44910,44739,,\"SPX\")":0.91820264,"HUBB-US^P_BETA_LOCIDX(44909,44736,,\"SPX\")":0.93420345,"HUBB-US^P_BETA_LOCIDX(44908,44735,,\"SPX\")":0.9256604,"HUBB-US^P_BETA_LOCIDX(44907,44734,,\"SPX\")":0.92783165,"HUBB-US^P_BETA_LOCIDX(44904,44733,,\"SPX\")":0.9177205,"HUBB-US^P_BETA_LOCIDX(44903,44729,,\"SPX\")":0.917184,"HUBB-US^P_BETA_LOCIDX(44902,44728,,\"SPX\")":0.93941116,"HUBB-US^P_BETA_LOCIDX(44901,44727,,\"SPX\")":0.93284285,"HUBB-US^P_BETA_LOCIDX(44900,44726,,\"SPX\")":0.93904436,"HUBB-US^P_BETA_LOCIDX(44897,44725,,\"SPX\")":0.97282743,"HUBB-US^P_BETA_LOCIDX(44896,44722,,\"SPX\")":0.9628256,"HUBB-US^P_BETA_LOCIDX(44895,44721,,\"SPX\")":0.9486477,"HUBB-US^P_BETA_LOCIDX(44894,44720,,\"SPX\")":0.9672199,"HUBB-US^P_BETA_LOCIDX(44893,44719,,\"SPX\")":0.9728129,"HUBB-US^P_BETA_LOCIDX(44890,44718,,\"SPX\")":0.9632527,"HUBB-US^P_BETA_LOCIDX(44888,44715,,\"SPX\")":0.9515831,"HUBB-US^P_BETA_LOCIDX(44887,44714,,\"SPX\")":0.95288545,"HUBB-US^P_BETA_LOCIDX(44886,44713,,\"SPX\")":0.95072913,"HUBB-US^P_BETA_LOCIDX(44883,44712,,\"SPX\")":0.9530348,"HUBB-US^P_BETA_LOCIDX(44882,44708,,\"SPX\")":0.95542085,"HUBB-US^P_BETA_LOCIDX(44881,44707,,\"SPX\")":0.95545274,"HUBB-US^P_BETA_LOCIDX(44880,44706,,\"SPX\")":0.94937277,"HUBB-US^P_BETA_LOCIDX(44879,44705,,\"SPX\")":0.95511115,"HUBB-US^P_BETA_LOCIDX(44876,44704,,\"SPX\")":0.9481737,"HUBB-US^P_BETA_LOCIDX(44875,44701,,\"SPX\")":0.9556273,"HUBB-US^P_BETA_LOCIDX(44874,44700,,\"SPX\")":0.9438516,"HUBB-US^P_BETA_LOCIDX(44873,44699,,\"SPX\")":0.9426013,"HUBB-US^P_BETA_LOCIDX(44872,44698,,\"SPX\")":0.93414795,"HUBB-US^P_BETA_LOCIDX(44869,44697,,\"SPX\")":0.93892664,"HUBB-US^P_BETA_LOCIDX(44868,44694,,\"SPX\")":0.9204523,"HUBB-US^P_BETA_LOCIDX(44867,44693,,\"SPX\")":0.9224661,"HUBB-US^P_BETA_LOCIDX(44866,44692,,\"SPX\")":0.92635036,"HUBB-US^P_BETA_LOCIDX(44865,44691,,\"SPX\")":0.92500323,"HUBB-US^P_BETA_LOCIDX(44862,44690,,\"SPX\")":0.89561826,"HUBB-US^P_BETA_LOCIDX(44861,44687,,\"SPX\")":0.9239207,"HUBB-US^P_BETA_LOCIDX(44860,44686,,\"SPX\")":0.9098237,"HUBB-US^P_BETA_LOCIDX(44859,44685,,\"SPX\")":0.90824604,"HUBB-US^P_BETA_LOCIDX(44858,44684,,\"SPX\")":0.8831728,"HUBB-US^P_BETA_LOCIDX(44855,44683,,\"SPX\")":0.87409097,"HUBB-US^P_BETA_LOCIDX(44854,44680,,\"SPX\")":0.8872515,"HUBB-US^P_BETA_LOCIDX(44853,44679,,\"SPX\")":0.8941738,"HUBB-US^P_BETA_LOCIDX(44852,44678,,\"SPX\")":0.8857062,"HUBB-US^P_BETA_LOCIDX(44851,44677,,\"SPX\")":0.8366541,"HUBB-US^P_BETA_LOCIDX(44848,44676,,\"SPX\")":0.8297098,"HUBB-US^P_BETA_LOCIDX(44847,44673,,\"SPX\")":0.80843115,"HUBB-US^P_BETA_LOCIDX(44846,44672,,\"SPX\")":0.8139368,"HUBB-US^P_BETA_LOCIDX(44845,44671,,\"SPX\")":0.8135182,"HUBB-US^P_BETA_LOCIDX(44844,44670,,\"SPX\")":0.82287353,"HUBB-US^P_BETA_LOCIDX(44841,44669,,\"SPX\")":0.8235665,"HUBB-US^P_BETA_LOCIDX(44840,44665,,\"SPX\")":0.81576264,"HUBB-US^P_BETA_LOCIDX(44839,44664,,\"SPX\")":0.81529635,"HUBB-US^P_BETA_LOCIDX(44838,44663,,\"SPX\")":0.81605893,"HUBB-US^P_BETA_LOCIDX(44837,44662,,\"SPX\")":0.8028185,"HUBB-US^P_BETA_LOCIDX(44834,44659,,\"SPX\")":0.80777496,"HUBB-US^P_BETA_LOCIDX(44833,44658,,\"SPX\")":0.81761503,"HUBB-US^P_BETA_LOCIDX(44832,44657,,\"SPX\")":0.81925297,"HUBB-US^P_BETA_LOCIDX(44831,44656,,\"SPX\")":0.8210663,"HUBB-US^P_BETA_LOCIDX(44830,44655,,\"SPX\")":0.8171726,"HUBB-US^P_BETA_LOCIDX(44827,44652,,\"SPX\")":0.819295,"HUBB-US^P_BETA_LOCIDX(44826,44651,,\"SPX\")":0.8325809,"HUBB-US^P_BETA_LOCIDX(44825,44650,,\"SPX\")":0.8290202,"HUBB-US^P_BETA_LOCIDX(44824,44649,,\"SPX\")":0.84782976,"HUBB-US^P_BETA_LOCIDX(44823,44648,,\"SPX\")":0.8444276,"HUBB-US^P_BETA_LOCIDX(44820,44645,,\"SPX\")":0.8405307,"HUBB-US^P_BETA_LOCIDX(44819,44644,,\"SPX\")":0.83717984,"HUBB-US^P_BETA_LOCIDX(44818,44643,,\"SPX\")":0.85164624,"HUBB-US^P_BETA_LOCIDX(44817,44642,,\"SPX\")":0.84184873,"HUBB-US^P_BETA_LOCIDX(44816,44641,,\"SPX\")":0.8595801,"HUBB-US^P_BETA_LOCIDX(44813,44638,,\"SPX\")":0.860129,"HUBB-US^P_BETA_LOCIDX(44812,44637,,\"SPX\")":0.8529105,"HUBB-US^P_BETA_LOCIDX(44811,44636,,\"SPX\")":0.8551918,"HUBB-US^P_BETA_LOCIDX(44810,44635,,\"SPX\")":0.846503,"HUBB-US^P_BETA_LOCIDX(44806,44634,,\"SPX\")":0.84595674,"HUBB-US^P_BETA_LOCIDX(44805,44631,,\"SPX\")":0.8453609,"HUBB-US^P_BETA_LOCIDX(44804,44630,,\"SPX\")":0.8455692,"HUBB-US^P_BETA_LOCIDX(44803,44629,,\"SPX\")":0.83597004,"HUBB-US^P_BETA_LOCIDX(44802,44628,,\"SPX\")":0.8277693,"HUBB-US^P_BETA_LOCIDX(44799,44627,,\"SPX\")":0.82474416,"HUBB-US^P_BETA_LOCIDX(44798,44624,,\"SPX\")":0.80283505,"HUBB-US^P_BETA_LOCIDX(44797,44623,,\"SPX\")":0.8022676,"HUBB-US^P_BETA_LOCIDX(44796,44622,,\"SPX\")":0.8120447,"HUBB-US^P_BETA_LOCIDX(44795,44621,,\"SPX\")":0.8126587,"HUBB-US^P_BETA_LOCIDX(44792,44620,,\"SPX\")":0.813055,"HUBB-US^P_BETA_LOCIDX(44791,44617,,\"SPX\")":0.82103074,"HUBB-US^P_BETA_LOCIDX(44790,44616,,\"SPX\")":0.81725115,"HUBB-US^P_BETA_LOCIDX(44789,44615,,\"SPX\")":0.81967056,"HUBB-US^P_BETA_LOCIDX(44788,44614,,\"SPX\")":0.82147807,"HUBB-US^P_BETA_LOCIDX(44785,44610,,\"SPX\")":0.8241776,"HUBB-US^P_BETA_LOCIDX(44784,44609,,\"SPX\")":0.83098704,"HUBB-US^P_BETA_LOCIDX(44783,44608,,\"SPX\")":0.8309374,"HUBB-US^P_BETA_LOCIDX(44782,44607,,\"SPX\")":0.8270167,"HUBB-US^P_BETA_LOCIDX(44781,44606,,\"SPX\")":0.8266735,"HUBB-US^P_BETA_LOCIDX(44778,44603,,\"SPX\")":0.8285524,"HUBB-US^P_BETA_LOCIDX(44777,44602,,\"SPX\")":0.8375977,"HUBB-US^P_BETA_LOCIDX(44776,44601,,\"SPX\")":0.84008193,"HUBB-US^P_BETA_LOCIDX(44775,44600,,\"SPX\")":0.8458071,"HUBB-US^P_BETA_LOCIDX(44774,44599,,\"SPX\")":0.84492403,"HUBB-US^P_BETA_LOCIDX(45845,45670,,\"SPX\")":1.1198941,"WCC-US^P_BETA_LOCIDX(45841,45665,,\"SPX\")":1.6108652,"WCC-US^P_BETA_LOCIDX(45840,45664,,\"SPX\")":1.6053171,"WCC-US^P_BETA_LOCIDX(45839,45663,,\"SPX\")":1.6038568,"WCC-US^P_BETA_LOCIDX(45838,45660,,\"SPX\")":1.6047648,"WCC-US^P_BETA_LOCIDX(45835,45659,,\"SPX\")":1.6075003,"WCC-US^P_BETA_LOCIDX(45834,45657,,\"SPX\")":1.6063972,"WCC-US^P_BETA_LOCIDX(45833,45656,,\"SPX\")":1.5968384,"WCC-US^P_BETA_LOCIDX(45832,45653,,\"SPX\")":1.5931064,"WCC-US^P_BETA_LOCIDX(45831,45652,,\"SPX\")":1.5916533,"WCC-US^P_BETA_LOCIDX(45828,45650,,\"SPX\")":1.5874903,"WCC-US^P_BETA_LOCIDX(45826,45649,,\"SPX\")":1.5867984,"WCC-US^P_BETA_LOCIDX(45825,45646,,\"SPX\")":1.5872365,"WCC-US^P_BETA_LOCIDX(45824,45645,,\"SPX\")":1.5834777,"WCC-US^P_BETA_LOCIDX(45821,45644,,\"SPX\")":1.5922251,"WCC-US^P_BETA_LOCIDX(45820,45643,,\"SPX\")":1.5931458,"WCC-US^P_BETA_LOCIDX(45819,45642,,\"SPX\")":1.5929866,"WCC-US^P_BETA_LOCIDX(45818,45639,,\"SPX\")":1.5925983,"WCC-US^P_BETA_LOCIDX(45817,45638,,\"SPX\")":1.5924844,"WCC-US^P_BETA_LOCIDX(45814,45637,,\"SPX\")":1.5862929,"WCC-US^P_BETA_LOCIDX(45813,45636,,\"SPX\")":1.5870264,"WCC-US^P_BETA_LOCIDX(45812,45635,,\"SPX\")":1.5892577,"WCC-US^P_BETA_LOCIDX(45811,45632,,\"SPX\")":1.588227,"WCC-US^P_BETA_LOCIDX(45810,45631,,\"SPX\")":1.5810256,"WCC-US^P_BETA_LOCIDX(45807,45630,,\"SPX\")":1.5820029,"WCC-US^P_BETA_LOCIDX(45806,45629,,\"SPX\")":1.5819286,"WCC-US^P_BETA_LOCIDX(45805,45628,,\"SPX\")":1.5839212,"WCC-US^P_BETA_LOCIDX(45804,45625,,\"SPX\")":1.591385,"WCC-US^P_BETA_LOCIDX(45800,45623,,\"SPX\")":1.5958529,"WCC-US^P_BETA_LOCIDX(45799,45622,,\"SPX\")":1.5933766,"WCC-US^P_BETA_LOCIDX(45798,45621,,\"SPX\")":1.5947043,"WCC-US^P_BETA_LOCIDX(45797,45618,,\"SPX\")":1.5919676,"WCC-US^P_BETA_LOCIDX(45796,45617,,\"SPX\")":1.5971586,"WCC-US^P_BETA_LOCIDX(45793,45616,,\"SPX\")":1.5975224,"WCC-US^P_BETA_LOCIDX(45792,45615,,\"SPX\")":1.5970906,"WCC-US^P_BETA_LOCIDX(45791,45614,,\"SPX\")":1.5986302,"WCC-US^P_BETA_LOCIDX(45790,45611,,\"SPX\")":1.596511,"WCC-US^P_BETA_LOCIDX(45789,45610,,\"SPX\")":1.5929449,"WCC-US^P_BETA_LOCIDX(45786,45609,,\"SPX\")":1.5815653,"WCC-US^P_BETA_LOCIDX(45785,45608,,\"SPX\")":1.5831939,"WCC-US^P_BETA_LOCIDX(45784,45607,,\"SPX\")":1.580468,"WCC-US^P_BETA_LOCIDX(45783,45604,,\"SPX\")":1.579256,"WCC-US^P_BETA_LOCIDX(45782,45603,,\"SPX\")":1.567664,"WCC-US^P_BETA_LOCIDX(45779,45602,,\"SPX\")":1.6517382,"WCC-US^P_BETA_LOCIDX(45778,45601,,\"SPX\")":1.625605,"WCC-US^P_BETA_LOCIDX(45777,45600,,\"SPX\")":1.644007,"WCC-US^P_BETA_LOCIDX(45776,45597,,\"SPX\")":1.6398586,"WCC-US^P_BETA_LOCIDX(45775,45596,,\"SPX\")":1.5718853,"WCC-US^P_BETA_LOCIDX(45772,45595,,\"SPX\")":1.5713122,"WCC-US^P_BETA_LOCIDX(45771,45594,,\"SPX\")":1.5725402,"WCC-US^P_BETA_LOCIDX(45770,45593,,\"SPX\")":1.5657382,"WCC-US^P_BETA_LOCIDX(45769,45590,,\"SPX\")":1.5636249,"WCC-US^P_BETA_LOCIDX(45768,45589,,\"SPX\")":1.5775704,"WCC-US^P_BETA_LOCIDX(45764,45588,,\"SPX\")":1.5755063,"WCC-US^P_BETA_LOCIDX(45763,45587,,\"SPX\")":1.5738664,"WCC-US^P_BETA_LOCIDX(45762,45586,,\"SPX\")":1.5914382,"WCC-US^P_BETA_LOCIDX(45761,45583,,\"SPX\")":1.5890479,"WCC-US^P_BETA_LOCIDX(45758,45582,,\"SPX\")":1.5894939,"WCC-US^P_BETA_LOCIDX(45757,45581,,\"SPX\")":1.6093645,"WCC-US^P_BETA_LOCIDX(45756,45580,,\"SPX\")":1.6241509,"WCC-US^P_BETA_LOCIDX(45755,45579,,\"SPX\")":1.5992565,"WCC-US^P_BETA_LOCIDX(45754,45576,,\"SPX\")":1.6110951,"WCC-US^P_BETA_LOCIDX(45751,45575,,\"SPX\")":1.6117218,"WCC-US^P_BETA_LOCIDX(45750,45574,,\"SPX\")":1.8175014,"WCC-US^P_BETA_LOCIDX(45749,45573,,\"SPX\")":1.673596,"WCC-US^P_BETA_LOCIDX(45748,45572,,\"SPX\")":1.6447507,"WCC-US^P_BETA_LOCIDX(45747,45569,,\"SPX\")":1.6325635,"WCC-US^P_BETA_LOCIDX(45744,45568,,\"SPX\")":1.6438606,"WCC-US^P_BETA_LOCIDX(45743,45567,,\"SPX\")":1.6261389,"WCC-US^P_BETA_LOCIDX(45742,45566,,\"SPX\")":1.6178608,"WCC-US^P_BETA_LOCIDX(45741,45565,,\"SPX\")":1.6147434,"WCC-US^P_BETA_LOCIDX(45740,45562,,\"SPX\")":1.6167521,"WCC-US^P_BETA_LOCIDX(45737,45561,,\"SPX\")":1.6215783,"WCC-US^P_BETA_LOCIDX(45736,45560,,\"SPX\")":1.6280034,"WCC-US^P_BETA_LOCIDX(45735,45559,,\"SPX\")":1.6264143,"WCC-US^P_BETA_LOCIDX(45734,45558,,\"SPX\")":1.6124189,"WCC-US^P_BETA_LOCIDX(45733,45555,,\"SPX\")":1.6227577,"WCC-US^P_BETA_LOCIDX(45730,45554,,\"SPX\")":1.6418762,"WCC-US^P_BETA_LOCIDX(45729,45553,,\"SPX\")":1.6595944,"WCC-US^P_BETA_LOCIDX(45728,45552,,\"SPX\")":1.6458361,"WCC-US^P_BETA_LOCIDX(45727,45551,,\"SPX\")":1.6343696,"WCC-US^P_BETA_LOCIDX(45726,45548,,\"SPX\")":1.6639469,"WCC-US^P_BETA_LOCIDX(45723,45547,,\"SPX\")":1.633507,"WCC-US^P_BETA_LOCIDX(45722,45546,,\"SPX\")":1.6422374,"WCC-US^P_BETA_LOCIDX(45721,45545,,\"SPX\")":1.6608996,"WCC-US^P_BETA_LOCIDX(45720,45544,,\"SPX\")":1.6270353,"WCC-US^P_BETA_LOCIDX(45719,45541,,\"SPX\")":1.5722266,"WCC-US^P_BETA_LOCIDX(45716,45540,,\"SPX\")":1.4989924,"WCC-US^P_BETA_LOCIDX(45715,45539,,\"SPX\")":1.5436382,"WCC-US^P_BETA_LOCIDX(45714,45538,,\"SPX\")":1.6596928,"WCC-US^P_BETA_LOCIDX(45713,45534,,\"SPX\")":1.6599762,"WCC-US^P_BETA_LOCIDX(45712,45533,,\"SPX\")":1.6547219,"WCC-US^P_BETA_LOCIDX(45709,45532,,\"SPX\")":1.6293919,"WCC-US^P_BETA_LOCIDX(45708,45531,,\"SPX\")":1.571828,"WCC-US^P_BETA_LOCIDX(45707,45530,,\"SPX\")":1.5588455,"WCC-US^P_BETA_LOCIDX(45706,45527,,\"SPX\")":1.5806407,"WCC-US^P_BETA_LOCIDX(45702,45526,,\"SPX\")":1.5723176,"WCC-US^P_BETA_LOCIDX(45701,45525,,\"SPX\")":1.5812984,"WCC-US^P_BETA_LOCIDX(45700,45524,,\"SPX\")":1.6027114,"WCC-US^P_BETA_LOCIDX(45699,45523,,\"SPX\")":1.6096723,"WCC-US^P_BETA_LOCIDX(45698,45520,,\"SPX\")":1.6077863,"WCC-US^P_BETA_LOCIDX(45695,45519,,\"SPX\")":1.608368,"WCC-US^P_BETA_LOCIDX(45694,45518,,\"SPX\")":1.6107973,"WCC-US^P_BETA_LOCIDX(45693,45517,,\"SPX\")":1.5920533,"WCC-US^P_BETA_LOCIDX(45692,45516,,\"SPX\")":1.5878373,"WCC-US^P_BETA_LOCIDX(45691,45513,,\"SPX\")":1.5919766,"WCC-US^P_BETA_LOCIDX(45688,45512,,\"SPX\")":1.5913956,"WCC-US^P_BETA_LOCIDX(45687,45511,,\"SPX\")":1.5899863,"WCC-US^P_BETA_LOCIDX(45686,45510,,\"SPX\")":1.5862004,"WCC-US^P_BETA_LOCIDX(45685,45509,,\"SPX\")":1.5050555,"WCC-US^P_BETA_LOCIDX(45684,45506,,\"SPX\")":1.5139992,"WCC-US^P_BETA_LOCIDX(45681,45505,,\"SPX\")":1.5247972,"WCC-US^P_BETA_LOCIDX(45680,45504,,\"SPX\")":1.5289061,"WCC-US^P_BETA_LOCIDX(45679,45503,,\"SPX\")":1.5378605,"WCC-US^P_BETA_LOCIDX(45678,45502,,\"SPX\")":1.5410546,"WCC-US^P_BETA_LOCIDX(45674,45499,,\"SPX\")":1.5214089,"WCC-US^P_BETA_LOCIDX(45673,45498,,\"SPX\")":1.5287355,"WCC-US^P_BETA_LOCIDX(45672,45497,,\"SPX\")":1.547074,"WCC-US^P_BETA_LOCIDX(45671,45496,,\"SPX\")":1.5905597,"WCC-US^P_BETA_LOCIDX(45670,45495,,\"SPX\")":1.5874196,"WCC-US^P_BETA_LOCIDX(45667,45492,,\"SPX\")":1.5850588,"WCC-US^P_BETA_LOCIDX(45665,45491,,\"SPX\")":1.5881547,"WCC-US^P_BETA_LOCIDX(45664,45490,,\"SPX\")":1.6146755,"WCC-US^P_BETA_LOCIDX(45663,45489,,\"SPX\")":1.6616337,"WCC-US^P_BETA_LOCIDX(45660,45488,,\"SPX\")":1.6639036,"WCC-US^P_BETA_LOCIDX(45659,45485,,\"SPX\")":1.6760261,"WCC-US^P_BETA_LOCIDX(45657,45484,,\"SPX\")":1.6216954,"WCC-US^P_BETA_LOCIDX(45656,45483,,\"SPX\")":1.6424574,"WCC-US^P_BETA_LOCIDX(45653,45482,,\"SPX\")":1.6632112,"WCC-US^P_BETA_LOCIDX(45652,45481,,\"SPX\")":1.6752688,"WCC-US^P_BETA_LOCIDX(45650,45478,,\"SPX\")":1.656507,"WCC-US^P_BETA_LOCIDX(45649,45476,,\"SPX\")":1.6695181,"WCC-US^P_BETA_LOCIDX(45646,45475,,\"SPX\")":1.6764537,"WCC-US^P_BETA_LOCIDX(45645,45474,,\"SPX\")":1.6727718,"WCC-US^P_BETA_LOCIDX(45644,45471,,\"SPX\")":1.668605,"WCC-US^P_BETA_LOCIDX(45643,45470,,\"SPX\")":1.6446431,"WCC-US^P_BETA_LOCIDX(45642,45469,,\"SPX\")":1.6367098,"WCC-US^P_BETA_LOCIDX(45639,45468,,\"SPX\")":1.6311483,"WCC-US^P_BETA_LOCIDX(45638,45467,,\"SPX\")":1.6286343,"WCC-US^P_BETA_LOCIDX(45637,45464,,\"SPX\")":1.6225739,"WCC-US^P_BETA_LOCIDX(45636,45463,,\"SPX\")":1.6387295,"WCC-US^P_BETA_LOCIDX(45635,45461,,\"SPX\")":1.6262755,"WCC-US^P_BETA_LOCIDX(45632,45460,,\"SPX\")":1.6042043,"WCC-US^P_BETA_LOCIDX(45631,45457,,\"SPX\")":1.6137706,"WCC-US^P_BETA_LOCIDX(45630,45456,,\"SPX\")":1.6074429,"WCC-US^P_BETA_LOCIDX(45629,45455,,\"SPX\")":1.6157714,"WCC-US^P_BETA_LOCIDX(45628,45454,,\"SPX\")":1.6096319,"WCC-US^P_BETA_LOCIDX(45625,45453,,\"SPX\")":1.612502,"WCC-US^P_BETA_LOCIDX(45623,45450,,\"SPX\")":1.6074337,"WCC-US^P_BETA_LOCIDX(45622,45449,,\"SPX\")":1.6057533,"WCC-US^P_BETA_LOCIDX(45621,45448,,\"SPX\")":1.6307187,"WCC-US^P_BETA_LOCIDX(45618,45447,,\"SPX\")":1.626885,"WCC-US^P_BETA_LOCIDX(45617,45446,,\"SPX\")":1.6250452,"WCC-US^P_BETA_LOCIDX(45616,45443,,\"SPX\")":1.6084627,"WCC-US^P_BETA_LOCIDX(45615,45442,,\"SPX\")":1.5904111,"WCC-US^P_BETA_LOCIDX(45614,45441,,\"SPX\")":1.6228062,"WCC-US^P_BETA_LOCIDX(45611,45440,,\"SPX\")":1.6283478,"WCC-US^P_BETA_LOCIDX(45610,45436,,\"SPX\")":1.6448846,"WCC-US^P_BETA_LOCIDX(45609,45435,,\"SPX\")":1.6507249,"WCC-US^P_BETA_LOCIDX(45608,45434,,\"SPX\")":1.6507732,"WCC-US^P_BETA_LOCIDX(45607,45433,,\"SPX\")":1.6421341,"WCC-US^P_BETA_LOCIDX(45604,45432,,\"SPX\")":1.6420593,"WCC-US^P_BETA_LOCIDX(45603,45429,,\"SPX\")":1.6469792,"WCC-US^P_BETA_LOCIDX(45602,45428,,\"SPX\")":1.6790042,"WCC-US^P_BETA_LOCIDX(45601,45427,,\"SPX\")":1.4407856,"WCC-US^P_BETA_LOCIDX(45600,45426,,\"SPX\")":1.4422395,"WCC-US^P_BETA_LOCIDX(45597,45425,,\"SPX\")":1.4344026,"WCC-US^P_BETA_LOCIDX(45596,45422,,\"SPX\")":1.4448372,"WCC-US^P_BETA_LOCIDX(45595,45421,,\"SPX\")":1.7129182,"WCC-US^P_BETA_LOCIDX(45594,45420,,\"SPX\")":1.7213457,"WCC-US^P_BETA_LOCIDX(45593,45419,,\"SPX\")":1.7240542,"WCC-US^P_BETA_LOCIDX(45590,45418,,\"SPX\")":1.7376184,"WCC-US^P_BETA_LOCIDX(45589,45415,,\"SPX\")":1.7296708,"WCC-US^P_BETA_LOCIDX(45588,45414,,\"SPX\")":1.7814882,"WCC-US^P_BETA_LOCIDX(45587,45413,,\"SPX\")":1.7922347,"WCC-US^P_BETA_LOCIDX(45586,45412,,\"SPX\")":1.799979,"WCC-US^P_BETA_LOCIDX(45583,45411,,\"SPX\")":1.7988968,"WCC-US^P_BETA_LOCIDX(45582,45408,,\"SPX\")":1.7745054,"WCC-US^P_BETA_LOCIDX(45581,45407,,\"SPX\")":1.7802893,"WCC-US^P_BETA_LOCIDX(45580,45406,,\"SPX\")":1.7657033,"WCC-US^P_BETA_LOCIDX(45579,45405,,\"SPX\")":1.7632987,"WCC-US^P_BETA_LOCIDX(45576,45404,,\"SPX\")":1.7682797,"WCC-US^P_BETA_LOCIDX(45575,45401,,\"SPX\")":1.7228179,"WCC-US^P_BETA_LOCIDX(45574,45400,,\"SPX\")":1.7205634,"WCC-US^P_BETA_LOCIDX(45573,45399,,\"SPX\")":1.7232131,"WCC-US^P_BETA_LOCIDX(45572,45398,,\"SPX\")":1.7455697,"WCC-US^P_BETA_LOCIDX(45569,45397,,\"SPX\")":1.7441623,"WCC-US^P_BETA_LOCIDX(45568,45394,,\"SPX\")":1.7513529,"WCC-US^P_BETA_LOCIDX(45567,45393,,\"SPX\")":1.731663,"WCC-US^P_BETA_LOCIDX(45566,45392,,\"SPX\")":1.7505116,"WCC-US^P_BETA_LOCIDX(45565,45391,,\"SPX\")":1.760752,"WCC-US^P_BETA_LOCIDX(45562,45390,,\"SPX\")":1.7703557,"WCC-US^P_BETA_LOCIDX(45561,45387,,\"SPX\")":1.7599436,"WCC-US^P_BETA_LOCIDX(45560,45386,,\"SPX\")":1.7425107,"WCC-US^P_BETA_LOCIDX(45559,45385,,\"SPX\")":1.7358476,"WCC-US^P_BETA_LOCIDX(45558,45384,,\"SPX\")":1.7447648,"WCC-US^P_BETA_LOCIDX(45555,45383,,\"SPX\")":1.7367338,"WCC-US^P_BETA_LOCIDX(45554,45379,,\"SPX\")":1.7299787,"WCC-US^P_BETA_LOCIDX(45553,45378,,\"SPX\")":1.716143,"WCC-US^P_BETA_LOCIDX(45552,45377,,\"SPX\")":1.7133483,"WCC-US^P_BETA_LOCIDX(45551,45376,,\"SPX\")":1.7141194,"WCC-US^P_BETA_LOCIDX(45548,45373,,\"SPX\")":1.7124578,"WCC-US^P_BETA_LOCIDX(45547,45372,,\"SPX\")":1.7072761,"WCC-US^P_BETA_LOCIDX(45546,45371,,\"SPX\")":1.7104125,"WCC-US^P_BETA_LOCIDX(45545,45370,,\"SPX\")":1.7188445,"WCC-US^P_BETA_LOCIDX(45544,45369,,\"SPX\")":1.723091,"WCC-US^P_BETA_LOCIDX(45541,45366,,\"SPX\")":1.7080529,"WCC-US^P_BETA_LOCIDX(45540,45365,,\"SPX\")":1.7495551,"WCC-US^P_BETA_LOCIDX(45539,45364,,\"SPX\")":1.7436352,"WCC-US^P_BETA_LOCIDX(45538,45363,,\"SPX\")":1.7550656,"WCC-US^P_BETA_LOCIDX(45534,45362,,\"SPX\")":1.6951758,"WCC-US^P_BETA_LOCIDX(45533,45359,,\"SPX\")":1.6879297,"WCC-US^P_BETA_LOCIDX(45532,45358,,\"SPX\")":1.7091242,"WCC-US^P_BETA_LOCIDX(45531,45357,,\"SPX\")":1.7158467,"WCC-US^P_BETA_LOCIDX(45530,45356,,\"SPX\")":1.658755,"WCC-US^P_BETA_LOCIDX(45527,45355,,\"SPX\")":1.6639004,"WCC-US^P_BETA_LOCIDX(45526,45352,,\"SPX\")":1.6513054,"WCC-US^P_BETA_LOCIDX(45525,45351,,\"SPX\")":1.6676226,"WCC-US^P_BETA_LOCIDX(45524,45350,,\"SPX\")":1.6558979,"WCC-US^P_BETA_LOCIDX(45523,45349,,\"SPX\")":1.6544143,"WCC-US^P_BETA_LOCIDX(45520,45348,,\"SPX\")":1.6594905,"WCC-US^P_BETA_LOCIDX(45519,45345,,\"SPX\")":1.6617988,"WCC-US^P_BETA_LOCIDX(45518,45344,,\"SPX\")":1.6196072,"WCC-US^P_BETA_LOCIDX(45517,45343,,\"SPX\")":1.6213298,"WCC-US^P_BETA_LOCIDX(45516,45342,,\"SPX\")":1.634206,"WCC-US^P_BETA_LOCIDX(45513,45338,,\"SPX\")":1.6357623,"WCC-US^P_BETA_LOCIDX(45512,45337,,\"SPX\")":1.6516047,"WCC-US^P_BETA_LOCIDX(45511,45336,,\"SPX\")":1.7221613,"WCC-US^P_BETA_LOCIDX(45510,45335,,\"SPX\")":2.2424726,"WCC-US^P_BETA_LOCIDX(45509,45334,,\"SPX\")":2.2502084,"WCC-US^P_BETA_LOCIDX(45506,45331,,\"SPX\")":2.481865,"WCC-US^P_BETA_LOCIDX(45505,45330,,\"SPX\")":2.5255356,"WCC-US^P_BETA_LOCIDX(45504,45329,,\"SPX\")":2.3947842,"WCC-US^P_BETA_LOCIDX(45503,45328,,\"SPX\")":2.428182,"WCC-US^P_BETA_LOCIDX(45502,45327,,\"SPX\")":2.4386032,"WCC-US^P_BETA_LOCIDX(45499,45324,,\"SPX\")":2.4722266,"WCC-US^P_BETA_LOCIDX(45498,45323,,\"SPX\")":2.46356,"WCC-US^P_BETA_LOCIDX(45497,45322,,\"SPX\")":2.4166057,"WCC-US^P_BETA_LOCIDX(45496,45321,,\"SPX\")":2.4875414,"WCC-US^P_BETA_LOCIDX(45495,45320,,\"SPX\")":2.4878573,"WCC-US^P_BETA_LOCIDX(45492,45317,,\"SPX\")":2.5045965,"WCC-US^P_BETA_LOCIDX(45491,45316,,\"SPX\")":2.5208707,"WCC-US^P_BETA_LOCIDX(45490,45315,,\"SPX\")":2.5157764,"WCC-US^P_BETA_LOCIDX(45489,45314,,\"SPX\")":2.4984367,"WCC-US^P_BETA_LOCIDX(45488,45313,,\"SPX\")":2.4617715,"WCC-US^P_BETA_LOCIDX(45485,45310,,\"SPX\")":2.4309487,"WCC-US^P_BETA_LOCIDX(45484,45309,,\"SPX\")":2.4145339,"WCC-US^P_BETA_LOCIDX(45483,45308,,\"SPX\")":2.520873,"WCC-US^P_BETA_LOCIDX(45482,45307,,\"SPX\")":2.496356,"WCC-US^P_BETA_LOCIDX(45481,45303,,\"SPX\")":2.4964373,"WCC-US^P_BETA_LOCIDX(45478,45302,,\"SPX\")":2.4952416,"WCC-US^P_BETA_LOCIDX(45476,45301,,\"SPX\")":2.5163848,"WCC-US^P_BETA_LOCIDX(45475,45300,,\"SPX\")":2.5108778,"WCC-US^P_BETA_LOCIDX(45474,45299,,\"SPX\")":2.487818,"WCC-US^P_BETA_LOCIDX(45471,45296,,\"SPX\")":2.494084,"WCC-US^P_BETA_LOCIDX(45470,45295,,\"SPX\")":2.498046,"WCC-US^P_BETA_LOCIDX(45469,45294,,\"SPX\")":2.5071845,"WCC-US^P_BETA_LOCIDX(45468,45293,,\"SPX\")":2.4897366,"WCC-US^P_BETA_LOCIDX(45467,45289,,\"SPX\")":2.5101497,"WCC-US^P_BETA_LOCIDX(45464,45288,,\"SPX\")":2.5152073,"WCC-US^P_BETA_LOCIDX(45463,45287,,\"SPX\")":2.5185735,"WCC-US^P_BETA_LOCIDX(45461,45286,,\"SPX\")":2.5222054,"WCC-US^P_BETA_LOCIDX(45460,45282,,\"SPX\")":2.525685,"WCC-US^P_BETA_LOCIDX(45457,45281,,\"SPX\")":2.5481138,"WCC-US^P_BETA_LOCIDX(45456,45280,,\"SPX\")":2.4905674,"WCC-US^P_BETA_LOCIDX(45455,45279,,\"SPX\")":2.4915202,"WCC-US^P_BETA_LOCIDX(45454,45278,,\"SPX\")":2.4881725,"WCC-US^P_BETA_LOCIDX(45453,45275,,\"SPX\")":2.499398,"WCC-US^P_BETA_LOCIDX(45450,45274,,\"SPX\")":2.5068078,"WCC-US^P_BETA_LOCIDX(45449,45273,,\"SPX\")":2.477702,"WCC-US^P_BETA_LOCIDX(45448,45272,,\"SPX\")":2.4717033,"WCC-US^P_BETA_LOCIDX(45447,45271,,\"SPX\")":2.4771094,"WCC-US^P_BETA_LOCIDX(45446,45268,,\"SPX\")":2.4845488,"WCC-US^P_BETA_LOCIDX(45443,45267,,\"SPX\")":2.4638383,"WCC-US^P_BETA_LOCIDX(45442,45266,,\"SPX\")":2.480652,"WCC-US^P_BETA_LOCIDX(45441,45265,,\"SPX\")":2.5196693,"WCC-US^P_BETA_LOCIDX(45440,45264,,\"SPX\")":2.462166,"WCC-US^P_BETA_LOCIDX(45436,45261,,\"SPX\")":2.480262,"WCC-US^P_BETA_LOCIDX(45435,45260,,\"SPX\")":2.4705021,"WCC-US^P_BETA_LOCIDX(45434,45259,,\"SPX\")":2.4793139,"WCC-US^P_BETA_LOCIDX(45433,45258,,\"SPX\")":2.484067,"WCC-US^P_BETA_LOCIDX(45432,45257,,\"SPX\")":2.4804597,"WCC-US^P_BETA_LOCIDX(45429,45254,,\"SPX\")":2.4801295,"WCC-US^P_BETA_LOCIDX(45428,45252,,\"SPX\")":2.4780679,"WCC-US^P_BETA_LOCIDX(45427,45251,,\"SPX\")":2.4692192,"WCC-US^P_BETA_LOCIDX(45426,45250,,\"SPX\")":2.4439583,"WCC-US^P_BETA_LOCIDX(45425,45247,,\"SPX\")":2.444749,"WCC-US^P_BETA_LOCIDX(45422,45246,,\"SPX\")":2.4480708,"WCC-US^P_BETA_LOCIDX(45421,45245,,\"SPX\")":2.44733,"WCC-US^P_BETA_LOCIDX(45420,45244,,\"SPX\")":2.4811087,"WCC-US^P_BETA_LOCIDX(45419,45243,,\"SPX\")":2.4727402,"WCC-US^P_BETA_LOCIDX(45418,45240,,\"SPX\")":2.4508233,"WCC-US^P_BETA_LOCIDX(45415,45239,,\"SPX\")":2.4022672,"WCC-US^P_BETA_LOCIDX(45414,45238,,\"SPX\")":2.4279945,"WCC-US^P_BETA_LOCIDX(45413,45237,,\"SPX\")":2.360047,"WCC-US^P_BETA_LOCIDX(45412,45236,,\"SPX\")":2.3735063,"WCC-US^P_BETA_LOCIDX(45411,45233,,\"SPX\")":2.428923,"WCC-US^P_BETA_LOCIDX(45408,45232,,\"SPX\")":2.4065952,"WCC-US^P_BETA_LOCIDX(45407,45231,,\"SPX\")":2.451222,"WCC-US^P_BETA_LOCIDX(45406,45230,,\"SPX\")":2.4383767,"WCC-US^P_BETA_LOCIDX(45405,45229,,\"SPX\")":2.4211514,"WCC-US^P_BETA_LOCIDX(45404,45226,,\"SPX\")":2.4242861,"WCC-US^P_BETA_LOCIDX(45401,45225,,\"SPX\")":2.3168344,"WCC-US^P_BETA_LOCIDX(45400,45224,,\"SPX\")":2.3174195,"WCC-US^P_BETA_LOCIDX(45399,45223,,\"SPX\")":2.3104613,"WCC-US^P_BETA_LOCIDX(45398,45222,,\"SPX\")":2.3064678,"WCC-US^P_BETA_LOCIDX(45397,45219,,\"SPX\")":2.3116992,"WCC-US^P_BETA_LOCIDX(45394,45218,,\"SPX\")":2.3436134,"WCC-US^P_BETA_LOCIDX(45393,45217,,\"SPX\")":2.3984694,"WCC-US^P_BETA_LOCIDX(45392,45216,,\"SPX\")":2.4207304,"WCC-US^P_BETA_LOCIDX(45391,45215,,\"SPX\")":2.4144356,"WCC-US^P_BETA_LOCIDX(45390,45212,,\"SPX\")":2.4836037,"WCC-US^P_BETA_LOCIDX(45387,45211,,\"SPX\")":2.4843645,"WCC-US^P_BETA_LOCIDX(45386,45210,,\"SPX\")":2.508973,"WCC-US^P_BETA_LOCIDX(45385,45209,,\"SPX\")":2.5185933,"WCC-US^P_BETA_LOCIDX(45384,45208,,\"SPX\")":2.5215626,"WCC-US^P_BETA_LOCIDX(45383,45205,,\"SPX\")":2.5378091,"WCC-US^P_BETA_LOCIDX(45379,45204,,\"SPX\")":2.5573914,"WCC-US^P_BETA_LOCIDX(45378,45203,,\"SPX\")":2.5575871,"WCC-US^P_BETA_LOCIDX(45377,45202,,\"SPX\")":2.5323012,"WCC-US^P_BETA_LOCIDX(45376,45201,,\"SPX\")":2.5433867,"WCC-US^P_BETA_LOCIDX(45373,45198,,\"SPX\")":2.5517402,"WCC-US^P_BETA_LOCIDX(45372,45197,,\"SPX\")":2.5475247,"WCC-US^P_BETA_LOCIDX(45371,45196,,\"SPX\")":2.5446239,"WCC-US^P_BETA_LOCIDX(45370,45195,,\"SPX\")":2.4716773,"WCC-US^P_BETA_LOCIDX(45369,45194,,\"SPX\")":2.4683383,"WCC-US^P_BETA_LOCIDX(45366,45191,,\"SPX\")":2.4631517,"WCC-US^P_BETA_LOCIDX(45365,45190,,\"SPX\")":2.4470115,"WCC-US^P_BETA_LOCIDX(45364,45189,,\"SPX\")":2.419066,"WCC-US^P_BETA_LOCIDX(45363,45188,,\"SPX\")":2.4266682,"WCC-US^P_BETA_LOCIDX(45362,45187,,\"SPX\")":2.4212499,"WCC-US^P_BETA_LOCIDX(45359,45184,,\"SPX\")":2.3845496,"WCC-US^P_BETA_LOCIDX(45358,45183,,\"SPX\")":2.3889647,"WCC-US^P_BETA_LOCIDX(45357,45182,,\"SPX\")":2.372616,"WCC-US^P_BETA_LOCIDX(45356,45181,,\"SPX\")":2.3637464,"WCC-US^P_BETA_LOCIDX(45355,45180,,\"SPX\")":2.4304624,"WCC-US^P_BETA_LOCIDX(45352,45177,,\"SPX\")":2.429819,"WCC-US^P_BETA_LOCIDX(45351,45176,,\"SPX\")":2.4312003,"WCC-US^P_BETA_LOCIDX(45350,45175,,\"SPX\")":2.390593,"WCC-US^P_BETA_LOCIDX(45349,45174,,\"SPX\")":2.4186287,"WCC-US^P_BETA_LOCIDX(45348,45170,,\"SPX\")":2.4197807,"WCC-US^P_BETA_LOCIDX(45345,45169,,\"SPX\")":2.4222248,"WCC-US^P_BETA_LOCIDX(45344,45168,,\"SPX\")":2.4224687,"WCC-US^P_BETA_LOCIDX(45343,45167,,\"SPX\")":2.491156,"WCC-US^P_BETA_LOCIDX(45342,45166,,\"SPX\")":2.4990356,"WCC-US^P_BETA_LOCIDX(45338,45163,,\"SPX\")":2.50166,"WCC-US^P_BETA_LOCIDX(45337,45162,,\"SPX\")":2.434171,"WCC-US^P_BETA_LOCIDX(45336,45161,,\"SPX\")":2.4138575,"WCC-US^P_BETA_LOCIDX(45335,45160,,\"SPX\")":2.3384595,"WCC-US^P_BETA_LOCIDX(45334,45159,,\"SPX\")":1.7206124,"WCC-US^P_BETA_LOCIDX(45331,45156,,\"SPX\")":1.7144196,"WCC-US^P_BETA_LOCIDX(45330,45155,,\"SPX\")":1.7148076,"WCC-US^P_BETA_LOCIDX(45329,45154,,\"SPX\")":1.7221948,"WCC-US^P_BETA_LOCIDX(45328,45153,,\"SPX\")":1.7090256,"WCC-US^P_BETA_LOCIDX(45327,45152,,\"SPX\")":1.7046914,"WCC-US^P_BETA_LOCIDX(45324,45149,,\"SPX\")":1.6931926,"WCC-US^P_BETA_LOCIDX(45323,45148,,\"SPX\")":1.6540444,"WCC-US^P_BETA_LOCIDX(45322,45147,,\"SPX\")":1.6571541,"WCC-US^P_BETA_LOCIDX(45321,45146,,\"SPX\")":1.6972599,"WCC-US^P_BETA_LOCIDX(45320,45145,,\"SPX\")":1.6854326,"WCC-US^P_BETA_LOCIDX(45317,45142,,\"SPX\")":1.6737379,"WCC-US^P_BETA_LOCIDX(45316,45141,,\"SPX\")":1.7414317,"WCC-US^P_BETA_LOCIDX(45315,45140,,\"SPX\")":1.6924622,"WCC-US^P_BETA_LOCIDX(45314,45139,,\"SPX\")":1.6777712,"WCC-US^P_BETA_LOCIDX(45313,45138,,\"SPX\")":1.6880931,"WCC-US^P_BETA_LOCIDX(45310,45135,,\"SPX\")":1.6842295,"WCC-US^P_BETA_LOCIDX(45309,45134,,\"SPX\")":1.6844021,"WCC-US^P_BETA_LOCIDX(45308,45133,,\"SPX\")":1.6837982,"WCC-US^P_BETA_LOCIDX(45307,45132,,\"SPX\")":1.690024,"WCC-US^P_BETA_LOCIDX(45303,45131,,\"SPX\")":1.6916025,"WCC-US^P_BETA_LOCIDX(45302,45128,,\"SPX\")":1.692544,"WCC-US^P_BETA_LOCIDX(45301,45127,,\"SPX\")":1.6724473,"WCC-US^P_BETA_LOCIDX(45300,45126,,\"SPX\")":1.6781824,"WCC-US^P_BETA_LOCIDX(45299,45125,,\"SPX\")":1.6896877,"WCC-US^P_BETA_LOCIDX(45296,45124,,\"SPX\")":1.6865015,"WCC-US^P_BETA_LOCIDX(45295,45121,,\"SPX\")":1.6932716,"WCC-US^P_BETA_LOCIDX(45294,45120,,\"SPX\")":1.6810044,"WCC-US^P_BETA_LOCIDX(45293,45119,,\"SPX\")":1.6455889,"WCC-US^P_BETA_LOCIDX(45289,45118,,\"SPX\")":1.6235046,"WCC-US^P_BETA_LOCIDX(45288,45117,,\"SPX\")":1.622979,"WCC-US^P_BETA_LOCIDX(45287,45114,,\"SPX\")":1.6104934,"WCC-US^P_BETA_LOCIDX(45286,45113,,\"SPX\")":1.6048583,"WCC-US^P_BETA_LOCIDX(45282,45112,,\"SPX\")":1.6088413,"WCC-US^P_BETA_LOCIDX(45281,45110,,\"SPX\")":1.6077386,"WCC-US^P_BETA_LOCIDX(45280,45107,,\"SPX\")":1.6032727,"WCC-US^P_BETA_LOCIDX(45279,45106,,\"SPX\")":1.6010846,"WCC-US^P_BETA_LOCIDX(45278,45105,,\"SPX\")":1.598762,"WCC-US^P_BETA_LOCIDX(45275,45104,,\"SPX\")":1.6401561,"WCC-US^P_BETA_LOCIDX(45274,45103,,\"SPX\")":1.6375538,"WCC-US^P_BETA_LOCIDX(45273,45100,,\"SPX\")":1.6063048,"WCC-US^P_BETA_LOCIDX(45272,45099,,\"SPX\")":1.5966922,"WCC-US^P_BETA_LOCIDX(45271,45098,,\"SPX\")":1.5737329,"WCC-US^P_BETA_LOCIDX(45268,45097,,\"SPX\")":1.541886,"WCC-US^P_BETA_LOCIDX(45267,45093,,\"SPX\")":1.5315527,"WCC-US^P_BETA_LOCIDX(45266,45092,,\"SPX\")":1.5630767,"WCC-US^P_BETA_LOCIDX(45265,45091,,\"SPX\")":1.5597894,"WCC-US^P_BETA_LOCIDX(45264,45090,,\"SPX\")":1.5794802,"WCC-US^P_BETA_LOCIDX(45261,45089,,\"SPX\")":1.6229706,"WCC-US^P_BETA_LOCIDX(45260,45086,,\"SPX\")":1.5954448,"WCC-US^P_BETA_LOCIDX(45259,45085,,\"SPX\")":1.5995214,"WCC-US^P_BETA_LOCIDX(45258,45084,,\"SPX\")":1.5796561,"WCC-US^P_BETA_LOCIDX(45257,45083,,\"SPX\")":1.5810101,"WCC-US^P_BETA_LOCIDX(45254,45082,,\"SPX\")":1.5760828,"WCC-US^P_BETA_LOCIDX(45252,45079,,\"SPX\")":1.6762348,"WCC-US^P_BETA_LOCIDX(45251,45078,,\"SPX\")":1.6451375,"WCC-US^P_BETA_LOCIDX(45250,45077,,\"SPX\")":1.6785958,"WCC-US^P_BETA_LOCIDX(45247,45076,,\"SPX\")":1.6820108,"WCC-US^P_BETA_LOCIDX(45246,45072,,\"SPX\")":1.8045517,"WCC-US^P_BETA_LOCIDX(45245,45071,,\"SPX\")":1.8387979,"WCC-US^P_BETA_LOCIDX(45244,45070,,\"SPX\")":1.8493631,"WCC-US^P_BETA_LOCIDX(45243,45069,,\"SPX\")":1.8043741,"WCC-US^P_BETA_LOCIDX(45240,45068,,\"SPX\")":1.8041105,"WCC-US^P_BETA_LOCIDX(45239,45065,,\"SPX\")":1.807517,"WCC-US^P_BETA_LOCIDX(45238,45064,,\"SPX\")":1.8480996,"WCC-US^P_BETA_LOCIDX(45237,45063,,\"SPX\")":1.8691112,"WCC-US^P_BETA_LOCIDX(45236,45062,,\"SPX\")":1.8937944,"WCC-US^P_BETA_LOCIDX(45233,45061,,\"SPX\")":1.9077023,"WCC-US^P_BETA_LOCIDX(45232,45058,,\"SPX\")":1.8645067,"WCC-US^P_BETA_LOCIDX(45231,45057,,\"SPX\")":1.8602515,"WCC-US^P_BETA_LOCIDX(45230,45056,,\"SPX\")":1.8409919,"WCC-US^P_BETA_LOCIDX(45229,45055,,\"SPX\")":1.8412148,"WCC-US^P_BETA_LOCIDX(45226,45054,,\"SPX\")":1.8512112,"WCC-US^P_BETA_LOCIDX(45225,45051,,\"SPX\")":1.9191358,"WCC-US^P_BETA_LOCIDX(45224,45050,,\"SPX\")":2.1571434,"WCC-US^P_BETA_LOCIDX(45223,45049,,\"SPX\")":2.1640768,"WCC-US^P_BETA_LOCIDX(45222,45048,,\"SPX\")":2.1353972,"WCC-US^P_BETA_LOCIDX(45219,45047,,\"SPX\")":2.137464,"WCC-US^P_BETA_LOCIDX(45218,45044,,\"SPX\")":2.1035128,"WCC-US^P_BETA_LOCIDX(45217,45043,,\"SPX\")":2.1171117,"WCC-US^P_BETA_LOCIDX(45216,45042,,\"SPX\")":2.1033545,"WCC-US^P_BETA_LOCIDX(45215,45041,,\"SPX\")":2.038653,"WCC-US^P_BETA_LOCIDX(45212,45040,,\"SPX\")":2.0223825,"WCC-US^P_BETA_LOCIDX(45211,45037,,\"SPX\")":1.964159,"WCC-US^P_BETA_LOCIDX(45210,45036,,\"SPX\")":1.9423143,"WCC-US^P_BETA_LOCIDX(45209,45035,,\"SPX\")":1.9435756,"WCC-US^P_BETA_LOCIDX(45208,45034,,\"SPX\")":1.9588950999999999,"WCC-US^P_BETA_LOCIDX(45205,45033,,\"SPX\")":1.9589059,"WCC-US^P_BETA_LOCIDX(45204,45030,,\"SPX\")":1.9246159,"WCC-US^P_BETA_LOCIDX(45203,45029,,\"SPX\")":1.87492,"WCC-US^P_BETA_LOCIDX(45202,45028,,\"SPX\")":1.8628178,"WCC-US^P_BETA_LOCIDX(45201,45027,,\"SPX\")":1.8664862,"WCC-US^P_BETA_LOCIDX(45198,45026,,\"SPX\")":1.8676258,"WCC-US^P_BETA_LOCIDX(45197,45022,,\"SPX\")":1.8415409,"WCC-US^P_BETA_LOCIDX(45196,45021,,\"SPX\")":1.8572952,"WCC-US^P_BETA_LOCIDX(45195,45020,,\"SPX\")":1.9068215,"WCC-US^P_BETA_LOCIDX(45194,45019,,\"SPX\")":1.9501717,"WCC-US^P_BETA_LOCIDX(45191,45016,,\"SPX\")":1.9468123,"WCC-US^P_BETA_LOCIDX(45190,45015,,\"SPX\")":1.9550394,"WCC-US^P_BETA_LOCIDX(45189,45014,,\"SPX\")":1.9992335,"WCC-US^P_BETA_LOCIDX(45188,45013,,\"SPX\")":2.0067482,"WCC-US^P_BETA_LOCIDX(45187,45012,,\"SPX\")":2.007151,"WCC-US^P_BETA_LOCIDX(45184,45009,,\"SPX\")":1.9843323,"WCC-US^P_BETA_LOCIDX(45183,45008,,\"SPX\")":2.0016801,"WCC-US^P_BETA_LOCIDX(45182,45007,,\"SPX\")":1.9810277,"WCC-US^P_BETA_LOCIDX(45181,45006,,\"SPX\")":2.0127194,"WCC-US^P_BETA_LOCIDX(45180,45005,,\"SPX\")":2.0308905,"WCC-US^P_BETA_LOCIDX(45177,45002,,\"SPX\")":2.1152394,"WCC-US^P_BETA_LOCIDX(45176,45001,,\"SPX\")":2.0715446,"WCC-US^P_BETA_LOCIDX(45175,45000,,\"SPX\")":2.1314683,"WCC-US^P_BETA_LOCIDX(45174,44999,,\"SPX\")":2.1340115,"WCC-US^P_BETA_LOCIDX(45170,44998,,\"SPX\")":2.1252644,"WCC-US^P_BETA_LOCIDX(45169,44995,,\"SPX\")":2.1539865,"WCC-US^P_BETA_LOCIDX(45168,44994,,\"SPX\")":2.13536,"WCC-US^P_BETA_LOCIDX(45167,44993,,\"SPX\")":2.136146,"WCC-US^P_BETA_LOCIDX(45166,44992,,\"SPX\")":2.097113,"WCC-US^P_BETA_LOCIDX(45163,44991,,\"SPX\")":2.0892348,"WCC-US^P_BETA_LOCIDX(45162,44988,,\"SPX\")":2.0648448,"WCC-US^P_BETA_LOCIDX(45161,44987,,\"SPX\")":2.110988,"WCC-US^P_BETA_LOCIDX(45160,44986,,\"SPX\")":2.0912251,"WCC-US^P_BETA_LOCIDX(45159,44985,,\"SPX\")":2.0907264,"WCC-US^P_BETA_LOCIDX(45156,44984,,\"SPX\")":2.0984337,"WCC-US^P_BETA_LOCIDX(45155,44981,,\"SPX\")":2.0556612,"WCC-US^P_BETA_LOCIDX(45154,44980,,\"SPX\")":2.055278,"WCC-US^P_BETA_LOCIDX(45153,44979,,\"SPX\")":2.0540476,"WCC-US^P_BETA_LOCIDX(45152,44978,,\"SPX\")":2.0555143,"WCC-US^P_BETA_LOCIDX(45149,44974,,\"SPX\")":2.0616927,"WCC-US^P_BETA_LOCIDX(45148,44973,,\"SPX\")":2.0137956,"WCC-US^P_BETA_LOCIDX(45147,44972,,\"SPX\")":2.023725,"WCC-US^P_BETA_LOCIDX(45146,44971,,\"SPX\")":2.0223136,"WCC-US^P_BETA_LOCIDX(45145,44970,,\"SPX\")":2.0317395,"WCC-US^P_BETA_LOCIDX(45142,44967,,\"SPX\")":2.0445108,"WCC-US^P_BETA_LOCIDX(45141,44966,,\"SPX\")":2.0522823,"WCC-US^P_BETA_LOCIDX(45140,44965,,\"SPX\")":1.9862854,"WCC-US^P_BETA_LOCIDX(45139,44964,,\"SPX\")":2.0032747,"WCC-US^P_BETA_LOCIDX(45138,44963,,\"SPX\")":2.0071626,"WCC-US^P_BETA_LOCIDX(45135,44960,,\"SPX\")":1.9700154,"WCC-US^P_BETA_LOCIDX(45134,44959,,\"SPX\")":1.9315196,"WCC-US^P_BETA_LOCIDX(45133,44958,,\"SPX\")":1.9380558,"WCC-US^P_BETA_LOCIDX(45132,44957,,\"SPX\")":1.9434353,"WCC-US^P_BETA_LOCIDX(45131,44956,,\"SPX\")":1.9195852,"WCC-US^P_BETA_LOCIDX(45128,44953,,\"SPX\")":1.9235423,"WCC-US^P_BETA_LOCIDX(45127,44952,,\"SPX\")":1.9343851,"WCC-US^P_BETA_LOCIDX(45126,44951,,\"SPX\")":1.9513998,"WCC-US^P_BETA_LOCIDX(45125,44950,,\"SPX\")":1.952389,"WCC-US^P_BETA_LOCIDX(45124,44949,,\"SPX\")":1.9359599,"WCC-US^P_BETA_LOCIDX(45121,44946,,\"SPX\")":1.9265252,"WCC-US^P_BETA_LOCIDX(45120,44945,,\"SPX\")":1.919092,"WCC-US^P_BETA_LOCIDX(45119,44944,,\"SPX\")":1.9117513,"WCC-US^P_BETA_LOCIDX(45118,44943,,\"SPX\")":1.9260995,"WCC-US^P_BETA_LOCIDX(45117,44939,,\"SPX\")":1.9461884,"WCC-US^P_BETA_LOCIDX(45114,44938,,\"SPX\")":1.9433488,"WCC-US^P_BETA_LOCIDX(45113,44937,,\"SPX\")":1.9089596,"WCC-US^P_BETA_LOCIDX(45112,44936,,\"SPX\")":1.9264615,"WCC-US^P_BETA_LOCIDX(45110,44935,,\"SPX\")":1.9216737,"WCC-US^P_BETA_LOCIDX(45107,44932,,\"SPX\")":1.9023348,"WCC-US^P_BETA_LOCIDX(45106,44931,,\"SPX\")":1.9026833,"WCC-US^P_BETA_LOCIDX(45105,44930,,\"SPX\")":1.9141237,"WCC-US^P_BETA_LOCIDX(45104,44929,,\"SPX\")":1.9150168,"WCC-US^P_BETA_LOCIDX(45103,44925,,\"SPX\")":1.8932759,"WCC-US^P_BETA_LOCIDX(45100,44924,,\"SPX\")":1.8994136,"WCC-US^P_BETA_LOCIDX(45099,44923,,\"SPX\")":1.9279418,"WCC-US^P_BETA_LOCIDX(45098,44922,,\"SPX\")":1.931753,"WCC-US^P_BETA_LOCIDX(45097,44918,,\"SPX\")":1.9520773,"WCC-US^P_BETA_LOCIDX(45093,44917,,\"SPX\")":1.9696364,"WCC-US^P_BETA_LOCIDX(45092,44916,,\"SPX\")":1.9696586,"WCC-US^P_BETA_LOCIDX(45091,44915,,\"SPX\")":1.9659022,"WCC-US^P_BETA_LOCIDX(45090,44914,,\"SPX\")":1.9378608,"WCC-US^P_BETA_LOCIDX(45089,44911,,\"SPX\")":1.91214,"WCC-US^P_BETA_LOCIDX(45086,44910,,\"SPX\")":1.8868089,"WCC-US^P_BETA_LOCIDX(45085,44909,,\"SPX\")":1.8887457,"WCC-US^P_BETA_LOCIDX(45084,44908,,\"SPX\")":1.8982009,"WCC-US^P_BETA_LOCIDX(45083,44907,,\"SPX\")":1.9095367,"WCC-US^P_BETA_LOCIDX(45082,44904,,\"SPX\")":1.911761,"WCC-US^P_BETA_LOCIDX(45079,44903,,\"SPX\")":1.9077495,"WCC-US^P_BETA_LOCIDX(45078,44902,,\"SPX\")":1.8503926,"WCC-US^P_BETA_LOCIDX(45077,44901,,\"SPX\")":1.842809,"WCC-US^P_BETA_LOCIDX(45076,44900,,\"SPX\")":1.8487883,"WCC-US^P_BETA_LOCIDX(45072,44897,,\"SPX\")":1.8478295,"WCC-US^P_BETA_LOCIDX(45071,44896,,\"SPX\")":1.7745007,"WCC-US^P_BETA_LOCIDX(45070,44895,,\"SPX\")":1.6763213,"WCC-US^P_BETA_LOCIDX(45069,44894,,\"SPX\")":1.6676526,"WCC-US^P_BETA_LOCIDX(45068,44893,,\"SPX\")":1.6646744,"WCC-US^P_BETA_LOCIDX(45065,44890,,\"SPX\")":1.6642668,"WCC-US^P_BETA_LOCIDX(45064,44888,,\"SPX\")":1.6571298,"WCC-US^P_BETA_LOCIDX(45063,44887,,\"SPX\")":1.6377918,"WCC-US^P_BETA_LOCIDX(45062,44886,,\"SPX\")":1.6259799,"WCC-US^P_BETA_LOCIDX(45061,44883,,\"SPX\")":1.618477,"WCC-US^P_BETA_LOCIDX(45058,44882,,\"SPX\")":1.6203225,"WCC-US^P_BETA_LOCIDX(45057,44881,,\"SPX\")":1.6133829,"WCC-US^P_BETA_LOCIDX(45056,44880,,\"SPX\")":1.5909281,"WCC-US^P_BETA_LOCIDX(45055,44879,,\"SPX\")":1.5911845,"WCC-US^P_BETA_LOCIDX(45054,44876,,\"SPX\")":1.616066,"WCC-US^P_BETA_LOCIDX(45051,44875,,\"SPX\")":1.4810784,"WCC-US^P_BETA_LOCIDX(45050,44874,,\"SPX\")":1.4213935,"WCC-US^P_BETA_LOCIDX(45049,44873,,\"SPX\")":1.3574107,"WCC-US^P_BETA_LOCIDX(45048,44872,,\"SPX\")":1.3567587,"WCC-US^P_BETA_LOCIDX(45047,44869,,\"SPX\")":1.3754481,"WCC-US^P_BETA_LOCIDX(45044,44868,,\"SPX\")":1.472733,"WCC-US^P_BETA_LOCIDX(45043,44867,,\"SPX\")":1.4503804,"WCC-US^P_BETA_LOCIDX(45042,44866,,\"SPX\")":1.4254376,"WCC-US^P_BETA_LOCIDX(45041,44865,,\"SPX\")":1.4128673,"WCC-US^P_BETA_LOCIDX(45040,44862,,\"SPX\")":1.416481,"WCC-US^P_BETA_LOCIDX(45037,44861,,\"SPX\")":1.4123266,"WCC-US^P_BETA_LOCIDX(45036,44860,,\"SPX\")":1.4053743,"WCC-US^P_BETA_LOCIDX(45035,44859,,\"SPX\")":1.4090972,"WCC-US^P_BETA_LOCIDX(45034,44858,,\"SPX\")":1.4167728,"WCC-US^P_BETA_LOCIDX(45033,44855,,\"SPX\")":1.4382976,"WCC-US^P_BETA_LOCIDX(45030,44854,,\"SPX\")":1.4458628,"WCC-US^P_BETA_LOCIDX(45029,44853,,\"SPX\")":1.4526018,"WCC-US^P_BETA_LOCIDX(45028,44852,,\"SPX\")":1.4684048,"WCC-US^P_BETA_LOCIDX(45027,44851,,\"SPX\")":1.4986299,"WCC-US^P_BETA_LOCIDX(45026,44848,,\"SPX\")":1.5305703,"WCC-US^P_BETA_LOCIDX(45022,44847,,\"SPX\")":1.5245754,"WCC-US^P_BETA_LOCIDX(45021,44846,,\"SPX\")":1.5312843,"WCC-US^P_BETA_LOCIDX(45020,44845,,\"SPX\")":1.5236155,"WCC-US^P_BETA_LOCIDX(45019,44844,,\"SPX\")":1.5039951,"WCC-US^P_BETA_LOCIDX(45016,44841,,\"SPX\")":1.4889733,"WCC-US^P_BETA_LOCIDX(45015,44840,,\"SPX\")":1.489588,"WCC-US^P_BETA_LOCIDX(45014,44839,,\"SPX\")":1.4870148,"WCC-US^P_BETA_LOCIDX(45013,44838,,\"SPX\")":1.4882637,"WCC-US^P_BETA_LOCIDX(45012,44837,,\"SPX\")":1.4784985,"WCC-US^P_BETA_LOCIDX(45009,44834,,\"SPX\")":1.4468031,"WCC-US^P_BETA_LOCIDX(45008,44833,,\"SPX\")":1.4413968,"WCC-US^P_BETA_LOCIDX(45007,44832,,\"SPX\")":1.4478362,"WCC-US^P_BETA_LOCIDX(45006,44831,,\"SPX\")":1.4436017,"WCC-US^P_BETA_LOCIDX(45005,44830,,\"SPX\")":1.4412363,"WCC-US^P_BETA_LOCIDX(45002,44827,,\"SPX\")":1.4511727,"WCC-US^P_BETA_LOCIDX(45001,44826,,\"SPX\")":1.4388973,"WCC-US^P_BETA_LOCIDX(45000,44825,,\"SPX\")":1.4443464,"WCC-US^P_BETA_LOCIDX(44999,44824,,\"SPX\")":1.4250302,"WCC-US^P_BETA_LOCIDX(44998,44823,,\"SPX\")":1.4311047,"WCC-US^P_BETA_LOCIDX(44995,44820,,\"SPX\")":1.4389678,"WCC-US^P_BETA_LOCIDX(44994,44819,,\"SPX\")":1.4191524,"WCC-US^P_BETA_LOCIDX(44993,44818,,\"SPX\")":1.4056234,"WCC-US^P_BETA_LOCIDX(44992,44817,,\"SPX\")":1.3573356,"WCC-US^P_BETA_LOCIDX(44991,44816,,\"SPX\")":1.3528812,"WCC-US^P_BETA_LOCIDX(44988,44813,,\"SPX\")":1.3678447,"WCC-US^P_BETA_LOCIDX(44987,44812,,\"SPX\")":1.3713142,"WCC-US^P_BETA_LOCIDX(44986,44811,,\"SPX\")":1.3767757,"WCC-US^P_BETA_LOCIDX(44985,44810,,\"SPX\")":1.3783678,"WCC-US^P_BETA_LOCIDX(44984,44806,,\"SPX\")":1.3711889,"WCC-US^P_BETA_LOCIDX(44981,44805,,\"SPX\")":1.369342,"WCC-US^P_BETA_LOCIDX(44980,44804,,\"SPX\")":1.3759687,"WCC-US^P_BETA_LOCIDX(44979,44803,,\"SPX\")":1.3858273,"WCC-US^P_BETA_LOCIDX(44978,44802,,\"SPX\")":1.381629,"WCC-US^P_BETA_LOCIDX(44974,44799,,\"SPX\")":1.3661288,"WCC-US^P_BETA_LOCIDX(44973,44798,,\"SPX\")":1.3780086,"WCC-US^P_BETA_LOCIDX(44972,44797,,\"SPX\")":1.3862585,"WCC-US^P_BETA_LOCIDX(44971,44796,,\"SPX\")":1.3819889,"WCC-US^P_BETA_LOCIDX(44970,44795,,\"SPX\")":1.3843073,"WCC-US^P_BETA_LOCIDX(44967,44792,,\"SPX\")":1.3862667,"WCC-US^P_BETA_LOCIDX(44966,44791,,\"SPX\")":1.3861293,"WCC-US^P_BETA_LOCIDX(44965,44790,,\"SPX\")":1.3842474,"WCC-US^P_BETA_LOCIDX(44964,44789,,\"SPX\")":1.3837155,"WCC-US^P_BETA_LOCIDX(44963,44788,,\"SPX\")":1.3898816,"WCC-US^P_BETA_LOCIDX(44960,44785,,\"SPX\")":1.3883523,"WCC-US^P_BETA_LOCIDX(44959,44784,,\"SPX\")":1.3953829,"WCC-US^P_BETA_LOCIDX(44958,44783,,\"SPX\")":1.398682,"WCC-US^P_BETA_LOCIDX(44957,44782,,\"SPX\")":1.3979744,"WCC-US^P_BETA_LOCIDX(44956,44781,,\"SPX\")":1.3904394,"WCC-US^P_BETA_LOCIDX(44953,44778,,\"SPX\")":1.3930318,"WCC-US^P_BETA_LOCIDX(44952,44777,,\"SPX\")":1.391725,"WCC-US^P_BETA_LOCIDX(44951,44776,,\"SPX\")":1.3797331,"WCC-US^P_BETA_LOCIDX(44950,44775,,\"SPX\")":1.3798229,"WCC-US^P_BETA_LOCIDX(44949,44774,,\"SPX\")":1.3786278,"WCC-US^P_BETA_LOCIDX(44946,44771,,\"SPX\")":1.3912804,"WCC-US^P_BETA_LOCIDX(44945,44770,,\"SPX\")":1.3996384,"WCC-US^P_BETA_LOCIDX(44944,44769,,\"SPX\")":1.3953656,"WCC-US^P_BETA_LOCIDX(44943,44768,,\"SPX\")":1.3906739,"WCC-US^P_BETA_LOCIDX(44939,44767,,\"SPX\")":1.3907406,"WCC-US^P_BETA_LOCIDX(44938,44764,,\"SPX\")":1.3911572,"WCC-US^P_BETA_LOCIDX(44937,44763,,\"SPX\")":1.3866142,"WCC-US^P_BETA_LOCIDX(44936,44762,,\"SPX\")":1.405758,"WCC-US^P_BETA_LOCIDX(44935,44761,,\"SPX\")":1.418809,"WCC-US^P_BETA_LOCIDX(44932,44760,,\"SPX\")":1.41801,"WCC-US^P_BETA_LOCIDX(44931,44757,,\"SPX\")":1.4120469,"WCC-US^P_BETA_LOCIDX(44930,44756,,\"SPX\")":1.4128165,"WCC-US^P_BETA_LOCIDX(44929,44755,,\"SPX\")":1.4107369,"WCC-US^P_BETA_LOCIDX(44925,44754,,\"SPX\")":1.4075273,"WCC-US^P_BETA_LOCIDX(44924,44753,,\"SPX\")":1.406064,"WCC-US^P_BETA_LOCIDX(44923,44750,,\"SPX\")":1.3984928,"WCC-US^P_BETA_LOCIDX(44922,44749,,\"SPX\")":1.4104313,"WCC-US^P_BETA_LOCIDX(44918,44748,,\"SPX\")":1.4086556,"WCC-US^P_BETA_LOCIDX(44917,44747,,\"SPX\")":1.4049708,"WCC-US^P_BETA_LOCIDX(44916,44743,,\"SPX\")":1.3871497,"WCC-US^P_BETA_LOCIDX(44915,44742,,\"SPX\")":1.380485,"WCC-US^P_BETA_LOCIDX(44914,44741,,\"SPX\")":1.3815649,"WCC-US^P_BETA_LOCIDX(44911,44740,,\"SPX\")":1.3811332,"WCC-US^P_BETA_LOCIDX(44910,44739,,\"SPX\")":1.3855337,"WCC-US^P_BETA_LOCIDX(44909,44736,,\"SPX\")":1.4361509,"WCC-US^P_BETA_LOCIDX(44908,44735,,\"SPX\")":1.4271641,"WCC-US^P_BETA_LOCIDX(44907,44734,,\"SPX\")":1.4241043,"WCC-US^P_BETA_LOCIDX(44904,44733,,\"SPX\")":1.3976125,"WCC-US^P_BETA_LOCIDX(44903,44729,,\"SPX\")":1.393879,"WCC-US^P_BETA_LOCIDX(44902,44728,,\"SPX\")":1.4491524,"WCC-US^P_BETA_LOCIDX(44901,44727,,\"SPX\")":1.4421781,"WCC-US^P_BETA_LOCIDX(44900,44726,,\"SPX\")":1.4507284,"WCC-US^P_BETA_LOCIDX(44897,44725,,\"SPX\")":1.433605,"WCC-US^P_BETA_LOCIDX(44896,44722,,\"SPX\")":1.4405166,"WCC-US^P_BETA_LOCIDX(44895,44721,,\"SPX\")":1.429699,"WCC-US^P_BETA_LOCIDX(44894,44720,,\"SPX\")":1.4645818,"WCC-US^P_BETA_LOCIDX(44893,44719,,\"SPX\")":1.4804856,"WCC-US^P_BETA_LOCIDX(44890,44718,,\"SPX\")":1.4741893,"WCC-US^P_BETA_LOCIDX(44888,44715,,\"SPX\")":1.4525937,"WCC-US^P_BETA_LOCIDX(44887,44714,,\"SPX\")":1.4575508,"WCC-US^P_BETA_LOCIDX(44886,44713,,\"SPX\")":1.4455365,"WCC-US^P_BETA_LOCIDX(44883,44712,,\"SPX\")":1.4451514,"WCC-US^P_BETA_LOCIDX(44882,44708,,\"SPX\")":1.4452639,"WCC-US^P_BETA_LOCIDX(44881,44707,,\"SPX\")":1.4599452,"WCC-US^P_BETA_LOCIDX(44880,44706,,\"SPX\")":1.4621813,"WCC-US^P_BETA_LOCIDX(44879,44705,,\"SPX\")":1.479522,"WCC-US^P_BETA_LOCIDX(44876,44704,,\"SPX\")":1.4713337,"WCC-US^P_BETA_LOCIDX(44875,44701,,\"SPX\")":1.4632268,"WCC-US^P_BETA_LOCIDX(44874,44700,,\"SPX\")":1.5249313,"WCC-US^P_BETA_LOCIDX(44873,44699,,\"SPX\")":1.5113807,"WCC-US^P_BETA_LOCIDX(44872,44698,,\"SPX\")":1.5123675,"WCC-US^P_BETA_LOCIDX(44869,44697,,\"SPX\")":1.5193907,"WCC-US^P_BETA_LOCIDX(44868,44694,,\"SPX\")":1.5164047,"WCC-US^P_BETA_LOCIDX(44867,44693,,\"SPX\")":1.4695638,"WCC-US^P_BETA_LOCIDX(44866,44692,,\"SPX\")":1.5015454,"WCC-US^P_BETA_LOCIDX(44865,44691,,\"SPX\")":1.502463,"WCC-US^P_BETA_LOCIDX(44862,44690,,\"SPX\")":1.5254865,"WCC-US^P_BETA_LOCIDX(44861,44687,,\"SPX\")":1.5336317,"WCC-US^P_BETA_LOCIDX(44860,44686,,\"SPX\")":1.4116026,"WCC-US^P_BETA_LOCIDX(44859,44685,,\"SPX\")":1.4156154,"WCC-US^P_BETA_LOCIDX(44858,44684,,\"SPX\")":1.4222522,"WCC-US^P_BETA_LOCIDX(44855,44683,,\"SPX\")":1.4149146,"WCC-US^P_BETA_LOCIDX(44854,44680,,\"SPX\")":1.3834244,"WCC-US^P_BETA_LOCIDX(44853,44679,,\"SPX\")":1.3769178,"WCC-US^P_BETA_LOCIDX(44852,44678,,\"SPX\")":1.3758967,"WCC-US^P_BETA_LOCIDX(44851,44677,,\"SPX\")":1.3787768,"WCC-US^P_BETA_LOCIDX(44848,44676,,\"SPX\")":1.3592415,"WCC-US^P_BETA_LOCIDX(44847,44673,,\"SPX\")":1.3551638,"WCC-US^P_BETA_LOCIDX(44846,44672,,\"SPX\")":1.3417311,"WCC-US^P_BETA_LOCIDX(44845,44671,,\"SPX\")":1.3412414,"WCC-US^P_BETA_LOCIDX(44844,44670,,\"SPX\")":1.3555148,"WCC-US^P_BETA_LOCIDX(44841,44669,,\"SPX\")":1.3553294,"WCC-US^P_BETA_LOCIDX(44840,44665,,\"SPX\")":1.358164,"WCC-US^P_BETA_LOCIDX(44839,44664,,\"SPX\")":1.362232,"WCC-US^P_BETA_LOCIDX(44838,44663,,\"SPX\")":1.3604292,"WCC-US^P_BETA_LOCIDX(44837,44662,,\"SPX\")":1.3458867,"WCC-US^P_BETA_LOCIDX(44834,44659,,\"SPX\")":1.3535509,"WCC-US^P_BETA_LOCIDX(44833,44658,,\"SPX\")":1.3614377,"WCC-US^P_BETA_LOCIDX(44832,44657,,\"SPX\")":1.3676951,"WCC-US^P_BETA_LOCIDX(44831,44656,,\"SPX\")":1.3680497,"WCC-US^P_BETA_LOCIDX(44830,44655,,\"SPX\")":1.3578359,"WCC-US^P_BETA_LOCIDX(44827,44652,,\"SPX\")":1.3534923,"WCC-US^P_BETA_LOCIDX(44826,44651,,\"SPX\")":1.3365432,"WCC-US^P_BETA_LOCIDX(44825,44650,,\"SPX\")":1.3337307,"WCC-US^P_BETA_LOCIDX(44824,44649,,\"SPX\")":1.3366278,"WCC-US^P_BETA_LOCIDX(44823,44648,,\"SPX\")":1.3292534,"WCC-US^P_BETA_LOCIDX(44820,44645,,\"SPX\")":1.3260964,"WCC-US^P_BETA_LOCIDX(44819,44644,,\"SPX\")":1.3180405,"WCC-US^P_BETA_LOCIDX(44818,44643,,\"SPX\")":1.3184122,"WCC-US^P_BETA_LOCIDX(44817,44642,,\"SPX\")":1.3167537,"WCC-US^P_BETA_LOCIDX(44816,44641,,\"SPX\")":1.3513348,"WCC-US^P_BETA_LOCIDX(44813,44638,,\"SPX\")":1.3502399,"WCC-US^P_BETA_LOCIDX(44812,44637,,\"SPX\")":1.3357265,"WCC-US^P_BETA_LOCIDX(44811,44636,,\"SPX\")":1.3513108,"WCC-US^P_BETA_LOCIDX(44810,44635,,\"SPX\")":1.3524092,"WCC-US^P_BETA_LOCIDX(44806,44634,,\"SPX\")":1.3508735,"WCC-US^P_BETA_LOCIDX(44805,44631,,\"SPX\")":1.3362329,"WCC-US^P_BETA_LOCIDX(44804,44630,,\"SPX\")":1.3341047,"WCC-US^P_BETA_LOCIDX(44803,44629,,\"SPX\")":1.3387587,"WCC-US^P_BETA_LOCIDX(44802,44628,,\"SPX\")":1.3233702,"WCC-US^P_BETA_LOCIDX(44799,44627,,\"SPX\")":1.3503845,"WCC-US^P_BETA_LOCIDX(44798,44624,,\"SPX\")":1.3647691,"WCC-US^P_BETA_LOCIDX(44797,44623,,\"SPX\")":1.3539652,"WCC-US^P_BETA_LOCIDX(44796,44622,,\"SPX\")":1.3674903,"WCC-US^P_BETA_LOCIDX(44795,44621,,\"SPX\")":1.3819253,"WCC-US^P_BETA_LOCIDX(44792,44620,,\"SPX\")":1.3818479,"WCC-US^P_BETA_LOCIDX(44791,44617,,\"SPX\")":1.361347,"WCC-US^P_BETA_LOCIDX(44790,44616,,\"SPX\")":1.3696506,"WCC-US^P_BETA_LOCIDX(44789,44615,,\"SPX\")":1.3822216,"WCC-US^P_BETA_LOCIDX(44788,44614,,\"SPX\")":1.376155,"WCC-US^P_BETA_LOCIDX(44785,44610,,\"SPX\")":1.3724835,"WCC-US^P_BETA_LOCIDX(44784,44609,,\"SPX\")":1.3938278,"WCC-US^P_BETA_LOCIDX(44783,44608,,\"SPX\")":1.393303,"WCC-US^P_BETA_LOCIDX(44782,44607,,\"SPX\")":1.42008,"WCC-US^P_BETA_LOCIDX(44781,44606,,\"SPX\")":1.4196383,"WCC-US^P_BETA_LOCIDX(44778,44603,,\"SPX\")":1.4226336,"WCC-US^P_BETA_LOCIDX(44777,44602,,\"SPX\")":1.425402,"WCC-US^P_BETA_LOCIDX(44776,44601,,\"SPX\")":1.4345828,"WCC-US^P_BETA_LOCIDX(44775,44600,,\"SPX\")":1.4464582,"WCC-US^P_BETA_LOCIDX(44774,44599,,\"SPX\")":1.4444002,"WCC-US^P_BETA_LOCIDX(45845,45670,,\"SPX\")":1.6109542,"CRH-US^P_BETA_LOCIDX(45533,45359,,\"SPX\")":1.4445219,"CRH-US^P_BETA_LOCIDX(45183,45008,,\"SPX\")":1.0231038,"CRH-US^P_BETA_LOCIDX(45351,45176,,\"SPX\")":1.2046798,"CRH-US^P_BETA_LOCIDX(45930,45757,,\"SPX\")":1.3863037,"CRH-US^P_BETA_LOCIDX(45982,45813,,\"SPX\")":1.0776421,"CRH-US^P_BETA_LOCIDX(45412,45236,,\"SPX\")":1.1255054,"CRH-US^P_BETA_LOCIDX(45030,44854,,\"SPX\")":1.135328,"CRH-US^P_BETA_LOCIDX(45873,45699,,\"SPX\")":1.2732589,"CRH-US^P_BETA_LOCIDX(45506,45331,,\"SPX\")":1.3219154,"CRH-US^P_BETA_LOCIDX(45757,45581,,\"SPX\")":1.2556114,"CRH-US^P_BETA_LOCIDX(45240,45068,,\"SPX\")":1.2649453,"CRH-US^P_BETA_LOCIDX(45225,45051,,\"SPX\")":1.2359563,"CRH-US^P_BETA_LOCIDX(45014,44839,,\"SPX\")":1.1779103,"CRH-US^P_BETA_LOCIDX(45834,45657,,\"SPX\")":1.269484,"CRH-US^P_BETA_LOCIDX(45678,45502,,\"SPX\")":1.2313724,"CRH-US^P_BETA_LOCIDX(45552,45377,,\"SPX\")":1.3496414,"CRH-US^P_BETA_LOCIDX(45714,45538,,\"SPX\")":1.0688381,"CRH-US^P_BETA_LOCIDX(45112,44936,,\"SPX\")":1.0259328,"CRH-US^P_BETA_LOCIDX(45078,44902,,\"SPX\")":1.0209008,"CRH-US^P_BETA_LOCIDX(46021,45848,,\"SPX\")":1.1082423,"CRH-US^P_BETA_LOCIDX(45218,45044,,\"SPX\")":1.2221119,"CRH-US^P_BETA_LOCIDX(45414,45238,,\"SPX\")":1.1499484,"CRH-US^P_BETA_LOCIDX(45337,45162,,\"SPX\")":1.2557231,"CRH-US^P_BETA_LOCIDX(45348,45170,,\"SPX\")":1.1969365,"CRH-US^P_BETA_LOCIDX(45925,45751,,\"SPX\")":1.2121625,"CRH-US^P_BETA_LOCIDX(45372,45197,,\"SPX\")":1.2211345,"CRH-US^P_BETA_LOCIDX(45558,45384,,\"SPX\")":1.3736727,"CRH-US^P_BETA_LOCIDX(45622,45449,,\"SPX\")":1.2604331,"CRH-US^P_BETA_LOCIDX(45503,45328,,\"SPX\")":1.2402911,"CRH-US^P_BETA_LOCIDX(45330,45155,,\"SPX\")":1.2269434,"CRH-US^P_BETA_LOCIDX(45849,45674,,\"SPX\")":1.2786847,"CRH-US^P_BETA_LOCIDX(45615,45442,,\"SPX\")":1.251322,"CRH-US^P_BETA_LOCIDX(45582,45408,,\"SPX\")":1.3607997,"CRH-US^P_BETA_LOCIDX(45387,45211,,\"SPX\")":1.1701695,"CRH-US^P_BETA_LOCIDX(44987,44812,,\"SPX\")":1.2454621,"CRH-US^P_BETA_LOCIDX(45909,45736,,\"SPX\")":1.2277306,"CRH-US^P_BETA_LOCIDX(45936,45763,,\"SPX\")":1.3134166,"CRH-US^P_BETA_LOCIDX(45961,45791,,\"SPX\")":1.1411998,"CRH-US^P_BETA_LOCIDX(45989,45820,,\"SPX\")":1.1854112,"CRH-US^P_BETA_LOCIDX(45904,45730,,\"SPX\")":1.2342027,"CRH-US^P_BETA_LOCIDX(45597,45425,,\"SPX\")":1.2878035,"CRH-US^P_BETA_LOCIDX(45505,45330,,\"SPX\")":1.2936913,"CRH-US^P_BETA_LOCIDX(45160,44986,,\"SPX\")":1.0668352,"CRH-US^P_BETA_LOCIDX(45349,45174,,\"SPX\")":1.1964505,"CRH-US^P_BETA_LOCIDX(45908,45734,,\"SPX\")":1.233485,"CRH-US^P_BETA_LOCIDX(45545,45370,,\"SPX\")":1.355443,"CRH-US^P_BETA_LOCIDX(45910,45737,,\"SPX\")":1.2265953,"CRH-US^P_BETA_LOCIDX(45964,45792,,\"SPX\")":1.1400793,"CRH-US^P_BETA_LOCIDX(45993,45824,,\"SPX\")":1.1400934,"CRH-US^P_BETA_LOCIDX(45932,45758,,\"SPX\")":1.3008221,"CRH-US^P_BETA_LOCIDX(45233,45061,,\"SPX\")":1.2379813,"CRH-US^P_BETA_LOCIDX(45833,45656,,\"SPX\")":1.2700185,"CRH-US^P_BETA_LOCIDX(45147,44972,,\"SPX\")":1.0623907,"CRH-US^P_BETA_LOCIDX(45579,45405,,\"SPX\")":1.3845949,"CRH-US^P_BETA_LOCIDX(45041,44865,,\"SPX\")":1.123608,"CRH-US^P_BETA_LOCIDX(45938,45768,,\"SPX\")":1.3913804,"CRH-US^P_BETA_LOCIDX(46021,45853,,\"SPX\")":1.1091973,"CRH-US^P_BETA_LOCIDX(45846,45671,,\"SPX\")":1.2830789,"CRH-US^P_BETA_LOCIDX(45636,45463,,\"SPX\")":1.2628044,"CRH-US^P_BETA_LOCIDX(45280,45107,,\"SPX\")":1.2207875,"CRH-US^P_BETA_LOCIDX(44971,44796,,\"SPX\")":1.208479,"CRH-US^P_BETA_LOCIDX(45693,45517,,\"SPX\")":1.0667881,"CRH-US^P_BETA_LOCIDX(45912,45741,,\"SPX\")":1.2219864,"CRH-US^P_BETA_LOCIDX(45939,45769,,\"SPX\")":1.4268101,"CRH-US^P_BETA_LOCIDX(45966,45796,,\"SPX\")":1.1188762,"CRH-US^P_BETA_LOCIDX(46022,45854,,\"SPX\")":1.1079104,"CRH-US^P_BETA_LOCIDX(45005,44830,,\"SPX\")":1.2154254,"CRH-US^P_BETA_LOCIDX(45758,45582,,\"SPX\")":1.2534299,"CRH-US^P_BETA_LOCIDX(45203,45029,,\"SPX\")":1.0319428,"CRH-US^P_BETA_LOCIDX(45251,45078,,\"SPX\")":1.1545297,"CRH-US^P_BETA_LOCIDX(45267,45093,,\"SPX\")":1.1763699,"CRH-US^P_BETA_LOCIDX(45588,45414,,\"SPX\")":1.3646939,"CRH-US^P_BETA_LOCIDX(45915,45742,,\"SPX\")":1.2209564,"CRH-US^P_BETA_LOCIDX(45995,45826,,\"SPX\")":1.1571763,"CRH-US^P_BETA_LOCIDX(46020,45847,,\"SPX\")":1.1135874,"CRH-US^P_BETA_LOCIDX(45126,44951,,\"SPX\")":1.0805665,"CRH-US^P_BETA_LOCIDX(45954,45783,,\"SPX\")":1.2208827,"CRH-US^P_BETA_LOCIDX(45448,45272,,\"SPX\")":1.2760651,"CRH-US^P_BETA_LOCIDX(45603,45429,,\"SPX\")":1.2598822,"CRH-US^P_BETA_LOCIDX(45862,45688,,\"SPX\")":1.2791624,"CRH-US^P_BETA_LOCIDX(45727,45551,,\"SPX\")":1.268093,"CRH-US^P_BETA_LOCIDX(45940,45770,,\"SPX\")":1.3098342,"CRH-US^P_BETA_LOCIDX(45968,45798,,\"SPX\")":1.0934885,"CRH-US^P_BETA_LOCIDX(46024,45856,,\"SPX\")":1.123775,"CRH-US^P_BETA_LOCIDX(45972,45800,,\"SPX\")":1.070908,"CRH-US^P_BETA_LOCIDX(46028,45860,,\"SPX\")":1.1268582,"CRH-US^P_BETA_LOCIDX(45156,44984,,\"SPX\")":1.0778266,"CRH-US^P_BETA_LOCIDX(45264,45090,,\"SPX\")":1.1661656,"CRH-US^P_BETA_LOCIDX(45450,45274,,\"SPX\")":1.2651378,"CRH-US^P_BETA_LOCIDX(45163,44991,,\"SPX\")":1.0469213,"CRH-US^P_BETA_LOCIDX(45854,45680,,\"SPX\")":1.2712417,"CRH-US^P_BETA_LOCIDX(45744,45568,,\"SPX\")":1.4005665,"CRH-US^P_BETA_LOCIDX(45720,45544,,\"SPX\")":1.1224482,"CRH-US^P_BETA_LOCIDX(45719,45541,,\"SPX\")":1.0209184,"CRH-US^P_BETA_LOCIDX(45965,45792,,\"SPX\")":1.1304411,"CRH-US^P_BETA_LOCIDX(45672,45497,,\"SPX\")":1.2360847,"CRH-US^P_BETA_LOCIDX(45258,45084,,\"SPX\")":1.1475993,"CRH-US^P_BETA_LOCIDX(45194,45019,,\"SPX\")":1.056596,"CRH-US^P_BETA_LOCIDX(45068,44893,,\"SPX\")":0.9495382,"CRH-US^P_BETA_LOCIDX(45084,44908,,\"SPX\")":1.0512515,"CRH-US^P_BETA_LOCIDX(45457,45281,,\"SPX\")":1.2776804,"CRH-US^P_BETA_LOCIDX(45422,45246,,\"SPX\")":1.1939256,"CRH-US^P_BETA_LOCIDX(45159,44985,,\"SPX\")":1.0694027,"CRH-US^P_BETA_LOCIDX(45117,44939,,\"SPX\")":1.0393705,"CRH-US^P_BETA_LOCIDX(45012,44837,,\"SPX\")":1.2116635,"CRH-US^P_BETA_LOCIDX(45874,45700,,\"SPX\")":1.2725192,"CRH-US^P_BETA_LOCIDX(45642,45469,,\"SPX\")":1.2368149,"CRH-US^P_BETA_LOCIDX(45772,45595,,\"SPX\")":1.2515498,"CRH-US^P_BETA_LOCIDX(45918,45747,,\"SPX\")":1.1876134,"CRH-US^P_BETA_LOCIDX(45946,45776,,\"SPX\")":1.2318312,"CRH-US^P_BETA_LOCIDX(46000,45832,,\"SPX\")":1.0916172,"CRH-US^P_BETA_LOCIDX(46029,45861,,\"SPX\")":1.1603193,"CRH-US^P_BETA_LOCIDX(45604,45432,,\"SPX\")":1.2584902,"CRH-US^P_BETA_LOCIDX(45593,45419,,\"SPX\")":1.3486437,"CRH-US^P_BETA_LOCIDX(45065,44890,,\"SPX\")":0.94907564,"CRH-US^P_BETA_LOCIDX(45587,45413,,\"SPX\")":1.3661073,"CRH-US^P_BETA_LOCIDX(45583,45411,,\"SPX\")":1.3545257,"CRH-US^P_BETA_LOCIDX(45967,45796,,\"SPX\")":1.1084607,"CRH-US^P_BETA_LOCIDX(45551,45376,,\"SPX\")":1.3448509,"CRH-US^P_BETA_LOCIDX(45560,45386,,\"SPX\")":1.3736559,"CRH-US^P_BETA_LOCIDX(45602,45428,,\"SPX\")":1.2723447,"CRH-US^P_BETA_LOCIDX(45868,45694,,\"SPX\")":1.2781467,"CRH-US^P_BETA_LOCIDX(45691,45513,,\"SPX\")":1.0583985,"CRH-US^P_BETA_LOCIDX(45573,45399,,\"SPX\")":1.3765285,"CRH-US^P_BETA_LOCIDX(45498,45323,,\"SPX\")":1.2350942,"CRH-US^P_BETA_LOCIDX(45611,45440,,\"SPX\")":1.258147,"CRH-US^P_BETA_LOCIDX(45889,45716,,\"SPX\")":1.2858769,"CRH-US^P_BETA_LOCIDX(45364,45189,,\"SPX\")":1.1649652,"CRH-US^P_BETA_LOCIDX(45754,45576,,\"SPX\")":1.2825809,"CRH-US^P_BETA_LOCIDX(45890,45719,,\"SPX\")":1.2908081,"CRH-US^P_BETA_LOCIDX(45168,44994,,\"SPX\")":1.044829,"CRH-US^P_BETA_LOCIDX(45847,45672,,\"SPX\")":1.2851086,"CRH-US^P_BETA_LOCIDX(44988,44813,,\"SPX\")":1.2328988,"CRH-US^P_BETA_LOCIDX(45973,45804,,\"SPX\")":1.0635575,"CRH-US^P_BETA_LOCIDX(46030,45862,,\"SPX\")":1.154961,"CRH-US^P_BETA_LOCIDX(45762,45586,,\"SPX\")":1.2550012,"CRH-US^P_BETA_LOCIDX(45659,45485,,\"SPX\")":1.2759999,"CRH-US^P_BETA_LOCIDX(45390,45212,,\"SPX\")":1.1573323,"CRH-US^P_BETA_LOCIDX(45119,44944,,\"SPX\")":1.0505004,"CRH-US^P_BETA_LOCIDX(45959,45786,,\"SPX\")":1.1562663,"CRH-US^P_BETA_LOCIDX(45358,45183,,\"SPX\")":1.1861864,"CRH-US^P_BETA_LOCIDX(45274,45103,,\"SPX\")":1.2310659,"CRH-US^P_BETA_LOCIDX(45881,45708,,\"SPX\")":1.2816297,"CRH-US^P_BETA_LOCIDX(45793,45616,,\"SPX\")":1.2704589,"CRH-US^P_BETA_LOCIDX(45608,45434,,\"SPX\")":1.2683691,"CRH-US^P_BETA_LOCIDX(45673,45498,,\"SPX\")":1.2274996,"CRH-US^P_BETA_LOCIDX(45594,45420,,\"SPX\")":1.3493677,"CRH-US^P_BETA_LOCIDX(45937,45763,,\"SPX\")":1.3216112,"CRH-US^P_BETA_LOCIDX(45296,45124,,\"SPX\")":1.2070115,"CRH-US^P_BETA_LOCIDX(45652,45481,,\"SPX\")":1.2438085,"CRH-US^P_BETA_LOCIDX(45282,45112,,\"SPX\")":1.2292613,"CRH-US^P_BETA_LOCIDX(45271,45098,,\"SPX\")":1.1871988,"CRH-US^P_BETA_LOCIDX(45307,45132,,\"SPX\")":1.2617711,"CRH-US^P_BETA_LOCIDX(45919,45748,,\"SPX\")":1.1890059,"CRH-US^P_BETA_LOCIDX(45947,45777,,\"SPX\")":1.2324361,"CRH-US^P_BETA_LOCIDX(46001,45833,,\"SPX\")":1.087233,"CRH-US^P_BETA_LOCIDX(45376,45201,,\"SPX\")":1.2031254,"CRH-US^P_BETA_LOCIDX(45734,45558,,\"SPX\")":1.2957746,"CRH-US^P_BETA_LOCIDX(44970,44795,,\"SPX\")":1.2150537,"CRH-US^P_BETA_LOCIDX(45581,45407,,\"SPX\")":1.3618298,"CRH-US^P_BETA_LOCIDX(45070,44895,,\"SPX\")":0.95411414,"CRH-US^P_BETA_LOCIDX(45945,45772,,\"SPX\")":1.2252338,"CRH-US^P_BETA_LOCIDX(45215,45041,,\"SPX\")":1.0873111,"CRH-US^P_BETA_LOCIDX(45824,45645,,\"SPX\")":1.2585326,"CRH-US^P_BETA_LOCIDX(46003,45833,,\"SPX\")":1.0782889,"CRH-US^P_BETA_LOCIDX(45715,45539,,\"SPX\")":1.0284317,"CRH-US^P_BETA_LOCIDX(45845,45670,,\"SPX\")":1.283162,"CRH-US^P_BETA_LOCIDX(44991,44816,,\"SPX\")":1.2318171,"CRH-US^P_BETA_LOCIDX(45576,45404,,\"SPX\")":1.3835617,"CRH-US^P_BETA_LOCIDX(45538,45363,,\"SPX\")":1.4541324,"CRH-US^P_BETA_LOCIDX(45373,45198,,\"SPX\")":1.2261469,"CRH-US^P_BETA_LOCIDX(45392,45216,,\"SPX\")":1.1393741,"CRH-US^P_BETA_LOCIDX(45546,45371,,\"SPX\")":1.3354571,"CRH-US^P_BETA_LOCIDX(45922,45749,,\"SPX\")":1.1895698,"CRH-US^P_BETA_LOCIDX(45974,45805,,\"SPX\")":1.1090814,"CRH-US^P_BETA_LOCIDX(46031,45863,,\"SPX\")":1.1998643,"CRH-US^P_BETA_LOCIDX(45863,45691,,\"SPX\")":1.2821358,"CRH-US^P_BETA_LOCIDX(45436,45261,,\"SPX\")":1.32458,"CRH-US^P_BETA_LOCIDX(45429,45254,,\"SPX\")":1.3196088,"CRH-US^P_BETA_LOCIDX(45639,45468,,\"SPX\")":1.231022,"CRH-US^P_BETA_LOCIDX(45986,45814,,\"SPX\")":1.1476933,"CRH-US^P_BETA_LOCIDX(45217,45043,,\"SPX\")":1.1610416,"CRH-US^P_BETA_LOCIDX(45022,44847,,\"SPX\")":1.1775161,"CRH-US^P_BETA_LOCIDX(45407,45231,,\"SPX\")":1.1061383,"CRH-US^P_BETA_LOCIDX(45425,45247,,\"SPX\")":1.1993669,"CRH-US^P_BETA_LOCIDX(45127,44952,,\"SPX\")":1.0688523,"CRH-US^P_BETA_LOCIDX(45488,45313,,\"SPX\")":1.1375971,"CRH-US^P_BETA_LOCIDX(45483,45308,,\"SPX\")":1.2034687,"CRH-US^P_BETA_LOCIDX(45471,45296,,\"SPX\")":1.2629406,"CRH-US^P_BETA_LOCIDX(45995,45824,,\"SPX\")":1.1460917,"CRH-US^P_BETA_LOCIDX(45302,45128,,\"SPX\")":1.2495861,"CRH-US^P_BETA_LOCIDX(45903,45729,,\"SPX\")":1.2501596,"CRH-US^P_BETA_LOCIDX(45118,44943,,\"SPX\")":1.0452074,"CRH-US^P_BETA_LOCIDX(45338,45163,,\"SPX\")":1.230267,"CRH-US^P_BETA_LOCIDX(45442,45266,,\"SPX\")":1.2661607,"CRH-US^P_BETA_LOCIDX(45910,45736,,\"SPX\")":1.2278353,"CRH-US^P_BETA_LOCIDX(45016,44841,,\"SPX\")":1.1619811,"CRH-US^P_BETA_LOCIDX(45950,45778,,\"SPX\")":1.212934,"CRH-US^P_BETA_LOCIDX(45968,45797,,\"SPX\")":1.1076082,"CRH-US^P_BETA_LOCIDX(45747,45569,,\"SPX\")":1.3939159,"CRH-US^P_BETA_LOCIDX(45547,45372,,\"SPX\")":1.337734,"CRH-US^P_BETA_LOCIDX(45660,45488,,\"SPX\")":1.2677768,"CRH-US^P_BETA_LOCIDX(45960,45789,,\"SPX\")":1.1577036,"CRH-US^P_BETA_LOCIDX(45209,45035,,\"SPX\")":1.0425444,"CRH-US^P_BETA_LOCIDX(45750,45574,,\"SPX\")":1.3427843,"CRH-US^P_BETA_LOCIDX(45315,45140,,\"SPX\")":1.2383739,"CRH-US^P_BETA_LOCIDX(45859,45685,,\"SPX\")":1.2707196,"CRH-US^P_BETA_LOCIDX(46002,45834,,\"SPX\")":1.0826775,"CRH-US^P_BETA_LOCIDX(45566,45392,,\"SPX\")":1.3850803,"CRH-US^P_BETA_LOCIDX(46000,45828,,\"SPX\")":1.1093367,"CRH-US^P_BETA_LOCIDX(45077,44901,,\"SPX\")":1.0073582,"CRH-US^P_BETA_LOCIDX(45492,45317,,\"SPX\")":1.1643167,"CRH-US^P_BETA_LOCIDX(44967,44792,,\"SPX\")":1.213911,"CRH-US^P_BETA_LOCIDX(45219,45047,,\"SPX\")":1.1940968,"CRH-US^P_BETA_LOCIDX(45460,45282,,\"SPX\")":1.291125,"CRH-US^P_BETA_LOCIDX(45674,45499,,\"SPX\")":1.2389473,"CRH-US^P_BETA_LOCIDX(45295,45121,,\"SPX\")":1.2046822,"CRH-US^P_BETA_LOCIDX(45534,45362,,\"SPX\")":1.4537016,"CRH-US^P_BETA_LOCIDX(45167,44993,,\"SPX\")":1.0494716,"CRH-US^P_BETA_LOCIDX(45161,44987,,\"SPX\")":1.0712407,"CRH-US^P_BETA_LOCIDX(45027,44851,,\"SPX\")":1.1661155,"CRH-US^P_BETA_LOCIDX(45924,45751,,\"SPX\")":1.2117052,"CRH-US^P_BETA_LOCIDX(45975,45806,,\"SPX\")":1.0767213,"CRH-US^P_BETA_LOCIDX(46003,45835,,\"SPX\")":1.0804046,"CRH-US^P_BETA_LOCIDX(46034,45866,,\"SPX\")":1.1863252,"CRH-US^P_BETA_LOCIDX(45476,45301,,\"SPX\")":1.2158258,"CRH-US^P_BETA_LOCIDX(45966,45793,,\"SPX\")":1.1225258,"CRH-US^P_BETA_LOCIDX(45882,45709,,\"SPX\")":1.2777334,"CRH-US^P_BETA_LOCIDX(45987,45817,,\"SPX\")":1.1923795,"CRH-US^P_BETA_LOCIDX(45713,45534,,\"SPX\")":1.0900859,"CRH-US^P_BETA_LOCIDX(46006,45834,,\"SPX\")":1.0694807,"CRH-US^P_BETA_LOCIDX(45273,45100,,\"SPX\")":1.2221043,"CRH-US^P_BETA_LOCIDX(45614,45441,,\"SPX\")":1.2584747,"CRH-US^P_BETA_LOCIDX(45026,44848,,\"SPX\")":1.1781477,"CRH-US^P_BETA_LOCIDX(45524,45350,,\"SPX\")":1.465975,"CRH-US^P_BETA_LOCIDX(45797,45618,,\"SPX\")":1.2730572,"CRH-US^P_BETA_LOCIDX(45825,45646,,\"SPX\")":1.2573684,"CRH-US^P_BETA_LOCIDX(45751,45575,,\"SPX\")":1.28267,"CRH-US^P_BETA_LOCIDX(44960,44785,,\"SPX\")":1.21104,"CRH-US^P_BETA_LOCIDX(45896,45723,,\"SPX\")":1.2505145,"CRH-US^P_BETA_LOCIDX(45981,45811,,\"SPX\")":1.0650162,"CRH-US^P_BETA_LOCIDX(45224,45050,,\"SPX\")":1.1917362,"CRH-US^P_BETA_LOCIDX(45523,45349,,\"SPX\")":1.4668175,"CRH-US^P_BETA_LOCIDX(45657,45484,,\"SPX\")":1.2379225,"CRH-US^P_BETA_LOCIDX(45805,45628,,\"SPX\")":1.2667227,"CRH-US^P_BETA_LOCIDX(45931,45757,,\"SPX\")":1.3853129,"CRH-US^P_BETA_LOCIDX(45650,45478,,\"SPX\")":1.2418287,"CRH-US^P_BETA_LOCIDX(45852,45678,,\"SPX\")":1.2750276,"CRH-US^P_BETA_LOCIDX(45499,45324,,\"SPX\")":1.245322,"CRH-US^P_BETA_LOCIDX(45694,45518,,\"SPX\")":1.0784501,"CRH-US^P_BETA_LOCIDX(45420,45244,,\"SPX\")":1.1406072,"CRH-US^P_BETA_LOCIDX(45288,45117,,\"SPX\")":1.2038382,"CRH-US^P_BETA_LOCIDX(45320,45145,,\"SPX\")":1.2635508,"CRH-US^P_BETA_LOCIDX(45838,45660,,\"SPX\")":1.2741203,"CRH-US^P_BETA_LOCIDX(45057,44881,,\"SPX\")":0.94783276,"CRH-US^P_BETA_LOCIDX(45729,45553,,\"SPX\")":1.3165526,"CRH-US^P_BETA_LOCIDX(45712,45533,,\"SPX\")":1.0921973,"CRH-US^P_BETA_LOCIDX(45951,45779,,\"SPX\")":1.2100611,"CRH-US^P_BETA_LOCIDX(46006,45838,,\"SPX\")":1.0618521,"CRH-US^P_BETA_LOCIDX(45565,45391,,\"SPX\")":1.3751018,"CRH-US^P_BETA_LOCIDX(45853,45679,,\"SPX\")":1.2736784,"CRH-US^P_BETA_LOCIDX(45086,44910,,\"SPX\")":1.053611,"CRH-US^P_BETA_LOCIDX(45154,44980,,\"SPX\")":1.0715562,"CRH-US^P_BETA_LOCIDX(45569,45397,,\"SPX\")":1.4132462,"CRH-US^P_BETA_LOCIDX(45973,45800,,\"SPX\")":1.070107,"CRH-US^P_BETA_LOCIDX(45860,45686,,\"SPX\")":1.2759197,"CRH-US^P_BETA_LOCIDX(45831,45652,,\"SPX\")":1.2671096,"CRH-US^P_BETA_LOCIDX(45887,45714,,\"SPX\")":1.2804137,"CRH-US^P_BETA_LOCIDX(46007,45835,,\"SPX\")":1.0788438,"CRH-US^P_BETA_LOCIDX(45923,45750,,\"SPX\")":1.1868906,"CRH-US^P_BETA_LOCIDX(45945,45775,,\"SPX\")":1.2227421,"CRH-US^P_BETA_LOCIDX(45967,45797,,\"SPX\")":1.1083454,"CRH-US^P_BETA_LOCIDX(45992,45821,,\"SPX\")":1.1770445,"CRH-US^P_BETA_LOCIDX(46014,45846,,\"SPX\")":1.1062016,"CRH-US^P_BETA_LOCIDX(46038,45870,,\"SPX\")":1.2229832,"CRH-US^P_BETA_LOCIDX(45698,45520,,\"SPX\")":1.0584093,"CRH-US^P_BETA_LOCIDX(45495,45320,,\"SPX\")":1.1832677,"CRH-US^P_BETA_LOCIDX(44994,44819,,\"SPX\")":1.2294842,"CRH-US^P_BETA_LOCIDX(45512,45337,,\"SPX\")":1.3917531,"CRH-US^P_BETA_LOCIDX(45061,44883,,\"SPX\")":0.94586307,"CRH-US^P_BETA_LOCIDX(45090,44914,,\"SPX\")":1.041338,"CRH-US^P_BETA_LOCIDX(45497,45322,,\"SPX\")":1.2001628,"CRH-US^P_BETA_LOCIDX(45064,44888,,\"SPX\")":0.9532054,"CRH-US^P_BETA_LOCIDX(45532,45358,,\"SPX\")":1.428039,"CRH-US^P_BETA_LOCIDX(45247,45076,,\"SPX\")":1.2160203,"CRH-US^P_BETA_LOCIDX(45071,44896,,\"SPX\")":1.0089326,"CRH-US^P_BETA_LOCIDX(45384,45208,,\"SPX\")":1.1695601,"CRH-US^P_BETA_LOCIDX(45944,45771,,\"SPX\")":1.275456,"CRH-US^P_BETA_LOCIDX(45708,45531,,\"SPX\")":1.0830516,"CRH-US^P_BETA_LOCIDX(45237,45063,,\"SPX\")":1.2382343,"CRH-US^P_BETA_LOCIDX(45120,44945,,\"SPX\")":1.0564581,"CRH-US^P_BETA_LOCIDX(45888,45715,,\"SPX\")":1.2771695,"CRH-US^P_BETA_LOCIDX(45093,44917,,\"SPX\")":1.0503072,"CRH-US^P_BETA_LOCIDX(45278,45105,,\"SPX\")":1.2013808,"CRH-US^P_BETA_LOCIDX(45352,45177,,\"SPX\")":1.1845012,"CRH-US^P_BETA_LOCIDX(45743,45567,,\"SPX\")":1.3680358,"CRH-US^P_BETA_LOCIDX(45749,45573,,\"SPX\")":1.4178003,"CRH-US^P_BETA_LOCIDX(45322,45147,,\"SPX\")":1.2235742,"CRH-US^P_BETA_LOCIDX(44995,44820,,\"SPX\")":1.2313502,"CRH-US^P_BETA_LOCIDX(45930,45756,,\"SPX\")":1.2589328,"CRH-US^P_BETA_LOCIDX(45835,45659,,\"SPX\")":1.27409,"CRH-US^P_BETA_LOCIDX(45317,45142,,\"SPX\")":1.2540414,"CRH-US^P_BETA_LOCIDX(45994,45821,,\"SPX\")":1.1800507,"CRH-US^P_BETA_LOCIDX(45222,45048,,\"SPX\")":1.194343,"CRH-US^P_BETA_LOCIDX(45957,45784,,\"SPX\")":1.152565,"CRH-US^P_BETA_LOCIDX(45875,45701,,\"SPX\")":1.2714416,"CRH-US^P_BETA_LOCIDX(45266,45092,,\"SPX\")":1.1646327,"CRH-US^P_BETA_LOCIDX(45618,45447,,\"SPX\")":1.2648726,"CRH-US^P_BETA_LOCIDX(45702,45526,,\"SPX\")":1.0605674,"CRH-US^P_BETA_LOCIDX(45265,45091,,\"SPX\")":1.1677773,"CRH-US^P_BETA_LOCIDX(45909,45735,,\"SPX\")":1.2331374,"CRH-US^P_BETA_LOCIDX(45530,45356,,\"SPX\")":1.4469777,"CRH-US^P_BETA_LOCIDX(45516,45342,,\"SPX\")":1.404328,"CRH-US^P_BETA_LOCIDX(45866,45692,,\"SPX\")":1.2803131,"CRH-US^P_BETA_LOCIDX(46035,45861,,\"SPX\")":1.216635,"CRH-US^P_BETA_LOCIDX(46028,45854,,\"SPX\")":1.1115065,"CRH-US^P_BETA_LOCIDX(45029,44853,,\"SPX\")":1.1384214,"CRH-US^P_BETA_LOCIDX(45131,44956,,\"SPX\")":1.06807,"CRH-US^P_BETA_LOCIDX(45943,45770,,\"SPX\")":1.2938459,"CRH-US^P_BETA_LOCIDX(45861,45687,,\"SPX\")":1.2792962,"CRH-US^P_BETA_LOCIDX(45205,45033,,\"SPX\")":1.0430025,"CRH-US^P_BETA_LOCIDX(45756,45580,,\"SPX\")":1.2213948,"CRH-US^P_BETA_LOCIDX(45056,44880,,\"SPX\")":0.94906306,"CRH-US^P_BETA_LOCIDX(45985,45813,,\"SPX\")":1.0903139,"CRH-US^P_BETA_LOCIDX(45490,45315,,\"SPX\")":1.1879208,"CRH-US^P_BETA_LOCIDX(44965,44790,,\"SPX\")":1.2209847,"CRH-US^P_BETA_LOCIDX(45518,45344,,\"SPX\")":1.4000049,"CRH-US^P_BETA_LOCIDX(45482,45307,,\"SPX\")":1.2116297,"CRH-US^P_BETA_LOCIDX(45048,44872,,\"SPX\")":1.0697771,"CRH-US^P_BETA_LOCIDX(45561,45387,,\"SPX\")":1.3849826,"CRH-US^P_BETA_LOCIDX(45840,45664,,\"SPX\")":1.2787681,"CRH-US^P_BETA_LOCIDX(45526,45352,,\"SPX\")":1.421706,"CRH-US^P_BETA_LOCIDX(45464,45288,,\"SPX\")":1.2999384,"CRH-US^P_BETA_LOCIDX(45236,45062,,\"SPX\")":1.237774,"CRH-US^P_BETA_LOCIDX(45138,44963,,\"SPX\")":1.0538392,"CRH-US^P_BETA_LOCIDX(45162,44988,,\"SPX\")":1.0067326,"CRH-US^P_BETA_LOCIDX(45644,45471,,\"SPX\")":1.2436353,"CRH-US^P_BETA_LOCIDX(44992,44817,,\"SPX\")":1.2217749,"CRH-US^P_BETA_LOCIDX(45880,45707,,\"SPX\")":1.2676158,"CRH-US^P_BETA_LOCIDX(44986,44811,,\"SPX\")":1.2196034,"CRH-US^P_BETA_LOCIDX(45989,45818,,\"SPX\")":1.1890173,"CRH-US^P_BETA_LOCIDX(46009,45839,,\"SPX\")":1.139518,"CRH-US^P_BETA_LOCIDX(45820,45643,,\"SPX\")":1.2547206,"CRH-US^P_BETA_LOCIDX(44979,44803,,\"SPX\")":1.2104304,"CRH-US^P_BETA_LOCIDX(45812,45635,,\"SPX\")":1.2638359,"CRH-US^P_BETA_LOCIDX(45531,45357,,\"SPX\")":1.4341859,"CRH-US^P_BETA_LOCIDX(45811,45632,,\"SPX\")":1.2637653,"CRH-US^P_BETA_LOCIDX(46036,45862,,\"SPX\")":1.253867,"CRH-US^P_BETA_LOCIDX(45475,45300,,\"SPX\")":1.2037605,"CRH-US^P_BETA_LOCIDX(45379,45204,,\"SPX\")":1.1654608,"CRH-US^P_BETA_LOCIDX(45898,45727,,\"SPX\")":1.2466087,"CRH-US^P_BETA_LOCIDX(45798,45621,,\"SPX\")":1.2704287,"CRH-US^P_BETA_LOCIDX(45810,45631,,\"SPX\")":1.2649276,"CRH-US^P_BETA_LOCIDX(45559,45385,,\"SPX\")":1.3762084,"CRH-US^P_BETA_LOCIDX(45231,45057,,\"SPX\")":1.3209192,"CRH-US^P_BETA_LOCIDX(45002,44827,,\"SPX\")":1.2291298,"CRH-US^P_BETA_LOCIDX(45184,45009,,\"SPX\")":1.0385938,"CRH-US^P_BETA_LOCIDX(45415,45239,,\"SPX\")":1.1422755,"CRH-US^P_BETA_LOCIDX(45097,44918,,\"SPX\")":1.0582262,"CRH-US^P_BETA_LOCIDX(45926,45754,,\"SPX\")":1.2443094,"CRH-US^P_BETA_LOCIDX(45595,45421,,\"SPX\")":1.3374953,"CRH-US^P_BETA_LOCIDX(45058,44882,,\"SPX\")":0.9454408,"CRH-US^P_BETA_LOCIDX(45268,45097,,\"SPX\")":1.1881175,"CRH-US^P_BETA_LOCIDX(45755,45579,,\"SPX\")":1.2723222,"CRH-US^P_BETA_LOCIDX(45244,45070,,\"SPX\")":1.1956869,"CRH-US^P_BETA_LOCIDX(45828,45650,,\"SPX\")":1.2612481,"CRH-US^P_BETA_LOCIDX(45019,44844,,\"SPX\")":1.1592957,"CRH-US^P_BETA_LOCIDX(45054,44876,,\"SPX\")":0.9789685,"CRH-US^P_BETA_LOCIDX(45789,45610,,\"SPX\")":1.2714424,"CRH-US^P_BETA_LOCIDX(45971,45798,,\"SPX\")":1.0720739,"CRH-US^P_BETA_LOCIDX(46002,45832,,\"SPX\")":1.0961792,"CRH-US^P_BETA_LOCIDX(45091,44915,,\"SPX\")":1.0517458,"CRH-US^P_BETA_LOCIDX(45174,44999,,\"SPX\")":1.0608333,"CRH-US^P_BETA_LOCIDX(45146,44971,,\"SPX\")":1.0515409}]]></FdsFormulaCache>
</file>

<file path=customXml/itemProps1.xml><?xml version="1.0" encoding="utf-8"?>
<ds:datastoreItem xmlns:ds="http://schemas.openxmlformats.org/officeDocument/2006/customXml" ds:itemID="{24E11E38-F2BC-4D76-B9D9-22B868CD4DD6}">
  <ds:schemaRefs>
    <ds:schemaRef ds:uri="http://www.w3.org/2001/XMLSchema"/>
  </ds:schemaRefs>
</ds:datastoreItem>
</file>

<file path=customXml/itemProps2.xml><?xml version="1.0" encoding="utf-8"?>
<ds:datastoreItem xmlns:ds="http://schemas.openxmlformats.org/officeDocument/2006/customXml" ds:itemID="{A80D33F4-74CE-4FE8-84C2-6E7A2C893C4F}">
  <ds:schemaRefs>
    <ds:schemaRef ds:uri="urn:fdsformulacach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Rogers</dc:creator>
  <cp:lastModifiedBy>Matthew Branman</cp:lastModifiedBy>
  <dcterms:created xsi:type="dcterms:W3CDTF">2023-12-28T18:31:12Z</dcterms:created>
  <dcterms:modified xsi:type="dcterms:W3CDTF">2026-02-24T03:14:34Z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=fdsSearchOrder">
    <vt:i4>0</vt:i4>
  </property>
</Properties>
</file>